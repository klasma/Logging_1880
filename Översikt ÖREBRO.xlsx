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45975</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45975</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45975</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45975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45975</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45975</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51530-2024</t>
        </is>
      </c>
      <c r="B11" s="1" t="n">
        <v>45604</v>
      </c>
      <c r="C11" s="1" t="n">
        <v>45975</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12974-2022</t>
        </is>
      </c>
      <c r="B12" s="1" t="n">
        <v>44643.38490740741</v>
      </c>
      <c r="C12" s="1" t="n">
        <v>45975</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45975</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45975</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33069-2025</t>
        </is>
      </c>
      <c r="B15" s="1" t="n">
        <v>45840</v>
      </c>
      <c r="C15" s="1" t="n">
        <v>45975</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8564-2021</t>
        </is>
      </c>
      <c r="B16" s="1" t="n">
        <v>44245</v>
      </c>
      <c r="C16" s="1" t="n">
        <v>45975</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29487-2022</t>
        </is>
      </c>
      <c r="B17" s="1" t="n">
        <v>44753</v>
      </c>
      <c r="C17" s="1" t="n">
        <v>45975</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45975</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50096-2023</t>
        </is>
      </c>
      <c r="B19" s="1" t="n">
        <v>45215</v>
      </c>
      <c r="C19" s="1" t="n">
        <v>45975</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13627-2025</t>
        </is>
      </c>
      <c r="B20" s="1" t="n">
        <v>45736</v>
      </c>
      <c r="C20" s="1" t="n">
        <v>45975</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45975</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45975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45975</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45975</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45975</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45975</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45975</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45975</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13395-2024</t>
        </is>
      </c>
      <c r="B29" s="1" t="n">
        <v>45387.42296296296</v>
      </c>
      <c r="C29" s="1" t="n">
        <v>45975</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45975</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45975</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14956-2025</t>
        </is>
      </c>
      <c r="B32" s="1" t="n">
        <v>45743.58409722222</v>
      </c>
      <c r="C32" s="1" t="n">
        <v>45975</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8267-2021</t>
        </is>
      </c>
      <c r="B33" s="1" t="n">
        <v>44244</v>
      </c>
      <c r="C33" s="1" t="n">
        <v>45975</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51550-2025</t>
        </is>
      </c>
      <c r="B34" s="1" t="n">
        <v>45950.83359953704</v>
      </c>
      <c r="C34" s="1" t="n">
        <v>45975</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37019-2024</t>
        </is>
      </c>
      <c r="B35" s="1" t="n">
        <v>45539.37905092593</v>
      </c>
      <c r="C35" s="1" t="n">
        <v>45975</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30409-2025</t>
        </is>
      </c>
      <c r="B36" s="1" t="n">
        <v>45827.59738425926</v>
      </c>
      <c r="C36" s="1" t="n">
        <v>45975</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7608-2024</t>
        </is>
      </c>
      <c r="B37" s="1" t="n">
        <v>45348</v>
      </c>
      <c r="C37" s="1" t="n">
        <v>45975</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45975</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45975</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45975</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30725-2023</t>
        </is>
      </c>
      <c r="B41" s="1" t="n">
        <v>45112.61451388889</v>
      </c>
      <c r="C41" s="1" t="n">
        <v>45975</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5097-2023</t>
        </is>
      </c>
      <c r="B42" s="1" t="n">
        <v>44958</v>
      </c>
      <c r="C42" s="1" t="n">
        <v>45975</v>
      </c>
      <c r="D42" t="inlineStr">
        <is>
          <t>ÖREBRO LÄN</t>
        </is>
      </c>
      <c r="E42" t="inlineStr">
        <is>
          <t>ÖREBRO</t>
        </is>
      </c>
      <c r="G42" t="n">
        <v>3.6</v>
      </c>
      <c r="H42" t="n">
        <v>1</v>
      </c>
      <c r="I42" t="n">
        <v>0</v>
      </c>
      <c r="J42" t="n">
        <v>0</v>
      </c>
      <c r="K42" t="n">
        <v>0</v>
      </c>
      <c r="L42" t="n">
        <v>0</v>
      </c>
      <c r="M42" t="n">
        <v>0</v>
      </c>
      <c r="N42" t="n">
        <v>0</v>
      </c>
      <c r="O42" t="n">
        <v>0</v>
      </c>
      <c r="P42" t="n">
        <v>0</v>
      </c>
      <c r="Q42" t="n">
        <v>1</v>
      </c>
      <c r="R42" s="2" t="inlineStr">
        <is>
          <t>Grönvit nattviol</t>
        </is>
      </c>
      <c r="S42">
        <f>HYPERLINK("https://klasma.github.io/Logging_1880/artfynd/A 5097-2023 artfynd.xlsx", "A 5097-2023")</f>
        <v/>
      </c>
      <c r="T42">
        <f>HYPERLINK("https://klasma.github.io/Logging_1880/kartor/A 5097-2023 karta.png", "A 5097-2023")</f>
        <v/>
      </c>
      <c r="V42">
        <f>HYPERLINK("https://klasma.github.io/Logging_1880/klagomål/A 5097-2023 FSC-klagomål.docx", "A 5097-2023")</f>
        <v/>
      </c>
      <c r="W42">
        <f>HYPERLINK("https://klasma.github.io/Logging_1880/klagomålsmail/A 5097-2023 FSC-klagomål mail.docx", "A 5097-2023")</f>
        <v/>
      </c>
      <c r="X42">
        <f>HYPERLINK("https://klasma.github.io/Logging_1880/tillsyn/A 5097-2023 tillsynsbegäran.docx", "A 5097-2023")</f>
        <v/>
      </c>
      <c r="Y42">
        <f>HYPERLINK("https://klasma.github.io/Logging_1880/tillsynsmail/A 5097-2023 tillsynsbegäran mail.docx", "A 5097-2023")</f>
        <v/>
      </c>
    </row>
    <row r="43" ht="15" customHeight="1">
      <c r="A43" t="inlineStr">
        <is>
          <t>A 11501-2025</t>
        </is>
      </c>
      <c r="B43" s="1" t="n">
        <v>45726</v>
      </c>
      <c r="C43" s="1" t="n">
        <v>45975</v>
      </c>
      <c r="D43" t="inlineStr">
        <is>
          <t>ÖREBRO LÄN</t>
        </is>
      </c>
      <c r="E43" t="inlineStr">
        <is>
          <t>ÖREBRO</t>
        </is>
      </c>
      <c r="G43" t="n">
        <v>0.8</v>
      </c>
      <c r="H43" t="n">
        <v>1</v>
      </c>
      <c r="I43" t="n">
        <v>0</v>
      </c>
      <c r="J43" t="n">
        <v>0</v>
      </c>
      <c r="K43" t="n">
        <v>0</v>
      </c>
      <c r="L43" t="n">
        <v>0</v>
      </c>
      <c r="M43" t="n">
        <v>0</v>
      </c>
      <c r="N43" t="n">
        <v>0</v>
      </c>
      <c r="O43" t="n">
        <v>0</v>
      </c>
      <c r="P43" t="n">
        <v>0</v>
      </c>
      <c r="Q43" t="n">
        <v>1</v>
      </c>
      <c r="R43" s="2" t="inlineStr">
        <is>
          <t>Kopparödla</t>
        </is>
      </c>
      <c r="S43">
        <f>HYPERLINK("https://klasma.github.io/Logging_1880/artfynd/A 11501-2025 artfynd.xlsx", "A 11501-2025")</f>
        <v/>
      </c>
      <c r="T43">
        <f>HYPERLINK("https://klasma.github.io/Logging_1880/kartor/A 11501-2025 karta.png", "A 11501-2025")</f>
        <v/>
      </c>
      <c r="V43">
        <f>HYPERLINK("https://klasma.github.io/Logging_1880/klagomål/A 11501-2025 FSC-klagomål.docx", "A 11501-2025")</f>
        <v/>
      </c>
      <c r="W43">
        <f>HYPERLINK("https://klasma.github.io/Logging_1880/klagomålsmail/A 11501-2025 FSC-klagomål mail.docx", "A 11501-2025")</f>
        <v/>
      </c>
      <c r="X43">
        <f>HYPERLINK("https://klasma.github.io/Logging_1880/tillsyn/A 11501-2025 tillsynsbegäran.docx", "A 11501-2025")</f>
        <v/>
      </c>
      <c r="Y43">
        <f>HYPERLINK("https://klasma.github.io/Logging_1880/tillsynsmail/A 11501-2025 tillsynsbegäran mail.docx", "A 11501-2025")</f>
        <v/>
      </c>
    </row>
    <row r="44" ht="15" customHeight="1">
      <c r="A44" t="inlineStr">
        <is>
          <t>A 20247-2023</t>
        </is>
      </c>
      <c r="B44" s="1" t="n">
        <v>45055</v>
      </c>
      <c r="C44" s="1" t="n">
        <v>45975</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43332-2022</t>
        </is>
      </c>
      <c r="B45" s="1" t="n">
        <v>44834</v>
      </c>
      <c r="C45" s="1" t="n">
        <v>45975</v>
      </c>
      <c r="D45" t="inlineStr">
        <is>
          <t>ÖREBRO LÄN</t>
        </is>
      </c>
      <c r="E45" t="inlineStr">
        <is>
          <t>ÖREBRO</t>
        </is>
      </c>
      <c r="G45" t="n">
        <v>2.3</v>
      </c>
      <c r="H45" t="n">
        <v>1</v>
      </c>
      <c r="I45" t="n">
        <v>0</v>
      </c>
      <c r="J45" t="n">
        <v>1</v>
      </c>
      <c r="K45" t="n">
        <v>0</v>
      </c>
      <c r="L45" t="n">
        <v>0</v>
      </c>
      <c r="M45" t="n">
        <v>0</v>
      </c>
      <c r="N45" t="n">
        <v>0</v>
      </c>
      <c r="O45" t="n">
        <v>1</v>
      </c>
      <c r="P45" t="n">
        <v>0</v>
      </c>
      <c r="Q45" t="n">
        <v>1</v>
      </c>
      <c r="R45" s="2" t="inlineStr">
        <is>
          <t>Spillkråka</t>
        </is>
      </c>
      <c r="S45">
        <f>HYPERLINK("https://klasma.github.io/Logging_1880/artfynd/A 43332-2022 artfynd.xlsx", "A 43332-2022")</f>
        <v/>
      </c>
      <c r="T45">
        <f>HYPERLINK("https://klasma.github.io/Logging_1880/kartor/A 43332-2022 karta.png", "A 43332-2022")</f>
        <v/>
      </c>
      <c r="V45">
        <f>HYPERLINK("https://klasma.github.io/Logging_1880/klagomål/A 43332-2022 FSC-klagomål.docx", "A 43332-2022")</f>
        <v/>
      </c>
      <c r="W45">
        <f>HYPERLINK("https://klasma.github.io/Logging_1880/klagomålsmail/A 43332-2022 FSC-klagomål mail.docx", "A 43332-2022")</f>
        <v/>
      </c>
      <c r="X45">
        <f>HYPERLINK("https://klasma.github.io/Logging_1880/tillsyn/A 43332-2022 tillsynsbegäran.docx", "A 43332-2022")</f>
        <v/>
      </c>
      <c r="Y45">
        <f>HYPERLINK("https://klasma.github.io/Logging_1880/tillsynsmail/A 43332-2022 tillsynsbegäran mail.docx", "A 43332-2022")</f>
        <v/>
      </c>
      <c r="Z45">
        <f>HYPERLINK("https://klasma.github.io/Logging_1880/fåglar/A 43332-2022 prioriterade fågelarter.docx", "A 43332-2022")</f>
        <v/>
      </c>
    </row>
    <row r="46" ht="15" customHeight="1">
      <c r="A46" t="inlineStr">
        <is>
          <t>A 44744-2024</t>
        </is>
      </c>
      <c r="B46" s="1" t="n">
        <v>45574.59789351852</v>
      </c>
      <c r="C46" s="1" t="n">
        <v>45975</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4014-2021</t>
        </is>
      </c>
      <c r="B47" s="1" t="n">
        <v>44218</v>
      </c>
      <c r="C47" s="1" t="n">
        <v>45975</v>
      </c>
      <c r="D47" t="inlineStr">
        <is>
          <t>ÖREBRO LÄN</t>
        </is>
      </c>
      <c r="E47" t="inlineStr">
        <is>
          <t>ÖREBRO</t>
        </is>
      </c>
      <c r="G47" t="n">
        <v>10.5</v>
      </c>
      <c r="H47" t="n">
        <v>0</v>
      </c>
      <c r="I47" t="n">
        <v>1</v>
      </c>
      <c r="J47" t="n">
        <v>0</v>
      </c>
      <c r="K47" t="n">
        <v>0</v>
      </c>
      <c r="L47" t="n">
        <v>0</v>
      </c>
      <c r="M47" t="n">
        <v>0</v>
      </c>
      <c r="N47" t="n">
        <v>0</v>
      </c>
      <c r="O47" t="n">
        <v>0</v>
      </c>
      <c r="P47" t="n">
        <v>0</v>
      </c>
      <c r="Q47" t="n">
        <v>1</v>
      </c>
      <c r="R47" s="2" t="inlineStr">
        <is>
          <t>Springkorn</t>
        </is>
      </c>
      <c r="S47">
        <f>HYPERLINK("https://klasma.github.io/Logging_1880/artfynd/A 4014-2021 artfynd.xlsx", "A 4014-2021")</f>
        <v/>
      </c>
      <c r="T47">
        <f>HYPERLINK("https://klasma.github.io/Logging_1880/kartor/A 4014-2021 karta.png", "A 4014-2021")</f>
        <v/>
      </c>
      <c r="V47">
        <f>HYPERLINK("https://klasma.github.io/Logging_1880/klagomål/A 4014-2021 FSC-klagomål.docx", "A 4014-2021")</f>
        <v/>
      </c>
      <c r="W47">
        <f>HYPERLINK("https://klasma.github.io/Logging_1880/klagomålsmail/A 4014-2021 FSC-klagomål mail.docx", "A 4014-2021")</f>
        <v/>
      </c>
      <c r="X47">
        <f>HYPERLINK("https://klasma.github.io/Logging_1880/tillsyn/A 4014-2021 tillsynsbegäran.docx", "A 4014-2021")</f>
        <v/>
      </c>
      <c r="Y47">
        <f>HYPERLINK("https://klasma.github.io/Logging_1880/tillsynsmail/A 4014-2021 tillsynsbegäran mail.docx", "A 4014-2021")</f>
        <v/>
      </c>
    </row>
    <row r="48" ht="15" customHeight="1">
      <c r="A48" t="inlineStr">
        <is>
          <t>A 23998-2025</t>
        </is>
      </c>
      <c r="B48" s="1" t="n">
        <v>45796.42209490741</v>
      </c>
      <c r="C48" s="1" t="n">
        <v>45975</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42636-2023</t>
        </is>
      </c>
      <c r="B49" s="1" t="n">
        <v>45181.49559027778</v>
      </c>
      <c r="C49" s="1" t="n">
        <v>45975</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32105-2023</t>
        </is>
      </c>
      <c r="B50" s="1" t="n">
        <v>45119</v>
      </c>
      <c r="C50" s="1" t="n">
        <v>45975</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55904-2024</t>
        </is>
      </c>
      <c r="B51" s="1" t="n">
        <v>45623.58190972222</v>
      </c>
      <c r="C51" s="1" t="n">
        <v>45975</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26890-2022</t>
        </is>
      </c>
      <c r="B52" s="1" t="n">
        <v>44740</v>
      </c>
      <c r="C52" s="1" t="n">
        <v>45975</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15621-2021</t>
        </is>
      </c>
      <c r="B53" s="1" t="n">
        <v>44285</v>
      </c>
      <c r="C53" s="1" t="n">
        <v>45975</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57920-2024</t>
        </is>
      </c>
      <c r="B54" s="1" t="n">
        <v>45631.50894675926</v>
      </c>
      <c r="C54" s="1" t="n">
        <v>45975</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50499-2025</t>
        </is>
      </c>
      <c r="B55" s="1" t="n">
        <v>45945.41712962963</v>
      </c>
      <c r="C55" s="1" t="n">
        <v>45975</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20032-2023</t>
        </is>
      </c>
      <c r="B56" s="1" t="n">
        <v>45054</v>
      </c>
      <c r="C56" s="1" t="n">
        <v>45975</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28936-2025</t>
        </is>
      </c>
      <c r="B57" s="1" t="n">
        <v>45820.69287037037</v>
      </c>
      <c r="C57" s="1" t="n">
        <v>45975</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22604-2024</t>
        </is>
      </c>
      <c r="B58" s="1" t="n">
        <v>45447</v>
      </c>
      <c r="C58" s="1" t="n">
        <v>45975</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32226-2025</t>
        </is>
      </c>
      <c r="B59" s="1" t="n">
        <v>45835.59478009259</v>
      </c>
      <c r="C59" s="1" t="n">
        <v>45975</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32204-2025</t>
        </is>
      </c>
      <c r="B60" s="1" t="n">
        <v>45835.58074074074</v>
      </c>
      <c r="C60" s="1" t="n">
        <v>45975</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2077-2023</t>
        </is>
      </c>
      <c r="B61" s="1" t="n">
        <v>44939</v>
      </c>
      <c r="C61" s="1" t="n">
        <v>45975</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45975</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31695-2024</t>
        </is>
      </c>
      <c r="B63" s="1" t="n">
        <v>45508</v>
      </c>
      <c r="C63" s="1" t="n">
        <v>45975</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9406-2021</t>
        </is>
      </c>
      <c r="B64" s="1" t="n">
        <v>44251</v>
      </c>
      <c r="C64" s="1" t="n">
        <v>45975</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45975</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45975</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45975</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45975</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45975</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45975</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45975</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45975</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45975</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45975</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45975</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45975</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45975</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45975</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45975</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65592-2020</t>
        </is>
      </c>
      <c r="B80" s="1" t="n">
        <v>44173</v>
      </c>
      <c r="C80" s="1" t="n">
        <v>45975</v>
      </c>
      <c r="D80" t="inlineStr">
        <is>
          <t>ÖREBRO LÄN</t>
        </is>
      </c>
      <c r="E80" t="inlineStr">
        <is>
          <t>ÖREBRO</t>
        </is>
      </c>
      <c r="G80" t="n">
        <v>8.9</v>
      </c>
      <c r="H80" t="n">
        <v>0</v>
      </c>
      <c r="I80" t="n">
        <v>0</v>
      </c>
      <c r="J80" t="n">
        <v>0</v>
      </c>
      <c r="K80" t="n">
        <v>0</v>
      </c>
      <c r="L80" t="n">
        <v>0</v>
      </c>
      <c r="M80" t="n">
        <v>0</v>
      </c>
      <c r="N80" t="n">
        <v>0</v>
      </c>
      <c r="O80" t="n">
        <v>0</v>
      </c>
      <c r="P80" t="n">
        <v>0</v>
      </c>
      <c r="Q80" t="n">
        <v>0</v>
      </c>
      <c r="R80" s="2" t="inlineStr"/>
    </row>
    <row r="81" ht="15" customHeight="1">
      <c r="A81" t="inlineStr">
        <is>
          <t>A 13193-2021</t>
        </is>
      </c>
      <c r="B81" s="1" t="n">
        <v>44272.55052083333</v>
      </c>
      <c r="C81" s="1" t="n">
        <v>45975</v>
      </c>
      <c r="D81" t="inlineStr">
        <is>
          <t>ÖREBRO LÄN</t>
        </is>
      </c>
      <c r="E81" t="inlineStr">
        <is>
          <t>ÖREBRO</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45975</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45975</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45975</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45975</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45975</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45975</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45975</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45975</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12433-2021</t>
        </is>
      </c>
      <c r="B90" s="1" t="n">
        <v>44267</v>
      </c>
      <c r="C90" s="1" t="n">
        <v>45975</v>
      </c>
      <c r="D90" t="inlineStr">
        <is>
          <t>ÖREBRO LÄN</t>
        </is>
      </c>
      <c r="E90" t="inlineStr">
        <is>
          <t>ÖREBRO</t>
        </is>
      </c>
      <c r="F90" t="inlineStr">
        <is>
          <t>Kommuner</t>
        </is>
      </c>
      <c r="G90" t="n">
        <v>1</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45975</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45975</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45975</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67627-2020</t>
        </is>
      </c>
      <c r="B94" s="1" t="n">
        <v>44182</v>
      </c>
      <c r="C94" s="1" t="n">
        <v>45975</v>
      </c>
      <c r="D94" t="inlineStr">
        <is>
          <t>ÖREBRO LÄN</t>
        </is>
      </c>
      <c r="E94" t="inlineStr">
        <is>
          <t>ÖREBRO</t>
        </is>
      </c>
      <c r="G94" t="n">
        <v>1.4</v>
      </c>
      <c r="H94" t="n">
        <v>0</v>
      </c>
      <c r="I94" t="n">
        <v>0</v>
      </c>
      <c r="J94" t="n">
        <v>0</v>
      </c>
      <c r="K94" t="n">
        <v>0</v>
      </c>
      <c r="L94" t="n">
        <v>0</v>
      </c>
      <c r="M94" t="n">
        <v>0</v>
      </c>
      <c r="N94" t="n">
        <v>0</v>
      </c>
      <c r="O94" t="n">
        <v>0</v>
      </c>
      <c r="P94" t="n">
        <v>0</v>
      </c>
      <c r="Q94" t="n">
        <v>0</v>
      </c>
      <c r="R94" s="2" t="inlineStr"/>
    </row>
    <row r="95" ht="15" customHeight="1">
      <c r="A95" t="inlineStr">
        <is>
          <t>A 55012-2022</t>
        </is>
      </c>
      <c r="B95" s="1" t="n">
        <v>44886.52833333334</v>
      </c>
      <c r="C95" s="1" t="n">
        <v>45975</v>
      </c>
      <c r="D95" t="inlineStr">
        <is>
          <t>ÖREBRO LÄN</t>
        </is>
      </c>
      <c r="E95" t="inlineStr">
        <is>
          <t>ÖREBRO</t>
        </is>
      </c>
      <c r="G95" t="n">
        <v>5.1</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45975</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45975</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45975</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45975</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45975</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4021-2021</t>
        </is>
      </c>
      <c r="B101" s="1" t="n">
        <v>44218</v>
      </c>
      <c r="C101" s="1" t="n">
        <v>45975</v>
      </c>
      <c r="D101" t="inlineStr">
        <is>
          <t>ÖREBRO LÄN</t>
        </is>
      </c>
      <c r="E101" t="inlineStr">
        <is>
          <t>ÖREBRO</t>
        </is>
      </c>
      <c r="G101" t="n">
        <v>5.3</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45975</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45975</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45975</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45975</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45975</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45975</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45975</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45975</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32231-2022</t>
        </is>
      </c>
      <c r="B110" s="1" t="n">
        <v>44781</v>
      </c>
      <c r="C110" s="1" t="n">
        <v>45975</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32247-2022</t>
        </is>
      </c>
      <c r="B111" s="1" t="n">
        <v>44781</v>
      </c>
      <c r="C111" s="1" t="n">
        <v>45975</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45975</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45975</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30760-2022</t>
        </is>
      </c>
      <c r="B114" s="1" t="n">
        <v>44764.51827546296</v>
      </c>
      <c r="C114" s="1" t="n">
        <v>45975</v>
      </c>
      <c r="D114" t="inlineStr">
        <is>
          <t>ÖREBRO LÄN</t>
        </is>
      </c>
      <c r="E114" t="inlineStr">
        <is>
          <t>ÖREBRO</t>
        </is>
      </c>
      <c r="G114" t="n">
        <v>4</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45975</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45975</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45975</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45975</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45975</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60150-2020</t>
        </is>
      </c>
      <c r="B120" s="1" t="n">
        <v>44152</v>
      </c>
      <c r="C120" s="1" t="n">
        <v>45975</v>
      </c>
      <c r="D120" t="inlineStr">
        <is>
          <t>ÖREBRO LÄN</t>
        </is>
      </c>
      <c r="E120" t="inlineStr">
        <is>
          <t>ÖREBRO</t>
        </is>
      </c>
      <c r="G120" t="n">
        <v>1.6</v>
      </c>
      <c r="H120" t="n">
        <v>0</v>
      </c>
      <c r="I120" t="n">
        <v>0</v>
      </c>
      <c r="J120" t="n">
        <v>0</v>
      </c>
      <c r="K120" t="n">
        <v>0</v>
      </c>
      <c r="L120" t="n">
        <v>0</v>
      </c>
      <c r="M120" t="n">
        <v>0</v>
      </c>
      <c r="N120" t="n">
        <v>0</v>
      </c>
      <c r="O120" t="n">
        <v>0</v>
      </c>
      <c r="P120" t="n">
        <v>0</v>
      </c>
      <c r="Q120" t="n">
        <v>0</v>
      </c>
      <c r="R120" s="2" t="inlineStr"/>
    </row>
    <row r="121" ht="15" customHeight="1">
      <c r="A121" t="inlineStr">
        <is>
          <t>A 16258-2022</t>
        </is>
      </c>
      <c r="B121" s="1" t="n">
        <v>44670</v>
      </c>
      <c r="C121" s="1" t="n">
        <v>45975</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18321-2022</t>
        </is>
      </c>
      <c r="B122" s="1" t="n">
        <v>44685</v>
      </c>
      <c r="C122" s="1" t="n">
        <v>45975</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45975</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45975</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45975</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28870-2021</t>
        </is>
      </c>
      <c r="B126" s="1" t="n">
        <v>44357.75265046296</v>
      </c>
      <c r="C126" s="1" t="n">
        <v>45975</v>
      </c>
      <c r="D126" t="inlineStr">
        <is>
          <t>ÖREBRO LÄN</t>
        </is>
      </c>
      <c r="E126" t="inlineStr">
        <is>
          <t>ÖREBRO</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63247-2021</t>
        </is>
      </c>
      <c r="B127" s="1" t="n">
        <v>44505</v>
      </c>
      <c r="C127" s="1" t="n">
        <v>45975</v>
      </c>
      <c r="D127" t="inlineStr">
        <is>
          <t>ÖREBRO LÄN</t>
        </is>
      </c>
      <c r="E127" t="inlineStr">
        <is>
          <t>ÖREBRO</t>
        </is>
      </c>
      <c r="G127" t="n">
        <v>1.5</v>
      </c>
      <c r="H127" t="n">
        <v>0</v>
      </c>
      <c r="I127" t="n">
        <v>0</v>
      </c>
      <c r="J127" t="n">
        <v>0</v>
      </c>
      <c r="K127" t="n">
        <v>0</v>
      </c>
      <c r="L127" t="n">
        <v>0</v>
      </c>
      <c r="M127" t="n">
        <v>0</v>
      </c>
      <c r="N127" t="n">
        <v>0</v>
      </c>
      <c r="O127" t="n">
        <v>0</v>
      </c>
      <c r="P127" t="n">
        <v>0</v>
      </c>
      <c r="Q127" t="n">
        <v>0</v>
      </c>
      <c r="R127" s="2" t="inlineStr"/>
    </row>
    <row r="128" ht="15" customHeight="1">
      <c r="A128" t="inlineStr">
        <is>
          <t>A 10019-2022</t>
        </is>
      </c>
      <c r="B128" s="1" t="n">
        <v>44621</v>
      </c>
      <c r="C128" s="1" t="n">
        <v>45975</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3087-2021</t>
        </is>
      </c>
      <c r="B129" s="1" t="n">
        <v>44216</v>
      </c>
      <c r="C129" s="1" t="n">
        <v>45975</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45975</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45975</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21567-2022</t>
        </is>
      </c>
      <c r="B132" s="1" t="n">
        <v>44706</v>
      </c>
      <c r="C132" s="1" t="n">
        <v>45975</v>
      </c>
      <c r="D132" t="inlineStr">
        <is>
          <t>ÖREBRO LÄN</t>
        </is>
      </c>
      <c r="E132" t="inlineStr">
        <is>
          <t>ÖREBRO</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45975</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45975</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58138-2021</t>
        </is>
      </c>
      <c r="B135" s="1" t="n">
        <v>44487</v>
      </c>
      <c r="C135" s="1" t="n">
        <v>45975</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69613-2020</t>
        </is>
      </c>
      <c r="B136" s="1" t="n">
        <v>44195</v>
      </c>
      <c r="C136" s="1" t="n">
        <v>45975</v>
      </c>
      <c r="D136" t="inlineStr">
        <is>
          <t>ÖREBRO LÄN</t>
        </is>
      </c>
      <c r="E136" t="inlineStr">
        <is>
          <t>ÖREBRO</t>
        </is>
      </c>
      <c r="G136" t="n">
        <v>4.7</v>
      </c>
      <c r="H136" t="n">
        <v>0</v>
      </c>
      <c r="I136" t="n">
        <v>0</v>
      </c>
      <c r="J136" t="n">
        <v>0</v>
      </c>
      <c r="K136" t="n">
        <v>0</v>
      </c>
      <c r="L136" t="n">
        <v>0</v>
      </c>
      <c r="M136" t="n">
        <v>0</v>
      </c>
      <c r="N136" t="n">
        <v>0</v>
      </c>
      <c r="O136" t="n">
        <v>0</v>
      </c>
      <c r="P136" t="n">
        <v>0</v>
      </c>
      <c r="Q136" t="n">
        <v>0</v>
      </c>
      <c r="R136" s="2" t="inlineStr"/>
    </row>
    <row r="137" ht="15" customHeight="1">
      <c r="A137" t="inlineStr">
        <is>
          <t>A 19468-2021</t>
        </is>
      </c>
      <c r="B137" s="1" t="n">
        <v>44311</v>
      </c>
      <c r="C137" s="1" t="n">
        <v>45975</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45975</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45975</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45975</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48581-2024</t>
        </is>
      </c>
      <c r="B141" s="1" t="n">
        <v>45593.41642361111</v>
      </c>
      <c r="C141" s="1" t="n">
        <v>45975</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45975</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45975</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44165-2022</t>
        </is>
      </c>
      <c r="B144" s="1" t="n">
        <v>44839</v>
      </c>
      <c r="C144" s="1" t="n">
        <v>45975</v>
      </c>
      <c r="D144" t="inlineStr">
        <is>
          <t>ÖREBRO LÄN</t>
        </is>
      </c>
      <c r="E144" t="inlineStr">
        <is>
          <t>ÖREBRO</t>
        </is>
      </c>
      <c r="G144" t="n">
        <v>0.5</v>
      </c>
      <c r="H144" t="n">
        <v>0</v>
      </c>
      <c r="I144" t="n">
        <v>0</v>
      </c>
      <c r="J144" t="n">
        <v>0</v>
      </c>
      <c r="K144" t="n">
        <v>0</v>
      </c>
      <c r="L144" t="n">
        <v>0</v>
      </c>
      <c r="M144" t="n">
        <v>0</v>
      </c>
      <c r="N144" t="n">
        <v>0</v>
      </c>
      <c r="O144" t="n">
        <v>0</v>
      </c>
      <c r="P144" t="n">
        <v>0</v>
      </c>
      <c r="Q144" t="n">
        <v>0</v>
      </c>
      <c r="R144" s="2" t="inlineStr"/>
    </row>
    <row r="145" ht="15" customHeight="1">
      <c r="A145" t="inlineStr">
        <is>
          <t>A 47047-2022</t>
        </is>
      </c>
      <c r="B145" s="1" t="n">
        <v>44852.39063657408</v>
      </c>
      <c r="C145" s="1" t="n">
        <v>45975</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26509-2021</t>
        </is>
      </c>
      <c r="B146" s="1" t="n">
        <v>44348.45107638889</v>
      </c>
      <c r="C146" s="1" t="n">
        <v>45975</v>
      </c>
      <c r="D146" t="inlineStr">
        <is>
          <t>ÖREBRO LÄN</t>
        </is>
      </c>
      <c r="E146" t="inlineStr">
        <is>
          <t>ÖREBRO</t>
        </is>
      </c>
      <c r="G146" t="n">
        <v>2.5</v>
      </c>
      <c r="H146" t="n">
        <v>0</v>
      </c>
      <c r="I146" t="n">
        <v>0</v>
      </c>
      <c r="J146" t="n">
        <v>0</v>
      </c>
      <c r="K146" t="n">
        <v>0</v>
      </c>
      <c r="L146" t="n">
        <v>0</v>
      </c>
      <c r="M146" t="n">
        <v>0</v>
      </c>
      <c r="N146" t="n">
        <v>0</v>
      </c>
      <c r="O146" t="n">
        <v>0</v>
      </c>
      <c r="P146" t="n">
        <v>0</v>
      </c>
      <c r="Q146" t="n">
        <v>0</v>
      </c>
      <c r="R146" s="2" t="inlineStr"/>
    </row>
    <row r="147" ht="15" customHeight="1">
      <c r="A147" t="inlineStr">
        <is>
          <t>A 4766-2022</t>
        </is>
      </c>
      <c r="B147" s="1" t="n">
        <v>44592</v>
      </c>
      <c r="C147" s="1" t="n">
        <v>45975</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21036-2024</t>
        </is>
      </c>
      <c r="B148" s="1" t="n">
        <v>45439.65954861111</v>
      </c>
      <c r="C148" s="1" t="n">
        <v>45975</v>
      </c>
      <c r="D148" t="inlineStr">
        <is>
          <t>ÖREBRO LÄN</t>
        </is>
      </c>
      <c r="E148" t="inlineStr">
        <is>
          <t>ÖREBRO</t>
        </is>
      </c>
      <c r="F148" t="inlineStr">
        <is>
          <t>Övriga Aktiebolag</t>
        </is>
      </c>
      <c r="G148" t="n">
        <v>5.7</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45975</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45975</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12478-2022</t>
        </is>
      </c>
      <c r="B151" s="1" t="n">
        <v>44638</v>
      </c>
      <c r="C151" s="1" t="n">
        <v>45975</v>
      </c>
      <c r="D151" t="inlineStr">
        <is>
          <t>ÖREBRO LÄN</t>
        </is>
      </c>
      <c r="E151" t="inlineStr">
        <is>
          <t>ÖREBRO</t>
        </is>
      </c>
      <c r="F151" t="inlineStr">
        <is>
          <t>Kyrkan</t>
        </is>
      </c>
      <c r="G151" t="n">
        <v>1.4</v>
      </c>
      <c r="H151" t="n">
        <v>0</v>
      </c>
      <c r="I151" t="n">
        <v>0</v>
      </c>
      <c r="J151" t="n">
        <v>0</v>
      </c>
      <c r="K151" t="n">
        <v>0</v>
      </c>
      <c r="L151" t="n">
        <v>0</v>
      </c>
      <c r="M151" t="n">
        <v>0</v>
      </c>
      <c r="N151" t="n">
        <v>0</v>
      </c>
      <c r="O151" t="n">
        <v>0</v>
      </c>
      <c r="P151" t="n">
        <v>0</v>
      </c>
      <c r="Q151" t="n">
        <v>0</v>
      </c>
      <c r="R151" s="2" t="inlineStr"/>
    </row>
    <row r="152" ht="15" customHeight="1">
      <c r="A152" t="inlineStr">
        <is>
          <t>A 62651-2020</t>
        </is>
      </c>
      <c r="B152" s="1" t="n">
        <v>44161</v>
      </c>
      <c r="C152" s="1" t="n">
        <v>45975</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57498-2021</t>
        </is>
      </c>
      <c r="B153" s="1" t="n">
        <v>44483</v>
      </c>
      <c r="C153" s="1" t="n">
        <v>45975</v>
      </c>
      <c r="D153" t="inlineStr">
        <is>
          <t>ÖREBRO LÄN</t>
        </is>
      </c>
      <c r="E153" t="inlineStr">
        <is>
          <t>ÖREBRO</t>
        </is>
      </c>
      <c r="F153" t="inlineStr">
        <is>
          <t>Övriga Aktiebolag</t>
        </is>
      </c>
      <c r="G153" t="n">
        <v>2.7</v>
      </c>
      <c r="H153" t="n">
        <v>0</v>
      </c>
      <c r="I153" t="n">
        <v>0</v>
      </c>
      <c r="J153" t="n">
        <v>0</v>
      </c>
      <c r="K153" t="n">
        <v>0</v>
      </c>
      <c r="L153" t="n">
        <v>0</v>
      </c>
      <c r="M153" t="n">
        <v>0</v>
      </c>
      <c r="N153" t="n">
        <v>0</v>
      </c>
      <c r="O153" t="n">
        <v>0</v>
      </c>
      <c r="P153" t="n">
        <v>0</v>
      </c>
      <c r="Q153" t="n">
        <v>0</v>
      </c>
      <c r="R153" s="2" t="inlineStr"/>
    </row>
    <row r="154" ht="15" customHeight="1">
      <c r="A154" t="inlineStr">
        <is>
          <t>A 5401-2022</t>
        </is>
      </c>
      <c r="B154" s="1" t="n">
        <v>44595</v>
      </c>
      <c r="C154" s="1" t="n">
        <v>45975</v>
      </c>
      <c r="D154" t="inlineStr">
        <is>
          <t>ÖREBRO LÄN</t>
        </is>
      </c>
      <c r="E154" t="inlineStr">
        <is>
          <t>ÖREBRO</t>
        </is>
      </c>
      <c r="G154" t="n">
        <v>2.3</v>
      </c>
      <c r="H154" t="n">
        <v>0</v>
      </c>
      <c r="I154" t="n">
        <v>0</v>
      </c>
      <c r="J154" t="n">
        <v>0</v>
      </c>
      <c r="K154" t="n">
        <v>0</v>
      </c>
      <c r="L154" t="n">
        <v>0</v>
      </c>
      <c r="M154" t="n">
        <v>0</v>
      </c>
      <c r="N154" t="n">
        <v>0</v>
      </c>
      <c r="O154" t="n">
        <v>0</v>
      </c>
      <c r="P154" t="n">
        <v>0</v>
      </c>
      <c r="Q154" t="n">
        <v>0</v>
      </c>
      <c r="R154" s="2" t="inlineStr"/>
    </row>
    <row r="155" ht="15" customHeight="1">
      <c r="A155" t="inlineStr">
        <is>
          <t>A 60311-2020</t>
        </is>
      </c>
      <c r="B155" s="1" t="n">
        <v>44151</v>
      </c>
      <c r="C155" s="1" t="n">
        <v>45975</v>
      </c>
      <c r="D155" t="inlineStr">
        <is>
          <t>ÖREBRO LÄN</t>
        </is>
      </c>
      <c r="E155" t="inlineStr">
        <is>
          <t>ÖREBRO</t>
        </is>
      </c>
      <c r="F155" t="inlineStr">
        <is>
          <t>Kommuner</t>
        </is>
      </c>
      <c r="G155" t="n">
        <v>0.8</v>
      </c>
      <c r="H155" t="n">
        <v>0</v>
      </c>
      <c r="I155" t="n">
        <v>0</v>
      </c>
      <c r="J155" t="n">
        <v>0</v>
      </c>
      <c r="K155" t="n">
        <v>0</v>
      </c>
      <c r="L155" t="n">
        <v>0</v>
      </c>
      <c r="M155" t="n">
        <v>0</v>
      </c>
      <c r="N155" t="n">
        <v>0</v>
      </c>
      <c r="O155" t="n">
        <v>0</v>
      </c>
      <c r="P155" t="n">
        <v>0</v>
      </c>
      <c r="Q155" t="n">
        <v>0</v>
      </c>
      <c r="R155" s="2" t="inlineStr"/>
    </row>
    <row r="156" ht="15" customHeight="1">
      <c r="A156" t="inlineStr">
        <is>
          <t>A 57343-2021</t>
        </is>
      </c>
      <c r="B156" s="1" t="n">
        <v>44482</v>
      </c>
      <c r="C156" s="1" t="n">
        <v>45975</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51268-2022</t>
        </is>
      </c>
      <c r="B157" s="1" t="n">
        <v>44868</v>
      </c>
      <c r="C157" s="1" t="n">
        <v>45975</v>
      </c>
      <c r="D157" t="inlineStr">
        <is>
          <t>ÖREBRO LÄN</t>
        </is>
      </c>
      <c r="E157" t="inlineStr">
        <is>
          <t>ÖREBRO</t>
        </is>
      </c>
      <c r="G157" t="n">
        <v>3.8</v>
      </c>
      <c r="H157" t="n">
        <v>0</v>
      </c>
      <c r="I157" t="n">
        <v>0</v>
      </c>
      <c r="J157" t="n">
        <v>0</v>
      </c>
      <c r="K157" t="n">
        <v>0</v>
      </c>
      <c r="L157" t="n">
        <v>0</v>
      </c>
      <c r="M157" t="n">
        <v>0</v>
      </c>
      <c r="N157" t="n">
        <v>0</v>
      </c>
      <c r="O157" t="n">
        <v>0</v>
      </c>
      <c r="P157" t="n">
        <v>0</v>
      </c>
      <c r="Q157" t="n">
        <v>0</v>
      </c>
      <c r="R157" s="2" t="inlineStr"/>
    </row>
    <row r="158" ht="15" customHeight="1">
      <c r="A158" t="inlineStr">
        <is>
          <t>A 58277-2022</t>
        </is>
      </c>
      <c r="B158" s="1" t="n">
        <v>44901.48108796297</v>
      </c>
      <c r="C158" s="1" t="n">
        <v>45975</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31906-2023</t>
        </is>
      </c>
      <c r="B159" s="1" t="n">
        <v>45118.8353125</v>
      </c>
      <c r="C159" s="1" t="n">
        <v>45975</v>
      </c>
      <c r="D159" t="inlineStr">
        <is>
          <t>ÖREBRO LÄN</t>
        </is>
      </c>
      <c r="E159" t="inlineStr">
        <is>
          <t>ÖREBRO</t>
        </is>
      </c>
      <c r="G159" t="n">
        <v>9</v>
      </c>
      <c r="H159" t="n">
        <v>0</v>
      </c>
      <c r="I159" t="n">
        <v>0</v>
      </c>
      <c r="J159" t="n">
        <v>0</v>
      </c>
      <c r="K159" t="n">
        <v>0</v>
      </c>
      <c r="L159" t="n">
        <v>0</v>
      </c>
      <c r="M159" t="n">
        <v>0</v>
      </c>
      <c r="N159" t="n">
        <v>0</v>
      </c>
      <c r="O159" t="n">
        <v>0</v>
      </c>
      <c r="P159" t="n">
        <v>0</v>
      </c>
      <c r="Q159" t="n">
        <v>0</v>
      </c>
      <c r="R159" s="2" t="inlineStr"/>
    </row>
    <row r="160" ht="15" customHeight="1">
      <c r="A160" t="inlineStr">
        <is>
          <t>A 15682-2023</t>
        </is>
      </c>
      <c r="B160" s="1" t="n">
        <v>45021</v>
      </c>
      <c r="C160" s="1" t="n">
        <v>45975</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6387-2021</t>
        </is>
      </c>
      <c r="B161" s="1" t="n">
        <v>44235</v>
      </c>
      <c r="C161" s="1" t="n">
        <v>45975</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16739-2023</t>
        </is>
      </c>
      <c r="B162" s="1" t="n">
        <v>45030.72627314815</v>
      </c>
      <c r="C162" s="1" t="n">
        <v>45975</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4416-2023</t>
        </is>
      </c>
      <c r="B163" s="1" t="n">
        <v>44956</v>
      </c>
      <c r="C163" s="1" t="n">
        <v>45975</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10937-2024</t>
        </is>
      </c>
      <c r="B164" s="1" t="n">
        <v>45370.44461805555</v>
      </c>
      <c r="C164" s="1" t="n">
        <v>45975</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22079-2023</t>
        </is>
      </c>
      <c r="B165" s="1" t="n">
        <v>45069</v>
      </c>
      <c r="C165" s="1" t="n">
        <v>45975</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19978-2025</t>
        </is>
      </c>
      <c r="B166" s="1" t="n">
        <v>45771.7062037037</v>
      </c>
      <c r="C166" s="1" t="n">
        <v>45975</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2771-2023</t>
        </is>
      </c>
      <c r="B167" s="1" t="n">
        <v>44944.64704861111</v>
      </c>
      <c r="C167" s="1" t="n">
        <v>45975</v>
      </c>
      <c r="D167" t="inlineStr">
        <is>
          <t>ÖREBRO LÄN</t>
        </is>
      </c>
      <c r="E167" t="inlineStr">
        <is>
          <t>ÖREBRO</t>
        </is>
      </c>
      <c r="G167" t="n">
        <v>15.4</v>
      </c>
      <c r="H167" t="n">
        <v>0</v>
      </c>
      <c r="I167" t="n">
        <v>0</v>
      </c>
      <c r="J167" t="n">
        <v>0</v>
      </c>
      <c r="K167" t="n">
        <v>0</v>
      </c>
      <c r="L167" t="n">
        <v>0</v>
      </c>
      <c r="M167" t="n">
        <v>0</v>
      </c>
      <c r="N167" t="n">
        <v>0</v>
      </c>
      <c r="O167" t="n">
        <v>0</v>
      </c>
      <c r="P167" t="n">
        <v>0</v>
      </c>
      <c r="Q167" t="n">
        <v>0</v>
      </c>
      <c r="R167" s="2" t="inlineStr"/>
    </row>
    <row r="168" ht="15" customHeight="1">
      <c r="A168" t="inlineStr">
        <is>
          <t>A 49062-2023</t>
        </is>
      </c>
      <c r="B168" s="1" t="n">
        <v>45210.35119212963</v>
      </c>
      <c r="C168" s="1" t="n">
        <v>45975</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52447-2024</t>
        </is>
      </c>
      <c r="B169" s="1" t="n">
        <v>45609.49157407408</v>
      </c>
      <c r="C169" s="1" t="n">
        <v>45975</v>
      </c>
      <c r="D169" t="inlineStr">
        <is>
          <t>ÖREBRO LÄN</t>
        </is>
      </c>
      <c r="E169" t="inlineStr">
        <is>
          <t>ÖREBRO</t>
        </is>
      </c>
      <c r="G169" t="n">
        <v>1.4</v>
      </c>
      <c r="H169" t="n">
        <v>0</v>
      </c>
      <c r="I169" t="n">
        <v>0</v>
      </c>
      <c r="J169" t="n">
        <v>0</v>
      </c>
      <c r="K169" t="n">
        <v>0</v>
      </c>
      <c r="L169" t="n">
        <v>0</v>
      </c>
      <c r="M169" t="n">
        <v>0</v>
      </c>
      <c r="N169" t="n">
        <v>0</v>
      </c>
      <c r="O169" t="n">
        <v>0</v>
      </c>
      <c r="P169" t="n">
        <v>0</v>
      </c>
      <c r="Q169" t="n">
        <v>0</v>
      </c>
      <c r="R169" s="2" t="inlineStr"/>
    </row>
    <row r="170" ht="15" customHeight="1">
      <c r="A170" t="inlineStr">
        <is>
          <t>A 3841-2023</t>
        </is>
      </c>
      <c r="B170" s="1" t="n">
        <v>44951</v>
      </c>
      <c r="C170" s="1" t="n">
        <v>45975</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38489-2023</t>
        </is>
      </c>
      <c r="B171" s="1" t="n">
        <v>45162</v>
      </c>
      <c r="C171" s="1" t="n">
        <v>45975</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70719-2021</t>
        </is>
      </c>
      <c r="B172" s="1" t="n">
        <v>44537</v>
      </c>
      <c r="C172" s="1" t="n">
        <v>45975</v>
      </c>
      <c r="D172" t="inlineStr">
        <is>
          <t>ÖREBRO LÄN</t>
        </is>
      </c>
      <c r="E172" t="inlineStr">
        <is>
          <t>ÖREBRO</t>
        </is>
      </c>
      <c r="G172" t="n">
        <v>4.3</v>
      </c>
      <c r="H172" t="n">
        <v>0</v>
      </c>
      <c r="I172" t="n">
        <v>0</v>
      </c>
      <c r="J172" t="n">
        <v>0</v>
      </c>
      <c r="K172" t="n">
        <v>0</v>
      </c>
      <c r="L172" t="n">
        <v>0</v>
      </c>
      <c r="M172" t="n">
        <v>0</v>
      </c>
      <c r="N172" t="n">
        <v>0</v>
      </c>
      <c r="O172" t="n">
        <v>0</v>
      </c>
      <c r="P172" t="n">
        <v>0</v>
      </c>
      <c r="Q172" t="n">
        <v>0</v>
      </c>
      <c r="R172" s="2" t="inlineStr"/>
    </row>
    <row r="173" ht="15" customHeight="1">
      <c r="A173" t="inlineStr">
        <is>
          <t>A 38573-2023</t>
        </is>
      </c>
      <c r="B173" s="1" t="n">
        <v>45162.61837962963</v>
      </c>
      <c r="C173" s="1" t="n">
        <v>45975</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12017-2024</t>
        </is>
      </c>
      <c r="B174" s="1" t="n">
        <v>45377</v>
      </c>
      <c r="C174" s="1" t="n">
        <v>45975</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32321-2023</t>
        </is>
      </c>
      <c r="B175" s="1" t="n">
        <v>45120</v>
      </c>
      <c r="C175" s="1" t="n">
        <v>45975</v>
      </c>
      <c r="D175" t="inlineStr">
        <is>
          <t>ÖREBRO LÄN</t>
        </is>
      </c>
      <c r="E175" t="inlineStr">
        <is>
          <t>ÖREBRO</t>
        </is>
      </c>
      <c r="G175" t="n">
        <v>3.4</v>
      </c>
      <c r="H175" t="n">
        <v>0</v>
      </c>
      <c r="I175" t="n">
        <v>0</v>
      </c>
      <c r="J175" t="n">
        <v>0</v>
      </c>
      <c r="K175" t="n">
        <v>0</v>
      </c>
      <c r="L175" t="n">
        <v>0</v>
      </c>
      <c r="M175" t="n">
        <v>0</v>
      </c>
      <c r="N175" t="n">
        <v>0</v>
      </c>
      <c r="O175" t="n">
        <v>0</v>
      </c>
      <c r="P175" t="n">
        <v>0</v>
      </c>
      <c r="Q175" t="n">
        <v>0</v>
      </c>
      <c r="R175" s="2" t="inlineStr"/>
    </row>
    <row r="176" ht="15" customHeight="1">
      <c r="A176" t="inlineStr">
        <is>
          <t>A 4757-2024</t>
        </is>
      </c>
      <c r="B176" s="1" t="n">
        <v>45328</v>
      </c>
      <c r="C176" s="1" t="n">
        <v>45975</v>
      </c>
      <c r="D176" t="inlineStr">
        <is>
          <t>ÖREBRO LÄN</t>
        </is>
      </c>
      <c r="E176" t="inlineStr">
        <is>
          <t>ÖREBRO</t>
        </is>
      </c>
      <c r="G176" t="n">
        <v>1.9</v>
      </c>
      <c r="H176" t="n">
        <v>0</v>
      </c>
      <c r="I176" t="n">
        <v>0</v>
      </c>
      <c r="J176" t="n">
        <v>0</v>
      </c>
      <c r="K176" t="n">
        <v>0</v>
      </c>
      <c r="L176" t="n">
        <v>0</v>
      </c>
      <c r="M176" t="n">
        <v>0</v>
      </c>
      <c r="N176" t="n">
        <v>0</v>
      </c>
      <c r="O176" t="n">
        <v>0</v>
      </c>
      <c r="P176" t="n">
        <v>0</v>
      </c>
      <c r="Q176" t="n">
        <v>0</v>
      </c>
      <c r="R176" s="2" t="inlineStr"/>
    </row>
    <row r="177" ht="15" customHeight="1">
      <c r="A177" t="inlineStr">
        <is>
          <t>A 19831-2021</t>
        </is>
      </c>
      <c r="B177" s="1" t="n">
        <v>44313</v>
      </c>
      <c r="C177" s="1" t="n">
        <v>45975</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5357-2024</t>
        </is>
      </c>
      <c r="B178" s="1" t="n">
        <v>45331</v>
      </c>
      <c r="C178" s="1" t="n">
        <v>45975</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48140-2024</t>
        </is>
      </c>
      <c r="B179" s="1" t="n">
        <v>45589.66474537037</v>
      </c>
      <c r="C179" s="1" t="n">
        <v>45975</v>
      </c>
      <c r="D179" t="inlineStr">
        <is>
          <t>ÖREBRO LÄN</t>
        </is>
      </c>
      <c r="E179" t="inlineStr">
        <is>
          <t>ÖREBRO</t>
        </is>
      </c>
      <c r="G179" t="n">
        <v>2.4</v>
      </c>
      <c r="H179" t="n">
        <v>0</v>
      </c>
      <c r="I179" t="n">
        <v>0</v>
      </c>
      <c r="J179" t="n">
        <v>0</v>
      </c>
      <c r="K179" t="n">
        <v>0</v>
      </c>
      <c r="L179" t="n">
        <v>0</v>
      </c>
      <c r="M179" t="n">
        <v>0</v>
      </c>
      <c r="N179" t="n">
        <v>0</v>
      </c>
      <c r="O179" t="n">
        <v>0</v>
      </c>
      <c r="P179" t="n">
        <v>0</v>
      </c>
      <c r="Q179" t="n">
        <v>0</v>
      </c>
      <c r="R179" s="2" t="inlineStr"/>
    </row>
    <row r="180" ht="15" customHeight="1">
      <c r="A180" t="inlineStr">
        <is>
          <t>A 56077-2022</t>
        </is>
      </c>
      <c r="B180" s="1" t="n">
        <v>44889.60872685185</v>
      </c>
      <c r="C180" s="1" t="n">
        <v>45975</v>
      </c>
      <c r="D180" t="inlineStr">
        <is>
          <t>ÖREBRO LÄN</t>
        </is>
      </c>
      <c r="E180" t="inlineStr">
        <is>
          <t>ÖREBRO</t>
        </is>
      </c>
      <c r="F180" t="inlineStr">
        <is>
          <t>Övriga Aktiebolag</t>
        </is>
      </c>
      <c r="G180" t="n">
        <v>2.5</v>
      </c>
      <c r="H180" t="n">
        <v>0</v>
      </c>
      <c r="I180" t="n">
        <v>0</v>
      </c>
      <c r="J180" t="n">
        <v>0</v>
      </c>
      <c r="K180" t="n">
        <v>0</v>
      </c>
      <c r="L180" t="n">
        <v>0</v>
      </c>
      <c r="M180" t="n">
        <v>0</v>
      </c>
      <c r="N180" t="n">
        <v>0</v>
      </c>
      <c r="O180" t="n">
        <v>0</v>
      </c>
      <c r="P180" t="n">
        <v>0</v>
      </c>
      <c r="Q180" t="n">
        <v>0</v>
      </c>
      <c r="R180" s="2" t="inlineStr"/>
    </row>
    <row r="181" ht="15" customHeight="1">
      <c r="A181" t="inlineStr">
        <is>
          <t>A 2658-2023</t>
        </is>
      </c>
      <c r="B181" s="1" t="n">
        <v>44944</v>
      </c>
      <c r="C181" s="1" t="n">
        <v>45975</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11565-2023</t>
        </is>
      </c>
      <c r="B182" s="1" t="n">
        <v>44994</v>
      </c>
      <c r="C182" s="1" t="n">
        <v>45975</v>
      </c>
      <c r="D182" t="inlineStr">
        <is>
          <t>ÖREBRO LÄN</t>
        </is>
      </c>
      <c r="E182" t="inlineStr">
        <is>
          <t>ÖREBRO</t>
        </is>
      </c>
      <c r="G182" t="n">
        <v>4.7</v>
      </c>
      <c r="H182" t="n">
        <v>0</v>
      </c>
      <c r="I182" t="n">
        <v>0</v>
      </c>
      <c r="J182" t="n">
        <v>0</v>
      </c>
      <c r="K182" t="n">
        <v>0</v>
      </c>
      <c r="L182" t="n">
        <v>0</v>
      </c>
      <c r="M182" t="n">
        <v>0</v>
      </c>
      <c r="N182" t="n">
        <v>0</v>
      </c>
      <c r="O182" t="n">
        <v>0</v>
      </c>
      <c r="P182" t="n">
        <v>0</v>
      </c>
      <c r="Q182" t="n">
        <v>0</v>
      </c>
      <c r="R182" s="2" t="inlineStr"/>
    </row>
    <row r="183" ht="15" customHeight="1">
      <c r="A183" t="inlineStr">
        <is>
          <t>A 2095-2025</t>
        </is>
      </c>
      <c r="B183" s="1" t="n">
        <v>45672</v>
      </c>
      <c r="C183" s="1" t="n">
        <v>45975</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16736-2023</t>
        </is>
      </c>
      <c r="B184" s="1" t="n">
        <v>45030.72328703704</v>
      </c>
      <c r="C184" s="1" t="n">
        <v>45975</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15354-2024</t>
        </is>
      </c>
      <c r="B185" s="1" t="n">
        <v>45400.85319444445</v>
      </c>
      <c r="C185" s="1" t="n">
        <v>45975</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11067-2025</t>
        </is>
      </c>
      <c r="B186" s="1" t="n">
        <v>45723</v>
      </c>
      <c r="C186" s="1" t="n">
        <v>45975</v>
      </c>
      <c r="D186" t="inlineStr">
        <is>
          <t>ÖREBRO LÄN</t>
        </is>
      </c>
      <c r="E186" t="inlineStr">
        <is>
          <t>ÖREBRO</t>
        </is>
      </c>
      <c r="G186" t="n">
        <v>3.1</v>
      </c>
      <c r="H186" t="n">
        <v>0</v>
      </c>
      <c r="I186" t="n">
        <v>0</v>
      </c>
      <c r="J186" t="n">
        <v>0</v>
      </c>
      <c r="K186" t="n">
        <v>0</v>
      </c>
      <c r="L186" t="n">
        <v>0</v>
      </c>
      <c r="M186" t="n">
        <v>0</v>
      </c>
      <c r="N186" t="n">
        <v>0</v>
      </c>
      <c r="O186" t="n">
        <v>0</v>
      </c>
      <c r="P186" t="n">
        <v>0</v>
      </c>
      <c r="Q186" t="n">
        <v>0</v>
      </c>
      <c r="R186" s="2" t="inlineStr"/>
    </row>
    <row r="187" ht="15" customHeight="1">
      <c r="A187" t="inlineStr">
        <is>
          <t>A 2630-2023</t>
        </is>
      </c>
      <c r="B187" s="1" t="n">
        <v>44944.39105324074</v>
      </c>
      <c r="C187" s="1" t="n">
        <v>45975</v>
      </c>
      <c r="D187" t="inlineStr">
        <is>
          <t>ÖREBRO LÄN</t>
        </is>
      </c>
      <c r="E187" t="inlineStr">
        <is>
          <t>ÖREBRO</t>
        </is>
      </c>
      <c r="G187" t="n">
        <v>6.1</v>
      </c>
      <c r="H187" t="n">
        <v>0</v>
      </c>
      <c r="I187" t="n">
        <v>0</v>
      </c>
      <c r="J187" t="n">
        <v>0</v>
      </c>
      <c r="K187" t="n">
        <v>0</v>
      </c>
      <c r="L187" t="n">
        <v>0</v>
      </c>
      <c r="M187" t="n">
        <v>0</v>
      </c>
      <c r="N187" t="n">
        <v>0</v>
      </c>
      <c r="O187" t="n">
        <v>0</v>
      </c>
      <c r="P187" t="n">
        <v>0</v>
      </c>
      <c r="Q187" t="n">
        <v>0</v>
      </c>
      <c r="R187" s="2" t="inlineStr"/>
    </row>
    <row r="188" ht="15" customHeight="1">
      <c r="A188" t="inlineStr">
        <is>
          <t>A 9609-2023</t>
        </is>
      </c>
      <c r="B188" s="1" t="n">
        <v>44983.93344907407</v>
      </c>
      <c r="C188" s="1" t="n">
        <v>45975</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9585-2025</t>
        </is>
      </c>
      <c r="B189" s="1" t="n">
        <v>45715.63409722222</v>
      </c>
      <c r="C189" s="1" t="n">
        <v>45975</v>
      </c>
      <c r="D189" t="inlineStr">
        <is>
          <t>ÖREBRO LÄN</t>
        </is>
      </c>
      <c r="E189" t="inlineStr">
        <is>
          <t>ÖREBRO</t>
        </is>
      </c>
      <c r="G189" t="n">
        <v>3.4</v>
      </c>
      <c r="H189" t="n">
        <v>0</v>
      </c>
      <c r="I189" t="n">
        <v>0</v>
      </c>
      <c r="J189" t="n">
        <v>0</v>
      </c>
      <c r="K189" t="n">
        <v>0</v>
      </c>
      <c r="L189" t="n">
        <v>0</v>
      </c>
      <c r="M189" t="n">
        <v>0</v>
      </c>
      <c r="N189" t="n">
        <v>0</v>
      </c>
      <c r="O189" t="n">
        <v>0</v>
      </c>
      <c r="P189" t="n">
        <v>0</v>
      </c>
      <c r="Q189" t="n">
        <v>0</v>
      </c>
      <c r="R189" s="2" t="inlineStr"/>
    </row>
    <row r="190" ht="15" customHeight="1">
      <c r="A190" t="inlineStr">
        <is>
          <t>A 30015-2023</t>
        </is>
      </c>
      <c r="B190" s="1" t="n">
        <v>45109</v>
      </c>
      <c r="C190" s="1" t="n">
        <v>45975</v>
      </c>
      <c r="D190" t="inlineStr">
        <is>
          <t>ÖREBRO LÄN</t>
        </is>
      </c>
      <c r="E190" t="inlineStr">
        <is>
          <t>ÖREBRO</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6879-2024</t>
        </is>
      </c>
      <c r="B191" s="1" t="n">
        <v>45342.85280092592</v>
      </c>
      <c r="C191" s="1" t="n">
        <v>45975</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70707-2021</t>
        </is>
      </c>
      <c r="B192" s="1" t="n">
        <v>44537</v>
      </c>
      <c r="C192" s="1" t="n">
        <v>45975</v>
      </c>
      <c r="D192" t="inlineStr">
        <is>
          <t>ÖREBRO LÄN</t>
        </is>
      </c>
      <c r="E192" t="inlineStr">
        <is>
          <t>ÖREBRO</t>
        </is>
      </c>
      <c r="G192" t="n">
        <v>13.2</v>
      </c>
      <c r="H192" t="n">
        <v>0</v>
      </c>
      <c r="I192" t="n">
        <v>0</v>
      </c>
      <c r="J192" t="n">
        <v>0</v>
      </c>
      <c r="K192" t="n">
        <v>0</v>
      </c>
      <c r="L192" t="n">
        <v>0</v>
      </c>
      <c r="M192" t="n">
        <v>0</v>
      </c>
      <c r="N192" t="n">
        <v>0</v>
      </c>
      <c r="O192" t="n">
        <v>0</v>
      </c>
      <c r="P192" t="n">
        <v>0</v>
      </c>
      <c r="Q192" t="n">
        <v>0</v>
      </c>
      <c r="R192" s="2" t="inlineStr"/>
    </row>
    <row r="193" ht="15" customHeight="1">
      <c r="A193" t="inlineStr">
        <is>
          <t>A 681-2024</t>
        </is>
      </c>
      <c r="B193" s="1" t="n">
        <v>45300</v>
      </c>
      <c r="C193" s="1" t="n">
        <v>45975</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57243-2022</t>
        </is>
      </c>
      <c r="B194" s="1" t="n">
        <v>44895.71835648148</v>
      </c>
      <c r="C194" s="1" t="n">
        <v>45975</v>
      </c>
      <c r="D194" t="inlineStr">
        <is>
          <t>ÖREBRO LÄN</t>
        </is>
      </c>
      <c r="E194" t="inlineStr">
        <is>
          <t>ÖREBRO</t>
        </is>
      </c>
      <c r="G194" t="n">
        <v>6</v>
      </c>
      <c r="H194" t="n">
        <v>0</v>
      </c>
      <c r="I194" t="n">
        <v>0</v>
      </c>
      <c r="J194" t="n">
        <v>0</v>
      </c>
      <c r="K194" t="n">
        <v>0</v>
      </c>
      <c r="L194" t="n">
        <v>0</v>
      </c>
      <c r="M194" t="n">
        <v>0</v>
      </c>
      <c r="N194" t="n">
        <v>0</v>
      </c>
      <c r="O194" t="n">
        <v>0</v>
      </c>
      <c r="P194" t="n">
        <v>0</v>
      </c>
      <c r="Q194" t="n">
        <v>0</v>
      </c>
      <c r="R194" s="2" t="inlineStr"/>
    </row>
    <row r="195" ht="15" customHeight="1">
      <c r="A195" t="inlineStr">
        <is>
          <t>A 71275-2021</t>
        </is>
      </c>
      <c r="B195" s="1" t="n">
        <v>44539</v>
      </c>
      <c r="C195" s="1" t="n">
        <v>45975</v>
      </c>
      <c r="D195" t="inlineStr">
        <is>
          <t>ÖREBRO LÄN</t>
        </is>
      </c>
      <c r="E195" t="inlineStr">
        <is>
          <t>ÖREBRO</t>
        </is>
      </c>
      <c r="G195" t="n">
        <v>0.9</v>
      </c>
      <c r="H195" t="n">
        <v>0</v>
      </c>
      <c r="I195" t="n">
        <v>0</v>
      </c>
      <c r="J195" t="n">
        <v>0</v>
      </c>
      <c r="K195" t="n">
        <v>0</v>
      </c>
      <c r="L195" t="n">
        <v>0</v>
      </c>
      <c r="M195" t="n">
        <v>0</v>
      </c>
      <c r="N195" t="n">
        <v>0</v>
      </c>
      <c r="O195" t="n">
        <v>0</v>
      </c>
      <c r="P195" t="n">
        <v>0</v>
      </c>
      <c r="Q195" t="n">
        <v>0</v>
      </c>
      <c r="R195" s="2" t="inlineStr"/>
    </row>
    <row r="196" ht="15" customHeight="1">
      <c r="A196" t="inlineStr">
        <is>
          <t>A 37968-2024</t>
        </is>
      </c>
      <c r="B196" s="1" t="n">
        <v>45544</v>
      </c>
      <c r="C196" s="1" t="n">
        <v>45975</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58621-2024</t>
        </is>
      </c>
      <c r="B197" s="1" t="n">
        <v>45635.56321759259</v>
      </c>
      <c r="C197" s="1" t="n">
        <v>45975</v>
      </c>
      <c r="D197" t="inlineStr">
        <is>
          <t>ÖREBRO LÄN</t>
        </is>
      </c>
      <c r="E197" t="inlineStr">
        <is>
          <t>ÖREBRO</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58216-2024</t>
        </is>
      </c>
      <c r="B198" s="1" t="n">
        <v>45632</v>
      </c>
      <c r="C198" s="1" t="n">
        <v>45975</v>
      </c>
      <c r="D198" t="inlineStr">
        <is>
          <t>ÖREBRO LÄN</t>
        </is>
      </c>
      <c r="E198" t="inlineStr">
        <is>
          <t>ÖREBRO</t>
        </is>
      </c>
      <c r="G198" t="n">
        <v>1.9</v>
      </c>
      <c r="H198" t="n">
        <v>0</v>
      </c>
      <c r="I198" t="n">
        <v>0</v>
      </c>
      <c r="J198" t="n">
        <v>0</v>
      </c>
      <c r="K198" t="n">
        <v>0</v>
      </c>
      <c r="L198" t="n">
        <v>0</v>
      </c>
      <c r="M198" t="n">
        <v>0</v>
      </c>
      <c r="N198" t="n">
        <v>0</v>
      </c>
      <c r="O198" t="n">
        <v>0</v>
      </c>
      <c r="P198" t="n">
        <v>0</v>
      </c>
      <c r="Q198" t="n">
        <v>0</v>
      </c>
      <c r="R198" s="2" t="inlineStr"/>
    </row>
    <row r="199" ht="15" customHeight="1">
      <c r="A199" t="inlineStr">
        <is>
          <t>A 13169-2024</t>
        </is>
      </c>
      <c r="B199" s="1" t="n">
        <v>45386.40489583334</v>
      </c>
      <c r="C199" s="1" t="n">
        <v>45975</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58608-2024</t>
        </is>
      </c>
      <c r="B200" s="1" t="n">
        <v>45635.55185185185</v>
      </c>
      <c r="C200" s="1" t="n">
        <v>45975</v>
      </c>
      <c r="D200" t="inlineStr">
        <is>
          <t>ÖREBRO LÄN</t>
        </is>
      </c>
      <c r="E200" t="inlineStr">
        <is>
          <t>ÖREBRO</t>
        </is>
      </c>
      <c r="F200" t="inlineStr">
        <is>
          <t>Sveaskog</t>
        </is>
      </c>
      <c r="G200" t="n">
        <v>0.3</v>
      </c>
      <c r="H200" t="n">
        <v>0</v>
      </c>
      <c r="I200" t="n">
        <v>0</v>
      </c>
      <c r="J200" t="n">
        <v>0</v>
      </c>
      <c r="K200" t="n">
        <v>0</v>
      </c>
      <c r="L200" t="n">
        <v>0</v>
      </c>
      <c r="M200" t="n">
        <v>0</v>
      </c>
      <c r="N200" t="n">
        <v>0</v>
      </c>
      <c r="O200" t="n">
        <v>0</v>
      </c>
      <c r="P200" t="n">
        <v>0</v>
      </c>
      <c r="Q200" t="n">
        <v>0</v>
      </c>
      <c r="R200" s="2" t="inlineStr"/>
    </row>
    <row r="201" ht="15" customHeight="1">
      <c r="A201" t="inlineStr">
        <is>
          <t>A 2153-2023</t>
        </is>
      </c>
      <c r="B201" s="1" t="n">
        <v>44941</v>
      </c>
      <c r="C201" s="1" t="n">
        <v>45975</v>
      </c>
      <c r="D201" t="inlineStr">
        <is>
          <t>ÖREBRO LÄN</t>
        </is>
      </c>
      <c r="E201" t="inlineStr">
        <is>
          <t>ÖREBRO</t>
        </is>
      </c>
      <c r="G201" t="n">
        <v>6.3</v>
      </c>
      <c r="H201" t="n">
        <v>0</v>
      </c>
      <c r="I201" t="n">
        <v>0</v>
      </c>
      <c r="J201" t="n">
        <v>0</v>
      </c>
      <c r="K201" t="n">
        <v>0</v>
      </c>
      <c r="L201" t="n">
        <v>0</v>
      </c>
      <c r="M201" t="n">
        <v>0</v>
      </c>
      <c r="N201" t="n">
        <v>0</v>
      </c>
      <c r="O201" t="n">
        <v>0</v>
      </c>
      <c r="P201" t="n">
        <v>0</v>
      </c>
      <c r="Q201" t="n">
        <v>0</v>
      </c>
      <c r="R201" s="2" t="inlineStr"/>
    </row>
    <row r="202" ht="15" customHeight="1">
      <c r="A202" t="inlineStr">
        <is>
          <t>A 31326-2024</t>
        </is>
      </c>
      <c r="B202" s="1" t="n">
        <v>45504.5934375</v>
      </c>
      <c r="C202" s="1" t="n">
        <v>45975</v>
      </c>
      <c r="D202" t="inlineStr">
        <is>
          <t>ÖREBRO LÄN</t>
        </is>
      </c>
      <c r="E202" t="inlineStr">
        <is>
          <t>ÖREBRO</t>
        </is>
      </c>
      <c r="G202" t="n">
        <v>6.4</v>
      </c>
      <c r="H202" t="n">
        <v>0</v>
      </c>
      <c r="I202" t="n">
        <v>0</v>
      </c>
      <c r="J202" t="n">
        <v>0</v>
      </c>
      <c r="K202" t="n">
        <v>0</v>
      </c>
      <c r="L202" t="n">
        <v>0</v>
      </c>
      <c r="M202" t="n">
        <v>0</v>
      </c>
      <c r="N202" t="n">
        <v>0</v>
      </c>
      <c r="O202" t="n">
        <v>0</v>
      </c>
      <c r="P202" t="n">
        <v>0</v>
      </c>
      <c r="Q202" t="n">
        <v>0</v>
      </c>
      <c r="R202" s="2" t="inlineStr"/>
    </row>
    <row r="203" ht="15" customHeight="1">
      <c r="A203" t="inlineStr">
        <is>
          <t>A 5125-2024</t>
        </is>
      </c>
      <c r="B203" s="1" t="n">
        <v>45330</v>
      </c>
      <c r="C203" s="1" t="n">
        <v>45975</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14234-2024</t>
        </is>
      </c>
      <c r="B204" s="1" t="n">
        <v>45393.46980324074</v>
      </c>
      <c r="C204" s="1" t="n">
        <v>45975</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2069-2025</t>
        </is>
      </c>
      <c r="B205" s="1" t="n">
        <v>45672.56614583333</v>
      </c>
      <c r="C205" s="1" t="n">
        <v>45975</v>
      </c>
      <c r="D205" t="inlineStr">
        <is>
          <t>ÖREBRO LÄN</t>
        </is>
      </c>
      <c r="E205" t="inlineStr">
        <is>
          <t>ÖREBRO</t>
        </is>
      </c>
      <c r="G205" t="n">
        <v>3.8</v>
      </c>
      <c r="H205" t="n">
        <v>0</v>
      </c>
      <c r="I205" t="n">
        <v>0</v>
      </c>
      <c r="J205" t="n">
        <v>0</v>
      </c>
      <c r="K205" t="n">
        <v>0</v>
      </c>
      <c r="L205" t="n">
        <v>0</v>
      </c>
      <c r="M205" t="n">
        <v>0</v>
      </c>
      <c r="N205" t="n">
        <v>0</v>
      </c>
      <c r="O205" t="n">
        <v>0</v>
      </c>
      <c r="P205" t="n">
        <v>0</v>
      </c>
      <c r="Q205" t="n">
        <v>0</v>
      </c>
      <c r="R205" s="2" t="inlineStr"/>
    </row>
    <row r="206" ht="15" customHeight="1">
      <c r="A206" t="inlineStr">
        <is>
          <t>A 852-2025</t>
        </is>
      </c>
      <c r="B206" s="1" t="n">
        <v>45665.60148148148</v>
      </c>
      <c r="C206" s="1" t="n">
        <v>45975</v>
      </c>
      <c r="D206" t="inlineStr">
        <is>
          <t>ÖREBRO LÄN</t>
        </is>
      </c>
      <c r="E206" t="inlineStr">
        <is>
          <t>ÖREBRO</t>
        </is>
      </c>
      <c r="G206" t="n">
        <v>2.9</v>
      </c>
      <c r="H206" t="n">
        <v>0</v>
      </c>
      <c r="I206" t="n">
        <v>0</v>
      </c>
      <c r="J206" t="n">
        <v>0</v>
      </c>
      <c r="K206" t="n">
        <v>0</v>
      </c>
      <c r="L206" t="n">
        <v>0</v>
      </c>
      <c r="M206" t="n">
        <v>0</v>
      </c>
      <c r="N206" t="n">
        <v>0</v>
      </c>
      <c r="O206" t="n">
        <v>0</v>
      </c>
      <c r="P206" t="n">
        <v>0</v>
      </c>
      <c r="Q206" t="n">
        <v>0</v>
      </c>
      <c r="R206" s="2" t="inlineStr"/>
    </row>
    <row r="207" ht="15" customHeight="1">
      <c r="A207" t="inlineStr">
        <is>
          <t>A 52256-2023</t>
        </is>
      </c>
      <c r="B207" s="1" t="n">
        <v>45224.51471064815</v>
      </c>
      <c r="C207" s="1" t="n">
        <v>45975</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50398-2022</t>
        </is>
      </c>
      <c r="B208" s="1" t="n">
        <v>44861</v>
      </c>
      <c r="C208" s="1" t="n">
        <v>45975</v>
      </c>
      <c r="D208" t="inlineStr">
        <is>
          <t>ÖREBRO LÄN</t>
        </is>
      </c>
      <c r="E208" t="inlineStr">
        <is>
          <t>ÖREBRO</t>
        </is>
      </c>
      <c r="G208" t="n">
        <v>1.9</v>
      </c>
      <c r="H208" t="n">
        <v>0</v>
      </c>
      <c r="I208" t="n">
        <v>0</v>
      </c>
      <c r="J208" t="n">
        <v>0</v>
      </c>
      <c r="K208" t="n">
        <v>0</v>
      </c>
      <c r="L208" t="n">
        <v>0</v>
      </c>
      <c r="M208" t="n">
        <v>0</v>
      </c>
      <c r="N208" t="n">
        <v>0</v>
      </c>
      <c r="O208" t="n">
        <v>0</v>
      </c>
      <c r="P208" t="n">
        <v>0</v>
      </c>
      <c r="Q208" t="n">
        <v>0</v>
      </c>
      <c r="R208" s="2" t="inlineStr"/>
    </row>
    <row r="209" ht="15" customHeight="1">
      <c r="A209" t="inlineStr">
        <is>
          <t>A 52441-2024</t>
        </is>
      </c>
      <c r="B209" s="1" t="n">
        <v>45609.48451388889</v>
      </c>
      <c r="C209" s="1" t="n">
        <v>45975</v>
      </c>
      <c r="D209" t="inlineStr">
        <is>
          <t>ÖREBRO LÄN</t>
        </is>
      </c>
      <c r="E209" t="inlineStr">
        <is>
          <t>ÖREBRO</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52499-2024</t>
        </is>
      </c>
      <c r="B210" s="1" t="n">
        <v>45609.58422453704</v>
      </c>
      <c r="C210" s="1" t="n">
        <v>45975</v>
      </c>
      <c r="D210" t="inlineStr">
        <is>
          <t>ÖREBRO LÄN</t>
        </is>
      </c>
      <c r="E210" t="inlineStr">
        <is>
          <t>ÖREBRO</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8008-2024</t>
        </is>
      </c>
      <c r="B211" s="1" t="n">
        <v>45350.6794212963</v>
      </c>
      <c r="C211" s="1" t="n">
        <v>45975</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18181-2024</t>
        </is>
      </c>
      <c r="B212" s="1" t="n">
        <v>45420.64561342593</v>
      </c>
      <c r="C212" s="1" t="n">
        <v>45975</v>
      </c>
      <c r="D212" t="inlineStr">
        <is>
          <t>ÖREBRO LÄN</t>
        </is>
      </c>
      <c r="E212" t="inlineStr">
        <is>
          <t>ÖREBRO</t>
        </is>
      </c>
      <c r="G212" t="n">
        <v>7.6</v>
      </c>
      <c r="H212" t="n">
        <v>0</v>
      </c>
      <c r="I212" t="n">
        <v>0</v>
      </c>
      <c r="J212" t="n">
        <v>0</v>
      </c>
      <c r="K212" t="n">
        <v>0</v>
      </c>
      <c r="L212" t="n">
        <v>0</v>
      </c>
      <c r="M212" t="n">
        <v>0</v>
      </c>
      <c r="N212" t="n">
        <v>0</v>
      </c>
      <c r="O212" t="n">
        <v>0</v>
      </c>
      <c r="P212" t="n">
        <v>0</v>
      </c>
      <c r="Q212" t="n">
        <v>0</v>
      </c>
      <c r="R212" s="2" t="inlineStr"/>
    </row>
    <row r="213" ht="15" customHeight="1">
      <c r="A213" t="inlineStr">
        <is>
          <t>A 37012-2024</t>
        </is>
      </c>
      <c r="B213" s="1" t="n">
        <v>45539</v>
      </c>
      <c r="C213" s="1" t="n">
        <v>45975</v>
      </c>
      <c r="D213" t="inlineStr">
        <is>
          <t>ÖREBRO LÄN</t>
        </is>
      </c>
      <c r="E213" t="inlineStr">
        <is>
          <t>ÖREBRO</t>
        </is>
      </c>
      <c r="G213" t="n">
        <v>4.1</v>
      </c>
      <c r="H213" t="n">
        <v>0</v>
      </c>
      <c r="I213" t="n">
        <v>0</v>
      </c>
      <c r="J213" t="n">
        <v>0</v>
      </c>
      <c r="K213" t="n">
        <v>0</v>
      </c>
      <c r="L213" t="n">
        <v>0</v>
      </c>
      <c r="M213" t="n">
        <v>0</v>
      </c>
      <c r="N213" t="n">
        <v>0</v>
      </c>
      <c r="O213" t="n">
        <v>0</v>
      </c>
      <c r="P213" t="n">
        <v>0</v>
      </c>
      <c r="Q213" t="n">
        <v>0</v>
      </c>
      <c r="R213" s="2" t="inlineStr"/>
    </row>
    <row r="214" ht="15" customHeight="1">
      <c r="A214" t="inlineStr">
        <is>
          <t>A 37020-2024</t>
        </is>
      </c>
      <c r="B214" s="1" t="n">
        <v>45539.38059027777</v>
      </c>
      <c r="C214" s="1" t="n">
        <v>45975</v>
      </c>
      <c r="D214" t="inlineStr">
        <is>
          <t>ÖREBRO LÄN</t>
        </is>
      </c>
      <c r="E214" t="inlineStr">
        <is>
          <t>ÖREBRO</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55353-2024</t>
        </is>
      </c>
      <c r="B215" s="1" t="n">
        <v>45621.79526620371</v>
      </c>
      <c r="C215" s="1" t="n">
        <v>45975</v>
      </c>
      <c r="D215" t="inlineStr">
        <is>
          <t>ÖREBRO LÄN</t>
        </is>
      </c>
      <c r="E215" t="inlineStr">
        <is>
          <t>ÖREBRO</t>
        </is>
      </c>
      <c r="G215" t="n">
        <v>0.5</v>
      </c>
      <c r="H215" t="n">
        <v>0</v>
      </c>
      <c r="I215" t="n">
        <v>0</v>
      </c>
      <c r="J215" t="n">
        <v>0</v>
      </c>
      <c r="K215" t="n">
        <v>0</v>
      </c>
      <c r="L215" t="n">
        <v>0</v>
      </c>
      <c r="M215" t="n">
        <v>0</v>
      </c>
      <c r="N215" t="n">
        <v>0</v>
      </c>
      <c r="O215" t="n">
        <v>0</v>
      </c>
      <c r="P215" t="n">
        <v>0</v>
      </c>
      <c r="Q215" t="n">
        <v>0</v>
      </c>
      <c r="R215" s="2" t="inlineStr"/>
    </row>
    <row r="216" ht="15" customHeight="1">
      <c r="A216" t="inlineStr">
        <is>
          <t>A 38415-2023</t>
        </is>
      </c>
      <c r="B216" s="1" t="n">
        <v>45162.35502314815</v>
      </c>
      <c r="C216" s="1" t="n">
        <v>45975</v>
      </c>
      <c r="D216" t="inlineStr">
        <is>
          <t>ÖREBRO LÄN</t>
        </is>
      </c>
      <c r="E216" t="inlineStr">
        <is>
          <t>ÖREBRO</t>
        </is>
      </c>
      <c r="G216" t="n">
        <v>2.6</v>
      </c>
      <c r="H216" t="n">
        <v>0</v>
      </c>
      <c r="I216" t="n">
        <v>0</v>
      </c>
      <c r="J216" t="n">
        <v>0</v>
      </c>
      <c r="K216" t="n">
        <v>0</v>
      </c>
      <c r="L216" t="n">
        <v>0</v>
      </c>
      <c r="M216" t="n">
        <v>0</v>
      </c>
      <c r="N216" t="n">
        <v>0</v>
      </c>
      <c r="O216" t="n">
        <v>0</v>
      </c>
      <c r="P216" t="n">
        <v>0</v>
      </c>
      <c r="Q216" t="n">
        <v>0</v>
      </c>
      <c r="R216" s="2" t="inlineStr"/>
    </row>
    <row r="217" ht="15" customHeight="1">
      <c r="A217" t="inlineStr">
        <is>
          <t>A 541-2025</t>
        </is>
      </c>
      <c r="B217" s="1" t="n">
        <v>45664.52034722222</v>
      </c>
      <c r="C217" s="1" t="n">
        <v>45975</v>
      </c>
      <c r="D217" t="inlineStr">
        <is>
          <t>ÖREBRO LÄN</t>
        </is>
      </c>
      <c r="E217" t="inlineStr">
        <is>
          <t>ÖREBRO</t>
        </is>
      </c>
      <c r="G217" t="n">
        <v>2.2</v>
      </c>
      <c r="H217" t="n">
        <v>0</v>
      </c>
      <c r="I217" t="n">
        <v>0</v>
      </c>
      <c r="J217" t="n">
        <v>0</v>
      </c>
      <c r="K217" t="n">
        <v>0</v>
      </c>
      <c r="L217" t="n">
        <v>0</v>
      </c>
      <c r="M217" t="n">
        <v>0</v>
      </c>
      <c r="N217" t="n">
        <v>0</v>
      </c>
      <c r="O217" t="n">
        <v>0</v>
      </c>
      <c r="P217" t="n">
        <v>0</v>
      </c>
      <c r="Q217" t="n">
        <v>0</v>
      </c>
      <c r="R217" s="2" t="inlineStr"/>
    </row>
    <row r="218" ht="15" customHeight="1">
      <c r="A218" t="inlineStr">
        <is>
          <t>A 16374-2022</t>
        </is>
      </c>
      <c r="B218" s="1" t="n">
        <v>44671</v>
      </c>
      <c r="C218" s="1" t="n">
        <v>45975</v>
      </c>
      <c r="D218" t="inlineStr">
        <is>
          <t>ÖREBRO LÄN</t>
        </is>
      </c>
      <c r="E218" t="inlineStr">
        <is>
          <t>ÖREBRO</t>
        </is>
      </c>
      <c r="F218" t="inlineStr">
        <is>
          <t>Övriga Aktiebolag</t>
        </is>
      </c>
      <c r="G218" t="n">
        <v>30.3</v>
      </c>
      <c r="H218" t="n">
        <v>0</v>
      </c>
      <c r="I218" t="n">
        <v>0</v>
      </c>
      <c r="J218" t="n">
        <v>0</v>
      </c>
      <c r="K218" t="n">
        <v>0</v>
      </c>
      <c r="L218" t="n">
        <v>0</v>
      </c>
      <c r="M218" t="n">
        <v>0</v>
      </c>
      <c r="N218" t="n">
        <v>0</v>
      </c>
      <c r="O218" t="n">
        <v>0</v>
      </c>
      <c r="P218" t="n">
        <v>0</v>
      </c>
      <c r="Q218" t="n">
        <v>0</v>
      </c>
      <c r="R218" s="2" t="inlineStr"/>
    </row>
    <row r="219" ht="15" customHeight="1">
      <c r="A219" t="inlineStr">
        <is>
          <t>A 9704-2023</t>
        </is>
      </c>
      <c r="B219" s="1" t="n">
        <v>44984</v>
      </c>
      <c r="C219" s="1" t="n">
        <v>45975</v>
      </c>
      <c r="D219" t="inlineStr">
        <is>
          <t>ÖREBRO LÄN</t>
        </is>
      </c>
      <c r="E219" t="inlineStr">
        <is>
          <t>ÖREBRO</t>
        </is>
      </c>
      <c r="G219" t="n">
        <v>1</v>
      </c>
      <c r="H219" t="n">
        <v>0</v>
      </c>
      <c r="I219" t="n">
        <v>0</v>
      </c>
      <c r="J219" t="n">
        <v>0</v>
      </c>
      <c r="K219" t="n">
        <v>0</v>
      </c>
      <c r="L219" t="n">
        <v>0</v>
      </c>
      <c r="M219" t="n">
        <v>0</v>
      </c>
      <c r="N219" t="n">
        <v>0</v>
      </c>
      <c r="O219" t="n">
        <v>0</v>
      </c>
      <c r="P219" t="n">
        <v>0</v>
      </c>
      <c r="Q219" t="n">
        <v>0</v>
      </c>
      <c r="R219" s="2" t="inlineStr"/>
    </row>
    <row r="220" ht="15" customHeight="1">
      <c r="A220" t="inlineStr">
        <is>
          <t>A 19553-2023</t>
        </is>
      </c>
      <c r="B220" s="1" t="n">
        <v>45050</v>
      </c>
      <c r="C220" s="1" t="n">
        <v>45975</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22045-2024</t>
        </is>
      </c>
      <c r="B221" s="1" t="n">
        <v>45443.61171296296</v>
      </c>
      <c r="C221" s="1" t="n">
        <v>45975</v>
      </c>
      <c r="D221" t="inlineStr">
        <is>
          <t>ÖREBRO LÄN</t>
        </is>
      </c>
      <c r="E221" t="inlineStr">
        <is>
          <t>ÖREBRO</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55593-2022</t>
        </is>
      </c>
      <c r="B222" s="1" t="n">
        <v>44888</v>
      </c>
      <c r="C222" s="1" t="n">
        <v>45975</v>
      </c>
      <c r="D222" t="inlineStr">
        <is>
          <t>ÖREBRO LÄN</t>
        </is>
      </c>
      <c r="E222" t="inlineStr">
        <is>
          <t>ÖREBRO</t>
        </is>
      </c>
      <c r="G222" t="n">
        <v>3.6</v>
      </c>
      <c r="H222" t="n">
        <v>0</v>
      </c>
      <c r="I222" t="n">
        <v>0</v>
      </c>
      <c r="J222" t="n">
        <v>0</v>
      </c>
      <c r="K222" t="n">
        <v>0</v>
      </c>
      <c r="L222" t="n">
        <v>0</v>
      </c>
      <c r="M222" t="n">
        <v>0</v>
      </c>
      <c r="N222" t="n">
        <v>0</v>
      </c>
      <c r="O222" t="n">
        <v>0</v>
      </c>
      <c r="P222" t="n">
        <v>0</v>
      </c>
      <c r="Q222" t="n">
        <v>0</v>
      </c>
      <c r="R222" s="2" t="inlineStr"/>
    </row>
    <row r="223" ht="15" customHeight="1">
      <c r="A223" t="inlineStr">
        <is>
          <t>A 37025-2024</t>
        </is>
      </c>
      <c r="B223" s="1" t="n">
        <v>45539.3840162037</v>
      </c>
      <c r="C223" s="1" t="n">
        <v>45975</v>
      </c>
      <c r="D223" t="inlineStr">
        <is>
          <t>ÖREBRO LÄN</t>
        </is>
      </c>
      <c r="E223" t="inlineStr">
        <is>
          <t>ÖREBRO</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37027-2024</t>
        </is>
      </c>
      <c r="B224" s="1" t="n">
        <v>45539.38487268519</v>
      </c>
      <c r="C224" s="1" t="n">
        <v>45975</v>
      </c>
      <c r="D224" t="inlineStr">
        <is>
          <t>ÖREBRO LÄN</t>
        </is>
      </c>
      <c r="E224" t="inlineStr">
        <is>
          <t>ÖREBRO</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19180-2025</t>
        </is>
      </c>
      <c r="B225" s="1" t="n">
        <v>45769.40133101852</v>
      </c>
      <c r="C225" s="1" t="n">
        <v>45975</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23594-2023</t>
        </is>
      </c>
      <c r="B226" s="1" t="n">
        <v>45077</v>
      </c>
      <c r="C226" s="1" t="n">
        <v>45975</v>
      </c>
      <c r="D226" t="inlineStr">
        <is>
          <t>ÖREBRO LÄN</t>
        </is>
      </c>
      <c r="E226" t="inlineStr">
        <is>
          <t>ÖREBRO</t>
        </is>
      </c>
      <c r="G226" t="n">
        <v>9.9</v>
      </c>
      <c r="H226" t="n">
        <v>0</v>
      </c>
      <c r="I226" t="n">
        <v>0</v>
      </c>
      <c r="J226" t="n">
        <v>0</v>
      </c>
      <c r="K226" t="n">
        <v>0</v>
      </c>
      <c r="L226" t="n">
        <v>0</v>
      </c>
      <c r="M226" t="n">
        <v>0</v>
      </c>
      <c r="N226" t="n">
        <v>0</v>
      </c>
      <c r="O226" t="n">
        <v>0</v>
      </c>
      <c r="P226" t="n">
        <v>0</v>
      </c>
      <c r="Q226" t="n">
        <v>0</v>
      </c>
      <c r="R226" s="2" t="inlineStr"/>
    </row>
    <row r="227" ht="15" customHeight="1">
      <c r="A227" t="inlineStr">
        <is>
          <t>A 46052-2024</t>
        </is>
      </c>
      <c r="B227" s="1" t="n">
        <v>45580.89116898148</v>
      </c>
      <c r="C227" s="1" t="n">
        <v>45975</v>
      </c>
      <c r="D227" t="inlineStr">
        <is>
          <t>ÖREBRO LÄN</t>
        </is>
      </c>
      <c r="E227" t="inlineStr">
        <is>
          <t>ÖREBRO</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50446-2023</t>
        </is>
      </c>
      <c r="B228" s="1" t="n">
        <v>45216</v>
      </c>
      <c r="C228" s="1" t="n">
        <v>45975</v>
      </c>
      <c r="D228" t="inlineStr">
        <is>
          <t>ÖREBRO LÄN</t>
        </is>
      </c>
      <c r="E228" t="inlineStr">
        <is>
          <t>ÖREBRO</t>
        </is>
      </c>
      <c r="F228" t="inlineStr">
        <is>
          <t>Övriga Aktiebolag</t>
        </is>
      </c>
      <c r="G228" t="n">
        <v>2.8</v>
      </c>
      <c r="H228" t="n">
        <v>0</v>
      </c>
      <c r="I228" t="n">
        <v>0</v>
      </c>
      <c r="J228" t="n">
        <v>0</v>
      </c>
      <c r="K228" t="n">
        <v>0</v>
      </c>
      <c r="L228" t="n">
        <v>0</v>
      </c>
      <c r="M228" t="n">
        <v>0</v>
      </c>
      <c r="N228" t="n">
        <v>0</v>
      </c>
      <c r="O228" t="n">
        <v>0</v>
      </c>
      <c r="P228" t="n">
        <v>0</v>
      </c>
      <c r="Q228" t="n">
        <v>0</v>
      </c>
      <c r="R228" s="2" t="inlineStr"/>
    </row>
    <row r="229" ht="15" customHeight="1">
      <c r="A229" t="inlineStr">
        <is>
          <t>A 50450-2023</t>
        </is>
      </c>
      <c r="B229" s="1" t="n">
        <v>45216.73533564815</v>
      </c>
      <c r="C229" s="1" t="n">
        <v>45975</v>
      </c>
      <c r="D229" t="inlineStr">
        <is>
          <t>ÖREBRO LÄN</t>
        </is>
      </c>
      <c r="E229" t="inlineStr">
        <is>
          <t>ÖREBRO</t>
        </is>
      </c>
      <c r="F229" t="inlineStr">
        <is>
          <t>Övriga Aktiebolag</t>
        </is>
      </c>
      <c r="G229" t="n">
        <v>0.8</v>
      </c>
      <c r="H229" t="n">
        <v>0</v>
      </c>
      <c r="I229" t="n">
        <v>0</v>
      </c>
      <c r="J229" t="n">
        <v>0</v>
      </c>
      <c r="K229" t="n">
        <v>0</v>
      </c>
      <c r="L229" t="n">
        <v>0</v>
      </c>
      <c r="M229" t="n">
        <v>0</v>
      </c>
      <c r="N229" t="n">
        <v>0</v>
      </c>
      <c r="O229" t="n">
        <v>0</v>
      </c>
      <c r="P229" t="n">
        <v>0</v>
      </c>
      <c r="Q229" t="n">
        <v>0</v>
      </c>
      <c r="R229" s="2" t="inlineStr"/>
    </row>
    <row r="230" ht="15" customHeight="1">
      <c r="A230" t="inlineStr">
        <is>
          <t>A 8022-2022</t>
        </is>
      </c>
      <c r="B230" s="1" t="n">
        <v>44609</v>
      </c>
      <c r="C230" s="1" t="n">
        <v>45975</v>
      </c>
      <c r="D230" t="inlineStr">
        <is>
          <t>ÖREBRO LÄN</t>
        </is>
      </c>
      <c r="E230" t="inlineStr">
        <is>
          <t>ÖREBRO</t>
        </is>
      </c>
      <c r="G230" t="n">
        <v>5.6</v>
      </c>
      <c r="H230" t="n">
        <v>0</v>
      </c>
      <c r="I230" t="n">
        <v>0</v>
      </c>
      <c r="J230" t="n">
        <v>0</v>
      </c>
      <c r="K230" t="n">
        <v>0</v>
      </c>
      <c r="L230" t="n">
        <v>0</v>
      </c>
      <c r="M230" t="n">
        <v>0</v>
      </c>
      <c r="N230" t="n">
        <v>0</v>
      </c>
      <c r="O230" t="n">
        <v>0</v>
      </c>
      <c r="P230" t="n">
        <v>0</v>
      </c>
      <c r="Q230" t="n">
        <v>0</v>
      </c>
      <c r="R230" s="2" t="inlineStr"/>
    </row>
    <row r="231" ht="15" customHeight="1">
      <c r="A231" t="inlineStr">
        <is>
          <t>A 47193-2023</t>
        </is>
      </c>
      <c r="B231" s="1" t="n">
        <v>45202.3074537037</v>
      </c>
      <c r="C231" s="1" t="n">
        <v>45975</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58684-2023</t>
        </is>
      </c>
      <c r="B232" s="1" t="n">
        <v>45251</v>
      </c>
      <c r="C232" s="1" t="n">
        <v>45975</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43612-2022</t>
        </is>
      </c>
      <c r="B233" s="1" t="n">
        <v>44837</v>
      </c>
      <c r="C233" s="1" t="n">
        <v>45975</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58527-2024</t>
        </is>
      </c>
      <c r="B234" s="1" t="n">
        <v>45635.44388888889</v>
      </c>
      <c r="C234" s="1" t="n">
        <v>45975</v>
      </c>
      <c r="D234" t="inlineStr">
        <is>
          <t>ÖREBRO LÄN</t>
        </is>
      </c>
      <c r="E234" t="inlineStr">
        <is>
          <t>ÖREBRO</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38898-2023</t>
        </is>
      </c>
      <c r="B235" s="1" t="n">
        <v>45163</v>
      </c>
      <c r="C235" s="1" t="n">
        <v>45975</v>
      </c>
      <c r="D235" t="inlineStr">
        <is>
          <t>ÖREBRO LÄN</t>
        </is>
      </c>
      <c r="E235" t="inlineStr">
        <is>
          <t>ÖREBRO</t>
        </is>
      </c>
      <c r="G235" t="n">
        <v>5.1</v>
      </c>
      <c r="H235" t="n">
        <v>0</v>
      </c>
      <c r="I235" t="n">
        <v>0</v>
      </c>
      <c r="J235" t="n">
        <v>0</v>
      </c>
      <c r="K235" t="n">
        <v>0</v>
      </c>
      <c r="L235" t="n">
        <v>0</v>
      </c>
      <c r="M235" t="n">
        <v>0</v>
      </c>
      <c r="N235" t="n">
        <v>0</v>
      </c>
      <c r="O235" t="n">
        <v>0</v>
      </c>
      <c r="P235" t="n">
        <v>0</v>
      </c>
      <c r="Q235" t="n">
        <v>0</v>
      </c>
      <c r="R235" s="2" t="inlineStr"/>
    </row>
    <row r="236" ht="15" customHeight="1">
      <c r="A236" t="inlineStr">
        <is>
          <t>A 13321-2024</t>
        </is>
      </c>
      <c r="B236" s="1" t="n">
        <v>45386.83142361111</v>
      </c>
      <c r="C236" s="1" t="n">
        <v>45975</v>
      </c>
      <c r="D236" t="inlineStr">
        <is>
          <t>ÖREBRO LÄN</t>
        </is>
      </c>
      <c r="E236" t="inlineStr">
        <is>
          <t>ÖREBRO</t>
        </is>
      </c>
      <c r="G236" t="n">
        <v>13.1</v>
      </c>
      <c r="H236" t="n">
        <v>0</v>
      </c>
      <c r="I236" t="n">
        <v>0</v>
      </c>
      <c r="J236" t="n">
        <v>0</v>
      </c>
      <c r="K236" t="n">
        <v>0</v>
      </c>
      <c r="L236" t="n">
        <v>0</v>
      </c>
      <c r="M236" t="n">
        <v>0</v>
      </c>
      <c r="N236" t="n">
        <v>0</v>
      </c>
      <c r="O236" t="n">
        <v>0</v>
      </c>
      <c r="P236" t="n">
        <v>0</v>
      </c>
      <c r="Q236" t="n">
        <v>0</v>
      </c>
      <c r="R236" s="2" t="inlineStr"/>
    </row>
    <row r="237" ht="15" customHeight="1">
      <c r="A237" t="inlineStr">
        <is>
          <t>A 38583-2023</t>
        </is>
      </c>
      <c r="B237" s="1" t="n">
        <v>45162.62861111111</v>
      </c>
      <c r="C237" s="1" t="n">
        <v>45975</v>
      </c>
      <c r="D237" t="inlineStr">
        <is>
          <t>ÖREBRO LÄN</t>
        </is>
      </c>
      <c r="E237" t="inlineStr">
        <is>
          <t>ÖREBRO</t>
        </is>
      </c>
      <c r="G237" t="n">
        <v>5.7</v>
      </c>
      <c r="H237" t="n">
        <v>0</v>
      </c>
      <c r="I237" t="n">
        <v>0</v>
      </c>
      <c r="J237" t="n">
        <v>0</v>
      </c>
      <c r="K237" t="n">
        <v>0</v>
      </c>
      <c r="L237" t="n">
        <v>0</v>
      </c>
      <c r="M237" t="n">
        <v>0</v>
      </c>
      <c r="N237" t="n">
        <v>0</v>
      </c>
      <c r="O237" t="n">
        <v>0</v>
      </c>
      <c r="P237" t="n">
        <v>0</v>
      </c>
      <c r="Q237" t="n">
        <v>0</v>
      </c>
      <c r="R237" s="2" t="inlineStr"/>
    </row>
    <row r="238" ht="15" customHeight="1">
      <c r="A238" t="inlineStr">
        <is>
          <t>A 14291-2023</t>
        </is>
      </c>
      <c r="B238" s="1" t="n">
        <v>45010</v>
      </c>
      <c r="C238" s="1" t="n">
        <v>45975</v>
      </c>
      <c r="D238" t="inlineStr">
        <is>
          <t>ÖREBRO LÄN</t>
        </is>
      </c>
      <c r="E238" t="inlineStr">
        <is>
          <t>ÖREBRO</t>
        </is>
      </c>
      <c r="G238" t="n">
        <v>0.8</v>
      </c>
      <c r="H238" t="n">
        <v>0</v>
      </c>
      <c r="I238" t="n">
        <v>0</v>
      </c>
      <c r="J238" t="n">
        <v>0</v>
      </c>
      <c r="K238" t="n">
        <v>0</v>
      </c>
      <c r="L238" t="n">
        <v>0</v>
      </c>
      <c r="M238" t="n">
        <v>0</v>
      </c>
      <c r="N238" t="n">
        <v>0</v>
      </c>
      <c r="O238" t="n">
        <v>0</v>
      </c>
      <c r="P238" t="n">
        <v>0</v>
      </c>
      <c r="Q238" t="n">
        <v>0</v>
      </c>
      <c r="R238" s="2" t="inlineStr"/>
    </row>
    <row r="239" ht="15" customHeight="1">
      <c r="A239" t="inlineStr">
        <is>
          <t>A 58598-2022</t>
        </is>
      </c>
      <c r="B239" s="1" t="n">
        <v>44902</v>
      </c>
      <c r="C239" s="1" t="n">
        <v>45975</v>
      </c>
      <c r="D239" t="inlineStr">
        <is>
          <t>ÖREBRO LÄN</t>
        </is>
      </c>
      <c r="E239" t="inlineStr">
        <is>
          <t>ÖREBRO</t>
        </is>
      </c>
      <c r="G239" t="n">
        <v>0.4</v>
      </c>
      <c r="H239" t="n">
        <v>0</v>
      </c>
      <c r="I239" t="n">
        <v>0</v>
      </c>
      <c r="J239" t="n">
        <v>0</v>
      </c>
      <c r="K239" t="n">
        <v>0</v>
      </c>
      <c r="L239" t="n">
        <v>0</v>
      </c>
      <c r="M239" t="n">
        <v>0</v>
      </c>
      <c r="N239" t="n">
        <v>0</v>
      </c>
      <c r="O239" t="n">
        <v>0</v>
      </c>
      <c r="P239" t="n">
        <v>0</v>
      </c>
      <c r="Q239" t="n">
        <v>0</v>
      </c>
      <c r="R239" s="2" t="inlineStr"/>
    </row>
    <row r="240" ht="15" customHeight="1">
      <c r="A240" t="inlineStr">
        <is>
          <t>A 37022-2024</t>
        </is>
      </c>
      <c r="B240" s="1" t="n">
        <v>45539.3822337963</v>
      </c>
      <c r="C240" s="1" t="n">
        <v>45975</v>
      </c>
      <c r="D240" t="inlineStr">
        <is>
          <t>ÖREBRO LÄN</t>
        </is>
      </c>
      <c r="E240" t="inlineStr">
        <is>
          <t>ÖREBRO</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37024-2024</t>
        </is>
      </c>
      <c r="B241" s="1" t="n">
        <v>45539.38329861111</v>
      </c>
      <c r="C241" s="1" t="n">
        <v>45975</v>
      </c>
      <c r="D241" t="inlineStr">
        <is>
          <t>ÖREBRO LÄN</t>
        </is>
      </c>
      <c r="E241" t="inlineStr">
        <is>
          <t>ÖREBRO</t>
        </is>
      </c>
      <c r="F241" t="inlineStr">
        <is>
          <t>Sveaskog</t>
        </is>
      </c>
      <c r="G241" t="n">
        <v>1.2</v>
      </c>
      <c r="H241" t="n">
        <v>0</v>
      </c>
      <c r="I241" t="n">
        <v>0</v>
      </c>
      <c r="J241" t="n">
        <v>0</v>
      </c>
      <c r="K241" t="n">
        <v>0</v>
      </c>
      <c r="L241" t="n">
        <v>0</v>
      </c>
      <c r="M241" t="n">
        <v>0</v>
      </c>
      <c r="N241" t="n">
        <v>0</v>
      </c>
      <c r="O241" t="n">
        <v>0</v>
      </c>
      <c r="P241" t="n">
        <v>0</v>
      </c>
      <c r="Q241" t="n">
        <v>0</v>
      </c>
      <c r="R241" s="2" t="inlineStr"/>
    </row>
    <row r="242" ht="15" customHeight="1">
      <c r="A242" t="inlineStr">
        <is>
          <t>A 38075-2022</t>
        </is>
      </c>
      <c r="B242" s="1" t="n">
        <v>44811</v>
      </c>
      <c r="C242" s="1" t="n">
        <v>45975</v>
      </c>
      <c r="D242" t="inlineStr">
        <is>
          <t>ÖREBRO LÄN</t>
        </is>
      </c>
      <c r="E242" t="inlineStr">
        <is>
          <t>ÖREBRO</t>
        </is>
      </c>
      <c r="G242" t="n">
        <v>0.2</v>
      </c>
      <c r="H242" t="n">
        <v>0</v>
      </c>
      <c r="I242" t="n">
        <v>0</v>
      </c>
      <c r="J242" t="n">
        <v>0</v>
      </c>
      <c r="K242" t="n">
        <v>0</v>
      </c>
      <c r="L242" t="n">
        <v>0</v>
      </c>
      <c r="M242" t="n">
        <v>0</v>
      </c>
      <c r="N242" t="n">
        <v>0</v>
      </c>
      <c r="O242" t="n">
        <v>0</v>
      </c>
      <c r="P242" t="n">
        <v>0</v>
      </c>
      <c r="Q242" t="n">
        <v>0</v>
      </c>
      <c r="R242" s="2" t="inlineStr"/>
    </row>
    <row r="243" ht="15" customHeight="1">
      <c r="A243" t="inlineStr">
        <is>
          <t>A 9314-2023</t>
        </is>
      </c>
      <c r="B243" s="1" t="n">
        <v>44980.67747685185</v>
      </c>
      <c r="C243" s="1" t="n">
        <v>45975</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33455-2023</t>
        </is>
      </c>
      <c r="B244" s="1" t="n">
        <v>45130.98962962963</v>
      </c>
      <c r="C244" s="1" t="n">
        <v>45975</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42138-2024</t>
        </is>
      </c>
      <c r="B245" s="1" t="n">
        <v>45562.41854166667</v>
      </c>
      <c r="C245" s="1" t="n">
        <v>45975</v>
      </c>
      <c r="D245" t="inlineStr">
        <is>
          <t>ÖREBRO LÄN</t>
        </is>
      </c>
      <c r="E245" t="inlineStr">
        <is>
          <t>ÖREBRO</t>
        </is>
      </c>
      <c r="G245" t="n">
        <v>1.4</v>
      </c>
      <c r="H245" t="n">
        <v>0</v>
      </c>
      <c r="I245" t="n">
        <v>0</v>
      </c>
      <c r="J245" t="n">
        <v>0</v>
      </c>
      <c r="K245" t="n">
        <v>0</v>
      </c>
      <c r="L245" t="n">
        <v>0</v>
      </c>
      <c r="M245" t="n">
        <v>0</v>
      </c>
      <c r="N245" t="n">
        <v>0</v>
      </c>
      <c r="O245" t="n">
        <v>0</v>
      </c>
      <c r="P245" t="n">
        <v>0</v>
      </c>
      <c r="Q245" t="n">
        <v>0</v>
      </c>
      <c r="R245" s="2" t="inlineStr"/>
    </row>
    <row r="246" ht="15" customHeight="1">
      <c r="A246" t="inlineStr">
        <is>
          <t>A 21306-2024</t>
        </is>
      </c>
      <c r="B246" s="1" t="n">
        <v>45440.67883101852</v>
      </c>
      <c r="C246" s="1" t="n">
        <v>45975</v>
      </c>
      <c r="D246" t="inlineStr">
        <is>
          <t>ÖREBRO LÄN</t>
        </is>
      </c>
      <c r="E246" t="inlineStr">
        <is>
          <t>ÖREBRO</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11382-2023</t>
        </is>
      </c>
      <c r="B247" s="1" t="n">
        <v>44993.45635416666</v>
      </c>
      <c r="C247" s="1" t="n">
        <v>45975</v>
      </c>
      <c r="D247" t="inlineStr">
        <is>
          <t>ÖREBRO LÄN</t>
        </is>
      </c>
      <c r="E247" t="inlineStr">
        <is>
          <t>ÖREBRO</t>
        </is>
      </c>
      <c r="G247" t="n">
        <v>3.3</v>
      </c>
      <c r="H247" t="n">
        <v>0</v>
      </c>
      <c r="I247" t="n">
        <v>0</v>
      </c>
      <c r="J247" t="n">
        <v>0</v>
      </c>
      <c r="K247" t="n">
        <v>0</v>
      </c>
      <c r="L247" t="n">
        <v>0</v>
      </c>
      <c r="M247" t="n">
        <v>0</v>
      </c>
      <c r="N247" t="n">
        <v>0</v>
      </c>
      <c r="O247" t="n">
        <v>0</v>
      </c>
      <c r="P247" t="n">
        <v>0</v>
      </c>
      <c r="Q247" t="n">
        <v>0</v>
      </c>
      <c r="R247" s="2" t="inlineStr"/>
    </row>
    <row r="248" ht="15" customHeight="1">
      <c r="A248" t="inlineStr">
        <is>
          <t>A 7634-2024</t>
        </is>
      </c>
      <c r="B248" s="1" t="n">
        <v>45348</v>
      </c>
      <c r="C248" s="1" t="n">
        <v>45975</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5324-2024</t>
        </is>
      </c>
      <c r="B249" s="1" t="n">
        <v>45331</v>
      </c>
      <c r="C249" s="1" t="n">
        <v>45975</v>
      </c>
      <c r="D249" t="inlineStr">
        <is>
          <t>ÖREBRO LÄN</t>
        </is>
      </c>
      <c r="E249" t="inlineStr">
        <is>
          <t>ÖREBRO</t>
        </is>
      </c>
      <c r="G249" t="n">
        <v>1.5</v>
      </c>
      <c r="H249" t="n">
        <v>0</v>
      </c>
      <c r="I249" t="n">
        <v>0</v>
      </c>
      <c r="J249" t="n">
        <v>0</v>
      </c>
      <c r="K249" t="n">
        <v>0</v>
      </c>
      <c r="L249" t="n">
        <v>0</v>
      </c>
      <c r="M249" t="n">
        <v>0</v>
      </c>
      <c r="N249" t="n">
        <v>0</v>
      </c>
      <c r="O249" t="n">
        <v>0</v>
      </c>
      <c r="P249" t="n">
        <v>0</v>
      </c>
      <c r="Q249" t="n">
        <v>0</v>
      </c>
      <c r="R249" s="2" t="inlineStr"/>
    </row>
    <row r="250" ht="15" customHeight="1">
      <c r="A250" t="inlineStr">
        <is>
          <t>A 52401-2024</t>
        </is>
      </c>
      <c r="B250" s="1" t="n">
        <v>45609.44553240741</v>
      </c>
      <c r="C250" s="1" t="n">
        <v>45975</v>
      </c>
      <c r="D250" t="inlineStr">
        <is>
          <t>ÖREBRO LÄN</t>
        </is>
      </c>
      <c r="E250" t="inlineStr">
        <is>
          <t>ÖREBRO</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20121-2024</t>
        </is>
      </c>
      <c r="B251" s="1" t="n">
        <v>45434</v>
      </c>
      <c r="C251" s="1" t="n">
        <v>45975</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71206-2021</t>
        </is>
      </c>
      <c r="B252" s="1" t="n">
        <v>44539</v>
      </c>
      <c r="C252" s="1" t="n">
        <v>45975</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34874-2022</t>
        </is>
      </c>
      <c r="B253" s="1" t="n">
        <v>44796</v>
      </c>
      <c r="C253" s="1" t="n">
        <v>45975</v>
      </c>
      <c r="D253" t="inlineStr">
        <is>
          <t>ÖREBRO LÄN</t>
        </is>
      </c>
      <c r="E253" t="inlineStr">
        <is>
          <t>ÖREBRO</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14963-2025</t>
        </is>
      </c>
      <c r="B254" s="1" t="n">
        <v>45743.58699074074</v>
      </c>
      <c r="C254" s="1" t="n">
        <v>45975</v>
      </c>
      <c r="D254" t="inlineStr">
        <is>
          <t>ÖREBRO LÄN</t>
        </is>
      </c>
      <c r="E254" t="inlineStr">
        <is>
          <t>ÖREBRO</t>
        </is>
      </c>
      <c r="G254" t="n">
        <v>9.1</v>
      </c>
      <c r="H254" t="n">
        <v>0</v>
      </c>
      <c r="I254" t="n">
        <v>0</v>
      </c>
      <c r="J254" t="n">
        <v>0</v>
      </c>
      <c r="K254" t="n">
        <v>0</v>
      </c>
      <c r="L254" t="n">
        <v>0</v>
      </c>
      <c r="M254" t="n">
        <v>0</v>
      </c>
      <c r="N254" t="n">
        <v>0</v>
      </c>
      <c r="O254" t="n">
        <v>0</v>
      </c>
      <c r="P254" t="n">
        <v>0</v>
      </c>
      <c r="Q254" t="n">
        <v>0</v>
      </c>
      <c r="R254" s="2" t="inlineStr"/>
    </row>
    <row r="255" ht="15" customHeight="1">
      <c r="A255" t="inlineStr">
        <is>
          <t>A 55357-2024</t>
        </is>
      </c>
      <c r="B255" s="1" t="n">
        <v>45621.81126157408</v>
      </c>
      <c r="C255" s="1" t="n">
        <v>45975</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38422-2023</t>
        </is>
      </c>
      <c r="B256" s="1" t="n">
        <v>45162.36422453704</v>
      </c>
      <c r="C256" s="1" t="n">
        <v>45975</v>
      </c>
      <c r="D256" t="inlineStr">
        <is>
          <t>ÖREBRO LÄN</t>
        </is>
      </c>
      <c r="E256" t="inlineStr">
        <is>
          <t>ÖREBRO</t>
        </is>
      </c>
      <c r="G256" t="n">
        <v>8</v>
      </c>
      <c r="H256" t="n">
        <v>0</v>
      </c>
      <c r="I256" t="n">
        <v>0</v>
      </c>
      <c r="J256" t="n">
        <v>0</v>
      </c>
      <c r="K256" t="n">
        <v>0</v>
      </c>
      <c r="L256" t="n">
        <v>0</v>
      </c>
      <c r="M256" t="n">
        <v>0</v>
      </c>
      <c r="N256" t="n">
        <v>0</v>
      </c>
      <c r="O256" t="n">
        <v>0</v>
      </c>
      <c r="P256" t="n">
        <v>0</v>
      </c>
      <c r="Q256" t="n">
        <v>0</v>
      </c>
      <c r="R256" s="2" t="inlineStr"/>
    </row>
    <row r="257" ht="15" customHeight="1">
      <c r="A257" t="inlineStr">
        <is>
          <t>A 26117-2021</t>
        </is>
      </c>
      <c r="B257" s="1" t="n">
        <v>44345</v>
      </c>
      <c r="C257" s="1" t="n">
        <v>45975</v>
      </c>
      <c r="D257" t="inlineStr">
        <is>
          <t>ÖREBRO LÄN</t>
        </is>
      </c>
      <c r="E257" t="inlineStr">
        <is>
          <t>ÖREBRO</t>
        </is>
      </c>
      <c r="G257" t="n">
        <v>8.1</v>
      </c>
      <c r="H257" t="n">
        <v>0</v>
      </c>
      <c r="I257" t="n">
        <v>0</v>
      </c>
      <c r="J257" t="n">
        <v>0</v>
      </c>
      <c r="K257" t="n">
        <v>0</v>
      </c>
      <c r="L257" t="n">
        <v>0</v>
      </c>
      <c r="M257" t="n">
        <v>0</v>
      </c>
      <c r="N257" t="n">
        <v>0</v>
      </c>
      <c r="O257" t="n">
        <v>0</v>
      </c>
      <c r="P257" t="n">
        <v>0</v>
      </c>
      <c r="Q257" t="n">
        <v>0</v>
      </c>
      <c r="R257" s="2" t="inlineStr"/>
    </row>
    <row r="258" ht="15" customHeight="1">
      <c r="A258" t="inlineStr">
        <is>
          <t>A 46518-2023</t>
        </is>
      </c>
      <c r="B258" s="1" t="n">
        <v>45197.72777777778</v>
      </c>
      <c r="C258" s="1" t="n">
        <v>45975</v>
      </c>
      <c r="D258" t="inlineStr">
        <is>
          <t>ÖREBRO LÄN</t>
        </is>
      </c>
      <c r="E258" t="inlineStr">
        <is>
          <t>ÖREBRO</t>
        </is>
      </c>
      <c r="G258" t="n">
        <v>2.2</v>
      </c>
      <c r="H258" t="n">
        <v>0</v>
      </c>
      <c r="I258" t="n">
        <v>0</v>
      </c>
      <c r="J258" t="n">
        <v>0</v>
      </c>
      <c r="K258" t="n">
        <v>0</v>
      </c>
      <c r="L258" t="n">
        <v>0</v>
      </c>
      <c r="M258" t="n">
        <v>0</v>
      </c>
      <c r="N258" t="n">
        <v>0</v>
      </c>
      <c r="O258" t="n">
        <v>0</v>
      </c>
      <c r="P258" t="n">
        <v>0</v>
      </c>
      <c r="Q258" t="n">
        <v>0</v>
      </c>
      <c r="R258" s="2" t="inlineStr"/>
    </row>
    <row r="259" ht="15" customHeight="1">
      <c r="A259" t="inlineStr">
        <is>
          <t>A 16739-2022</t>
        </is>
      </c>
      <c r="B259" s="1" t="n">
        <v>44673</v>
      </c>
      <c r="C259" s="1" t="n">
        <v>45975</v>
      </c>
      <c r="D259" t="inlineStr">
        <is>
          <t>ÖREBRO LÄN</t>
        </is>
      </c>
      <c r="E259" t="inlineStr">
        <is>
          <t>ÖREBRO</t>
        </is>
      </c>
      <c r="G259" t="n">
        <v>4.7</v>
      </c>
      <c r="H259" t="n">
        <v>0</v>
      </c>
      <c r="I259" t="n">
        <v>0</v>
      </c>
      <c r="J259" t="n">
        <v>0</v>
      </c>
      <c r="K259" t="n">
        <v>0</v>
      </c>
      <c r="L259" t="n">
        <v>0</v>
      </c>
      <c r="M259" t="n">
        <v>0</v>
      </c>
      <c r="N259" t="n">
        <v>0</v>
      </c>
      <c r="O259" t="n">
        <v>0</v>
      </c>
      <c r="P259" t="n">
        <v>0</v>
      </c>
      <c r="Q259" t="n">
        <v>0</v>
      </c>
      <c r="R259" s="2" t="inlineStr"/>
    </row>
    <row r="260" ht="15" customHeight="1">
      <c r="A260" t="inlineStr">
        <is>
          <t>A 61593-2023</t>
        </is>
      </c>
      <c r="B260" s="1" t="n">
        <v>45265</v>
      </c>
      <c r="C260" s="1" t="n">
        <v>45975</v>
      </c>
      <c r="D260" t="inlineStr">
        <is>
          <t>ÖREBRO LÄN</t>
        </is>
      </c>
      <c r="E260" t="inlineStr">
        <is>
          <t>ÖREBRO</t>
        </is>
      </c>
      <c r="G260" t="n">
        <v>2.5</v>
      </c>
      <c r="H260" t="n">
        <v>0</v>
      </c>
      <c r="I260" t="n">
        <v>0</v>
      </c>
      <c r="J260" t="n">
        <v>0</v>
      </c>
      <c r="K260" t="n">
        <v>0</v>
      </c>
      <c r="L260" t="n">
        <v>0</v>
      </c>
      <c r="M260" t="n">
        <v>0</v>
      </c>
      <c r="N260" t="n">
        <v>0</v>
      </c>
      <c r="O260" t="n">
        <v>0</v>
      </c>
      <c r="P260" t="n">
        <v>0</v>
      </c>
      <c r="Q260" t="n">
        <v>0</v>
      </c>
      <c r="R260" s="2" t="inlineStr"/>
    </row>
    <row r="261" ht="15" customHeight="1">
      <c r="A261" t="inlineStr">
        <is>
          <t>A 55943-2024</t>
        </is>
      </c>
      <c r="B261" s="1" t="n">
        <v>45623.61278935185</v>
      </c>
      <c r="C261" s="1" t="n">
        <v>45975</v>
      </c>
      <c r="D261" t="inlineStr">
        <is>
          <t>ÖREBRO LÄN</t>
        </is>
      </c>
      <c r="E261" t="inlineStr">
        <is>
          <t>ÖREBRO</t>
        </is>
      </c>
      <c r="G261" t="n">
        <v>4.8</v>
      </c>
      <c r="H261" t="n">
        <v>0</v>
      </c>
      <c r="I261" t="n">
        <v>0</v>
      </c>
      <c r="J261" t="n">
        <v>0</v>
      </c>
      <c r="K261" t="n">
        <v>0</v>
      </c>
      <c r="L261" t="n">
        <v>0</v>
      </c>
      <c r="M261" t="n">
        <v>0</v>
      </c>
      <c r="N261" t="n">
        <v>0</v>
      </c>
      <c r="O261" t="n">
        <v>0</v>
      </c>
      <c r="P261" t="n">
        <v>0</v>
      </c>
      <c r="Q261" t="n">
        <v>0</v>
      </c>
      <c r="R261" s="2" t="inlineStr"/>
    </row>
    <row r="262" ht="15" customHeight="1">
      <c r="A262" t="inlineStr">
        <is>
          <t>A 1013-2024</t>
        </is>
      </c>
      <c r="B262" s="1" t="n">
        <v>45301</v>
      </c>
      <c r="C262" s="1" t="n">
        <v>45975</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13623-2024</t>
        </is>
      </c>
      <c r="B263" s="1" t="n">
        <v>45390.38626157407</v>
      </c>
      <c r="C263" s="1" t="n">
        <v>45975</v>
      </c>
      <c r="D263" t="inlineStr">
        <is>
          <t>ÖREBRO LÄN</t>
        </is>
      </c>
      <c r="E263" t="inlineStr">
        <is>
          <t>ÖREBRO</t>
        </is>
      </c>
      <c r="G263" t="n">
        <v>1.1</v>
      </c>
      <c r="H263" t="n">
        <v>0</v>
      </c>
      <c r="I263" t="n">
        <v>0</v>
      </c>
      <c r="J263" t="n">
        <v>0</v>
      </c>
      <c r="K263" t="n">
        <v>0</v>
      </c>
      <c r="L263" t="n">
        <v>0</v>
      </c>
      <c r="M263" t="n">
        <v>0</v>
      </c>
      <c r="N263" t="n">
        <v>0</v>
      </c>
      <c r="O263" t="n">
        <v>0</v>
      </c>
      <c r="P263" t="n">
        <v>0</v>
      </c>
      <c r="Q263" t="n">
        <v>0</v>
      </c>
      <c r="R263" s="2" t="inlineStr"/>
    </row>
    <row r="264" ht="15" customHeight="1">
      <c r="A264" t="inlineStr">
        <is>
          <t>A 38842-2022</t>
        </is>
      </c>
      <c r="B264" s="1" t="n">
        <v>44814</v>
      </c>
      <c r="C264" s="1" t="n">
        <v>45975</v>
      </c>
      <c r="D264" t="inlineStr">
        <is>
          <t>ÖREBRO LÄN</t>
        </is>
      </c>
      <c r="E264" t="inlineStr">
        <is>
          <t>ÖREBRO</t>
        </is>
      </c>
      <c r="G264" t="n">
        <v>5</v>
      </c>
      <c r="H264" t="n">
        <v>0</v>
      </c>
      <c r="I264" t="n">
        <v>0</v>
      </c>
      <c r="J264" t="n">
        <v>0</v>
      </c>
      <c r="K264" t="n">
        <v>0</v>
      </c>
      <c r="L264" t="n">
        <v>0</v>
      </c>
      <c r="M264" t="n">
        <v>0</v>
      </c>
      <c r="N264" t="n">
        <v>0</v>
      </c>
      <c r="O264" t="n">
        <v>0</v>
      </c>
      <c r="P264" t="n">
        <v>0</v>
      </c>
      <c r="Q264" t="n">
        <v>0</v>
      </c>
      <c r="R264" s="2" t="inlineStr"/>
    </row>
    <row r="265" ht="15" customHeight="1">
      <c r="A265" t="inlineStr">
        <is>
          <t>A 9379-2024</t>
        </is>
      </c>
      <c r="B265" s="1" t="n">
        <v>45359.37298611111</v>
      </c>
      <c r="C265" s="1" t="n">
        <v>45975</v>
      </c>
      <c r="D265" t="inlineStr">
        <is>
          <t>ÖREBRO LÄN</t>
        </is>
      </c>
      <c r="E265" t="inlineStr">
        <is>
          <t>ÖREBRO</t>
        </is>
      </c>
      <c r="G265" t="n">
        <v>2.4</v>
      </c>
      <c r="H265" t="n">
        <v>0</v>
      </c>
      <c r="I265" t="n">
        <v>0</v>
      </c>
      <c r="J265" t="n">
        <v>0</v>
      </c>
      <c r="K265" t="n">
        <v>0</v>
      </c>
      <c r="L265" t="n">
        <v>0</v>
      </c>
      <c r="M265" t="n">
        <v>0</v>
      </c>
      <c r="N265" t="n">
        <v>0</v>
      </c>
      <c r="O265" t="n">
        <v>0</v>
      </c>
      <c r="P265" t="n">
        <v>0</v>
      </c>
      <c r="Q265" t="n">
        <v>0</v>
      </c>
      <c r="R265" s="2" t="inlineStr"/>
    </row>
    <row r="266" ht="15" customHeight="1">
      <c r="A266" t="inlineStr">
        <is>
          <t>A 5398-2022</t>
        </is>
      </c>
      <c r="B266" s="1" t="n">
        <v>44595.3353587963</v>
      </c>
      <c r="C266" s="1" t="n">
        <v>45975</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40597-2021</t>
        </is>
      </c>
      <c r="B267" s="1" t="n">
        <v>44420</v>
      </c>
      <c r="C267" s="1" t="n">
        <v>45975</v>
      </c>
      <c r="D267" t="inlineStr">
        <is>
          <t>ÖREBRO LÄN</t>
        </is>
      </c>
      <c r="E267" t="inlineStr">
        <is>
          <t>ÖREBRO</t>
        </is>
      </c>
      <c r="G267" t="n">
        <v>2.1</v>
      </c>
      <c r="H267" t="n">
        <v>0</v>
      </c>
      <c r="I267" t="n">
        <v>0</v>
      </c>
      <c r="J267" t="n">
        <v>0</v>
      </c>
      <c r="K267" t="n">
        <v>0</v>
      </c>
      <c r="L267" t="n">
        <v>0</v>
      </c>
      <c r="M267" t="n">
        <v>0</v>
      </c>
      <c r="N267" t="n">
        <v>0</v>
      </c>
      <c r="O267" t="n">
        <v>0</v>
      </c>
      <c r="P267" t="n">
        <v>0</v>
      </c>
      <c r="Q267" t="n">
        <v>0</v>
      </c>
      <c r="R267" s="2" t="inlineStr"/>
    </row>
    <row r="268" ht="15" customHeight="1">
      <c r="A268" t="inlineStr">
        <is>
          <t>A 41703-2024</t>
        </is>
      </c>
      <c r="B268" s="1" t="n">
        <v>45560</v>
      </c>
      <c r="C268" s="1" t="n">
        <v>45975</v>
      </c>
      <c r="D268" t="inlineStr">
        <is>
          <t>ÖREBRO LÄN</t>
        </is>
      </c>
      <c r="E268" t="inlineStr">
        <is>
          <t>ÖREBRO</t>
        </is>
      </c>
      <c r="G268" t="n">
        <v>6.4</v>
      </c>
      <c r="H268" t="n">
        <v>0</v>
      </c>
      <c r="I268" t="n">
        <v>0</v>
      </c>
      <c r="J268" t="n">
        <v>0</v>
      </c>
      <c r="K268" t="n">
        <v>0</v>
      </c>
      <c r="L268" t="n">
        <v>0</v>
      </c>
      <c r="M268" t="n">
        <v>0</v>
      </c>
      <c r="N268" t="n">
        <v>0</v>
      </c>
      <c r="O268" t="n">
        <v>0</v>
      </c>
      <c r="P268" t="n">
        <v>0</v>
      </c>
      <c r="Q268" t="n">
        <v>0</v>
      </c>
      <c r="R268" s="2" t="inlineStr"/>
    </row>
    <row r="269" ht="15" customHeight="1">
      <c r="A269" t="inlineStr">
        <is>
          <t>A 5330-2024</t>
        </is>
      </c>
      <c r="B269" s="1" t="n">
        <v>45331.4187962963</v>
      </c>
      <c r="C269" s="1" t="n">
        <v>45975</v>
      </c>
      <c r="D269" t="inlineStr">
        <is>
          <t>ÖREBRO LÄN</t>
        </is>
      </c>
      <c r="E269" t="inlineStr">
        <is>
          <t>ÖREBRO</t>
        </is>
      </c>
      <c r="G269" t="n">
        <v>1.4</v>
      </c>
      <c r="H269" t="n">
        <v>0</v>
      </c>
      <c r="I269" t="n">
        <v>0</v>
      </c>
      <c r="J269" t="n">
        <v>0</v>
      </c>
      <c r="K269" t="n">
        <v>0</v>
      </c>
      <c r="L269" t="n">
        <v>0</v>
      </c>
      <c r="M269" t="n">
        <v>0</v>
      </c>
      <c r="N269" t="n">
        <v>0</v>
      </c>
      <c r="O269" t="n">
        <v>0</v>
      </c>
      <c r="P269" t="n">
        <v>0</v>
      </c>
      <c r="Q269" t="n">
        <v>0</v>
      </c>
      <c r="R269" s="2" t="inlineStr"/>
    </row>
    <row r="270" ht="15" customHeight="1">
      <c r="A270" t="inlineStr">
        <is>
          <t>A 19763-2024</t>
        </is>
      </c>
      <c r="B270" s="1" t="n">
        <v>45432</v>
      </c>
      <c r="C270" s="1" t="n">
        <v>45975</v>
      </c>
      <c r="D270" t="inlineStr">
        <is>
          <t>ÖREBRO LÄN</t>
        </is>
      </c>
      <c r="E270" t="inlineStr">
        <is>
          <t>ÖREBRO</t>
        </is>
      </c>
      <c r="G270" t="n">
        <v>1.9</v>
      </c>
      <c r="H270" t="n">
        <v>0</v>
      </c>
      <c r="I270" t="n">
        <v>0</v>
      </c>
      <c r="J270" t="n">
        <v>0</v>
      </c>
      <c r="K270" t="n">
        <v>0</v>
      </c>
      <c r="L270" t="n">
        <v>0</v>
      </c>
      <c r="M270" t="n">
        <v>0</v>
      </c>
      <c r="N270" t="n">
        <v>0</v>
      </c>
      <c r="O270" t="n">
        <v>0</v>
      </c>
      <c r="P270" t="n">
        <v>0</v>
      </c>
      <c r="Q270" t="n">
        <v>0</v>
      </c>
      <c r="R270" s="2" t="inlineStr"/>
    </row>
    <row r="271" ht="15" customHeight="1">
      <c r="A271" t="inlineStr">
        <is>
          <t>A 8575-2021</t>
        </is>
      </c>
      <c r="B271" s="1" t="n">
        <v>44245</v>
      </c>
      <c r="C271" s="1" t="n">
        <v>45975</v>
      </c>
      <c r="D271" t="inlineStr">
        <is>
          <t>ÖREBRO LÄN</t>
        </is>
      </c>
      <c r="E271" t="inlineStr">
        <is>
          <t>ÖREBRO</t>
        </is>
      </c>
      <c r="G271" t="n">
        <v>3.4</v>
      </c>
      <c r="H271" t="n">
        <v>0</v>
      </c>
      <c r="I271" t="n">
        <v>0</v>
      </c>
      <c r="J271" t="n">
        <v>0</v>
      </c>
      <c r="K271" t="n">
        <v>0</v>
      </c>
      <c r="L271" t="n">
        <v>0</v>
      </c>
      <c r="M271" t="n">
        <v>0</v>
      </c>
      <c r="N271" t="n">
        <v>0</v>
      </c>
      <c r="O271" t="n">
        <v>0</v>
      </c>
      <c r="P271" t="n">
        <v>0</v>
      </c>
      <c r="Q271" t="n">
        <v>0</v>
      </c>
      <c r="R271" s="2" t="inlineStr"/>
    </row>
    <row r="272" ht="15" customHeight="1">
      <c r="A272" t="inlineStr">
        <is>
          <t>A 6794-2025</t>
        </is>
      </c>
      <c r="B272" s="1" t="n">
        <v>45700.66429398148</v>
      </c>
      <c r="C272" s="1" t="n">
        <v>45975</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41995-2024</t>
        </is>
      </c>
      <c r="B273" s="1" t="n">
        <v>45561.6475462963</v>
      </c>
      <c r="C273" s="1" t="n">
        <v>45975</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26338-2021</t>
        </is>
      </c>
      <c r="B274" s="1" t="n">
        <v>44347</v>
      </c>
      <c r="C274" s="1" t="n">
        <v>45975</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31247-2023</t>
        </is>
      </c>
      <c r="B275" s="1" t="n">
        <v>45114</v>
      </c>
      <c r="C275" s="1" t="n">
        <v>45975</v>
      </c>
      <c r="D275" t="inlineStr">
        <is>
          <t>ÖREBRO LÄN</t>
        </is>
      </c>
      <c r="E275" t="inlineStr">
        <is>
          <t>ÖREBRO</t>
        </is>
      </c>
      <c r="F275" t="inlineStr">
        <is>
          <t>Allmännings- och besparingsskogar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71266-2021</t>
        </is>
      </c>
      <c r="B276" s="1" t="n">
        <v>44539</v>
      </c>
      <c r="C276" s="1" t="n">
        <v>45975</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71267-2021</t>
        </is>
      </c>
      <c r="B277" s="1" t="n">
        <v>44539</v>
      </c>
      <c r="C277" s="1" t="n">
        <v>45975</v>
      </c>
      <c r="D277" t="inlineStr">
        <is>
          <t>ÖREBRO LÄN</t>
        </is>
      </c>
      <c r="E277" t="inlineStr">
        <is>
          <t>ÖREBRO</t>
        </is>
      </c>
      <c r="G277" t="n">
        <v>1.7</v>
      </c>
      <c r="H277" t="n">
        <v>0</v>
      </c>
      <c r="I277" t="n">
        <v>0</v>
      </c>
      <c r="J277" t="n">
        <v>0</v>
      </c>
      <c r="K277" t="n">
        <v>0</v>
      </c>
      <c r="L277" t="n">
        <v>0</v>
      </c>
      <c r="M277" t="n">
        <v>0</v>
      </c>
      <c r="N277" t="n">
        <v>0</v>
      </c>
      <c r="O277" t="n">
        <v>0</v>
      </c>
      <c r="P277" t="n">
        <v>0</v>
      </c>
      <c r="Q277" t="n">
        <v>0</v>
      </c>
      <c r="R277" s="2" t="inlineStr"/>
    </row>
    <row r="278" ht="15" customHeight="1">
      <c r="A278" t="inlineStr">
        <is>
          <t>A 71280-2021</t>
        </is>
      </c>
      <c r="B278" s="1" t="n">
        <v>44539</v>
      </c>
      <c r="C278" s="1" t="n">
        <v>45975</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36635-2023</t>
        </is>
      </c>
      <c r="B279" s="1" t="n">
        <v>45153</v>
      </c>
      <c r="C279" s="1" t="n">
        <v>45975</v>
      </c>
      <c r="D279" t="inlineStr">
        <is>
          <t>ÖREBRO LÄN</t>
        </is>
      </c>
      <c r="E279" t="inlineStr">
        <is>
          <t>ÖREBRO</t>
        </is>
      </c>
      <c r="G279" t="n">
        <v>1.9</v>
      </c>
      <c r="H279" t="n">
        <v>0</v>
      </c>
      <c r="I279" t="n">
        <v>0</v>
      </c>
      <c r="J279" t="n">
        <v>0</v>
      </c>
      <c r="K279" t="n">
        <v>0</v>
      </c>
      <c r="L279" t="n">
        <v>0</v>
      </c>
      <c r="M279" t="n">
        <v>0</v>
      </c>
      <c r="N279" t="n">
        <v>0</v>
      </c>
      <c r="O279" t="n">
        <v>0</v>
      </c>
      <c r="P279" t="n">
        <v>0</v>
      </c>
      <c r="Q279" t="n">
        <v>0</v>
      </c>
      <c r="R279" s="2" t="inlineStr"/>
    </row>
    <row r="280" ht="15" customHeight="1">
      <c r="A280" t="inlineStr">
        <is>
          <t>A 54149-2024</t>
        </is>
      </c>
      <c r="B280" s="1" t="n">
        <v>45616</v>
      </c>
      <c r="C280" s="1" t="n">
        <v>45975</v>
      </c>
      <c r="D280" t="inlineStr">
        <is>
          <t>ÖREBRO LÄN</t>
        </is>
      </c>
      <c r="E280" t="inlineStr">
        <is>
          <t>ÖREBRO</t>
        </is>
      </c>
      <c r="G280" t="n">
        <v>2.7</v>
      </c>
      <c r="H280" t="n">
        <v>0</v>
      </c>
      <c r="I280" t="n">
        <v>0</v>
      </c>
      <c r="J280" t="n">
        <v>0</v>
      </c>
      <c r="K280" t="n">
        <v>0</v>
      </c>
      <c r="L280" t="n">
        <v>0</v>
      </c>
      <c r="M280" t="n">
        <v>0</v>
      </c>
      <c r="N280" t="n">
        <v>0</v>
      </c>
      <c r="O280" t="n">
        <v>0</v>
      </c>
      <c r="P280" t="n">
        <v>0</v>
      </c>
      <c r="Q280" t="n">
        <v>0</v>
      </c>
      <c r="R280" s="2" t="inlineStr"/>
    </row>
    <row r="281" ht="15" customHeight="1">
      <c r="A281" t="inlineStr">
        <is>
          <t>A 16737-2023</t>
        </is>
      </c>
      <c r="B281" s="1" t="n">
        <v>45030.72472222222</v>
      </c>
      <c r="C281" s="1" t="n">
        <v>45975</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15866-2022</t>
        </is>
      </c>
      <c r="B282" s="1" t="n">
        <v>44664</v>
      </c>
      <c r="C282" s="1" t="n">
        <v>45975</v>
      </c>
      <c r="D282" t="inlineStr">
        <is>
          <t>ÖREBRO LÄN</t>
        </is>
      </c>
      <c r="E282" t="inlineStr">
        <is>
          <t>ÖREBRO</t>
        </is>
      </c>
      <c r="G282" t="n">
        <v>4</v>
      </c>
      <c r="H282" t="n">
        <v>0</v>
      </c>
      <c r="I282" t="n">
        <v>0</v>
      </c>
      <c r="J282" t="n">
        <v>0</v>
      </c>
      <c r="K282" t="n">
        <v>0</v>
      </c>
      <c r="L282" t="n">
        <v>0</v>
      </c>
      <c r="M282" t="n">
        <v>0</v>
      </c>
      <c r="N282" t="n">
        <v>0</v>
      </c>
      <c r="O282" t="n">
        <v>0</v>
      </c>
      <c r="P282" t="n">
        <v>0</v>
      </c>
      <c r="Q282" t="n">
        <v>0</v>
      </c>
      <c r="R282" s="2" t="inlineStr"/>
    </row>
    <row r="283" ht="15" customHeight="1">
      <c r="A283" t="inlineStr">
        <is>
          <t>A 2318-2023</t>
        </is>
      </c>
      <c r="B283" s="1" t="n">
        <v>44942</v>
      </c>
      <c r="C283" s="1" t="n">
        <v>45975</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5764-2022</t>
        </is>
      </c>
      <c r="B284" s="1" t="n">
        <v>44596</v>
      </c>
      <c r="C284" s="1" t="n">
        <v>45975</v>
      </c>
      <c r="D284" t="inlineStr">
        <is>
          <t>ÖREBRO LÄN</t>
        </is>
      </c>
      <c r="E284" t="inlineStr">
        <is>
          <t>ÖREBRO</t>
        </is>
      </c>
      <c r="G284" t="n">
        <v>3.5</v>
      </c>
      <c r="H284" t="n">
        <v>0</v>
      </c>
      <c r="I284" t="n">
        <v>0</v>
      </c>
      <c r="J284" t="n">
        <v>0</v>
      </c>
      <c r="K284" t="n">
        <v>0</v>
      </c>
      <c r="L284" t="n">
        <v>0</v>
      </c>
      <c r="M284" t="n">
        <v>0</v>
      </c>
      <c r="N284" t="n">
        <v>0</v>
      </c>
      <c r="O284" t="n">
        <v>0</v>
      </c>
      <c r="P284" t="n">
        <v>0</v>
      </c>
      <c r="Q284" t="n">
        <v>0</v>
      </c>
      <c r="R284" s="2" t="inlineStr"/>
    </row>
    <row r="285" ht="15" customHeight="1">
      <c r="A285" t="inlineStr">
        <is>
          <t>A 3-2024</t>
        </is>
      </c>
      <c r="B285" s="1" t="n">
        <v>45292</v>
      </c>
      <c r="C285" s="1" t="n">
        <v>45975</v>
      </c>
      <c r="D285" t="inlineStr">
        <is>
          <t>ÖREBRO LÄN</t>
        </is>
      </c>
      <c r="E285" t="inlineStr">
        <is>
          <t>ÖREBRO</t>
        </is>
      </c>
      <c r="G285" t="n">
        <v>2.7</v>
      </c>
      <c r="H285" t="n">
        <v>0</v>
      </c>
      <c r="I285" t="n">
        <v>0</v>
      </c>
      <c r="J285" t="n">
        <v>0</v>
      </c>
      <c r="K285" t="n">
        <v>0</v>
      </c>
      <c r="L285" t="n">
        <v>0</v>
      </c>
      <c r="M285" t="n">
        <v>0</v>
      </c>
      <c r="N285" t="n">
        <v>0</v>
      </c>
      <c r="O285" t="n">
        <v>0</v>
      </c>
      <c r="P285" t="n">
        <v>0</v>
      </c>
      <c r="Q285" t="n">
        <v>0</v>
      </c>
      <c r="R285" s="2" t="inlineStr"/>
    </row>
    <row r="286" ht="15" customHeight="1">
      <c r="A286" t="inlineStr">
        <is>
          <t>A 45027-2024</t>
        </is>
      </c>
      <c r="B286" s="1" t="n">
        <v>45575</v>
      </c>
      <c r="C286" s="1" t="n">
        <v>45975</v>
      </c>
      <c r="D286" t="inlineStr">
        <is>
          <t>ÖREBRO LÄN</t>
        </is>
      </c>
      <c r="E286" t="inlineStr">
        <is>
          <t>ÖREBRO</t>
        </is>
      </c>
      <c r="G286" t="n">
        <v>6.3</v>
      </c>
      <c r="H286" t="n">
        <v>0</v>
      </c>
      <c r="I286" t="n">
        <v>0</v>
      </c>
      <c r="J286" t="n">
        <v>0</v>
      </c>
      <c r="K286" t="n">
        <v>0</v>
      </c>
      <c r="L286" t="n">
        <v>0</v>
      </c>
      <c r="M286" t="n">
        <v>0</v>
      </c>
      <c r="N286" t="n">
        <v>0</v>
      </c>
      <c r="O286" t="n">
        <v>0</v>
      </c>
      <c r="P286" t="n">
        <v>0</v>
      </c>
      <c r="Q286" t="n">
        <v>0</v>
      </c>
      <c r="R286" s="2" t="inlineStr"/>
    </row>
    <row r="287" ht="15" customHeight="1">
      <c r="A287" t="inlineStr">
        <is>
          <t>A 40051-2024</t>
        </is>
      </c>
      <c r="B287" s="1" t="n">
        <v>45553</v>
      </c>
      <c r="C287" s="1" t="n">
        <v>45975</v>
      </c>
      <c r="D287" t="inlineStr">
        <is>
          <t>ÖREBRO LÄN</t>
        </is>
      </c>
      <c r="E287" t="inlineStr">
        <is>
          <t>ÖREBRO</t>
        </is>
      </c>
      <c r="G287" t="n">
        <v>3.5</v>
      </c>
      <c r="H287" t="n">
        <v>0</v>
      </c>
      <c r="I287" t="n">
        <v>0</v>
      </c>
      <c r="J287" t="n">
        <v>0</v>
      </c>
      <c r="K287" t="n">
        <v>0</v>
      </c>
      <c r="L287" t="n">
        <v>0</v>
      </c>
      <c r="M287" t="n">
        <v>0</v>
      </c>
      <c r="N287" t="n">
        <v>0</v>
      </c>
      <c r="O287" t="n">
        <v>0</v>
      </c>
      <c r="P287" t="n">
        <v>0</v>
      </c>
      <c r="Q287" t="n">
        <v>0</v>
      </c>
      <c r="R287" s="2" t="inlineStr"/>
    </row>
    <row r="288" ht="15" customHeight="1">
      <c r="A288" t="inlineStr">
        <is>
          <t>A 5619-2023</t>
        </is>
      </c>
      <c r="B288" s="1" t="n">
        <v>44958</v>
      </c>
      <c r="C288" s="1" t="n">
        <v>45975</v>
      </c>
      <c r="D288" t="inlineStr">
        <is>
          <t>ÖREBRO LÄN</t>
        </is>
      </c>
      <c r="E288" t="inlineStr">
        <is>
          <t>ÖREBRO</t>
        </is>
      </c>
      <c r="G288" t="n">
        <v>27</v>
      </c>
      <c r="H288" t="n">
        <v>0</v>
      </c>
      <c r="I288" t="n">
        <v>0</v>
      </c>
      <c r="J288" t="n">
        <v>0</v>
      </c>
      <c r="K288" t="n">
        <v>0</v>
      </c>
      <c r="L288" t="n">
        <v>0</v>
      </c>
      <c r="M288" t="n">
        <v>0</v>
      </c>
      <c r="N288" t="n">
        <v>0</v>
      </c>
      <c r="O288" t="n">
        <v>0</v>
      </c>
      <c r="P288" t="n">
        <v>0</v>
      </c>
      <c r="Q288" t="n">
        <v>0</v>
      </c>
      <c r="R288" s="2" t="inlineStr"/>
    </row>
    <row r="289" ht="15" customHeight="1">
      <c r="A289" t="inlineStr">
        <is>
          <t>A 41543-2024</t>
        </is>
      </c>
      <c r="B289" s="1" t="n">
        <v>45560</v>
      </c>
      <c r="C289" s="1" t="n">
        <v>45975</v>
      </c>
      <c r="D289" t="inlineStr">
        <is>
          <t>ÖREBRO LÄN</t>
        </is>
      </c>
      <c r="E289" t="inlineStr">
        <is>
          <t>ÖREBRO</t>
        </is>
      </c>
      <c r="G289" t="n">
        <v>2.8</v>
      </c>
      <c r="H289" t="n">
        <v>0</v>
      </c>
      <c r="I289" t="n">
        <v>0</v>
      </c>
      <c r="J289" t="n">
        <v>0</v>
      </c>
      <c r="K289" t="n">
        <v>0</v>
      </c>
      <c r="L289" t="n">
        <v>0</v>
      </c>
      <c r="M289" t="n">
        <v>0</v>
      </c>
      <c r="N289" t="n">
        <v>0</v>
      </c>
      <c r="O289" t="n">
        <v>0</v>
      </c>
      <c r="P289" t="n">
        <v>0</v>
      </c>
      <c r="Q289" t="n">
        <v>0</v>
      </c>
      <c r="R289" s="2" t="inlineStr"/>
    </row>
    <row r="290" ht="15" customHeight="1">
      <c r="A290" t="inlineStr">
        <is>
          <t>A 10799-2024</t>
        </is>
      </c>
      <c r="B290" s="1" t="n">
        <v>45369</v>
      </c>
      <c r="C290" s="1" t="n">
        <v>45975</v>
      </c>
      <c r="D290" t="inlineStr">
        <is>
          <t>ÖREBRO LÄN</t>
        </is>
      </c>
      <c r="E290" t="inlineStr">
        <is>
          <t>ÖREBRO</t>
        </is>
      </c>
      <c r="G290" t="n">
        <v>5.8</v>
      </c>
      <c r="H290" t="n">
        <v>0</v>
      </c>
      <c r="I290" t="n">
        <v>0</v>
      </c>
      <c r="J290" t="n">
        <v>0</v>
      </c>
      <c r="K290" t="n">
        <v>0</v>
      </c>
      <c r="L290" t="n">
        <v>0</v>
      </c>
      <c r="M290" t="n">
        <v>0</v>
      </c>
      <c r="N290" t="n">
        <v>0</v>
      </c>
      <c r="O290" t="n">
        <v>0</v>
      </c>
      <c r="P290" t="n">
        <v>0</v>
      </c>
      <c r="Q290" t="n">
        <v>0</v>
      </c>
      <c r="R290" s="2" t="inlineStr"/>
    </row>
    <row r="291" ht="15" customHeight="1">
      <c r="A291" t="inlineStr">
        <is>
          <t>A 5578-2024</t>
        </is>
      </c>
      <c r="B291" s="1" t="n">
        <v>45334.49104166667</v>
      </c>
      <c r="C291" s="1" t="n">
        <v>45975</v>
      </c>
      <c r="D291" t="inlineStr">
        <is>
          <t>ÖREBRO LÄN</t>
        </is>
      </c>
      <c r="E291" t="inlineStr">
        <is>
          <t>ÖREBRO</t>
        </is>
      </c>
      <c r="G291" t="n">
        <v>2.4</v>
      </c>
      <c r="H291" t="n">
        <v>0</v>
      </c>
      <c r="I291" t="n">
        <v>0</v>
      </c>
      <c r="J291" t="n">
        <v>0</v>
      </c>
      <c r="K291" t="n">
        <v>0</v>
      </c>
      <c r="L291" t="n">
        <v>0</v>
      </c>
      <c r="M291" t="n">
        <v>0</v>
      </c>
      <c r="N291" t="n">
        <v>0</v>
      </c>
      <c r="O291" t="n">
        <v>0</v>
      </c>
      <c r="P291" t="n">
        <v>0</v>
      </c>
      <c r="Q291" t="n">
        <v>0</v>
      </c>
      <c r="R291" s="2" t="inlineStr"/>
    </row>
    <row r="292" ht="15" customHeight="1">
      <c r="A292" t="inlineStr">
        <is>
          <t>A 16694-2025</t>
        </is>
      </c>
      <c r="B292" s="1" t="n">
        <v>45754.46480324074</v>
      </c>
      <c r="C292" s="1" t="n">
        <v>45975</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49465-2024</t>
        </is>
      </c>
      <c r="B293" s="1" t="n">
        <v>45596</v>
      </c>
      <c r="C293" s="1" t="n">
        <v>45975</v>
      </c>
      <c r="D293" t="inlineStr">
        <is>
          <t>ÖREBRO LÄN</t>
        </is>
      </c>
      <c r="E293" t="inlineStr">
        <is>
          <t>ÖREBRO</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37786-2024</t>
        </is>
      </c>
      <c r="B294" s="1" t="n">
        <v>45542.82987268519</v>
      </c>
      <c r="C294" s="1" t="n">
        <v>45975</v>
      </c>
      <c r="D294" t="inlineStr">
        <is>
          <t>ÖREBRO LÄN</t>
        </is>
      </c>
      <c r="E294" t="inlineStr">
        <is>
          <t>ÖREBRO</t>
        </is>
      </c>
      <c r="G294" t="n">
        <v>3.1</v>
      </c>
      <c r="H294" t="n">
        <v>0</v>
      </c>
      <c r="I294" t="n">
        <v>0</v>
      </c>
      <c r="J294" t="n">
        <v>0</v>
      </c>
      <c r="K294" t="n">
        <v>0</v>
      </c>
      <c r="L294" t="n">
        <v>0</v>
      </c>
      <c r="M294" t="n">
        <v>0</v>
      </c>
      <c r="N294" t="n">
        <v>0</v>
      </c>
      <c r="O294" t="n">
        <v>0</v>
      </c>
      <c r="P294" t="n">
        <v>0</v>
      </c>
      <c r="Q294" t="n">
        <v>0</v>
      </c>
      <c r="R294" s="2" t="inlineStr"/>
    </row>
    <row r="295" ht="15" customHeight="1">
      <c r="A295" t="inlineStr">
        <is>
          <t>A 58615-2024</t>
        </is>
      </c>
      <c r="B295" s="1" t="n">
        <v>45635.5587037037</v>
      </c>
      <c r="C295" s="1" t="n">
        <v>45975</v>
      </c>
      <c r="D295" t="inlineStr">
        <is>
          <t>ÖREBRO LÄN</t>
        </is>
      </c>
      <c r="E295" t="inlineStr">
        <is>
          <t>ÖREBRO</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29554-2025</t>
        </is>
      </c>
      <c r="B296" s="1" t="n">
        <v>45825</v>
      </c>
      <c r="C296" s="1" t="n">
        <v>45975</v>
      </c>
      <c r="D296" t="inlineStr">
        <is>
          <t>ÖREBRO LÄN</t>
        </is>
      </c>
      <c r="E296" t="inlineStr">
        <is>
          <t>ÖREBRO</t>
        </is>
      </c>
      <c r="F296" t="inlineStr">
        <is>
          <t>Övriga Aktiebolag</t>
        </is>
      </c>
      <c r="G296" t="n">
        <v>1</v>
      </c>
      <c r="H296" t="n">
        <v>0</v>
      </c>
      <c r="I296" t="n">
        <v>0</v>
      </c>
      <c r="J296" t="n">
        <v>0</v>
      </c>
      <c r="K296" t="n">
        <v>0</v>
      </c>
      <c r="L296" t="n">
        <v>0</v>
      </c>
      <c r="M296" t="n">
        <v>0</v>
      </c>
      <c r="N296" t="n">
        <v>0</v>
      </c>
      <c r="O296" t="n">
        <v>0</v>
      </c>
      <c r="P296" t="n">
        <v>0</v>
      </c>
      <c r="Q296" t="n">
        <v>0</v>
      </c>
      <c r="R296" s="2" t="inlineStr"/>
    </row>
    <row r="297" ht="15" customHeight="1">
      <c r="A297" t="inlineStr">
        <is>
          <t>A 45517-2023</t>
        </is>
      </c>
      <c r="B297" s="1" t="n">
        <v>45194.49594907407</v>
      </c>
      <c r="C297" s="1" t="n">
        <v>45975</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3652-2022</t>
        </is>
      </c>
      <c r="B298" s="1" t="n">
        <v>44586.46921296296</v>
      </c>
      <c r="C298" s="1" t="n">
        <v>45975</v>
      </c>
      <c r="D298" t="inlineStr">
        <is>
          <t>ÖREBRO LÄN</t>
        </is>
      </c>
      <c r="E298" t="inlineStr">
        <is>
          <t>ÖREBRO</t>
        </is>
      </c>
      <c r="G298" t="n">
        <v>1.6</v>
      </c>
      <c r="H298" t="n">
        <v>0</v>
      </c>
      <c r="I298" t="n">
        <v>0</v>
      </c>
      <c r="J298" t="n">
        <v>0</v>
      </c>
      <c r="K298" t="n">
        <v>0</v>
      </c>
      <c r="L298" t="n">
        <v>0</v>
      </c>
      <c r="M298" t="n">
        <v>0</v>
      </c>
      <c r="N298" t="n">
        <v>0</v>
      </c>
      <c r="O298" t="n">
        <v>0</v>
      </c>
      <c r="P298" t="n">
        <v>0</v>
      </c>
      <c r="Q298" t="n">
        <v>0</v>
      </c>
      <c r="R298" s="2" t="inlineStr"/>
    </row>
    <row r="299" ht="15" customHeight="1">
      <c r="A299" t="inlineStr">
        <is>
          <t>A 25407-2021</t>
        </is>
      </c>
      <c r="B299" s="1" t="n">
        <v>44342</v>
      </c>
      <c r="C299" s="1" t="n">
        <v>45975</v>
      </c>
      <c r="D299" t="inlineStr">
        <is>
          <t>ÖREBRO LÄN</t>
        </is>
      </c>
      <c r="E299" t="inlineStr">
        <is>
          <t>ÖREBRO</t>
        </is>
      </c>
      <c r="F299" t="inlineStr">
        <is>
          <t>Kommuner</t>
        </is>
      </c>
      <c r="G299" t="n">
        <v>7.2</v>
      </c>
      <c r="H299" t="n">
        <v>0</v>
      </c>
      <c r="I299" t="n">
        <v>0</v>
      </c>
      <c r="J299" t="n">
        <v>0</v>
      </c>
      <c r="K299" t="n">
        <v>0</v>
      </c>
      <c r="L299" t="n">
        <v>0</v>
      </c>
      <c r="M299" t="n">
        <v>0</v>
      </c>
      <c r="N299" t="n">
        <v>0</v>
      </c>
      <c r="O299" t="n">
        <v>0</v>
      </c>
      <c r="P299" t="n">
        <v>0</v>
      </c>
      <c r="Q299" t="n">
        <v>0</v>
      </c>
      <c r="R299" s="2" t="inlineStr"/>
    </row>
    <row r="300" ht="15" customHeight="1">
      <c r="A300" t="inlineStr">
        <is>
          <t>A 59121-2024</t>
        </is>
      </c>
      <c r="B300" s="1" t="n">
        <v>45637.37755787037</v>
      </c>
      <c r="C300" s="1" t="n">
        <v>45975</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12245-2023</t>
        </is>
      </c>
      <c r="B301" s="1" t="n">
        <v>44998.64402777778</v>
      </c>
      <c r="C301" s="1" t="n">
        <v>45975</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49215-2023</t>
        </is>
      </c>
      <c r="B302" s="1" t="n">
        <v>45210.61050925926</v>
      </c>
      <c r="C302" s="1" t="n">
        <v>45975</v>
      </c>
      <c r="D302" t="inlineStr">
        <is>
          <t>ÖREBRO LÄN</t>
        </is>
      </c>
      <c r="E302" t="inlineStr">
        <is>
          <t>ÖREBRO</t>
        </is>
      </c>
      <c r="F302" t="inlineStr">
        <is>
          <t>Övriga Aktiebolag</t>
        </is>
      </c>
      <c r="G302" t="n">
        <v>4.2</v>
      </c>
      <c r="H302" t="n">
        <v>0</v>
      </c>
      <c r="I302" t="n">
        <v>0</v>
      </c>
      <c r="J302" t="n">
        <v>0</v>
      </c>
      <c r="K302" t="n">
        <v>0</v>
      </c>
      <c r="L302" t="n">
        <v>0</v>
      </c>
      <c r="M302" t="n">
        <v>0</v>
      </c>
      <c r="N302" t="n">
        <v>0</v>
      </c>
      <c r="O302" t="n">
        <v>0</v>
      </c>
      <c r="P302" t="n">
        <v>0</v>
      </c>
      <c r="Q302" t="n">
        <v>0</v>
      </c>
      <c r="R302" s="2" t="inlineStr"/>
    </row>
    <row r="303" ht="15" customHeight="1">
      <c r="A303" t="inlineStr">
        <is>
          <t>A 17983-2025</t>
        </is>
      </c>
      <c r="B303" s="1" t="n">
        <v>45761.38829861111</v>
      </c>
      <c r="C303" s="1" t="n">
        <v>45975</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7134-2025</t>
        </is>
      </c>
      <c r="B304" s="1" t="n">
        <v>45702</v>
      </c>
      <c r="C304" s="1" t="n">
        <v>45975</v>
      </c>
      <c r="D304" t="inlineStr">
        <is>
          <t>ÖREBRO LÄN</t>
        </is>
      </c>
      <c r="E304" t="inlineStr">
        <is>
          <t>ÖREBRO</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60506-2024</t>
        </is>
      </c>
      <c r="B305" s="1" t="n">
        <v>45643.66630787037</v>
      </c>
      <c r="C305" s="1" t="n">
        <v>45975</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29978-2024</t>
        </is>
      </c>
      <c r="B306" s="1" t="n">
        <v>45488.48340277778</v>
      </c>
      <c r="C306" s="1" t="n">
        <v>45975</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8571-2021</t>
        </is>
      </c>
      <c r="B307" s="1" t="n">
        <v>44245</v>
      </c>
      <c r="C307" s="1" t="n">
        <v>45975</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30903-2024</t>
        </is>
      </c>
      <c r="B308" s="1" t="n">
        <v>45498.49946759259</v>
      </c>
      <c r="C308" s="1" t="n">
        <v>45975</v>
      </c>
      <c r="D308" t="inlineStr">
        <is>
          <t>ÖREBRO LÄN</t>
        </is>
      </c>
      <c r="E308" t="inlineStr">
        <is>
          <t>ÖREBRO</t>
        </is>
      </c>
      <c r="G308" t="n">
        <v>1.1</v>
      </c>
      <c r="H308" t="n">
        <v>0</v>
      </c>
      <c r="I308" t="n">
        <v>0</v>
      </c>
      <c r="J308" t="n">
        <v>0</v>
      </c>
      <c r="K308" t="n">
        <v>0</v>
      </c>
      <c r="L308" t="n">
        <v>0</v>
      </c>
      <c r="M308" t="n">
        <v>0</v>
      </c>
      <c r="N308" t="n">
        <v>0</v>
      </c>
      <c r="O308" t="n">
        <v>0</v>
      </c>
      <c r="P308" t="n">
        <v>0</v>
      </c>
      <c r="Q308" t="n">
        <v>0</v>
      </c>
      <c r="R308" s="2" t="inlineStr"/>
    </row>
    <row r="309" ht="15" customHeight="1">
      <c r="A309" t="inlineStr">
        <is>
          <t>A 58611-2024</t>
        </is>
      </c>
      <c r="B309" s="1" t="n">
        <v>45635.55555555555</v>
      </c>
      <c r="C309" s="1" t="n">
        <v>45975</v>
      </c>
      <c r="D309" t="inlineStr">
        <is>
          <t>ÖREBRO LÄN</t>
        </is>
      </c>
      <c r="E309" t="inlineStr">
        <is>
          <t>ÖREBRO</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49797-2024</t>
        </is>
      </c>
      <c r="B310" s="1" t="n">
        <v>45597.37265046296</v>
      </c>
      <c r="C310" s="1" t="n">
        <v>45975</v>
      </c>
      <c r="D310" t="inlineStr">
        <is>
          <t>ÖREBRO LÄN</t>
        </is>
      </c>
      <c r="E310" t="inlineStr">
        <is>
          <t>ÖREBRO</t>
        </is>
      </c>
      <c r="G310" t="n">
        <v>11.6</v>
      </c>
      <c r="H310" t="n">
        <v>0</v>
      </c>
      <c r="I310" t="n">
        <v>0</v>
      </c>
      <c r="J310" t="n">
        <v>0</v>
      </c>
      <c r="K310" t="n">
        <v>0</v>
      </c>
      <c r="L310" t="n">
        <v>0</v>
      </c>
      <c r="M310" t="n">
        <v>0</v>
      </c>
      <c r="N310" t="n">
        <v>0</v>
      </c>
      <c r="O310" t="n">
        <v>0</v>
      </c>
      <c r="P310" t="n">
        <v>0</v>
      </c>
      <c r="Q310" t="n">
        <v>0</v>
      </c>
      <c r="R310" s="2" t="inlineStr"/>
    </row>
    <row r="311" ht="15" customHeight="1">
      <c r="A311" t="inlineStr">
        <is>
          <t>A 11663-2024</t>
        </is>
      </c>
      <c r="B311" s="1" t="n">
        <v>45373</v>
      </c>
      <c r="C311" s="1" t="n">
        <v>45975</v>
      </c>
      <c r="D311" t="inlineStr">
        <is>
          <t>ÖREBRO LÄN</t>
        </is>
      </c>
      <c r="E311" t="inlineStr">
        <is>
          <t>ÖREBRO</t>
        </is>
      </c>
      <c r="G311" t="n">
        <v>1</v>
      </c>
      <c r="H311" t="n">
        <v>0</v>
      </c>
      <c r="I311" t="n">
        <v>0</v>
      </c>
      <c r="J311" t="n">
        <v>0</v>
      </c>
      <c r="K311" t="n">
        <v>0</v>
      </c>
      <c r="L311" t="n">
        <v>0</v>
      </c>
      <c r="M311" t="n">
        <v>0</v>
      </c>
      <c r="N311" t="n">
        <v>0</v>
      </c>
      <c r="O311" t="n">
        <v>0</v>
      </c>
      <c r="P311" t="n">
        <v>0</v>
      </c>
      <c r="Q311" t="n">
        <v>0</v>
      </c>
      <c r="R311" s="2" t="inlineStr"/>
    </row>
    <row r="312" ht="15" customHeight="1">
      <c r="A312" t="inlineStr">
        <is>
          <t>A 55692-2023</t>
        </is>
      </c>
      <c r="B312" s="1" t="n">
        <v>45239</v>
      </c>
      <c r="C312" s="1" t="n">
        <v>45975</v>
      </c>
      <c r="D312" t="inlineStr">
        <is>
          <t>ÖREBRO LÄN</t>
        </is>
      </c>
      <c r="E312" t="inlineStr">
        <is>
          <t>ÖREBRO</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20146-2024</t>
        </is>
      </c>
      <c r="B313" s="1" t="n">
        <v>45434.57641203704</v>
      </c>
      <c r="C313" s="1" t="n">
        <v>45975</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53143-2023</t>
        </is>
      </c>
      <c r="B314" s="1" t="n">
        <v>45229</v>
      </c>
      <c r="C314" s="1" t="n">
        <v>45975</v>
      </c>
      <c r="D314" t="inlineStr">
        <is>
          <t>ÖREBRO LÄN</t>
        </is>
      </c>
      <c r="E314" t="inlineStr">
        <is>
          <t>ÖREBRO</t>
        </is>
      </c>
      <c r="G314" t="n">
        <v>3.3</v>
      </c>
      <c r="H314" t="n">
        <v>0</v>
      </c>
      <c r="I314" t="n">
        <v>0</v>
      </c>
      <c r="J314" t="n">
        <v>0</v>
      </c>
      <c r="K314" t="n">
        <v>0</v>
      </c>
      <c r="L314" t="n">
        <v>0</v>
      </c>
      <c r="M314" t="n">
        <v>0</v>
      </c>
      <c r="N314" t="n">
        <v>0</v>
      </c>
      <c r="O314" t="n">
        <v>0</v>
      </c>
      <c r="P314" t="n">
        <v>0</v>
      </c>
      <c r="Q314" t="n">
        <v>0</v>
      </c>
      <c r="R314" s="2" t="inlineStr"/>
    </row>
    <row r="315" ht="15" customHeight="1">
      <c r="A315" t="inlineStr">
        <is>
          <t>A 14715-2024</t>
        </is>
      </c>
      <c r="B315" s="1" t="n">
        <v>45397.5500462963</v>
      </c>
      <c r="C315" s="1" t="n">
        <v>45975</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8656-2025</t>
        </is>
      </c>
      <c r="B316" s="1" t="n">
        <v>45712.38268518518</v>
      </c>
      <c r="C316" s="1" t="n">
        <v>45975</v>
      </c>
      <c r="D316" t="inlineStr">
        <is>
          <t>ÖREBRO LÄN</t>
        </is>
      </c>
      <c r="E316" t="inlineStr">
        <is>
          <t>ÖREBRO</t>
        </is>
      </c>
      <c r="G316" t="n">
        <v>2.7</v>
      </c>
      <c r="H316" t="n">
        <v>0</v>
      </c>
      <c r="I316" t="n">
        <v>0</v>
      </c>
      <c r="J316" t="n">
        <v>0</v>
      </c>
      <c r="K316" t="n">
        <v>0</v>
      </c>
      <c r="L316" t="n">
        <v>0</v>
      </c>
      <c r="M316" t="n">
        <v>0</v>
      </c>
      <c r="N316" t="n">
        <v>0</v>
      </c>
      <c r="O316" t="n">
        <v>0</v>
      </c>
      <c r="P316" t="n">
        <v>0</v>
      </c>
      <c r="Q316" t="n">
        <v>0</v>
      </c>
      <c r="R316" s="2" t="inlineStr"/>
    </row>
    <row r="317" ht="15" customHeight="1">
      <c r="A317" t="inlineStr">
        <is>
          <t>A 32086-2023</t>
        </is>
      </c>
      <c r="B317" s="1" t="n">
        <v>45119.59789351852</v>
      </c>
      <c r="C317" s="1" t="n">
        <v>45975</v>
      </c>
      <c r="D317" t="inlineStr">
        <is>
          <t>ÖREBRO LÄN</t>
        </is>
      </c>
      <c r="E317" t="inlineStr">
        <is>
          <t>ÖREBRO</t>
        </is>
      </c>
      <c r="G317" t="n">
        <v>0.7</v>
      </c>
      <c r="H317" t="n">
        <v>0</v>
      </c>
      <c r="I317" t="n">
        <v>0</v>
      </c>
      <c r="J317" t="n">
        <v>0</v>
      </c>
      <c r="K317" t="n">
        <v>0</v>
      </c>
      <c r="L317" t="n">
        <v>0</v>
      </c>
      <c r="M317" t="n">
        <v>0</v>
      </c>
      <c r="N317" t="n">
        <v>0</v>
      </c>
      <c r="O317" t="n">
        <v>0</v>
      </c>
      <c r="P317" t="n">
        <v>0</v>
      </c>
      <c r="Q317" t="n">
        <v>0</v>
      </c>
      <c r="R317" s="2" t="inlineStr"/>
    </row>
    <row r="318" ht="15" customHeight="1">
      <c r="A318" t="inlineStr">
        <is>
          <t>A 13856-2022</t>
        </is>
      </c>
      <c r="B318" s="1" t="n">
        <v>44649.6965162037</v>
      </c>
      <c r="C318" s="1" t="n">
        <v>45975</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23863-2023</t>
        </is>
      </c>
      <c r="B319" s="1" t="n">
        <v>45078.48994212963</v>
      </c>
      <c r="C319" s="1" t="n">
        <v>45975</v>
      </c>
      <c r="D319" t="inlineStr">
        <is>
          <t>ÖREBRO LÄN</t>
        </is>
      </c>
      <c r="E319" t="inlineStr">
        <is>
          <t>ÖREBRO</t>
        </is>
      </c>
      <c r="F319" t="inlineStr">
        <is>
          <t>Övriga Aktiebolag</t>
        </is>
      </c>
      <c r="G319" t="n">
        <v>5.9</v>
      </c>
      <c r="H319" t="n">
        <v>0</v>
      </c>
      <c r="I319" t="n">
        <v>0</v>
      </c>
      <c r="J319" t="n">
        <v>0</v>
      </c>
      <c r="K319" t="n">
        <v>0</v>
      </c>
      <c r="L319" t="n">
        <v>0</v>
      </c>
      <c r="M319" t="n">
        <v>0</v>
      </c>
      <c r="N319" t="n">
        <v>0</v>
      </c>
      <c r="O319" t="n">
        <v>0</v>
      </c>
      <c r="P319" t="n">
        <v>0</v>
      </c>
      <c r="Q319" t="n">
        <v>0</v>
      </c>
      <c r="R319" s="2" t="inlineStr"/>
    </row>
    <row r="320" ht="15" customHeight="1">
      <c r="A320" t="inlineStr">
        <is>
          <t>A 66799-2020</t>
        </is>
      </c>
      <c r="B320" s="1" t="n">
        <v>44179</v>
      </c>
      <c r="C320" s="1" t="n">
        <v>45975</v>
      </c>
      <c r="D320" t="inlineStr">
        <is>
          <t>ÖREBRO LÄN</t>
        </is>
      </c>
      <c r="E320" t="inlineStr">
        <is>
          <t>ÖREBRO</t>
        </is>
      </c>
      <c r="G320" t="n">
        <v>5.2</v>
      </c>
      <c r="H320" t="n">
        <v>0</v>
      </c>
      <c r="I320" t="n">
        <v>0</v>
      </c>
      <c r="J320" t="n">
        <v>0</v>
      </c>
      <c r="K320" t="n">
        <v>0</v>
      </c>
      <c r="L320" t="n">
        <v>0</v>
      </c>
      <c r="M320" t="n">
        <v>0</v>
      </c>
      <c r="N320" t="n">
        <v>0</v>
      </c>
      <c r="O320" t="n">
        <v>0</v>
      </c>
      <c r="P320" t="n">
        <v>0</v>
      </c>
      <c r="Q320" t="n">
        <v>0</v>
      </c>
      <c r="R320" s="2" t="inlineStr"/>
    </row>
    <row r="321" ht="15" customHeight="1">
      <c r="A321" t="inlineStr">
        <is>
          <t>A 39130-2023</t>
        </is>
      </c>
      <c r="B321" s="1" t="n">
        <v>45165</v>
      </c>
      <c r="C321" s="1" t="n">
        <v>45975</v>
      </c>
      <c r="D321" t="inlineStr">
        <is>
          <t>ÖREBRO LÄN</t>
        </is>
      </c>
      <c r="E321" t="inlineStr">
        <is>
          <t>ÖREBRO</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5762-2025</t>
        </is>
      </c>
      <c r="B322" s="1" t="n">
        <v>45694.57181712963</v>
      </c>
      <c r="C322" s="1" t="n">
        <v>45975</v>
      </c>
      <c r="D322" t="inlineStr">
        <is>
          <t>ÖREBRO LÄN</t>
        </is>
      </c>
      <c r="E322" t="inlineStr">
        <is>
          <t>ÖREBRO</t>
        </is>
      </c>
      <c r="F322" t="inlineStr">
        <is>
          <t>Övriga Aktiebolag</t>
        </is>
      </c>
      <c r="G322" t="n">
        <v>1.5</v>
      </c>
      <c r="H322" t="n">
        <v>0</v>
      </c>
      <c r="I322" t="n">
        <v>0</v>
      </c>
      <c r="J322" t="n">
        <v>0</v>
      </c>
      <c r="K322" t="n">
        <v>0</v>
      </c>
      <c r="L322" t="n">
        <v>0</v>
      </c>
      <c r="M322" t="n">
        <v>0</v>
      </c>
      <c r="N322" t="n">
        <v>0</v>
      </c>
      <c r="O322" t="n">
        <v>0</v>
      </c>
      <c r="P322" t="n">
        <v>0</v>
      </c>
      <c r="Q322" t="n">
        <v>0</v>
      </c>
      <c r="R322" s="2" t="inlineStr"/>
    </row>
    <row r="323" ht="15" customHeight="1">
      <c r="A323" t="inlineStr">
        <is>
          <t>A 12682-2023</t>
        </is>
      </c>
      <c r="B323" s="1" t="n">
        <v>45000.6115625</v>
      </c>
      <c r="C323" s="1" t="n">
        <v>45975</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13592-2023</t>
        </is>
      </c>
      <c r="B324" s="1" t="n">
        <v>45006.56870370371</v>
      </c>
      <c r="C324" s="1" t="n">
        <v>45975</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10368-2021</t>
        </is>
      </c>
      <c r="B325" s="1" t="n">
        <v>44257</v>
      </c>
      <c r="C325" s="1" t="n">
        <v>45975</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13599-2025</t>
        </is>
      </c>
      <c r="B326" s="1" t="n">
        <v>45736.60597222222</v>
      </c>
      <c r="C326" s="1" t="n">
        <v>45975</v>
      </c>
      <c r="D326" t="inlineStr">
        <is>
          <t>ÖREBRO LÄN</t>
        </is>
      </c>
      <c r="E326" t="inlineStr">
        <is>
          <t>ÖREBRO</t>
        </is>
      </c>
      <c r="G326" t="n">
        <v>1.9</v>
      </c>
      <c r="H326" t="n">
        <v>0</v>
      </c>
      <c r="I326" t="n">
        <v>0</v>
      </c>
      <c r="J326" t="n">
        <v>0</v>
      </c>
      <c r="K326" t="n">
        <v>0</v>
      </c>
      <c r="L326" t="n">
        <v>0</v>
      </c>
      <c r="M326" t="n">
        <v>0</v>
      </c>
      <c r="N326" t="n">
        <v>0</v>
      </c>
      <c r="O326" t="n">
        <v>0</v>
      </c>
      <c r="P326" t="n">
        <v>0</v>
      </c>
      <c r="Q326" t="n">
        <v>0</v>
      </c>
      <c r="R326" s="2" t="inlineStr"/>
    </row>
    <row r="327" ht="15" customHeight="1">
      <c r="A327" t="inlineStr">
        <is>
          <t>A 38057-2025</t>
        </is>
      </c>
      <c r="B327" s="1" t="n">
        <v>45882.42570601852</v>
      </c>
      <c r="C327" s="1" t="n">
        <v>45975</v>
      </c>
      <c r="D327" t="inlineStr">
        <is>
          <t>ÖREBRO LÄN</t>
        </is>
      </c>
      <c r="E327" t="inlineStr">
        <is>
          <t>ÖREBRO</t>
        </is>
      </c>
      <c r="G327" t="n">
        <v>3</v>
      </c>
      <c r="H327" t="n">
        <v>0</v>
      </c>
      <c r="I327" t="n">
        <v>0</v>
      </c>
      <c r="J327" t="n">
        <v>0</v>
      </c>
      <c r="K327" t="n">
        <v>0</v>
      </c>
      <c r="L327" t="n">
        <v>0</v>
      </c>
      <c r="M327" t="n">
        <v>0</v>
      </c>
      <c r="N327" t="n">
        <v>0</v>
      </c>
      <c r="O327" t="n">
        <v>0</v>
      </c>
      <c r="P327" t="n">
        <v>0</v>
      </c>
      <c r="Q327" t="n">
        <v>0</v>
      </c>
      <c r="R327" s="2" t="inlineStr"/>
    </row>
    <row r="328" ht="15" customHeight="1">
      <c r="A328" t="inlineStr">
        <is>
          <t>A 62794-2021</t>
        </is>
      </c>
      <c r="B328" s="1" t="n">
        <v>44504</v>
      </c>
      <c r="C328" s="1" t="n">
        <v>45975</v>
      </c>
      <c r="D328" t="inlineStr">
        <is>
          <t>ÖREBRO LÄN</t>
        </is>
      </c>
      <c r="E328" t="inlineStr">
        <is>
          <t>ÖREBRO</t>
        </is>
      </c>
      <c r="G328" t="n">
        <v>3.3</v>
      </c>
      <c r="H328" t="n">
        <v>0</v>
      </c>
      <c r="I328" t="n">
        <v>0</v>
      </c>
      <c r="J328" t="n">
        <v>0</v>
      </c>
      <c r="K328" t="n">
        <v>0</v>
      </c>
      <c r="L328" t="n">
        <v>0</v>
      </c>
      <c r="M328" t="n">
        <v>0</v>
      </c>
      <c r="N328" t="n">
        <v>0</v>
      </c>
      <c r="O328" t="n">
        <v>0</v>
      </c>
      <c r="P328" t="n">
        <v>0</v>
      </c>
      <c r="Q328" t="n">
        <v>0</v>
      </c>
      <c r="R328" s="2" t="inlineStr"/>
    </row>
    <row r="329" ht="15" customHeight="1">
      <c r="A329" t="inlineStr">
        <is>
          <t>A 52612-2024</t>
        </is>
      </c>
      <c r="B329" s="1" t="n">
        <v>45609</v>
      </c>
      <c r="C329" s="1" t="n">
        <v>45975</v>
      </c>
      <c r="D329" t="inlineStr">
        <is>
          <t>ÖREBRO LÄN</t>
        </is>
      </c>
      <c r="E329" t="inlineStr">
        <is>
          <t>ÖREBRO</t>
        </is>
      </c>
      <c r="F329" t="inlineStr">
        <is>
          <t>Kommuner</t>
        </is>
      </c>
      <c r="G329" t="n">
        <v>5.5</v>
      </c>
      <c r="H329" t="n">
        <v>0</v>
      </c>
      <c r="I329" t="n">
        <v>0</v>
      </c>
      <c r="J329" t="n">
        <v>0</v>
      </c>
      <c r="K329" t="n">
        <v>0</v>
      </c>
      <c r="L329" t="n">
        <v>0</v>
      </c>
      <c r="M329" t="n">
        <v>0</v>
      </c>
      <c r="N329" t="n">
        <v>0</v>
      </c>
      <c r="O329" t="n">
        <v>0</v>
      </c>
      <c r="P329" t="n">
        <v>0</v>
      </c>
      <c r="Q329" t="n">
        <v>0</v>
      </c>
      <c r="R329" s="2" t="inlineStr"/>
    </row>
    <row r="330" ht="15" customHeight="1">
      <c r="A330" t="inlineStr">
        <is>
          <t>A 5795-2024</t>
        </is>
      </c>
      <c r="B330" s="1" t="n">
        <v>45335.4531712963</v>
      </c>
      <c r="C330" s="1" t="n">
        <v>45975</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59736-2023</t>
        </is>
      </c>
      <c r="B331" s="1" t="n">
        <v>45257.374375</v>
      </c>
      <c r="C331" s="1" t="n">
        <v>45975</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37771-2024</t>
        </is>
      </c>
      <c r="B332" s="1" t="n">
        <v>45542.31359953704</v>
      </c>
      <c r="C332" s="1" t="n">
        <v>45975</v>
      </c>
      <c r="D332" t="inlineStr">
        <is>
          <t>ÖREBRO LÄN</t>
        </is>
      </c>
      <c r="E332" t="inlineStr">
        <is>
          <t>ÖREBRO</t>
        </is>
      </c>
      <c r="G332" t="n">
        <v>1.8</v>
      </c>
      <c r="H332" t="n">
        <v>0</v>
      </c>
      <c r="I332" t="n">
        <v>0</v>
      </c>
      <c r="J332" t="n">
        <v>0</v>
      </c>
      <c r="K332" t="n">
        <v>0</v>
      </c>
      <c r="L332" t="n">
        <v>0</v>
      </c>
      <c r="M332" t="n">
        <v>0</v>
      </c>
      <c r="N332" t="n">
        <v>0</v>
      </c>
      <c r="O332" t="n">
        <v>0</v>
      </c>
      <c r="P332" t="n">
        <v>0</v>
      </c>
      <c r="Q332" t="n">
        <v>0</v>
      </c>
      <c r="R332" s="2" t="inlineStr"/>
    </row>
    <row r="333" ht="15" customHeight="1">
      <c r="A333" t="inlineStr">
        <is>
          <t>A 15652-2025</t>
        </is>
      </c>
      <c r="B333" s="1" t="n">
        <v>45748</v>
      </c>
      <c r="C333" s="1" t="n">
        <v>45975</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55355-2024</t>
        </is>
      </c>
      <c r="B334" s="1" t="n">
        <v>45621.80475694445</v>
      </c>
      <c r="C334" s="1" t="n">
        <v>45975</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2076-2025</t>
        </is>
      </c>
      <c r="B335" s="1" t="n">
        <v>45672</v>
      </c>
      <c r="C335" s="1" t="n">
        <v>45975</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50375-2024</t>
        </is>
      </c>
      <c r="B336" s="1" t="n">
        <v>45601.29311342593</v>
      </c>
      <c r="C336" s="1" t="n">
        <v>45975</v>
      </c>
      <c r="D336" t="inlineStr">
        <is>
          <t>ÖREBRO LÄN</t>
        </is>
      </c>
      <c r="E336" t="inlineStr">
        <is>
          <t>ÖREBRO</t>
        </is>
      </c>
      <c r="G336" t="n">
        <v>5</v>
      </c>
      <c r="H336" t="n">
        <v>0</v>
      </c>
      <c r="I336" t="n">
        <v>0</v>
      </c>
      <c r="J336" t="n">
        <v>0</v>
      </c>
      <c r="K336" t="n">
        <v>0</v>
      </c>
      <c r="L336" t="n">
        <v>0</v>
      </c>
      <c r="M336" t="n">
        <v>0</v>
      </c>
      <c r="N336" t="n">
        <v>0</v>
      </c>
      <c r="O336" t="n">
        <v>0</v>
      </c>
      <c r="P336" t="n">
        <v>0</v>
      </c>
      <c r="Q336" t="n">
        <v>0</v>
      </c>
      <c r="R336" s="2" t="inlineStr"/>
    </row>
    <row r="337" ht="15" customHeight="1">
      <c r="A337" t="inlineStr">
        <is>
          <t>A 52391-2024</t>
        </is>
      </c>
      <c r="B337" s="1" t="n">
        <v>45609.43180555556</v>
      </c>
      <c r="C337" s="1" t="n">
        <v>45975</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49029-2024</t>
        </is>
      </c>
      <c r="B338" s="1" t="n">
        <v>45594</v>
      </c>
      <c r="C338" s="1" t="n">
        <v>45975</v>
      </c>
      <c r="D338" t="inlineStr">
        <is>
          <t>ÖREBRO LÄN</t>
        </is>
      </c>
      <c r="E338" t="inlineStr">
        <is>
          <t>ÖREBRO</t>
        </is>
      </c>
      <c r="G338" t="n">
        <v>3.7</v>
      </c>
      <c r="H338" t="n">
        <v>0</v>
      </c>
      <c r="I338" t="n">
        <v>0</v>
      </c>
      <c r="J338" t="n">
        <v>0</v>
      </c>
      <c r="K338" t="n">
        <v>0</v>
      </c>
      <c r="L338" t="n">
        <v>0</v>
      </c>
      <c r="M338" t="n">
        <v>0</v>
      </c>
      <c r="N338" t="n">
        <v>0</v>
      </c>
      <c r="O338" t="n">
        <v>0</v>
      </c>
      <c r="P338" t="n">
        <v>0</v>
      </c>
      <c r="Q338" t="n">
        <v>0</v>
      </c>
      <c r="R338" s="2" t="inlineStr"/>
    </row>
    <row r="339" ht="15" customHeight="1">
      <c r="A339" t="inlineStr">
        <is>
          <t>A 20115-2024</t>
        </is>
      </c>
      <c r="B339" s="1" t="n">
        <v>45434</v>
      </c>
      <c r="C339" s="1" t="n">
        <v>45975</v>
      </c>
      <c r="D339" t="inlineStr">
        <is>
          <t>ÖREBRO LÄN</t>
        </is>
      </c>
      <c r="E339" t="inlineStr">
        <is>
          <t>ÖREBRO</t>
        </is>
      </c>
      <c r="G339" t="n">
        <v>1.7</v>
      </c>
      <c r="H339" t="n">
        <v>0</v>
      </c>
      <c r="I339" t="n">
        <v>0</v>
      </c>
      <c r="J339" t="n">
        <v>0</v>
      </c>
      <c r="K339" t="n">
        <v>0</v>
      </c>
      <c r="L339" t="n">
        <v>0</v>
      </c>
      <c r="M339" t="n">
        <v>0</v>
      </c>
      <c r="N339" t="n">
        <v>0</v>
      </c>
      <c r="O339" t="n">
        <v>0</v>
      </c>
      <c r="P339" t="n">
        <v>0</v>
      </c>
      <c r="Q339" t="n">
        <v>0</v>
      </c>
      <c r="R339" s="2" t="inlineStr"/>
    </row>
    <row r="340" ht="15" customHeight="1">
      <c r="A340" t="inlineStr">
        <is>
          <t>A 14960-2025</t>
        </is>
      </c>
      <c r="B340" s="1" t="n">
        <v>45743.5853125</v>
      </c>
      <c r="C340" s="1" t="n">
        <v>45975</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60022-2024</t>
        </is>
      </c>
      <c r="B341" s="1" t="n">
        <v>45642</v>
      </c>
      <c r="C341" s="1" t="n">
        <v>45975</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55875-2024</t>
        </is>
      </c>
      <c r="B342" s="1" t="n">
        <v>45623.55375</v>
      </c>
      <c r="C342" s="1" t="n">
        <v>45975</v>
      </c>
      <c r="D342" t="inlineStr">
        <is>
          <t>ÖREBRO LÄN</t>
        </is>
      </c>
      <c r="E342" t="inlineStr">
        <is>
          <t>ÖREBRO</t>
        </is>
      </c>
      <c r="G342" t="n">
        <v>3.5</v>
      </c>
      <c r="H342" t="n">
        <v>0</v>
      </c>
      <c r="I342" t="n">
        <v>0</v>
      </c>
      <c r="J342" t="n">
        <v>0</v>
      </c>
      <c r="K342" t="n">
        <v>0</v>
      </c>
      <c r="L342" t="n">
        <v>0</v>
      </c>
      <c r="M342" t="n">
        <v>0</v>
      </c>
      <c r="N342" t="n">
        <v>0</v>
      </c>
      <c r="O342" t="n">
        <v>0</v>
      </c>
      <c r="P342" t="n">
        <v>0</v>
      </c>
      <c r="Q342" t="n">
        <v>0</v>
      </c>
      <c r="R342" s="2" t="inlineStr"/>
    </row>
    <row r="343" ht="15" customHeight="1">
      <c r="A343" t="inlineStr">
        <is>
          <t>A 58532-2024</t>
        </is>
      </c>
      <c r="B343" s="1" t="n">
        <v>45635.44899305556</v>
      </c>
      <c r="C343" s="1" t="n">
        <v>45975</v>
      </c>
      <c r="D343" t="inlineStr">
        <is>
          <t>ÖREBRO LÄN</t>
        </is>
      </c>
      <c r="E343" t="inlineStr">
        <is>
          <t>ÖREBRO</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21097-2025</t>
        </is>
      </c>
      <c r="B344" s="1" t="n">
        <v>45777.63863425926</v>
      </c>
      <c r="C344" s="1" t="n">
        <v>45975</v>
      </c>
      <c r="D344" t="inlineStr">
        <is>
          <t>ÖREBRO LÄN</t>
        </is>
      </c>
      <c r="E344" t="inlineStr">
        <is>
          <t>ÖREBRO</t>
        </is>
      </c>
      <c r="G344" t="n">
        <v>2.1</v>
      </c>
      <c r="H344" t="n">
        <v>0</v>
      </c>
      <c r="I344" t="n">
        <v>0</v>
      </c>
      <c r="J344" t="n">
        <v>0</v>
      </c>
      <c r="K344" t="n">
        <v>0</v>
      </c>
      <c r="L344" t="n">
        <v>0</v>
      </c>
      <c r="M344" t="n">
        <v>0</v>
      </c>
      <c r="N344" t="n">
        <v>0</v>
      </c>
      <c r="O344" t="n">
        <v>0</v>
      </c>
      <c r="P344" t="n">
        <v>0</v>
      </c>
      <c r="Q344" t="n">
        <v>0</v>
      </c>
      <c r="R344" s="2" t="inlineStr"/>
    </row>
    <row r="345" ht="15" customHeight="1">
      <c r="A345" t="inlineStr">
        <is>
          <t>A 23710-2022</t>
        </is>
      </c>
      <c r="B345" s="1" t="n">
        <v>44722</v>
      </c>
      <c r="C345" s="1" t="n">
        <v>45975</v>
      </c>
      <c r="D345" t="inlineStr">
        <is>
          <t>ÖREBRO LÄN</t>
        </is>
      </c>
      <c r="E345" t="inlineStr">
        <is>
          <t>ÖREBRO</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10470-2025</t>
        </is>
      </c>
      <c r="B346" s="1" t="n">
        <v>45720</v>
      </c>
      <c r="C346" s="1" t="n">
        <v>45975</v>
      </c>
      <c r="D346" t="inlineStr">
        <is>
          <t>ÖREBRO LÄN</t>
        </is>
      </c>
      <c r="E346" t="inlineStr">
        <is>
          <t>ÖREBRO</t>
        </is>
      </c>
      <c r="G346" t="n">
        <v>11.5</v>
      </c>
      <c r="H346" t="n">
        <v>0</v>
      </c>
      <c r="I346" t="n">
        <v>0</v>
      </c>
      <c r="J346" t="n">
        <v>0</v>
      </c>
      <c r="K346" t="n">
        <v>0</v>
      </c>
      <c r="L346" t="n">
        <v>0</v>
      </c>
      <c r="M346" t="n">
        <v>0</v>
      </c>
      <c r="N346" t="n">
        <v>0</v>
      </c>
      <c r="O346" t="n">
        <v>0</v>
      </c>
      <c r="P346" t="n">
        <v>0</v>
      </c>
      <c r="Q346" t="n">
        <v>0</v>
      </c>
      <c r="R346" s="2" t="inlineStr"/>
    </row>
    <row r="347" ht="15" customHeight="1">
      <c r="A347" t="inlineStr">
        <is>
          <t>A 46056-2024</t>
        </is>
      </c>
      <c r="B347" s="1" t="n">
        <v>45580.91502314815</v>
      </c>
      <c r="C347" s="1" t="n">
        <v>45975</v>
      </c>
      <c r="D347" t="inlineStr">
        <is>
          <t>ÖREBRO LÄN</t>
        </is>
      </c>
      <c r="E347" t="inlineStr">
        <is>
          <t>ÖREBRO</t>
        </is>
      </c>
      <c r="F347" t="inlineStr">
        <is>
          <t>Övriga Aktiebolag</t>
        </is>
      </c>
      <c r="G347" t="n">
        <v>4.5</v>
      </c>
      <c r="H347" t="n">
        <v>0</v>
      </c>
      <c r="I347" t="n">
        <v>0</v>
      </c>
      <c r="J347" t="n">
        <v>0</v>
      </c>
      <c r="K347" t="n">
        <v>0</v>
      </c>
      <c r="L347" t="n">
        <v>0</v>
      </c>
      <c r="M347" t="n">
        <v>0</v>
      </c>
      <c r="N347" t="n">
        <v>0</v>
      </c>
      <c r="O347" t="n">
        <v>0</v>
      </c>
      <c r="P347" t="n">
        <v>0</v>
      </c>
      <c r="Q347" t="n">
        <v>0</v>
      </c>
      <c r="R347" s="2" t="inlineStr"/>
    </row>
    <row r="348" ht="15" customHeight="1">
      <c r="A348" t="inlineStr">
        <is>
          <t>A 13355-2023</t>
        </is>
      </c>
      <c r="B348" s="1" t="n">
        <v>45004</v>
      </c>
      <c r="C348" s="1" t="n">
        <v>45975</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20150-2024</t>
        </is>
      </c>
      <c r="B349" s="1" t="n">
        <v>45434.57969907407</v>
      </c>
      <c r="C349" s="1" t="n">
        <v>45975</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41678-2024</t>
        </is>
      </c>
      <c r="B350" s="1" t="n">
        <v>45560</v>
      </c>
      <c r="C350" s="1" t="n">
        <v>45975</v>
      </c>
      <c r="D350" t="inlineStr">
        <is>
          <t>ÖREBRO LÄN</t>
        </is>
      </c>
      <c r="E350" t="inlineStr">
        <is>
          <t>ÖREBRO</t>
        </is>
      </c>
      <c r="G350" t="n">
        <v>11.3</v>
      </c>
      <c r="H350" t="n">
        <v>0</v>
      </c>
      <c r="I350" t="n">
        <v>0</v>
      </c>
      <c r="J350" t="n">
        <v>0</v>
      </c>
      <c r="K350" t="n">
        <v>0</v>
      </c>
      <c r="L350" t="n">
        <v>0</v>
      </c>
      <c r="M350" t="n">
        <v>0</v>
      </c>
      <c r="N350" t="n">
        <v>0</v>
      </c>
      <c r="O350" t="n">
        <v>0</v>
      </c>
      <c r="P350" t="n">
        <v>0</v>
      </c>
      <c r="Q350" t="n">
        <v>0</v>
      </c>
      <c r="R350" s="2" t="inlineStr"/>
    </row>
    <row r="351" ht="15" customHeight="1">
      <c r="A351" t="inlineStr">
        <is>
          <t>A 6522-2023</t>
        </is>
      </c>
      <c r="B351" s="1" t="n">
        <v>44966</v>
      </c>
      <c r="C351" s="1" t="n">
        <v>45975</v>
      </c>
      <c r="D351" t="inlineStr">
        <is>
          <t>ÖREBRO LÄN</t>
        </is>
      </c>
      <c r="E351" t="inlineStr">
        <is>
          <t>ÖREBRO</t>
        </is>
      </c>
      <c r="G351" t="n">
        <v>4.4</v>
      </c>
      <c r="H351" t="n">
        <v>0</v>
      </c>
      <c r="I351" t="n">
        <v>0</v>
      </c>
      <c r="J351" t="n">
        <v>0</v>
      </c>
      <c r="K351" t="n">
        <v>0</v>
      </c>
      <c r="L351" t="n">
        <v>0</v>
      </c>
      <c r="M351" t="n">
        <v>0</v>
      </c>
      <c r="N351" t="n">
        <v>0</v>
      </c>
      <c r="O351" t="n">
        <v>0</v>
      </c>
      <c r="P351" t="n">
        <v>0</v>
      </c>
      <c r="Q351" t="n">
        <v>0</v>
      </c>
      <c r="R351" s="2" t="inlineStr"/>
    </row>
    <row r="352" ht="15" customHeight="1">
      <c r="A352" t="inlineStr">
        <is>
          <t>A 18550-2025</t>
        </is>
      </c>
      <c r="B352" s="1" t="n">
        <v>45763.43422453704</v>
      </c>
      <c r="C352" s="1" t="n">
        <v>45975</v>
      </c>
      <c r="D352" t="inlineStr">
        <is>
          <t>ÖREBRO LÄN</t>
        </is>
      </c>
      <c r="E352" t="inlineStr">
        <is>
          <t>ÖREBRO</t>
        </is>
      </c>
      <c r="G352" t="n">
        <v>11.5</v>
      </c>
      <c r="H352" t="n">
        <v>0</v>
      </c>
      <c r="I352" t="n">
        <v>0</v>
      </c>
      <c r="J352" t="n">
        <v>0</v>
      </c>
      <c r="K352" t="n">
        <v>0</v>
      </c>
      <c r="L352" t="n">
        <v>0</v>
      </c>
      <c r="M352" t="n">
        <v>0</v>
      </c>
      <c r="N352" t="n">
        <v>0</v>
      </c>
      <c r="O352" t="n">
        <v>0</v>
      </c>
      <c r="P352" t="n">
        <v>0</v>
      </c>
      <c r="Q352" t="n">
        <v>0</v>
      </c>
      <c r="R352" s="2" t="inlineStr"/>
    </row>
    <row r="353" ht="15" customHeight="1">
      <c r="A353" t="inlineStr">
        <is>
          <t>A 56040-2024</t>
        </is>
      </c>
      <c r="B353" s="1" t="n">
        <v>45624.3344212963</v>
      </c>
      <c r="C353" s="1" t="n">
        <v>45975</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52444-2024</t>
        </is>
      </c>
      <c r="B354" s="1" t="n">
        <v>45609.48894675926</v>
      </c>
      <c r="C354" s="1" t="n">
        <v>45975</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39003-2025</t>
        </is>
      </c>
      <c r="B355" s="1" t="n">
        <v>45888.34467592592</v>
      </c>
      <c r="C355" s="1" t="n">
        <v>45975</v>
      </c>
      <c r="D355" t="inlineStr">
        <is>
          <t>ÖREBRO LÄN</t>
        </is>
      </c>
      <c r="E355" t="inlineStr">
        <is>
          <t>ÖREBRO</t>
        </is>
      </c>
      <c r="G355" t="n">
        <v>3.7</v>
      </c>
      <c r="H355" t="n">
        <v>0</v>
      </c>
      <c r="I355" t="n">
        <v>0</v>
      </c>
      <c r="J355" t="n">
        <v>0</v>
      </c>
      <c r="K355" t="n">
        <v>0</v>
      </c>
      <c r="L355" t="n">
        <v>0</v>
      </c>
      <c r="M355" t="n">
        <v>0</v>
      </c>
      <c r="N355" t="n">
        <v>0</v>
      </c>
      <c r="O355" t="n">
        <v>0</v>
      </c>
      <c r="P355" t="n">
        <v>0</v>
      </c>
      <c r="Q355" t="n">
        <v>0</v>
      </c>
      <c r="R355" s="2" t="inlineStr"/>
    </row>
    <row r="356" ht="15" customHeight="1">
      <c r="A356" t="inlineStr">
        <is>
          <t>A 15422-2022</t>
        </is>
      </c>
      <c r="B356" s="1" t="n">
        <v>44659.63753472222</v>
      </c>
      <c r="C356" s="1" t="n">
        <v>45975</v>
      </c>
      <c r="D356" t="inlineStr">
        <is>
          <t>ÖREBRO LÄN</t>
        </is>
      </c>
      <c r="E356" t="inlineStr">
        <is>
          <t>ÖREBRO</t>
        </is>
      </c>
      <c r="G356" t="n">
        <v>2</v>
      </c>
      <c r="H356" t="n">
        <v>0</v>
      </c>
      <c r="I356" t="n">
        <v>0</v>
      </c>
      <c r="J356" t="n">
        <v>0</v>
      </c>
      <c r="K356" t="n">
        <v>0</v>
      </c>
      <c r="L356" t="n">
        <v>0</v>
      </c>
      <c r="M356" t="n">
        <v>0</v>
      </c>
      <c r="N356" t="n">
        <v>0</v>
      </c>
      <c r="O356" t="n">
        <v>0</v>
      </c>
      <c r="P356" t="n">
        <v>0</v>
      </c>
      <c r="Q356" t="n">
        <v>0</v>
      </c>
      <c r="R356" s="2" t="inlineStr"/>
    </row>
    <row r="357" ht="15" customHeight="1">
      <c r="A357" t="inlineStr">
        <is>
          <t>A 13418-2024</t>
        </is>
      </c>
      <c r="B357" s="1" t="n">
        <v>45387.46482638889</v>
      </c>
      <c r="C357" s="1" t="n">
        <v>45975</v>
      </c>
      <c r="D357" t="inlineStr">
        <is>
          <t>ÖREBRO LÄN</t>
        </is>
      </c>
      <c r="E357" t="inlineStr">
        <is>
          <t>ÖREBRO</t>
        </is>
      </c>
      <c r="G357" t="n">
        <v>4.2</v>
      </c>
      <c r="H357" t="n">
        <v>0</v>
      </c>
      <c r="I357" t="n">
        <v>0</v>
      </c>
      <c r="J357" t="n">
        <v>0</v>
      </c>
      <c r="K357" t="n">
        <v>0</v>
      </c>
      <c r="L357" t="n">
        <v>0</v>
      </c>
      <c r="M357" t="n">
        <v>0</v>
      </c>
      <c r="N357" t="n">
        <v>0</v>
      </c>
      <c r="O357" t="n">
        <v>0</v>
      </c>
      <c r="P357" t="n">
        <v>0</v>
      </c>
      <c r="Q357" t="n">
        <v>0</v>
      </c>
      <c r="R357" s="2" t="inlineStr"/>
    </row>
    <row r="358" ht="15" customHeight="1">
      <c r="A358" t="inlineStr">
        <is>
          <t>A 60128-2023</t>
        </is>
      </c>
      <c r="B358" s="1" t="n">
        <v>45258</v>
      </c>
      <c r="C358" s="1" t="n">
        <v>45975</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46323-2024</t>
        </is>
      </c>
      <c r="B359" s="1" t="n">
        <v>45581.84538194445</v>
      </c>
      <c r="C359" s="1" t="n">
        <v>45975</v>
      </c>
      <c r="D359" t="inlineStr">
        <is>
          <t>ÖREBRO LÄN</t>
        </is>
      </c>
      <c r="E359" t="inlineStr">
        <is>
          <t>ÖREBRO</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35819-2024</t>
        </is>
      </c>
      <c r="B360" s="1" t="n">
        <v>45532</v>
      </c>
      <c r="C360" s="1" t="n">
        <v>45975</v>
      </c>
      <c r="D360" t="inlineStr">
        <is>
          <t>ÖREBRO LÄN</t>
        </is>
      </c>
      <c r="E360" t="inlineStr">
        <is>
          <t>ÖREBRO</t>
        </is>
      </c>
      <c r="G360" t="n">
        <v>6.4</v>
      </c>
      <c r="H360" t="n">
        <v>0</v>
      </c>
      <c r="I360" t="n">
        <v>0</v>
      </c>
      <c r="J360" t="n">
        <v>0</v>
      </c>
      <c r="K360" t="n">
        <v>0</v>
      </c>
      <c r="L360" t="n">
        <v>0</v>
      </c>
      <c r="M360" t="n">
        <v>0</v>
      </c>
      <c r="N360" t="n">
        <v>0</v>
      </c>
      <c r="O360" t="n">
        <v>0</v>
      </c>
      <c r="P360" t="n">
        <v>0</v>
      </c>
      <c r="Q360" t="n">
        <v>0</v>
      </c>
      <c r="R360" s="2" t="inlineStr"/>
    </row>
    <row r="361" ht="15" customHeight="1">
      <c r="A361" t="inlineStr">
        <is>
          <t>A 16140-2023</t>
        </is>
      </c>
      <c r="B361" s="1" t="n">
        <v>45027.6433912037</v>
      </c>
      <c r="C361" s="1" t="n">
        <v>45975</v>
      </c>
      <c r="D361" t="inlineStr">
        <is>
          <t>ÖREBRO LÄN</t>
        </is>
      </c>
      <c r="E361" t="inlineStr">
        <is>
          <t>ÖREBRO</t>
        </is>
      </c>
      <c r="G361" t="n">
        <v>2</v>
      </c>
      <c r="H361" t="n">
        <v>0</v>
      </c>
      <c r="I361" t="n">
        <v>0</v>
      </c>
      <c r="J361" t="n">
        <v>0</v>
      </c>
      <c r="K361" t="n">
        <v>0</v>
      </c>
      <c r="L361" t="n">
        <v>0</v>
      </c>
      <c r="M361" t="n">
        <v>0</v>
      </c>
      <c r="N361" t="n">
        <v>0</v>
      </c>
      <c r="O361" t="n">
        <v>0</v>
      </c>
      <c r="P361" t="n">
        <v>0</v>
      </c>
      <c r="Q361" t="n">
        <v>0</v>
      </c>
      <c r="R361" s="2" t="inlineStr"/>
    </row>
    <row r="362" ht="15" customHeight="1">
      <c r="A362" t="inlineStr">
        <is>
          <t>A 32076-2023</t>
        </is>
      </c>
      <c r="B362" s="1" t="n">
        <v>45119.58324074074</v>
      </c>
      <c r="C362" s="1" t="n">
        <v>45975</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764-2024</t>
        </is>
      </c>
      <c r="B363" s="1" t="n">
        <v>45300.51512731481</v>
      </c>
      <c r="C363" s="1" t="n">
        <v>45975</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39446-2025</t>
        </is>
      </c>
      <c r="B364" s="1" t="n">
        <v>45889.70388888889</v>
      </c>
      <c r="C364" s="1" t="n">
        <v>45975</v>
      </c>
      <c r="D364" t="inlineStr">
        <is>
          <t>ÖREBRO LÄN</t>
        </is>
      </c>
      <c r="E364" t="inlineStr">
        <is>
          <t>ÖREBRO</t>
        </is>
      </c>
      <c r="F364" t="inlineStr">
        <is>
          <t>Kyrkan</t>
        </is>
      </c>
      <c r="G364" t="n">
        <v>3.2</v>
      </c>
      <c r="H364" t="n">
        <v>0</v>
      </c>
      <c r="I364" t="n">
        <v>0</v>
      </c>
      <c r="J364" t="n">
        <v>0</v>
      </c>
      <c r="K364" t="n">
        <v>0</v>
      </c>
      <c r="L364" t="n">
        <v>0</v>
      </c>
      <c r="M364" t="n">
        <v>0</v>
      </c>
      <c r="N364" t="n">
        <v>0</v>
      </c>
      <c r="O364" t="n">
        <v>0</v>
      </c>
      <c r="P364" t="n">
        <v>0</v>
      </c>
      <c r="Q364" t="n">
        <v>0</v>
      </c>
      <c r="R364" s="2" t="inlineStr"/>
    </row>
    <row r="365" ht="15" customHeight="1">
      <c r="A365" t="inlineStr">
        <is>
          <t>A 39479-2025</t>
        </is>
      </c>
      <c r="B365" s="1" t="n">
        <v>45890.34752314815</v>
      </c>
      <c r="C365" s="1" t="n">
        <v>45975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6752-2022</t>
        </is>
      </c>
      <c r="B366" s="1" t="n">
        <v>44602.48082175926</v>
      </c>
      <c r="C366" s="1" t="n">
        <v>45975</v>
      </c>
      <c r="D366" t="inlineStr">
        <is>
          <t>ÖREBRO LÄN</t>
        </is>
      </c>
      <c r="E366" t="inlineStr">
        <is>
          <t>ÖREBRO</t>
        </is>
      </c>
      <c r="G366" t="n">
        <v>3.1</v>
      </c>
      <c r="H366" t="n">
        <v>0</v>
      </c>
      <c r="I366" t="n">
        <v>0</v>
      </c>
      <c r="J366" t="n">
        <v>0</v>
      </c>
      <c r="K366" t="n">
        <v>0</v>
      </c>
      <c r="L366" t="n">
        <v>0</v>
      </c>
      <c r="M366" t="n">
        <v>0</v>
      </c>
      <c r="N366" t="n">
        <v>0</v>
      </c>
      <c r="O366" t="n">
        <v>0</v>
      </c>
      <c r="P366" t="n">
        <v>0</v>
      </c>
      <c r="Q366" t="n">
        <v>0</v>
      </c>
      <c r="R366" s="2" t="inlineStr"/>
    </row>
    <row r="367" ht="15" customHeight="1">
      <c r="A367" t="inlineStr">
        <is>
          <t>A 58644-2023</t>
        </is>
      </c>
      <c r="B367" s="1" t="n">
        <v>45251.58716435185</v>
      </c>
      <c r="C367" s="1" t="n">
        <v>45975</v>
      </c>
      <c r="D367" t="inlineStr">
        <is>
          <t>ÖREBRO LÄN</t>
        </is>
      </c>
      <c r="E367" t="inlineStr">
        <is>
          <t>ÖREBRO</t>
        </is>
      </c>
      <c r="F367" t="inlineStr">
        <is>
          <t>Övriga Aktiebolag</t>
        </is>
      </c>
      <c r="G367" t="n">
        <v>1.9</v>
      </c>
      <c r="H367" t="n">
        <v>0</v>
      </c>
      <c r="I367" t="n">
        <v>0</v>
      </c>
      <c r="J367" t="n">
        <v>0</v>
      </c>
      <c r="K367" t="n">
        <v>0</v>
      </c>
      <c r="L367" t="n">
        <v>0</v>
      </c>
      <c r="M367" t="n">
        <v>0</v>
      </c>
      <c r="N367" t="n">
        <v>0</v>
      </c>
      <c r="O367" t="n">
        <v>0</v>
      </c>
      <c r="P367" t="n">
        <v>0</v>
      </c>
      <c r="Q367" t="n">
        <v>0</v>
      </c>
      <c r="R367" s="2" t="inlineStr"/>
    </row>
    <row r="368" ht="15" customHeight="1">
      <c r="A368" t="inlineStr">
        <is>
          <t>A 48644-2024</t>
        </is>
      </c>
      <c r="B368" s="1" t="n">
        <v>45593.47466435185</v>
      </c>
      <c r="C368" s="1" t="n">
        <v>45975</v>
      </c>
      <c r="D368" t="inlineStr">
        <is>
          <t>ÖREBRO LÄN</t>
        </is>
      </c>
      <c r="E368" t="inlineStr">
        <is>
          <t>ÖREBRO</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21338-2025</t>
        </is>
      </c>
      <c r="B369" s="1" t="n">
        <v>45780</v>
      </c>
      <c r="C369" s="1" t="n">
        <v>45975</v>
      </c>
      <c r="D369" t="inlineStr">
        <is>
          <t>ÖREBRO LÄN</t>
        </is>
      </c>
      <c r="E369" t="inlineStr">
        <is>
          <t>ÖREBRO</t>
        </is>
      </c>
      <c r="G369" t="n">
        <v>3.2</v>
      </c>
      <c r="H369" t="n">
        <v>0</v>
      </c>
      <c r="I369" t="n">
        <v>0</v>
      </c>
      <c r="J369" t="n">
        <v>0</v>
      </c>
      <c r="K369" t="n">
        <v>0</v>
      </c>
      <c r="L369" t="n">
        <v>0</v>
      </c>
      <c r="M369" t="n">
        <v>0</v>
      </c>
      <c r="N369" t="n">
        <v>0</v>
      </c>
      <c r="O369" t="n">
        <v>0</v>
      </c>
      <c r="P369" t="n">
        <v>0</v>
      </c>
      <c r="Q369" t="n">
        <v>0</v>
      </c>
      <c r="R369" s="2" t="inlineStr"/>
    </row>
    <row r="370" ht="15" customHeight="1">
      <c r="A370" t="inlineStr">
        <is>
          <t>A 58208-2024</t>
        </is>
      </c>
      <c r="B370" s="1" t="n">
        <v>45632</v>
      </c>
      <c r="C370" s="1" t="n">
        <v>45975</v>
      </c>
      <c r="D370" t="inlineStr">
        <is>
          <t>ÖREBRO LÄN</t>
        </is>
      </c>
      <c r="E370" t="inlineStr">
        <is>
          <t>ÖREBRO</t>
        </is>
      </c>
      <c r="G370" t="n">
        <v>3.1</v>
      </c>
      <c r="H370" t="n">
        <v>0</v>
      </c>
      <c r="I370" t="n">
        <v>0</v>
      </c>
      <c r="J370" t="n">
        <v>0</v>
      </c>
      <c r="K370" t="n">
        <v>0</v>
      </c>
      <c r="L370" t="n">
        <v>0</v>
      </c>
      <c r="M370" t="n">
        <v>0</v>
      </c>
      <c r="N370" t="n">
        <v>0</v>
      </c>
      <c r="O370" t="n">
        <v>0</v>
      </c>
      <c r="P370" t="n">
        <v>0</v>
      </c>
      <c r="Q370" t="n">
        <v>0</v>
      </c>
      <c r="R370" s="2" t="inlineStr"/>
    </row>
    <row r="371" ht="15" customHeight="1">
      <c r="A371" t="inlineStr">
        <is>
          <t>A 34056-2023</t>
        </is>
      </c>
      <c r="B371" s="1" t="n">
        <v>45135</v>
      </c>
      <c r="C371" s="1" t="n">
        <v>45975</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19388-2024</t>
        </is>
      </c>
      <c r="B372" s="1" t="n">
        <v>45429.37775462963</v>
      </c>
      <c r="C372" s="1" t="n">
        <v>45975</v>
      </c>
      <c r="D372" t="inlineStr">
        <is>
          <t>ÖREBRO LÄN</t>
        </is>
      </c>
      <c r="E372" t="inlineStr">
        <is>
          <t>ÖREBRO</t>
        </is>
      </c>
      <c r="G372" t="n">
        <v>4.3</v>
      </c>
      <c r="H372" t="n">
        <v>0</v>
      </c>
      <c r="I372" t="n">
        <v>0</v>
      </c>
      <c r="J372" t="n">
        <v>0</v>
      </c>
      <c r="K372" t="n">
        <v>0</v>
      </c>
      <c r="L372" t="n">
        <v>0</v>
      </c>
      <c r="M372" t="n">
        <v>0</v>
      </c>
      <c r="N372" t="n">
        <v>0</v>
      </c>
      <c r="O372" t="n">
        <v>0</v>
      </c>
      <c r="P372" t="n">
        <v>0</v>
      </c>
      <c r="Q372" t="n">
        <v>0</v>
      </c>
      <c r="R372" s="2" t="inlineStr"/>
    </row>
    <row r="373" ht="15" customHeight="1">
      <c r="A373" t="inlineStr">
        <is>
          <t>A 33457-2023</t>
        </is>
      </c>
      <c r="B373" s="1" t="n">
        <v>45131</v>
      </c>
      <c r="C373" s="1" t="n">
        <v>45975</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45237-2023</t>
        </is>
      </c>
      <c r="B374" s="1" t="n">
        <v>45191</v>
      </c>
      <c r="C374" s="1" t="n">
        <v>45975</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5946-2021</t>
        </is>
      </c>
      <c r="B375" s="1" t="n">
        <v>44230</v>
      </c>
      <c r="C375" s="1" t="n">
        <v>45975</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51180-2023</t>
        </is>
      </c>
      <c r="B376" s="1" t="n">
        <v>45219</v>
      </c>
      <c r="C376" s="1" t="n">
        <v>45975</v>
      </c>
      <c r="D376" t="inlineStr">
        <is>
          <t>ÖREBRO LÄN</t>
        </is>
      </c>
      <c r="E376" t="inlineStr">
        <is>
          <t>ÖREBRO</t>
        </is>
      </c>
      <c r="G376" t="n">
        <v>6.5</v>
      </c>
      <c r="H376" t="n">
        <v>0</v>
      </c>
      <c r="I376" t="n">
        <v>0</v>
      </c>
      <c r="J376" t="n">
        <v>0</v>
      </c>
      <c r="K376" t="n">
        <v>0</v>
      </c>
      <c r="L376" t="n">
        <v>0</v>
      </c>
      <c r="M376" t="n">
        <v>0</v>
      </c>
      <c r="N376" t="n">
        <v>0</v>
      </c>
      <c r="O376" t="n">
        <v>0</v>
      </c>
      <c r="P376" t="n">
        <v>0</v>
      </c>
      <c r="Q376" t="n">
        <v>0</v>
      </c>
      <c r="R376" s="2" t="inlineStr"/>
    </row>
    <row r="377" ht="15" customHeight="1">
      <c r="A377" t="inlineStr">
        <is>
          <t>A 60028-2024</t>
        </is>
      </c>
      <c r="B377" s="1" t="n">
        <v>45642</v>
      </c>
      <c r="C377" s="1" t="n">
        <v>45975</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33294-2023</t>
        </is>
      </c>
      <c r="B378" s="1" t="n">
        <v>45127</v>
      </c>
      <c r="C378" s="1" t="n">
        <v>45975</v>
      </c>
      <c r="D378" t="inlineStr">
        <is>
          <t>ÖREBRO LÄN</t>
        </is>
      </c>
      <c r="E378" t="inlineStr">
        <is>
          <t>ÖREBRO</t>
        </is>
      </c>
      <c r="F378" t="inlineStr">
        <is>
          <t>Övriga Aktiebolag</t>
        </is>
      </c>
      <c r="G378" t="n">
        <v>6.7</v>
      </c>
      <c r="H378" t="n">
        <v>0</v>
      </c>
      <c r="I378" t="n">
        <v>0</v>
      </c>
      <c r="J378" t="n">
        <v>0</v>
      </c>
      <c r="K378" t="n">
        <v>0</v>
      </c>
      <c r="L378" t="n">
        <v>0</v>
      </c>
      <c r="M378" t="n">
        <v>0</v>
      </c>
      <c r="N378" t="n">
        <v>0</v>
      </c>
      <c r="O378" t="n">
        <v>0</v>
      </c>
      <c r="P378" t="n">
        <v>0</v>
      </c>
      <c r="Q378" t="n">
        <v>0</v>
      </c>
      <c r="R378" s="2" t="inlineStr"/>
    </row>
    <row r="379" ht="15" customHeight="1">
      <c r="A379" t="inlineStr">
        <is>
          <t>A 48454-2025</t>
        </is>
      </c>
      <c r="B379" s="1" t="n">
        <v>45935.80164351852</v>
      </c>
      <c r="C379" s="1" t="n">
        <v>45975</v>
      </c>
      <c r="D379" t="inlineStr">
        <is>
          <t>ÖREBRO LÄN</t>
        </is>
      </c>
      <c r="E379" t="inlineStr">
        <is>
          <t>ÖREBRO</t>
        </is>
      </c>
      <c r="F379" t="inlineStr">
        <is>
          <t>Övriga Aktiebolag</t>
        </is>
      </c>
      <c r="G379" t="n">
        <v>18.1</v>
      </c>
      <c r="H379" t="n">
        <v>0</v>
      </c>
      <c r="I379" t="n">
        <v>0</v>
      </c>
      <c r="J379" t="n">
        <v>0</v>
      </c>
      <c r="K379" t="n">
        <v>0</v>
      </c>
      <c r="L379" t="n">
        <v>0</v>
      </c>
      <c r="M379" t="n">
        <v>0</v>
      </c>
      <c r="N379" t="n">
        <v>0</v>
      </c>
      <c r="O379" t="n">
        <v>0</v>
      </c>
      <c r="P379" t="n">
        <v>0</v>
      </c>
      <c r="Q379" t="n">
        <v>0</v>
      </c>
      <c r="R379" s="2" t="inlineStr"/>
    </row>
    <row r="380" ht="15" customHeight="1">
      <c r="A380" t="inlineStr">
        <is>
          <t>A 13857-2022</t>
        </is>
      </c>
      <c r="B380" s="1" t="n">
        <v>44649</v>
      </c>
      <c r="C380" s="1" t="n">
        <v>45975</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22755-2025</t>
        </is>
      </c>
      <c r="B381" s="1" t="n">
        <v>45789.61872685186</v>
      </c>
      <c r="C381" s="1" t="n">
        <v>45975</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44199-2024</t>
        </is>
      </c>
      <c r="B382" s="1" t="n">
        <v>45573</v>
      </c>
      <c r="C382" s="1" t="n">
        <v>45975</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61078-2024</t>
        </is>
      </c>
      <c r="B383" s="1" t="n">
        <v>45645.51034722223</v>
      </c>
      <c r="C383" s="1" t="n">
        <v>45975</v>
      </c>
      <c r="D383" t="inlineStr">
        <is>
          <t>ÖREBRO LÄN</t>
        </is>
      </c>
      <c r="E383" t="inlineStr">
        <is>
          <t>ÖREBRO</t>
        </is>
      </c>
      <c r="G383" t="n">
        <v>4.1</v>
      </c>
      <c r="H383" t="n">
        <v>0</v>
      </c>
      <c r="I383" t="n">
        <v>0</v>
      </c>
      <c r="J383" t="n">
        <v>0</v>
      </c>
      <c r="K383" t="n">
        <v>0</v>
      </c>
      <c r="L383" t="n">
        <v>0</v>
      </c>
      <c r="M383" t="n">
        <v>0</v>
      </c>
      <c r="N383" t="n">
        <v>0</v>
      </c>
      <c r="O383" t="n">
        <v>0</v>
      </c>
      <c r="P383" t="n">
        <v>0</v>
      </c>
      <c r="Q383" t="n">
        <v>0</v>
      </c>
      <c r="R383" s="2" t="inlineStr"/>
    </row>
    <row r="384" ht="15" customHeight="1">
      <c r="A384" t="inlineStr">
        <is>
          <t>A 34336-2024</t>
        </is>
      </c>
      <c r="B384" s="1" t="n">
        <v>45524.94774305556</v>
      </c>
      <c r="C384" s="1" t="n">
        <v>45975</v>
      </c>
      <c r="D384" t="inlineStr">
        <is>
          <t>ÖREBRO LÄN</t>
        </is>
      </c>
      <c r="E384" t="inlineStr">
        <is>
          <t>ÖREBRO</t>
        </is>
      </c>
      <c r="G384" t="n">
        <v>1.3</v>
      </c>
      <c r="H384" t="n">
        <v>0</v>
      </c>
      <c r="I384" t="n">
        <v>0</v>
      </c>
      <c r="J384" t="n">
        <v>0</v>
      </c>
      <c r="K384" t="n">
        <v>0</v>
      </c>
      <c r="L384" t="n">
        <v>0</v>
      </c>
      <c r="M384" t="n">
        <v>0</v>
      </c>
      <c r="N384" t="n">
        <v>0</v>
      </c>
      <c r="O384" t="n">
        <v>0</v>
      </c>
      <c r="P384" t="n">
        <v>0</v>
      </c>
      <c r="Q384" t="n">
        <v>0</v>
      </c>
      <c r="R384" s="2" t="inlineStr"/>
    </row>
    <row r="385" ht="15" customHeight="1">
      <c r="A385" t="inlineStr">
        <is>
          <t>A 26443-2024</t>
        </is>
      </c>
      <c r="B385" s="1" t="n">
        <v>45469.49901620371</v>
      </c>
      <c r="C385" s="1" t="n">
        <v>45975</v>
      </c>
      <c r="D385" t="inlineStr">
        <is>
          <t>ÖREBRO LÄN</t>
        </is>
      </c>
      <c r="E385" t="inlineStr">
        <is>
          <t>ÖREBRO</t>
        </is>
      </c>
      <c r="G385" t="n">
        <v>5.7</v>
      </c>
      <c r="H385" t="n">
        <v>0</v>
      </c>
      <c r="I385" t="n">
        <v>0</v>
      </c>
      <c r="J385" t="n">
        <v>0</v>
      </c>
      <c r="K385" t="n">
        <v>0</v>
      </c>
      <c r="L385" t="n">
        <v>0</v>
      </c>
      <c r="M385" t="n">
        <v>0</v>
      </c>
      <c r="N385" t="n">
        <v>0</v>
      </c>
      <c r="O385" t="n">
        <v>0</v>
      </c>
      <c r="P385" t="n">
        <v>0</v>
      </c>
      <c r="Q385" t="n">
        <v>0</v>
      </c>
      <c r="R385" s="2" t="inlineStr"/>
    </row>
    <row r="386" ht="15" customHeight="1">
      <c r="A386" t="inlineStr">
        <is>
          <t>A 35477-2024</t>
        </is>
      </c>
      <c r="B386" s="1" t="n">
        <v>45531</v>
      </c>
      <c r="C386" s="1" t="n">
        <v>45975</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7506-2025</t>
        </is>
      </c>
      <c r="B387" s="1" t="n">
        <v>45705</v>
      </c>
      <c r="C387" s="1" t="n">
        <v>45975</v>
      </c>
      <c r="D387" t="inlineStr">
        <is>
          <t>ÖREBRO LÄN</t>
        </is>
      </c>
      <c r="E387" t="inlineStr">
        <is>
          <t>ÖREBRO</t>
        </is>
      </c>
      <c r="G387" t="n">
        <v>0.5</v>
      </c>
      <c r="H387" t="n">
        <v>0</v>
      </c>
      <c r="I387" t="n">
        <v>0</v>
      </c>
      <c r="J387" t="n">
        <v>0</v>
      </c>
      <c r="K387" t="n">
        <v>0</v>
      </c>
      <c r="L387" t="n">
        <v>0</v>
      </c>
      <c r="M387" t="n">
        <v>0</v>
      </c>
      <c r="N387" t="n">
        <v>0</v>
      </c>
      <c r="O387" t="n">
        <v>0</v>
      </c>
      <c r="P387" t="n">
        <v>0</v>
      </c>
      <c r="Q387" t="n">
        <v>0</v>
      </c>
      <c r="R387" s="2" t="inlineStr"/>
    </row>
    <row r="388" ht="15" customHeight="1">
      <c r="A388" t="inlineStr">
        <is>
          <t>A 4344-2025</t>
        </is>
      </c>
      <c r="B388" s="1" t="n">
        <v>45685</v>
      </c>
      <c r="C388" s="1" t="n">
        <v>45975</v>
      </c>
      <c r="D388" t="inlineStr">
        <is>
          <t>ÖREBRO LÄN</t>
        </is>
      </c>
      <c r="E388" t="inlineStr">
        <is>
          <t>ÖREBRO</t>
        </is>
      </c>
      <c r="G388" t="n">
        <v>1.6</v>
      </c>
      <c r="H388" t="n">
        <v>0</v>
      </c>
      <c r="I388" t="n">
        <v>0</v>
      </c>
      <c r="J388" t="n">
        <v>0</v>
      </c>
      <c r="K388" t="n">
        <v>0</v>
      </c>
      <c r="L388" t="n">
        <v>0</v>
      </c>
      <c r="M388" t="n">
        <v>0</v>
      </c>
      <c r="N388" t="n">
        <v>0</v>
      </c>
      <c r="O388" t="n">
        <v>0</v>
      </c>
      <c r="P388" t="n">
        <v>0</v>
      </c>
      <c r="Q388" t="n">
        <v>0</v>
      </c>
      <c r="R388" s="2" t="inlineStr"/>
    </row>
    <row r="389" ht="15" customHeight="1">
      <c r="A389" t="inlineStr">
        <is>
          <t>A 16300-2022</t>
        </is>
      </c>
      <c r="B389" s="1" t="n">
        <v>44670</v>
      </c>
      <c r="C389" s="1" t="n">
        <v>45975</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12871-2021</t>
        </is>
      </c>
      <c r="B390" s="1" t="n">
        <v>44271.42121527778</v>
      </c>
      <c r="C390" s="1" t="n">
        <v>45975</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13158-2024</t>
        </is>
      </c>
      <c r="B391" s="1" t="n">
        <v>45386.38728009259</v>
      </c>
      <c r="C391" s="1" t="n">
        <v>45975</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16958-2022</t>
        </is>
      </c>
      <c r="B392" s="1" t="n">
        <v>44676.50481481481</v>
      </c>
      <c r="C392" s="1" t="n">
        <v>45975</v>
      </c>
      <c r="D392" t="inlineStr">
        <is>
          <t>ÖREBRO LÄN</t>
        </is>
      </c>
      <c r="E392" t="inlineStr">
        <is>
          <t>ÖREBRO</t>
        </is>
      </c>
      <c r="G392" t="n">
        <v>3.1</v>
      </c>
      <c r="H392" t="n">
        <v>0</v>
      </c>
      <c r="I392" t="n">
        <v>0</v>
      </c>
      <c r="J392" t="n">
        <v>0</v>
      </c>
      <c r="K392" t="n">
        <v>0</v>
      </c>
      <c r="L392" t="n">
        <v>0</v>
      </c>
      <c r="M392" t="n">
        <v>0</v>
      </c>
      <c r="N392" t="n">
        <v>0</v>
      </c>
      <c r="O392" t="n">
        <v>0</v>
      </c>
      <c r="P392" t="n">
        <v>0</v>
      </c>
      <c r="Q392" t="n">
        <v>0</v>
      </c>
      <c r="R392" s="2" t="inlineStr"/>
    </row>
    <row r="393" ht="15" customHeight="1">
      <c r="A393" t="inlineStr">
        <is>
          <t>A 55472-2023</t>
        </is>
      </c>
      <c r="B393" s="1" t="n">
        <v>45238</v>
      </c>
      <c r="C393" s="1" t="n">
        <v>45975</v>
      </c>
      <c r="D393" t="inlineStr">
        <is>
          <t>ÖREBRO LÄN</t>
        </is>
      </c>
      <c r="E393" t="inlineStr">
        <is>
          <t>ÖREBRO</t>
        </is>
      </c>
      <c r="G393" t="n">
        <v>0.6</v>
      </c>
      <c r="H393" t="n">
        <v>0</v>
      </c>
      <c r="I393" t="n">
        <v>0</v>
      </c>
      <c r="J393" t="n">
        <v>0</v>
      </c>
      <c r="K393" t="n">
        <v>0</v>
      </c>
      <c r="L393" t="n">
        <v>0</v>
      </c>
      <c r="M393" t="n">
        <v>0</v>
      </c>
      <c r="N393" t="n">
        <v>0</v>
      </c>
      <c r="O393" t="n">
        <v>0</v>
      </c>
      <c r="P393" t="n">
        <v>0</v>
      </c>
      <c r="Q393" t="n">
        <v>0</v>
      </c>
      <c r="R393" s="2" t="inlineStr"/>
    </row>
    <row r="394" ht="15" customHeight="1">
      <c r="A394" t="inlineStr">
        <is>
          <t>A 13181-2023</t>
        </is>
      </c>
      <c r="B394" s="1" t="n">
        <v>45002.60659722222</v>
      </c>
      <c r="C394" s="1" t="n">
        <v>45975</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25996-2024</t>
        </is>
      </c>
      <c r="B395" s="1" t="n">
        <v>45467.89081018518</v>
      </c>
      <c r="C395" s="1" t="n">
        <v>45975</v>
      </c>
      <c r="D395" t="inlineStr">
        <is>
          <t>ÖREBRO LÄN</t>
        </is>
      </c>
      <c r="E395" t="inlineStr">
        <is>
          <t>ÖREBRO</t>
        </is>
      </c>
      <c r="G395" t="n">
        <v>4.7</v>
      </c>
      <c r="H395" t="n">
        <v>0</v>
      </c>
      <c r="I395" t="n">
        <v>0</v>
      </c>
      <c r="J395" t="n">
        <v>0</v>
      </c>
      <c r="K395" t="n">
        <v>0</v>
      </c>
      <c r="L395" t="n">
        <v>0</v>
      </c>
      <c r="M395" t="n">
        <v>0</v>
      </c>
      <c r="N395" t="n">
        <v>0</v>
      </c>
      <c r="O395" t="n">
        <v>0</v>
      </c>
      <c r="P395" t="n">
        <v>0</v>
      </c>
      <c r="Q395" t="n">
        <v>0</v>
      </c>
      <c r="R395" s="2" t="inlineStr"/>
    </row>
    <row r="396" ht="15" customHeight="1">
      <c r="A396" t="inlineStr">
        <is>
          <t>A 16676-2025</t>
        </is>
      </c>
      <c r="B396" s="1" t="n">
        <v>45754.44658564815</v>
      </c>
      <c r="C396" s="1" t="n">
        <v>45975</v>
      </c>
      <c r="D396" t="inlineStr">
        <is>
          <t>ÖREBRO LÄN</t>
        </is>
      </c>
      <c r="E396" t="inlineStr">
        <is>
          <t>ÖREBRO</t>
        </is>
      </c>
      <c r="G396" t="n">
        <v>5.8</v>
      </c>
      <c r="H396" t="n">
        <v>0</v>
      </c>
      <c r="I396" t="n">
        <v>0</v>
      </c>
      <c r="J396" t="n">
        <v>0</v>
      </c>
      <c r="K396" t="n">
        <v>0</v>
      </c>
      <c r="L396" t="n">
        <v>0</v>
      </c>
      <c r="M396" t="n">
        <v>0</v>
      </c>
      <c r="N396" t="n">
        <v>0</v>
      </c>
      <c r="O396" t="n">
        <v>0</v>
      </c>
      <c r="P396" t="n">
        <v>0</v>
      </c>
      <c r="Q396" t="n">
        <v>0</v>
      </c>
      <c r="R396" s="2" t="inlineStr"/>
    </row>
    <row r="397" ht="15" customHeight="1">
      <c r="A397" t="inlineStr">
        <is>
          <t>A 54925-2023</t>
        </is>
      </c>
      <c r="B397" s="1" t="n">
        <v>45229</v>
      </c>
      <c r="C397" s="1" t="n">
        <v>45975</v>
      </c>
      <c r="D397" t="inlineStr">
        <is>
          <t>ÖREBRO LÄN</t>
        </is>
      </c>
      <c r="E397" t="inlineStr">
        <is>
          <t>ÖREBRO</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8568-2021</t>
        </is>
      </c>
      <c r="B398" s="1" t="n">
        <v>44245</v>
      </c>
      <c r="C398" s="1" t="n">
        <v>45975</v>
      </c>
      <c r="D398" t="inlineStr">
        <is>
          <t>ÖREBRO LÄN</t>
        </is>
      </c>
      <c r="E398" t="inlineStr">
        <is>
          <t>ÖREBRO</t>
        </is>
      </c>
      <c r="G398" t="n">
        <v>4.8</v>
      </c>
      <c r="H398" t="n">
        <v>0</v>
      </c>
      <c r="I398" t="n">
        <v>0</v>
      </c>
      <c r="J398" t="n">
        <v>0</v>
      </c>
      <c r="K398" t="n">
        <v>0</v>
      </c>
      <c r="L398" t="n">
        <v>0</v>
      </c>
      <c r="M398" t="n">
        <v>0</v>
      </c>
      <c r="N398" t="n">
        <v>0</v>
      </c>
      <c r="O398" t="n">
        <v>0</v>
      </c>
      <c r="P398" t="n">
        <v>0</v>
      </c>
      <c r="Q398" t="n">
        <v>0</v>
      </c>
      <c r="R398" s="2" t="inlineStr"/>
    </row>
    <row r="399" ht="15" customHeight="1">
      <c r="A399" t="inlineStr">
        <is>
          <t>A 16961-2022</t>
        </is>
      </c>
      <c r="B399" s="1" t="n">
        <v>44676</v>
      </c>
      <c r="C399" s="1" t="n">
        <v>45975</v>
      </c>
      <c r="D399" t="inlineStr">
        <is>
          <t>ÖREBRO LÄN</t>
        </is>
      </c>
      <c r="E399" t="inlineStr">
        <is>
          <t>ÖREBRO</t>
        </is>
      </c>
      <c r="G399" t="n">
        <v>1.2</v>
      </c>
      <c r="H399" t="n">
        <v>0</v>
      </c>
      <c r="I399" t="n">
        <v>0</v>
      </c>
      <c r="J399" t="n">
        <v>0</v>
      </c>
      <c r="K399" t="n">
        <v>0</v>
      </c>
      <c r="L399" t="n">
        <v>0</v>
      </c>
      <c r="M399" t="n">
        <v>0</v>
      </c>
      <c r="N399" t="n">
        <v>0</v>
      </c>
      <c r="O399" t="n">
        <v>0</v>
      </c>
      <c r="P399" t="n">
        <v>0</v>
      </c>
      <c r="Q399" t="n">
        <v>0</v>
      </c>
      <c r="R399" s="2" t="inlineStr"/>
    </row>
    <row r="400" ht="15" customHeight="1">
      <c r="A400" t="inlineStr">
        <is>
          <t>A 22719-2025</t>
        </is>
      </c>
      <c r="B400" s="1" t="n">
        <v>45789</v>
      </c>
      <c r="C400" s="1" t="n">
        <v>45975</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30316-2024</t>
        </is>
      </c>
      <c r="B401" s="1" t="n">
        <v>45490</v>
      </c>
      <c r="C401" s="1" t="n">
        <v>45975</v>
      </c>
      <c r="D401" t="inlineStr">
        <is>
          <t>ÖREBRO LÄN</t>
        </is>
      </c>
      <c r="E401" t="inlineStr">
        <is>
          <t>ÖREBRO</t>
        </is>
      </c>
      <c r="G401" t="n">
        <v>5.5</v>
      </c>
      <c r="H401" t="n">
        <v>0</v>
      </c>
      <c r="I401" t="n">
        <v>0</v>
      </c>
      <c r="J401" t="n">
        <v>0</v>
      </c>
      <c r="K401" t="n">
        <v>0</v>
      </c>
      <c r="L401" t="n">
        <v>0</v>
      </c>
      <c r="M401" t="n">
        <v>0</v>
      </c>
      <c r="N401" t="n">
        <v>0</v>
      </c>
      <c r="O401" t="n">
        <v>0</v>
      </c>
      <c r="P401" t="n">
        <v>0</v>
      </c>
      <c r="Q401" t="n">
        <v>0</v>
      </c>
      <c r="R401" s="2" t="inlineStr"/>
    </row>
    <row r="402" ht="15" customHeight="1">
      <c r="A402" t="inlineStr">
        <is>
          <t>A 38790-2024</t>
        </is>
      </c>
      <c r="B402" s="1" t="n">
        <v>45547.48450231482</v>
      </c>
      <c r="C402" s="1" t="n">
        <v>45975</v>
      </c>
      <c r="D402" t="inlineStr">
        <is>
          <t>ÖREBRO LÄN</t>
        </is>
      </c>
      <c r="E402" t="inlineStr">
        <is>
          <t>ÖREBRO</t>
        </is>
      </c>
      <c r="G402" t="n">
        <v>2</v>
      </c>
      <c r="H402" t="n">
        <v>0</v>
      </c>
      <c r="I402" t="n">
        <v>0</v>
      </c>
      <c r="J402" t="n">
        <v>0</v>
      </c>
      <c r="K402" t="n">
        <v>0</v>
      </c>
      <c r="L402" t="n">
        <v>0</v>
      </c>
      <c r="M402" t="n">
        <v>0</v>
      </c>
      <c r="N402" t="n">
        <v>0</v>
      </c>
      <c r="O402" t="n">
        <v>0</v>
      </c>
      <c r="P402" t="n">
        <v>0</v>
      </c>
      <c r="Q402" t="n">
        <v>0</v>
      </c>
      <c r="R402" s="2" t="inlineStr"/>
    </row>
    <row r="403" ht="15" customHeight="1">
      <c r="A403" t="inlineStr">
        <is>
          <t>A 61279-2024</t>
        </is>
      </c>
      <c r="B403" s="1" t="n">
        <v>45645</v>
      </c>
      <c r="C403" s="1" t="n">
        <v>45975</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15424-2022</t>
        </is>
      </c>
      <c r="B404" s="1" t="n">
        <v>44659</v>
      </c>
      <c r="C404" s="1" t="n">
        <v>45975</v>
      </c>
      <c r="D404" t="inlineStr">
        <is>
          <t>ÖREBRO LÄN</t>
        </is>
      </c>
      <c r="E404" t="inlineStr">
        <is>
          <t>ÖREBRO</t>
        </is>
      </c>
      <c r="G404" t="n">
        <v>2.2</v>
      </c>
      <c r="H404" t="n">
        <v>0</v>
      </c>
      <c r="I404" t="n">
        <v>0</v>
      </c>
      <c r="J404" t="n">
        <v>0</v>
      </c>
      <c r="K404" t="n">
        <v>0</v>
      </c>
      <c r="L404" t="n">
        <v>0</v>
      </c>
      <c r="M404" t="n">
        <v>0</v>
      </c>
      <c r="N404" t="n">
        <v>0</v>
      </c>
      <c r="O404" t="n">
        <v>0</v>
      </c>
      <c r="P404" t="n">
        <v>0</v>
      </c>
      <c r="Q404" t="n">
        <v>0</v>
      </c>
      <c r="R404" s="2" t="inlineStr"/>
    </row>
    <row r="405" ht="15" customHeight="1">
      <c r="A405" t="inlineStr">
        <is>
          <t>A 23741-2022</t>
        </is>
      </c>
      <c r="B405" s="1" t="n">
        <v>44722</v>
      </c>
      <c r="C405" s="1" t="n">
        <v>45975</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8274-2025</t>
        </is>
      </c>
      <c r="B406" s="1" t="n">
        <v>45708</v>
      </c>
      <c r="C406" s="1" t="n">
        <v>45975</v>
      </c>
      <c r="D406" t="inlineStr">
        <is>
          <t>ÖREBRO LÄN</t>
        </is>
      </c>
      <c r="E406" t="inlineStr">
        <is>
          <t>ÖREBRO</t>
        </is>
      </c>
      <c r="G406" t="n">
        <v>5.8</v>
      </c>
      <c r="H406" t="n">
        <v>0</v>
      </c>
      <c r="I406" t="n">
        <v>0</v>
      </c>
      <c r="J406" t="n">
        <v>0</v>
      </c>
      <c r="K406" t="n">
        <v>0</v>
      </c>
      <c r="L406" t="n">
        <v>0</v>
      </c>
      <c r="M406" t="n">
        <v>0</v>
      </c>
      <c r="N406" t="n">
        <v>0</v>
      </c>
      <c r="O406" t="n">
        <v>0</v>
      </c>
      <c r="P406" t="n">
        <v>0</v>
      </c>
      <c r="Q406" t="n">
        <v>0</v>
      </c>
      <c r="R406" s="2" t="inlineStr"/>
    </row>
    <row r="407" ht="15" customHeight="1">
      <c r="A407" t="inlineStr">
        <is>
          <t>A 58620-2024</t>
        </is>
      </c>
      <c r="B407" s="1" t="n">
        <v>45635.56246527778</v>
      </c>
      <c r="C407" s="1" t="n">
        <v>45975</v>
      </c>
      <c r="D407" t="inlineStr">
        <is>
          <t>ÖREBRO LÄN</t>
        </is>
      </c>
      <c r="E407" t="inlineStr">
        <is>
          <t>ÖREBRO</t>
        </is>
      </c>
      <c r="F407" t="inlineStr">
        <is>
          <t>Sveaskog</t>
        </is>
      </c>
      <c r="G407" t="n">
        <v>4.5</v>
      </c>
      <c r="H407" t="n">
        <v>0</v>
      </c>
      <c r="I407" t="n">
        <v>0</v>
      </c>
      <c r="J407" t="n">
        <v>0</v>
      </c>
      <c r="K407" t="n">
        <v>0</v>
      </c>
      <c r="L407" t="n">
        <v>0</v>
      </c>
      <c r="M407" t="n">
        <v>0</v>
      </c>
      <c r="N407" t="n">
        <v>0</v>
      </c>
      <c r="O407" t="n">
        <v>0</v>
      </c>
      <c r="P407" t="n">
        <v>0</v>
      </c>
      <c r="Q407" t="n">
        <v>0</v>
      </c>
      <c r="R407" s="2" t="inlineStr"/>
    </row>
    <row r="408" ht="15" customHeight="1">
      <c r="A408" t="inlineStr">
        <is>
          <t>A 71269-2021</t>
        </is>
      </c>
      <c r="B408" s="1" t="n">
        <v>44539</v>
      </c>
      <c r="C408" s="1" t="n">
        <v>45975</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40330-2025</t>
        </is>
      </c>
      <c r="B409" s="1" t="n">
        <v>45895.4531712963</v>
      </c>
      <c r="C409" s="1" t="n">
        <v>45975</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15555-2025</t>
        </is>
      </c>
      <c r="B410" s="1" t="n">
        <v>45747.67768518518</v>
      </c>
      <c r="C410" s="1" t="n">
        <v>45975</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40332-2025</t>
        </is>
      </c>
      <c r="B411" s="1" t="n">
        <v>45895.46060185185</v>
      </c>
      <c r="C411" s="1" t="n">
        <v>45975</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7141-2025</t>
        </is>
      </c>
      <c r="B412" s="1" t="n">
        <v>45702</v>
      </c>
      <c r="C412" s="1" t="n">
        <v>45975</v>
      </c>
      <c r="D412" t="inlineStr">
        <is>
          <t>ÖREBRO LÄN</t>
        </is>
      </c>
      <c r="E412" t="inlineStr">
        <is>
          <t>ÖREBRO</t>
        </is>
      </c>
      <c r="G412" t="n">
        <v>2.9</v>
      </c>
      <c r="H412" t="n">
        <v>0</v>
      </c>
      <c r="I412" t="n">
        <v>0</v>
      </c>
      <c r="J412" t="n">
        <v>0</v>
      </c>
      <c r="K412" t="n">
        <v>0</v>
      </c>
      <c r="L412" t="n">
        <v>0</v>
      </c>
      <c r="M412" t="n">
        <v>0</v>
      </c>
      <c r="N412" t="n">
        <v>0</v>
      </c>
      <c r="O412" t="n">
        <v>0</v>
      </c>
      <c r="P412" t="n">
        <v>0</v>
      </c>
      <c r="Q412" t="n">
        <v>0</v>
      </c>
      <c r="R412" s="2" t="inlineStr"/>
    </row>
    <row r="413" ht="15" customHeight="1">
      <c r="A413" t="inlineStr">
        <is>
          <t>A 5136-2024</t>
        </is>
      </c>
      <c r="B413" s="1" t="n">
        <v>45330</v>
      </c>
      <c r="C413" s="1" t="n">
        <v>45975</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59024-2024</t>
        </is>
      </c>
      <c r="B414" s="1" t="n">
        <v>45636.68505787037</v>
      </c>
      <c r="C414" s="1" t="n">
        <v>45975</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13700-2024</t>
        </is>
      </c>
      <c r="B415" s="1" t="n">
        <v>45390.59277777778</v>
      </c>
      <c r="C415" s="1" t="n">
        <v>45975</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4380-2025</t>
        </is>
      </c>
      <c r="B416" s="1" t="n">
        <v>45686.3959375</v>
      </c>
      <c r="C416" s="1" t="n">
        <v>45975</v>
      </c>
      <c r="D416" t="inlineStr">
        <is>
          <t>ÖREBRO LÄN</t>
        </is>
      </c>
      <c r="E416" t="inlineStr">
        <is>
          <t>ÖREBRO</t>
        </is>
      </c>
      <c r="G416" t="n">
        <v>3.2</v>
      </c>
      <c r="H416" t="n">
        <v>0</v>
      </c>
      <c r="I416" t="n">
        <v>0</v>
      </c>
      <c r="J416" t="n">
        <v>0</v>
      </c>
      <c r="K416" t="n">
        <v>0</v>
      </c>
      <c r="L416" t="n">
        <v>0</v>
      </c>
      <c r="M416" t="n">
        <v>0</v>
      </c>
      <c r="N416" t="n">
        <v>0</v>
      </c>
      <c r="O416" t="n">
        <v>0</v>
      </c>
      <c r="P416" t="n">
        <v>0</v>
      </c>
      <c r="Q416" t="n">
        <v>0</v>
      </c>
      <c r="R416" s="2" t="inlineStr"/>
    </row>
    <row r="417" ht="15" customHeight="1">
      <c r="A417" t="inlineStr">
        <is>
          <t>A 13657-2025</t>
        </is>
      </c>
      <c r="B417" s="1" t="n">
        <v>45736.7427662037</v>
      </c>
      <c r="C417" s="1" t="n">
        <v>45975</v>
      </c>
      <c r="D417" t="inlineStr">
        <is>
          <t>ÖREBRO LÄN</t>
        </is>
      </c>
      <c r="E417" t="inlineStr">
        <is>
          <t>ÖREBRO</t>
        </is>
      </c>
      <c r="G417" t="n">
        <v>3.8</v>
      </c>
      <c r="H417" t="n">
        <v>0</v>
      </c>
      <c r="I417" t="n">
        <v>0</v>
      </c>
      <c r="J417" t="n">
        <v>0</v>
      </c>
      <c r="K417" t="n">
        <v>0</v>
      </c>
      <c r="L417" t="n">
        <v>0</v>
      </c>
      <c r="M417" t="n">
        <v>0</v>
      </c>
      <c r="N417" t="n">
        <v>0</v>
      </c>
      <c r="O417" t="n">
        <v>0</v>
      </c>
      <c r="P417" t="n">
        <v>0</v>
      </c>
      <c r="Q417" t="n">
        <v>0</v>
      </c>
      <c r="R417" s="2" t="inlineStr"/>
    </row>
    <row r="418" ht="15" customHeight="1">
      <c r="A418" t="inlineStr">
        <is>
          <t>A 57867-2024</t>
        </is>
      </c>
      <c r="B418" s="1" t="n">
        <v>45631.43864583333</v>
      </c>
      <c r="C418" s="1" t="n">
        <v>45975</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29138-2022</t>
        </is>
      </c>
      <c r="B419" s="1" t="n">
        <v>44750</v>
      </c>
      <c r="C419" s="1" t="n">
        <v>45975</v>
      </c>
      <c r="D419" t="inlineStr">
        <is>
          <t>ÖREBRO LÄN</t>
        </is>
      </c>
      <c r="E419" t="inlineStr">
        <is>
          <t>ÖREBRO</t>
        </is>
      </c>
      <c r="G419" t="n">
        <v>3.3</v>
      </c>
      <c r="H419" t="n">
        <v>0</v>
      </c>
      <c r="I419" t="n">
        <v>0</v>
      </c>
      <c r="J419" t="n">
        <v>0</v>
      </c>
      <c r="K419" t="n">
        <v>0</v>
      </c>
      <c r="L419" t="n">
        <v>0</v>
      </c>
      <c r="M419" t="n">
        <v>0</v>
      </c>
      <c r="N419" t="n">
        <v>0</v>
      </c>
      <c r="O419" t="n">
        <v>0</v>
      </c>
      <c r="P419" t="n">
        <v>0</v>
      </c>
      <c r="Q419" t="n">
        <v>0</v>
      </c>
      <c r="R419" s="2" t="inlineStr"/>
    </row>
    <row r="420" ht="15" customHeight="1">
      <c r="A420" t="inlineStr">
        <is>
          <t>A 29143-2022</t>
        </is>
      </c>
      <c r="B420" s="1" t="n">
        <v>44750</v>
      </c>
      <c r="C420" s="1" t="n">
        <v>45975</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34358-2022</t>
        </is>
      </c>
      <c r="B421" s="1" t="n">
        <v>44792.45494212963</v>
      </c>
      <c r="C421" s="1" t="n">
        <v>45975</v>
      </c>
      <c r="D421" t="inlineStr">
        <is>
          <t>ÖREBRO LÄN</t>
        </is>
      </c>
      <c r="E421" t="inlineStr">
        <is>
          <t>ÖREBRO</t>
        </is>
      </c>
      <c r="F421" t="inlineStr">
        <is>
          <t>Övriga Aktiebolag</t>
        </is>
      </c>
      <c r="G421" t="n">
        <v>3.4</v>
      </c>
      <c r="H421" t="n">
        <v>0</v>
      </c>
      <c r="I421" t="n">
        <v>0</v>
      </c>
      <c r="J421" t="n">
        <v>0</v>
      </c>
      <c r="K421" t="n">
        <v>0</v>
      </c>
      <c r="L421" t="n">
        <v>0</v>
      </c>
      <c r="M421" t="n">
        <v>0</v>
      </c>
      <c r="N421" t="n">
        <v>0</v>
      </c>
      <c r="O421" t="n">
        <v>0</v>
      </c>
      <c r="P421" t="n">
        <v>0</v>
      </c>
      <c r="Q421" t="n">
        <v>0</v>
      </c>
      <c r="R421" s="2" t="inlineStr"/>
    </row>
    <row r="422" ht="15" customHeight="1">
      <c r="A422" t="inlineStr">
        <is>
          <t>A 21983-2021</t>
        </is>
      </c>
      <c r="B422" s="1" t="n">
        <v>44323</v>
      </c>
      <c r="C422" s="1" t="n">
        <v>45975</v>
      </c>
      <c r="D422" t="inlineStr">
        <is>
          <t>ÖREBRO LÄN</t>
        </is>
      </c>
      <c r="E422" t="inlineStr">
        <is>
          <t>ÖREBRO</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15695-2024</t>
        </is>
      </c>
      <c r="B423" s="1" t="n">
        <v>45404.45487268519</v>
      </c>
      <c r="C423" s="1" t="n">
        <v>45975</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3120-2022</t>
        </is>
      </c>
      <c r="B424" s="1" t="n">
        <v>44582</v>
      </c>
      <c r="C424" s="1" t="n">
        <v>45975</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5406-2025</t>
        </is>
      </c>
      <c r="B425" s="1" t="n">
        <v>45692.64821759259</v>
      </c>
      <c r="C425" s="1" t="n">
        <v>45975</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58606-2024</t>
        </is>
      </c>
      <c r="B426" s="1" t="n">
        <v>45635.54747685185</v>
      </c>
      <c r="C426" s="1" t="n">
        <v>45975</v>
      </c>
      <c r="D426" t="inlineStr">
        <is>
          <t>ÖREBRO LÄN</t>
        </is>
      </c>
      <c r="E426" t="inlineStr">
        <is>
          <t>ÖREBRO</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3659-2025</t>
        </is>
      </c>
      <c r="B427" s="1" t="n">
        <v>45681</v>
      </c>
      <c r="C427" s="1" t="n">
        <v>45975</v>
      </c>
      <c r="D427" t="inlineStr">
        <is>
          <t>ÖREBRO LÄN</t>
        </is>
      </c>
      <c r="E427" t="inlineStr">
        <is>
          <t>ÖREBRO</t>
        </is>
      </c>
      <c r="G427" t="n">
        <v>15.8</v>
      </c>
      <c r="H427" t="n">
        <v>0</v>
      </c>
      <c r="I427" t="n">
        <v>0</v>
      </c>
      <c r="J427" t="n">
        <v>0</v>
      </c>
      <c r="K427" t="n">
        <v>0</v>
      </c>
      <c r="L427" t="n">
        <v>0</v>
      </c>
      <c r="M427" t="n">
        <v>0</v>
      </c>
      <c r="N427" t="n">
        <v>0</v>
      </c>
      <c r="O427" t="n">
        <v>0</v>
      </c>
      <c r="P427" t="n">
        <v>0</v>
      </c>
      <c r="Q427" t="n">
        <v>0</v>
      </c>
      <c r="R427" s="2" t="inlineStr"/>
    </row>
    <row r="428" ht="15" customHeight="1">
      <c r="A428" t="inlineStr">
        <is>
          <t>A 26101-2022</t>
        </is>
      </c>
      <c r="B428" s="1" t="n">
        <v>44734</v>
      </c>
      <c r="C428" s="1" t="n">
        <v>45975</v>
      </c>
      <c r="D428" t="inlineStr">
        <is>
          <t>ÖREBRO LÄN</t>
        </is>
      </c>
      <c r="E428" t="inlineStr">
        <is>
          <t>ÖREBRO</t>
        </is>
      </c>
      <c r="G428" t="n">
        <v>15.8</v>
      </c>
      <c r="H428" t="n">
        <v>0</v>
      </c>
      <c r="I428" t="n">
        <v>0</v>
      </c>
      <c r="J428" t="n">
        <v>0</v>
      </c>
      <c r="K428" t="n">
        <v>0</v>
      </c>
      <c r="L428" t="n">
        <v>0</v>
      </c>
      <c r="M428" t="n">
        <v>0</v>
      </c>
      <c r="N428" t="n">
        <v>0</v>
      </c>
      <c r="O428" t="n">
        <v>0</v>
      </c>
      <c r="P428" t="n">
        <v>0</v>
      </c>
      <c r="Q428" t="n">
        <v>0</v>
      </c>
      <c r="R428" s="2" t="inlineStr"/>
    </row>
    <row r="429" ht="15" customHeight="1">
      <c r="A429" t="inlineStr">
        <is>
          <t>A 1014-2024</t>
        </is>
      </c>
      <c r="B429" s="1" t="n">
        <v>45301</v>
      </c>
      <c r="C429" s="1" t="n">
        <v>45975</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22348-2024</t>
        </is>
      </c>
      <c r="B430" s="1" t="n">
        <v>45446.61256944444</v>
      </c>
      <c r="C430" s="1" t="n">
        <v>45975</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52018-2024</t>
        </is>
      </c>
      <c r="B431" s="1" t="n">
        <v>45607.82974537037</v>
      </c>
      <c r="C431" s="1" t="n">
        <v>45975</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30089-2024</t>
        </is>
      </c>
      <c r="B432" s="1" t="n">
        <v>45485</v>
      </c>
      <c r="C432" s="1" t="n">
        <v>45975</v>
      </c>
      <c r="D432" t="inlineStr">
        <is>
          <t>ÖREBRO LÄN</t>
        </is>
      </c>
      <c r="E432" t="inlineStr">
        <is>
          <t>ÖREBRO</t>
        </is>
      </c>
      <c r="G432" t="n">
        <v>2.2</v>
      </c>
      <c r="H432" t="n">
        <v>0</v>
      </c>
      <c r="I432" t="n">
        <v>0</v>
      </c>
      <c r="J432" t="n">
        <v>0</v>
      </c>
      <c r="K432" t="n">
        <v>0</v>
      </c>
      <c r="L432" t="n">
        <v>0</v>
      </c>
      <c r="M432" t="n">
        <v>0</v>
      </c>
      <c r="N432" t="n">
        <v>0</v>
      </c>
      <c r="O432" t="n">
        <v>0</v>
      </c>
      <c r="P432" t="n">
        <v>0</v>
      </c>
      <c r="Q432" t="n">
        <v>0</v>
      </c>
      <c r="R432" s="2" t="inlineStr"/>
    </row>
    <row r="433" ht="15" customHeight="1">
      <c r="A433" t="inlineStr">
        <is>
          <t>A 58486-2024</t>
        </is>
      </c>
      <c r="B433" s="1" t="n">
        <v>45635</v>
      </c>
      <c r="C433" s="1" t="n">
        <v>45975</v>
      </c>
      <c r="D433" t="inlineStr">
        <is>
          <t>ÖREBRO LÄN</t>
        </is>
      </c>
      <c r="E433" t="inlineStr">
        <is>
          <t>ÖREBRO</t>
        </is>
      </c>
      <c r="G433" t="n">
        <v>1.7</v>
      </c>
      <c r="H433" t="n">
        <v>0</v>
      </c>
      <c r="I433" t="n">
        <v>0</v>
      </c>
      <c r="J433" t="n">
        <v>0</v>
      </c>
      <c r="K433" t="n">
        <v>0</v>
      </c>
      <c r="L433" t="n">
        <v>0</v>
      </c>
      <c r="M433" t="n">
        <v>0</v>
      </c>
      <c r="N433" t="n">
        <v>0</v>
      </c>
      <c r="O433" t="n">
        <v>0</v>
      </c>
      <c r="P433" t="n">
        <v>0</v>
      </c>
      <c r="Q433" t="n">
        <v>0</v>
      </c>
      <c r="R433" s="2" t="inlineStr"/>
    </row>
    <row r="434" ht="15" customHeight="1">
      <c r="A434" t="inlineStr">
        <is>
          <t>A 14053-2025</t>
        </is>
      </c>
      <c r="B434" s="1" t="n">
        <v>45739</v>
      </c>
      <c r="C434" s="1" t="n">
        <v>45975</v>
      </c>
      <c r="D434" t="inlineStr">
        <is>
          <t>ÖREBRO LÄN</t>
        </is>
      </c>
      <c r="E434" t="inlineStr">
        <is>
          <t>ÖREBRO</t>
        </is>
      </c>
      <c r="G434" t="n">
        <v>3.5</v>
      </c>
      <c r="H434" t="n">
        <v>0</v>
      </c>
      <c r="I434" t="n">
        <v>0</v>
      </c>
      <c r="J434" t="n">
        <v>0</v>
      </c>
      <c r="K434" t="n">
        <v>0</v>
      </c>
      <c r="L434" t="n">
        <v>0</v>
      </c>
      <c r="M434" t="n">
        <v>0</v>
      </c>
      <c r="N434" t="n">
        <v>0</v>
      </c>
      <c r="O434" t="n">
        <v>0</v>
      </c>
      <c r="P434" t="n">
        <v>0</v>
      </c>
      <c r="Q434" t="n">
        <v>0</v>
      </c>
      <c r="R434" s="2" t="inlineStr"/>
    </row>
    <row r="435" ht="15" customHeight="1">
      <c r="A435" t="inlineStr">
        <is>
          <t>A 8374-2021</t>
        </is>
      </c>
      <c r="B435" s="1" t="n">
        <v>44244</v>
      </c>
      <c r="C435" s="1" t="n">
        <v>45975</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35345-2024</t>
        </is>
      </c>
      <c r="B436" s="1" t="n">
        <v>45530</v>
      </c>
      <c r="C436" s="1" t="n">
        <v>45975</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71295-2021</t>
        </is>
      </c>
      <c r="B437" s="1" t="n">
        <v>44539.63009259259</v>
      </c>
      <c r="C437" s="1" t="n">
        <v>45975</v>
      </c>
      <c r="D437" t="inlineStr">
        <is>
          <t>ÖREBRO LÄN</t>
        </is>
      </c>
      <c r="E437" t="inlineStr">
        <is>
          <t>ÖREBRO</t>
        </is>
      </c>
      <c r="G437" t="n">
        <v>2.3</v>
      </c>
      <c r="H437" t="n">
        <v>0</v>
      </c>
      <c r="I437" t="n">
        <v>0</v>
      </c>
      <c r="J437" t="n">
        <v>0</v>
      </c>
      <c r="K437" t="n">
        <v>0</v>
      </c>
      <c r="L437" t="n">
        <v>0</v>
      </c>
      <c r="M437" t="n">
        <v>0</v>
      </c>
      <c r="N437" t="n">
        <v>0</v>
      </c>
      <c r="O437" t="n">
        <v>0</v>
      </c>
      <c r="P437" t="n">
        <v>0</v>
      </c>
      <c r="Q437" t="n">
        <v>0</v>
      </c>
      <c r="R437" s="2" t="inlineStr"/>
    </row>
    <row r="438" ht="15" customHeight="1">
      <c r="A438" t="inlineStr">
        <is>
          <t>A 46030-2024</t>
        </is>
      </c>
      <c r="B438" s="1" t="n">
        <v>45580.70377314815</v>
      </c>
      <c r="C438" s="1" t="n">
        <v>45975</v>
      </c>
      <c r="D438" t="inlineStr">
        <is>
          <t>ÖREBRO LÄN</t>
        </is>
      </c>
      <c r="E438" t="inlineStr">
        <is>
          <t>ÖREBRO</t>
        </is>
      </c>
      <c r="G438" t="n">
        <v>3.9</v>
      </c>
      <c r="H438" t="n">
        <v>0</v>
      </c>
      <c r="I438" t="n">
        <v>0</v>
      </c>
      <c r="J438" t="n">
        <v>0</v>
      </c>
      <c r="K438" t="n">
        <v>0</v>
      </c>
      <c r="L438" t="n">
        <v>0</v>
      </c>
      <c r="M438" t="n">
        <v>0</v>
      </c>
      <c r="N438" t="n">
        <v>0</v>
      </c>
      <c r="O438" t="n">
        <v>0</v>
      </c>
      <c r="P438" t="n">
        <v>0</v>
      </c>
      <c r="Q438" t="n">
        <v>0</v>
      </c>
      <c r="R438" s="2" t="inlineStr"/>
    </row>
    <row r="439" ht="15" customHeight="1">
      <c r="A439" t="inlineStr">
        <is>
          <t>A 5643-2025</t>
        </is>
      </c>
      <c r="B439" s="1" t="n">
        <v>45693</v>
      </c>
      <c r="C439" s="1" t="n">
        <v>45975</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123-2025</t>
        </is>
      </c>
      <c r="B440" s="1" t="n">
        <v>45659.54851851852</v>
      </c>
      <c r="C440" s="1" t="n">
        <v>45975</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767-2024</t>
        </is>
      </c>
      <c r="B441" s="1" t="n">
        <v>45300.51892361111</v>
      </c>
      <c r="C441" s="1" t="n">
        <v>45975</v>
      </c>
      <c r="D441" t="inlineStr">
        <is>
          <t>ÖREBRO LÄN</t>
        </is>
      </c>
      <c r="E441" t="inlineStr">
        <is>
          <t>ÖREBRO</t>
        </is>
      </c>
      <c r="G441" t="n">
        <v>2</v>
      </c>
      <c r="H441" t="n">
        <v>0</v>
      </c>
      <c r="I441" t="n">
        <v>0</v>
      </c>
      <c r="J441" t="n">
        <v>0</v>
      </c>
      <c r="K441" t="n">
        <v>0</v>
      </c>
      <c r="L441" t="n">
        <v>0</v>
      </c>
      <c r="M441" t="n">
        <v>0</v>
      </c>
      <c r="N441" t="n">
        <v>0</v>
      </c>
      <c r="O441" t="n">
        <v>0</v>
      </c>
      <c r="P441" t="n">
        <v>0</v>
      </c>
      <c r="Q441" t="n">
        <v>0</v>
      </c>
      <c r="R441" s="2" t="inlineStr"/>
    </row>
    <row r="442" ht="15" customHeight="1">
      <c r="A442" t="inlineStr">
        <is>
          <t>A 11516-2024</t>
        </is>
      </c>
      <c r="B442" s="1" t="n">
        <v>45372</v>
      </c>
      <c r="C442" s="1" t="n">
        <v>45975</v>
      </c>
      <c r="D442" t="inlineStr">
        <is>
          <t>ÖREBRO LÄN</t>
        </is>
      </c>
      <c r="E442" t="inlineStr">
        <is>
          <t>ÖREBRO</t>
        </is>
      </c>
      <c r="G442" t="n">
        <v>10.7</v>
      </c>
      <c r="H442" t="n">
        <v>0</v>
      </c>
      <c r="I442" t="n">
        <v>0</v>
      </c>
      <c r="J442" t="n">
        <v>0</v>
      </c>
      <c r="K442" t="n">
        <v>0</v>
      </c>
      <c r="L442" t="n">
        <v>0</v>
      </c>
      <c r="M442" t="n">
        <v>0</v>
      </c>
      <c r="N442" t="n">
        <v>0</v>
      </c>
      <c r="O442" t="n">
        <v>0</v>
      </c>
      <c r="P442" t="n">
        <v>0</v>
      </c>
      <c r="Q442" t="n">
        <v>0</v>
      </c>
      <c r="R442" s="2" t="inlineStr"/>
    </row>
    <row r="443" ht="15" customHeight="1">
      <c r="A443" t="inlineStr">
        <is>
          <t>A 30472-2022</t>
        </is>
      </c>
      <c r="B443" s="1" t="n">
        <v>44761.70467592592</v>
      </c>
      <c r="C443" s="1" t="n">
        <v>45975</v>
      </c>
      <c r="D443" t="inlineStr">
        <is>
          <t>ÖREBRO LÄN</t>
        </is>
      </c>
      <c r="E443" t="inlineStr">
        <is>
          <t>ÖREBRO</t>
        </is>
      </c>
      <c r="F443" t="inlineStr">
        <is>
          <t>Övriga Aktiebolag</t>
        </is>
      </c>
      <c r="G443" t="n">
        <v>5.6</v>
      </c>
      <c r="H443" t="n">
        <v>0</v>
      </c>
      <c r="I443" t="n">
        <v>0</v>
      </c>
      <c r="J443" t="n">
        <v>0</v>
      </c>
      <c r="K443" t="n">
        <v>0</v>
      </c>
      <c r="L443" t="n">
        <v>0</v>
      </c>
      <c r="M443" t="n">
        <v>0</v>
      </c>
      <c r="N443" t="n">
        <v>0</v>
      </c>
      <c r="O443" t="n">
        <v>0</v>
      </c>
      <c r="P443" t="n">
        <v>0</v>
      </c>
      <c r="Q443" t="n">
        <v>0</v>
      </c>
      <c r="R443" s="2" t="inlineStr"/>
    </row>
    <row r="444" ht="15" customHeight="1">
      <c r="A444" t="inlineStr">
        <is>
          <t>A 6869-2025</t>
        </is>
      </c>
      <c r="B444" s="1" t="n">
        <v>45700</v>
      </c>
      <c r="C444" s="1" t="n">
        <v>45975</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5342-2024</t>
        </is>
      </c>
      <c r="B445" s="1" t="n">
        <v>45331.44145833333</v>
      </c>
      <c r="C445" s="1" t="n">
        <v>45975</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44511-2023</t>
        </is>
      </c>
      <c r="B446" s="1" t="n">
        <v>45189</v>
      </c>
      <c r="C446" s="1" t="n">
        <v>45975</v>
      </c>
      <c r="D446" t="inlineStr">
        <is>
          <t>ÖREBRO LÄN</t>
        </is>
      </c>
      <c r="E446" t="inlineStr">
        <is>
          <t>ÖREBRO</t>
        </is>
      </c>
      <c r="F446" t="inlineStr">
        <is>
          <t>Allmännings- och besparingsskogar</t>
        </is>
      </c>
      <c r="G446" t="n">
        <v>2.7</v>
      </c>
      <c r="H446" t="n">
        <v>0</v>
      </c>
      <c r="I446" t="n">
        <v>0</v>
      </c>
      <c r="J446" t="n">
        <v>0</v>
      </c>
      <c r="K446" t="n">
        <v>0</v>
      </c>
      <c r="L446" t="n">
        <v>0</v>
      </c>
      <c r="M446" t="n">
        <v>0</v>
      </c>
      <c r="N446" t="n">
        <v>0</v>
      </c>
      <c r="O446" t="n">
        <v>0</v>
      </c>
      <c r="P446" t="n">
        <v>0</v>
      </c>
      <c r="Q446" t="n">
        <v>0</v>
      </c>
      <c r="R446" s="2" t="inlineStr"/>
    </row>
    <row r="447" ht="15" customHeight="1">
      <c r="A447" t="inlineStr">
        <is>
          <t>A 53234-2023</t>
        </is>
      </c>
      <c r="B447" s="1" t="n">
        <v>45229</v>
      </c>
      <c r="C447" s="1" t="n">
        <v>45975</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57869-2024</t>
        </is>
      </c>
      <c r="B448" s="1" t="n">
        <v>45631.44207175926</v>
      </c>
      <c r="C448" s="1" t="n">
        <v>45975</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8512-2025</t>
        </is>
      </c>
      <c r="B449" s="1" t="n">
        <v>45709.54873842592</v>
      </c>
      <c r="C449" s="1" t="n">
        <v>45975</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28054-2022</t>
        </is>
      </c>
      <c r="B450" s="1" t="n">
        <v>44746.41938657407</v>
      </c>
      <c r="C450" s="1" t="n">
        <v>45975</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1647-2024</t>
        </is>
      </c>
      <c r="B451" s="1" t="n">
        <v>45306</v>
      </c>
      <c r="C451" s="1" t="n">
        <v>45975</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57485-2023</t>
        </is>
      </c>
      <c r="B452" s="1" t="n">
        <v>45246</v>
      </c>
      <c r="C452" s="1" t="n">
        <v>45975</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58032-2023</t>
        </is>
      </c>
      <c r="B453" s="1" t="n">
        <v>45247</v>
      </c>
      <c r="C453" s="1" t="n">
        <v>45975</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58035-2023</t>
        </is>
      </c>
      <c r="B454" s="1" t="n">
        <v>45247</v>
      </c>
      <c r="C454" s="1" t="n">
        <v>45975</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37277-2022</t>
        </is>
      </c>
      <c r="B455" s="1" t="n">
        <v>44807.49150462963</v>
      </c>
      <c r="C455" s="1" t="n">
        <v>45975</v>
      </c>
      <c r="D455" t="inlineStr">
        <is>
          <t>ÖREBRO LÄN</t>
        </is>
      </c>
      <c r="E455" t="inlineStr">
        <is>
          <t>ÖREBRO</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27956-2023</t>
        </is>
      </c>
      <c r="B456" s="1" t="n">
        <v>45098</v>
      </c>
      <c r="C456" s="1" t="n">
        <v>45975</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51331-2023</t>
        </is>
      </c>
      <c r="B457" s="1" t="n">
        <v>45219</v>
      </c>
      <c r="C457" s="1" t="n">
        <v>45975</v>
      </c>
      <c r="D457" t="inlineStr">
        <is>
          <t>ÖREBRO LÄN</t>
        </is>
      </c>
      <c r="E457" t="inlineStr">
        <is>
          <t>ÖREBRO</t>
        </is>
      </c>
      <c r="F457" t="inlineStr">
        <is>
          <t>Kommuner</t>
        </is>
      </c>
      <c r="G457" t="n">
        <v>1.3</v>
      </c>
      <c r="H457" t="n">
        <v>0</v>
      </c>
      <c r="I457" t="n">
        <v>0</v>
      </c>
      <c r="J457" t="n">
        <v>0</v>
      </c>
      <c r="K457" t="n">
        <v>0</v>
      </c>
      <c r="L457" t="n">
        <v>0</v>
      </c>
      <c r="M457" t="n">
        <v>0</v>
      </c>
      <c r="N457" t="n">
        <v>0</v>
      </c>
      <c r="O457" t="n">
        <v>0</v>
      </c>
      <c r="P457" t="n">
        <v>0</v>
      </c>
      <c r="Q457" t="n">
        <v>0</v>
      </c>
      <c r="R457" s="2" t="inlineStr"/>
    </row>
    <row r="458" ht="15" customHeight="1">
      <c r="A458" t="inlineStr">
        <is>
          <t>A 40588-2021</t>
        </is>
      </c>
      <c r="B458" s="1" t="n">
        <v>44420</v>
      </c>
      <c r="C458" s="1" t="n">
        <v>45975</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41669-2025</t>
        </is>
      </c>
      <c r="B459" s="1" t="n">
        <v>45902.36149305556</v>
      </c>
      <c r="C459" s="1" t="n">
        <v>45975</v>
      </c>
      <c r="D459" t="inlineStr">
        <is>
          <t>ÖREBRO LÄN</t>
        </is>
      </c>
      <c r="E459" t="inlineStr">
        <is>
          <t>ÖREBRO</t>
        </is>
      </c>
      <c r="G459" t="n">
        <v>2.8</v>
      </c>
      <c r="H459" t="n">
        <v>0</v>
      </c>
      <c r="I459" t="n">
        <v>0</v>
      </c>
      <c r="J459" t="n">
        <v>0</v>
      </c>
      <c r="K459" t="n">
        <v>0</v>
      </c>
      <c r="L459" t="n">
        <v>0</v>
      </c>
      <c r="M459" t="n">
        <v>0</v>
      </c>
      <c r="N459" t="n">
        <v>0</v>
      </c>
      <c r="O459" t="n">
        <v>0</v>
      </c>
      <c r="P459" t="n">
        <v>0</v>
      </c>
      <c r="Q459" t="n">
        <v>0</v>
      </c>
      <c r="R459" s="2" t="inlineStr"/>
    </row>
    <row r="460" ht="15" customHeight="1">
      <c r="A460" t="inlineStr">
        <is>
          <t>A 41412-2025</t>
        </is>
      </c>
      <c r="B460" s="1" t="n">
        <v>45901.3549537037</v>
      </c>
      <c r="C460" s="1" t="n">
        <v>45975</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25578-2025</t>
        </is>
      </c>
      <c r="B461" s="1" t="n">
        <v>45803.47803240741</v>
      </c>
      <c r="C461" s="1" t="n">
        <v>45975</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40231-2022</t>
        </is>
      </c>
      <c r="B462" s="1" t="n">
        <v>44820</v>
      </c>
      <c r="C462" s="1" t="n">
        <v>45975</v>
      </c>
      <c r="D462" t="inlineStr">
        <is>
          <t>ÖREBRO LÄN</t>
        </is>
      </c>
      <c r="E462" t="inlineStr">
        <is>
          <t>ÖREBRO</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25519-2025</t>
        </is>
      </c>
      <c r="B463" s="1" t="n">
        <v>45803.38447916666</v>
      </c>
      <c r="C463" s="1" t="n">
        <v>45975</v>
      </c>
      <c r="D463" t="inlineStr">
        <is>
          <t>ÖREBRO LÄN</t>
        </is>
      </c>
      <c r="E463" t="inlineStr">
        <is>
          <t>ÖREBRO</t>
        </is>
      </c>
      <c r="G463" t="n">
        <v>7.4</v>
      </c>
      <c r="H463" t="n">
        <v>0</v>
      </c>
      <c r="I463" t="n">
        <v>0</v>
      </c>
      <c r="J463" t="n">
        <v>0</v>
      </c>
      <c r="K463" t="n">
        <v>0</v>
      </c>
      <c r="L463" t="n">
        <v>0</v>
      </c>
      <c r="M463" t="n">
        <v>0</v>
      </c>
      <c r="N463" t="n">
        <v>0</v>
      </c>
      <c r="O463" t="n">
        <v>0</v>
      </c>
      <c r="P463" t="n">
        <v>0</v>
      </c>
      <c r="Q463" t="n">
        <v>0</v>
      </c>
      <c r="R463" s="2" t="inlineStr"/>
    </row>
    <row r="464" ht="15" customHeight="1">
      <c r="A464" t="inlineStr">
        <is>
          <t>A 4284-2025</t>
        </is>
      </c>
      <c r="B464" s="1" t="n">
        <v>45685</v>
      </c>
      <c r="C464" s="1" t="n">
        <v>45975</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35829-2024</t>
        </is>
      </c>
      <c r="B465" s="1" t="n">
        <v>45532</v>
      </c>
      <c r="C465" s="1" t="n">
        <v>45975</v>
      </c>
      <c r="D465" t="inlineStr">
        <is>
          <t>ÖREBRO LÄN</t>
        </is>
      </c>
      <c r="E465" t="inlineStr">
        <is>
          <t>ÖREBRO</t>
        </is>
      </c>
      <c r="G465" t="n">
        <v>4.6</v>
      </c>
      <c r="H465" t="n">
        <v>0</v>
      </c>
      <c r="I465" t="n">
        <v>0</v>
      </c>
      <c r="J465" t="n">
        <v>0</v>
      </c>
      <c r="K465" t="n">
        <v>0</v>
      </c>
      <c r="L465" t="n">
        <v>0</v>
      </c>
      <c r="M465" t="n">
        <v>0</v>
      </c>
      <c r="N465" t="n">
        <v>0</v>
      </c>
      <c r="O465" t="n">
        <v>0</v>
      </c>
      <c r="P465" t="n">
        <v>0</v>
      </c>
      <c r="Q465" t="n">
        <v>0</v>
      </c>
      <c r="R465" s="2" t="inlineStr"/>
    </row>
    <row r="466" ht="15" customHeight="1">
      <c r="A466" t="inlineStr">
        <is>
          <t>A 35833-2024</t>
        </is>
      </c>
      <c r="B466" s="1" t="n">
        <v>45532.68699074074</v>
      </c>
      <c r="C466" s="1" t="n">
        <v>45975</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8331-2021</t>
        </is>
      </c>
      <c r="B467" s="1" t="n">
        <v>44244</v>
      </c>
      <c r="C467" s="1" t="n">
        <v>45975</v>
      </c>
      <c r="D467" t="inlineStr">
        <is>
          <t>ÖREBRO LÄN</t>
        </is>
      </c>
      <c r="E467" t="inlineStr">
        <is>
          <t>ÖREBRO</t>
        </is>
      </c>
      <c r="G467" t="n">
        <v>9.1</v>
      </c>
      <c r="H467" t="n">
        <v>0</v>
      </c>
      <c r="I467" t="n">
        <v>0</v>
      </c>
      <c r="J467" t="n">
        <v>0</v>
      </c>
      <c r="K467" t="n">
        <v>0</v>
      </c>
      <c r="L467" t="n">
        <v>0</v>
      </c>
      <c r="M467" t="n">
        <v>0</v>
      </c>
      <c r="N467" t="n">
        <v>0</v>
      </c>
      <c r="O467" t="n">
        <v>0</v>
      </c>
      <c r="P467" t="n">
        <v>0</v>
      </c>
      <c r="Q467" t="n">
        <v>0</v>
      </c>
      <c r="R467" s="2" t="inlineStr"/>
    </row>
    <row r="468" ht="15" customHeight="1">
      <c r="A468" t="inlineStr">
        <is>
          <t>A 8332-2021</t>
        </is>
      </c>
      <c r="B468" s="1" t="n">
        <v>44244</v>
      </c>
      <c r="C468" s="1" t="n">
        <v>45975</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25443-2021</t>
        </is>
      </c>
      <c r="B469" s="1" t="n">
        <v>44342</v>
      </c>
      <c r="C469" s="1" t="n">
        <v>45975</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14717-2024</t>
        </is>
      </c>
      <c r="B470" s="1" t="n">
        <v>45397.55104166667</v>
      </c>
      <c r="C470" s="1" t="n">
        <v>45975</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42623-2022</t>
        </is>
      </c>
      <c r="B471" s="1" t="n">
        <v>44831</v>
      </c>
      <c r="C471" s="1" t="n">
        <v>45975</v>
      </c>
      <c r="D471" t="inlineStr">
        <is>
          <t>ÖREBRO LÄN</t>
        </is>
      </c>
      <c r="E471" t="inlineStr">
        <is>
          <t>ÖREBRO</t>
        </is>
      </c>
      <c r="G471" t="n">
        <v>3.6</v>
      </c>
      <c r="H471" t="n">
        <v>0</v>
      </c>
      <c r="I471" t="n">
        <v>0</v>
      </c>
      <c r="J471" t="n">
        <v>0</v>
      </c>
      <c r="K471" t="n">
        <v>0</v>
      </c>
      <c r="L471" t="n">
        <v>0</v>
      </c>
      <c r="M471" t="n">
        <v>0</v>
      </c>
      <c r="N471" t="n">
        <v>0</v>
      </c>
      <c r="O471" t="n">
        <v>0</v>
      </c>
      <c r="P471" t="n">
        <v>0</v>
      </c>
      <c r="Q471" t="n">
        <v>0</v>
      </c>
      <c r="R471" s="2" t="inlineStr"/>
    </row>
    <row r="472" ht="15" customHeight="1">
      <c r="A472" t="inlineStr">
        <is>
          <t>A 51248-2025</t>
        </is>
      </c>
      <c r="B472" s="1" t="n">
        <v>45948.450625</v>
      </c>
      <c r="C472" s="1" t="n">
        <v>45975</v>
      </c>
      <c r="D472" t="inlineStr">
        <is>
          <t>ÖREBRO LÄN</t>
        </is>
      </c>
      <c r="E472" t="inlineStr">
        <is>
          <t>ÖREBRO</t>
        </is>
      </c>
      <c r="G472" t="n">
        <v>4.4</v>
      </c>
      <c r="H472" t="n">
        <v>0</v>
      </c>
      <c r="I472" t="n">
        <v>0</v>
      </c>
      <c r="J472" t="n">
        <v>0</v>
      </c>
      <c r="K472" t="n">
        <v>0</v>
      </c>
      <c r="L472" t="n">
        <v>0</v>
      </c>
      <c r="M472" t="n">
        <v>0</v>
      </c>
      <c r="N472" t="n">
        <v>0</v>
      </c>
      <c r="O472" t="n">
        <v>0</v>
      </c>
      <c r="P472" t="n">
        <v>0</v>
      </c>
      <c r="Q472" t="n">
        <v>0</v>
      </c>
      <c r="R472" s="2" t="inlineStr"/>
    </row>
    <row r="473" ht="15" customHeight="1">
      <c r="A473" t="inlineStr">
        <is>
          <t>A 50311-2025</t>
        </is>
      </c>
      <c r="B473" s="1" t="n">
        <v>45944</v>
      </c>
      <c r="C473" s="1" t="n">
        <v>45975</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51249-2025</t>
        </is>
      </c>
      <c r="B474" s="1" t="n">
        <v>45948.45704861111</v>
      </c>
      <c r="C474" s="1" t="n">
        <v>45975</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3763-2025</t>
        </is>
      </c>
      <c r="B475" s="1" t="n">
        <v>45681</v>
      </c>
      <c r="C475" s="1" t="n">
        <v>45975</v>
      </c>
      <c r="D475" t="inlineStr">
        <is>
          <t>ÖREBRO LÄN</t>
        </is>
      </c>
      <c r="E475" t="inlineStr">
        <is>
          <t>ÖREBRO</t>
        </is>
      </c>
      <c r="G475" t="n">
        <v>10.1</v>
      </c>
      <c r="H475" t="n">
        <v>0</v>
      </c>
      <c r="I475" t="n">
        <v>0</v>
      </c>
      <c r="J475" t="n">
        <v>0</v>
      </c>
      <c r="K475" t="n">
        <v>0</v>
      </c>
      <c r="L475" t="n">
        <v>0</v>
      </c>
      <c r="M475" t="n">
        <v>0</v>
      </c>
      <c r="N475" t="n">
        <v>0</v>
      </c>
      <c r="O475" t="n">
        <v>0</v>
      </c>
      <c r="P475" t="n">
        <v>0</v>
      </c>
      <c r="Q475" t="n">
        <v>0</v>
      </c>
      <c r="R475" s="2" t="inlineStr"/>
    </row>
    <row r="476" ht="15" customHeight="1">
      <c r="A476" t="inlineStr">
        <is>
          <t>A 5133-2024</t>
        </is>
      </c>
      <c r="B476" s="1" t="n">
        <v>45330</v>
      </c>
      <c r="C476" s="1" t="n">
        <v>45975</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10829-2023</t>
        </is>
      </c>
      <c r="B477" s="1" t="n">
        <v>44990.88512731482</v>
      </c>
      <c r="C477" s="1" t="n">
        <v>45975</v>
      </c>
      <c r="D477" t="inlineStr">
        <is>
          <t>ÖREBRO LÄN</t>
        </is>
      </c>
      <c r="E477" t="inlineStr">
        <is>
          <t>ÖREBRO</t>
        </is>
      </c>
      <c r="G477" t="n">
        <v>4.4</v>
      </c>
      <c r="H477" t="n">
        <v>0</v>
      </c>
      <c r="I477" t="n">
        <v>0</v>
      </c>
      <c r="J477" t="n">
        <v>0</v>
      </c>
      <c r="K477" t="n">
        <v>0</v>
      </c>
      <c r="L477" t="n">
        <v>0</v>
      </c>
      <c r="M477" t="n">
        <v>0</v>
      </c>
      <c r="N477" t="n">
        <v>0</v>
      </c>
      <c r="O477" t="n">
        <v>0</v>
      </c>
      <c r="P477" t="n">
        <v>0</v>
      </c>
      <c r="Q477" t="n">
        <v>0</v>
      </c>
      <c r="R477" s="2" t="inlineStr"/>
    </row>
    <row r="478" ht="15" customHeight="1">
      <c r="A478" t="inlineStr">
        <is>
          <t>A 10831-2023</t>
        </is>
      </c>
      <c r="B478" s="1" t="n">
        <v>44990.90357638889</v>
      </c>
      <c r="C478" s="1" t="n">
        <v>45975</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27220-2025</t>
        </is>
      </c>
      <c r="B479" s="1" t="n">
        <v>45812.42293981482</v>
      </c>
      <c r="C479" s="1" t="n">
        <v>45975</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16165-2023</t>
        </is>
      </c>
      <c r="B480" s="1" t="n">
        <v>45027</v>
      </c>
      <c r="C480" s="1" t="n">
        <v>45975</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57247-2022</t>
        </is>
      </c>
      <c r="B481" s="1" t="n">
        <v>44895.73065972222</v>
      </c>
      <c r="C481" s="1" t="n">
        <v>45975</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27180-2025</t>
        </is>
      </c>
      <c r="B482" s="1" t="n">
        <v>45812.35736111111</v>
      </c>
      <c r="C482" s="1" t="n">
        <v>45975</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27215-2025</t>
        </is>
      </c>
      <c r="B483" s="1" t="n">
        <v>45812.41869212963</v>
      </c>
      <c r="C483" s="1" t="n">
        <v>45975</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27225-2025</t>
        </is>
      </c>
      <c r="B484" s="1" t="n">
        <v>45812.42856481481</v>
      </c>
      <c r="C484" s="1" t="n">
        <v>45975</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14432-2023</t>
        </is>
      </c>
      <c r="B485" s="1" t="n">
        <v>45012</v>
      </c>
      <c r="C485" s="1" t="n">
        <v>45975</v>
      </c>
      <c r="D485" t="inlineStr">
        <is>
          <t>ÖREBRO LÄN</t>
        </is>
      </c>
      <c r="E485" t="inlineStr">
        <is>
          <t>ÖREBRO</t>
        </is>
      </c>
      <c r="G485" t="n">
        <v>3.3</v>
      </c>
      <c r="H485" t="n">
        <v>0</v>
      </c>
      <c r="I485" t="n">
        <v>0</v>
      </c>
      <c r="J485" t="n">
        <v>0</v>
      </c>
      <c r="K485" t="n">
        <v>0</v>
      </c>
      <c r="L485" t="n">
        <v>0</v>
      </c>
      <c r="M485" t="n">
        <v>0</v>
      </c>
      <c r="N485" t="n">
        <v>0</v>
      </c>
      <c r="O485" t="n">
        <v>0</v>
      </c>
      <c r="P485" t="n">
        <v>0</v>
      </c>
      <c r="Q485" t="n">
        <v>0</v>
      </c>
      <c r="R485" s="2" t="inlineStr"/>
    </row>
    <row r="486" ht="15" customHeight="1">
      <c r="A486" t="inlineStr">
        <is>
          <t>A 10339-2023</t>
        </is>
      </c>
      <c r="B486" s="1" t="n">
        <v>44987</v>
      </c>
      <c r="C486" s="1" t="n">
        <v>45975</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190-2024</t>
        </is>
      </c>
      <c r="B487" s="1" t="n">
        <v>45294.61858796296</v>
      </c>
      <c r="C487" s="1" t="n">
        <v>45975</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51937-2025</t>
        </is>
      </c>
      <c r="B488" s="1" t="n">
        <v>45952.51270833334</v>
      </c>
      <c r="C488" s="1" t="n">
        <v>45975</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28120-2025</t>
        </is>
      </c>
      <c r="B489" s="1" t="n">
        <v>45818.30459490741</v>
      </c>
      <c r="C489" s="1" t="n">
        <v>45975</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52135-2025</t>
        </is>
      </c>
      <c r="B490" s="1" t="n">
        <v>45952.84231481481</v>
      </c>
      <c r="C490" s="1" t="n">
        <v>45975</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51923-2025</t>
        </is>
      </c>
      <c r="B491" s="1" t="n">
        <v>45952.49300925926</v>
      </c>
      <c r="C491" s="1" t="n">
        <v>45975</v>
      </c>
      <c r="D491" t="inlineStr">
        <is>
          <t>ÖREBRO LÄN</t>
        </is>
      </c>
      <c r="E491" t="inlineStr">
        <is>
          <t>ÖREBRO</t>
        </is>
      </c>
      <c r="G491" t="n">
        <v>1</v>
      </c>
      <c r="H491" t="n">
        <v>0</v>
      </c>
      <c r="I491" t="n">
        <v>0</v>
      </c>
      <c r="J491" t="n">
        <v>0</v>
      </c>
      <c r="K491" t="n">
        <v>0</v>
      </c>
      <c r="L491" t="n">
        <v>0</v>
      </c>
      <c r="M491" t="n">
        <v>0</v>
      </c>
      <c r="N491" t="n">
        <v>0</v>
      </c>
      <c r="O491" t="n">
        <v>0</v>
      </c>
      <c r="P491" t="n">
        <v>0</v>
      </c>
      <c r="Q491" t="n">
        <v>0</v>
      </c>
      <c r="R491" s="2" t="inlineStr"/>
    </row>
    <row r="492" ht="15" customHeight="1">
      <c r="A492" t="inlineStr">
        <is>
          <t>A 62497-2023</t>
        </is>
      </c>
      <c r="B492" s="1" t="n">
        <v>45268.59935185185</v>
      </c>
      <c r="C492" s="1" t="n">
        <v>45975</v>
      </c>
      <c r="D492" t="inlineStr">
        <is>
          <t>ÖREBRO LÄN</t>
        </is>
      </c>
      <c r="E492" t="inlineStr">
        <is>
          <t>ÖREBRO</t>
        </is>
      </c>
      <c r="F492" t="inlineStr">
        <is>
          <t>Övriga Aktiebolag</t>
        </is>
      </c>
      <c r="G492" t="n">
        <v>3.2</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45975</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43399-2022</t>
        </is>
      </c>
      <c r="B494" s="1" t="n">
        <v>44834</v>
      </c>
      <c r="C494" s="1" t="n">
        <v>45975</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51925-2025</t>
        </is>
      </c>
      <c r="B495" s="1" t="n">
        <v>45952.49476851852</v>
      </c>
      <c r="C495" s="1" t="n">
        <v>45975</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30374-2023</t>
        </is>
      </c>
      <c r="B496" s="1" t="n">
        <v>45111</v>
      </c>
      <c r="C496" s="1" t="n">
        <v>45975</v>
      </c>
      <c r="D496" t="inlineStr">
        <is>
          <t>ÖREBRO LÄN</t>
        </is>
      </c>
      <c r="E496" t="inlineStr">
        <is>
          <t>ÖREBRO</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28938-2025</t>
        </is>
      </c>
      <c r="B497" s="1" t="n">
        <v>45820.70626157407</v>
      </c>
      <c r="C497" s="1" t="n">
        <v>45975</v>
      </c>
      <c r="D497" t="inlineStr">
        <is>
          <t>ÖREBRO LÄN</t>
        </is>
      </c>
      <c r="E497" t="inlineStr">
        <is>
          <t>ÖREBRO</t>
        </is>
      </c>
      <c r="G497" t="n">
        <v>1.9</v>
      </c>
      <c r="H497" t="n">
        <v>0</v>
      </c>
      <c r="I497" t="n">
        <v>0</v>
      </c>
      <c r="J497" t="n">
        <v>0</v>
      </c>
      <c r="K497" t="n">
        <v>0</v>
      </c>
      <c r="L497" t="n">
        <v>0</v>
      </c>
      <c r="M497" t="n">
        <v>0</v>
      </c>
      <c r="N497" t="n">
        <v>0</v>
      </c>
      <c r="O497" t="n">
        <v>0</v>
      </c>
      <c r="P497" t="n">
        <v>0</v>
      </c>
      <c r="Q497" t="n">
        <v>0</v>
      </c>
      <c r="R497" s="2" t="inlineStr"/>
    </row>
    <row r="498" ht="15" customHeight="1">
      <c r="A498" t="inlineStr">
        <is>
          <t>A 28920-2025</t>
        </is>
      </c>
      <c r="B498" s="1" t="n">
        <v>45820.66532407407</v>
      </c>
      <c r="C498" s="1" t="n">
        <v>45975</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52382-2025</t>
        </is>
      </c>
      <c r="B499" s="1" t="n">
        <v>45953.9559837963</v>
      </c>
      <c r="C499" s="1" t="n">
        <v>45975</v>
      </c>
      <c r="D499" t="inlineStr">
        <is>
          <t>ÖREBRO LÄN</t>
        </is>
      </c>
      <c r="E499" t="inlineStr">
        <is>
          <t>ÖREBRO</t>
        </is>
      </c>
      <c r="F499" t="inlineStr">
        <is>
          <t>Sveaskog</t>
        </is>
      </c>
      <c r="G499" t="n">
        <v>3.4</v>
      </c>
      <c r="H499" t="n">
        <v>0</v>
      </c>
      <c r="I499" t="n">
        <v>0</v>
      </c>
      <c r="J499" t="n">
        <v>0</v>
      </c>
      <c r="K499" t="n">
        <v>0</v>
      </c>
      <c r="L499" t="n">
        <v>0</v>
      </c>
      <c r="M499" t="n">
        <v>0</v>
      </c>
      <c r="N499" t="n">
        <v>0</v>
      </c>
      <c r="O499" t="n">
        <v>0</v>
      </c>
      <c r="P499" t="n">
        <v>0</v>
      </c>
      <c r="Q499" t="n">
        <v>0</v>
      </c>
      <c r="R499" s="2" t="inlineStr"/>
    </row>
    <row r="500" ht="15" customHeight="1">
      <c r="A500" t="inlineStr">
        <is>
          <t>A 29286-2025</t>
        </is>
      </c>
      <c r="B500" s="1" t="n">
        <v>45824.43502314815</v>
      </c>
      <c r="C500" s="1" t="n">
        <v>45975</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63142-2023</t>
        </is>
      </c>
      <c r="B501" s="1" t="n">
        <v>45273</v>
      </c>
      <c r="C501" s="1" t="n">
        <v>45975</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54678-2023</t>
        </is>
      </c>
      <c r="B502" s="1" t="n">
        <v>45235</v>
      </c>
      <c r="C502" s="1" t="n">
        <v>45975</v>
      </c>
      <c r="D502" t="inlineStr">
        <is>
          <t>ÖREBRO LÄN</t>
        </is>
      </c>
      <c r="E502" t="inlineStr">
        <is>
          <t>ÖREBRO</t>
        </is>
      </c>
      <c r="G502" t="n">
        <v>1.7</v>
      </c>
      <c r="H502" t="n">
        <v>0</v>
      </c>
      <c r="I502" t="n">
        <v>0</v>
      </c>
      <c r="J502" t="n">
        <v>0</v>
      </c>
      <c r="K502" t="n">
        <v>0</v>
      </c>
      <c r="L502" t="n">
        <v>0</v>
      </c>
      <c r="M502" t="n">
        <v>0</v>
      </c>
      <c r="N502" t="n">
        <v>0</v>
      </c>
      <c r="O502" t="n">
        <v>0</v>
      </c>
      <c r="P502" t="n">
        <v>0</v>
      </c>
      <c r="Q502" t="n">
        <v>0</v>
      </c>
      <c r="R502" s="2" t="inlineStr"/>
    </row>
    <row r="503" ht="15" customHeight="1">
      <c r="A503" t="inlineStr">
        <is>
          <t>A 29339-2025</t>
        </is>
      </c>
      <c r="B503" s="1" t="n">
        <v>45824.5044212963</v>
      </c>
      <c r="C503" s="1" t="n">
        <v>45975</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37021-2024</t>
        </is>
      </c>
      <c r="B504" s="1" t="n">
        <v>45539.38146990741</v>
      </c>
      <c r="C504" s="1" t="n">
        <v>45975</v>
      </c>
      <c r="D504" t="inlineStr">
        <is>
          <t>ÖREBRO LÄN</t>
        </is>
      </c>
      <c r="E504" t="inlineStr">
        <is>
          <t>ÖREBRO</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23573-2023</t>
        </is>
      </c>
      <c r="B505" s="1" t="n">
        <v>45077.41672453703</v>
      </c>
      <c r="C505" s="1" t="n">
        <v>45975</v>
      </c>
      <c r="D505" t="inlineStr">
        <is>
          <t>ÖREBRO LÄN</t>
        </is>
      </c>
      <c r="E505" t="inlineStr">
        <is>
          <t>ÖREBRO</t>
        </is>
      </c>
      <c r="G505" t="n">
        <v>2.9</v>
      </c>
      <c r="H505" t="n">
        <v>0</v>
      </c>
      <c r="I505" t="n">
        <v>0</v>
      </c>
      <c r="J505" t="n">
        <v>0</v>
      </c>
      <c r="K505" t="n">
        <v>0</v>
      </c>
      <c r="L505" t="n">
        <v>0</v>
      </c>
      <c r="M505" t="n">
        <v>0</v>
      </c>
      <c r="N505" t="n">
        <v>0</v>
      </c>
      <c r="O505" t="n">
        <v>0</v>
      </c>
      <c r="P505" t="n">
        <v>0</v>
      </c>
      <c r="Q505" t="n">
        <v>0</v>
      </c>
      <c r="R505" s="2" t="inlineStr"/>
    </row>
    <row r="506" ht="15" customHeight="1">
      <c r="A506" t="inlineStr">
        <is>
          <t>A 60059-2023</t>
        </is>
      </c>
      <c r="B506" s="1" t="n">
        <v>45258.38157407408</v>
      </c>
      <c r="C506" s="1" t="n">
        <v>45975</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26858-2024</t>
        </is>
      </c>
      <c r="B507" s="1" t="n">
        <v>45470</v>
      </c>
      <c r="C507" s="1" t="n">
        <v>45975</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row>
    <row r="508" ht="15" customHeight="1">
      <c r="A508" t="inlineStr">
        <is>
          <t>A 13762-2023</t>
        </is>
      </c>
      <c r="B508" s="1" t="n">
        <v>45007.43729166667</v>
      </c>
      <c r="C508" s="1" t="n">
        <v>45975</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5129-2024</t>
        </is>
      </c>
      <c r="B509" s="1" t="n">
        <v>45330</v>
      </c>
      <c r="C509" s="1" t="n">
        <v>45975</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1492-2022</t>
        </is>
      </c>
      <c r="B510" s="1" t="n">
        <v>44573</v>
      </c>
      <c r="C510" s="1" t="n">
        <v>45975</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59026-2024</t>
        </is>
      </c>
      <c r="B511" s="1" t="n">
        <v>45636.6875</v>
      </c>
      <c r="C511" s="1" t="n">
        <v>45975</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52623-2024</t>
        </is>
      </c>
      <c r="B512" s="1" t="n">
        <v>45609</v>
      </c>
      <c r="C512" s="1" t="n">
        <v>45975</v>
      </c>
      <c r="D512" t="inlineStr">
        <is>
          <t>ÖREBRO LÄN</t>
        </is>
      </c>
      <c r="E512" t="inlineStr">
        <is>
          <t>ÖREBRO</t>
        </is>
      </c>
      <c r="F512" t="inlineStr">
        <is>
          <t>Kommuner</t>
        </is>
      </c>
      <c r="G512" t="n">
        <v>1.7</v>
      </c>
      <c r="H512" t="n">
        <v>0</v>
      </c>
      <c r="I512" t="n">
        <v>0</v>
      </c>
      <c r="J512" t="n">
        <v>0</v>
      </c>
      <c r="K512" t="n">
        <v>0</v>
      </c>
      <c r="L512" t="n">
        <v>0</v>
      </c>
      <c r="M512" t="n">
        <v>0</v>
      </c>
      <c r="N512" t="n">
        <v>0</v>
      </c>
      <c r="O512" t="n">
        <v>0</v>
      </c>
      <c r="P512" t="n">
        <v>0</v>
      </c>
      <c r="Q512" t="n">
        <v>0</v>
      </c>
      <c r="R512" s="2" t="inlineStr"/>
    </row>
    <row r="513" ht="15" customHeight="1">
      <c r="A513" t="inlineStr">
        <is>
          <t>A 62511-2023</t>
        </is>
      </c>
      <c r="B513" s="1" t="n">
        <v>45268.61855324074</v>
      </c>
      <c r="C513" s="1" t="n">
        <v>45975</v>
      </c>
      <c r="D513" t="inlineStr">
        <is>
          <t>ÖREBRO LÄN</t>
        </is>
      </c>
      <c r="E513" t="inlineStr">
        <is>
          <t>ÖREBRO</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29701-2025</t>
        </is>
      </c>
      <c r="B514" s="1" t="n">
        <v>45825.55261574074</v>
      </c>
      <c r="C514" s="1" t="n">
        <v>45975</v>
      </c>
      <c r="D514" t="inlineStr">
        <is>
          <t>ÖREBRO LÄN</t>
        </is>
      </c>
      <c r="E514" t="inlineStr">
        <is>
          <t>ÖREBRO</t>
        </is>
      </c>
      <c r="G514" t="n">
        <v>5.8</v>
      </c>
      <c r="H514" t="n">
        <v>0</v>
      </c>
      <c r="I514" t="n">
        <v>0</v>
      </c>
      <c r="J514" t="n">
        <v>0</v>
      </c>
      <c r="K514" t="n">
        <v>0</v>
      </c>
      <c r="L514" t="n">
        <v>0</v>
      </c>
      <c r="M514" t="n">
        <v>0</v>
      </c>
      <c r="N514" t="n">
        <v>0</v>
      </c>
      <c r="O514" t="n">
        <v>0</v>
      </c>
      <c r="P514" t="n">
        <v>0</v>
      </c>
      <c r="Q514" t="n">
        <v>0</v>
      </c>
      <c r="R514" s="2" t="inlineStr"/>
    </row>
    <row r="515" ht="15" customHeight="1">
      <c r="A515" t="inlineStr">
        <is>
          <t>A 40522-2024</t>
        </is>
      </c>
      <c r="B515" s="1" t="n">
        <v>45555.59717592593</v>
      </c>
      <c r="C515" s="1" t="n">
        <v>45975</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58219-2024</t>
        </is>
      </c>
      <c r="B516" s="1" t="n">
        <v>45632</v>
      </c>
      <c r="C516" s="1" t="n">
        <v>45975</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33577-2023</t>
        </is>
      </c>
      <c r="B517" s="1" t="n">
        <v>45131</v>
      </c>
      <c r="C517" s="1" t="n">
        <v>45975</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18360-2024</t>
        </is>
      </c>
      <c r="B518" s="1" t="n">
        <v>45422</v>
      </c>
      <c r="C518" s="1" t="n">
        <v>45975</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7611-2024</t>
        </is>
      </c>
      <c r="B519" s="1" t="n">
        <v>45348.58864583333</v>
      </c>
      <c r="C519" s="1" t="n">
        <v>45975</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13347-2023</t>
        </is>
      </c>
      <c r="B520" s="1" t="n">
        <v>45004</v>
      </c>
      <c r="C520" s="1" t="n">
        <v>45975</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187-2024</t>
        </is>
      </c>
      <c r="B521" s="1" t="n">
        <v>45294</v>
      </c>
      <c r="C521" s="1" t="n">
        <v>45975</v>
      </c>
      <c r="D521" t="inlineStr">
        <is>
          <t>ÖREBRO LÄN</t>
        </is>
      </c>
      <c r="E521" t="inlineStr">
        <is>
          <t>ÖREBRO</t>
        </is>
      </c>
      <c r="G521" t="n">
        <v>5.9</v>
      </c>
      <c r="H521" t="n">
        <v>0</v>
      </c>
      <c r="I521" t="n">
        <v>0</v>
      </c>
      <c r="J521" t="n">
        <v>0</v>
      </c>
      <c r="K521" t="n">
        <v>0</v>
      </c>
      <c r="L521" t="n">
        <v>0</v>
      </c>
      <c r="M521" t="n">
        <v>0</v>
      </c>
      <c r="N521" t="n">
        <v>0</v>
      </c>
      <c r="O521" t="n">
        <v>0</v>
      </c>
      <c r="P521" t="n">
        <v>0</v>
      </c>
      <c r="Q521" t="n">
        <v>0</v>
      </c>
      <c r="R521" s="2" t="inlineStr"/>
    </row>
    <row r="522" ht="15" customHeight="1">
      <c r="A522" t="inlineStr">
        <is>
          <t>A 10832-2023</t>
        </is>
      </c>
      <c r="B522" s="1" t="n">
        <v>44990.91711805556</v>
      </c>
      <c r="C522" s="1" t="n">
        <v>45975</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2596-2022</t>
        </is>
      </c>
      <c r="B523" s="1" t="n">
        <v>44580</v>
      </c>
      <c r="C523" s="1" t="n">
        <v>45975</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5338-2024</t>
        </is>
      </c>
      <c r="B524" s="1" t="n">
        <v>45331</v>
      </c>
      <c r="C524" s="1" t="n">
        <v>45975</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42518-2021</t>
        </is>
      </c>
      <c r="B525" s="1" t="n">
        <v>44427.81496527778</v>
      </c>
      <c r="C525" s="1" t="n">
        <v>45975</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14545-2023</t>
        </is>
      </c>
      <c r="B526" s="1" t="n">
        <v>45013.34895833334</v>
      </c>
      <c r="C526" s="1" t="n">
        <v>45975</v>
      </c>
      <c r="D526" t="inlineStr">
        <is>
          <t>ÖREBRO LÄN</t>
        </is>
      </c>
      <c r="E526" t="inlineStr">
        <is>
          <t>ÖREBRO</t>
        </is>
      </c>
      <c r="G526" t="n">
        <v>2.5</v>
      </c>
      <c r="H526" t="n">
        <v>0</v>
      </c>
      <c r="I526" t="n">
        <v>0</v>
      </c>
      <c r="J526" t="n">
        <v>0</v>
      </c>
      <c r="K526" t="n">
        <v>0</v>
      </c>
      <c r="L526" t="n">
        <v>0</v>
      </c>
      <c r="M526" t="n">
        <v>0</v>
      </c>
      <c r="N526" t="n">
        <v>0</v>
      </c>
      <c r="O526" t="n">
        <v>0</v>
      </c>
      <c r="P526" t="n">
        <v>0</v>
      </c>
      <c r="Q526" t="n">
        <v>0</v>
      </c>
      <c r="R526" s="2" t="inlineStr"/>
    </row>
    <row r="527" ht="15" customHeight="1">
      <c r="A527" t="inlineStr">
        <is>
          <t>A 30550-2025</t>
        </is>
      </c>
      <c r="B527" s="1" t="n">
        <v>45831.38224537037</v>
      </c>
      <c r="C527" s="1" t="n">
        <v>45975</v>
      </c>
      <c r="D527" t="inlineStr">
        <is>
          <t>ÖREBRO LÄN</t>
        </is>
      </c>
      <c r="E527" t="inlineStr">
        <is>
          <t>ÖREBRO</t>
        </is>
      </c>
      <c r="G527" t="n">
        <v>1.8</v>
      </c>
      <c r="H527" t="n">
        <v>0</v>
      </c>
      <c r="I527" t="n">
        <v>0</v>
      </c>
      <c r="J527" t="n">
        <v>0</v>
      </c>
      <c r="K527" t="n">
        <v>0</v>
      </c>
      <c r="L527" t="n">
        <v>0</v>
      </c>
      <c r="M527" t="n">
        <v>0</v>
      </c>
      <c r="N527" t="n">
        <v>0</v>
      </c>
      <c r="O527" t="n">
        <v>0</v>
      </c>
      <c r="P527" t="n">
        <v>0</v>
      </c>
      <c r="Q527" t="n">
        <v>0</v>
      </c>
      <c r="R527" s="2" t="inlineStr"/>
    </row>
    <row r="528" ht="15" customHeight="1">
      <c r="A528" t="inlineStr">
        <is>
          <t>A 30731-2025</t>
        </is>
      </c>
      <c r="B528" s="1" t="n">
        <v>45831.57280092593</v>
      </c>
      <c r="C528" s="1" t="n">
        <v>45975</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27112-2023</t>
        </is>
      </c>
      <c r="B529" s="1" t="n">
        <v>45096</v>
      </c>
      <c r="C529" s="1" t="n">
        <v>45975</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14524-2025</t>
        </is>
      </c>
      <c r="B530" s="1" t="n">
        <v>45741.64815972222</v>
      </c>
      <c r="C530" s="1" t="n">
        <v>45975</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30743-2025</t>
        </is>
      </c>
      <c r="B531" s="1" t="n">
        <v>45831</v>
      </c>
      <c r="C531" s="1" t="n">
        <v>45975</v>
      </c>
      <c r="D531" t="inlineStr">
        <is>
          <t>ÖREBRO LÄN</t>
        </is>
      </c>
      <c r="E531" t="inlineStr">
        <is>
          <t>ÖREBRO</t>
        </is>
      </c>
      <c r="G531" t="n">
        <v>2.9</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45975</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53443-2025</t>
        </is>
      </c>
      <c r="B533" s="1" t="n">
        <v>45959.6444675926</v>
      </c>
      <c r="C533" s="1" t="n">
        <v>45975</v>
      </c>
      <c r="D533" t="inlineStr">
        <is>
          <t>ÖREBRO LÄN</t>
        </is>
      </c>
      <c r="E533" t="inlineStr">
        <is>
          <t>ÖREBRO</t>
        </is>
      </c>
      <c r="G533" t="n">
        <v>2.8</v>
      </c>
      <c r="H533" t="n">
        <v>0</v>
      </c>
      <c r="I533" t="n">
        <v>0</v>
      </c>
      <c r="J533" t="n">
        <v>0</v>
      </c>
      <c r="K533" t="n">
        <v>0</v>
      </c>
      <c r="L533" t="n">
        <v>0</v>
      </c>
      <c r="M533" t="n">
        <v>0</v>
      </c>
      <c r="N533" t="n">
        <v>0</v>
      </c>
      <c r="O533" t="n">
        <v>0</v>
      </c>
      <c r="P533" t="n">
        <v>0</v>
      </c>
      <c r="Q533" t="n">
        <v>0</v>
      </c>
      <c r="R533" s="2" t="inlineStr"/>
    </row>
    <row r="534" ht="15" customHeight="1">
      <c r="A534" t="inlineStr">
        <is>
          <t>A 31066-2025</t>
        </is>
      </c>
      <c r="B534" s="1" t="n">
        <v>45832</v>
      </c>
      <c r="C534" s="1" t="n">
        <v>45975</v>
      </c>
      <c r="D534" t="inlineStr">
        <is>
          <t>ÖREBRO LÄN</t>
        </is>
      </c>
      <c r="E534" t="inlineStr">
        <is>
          <t>ÖREBRO</t>
        </is>
      </c>
      <c r="G534" t="n">
        <v>11.1</v>
      </c>
      <c r="H534" t="n">
        <v>0</v>
      </c>
      <c r="I534" t="n">
        <v>0</v>
      </c>
      <c r="J534" t="n">
        <v>0</v>
      </c>
      <c r="K534" t="n">
        <v>0</v>
      </c>
      <c r="L534" t="n">
        <v>0</v>
      </c>
      <c r="M534" t="n">
        <v>0</v>
      </c>
      <c r="N534" t="n">
        <v>0</v>
      </c>
      <c r="O534" t="n">
        <v>0</v>
      </c>
      <c r="P534" t="n">
        <v>0</v>
      </c>
      <c r="Q534" t="n">
        <v>0</v>
      </c>
      <c r="R534" s="2" t="inlineStr"/>
    </row>
    <row r="535" ht="15" customHeight="1">
      <c r="A535" t="inlineStr">
        <is>
          <t>A 44875-2025</t>
        </is>
      </c>
      <c r="B535" s="1" t="n">
        <v>45918.47043981482</v>
      </c>
      <c r="C535" s="1" t="n">
        <v>45975</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46834-2022</t>
        </is>
      </c>
      <c r="B536" s="1" t="n">
        <v>44851</v>
      </c>
      <c r="C536" s="1" t="n">
        <v>45975</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53350-2025</t>
        </is>
      </c>
      <c r="B537" s="1" t="n">
        <v>45959.43827546296</v>
      </c>
      <c r="C537" s="1" t="n">
        <v>45975</v>
      </c>
      <c r="D537" t="inlineStr">
        <is>
          <t>ÖREBRO LÄN</t>
        </is>
      </c>
      <c r="E537" t="inlineStr">
        <is>
          <t>ÖREBRO</t>
        </is>
      </c>
      <c r="G537" t="n">
        <v>4.1</v>
      </c>
      <c r="H537" t="n">
        <v>0</v>
      </c>
      <c r="I537" t="n">
        <v>0</v>
      </c>
      <c r="J537" t="n">
        <v>0</v>
      </c>
      <c r="K537" t="n">
        <v>0</v>
      </c>
      <c r="L537" t="n">
        <v>0</v>
      </c>
      <c r="M537" t="n">
        <v>0</v>
      </c>
      <c r="N537" t="n">
        <v>0</v>
      </c>
      <c r="O537" t="n">
        <v>0</v>
      </c>
      <c r="P537" t="n">
        <v>0</v>
      </c>
      <c r="Q537" t="n">
        <v>0</v>
      </c>
      <c r="R537" s="2" t="inlineStr"/>
    </row>
    <row r="538" ht="15" customHeight="1">
      <c r="A538" t="inlineStr">
        <is>
          <t>A 53715-2025</t>
        </is>
      </c>
      <c r="B538" s="1" t="n">
        <v>45960.61763888889</v>
      </c>
      <c r="C538" s="1" t="n">
        <v>45975</v>
      </c>
      <c r="D538" t="inlineStr">
        <is>
          <t>ÖREBRO LÄN</t>
        </is>
      </c>
      <c r="E538" t="inlineStr">
        <is>
          <t>ÖREBRO</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57638-2022</t>
        </is>
      </c>
      <c r="B539" s="1" t="n">
        <v>44897</v>
      </c>
      <c r="C539" s="1" t="n">
        <v>45975</v>
      </c>
      <c r="D539" t="inlineStr">
        <is>
          <t>ÖREBRO LÄN</t>
        </is>
      </c>
      <c r="E539" t="inlineStr">
        <is>
          <t>ÖREBRO</t>
        </is>
      </c>
      <c r="G539" t="n">
        <v>1.6</v>
      </c>
      <c r="H539" t="n">
        <v>0</v>
      </c>
      <c r="I539" t="n">
        <v>0</v>
      </c>
      <c r="J539" t="n">
        <v>0</v>
      </c>
      <c r="K539" t="n">
        <v>0</v>
      </c>
      <c r="L539" t="n">
        <v>0</v>
      </c>
      <c r="M539" t="n">
        <v>0</v>
      </c>
      <c r="N539" t="n">
        <v>0</v>
      </c>
      <c r="O539" t="n">
        <v>0</v>
      </c>
      <c r="P539" t="n">
        <v>0</v>
      </c>
      <c r="Q539" t="n">
        <v>0</v>
      </c>
      <c r="R539" s="2" t="inlineStr"/>
    </row>
    <row r="540" ht="15" customHeight="1">
      <c r="A540" t="inlineStr">
        <is>
          <t>A 14487-2023</t>
        </is>
      </c>
      <c r="B540" s="1" t="n">
        <v>45012</v>
      </c>
      <c r="C540" s="1" t="n">
        <v>45975</v>
      </c>
      <c r="D540" t="inlineStr">
        <is>
          <t>ÖREBRO LÄN</t>
        </is>
      </c>
      <c r="E540" t="inlineStr">
        <is>
          <t>ÖREBRO</t>
        </is>
      </c>
      <c r="G540" t="n">
        <v>0.5</v>
      </c>
      <c r="H540" t="n">
        <v>0</v>
      </c>
      <c r="I540" t="n">
        <v>0</v>
      </c>
      <c r="J540" t="n">
        <v>0</v>
      </c>
      <c r="K540" t="n">
        <v>0</v>
      </c>
      <c r="L540" t="n">
        <v>0</v>
      </c>
      <c r="M540" t="n">
        <v>0</v>
      </c>
      <c r="N540" t="n">
        <v>0</v>
      </c>
      <c r="O540" t="n">
        <v>0</v>
      </c>
      <c r="P540" t="n">
        <v>0</v>
      </c>
      <c r="Q540" t="n">
        <v>0</v>
      </c>
      <c r="R540" s="2" t="inlineStr"/>
    </row>
    <row r="541" ht="15" customHeight="1">
      <c r="A541" t="inlineStr">
        <is>
          <t>A 53343-2025</t>
        </is>
      </c>
      <c r="B541" s="1" t="n">
        <v>45959.42025462963</v>
      </c>
      <c r="C541" s="1" t="n">
        <v>45975</v>
      </c>
      <c r="D541" t="inlineStr">
        <is>
          <t>ÖREBRO LÄN</t>
        </is>
      </c>
      <c r="E541" t="inlineStr">
        <is>
          <t>ÖREBRO</t>
        </is>
      </c>
      <c r="G541" t="n">
        <v>0.5</v>
      </c>
      <c r="H541" t="n">
        <v>0</v>
      </c>
      <c r="I541" t="n">
        <v>0</v>
      </c>
      <c r="J541" t="n">
        <v>0</v>
      </c>
      <c r="K541" t="n">
        <v>0</v>
      </c>
      <c r="L541" t="n">
        <v>0</v>
      </c>
      <c r="M541" t="n">
        <v>0</v>
      </c>
      <c r="N541" t="n">
        <v>0</v>
      </c>
      <c r="O541" t="n">
        <v>0</v>
      </c>
      <c r="P541" t="n">
        <v>0</v>
      </c>
      <c r="Q541" t="n">
        <v>0</v>
      </c>
      <c r="R541" s="2" t="inlineStr"/>
    </row>
    <row r="542" ht="15" customHeight="1">
      <c r="A542" t="inlineStr">
        <is>
          <t>A 2152-2023</t>
        </is>
      </c>
      <c r="B542" s="1" t="n">
        <v>44941.55056712963</v>
      </c>
      <c r="C542" s="1" t="n">
        <v>45975</v>
      </c>
      <c r="D542" t="inlineStr">
        <is>
          <t>ÖREBRO LÄN</t>
        </is>
      </c>
      <c r="E542" t="inlineStr">
        <is>
          <t>ÖREBRO</t>
        </is>
      </c>
      <c r="G542" t="n">
        <v>8</v>
      </c>
      <c r="H542" t="n">
        <v>0</v>
      </c>
      <c r="I542" t="n">
        <v>0</v>
      </c>
      <c r="J542" t="n">
        <v>0</v>
      </c>
      <c r="K542" t="n">
        <v>0</v>
      </c>
      <c r="L542" t="n">
        <v>0</v>
      </c>
      <c r="M542" t="n">
        <v>0</v>
      </c>
      <c r="N542" t="n">
        <v>0</v>
      </c>
      <c r="O542" t="n">
        <v>0</v>
      </c>
      <c r="P542" t="n">
        <v>0</v>
      </c>
      <c r="Q542" t="n">
        <v>0</v>
      </c>
      <c r="R542" s="2" t="inlineStr"/>
    </row>
    <row r="543" ht="15" customHeight="1">
      <c r="A543" t="inlineStr">
        <is>
          <t>A 31233-2025</t>
        </is>
      </c>
      <c r="B543" s="1" t="n">
        <v>45832.83341435185</v>
      </c>
      <c r="C543" s="1" t="n">
        <v>45975</v>
      </c>
      <c r="D543" t="inlineStr">
        <is>
          <t>ÖREBRO LÄN</t>
        </is>
      </c>
      <c r="E543" t="inlineStr">
        <is>
          <t>ÖREBRO</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8565-2021</t>
        </is>
      </c>
      <c r="B544" s="1" t="n">
        <v>44245</v>
      </c>
      <c r="C544" s="1" t="n">
        <v>45975</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4970-2022</t>
        </is>
      </c>
      <c r="B545" s="1" t="n">
        <v>44593.51175925926</v>
      </c>
      <c r="C545" s="1" t="n">
        <v>45975</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31232-2025</t>
        </is>
      </c>
      <c r="B546" s="1" t="n">
        <v>45832.8252199074</v>
      </c>
      <c r="C546" s="1" t="n">
        <v>45975</v>
      </c>
      <c r="D546" t="inlineStr">
        <is>
          <t>ÖREBRO LÄN</t>
        </is>
      </c>
      <c r="E546" t="inlineStr">
        <is>
          <t>ÖREBRO</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18047-2023</t>
        </is>
      </c>
      <c r="B547" s="1" t="n">
        <v>45040</v>
      </c>
      <c r="C547" s="1" t="n">
        <v>45975</v>
      </c>
      <c r="D547" t="inlineStr">
        <is>
          <t>ÖREBRO LÄN</t>
        </is>
      </c>
      <c r="E547" t="inlineStr">
        <is>
          <t>ÖREBRO</t>
        </is>
      </c>
      <c r="G547" t="n">
        <v>3.9</v>
      </c>
      <c r="H547" t="n">
        <v>0</v>
      </c>
      <c r="I547" t="n">
        <v>0</v>
      </c>
      <c r="J547" t="n">
        <v>0</v>
      </c>
      <c r="K547" t="n">
        <v>0</v>
      </c>
      <c r="L547" t="n">
        <v>0</v>
      </c>
      <c r="M547" t="n">
        <v>0</v>
      </c>
      <c r="N547" t="n">
        <v>0</v>
      </c>
      <c r="O547" t="n">
        <v>0</v>
      </c>
      <c r="P547" t="n">
        <v>0</v>
      </c>
      <c r="Q547" t="n">
        <v>0</v>
      </c>
      <c r="R547" s="2" t="inlineStr"/>
    </row>
    <row r="548" ht="15" customHeight="1">
      <c r="A548" t="inlineStr">
        <is>
          <t>A 55745-2023</t>
        </is>
      </c>
      <c r="B548" s="1" t="n">
        <v>45239.44811342593</v>
      </c>
      <c r="C548" s="1" t="n">
        <v>45975</v>
      </c>
      <c r="D548" t="inlineStr">
        <is>
          <t>ÖREBRO LÄN</t>
        </is>
      </c>
      <c r="E548" t="inlineStr">
        <is>
          <t>ÖREBRO</t>
        </is>
      </c>
      <c r="G548" t="n">
        <v>13.3</v>
      </c>
      <c r="H548" t="n">
        <v>0</v>
      </c>
      <c r="I548" t="n">
        <v>0</v>
      </c>
      <c r="J548" t="n">
        <v>0</v>
      </c>
      <c r="K548" t="n">
        <v>0</v>
      </c>
      <c r="L548" t="n">
        <v>0</v>
      </c>
      <c r="M548" t="n">
        <v>0</v>
      </c>
      <c r="N548" t="n">
        <v>0</v>
      </c>
      <c r="O548" t="n">
        <v>0</v>
      </c>
      <c r="P548" t="n">
        <v>0</v>
      </c>
      <c r="Q548" t="n">
        <v>0</v>
      </c>
      <c r="R548" s="2" t="inlineStr"/>
    </row>
    <row r="549" ht="15" customHeight="1">
      <c r="A549" t="inlineStr">
        <is>
          <t>A 31237-2025</t>
        </is>
      </c>
      <c r="B549" s="1" t="n">
        <v>45832.84313657408</v>
      </c>
      <c r="C549" s="1" t="n">
        <v>45975</v>
      </c>
      <c r="D549" t="inlineStr">
        <is>
          <t>ÖREBRO LÄN</t>
        </is>
      </c>
      <c r="E549" t="inlineStr">
        <is>
          <t>ÖREBRO</t>
        </is>
      </c>
      <c r="F549" t="inlineStr">
        <is>
          <t>Övriga Aktiebolag</t>
        </is>
      </c>
      <c r="G549" t="n">
        <v>1.7</v>
      </c>
      <c r="H549" t="n">
        <v>0</v>
      </c>
      <c r="I549" t="n">
        <v>0</v>
      </c>
      <c r="J549" t="n">
        <v>0</v>
      </c>
      <c r="K549" t="n">
        <v>0</v>
      </c>
      <c r="L549" t="n">
        <v>0</v>
      </c>
      <c r="M549" t="n">
        <v>0</v>
      </c>
      <c r="N549" t="n">
        <v>0</v>
      </c>
      <c r="O549" t="n">
        <v>0</v>
      </c>
      <c r="P549" t="n">
        <v>0</v>
      </c>
      <c r="Q549" t="n">
        <v>0</v>
      </c>
      <c r="R549" s="2" t="inlineStr"/>
    </row>
    <row r="550" ht="15" customHeight="1">
      <c r="A550" t="inlineStr">
        <is>
          <t>A 53719-2025</t>
        </is>
      </c>
      <c r="B550" s="1" t="n">
        <v>45960.62042824074</v>
      </c>
      <c r="C550" s="1" t="n">
        <v>45975</v>
      </c>
      <c r="D550" t="inlineStr">
        <is>
          <t>ÖREBRO LÄN</t>
        </is>
      </c>
      <c r="E550" t="inlineStr">
        <is>
          <t>ÖREBRO</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71285-2021</t>
        </is>
      </c>
      <c r="B551" s="1" t="n">
        <v>44539.62236111111</v>
      </c>
      <c r="C551" s="1" t="n">
        <v>45975</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44960-2025</t>
        </is>
      </c>
      <c r="B552" s="1" t="n">
        <v>45918.61577546296</v>
      </c>
      <c r="C552" s="1" t="n">
        <v>45975</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53342-2025</t>
        </is>
      </c>
      <c r="B553" s="1" t="n">
        <v>45959.41769675926</v>
      </c>
      <c r="C553" s="1" t="n">
        <v>45975</v>
      </c>
      <c r="D553" t="inlineStr">
        <is>
          <t>ÖREBRO LÄN</t>
        </is>
      </c>
      <c r="E553" t="inlineStr">
        <is>
          <t>ÖREBRO</t>
        </is>
      </c>
      <c r="G553" t="n">
        <v>4.1</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45975</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53437-2025</t>
        </is>
      </c>
      <c r="B555" s="1" t="n">
        <v>45959.63440972222</v>
      </c>
      <c r="C555" s="1" t="n">
        <v>45975</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60289-2023</t>
        </is>
      </c>
      <c r="B556" s="1" t="n">
        <v>45257</v>
      </c>
      <c r="C556" s="1" t="n">
        <v>45975</v>
      </c>
      <c r="D556" t="inlineStr">
        <is>
          <t>ÖREBRO LÄN</t>
        </is>
      </c>
      <c r="E556" t="inlineStr">
        <is>
          <t>ÖREBRO</t>
        </is>
      </c>
      <c r="G556" t="n">
        <v>10.9</v>
      </c>
      <c r="H556" t="n">
        <v>0</v>
      </c>
      <c r="I556" t="n">
        <v>0</v>
      </c>
      <c r="J556" t="n">
        <v>0</v>
      </c>
      <c r="K556" t="n">
        <v>0</v>
      </c>
      <c r="L556" t="n">
        <v>0</v>
      </c>
      <c r="M556" t="n">
        <v>0</v>
      </c>
      <c r="N556" t="n">
        <v>0</v>
      </c>
      <c r="O556" t="n">
        <v>0</v>
      </c>
      <c r="P556" t="n">
        <v>0</v>
      </c>
      <c r="Q556" t="n">
        <v>0</v>
      </c>
      <c r="R556" s="2" t="inlineStr"/>
    </row>
    <row r="557" ht="15" customHeight="1">
      <c r="A557" t="inlineStr">
        <is>
          <t>A 12099-2023</t>
        </is>
      </c>
      <c r="B557" s="1" t="n">
        <v>44998.37043981482</v>
      </c>
      <c r="C557" s="1" t="n">
        <v>45975</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32218-2025</t>
        </is>
      </c>
      <c r="B558" s="1" t="n">
        <v>45835.58880787037</v>
      </c>
      <c r="C558" s="1" t="n">
        <v>45975</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54205-2025</t>
        </is>
      </c>
      <c r="B559" s="1" t="n">
        <v>45964.58512731481</v>
      </c>
      <c r="C559" s="1" t="n">
        <v>45975</v>
      </c>
      <c r="D559" t="inlineStr">
        <is>
          <t>ÖREBRO LÄN</t>
        </is>
      </c>
      <c r="E559" t="inlineStr">
        <is>
          <t>ÖREBRO</t>
        </is>
      </c>
      <c r="G559" t="n">
        <v>24.3</v>
      </c>
      <c r="H559" t="n">
        <v>0</v>
      </c>
      <c r="I559" t="n">
        <v>0</v>
      </c>
      <c r="J559" t="n">
        <v>0</v>
      </c>
      <c r="K559" t="n">
        <v>0</v>
      </c>
      <c r="L559" t="n">
        <v>0</v>
      </c>
      <c r="M559" t="n">
        <v>0</v>
      </c>
      <c r="N559" t="n">
        <v>0</v>
      </c>
      <c r="O559" t="n">
        <v>0</v>
      </c>
      <c r="P559" t="n">
        <v>0</v>
      </c>
      <c r="Q559" t="n">
        <v>0</v>
      </c>
      <c r="R559" s="2" t="inlineStr"/>
    </row>
    <row r="560" ht="15" customHeight="1">
      <c r="A560" t="inlineStr">
        <is>
          <t>A 32188-2025</t>
        </is>
      </c>
      <c r="B560" s="1" t="n">
        <v>45835.56965277778</v>
      </c>
      <c r="C560" s="1" t="n">
        <v>45975</v>
      </c>
      <c r="D560" t="inlineStr">
        <is>
          <t>ÖREBRO LÄN</t>
        </is>
      </c>
      <c r="E560" t="inlineStr">
        <is>
          <t>ÖREBRO</t>
        </is>
      </c>
      <c r="G560" t="n">
        <v>2.9</v>
      </c>
      <c r="H560" t="n">
        <v>0</v>
      </c>
      <c r="I560" t="n">
        <v>0</v>
      </c>
      <c r="J560" t="n">
        <v>0</v>
      </c>
      <c r="K560" t="n">
        <v>0</v>
      </c>
      <c r="L560" t="n">
        <v>0</v>
      </c>
      <c r="M560" t="n">
        <v>0</v>
      </c>
      <c r="N560" t="n">
        <v>0</v>
      </c>
      <c r="O560" t="n">
        <v>0</v>
      </c>
      <c r="P560" t="n">
        <v>0</v>
      </c>
      <c r="Q560" t="n">
        <v>0</v>
      </c>
      <c r="R560" s="2" t="inlineStr"/>
    </row>
    <row r="561" ht="15" customHeight="1">
      <c r="A561" t="inlineStr">
        <is>
          <t>A 32195-2025</t>
        </is>
      </c>
      <c r="B561" s="1" t="n">
        <v>45835.57407407407</v>
      </c>
      <c r="C561" s="1" t="n">
        <v>45975</v>
      </c>
      <c r="D561" t="inlineStr">
        <is>
          <t>ÖREBRO LÄN</t>
        </is>
      </c>
      <c r="E561" t="inlineStr">
        <is>
          <t>ÖREBRO</t>
        </is>
      </c>
      <c r="G561" t="n">
        <v>1.5</v>
      </c>
      <c r="H561" t="n">
        <v>0</v>
      </c>
      <c r="I561" t="n">
        <v>0</v>
      </c>
      <c r="J561" t="n">
        <v>0</v>
      </c>
      <c r="K561" t="n">
        <v>0</v>
      </c>
      <c r="L561" t="n">
        <v>0</v>
      </c>
      <c r="M561" t="n">
        <v>0</v>
      </c>
      <c r="N561" t="n">
        <v>0</v>
      </c>
      <c r="O561" t="n">
        <v>0</v>
      </c>
      <c r="P561" t="n">
        <v>0</v>
      </c>
      <c r="Q561" t="n">
        <v>0</v>
      </c>
      <c r="R561" s="2" t="inlineStr"/>
    </row>
    <row r="562" ht="15" customHeight="1">
      <c r="A562" t="inlineStr">
        <is>
          <t>A 5026-2022</t>
        </is>
      </c>
      <c r="B562" s="1" t="n">
        <v>44593.63974537037</v>
      </c>
      <c r="C562" s="1" t="n">
        <v>45975</v>
      </c>
      <c r="D562" t="inlineStr">
        <is>
          <t>ÖREBRO LÄN</t>
        </is>
      </c>
      <c r="E562" t="inlineStr">
        <is>
          <t>ÖREBRO</t>
        </is>
      </c>
      <c r="G562" t="n">
        <v>1.1</v>
      </c>
      <c r="H562" t="n">
        <v>0</v>
      </c>
      <c r="I562" t="n">
        <v>0</v>
      </c>
      <c r="J562" t="n">
        <v>0</v>
      </c>
      <c r="K562" t="n">
        <v>0</v>
      </c>
      <c r="L562" t="n">
        <v>0</v>
      </c>
      <c r="M562" t="n">
        <v>0</v>
      </c>
      <c r="N562" t="n">
        <v>0</v>
      </c>
      <c r="O562" t="n">
        <v>0</v>
      </c>
      <c r="P562" t="n">
        <v>0</v>
      </c>
      <c r="Q562" t="n">
        <v>0</v>
      </c>
      <c r="R562" s="2" t="inlineStr"/>
    </row>
    <row r="563" ht="15" customHeight="1">
      <c r="A563" t="inlineStr">
        <is>
          <t>A 33191-2025</t>
        </is>
      </c>
      <c r="B563" s="1" t="n">
        <v>45840.6003587963</v>
      </c>
      <c r="C563" s="1" t="n">
        <v>45975</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32426-2025</t>
        </is>
      </c>
      <c r="B564" s="1" t="n">
        <v>45838.36179398148</v>
      </c>
      <c r="C564" s="1" t="n">
        <v>45975</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55003-2025</t>
        </is>
      </c>
      <c r="B565" s="1" t="n">
        <v>45967</v>
      </c>
      <c r="C565" s="1" t="n">
        <v>45975</v>
      </c>
      <c r="D565" t="inlineStr">
        <is>
          <t>ÖREBRO LÄN</t>
        </is>
      </c>
      <c r="E565" t="inlineStr">
        <is>
          <t>ÖREBRO</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32904-2025</t>
        </is>
      </c>
      <c r="B566" s="1" t="n">
        <v>45839</v>
      </c>
      <c r="C566" s="1" t="n">
        <v>45975</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54485-2025</t>
        </is>
      </c>
      <c r="B567" s="1" t="n">
        <v>45965.59295138889</v>
      </c>
      <c r="C567" s="1" t="n">
        <v>45975</v>
      </c>
      <c r="D567" t="inlineStr">
        <is>
          <t>ÖREBRO LÄN</t>
        </is>
      </c>
      <c r="E567" t="inlineStr">
        <is>
          <t>ÖREBRO</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55748-2025</t>
        </is>
      </c>
      <c r="B568" s="1" t="n">
        <v>45972.57893518519</v>
      </c>
      <c r="C568" s="1" t="n">
        <v>45975</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48687-2024</t>
        </is>
      </c>
      <c r="B569" s="1" t="n">
        <v>45593.49899305555</v>
      </c>
      <c r="C569" s="1" t="n">
        <v>45975</v>
      </c>
      <c r="D569" t="inlineStr">
        <is>
          <t>ÖREBRO LÄN</t>
        </is>
      </c>
      <c r="E569" t="inlineStr">
        <is>
          <t>ÖREBRO</t>
        </is>
      </c>
      <c r="F569" t="inlineStr">
        <is>
          <t>Övriga Aktiebolag</t>
        </is>
      </c>
      <c r="G569" t="n">
        <v>3.8</v>
      </c>
      <c r="H569" t="n">
        <v>0</v>
      </c>
      <c r="I569" t="n">
        <v>0</v>
      </c>
      <c r="J569" t="n">
        <v>0</v>
      </c>
      <c r="K569" t="n">
        <v>0</v>
      </c>
      <c r="L569" t="n">
        <v>0</v>
      </c>
      <c r="M569" t="n">
        <v>0</v>
      </c>
      <c r="N569" t="n">
        <v>0</v>
      </c>
      <c r="O569" t="n">
        <v>0</v>
      </c>
      <c r="P569" t="n">
        <v>0</v>
      </c>
      <c r="Q569" t="n">
        <v>0</v>
      </c>
      <c r="R569" s="2" t="inlineStr"/>
    </row>
    <row r="570" ht="15" customHeight="1">
      <c r="A570" t="inlineStr">
        <is>
          <t>A 55750-2025</t>
        </is>
      </c>
      <c r="B570" s="1" t="n">
        <v>45972.58171296296</v>
      </c>
      <c r="C570" s="1" t="n">
        <v>45975</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35062-2025</t>
        </is>
      </c>
      <c r="B571" s="1" t="n">
        <v>45852</v>
      </c>
      <c r="C571" s="1" t="n">
        <v>45975</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54917-2023</t>
        </is>
      </c>
      <c r="B572" s="1" t="n">
        <v>45229</v>
      </c>
      <c r="C572" s="1" t="n">
        <v>45975</v>
      </c>
      <c r="D572" t="inlineStr">
        <is>
          <t>ÖREBRO LÄN</t>
        </is>
      </c>
      <c r="E572" t="inlineStr">
        <is>
          <t>ÖREBRO</t>
        </is>
      </c>
      <c r="G572" t="n">
        <v>3.1</v>
      </c>
      <c r="H572" t="n">
        <v>0</v>
      </c>
      <c r="I572" t="n">
        <v>0</v>
      </c>
      <c r="J572" t="n">
        <v>0</v>
      </c>
      <c r="K572" t="n">
        <v>0</v>
      </c>
      <c r="L572" t="n">
        <v>0</v>
      </c>
      <c r="M572" t="n">
        <v>0</v>
      </c>
      <c r="N572" t="n">
        <v>0</v>
      </c>
      <c r="O572" t="n">
        <v>0</v>
      </c>
      <c r="P572" t="n">
        <v>0</v>
      </c>
      <c r="Q572" t="n">
        <v>0</v>
      </c>
      <c r="R572" s="2" t="inlineStr"/>
    </row>
    <row r="573" ht="15" customHeight="1">
      <c r="A573" t="inlineStr">
        <is>
          <t>A 72329-2021</t>
        </is>
      </c>
      <c r="B573" s="1" t="n">
        <v>44545.46072916667</v>
      </c>
      <c r="C573" s="1" t="n">
        <v>45975</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55879-2025</t>
        </is>
      </c>
      <c r="B574" s="1" t="n">
        <v>45973.36508101852</v>
      </c>
      <c r="C574" s="1" t="n">
        <v>45975</v>
      </c>
      <c r="D574" t="inlineStr">
        <is>
          <t>ÖREBRO LÄN</t>
        </is>
      </c>
      <c r="E574" t="inlineStr">
        <is>
          <t>ÖREBRO</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43803-2023</t>
        </is>
      </c>
      <c r="B575" s="1" t="n">
        <v>45187</v>
      </c>
      <c r="C575" s="1" t="n">
        <v>45975</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28821-2025</t>
        </is>
      </c>
      <c r="B576" s="1" t="n">
        <v>45820</v>
      </c>
      <c r="C576" s="1" t="n">
        <v>45975</v>
      </c>
      <c r="D576" t="inlineStr">
        <is>
          <t>ÖREBRO LÄN</t>
        </is>
      </c>
      <c r="E576" t="inlineStr">
        <is>
          <t>ÖREBRO</t>
        </is>
      </c>
      <c r="G576" t="n">
        <v>12.6</v>
      </c>
      <c r="H576" t="n">
        <v>0</v>
      </c>
      <c r="I576" t="n">
        <v>0</v>
      </c>
      <c r="J576" t="n">
        <v>0</v>
      </c>
      <c r="K576" t="n">
        <v>0</v>
      </c>
      <c r="L576" t="n">
        <v>0</v>
      </c>
      <c r="M576" t="n">
        <v>0</v>
      </c>
      <c r="N576" t="n">
        <v>0</v>
      </c>
      <c r="O576" t="n">
        <v>0</v>
      </c>
      <c r="P576" t="n">
        <v>0</v>
      </c>
      <c r="Q576" t="n">
        <v>0</v>
      </c>
      <c r="R576" s="2" t="inlineStr"/>
    </row>
    <row r="577" ht="15" customHeight="1">
      <c r="A577" t="inlineStr">
        <is>
          <t>A 35637-2025</t>
        </is>
      </c>
      <c r="B577" s="1" t="n">
        <v>45859.46859953704</v>
      </c>
      <c r="C577" s="1" t="n">
        <v>45975</v>
      </c>
      <c r="D577" t="inlineStr">
        <is>
          <t>ÖREBRO LÄN</t>
        </is>
      </c>
      <c r="E577" t="inlineStr">
        <is>
          <t>ÖREBRO</t>
        </is>
      </c>
      <c r="G577" t="n">
        <v>2.1</v>
      </c>
      <c r="H577" t="n">
        <v>0</v>
      </c>
      <c r="I577" t="n">
        <v>0</v>
      </c>
      <c r="J577" t="n">
        <v>0</v>
      </c>
      <c r="K577" t="n">
        <v>0</v>
      </c>
      <c r="L577" t="n">
        <v>0</v>
      </c>
      <c r="M577" t="n">
        <v>0</v>
      </c>
      <c r="N577" t="n">
        <v>0</v>
      </c>
      <c r="O577" t="n">
        <v>0</v>
      </c>
      <c r="P577" t="n">
        <v>0</v>
      </c>
      <c r="Q577" t="n">
        <v>0</v>
      </c>
      <c r="R577" s="2" t="inlineStr"/>
    </row>
    <row r="578" ht="15" customHeight="1">
      <c r="A578" t="inlineStr">
        <is>
          <t>A 55888-2025</t>
        </is>
      </c>
      <c r="B578" s="1" t="n">
        <v>45973.37163194444</v>
      </c>
      <c r="C578" s="1" t="n">
        <v>45975</v>
      </c>
      <c r="D578" t="inlineStr">
        <is>
          <t>ÖREBRO LÄN</t>
        </is>
      </c>
      <c r="E578" t="inlineStr">
        <is>
          <t>ÖREBRO</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15789-2023</t>
        </is>
      </c>
      <c r="B579" s="1" t="n">
        <v>45021.71539351852</v>
      </c>
      <c r="C579" s="1" t="n">
        <v>45975</v>
      </c>
      <c r="D579" t="inlineStr">
        <is>
          <t>ÖREBRO LÄN</t>
        </is>
      </c>
      <c r="E579" t="inlineStr">
        <is>
          <t>ÖREBRO</t>
        </is>
      </c>
      <c r="F579" t="inlineStr">
        <is>
          <t>Övriga Aktiebolag</t>
        </is>
      </c>
      <c r="G579" t="n">
        <v>3.7</v>
      </c>
      <c r="H579" t="n">
        <v>0</v>
      </c>
      <c r="I579" t="n">
        <v>0</v>
      </c>
      <c r="J579" t="n">
        <v>0</v>
      </c>
      <c r="K579" t="n">
        <v>0</v>
      </c>
      <c r="L579" t="n">
        <v>0</v>
      </c>
      <c r="M579" t="n">
        <v>0</v>
      </c>
      <c r="N579" t="n">
        <v>0</v>
      </c>
      <c r="O579" t="n">
        <v>0</v>
      </c>
      <c r="P579" t="n">
        <v>0</v>
      </c>
      <c r="Q579" t="n">
        <v>0</v>
      </c>
      <c r="R579" s="2" t="inlineStr"/>
    </row>
    <row r="580" ht="15" customHeight="1">
      <c r="A580" t="inlineStr">
        <is>
          <t>A 58539-2024</t>
        </is>
      </c>
      <c r="B580" s="1" t="n">
        <v>45635.45157407408</v>
      </c>
      <c r="C580" s="1" t="n">
        <v>45975</v>
      </c>
      <c r="D580" t="inlineStr">
        <is>
          <t>ÖREBRO LÄN</t>
        </is>
      </c>
      <c r="E580" t="inlineStr">
        <is>
          <t>ÖREBRO</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35928-2025</t>
        </is>
      </c>
      <c r="B581" s="1" t="n">
        <v>45862</v>
      </c>
      <c r="C581" s="1" t="n">
        <v>45975</v>
      </c>
      <c r="D581" t="inlineStr">
        <is>
          <t>ÖREBRO LÄN</t>
        </is>
      </c>
      <c r="E581" t="inlineStr">
        <is>
          <t>ÖREBRO</t>
        </is>
      </c>
      <c r="G581" t="n">
        <v>4.4</v>
      </c>
      <c r="H581" t="n">
        <v>0</v>
      </c>
      <c r="I581" t="n">
        <v>0</v>
      </c>
      <c r="J581" t="n">
        <v>0</v>
      </c>
      <c r="K581" t="n">
        <v>0</v>
      </c>
      <c r="L581" t="n">
        <v>0</v>
      </c>
      <c r="M581" t="n">
        <v>0</v>
      </c>
      <c r="N581" t="n">
        <v>0</v>
      </c>
      <c r="O581" t="n">
        <v>0</v>
      </c>
      <c r="P581" t="n">
        <v>0</v>
      </c>
      <c r="Q581" t="n">
        <v>0</v>
      </c>
      <c r="R581" s="2" t="inlineStr"/>
    </row>
    <row r="582" ht="15" customHeight="1">
      <c r="A582" t="inlineStr">
        <is>
          <t>A 55453-2024</t>
        </is>
      </c>
      <c r="B582" s="1" t="n">
        <v>45622.42097222222</v>
      </c>
      <c r="C582" s="1" t="n">
        <v>45975</v>
      </c>
      <c r="D582" t="inlineStr">
        <is>
          <t>ÖREBRO LÄN</t>
        </is>
      </c>
      <c r="E582" t="inlineStr">
        <is>
          <t>ÖREBRO</t>
        </is>
      </c>
      <c r="G582" t="n">
        <v>8.5</v>
      </c>
      <c r="H582" t="n">
        <v>0</v>
      </c>
      <c r="I582" t="n">
        <v>0</v>
      </c>
      <c r="J582" t="n">
        <v>0</v>
      </c>
      <c r="K582" t="n">
        <v>0</v>
      </c>
      <c r="L582" t="n">
        <v>0</v>
      </c>
      <c r="M582" t="n">
        <v>0</v>
      </c>
      <c r="N582" t="n">
        <v>0</v>
      </c>
      <c r="O582" t="n">
        <v>0</v>
      </c>
      <c r="P582" t="n">
        <v>0</v>
      </c>
      <c r="Q582" t="n">
        <v>0</v>
      </c>
      <c r="R582" s="2" t="inlineStr"/>
    </row>
    <row r="583" ht="15" customHeight="1">
      <c r="A583" t="inlineStr">
        <is>
          <t>A 32025-2024</t>
        </is>
      </c>
      <c r="B583" s="1" t="n">
        <v>45510.65754629629</v>
      </c>
      <c r="C583" s="1" t="n">
        <v>45975</v>
      </c>
      <c r="D583" t="inlineStr">
        <is>
          <t>ÖREBRO LÄN</t>
        </is>
      </c>
      <c r="E583" t="inlineStr">
        <is>
          <t>ÖREBRO</t>
        </is>
      </c>
      <c r="G583" t="n">
        <v>4</v>
      </c>
      <c r="H583" t="n">
        <v>0</v>
      </c>
      <c r="I583" t="n">
        <v>0</v>
      </c>
      <c r="J583" t="n">
        <v>0</v>
      </c>
      <c r="K583" t="n">
        <v>0</v>
      </c>
      <c r="L583" t="n">
        <v>0</v>
      </c>
      <c r="M583" t="n">
        <v>0</v>
      </c>
      <c r="N583" t="n">
        <v>0</v>
      </c>
      <c r="O583" t="n">
        <v>0</v>
      </c>
      <c r="P583" t="n">
        <v>0</v>
      </c>
      <c r="Q583" t="n">
        <v>0</v>
      </c>
      <c r="R583" s="2" t="inlineStr"/>
    </row>
    <row r="584" ht="15" customHeight="1">
      <c r="A584" t="inlineStr">
        <is>
          <t>A 59757-2023</t>
        </is>
      </c>
      <c r="B584" s="1" t="n">
        <v>45257.40833333333</v>
      </c>
      <c r="C584" s="1" t="n">
        <v>45975</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17869-2024</t>
        </is>
      </c>
      <c r="B585" s="1" t="n">
        <v>45419</v>
      </c>
      <c r="C585" s="1" t="n">
        <v>45975</v>
      </c>
      <c r="D585" t="inlineStr">
        <is>
          <t>ÖREBRO LÄN</t>
        </is>
      </c>
      <c r="E585" t="inlineStr">
        <is>
          <t>ÖREBRO</t>
        </is>
      </c>
      <c r="G585" t="n">
        <v>3.7</v>
      </c>
      <c r="H585" t="n">
        <v>0</v>
      </c>
      <c r="I585" t="n">
        <v>0</v>
      </c>
      <c r="J585" t="n">
        <v>0</v>
      </c>
      <c r="K585" t="n">
        <v>0</v>
      </c>
      <c r="L585" t="n">
        <v>0</v>
      </c>
      <c r="M585" t="n">
        <v>0</v>
      </c>
      <c r="N585" t="n">
        <v>0</v>
      </c>
      <c r="O585" t="n">
        <v>0</v>
      </c>
      <c r="P585" t="n">
        <v>0</v>
      </c>
      <c r="Q585" t="n">
        <v>0</v>
      </c>
      <c r="R585" s="2" t="inlineStr"/>
    </row>
    <row r="586" ht="15" customHeight="1">
      <c r="A586" t="inlineStr">
        <is>
          <t>A 71272-2021</t>
        </is>
      </c>
      <c r="B586" s="1" t="n">
        <v>44539.61571759259</v>
      </c>
      <c r="C586" s="1" t="n">
        <v>45975</v>
      </c>
      <c r="D586" t="inlineStr">
        <is>
          <t>ÖREBRO LÄN</t>
        </is>
      </c>
      <c r="E586" t="inlineStr">
        <is>
          <t>ÖREBRO</t>
        </is>
      </c>
      <c r="G586" t="n">
        <v>0.9</v>
      </c>
      <c r="H586" t="n">
        <v>0</v>
      </c>
      <c r="I586" t="n">
        <v>0</v>
      </c>
      <c r="J586" t="n">
        <v>0</v>
      </c>
      <c r="K586" t="n">
        <v>0</v>
      </c>
      <c r="L586" t="n">
        <v>0</v>
      </c>
      <c r="M586" t="n">
        <v>0</v>
      </c>
      <c r="N586" t="n">
        <v>0</v>
      </c>
      <c r="O586" t="n">
        <v>0</v>
      </c>
      <c r="P586" t="n">
        <v>0</v>
      </c>
      <c r="Q586" t="n">
        <v>0</v>
      </c>
      <c r="R586" s="2" t="inlineStr"/>
    </row>
    <row r="587" ht="15" customHeight="1">
      <c r="A587" t="inlineStr">
        <is>
          <t>A 4557-2023</t>
        </is>
      </c>
      <c r="B587" s="1" t="n">
        <v>44956.6655787037</v>
      </c>
      <c r="C587" s="1" t="n">
        <v>45975</v>
      </c>
      <c r="D587" t="inlineStr">
        <is>
          <t>ÖREBRO LÄN</t>
        </is>
      </c>
      <c r="E587" t="inlineStr">
        <is>
          <t>ÖREBRO</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60100-2022</t>
        </is>
      </c>
      <c r="B588" s="1" t="n">
        <v>44902</v>
      </c>
      <c r="C588" s="1" t="n">
        <v>45975</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17465-2023</t>
        </is>
      </c>
      <c r="B589" s="1" t="n">
        <v>45036</v>
      </c>
      <c r="C589" s="1" t="n">
        <v>45975</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36448-2025</t>
        </is>
      </c>
      <c r="B590" s="1" t="n">
        <v>45869.41929398148</v>
      </c>
      <c r="C590" s="1" t="n">
        <v>45975</v>
      </c>
      <c r="D590" t="inlineStr">
        <is>
          <t>ÖREBRO LÄN</t>
        </is>
      </c>
      <c r="E590" t="inlineStr">
        <is>
          <t>ÖREBRO</t>
        </is>
      </c>
      <c r="F590" t="inlineStr">
        <is>
          <t>Övriga Aktiebolag</t>
        </is>
      </c>
      <c r="G590" t="n">
        <v>4.3</v>
      </c>
      <c r="H590" t="n">
        <v>0</v>
      </c>
      <c r="I590" t="n">
        <v>0</v>
      </c>
      <c r="J590" t="n">
        <v>0</v>
      </c>
      <c r="K590" t="n">
        <v>0</v>
      </c>
      <c r="L590" t="n">
        <v>0</v>
      </c>
      <c r="M590" t="n">
        <v>0</v>
      </c>
      <c r="N590" t="n">
        <v>0</v>
      </c>
      <c r="O590" t="n">
        <v>0</v>
      </c>
      <c r="P590" t="n">
        <v>0</v>
      </c>
      <c r="Q590" t="n">
        <v>0</v>
      </c>
      <c r="R590" s="2" t="inlineStr"/>
    </row>
    <row r="591" ht="15" customHeight="1">
      <c r="A591" t="inlineStr">
        <is>
          <t>A 6213-2021</t>
        </is>
      </c>
      <c r="B591" s="1" t="n">
        <v>44232</v>
      </c>
      <c r="C591" s="1" t="n">
        <v>45975</v>
      </c>
      <c r="D591" t="inlineStr">
        <is>
          <t>ÖREBRO LÄN</t>
        </is>
      </c>
      <c r="E591" t="inlineStr">
        <is>
          <t>ÖREBRO</t>
        </is>
      </c>
      <c r="G591" t="n">
        <v>4</v>
      </c>
      <c r="H591" t="n">
        <v>0</v>
      </c>
      <c r="I591" t="n">
        <v>0</v>
      </c>
      <c r="J591" t="n">
        <v>0</v>
      </c>
      <c r="K591" t="n">
        <v>0</v>
      </c>
      <c r="L591" t="n">
        <v>0</v>
      </c>
      <c r="M591" t="n">
        <v>0</v>
      </c>
      <c r="N591" t="n">
        <v>0</v>
      </c>
      <c r="O591" t="n">
        <v>0</v>
      </c>
      <c r="P591" t="n">
        <v>0</v>
      </c>
      <c r="Q591" t="n">
        <v>0</v>
      </c>
      <c r="R591" s="2" t="inlineStr"/>
    </row>
    <row r="592" ht="15" customHeight="1">
      <c r="A592" t="inlineStr">
        <is>
          <t>A 52016-2024</t>
        </is>
      </c>
      <c r="B592" s="1" t="n">
        <v>45607.81917824074</v>
      </c>
      <c r="C592" s="1" t="n">
        <v>45975</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36447-2025</t>
        </is>
      </c>
      <c r="B593" s="1" t="n">
        <v>45869.41387731482</v>
      </c>
      <c r="C593" s="1" t="n">
        <v>45975</v>
      </c>
      <c r="D593" t="inlineStr">
        <is>
          <t>ÖREBRO LÄN</t>
        </is>
      </c>
      <c r="E593" t="inlineStr">
        <is>
          <t>ÖREBRO</t>
        </is>
      </c>
      <c r="F593" t="inlineStr">
        <is>
          <t>Övriga Aktiebolag</t>
        </is>
      </c>
      <c r="G593" t="n">
        <v>12.6</v>
      </c>
      <c r="H593" t="n">
        <v>0</v>
      </c>
      <c r="I593" t="n">
        <v>0</v>
      </c>
      <c r="J593" t="n">
        <v>0</v>
      </c>
      <c r="K593" t="n">
        <v>0</v>
      </c>
      <c r="L593" t="n">
        <v>0</v>
      </c>
      <c r="M593" t="n">
        <v>0</v>
      </c>
      <c r="N593" t="n">
        <v>0</v>
      </c>
      <c r="O593" t="n">
        <v>0</v>
      </c>
      <c r="P593" t="n">
        <v>0</v>
      </c>
      <c r="Q593" t="n">
        <v>0</v>
      </c>
      <c r="R593" s="2" t="inlineStr"/>
    </row>
    <row r="594" ht="15" customHeight="1">
      <c r="A594" t="inlineStr">
        <is>
          <t>A 52477-2024</t>
        </is>
      </c>
      <c r="B594" s="1" t="n">
        <v>45609</v>
      </c>
      <c r="C594" s="1" t="n">
        <v>45975</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53558-2023</t>
        </is>
      </c>
      <c r="B595" s="1" t="n">
        <v>45230.47266203703</v>
      </c>
      <c r="C595" s="1" t="n">
        <v>45975</v>
      </c>
      <c r="D595" t="inlineStr">
        <is>
          <t>ÖREBRO LÄN</t>
        </is>
      </c>
      <c r="E595" t="inlineStr">
        <is>
          <t>ÖREBRO</t>
        </is>
      </c>
      <c r="F595" t="inlineStr">
        <is>
          <t>Övriga Aktiebolag</t>
        </is>
      </c>
      <c r="G595" t="n">
        <v>4.7</v>
      </c>
      <c r="H595" t="n">
        <v>0</v>
      </c>
      <c r="I595" t="n">
        <v>0</v>
      </c>
      <c r="J595" t="n">
        <v>0</v>
      </c>
      <c r="K595" t="n">
        <v>0</v>
      </c>
      <c r="L595" t="n">
        <v>0</v>
      </c>
      <c r="M595" t="n">
        <v>0</v>
      </c>
      <c r="N595" t="n">
        <v>0</v>
      </c>
      <c r="O595" t="n">
        <v>0</v>
      </c>
      <c r="P595" t="n">
        <v>0</v>
      </c>
      <c r="Q595" t="n">
        <v>0</v>
      </c>
      <c r="R595" s="2" t="inlineStr"/>
    </row>
    <row r="596" ht="15" customHeight="1">
      <c r="A596" t="inlineStr">
        <is>
          <t>A 35843-2022</t>
        </is>
      </c>
      <c r="B596" s="1" t="n">
        <v>44802</v>
      </c>
      <c r="C596" s="1" t="n">
        <v>45975</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51373-2023</t>
        </is>
      </c>
      <c r="B597" s="1" t="n">
        <v>45213</v>
      </c>
      <c r="C597" s="1" t="n">
        <v>45975</v>
      </c>
      <c r="D597" t="inlineStr">
        <is>
          <t>ÖREBRO LÄN</t>
        </is>
      </c>
      <c r="E597" t="inlineStr">
        <is>
          <t>ÖREBRO</t>
        </is>
      </c>
      <c r="G597" t="n">
        <v>5.9</v>
      </c>
      <c r="H597" t="n">
        <v>0</v>
      </c>
      <c r="I597" t="n">
        <v>0</v>
      </c>
      <c r="J597" t="n">
        <v>0</v>
      </c>
      <c r="K597" t="n">
        <v>0</v>
      </c>
      <c r="L597" t="n">
        <v>0</v>
      </c>
      <c r="M597" t="n">
        <v>0</v>
      </c>
      <c r="N597" t="n">
        <v>0</v>
      </c>
      <c r="O597" t="n">
        <v>0</v>
      </c>
      <c r="P597" t="n">
        <v>0</v>
      </c>
      <c r="Q597" t="n">
        <v>0</v>
      </c>
      <c r="R597" s="2" t="inlineStr"/>
    </row>
    <row r="598" ht="15" customHeight="1">
      <c r="A598" t="inlineStr">
        <is>
          <t>A 1257-2022</t>
        </is>
      </c>
      <c r="B598" s="1" t="n">
        <v>44572</v>
      </c>
      <c r="C598" s="1" t="n">
        <v>45975</v>
      </c>
      <c r="D598" t="inlineStr">
        <is>
          <t>ÖREBRO LÄN</t>
        </is>
      </c>
      <c r="E598" t="inlineStr">
        <is>
          <t>ÖREBRO</t>
        </is>
      </c>
      <c r="G598" t="n">
        <v>1.4</v>
      </c>
      <c r="H598" t="n">
        <v>0</v>
      </c>
      <c r="I598" t="n">
        <v>0</v>
      </c>
      <c r="J598" t="n">
        <v>0</v>
      </c>
      <c r="K598" t="n">
        <v>0</v>
      </c>
      <c r="L598" t="n">
        <v>0</v>
      </c>
      <c r="M598" t="n">
        <v>0</v>
      </c>
      <c r="N598" t="n">
        <v>0</v>
      </c>
      <c r="O598" t="n">
        <v>0</v>
      </c>
      <c r="P598" t="n">
        <v>0</v>
      </c>
      <c r="Q598" t="n">
        <v>0</v>
      </c>
      <c r="R598" s="2" t="inlineStr"/>
    </row>
    <row r="599" ht="15" customHeight="1">
      <c r="A599" t="inlineStr">
        <is>
          <t>A 40656-2023</t>
        </is>
      </c>
      <c r="B599" s="1" t="n">
        <v>45170</v>
      </c>
      <c r="C599" s="1" t="n">
        <v>45975</v>
      </c>
      <c r="D599" t="inlineStr">
        <is>
          <t>ÖREBRO LÄN</t>
        </is>
      </c>
      <c r="E599" t="inlineStr">
        <is>
          <t>ÖREBRO</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22677-2022</t>
        </is>
      </c>
      <c r="B600" s="1" t="n">
        <v>44714</v>
      </c>
      <c r="C600" s="1" t="n">
        <v>45975</v>
      </c>
      <c r="D600" t="inlineStr">
        <is>
          <t>ÖREBRO LÄN</t>
        </is>
      </c>
      <c r="E600" t="inlineStr">
        <is>
          <t>ÖREBRO</t>
        </is>
      </c>
      <c r="G600" t="n">
        <v>2.3</v>
      </c>
      <c r="H600" t="n">
        <v>0</v>
      </c>
      <c r="I600" t="n">
        <v>0</v>
      </c>
      <c r="J600" t="n">
        <v>0</v>
      </c>
      <c r="K600" t="n">
        <v>0</v>
      </c>
      <c r="L600" t="n">
        <v>0</v>
      </c>
      <c r="M600" t="n">
        <v>0</v>
      </c>
      <c r="N600" t="n">
        <v>0</v>
      </c>
      <c r="O600" t="n">
        <v>0</v>
      </c>
      <c r="P600" t="n">
        <v>0</v>
      </c>
      <c r="Q600" t="n">
        <v>0</v>
      </c>
      <c r="R600" s="2" t="inlineStr"/>
    </row>
    <row r="601" ht="15" customHeight="1">
      <c r="A601" t="inlineStr">
        <is>
          <t>A 71288-2021</t>
        </is>
      </c>
      <c r="B601" s="1" t="n">
        <v>44539.62481481482</v>
      </c>
      <c r="C601" s="1" t="n">
        <v>45975</v>
      </c>
      <c r="D601" t="inlineStr">
        <is>
          <t>ÖREBRO LÄN</t>
        </is>
      </c>
      <c r="E601" t="inlineStr">
        <is>
          <t>ÖREBRO</t>
        </is>
      </c>
      <c r="G601" t="n">
        <v>3.9</v>
      </c>
      <c r="H601" t="n">
        <v>0</v>
      </c>
      <c r="I601" t="n">
        <v>0</v>
      </c>
      <c r="J601" t="n">
        <v>0</v>
      </c>
      <c r="K601" t="n">
        <v>0</v>
      </c>
      <c r="L601" t="n">
        <v>0</v>
      </c>
      <c r="M601" t="n">
        <v>0</v>
      </c>
      <c r="N601" t="n">
        <v>0</v>
      </c>
      <c r="O601" t="n">
        <v>0</v>
      </c>
      <c r="P601" t="n">
        <v>0</v>
      </c>
      <c r="Q601" t="n">
        <v>0</v>
      </c>
      <c r="R601" s="2" t="inlineStr"/>
    </row>
    <row r="602" ht="15" customHeight="1">
      <c r="A602" t="inlineStr">
        <is>
          <t>A 10830-2023</t>
        </is>
      </c>
      <c r="B602" s="1" t="n">
        <v>44990.89752314815</v>
      </c>
      <c r="C602" s="1" t="n">
        <v>45975</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7692-2023</t>
        </is>
      </c>
      <c r="B603" s="1" t="n">
        <v>44972.7762962963</v>
      </c>
      <c r="C603" s="1" t="n">
        <v>45975</v>
      </c>
      <c r="D603" t="inlineStr">
        <is>
          <t>ÖREBRO LÄN</t>
        </is>
      </c>
      <c r="E603" t="inlineStr">
        <is>
          <t>ÖREBRO</t>
        </is>
      </c>
      <c r="G603" t="n">
        <v>1.5</v>
      </c>
      <c r="H603" t="n">
        <v>0</v>
      </c>
      <c r="I603" t="n">
        <v>0</v>
      </c>
      <c r="J603" t="n">
        <v>0</v>
      </c>
      <c r="K603" t="n">
        <v>0</v>
      </c>
      <c r="L603" t="n">
        <v>0</v>
      </c>
      <c r="M603" t="n">
        <v>0</v>
      </c>
      <c r="N603" t="n">
        <v>0</v>
      </c>
      <c r="O603" t="n">
        <v>0</v>
      </c>
      <c r="P603" t="n">
        <v>0</v>
      </c>
      <c r="Q603" t="n">
        <v>0</v>
      </c>
      <c r="R603" s="2" t="inlineStr"/>
    </row>
    <row r="604" ht="15" customHeight="1">
      <c r="A604" t="inlineStr">
        <is>
          <t>A 31240-2023</t>
        </is>
      </c>
      <c r="B604" s="1" t="n">
        <v>45114</v>
      </c>
      <c r="C604" s="1" t="n">
        <v>45975</v>
      </c>
      <c r="D604" t="inlineStr">
        <is>
          <t>ÖREBRO LÄN</t>
        </is>
      </c>
      <c r="E604" t="inlineStr">
        <is>
          <t>ÖREBRO</t>
        </is>
      </c>
      <c r="F604" t="inlineStr">
        <is>
          <t>Allmännings- och besparingsskogar</t>
        </is>
      </c>
      <c r="G604" t="n">
        <v>6.2</v>
      </c>
      <c r="H604" t="n">
        <v>0</v>
      </c>
      <c r="I604" t="n">
        <v>0</v>
      </c>
      <c r="J604" t="n">
        <v>0</v>
      </c>
      <c r="K604" t="n">
        <v>0</v>
      </c>
      <c r="L604" t="n">
        <v>0</v>
      </c>
      <c r="M604" t="n">
        <v>0</v>
      </c>
      <c r="N604" t="n">
        <v>0</v>
      </c>
      <c r="O604" t="n">
        <v>0</v>
      </c>
      <c r="P604" t="n">
        <v>0</v>
      </c>
      <c r="Q604" t="n">
        <v>0</v>
      </c>
      <c r="R604" s="2" t="inlineStr"/>
    </row>
    <row r="605" ht="15" customHeight="1">
      <c r="A605" t="inlineStr">
        <is>
          <t>A 50026-2024</t>
        </is>
      </c>
      <c r="B605" s="1" t="n">
        <v>45599.60541666667</v>
      </c>
      <c r="C605" s="1" t="n">
        <v>45975</v>
      </c>
      <c r="D605" t="inlineStr">
        <is>
          <t>ÖREBRO LÄN</t>
        </is>
      </c>
      <c r="E605" t="inlineStr">
        <is>
          <t>ÖREBRO</t>
        </is>
      </c>
      <c r="G605" t="n">
        <v>2.2</v>
      </c>
      <c r="H605" t="n">
        <v>0</v>
      </c>
      <c r="I605" t="n">
        <v>0</v>
      </c>
      <c r="J605" t="n">
        <v>0</v>
      </c>
      <c r="K605" t="n">
        <v>0</v>
      </c>
      <c r="L605" t="n">
        <v>0</v>
      </c>
      <c r="M605" t="n">
        <v>0</v>
      </c>
      <c r="N605" t="n">
        <v>0</v>
      </c>
      <c r="O605" t="n">
        <v>0</v>
      </c>
      <c r="P605" t="n">
        <v>0</v>
      </c>
      <c r="Q605" t="n">
        <v>0</v>
      </c>
      <c r="R605" s="2" t="inlineStr"/>
    </row>
    <row r="606" ht="15" customHeight="1">
      <c r="A606" t="inlineStr">
        <is>
          <t>A 18449-2023</t>
        </is>
      </c>
      <c r="B606" s="1" t="n">
        <v>45042.5203125</v>
      </c>
      <c r="C606" s="1" t="n">
        <v>45975</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16936-2023</t>
        </is>
      </c>
      <c r="B607" s="1" t="n">
        <v>45033.63005787037</v>
      </c>
      <c r="C607" s="1" t="n">
        <v>45975</v>
      </c>
      <c r="D607" t="inlineStr">
        <is>
          <t>ÖREBRO LÄN</t>
        </is>
      </c>
      <c r="E607" t="inlineStr">
        <is>
          <t>ÖREBRO</t>
        </is>
      </c>
      <c r="G607" t="n">
        <v>2</v>
      </c>
      <c r="H607" t="n">
        <v>0</v>
      </c>
      <c r="I607" t="n">
        <v>0</v>
      </c>
      <c r="J607" t="n">
        <v>0</v>
      </c>
      <c r="K607" t="n">
        <v>0</v>
      </c>
      <c r="L607" t="n">
        <v>0</v>
      </c>
      <c r="M607" t="n">
        <v>0</v>
      </c>
      <c r="N607" t="n">
        <v>0</v>
      </c>
      <c r="O607" t="n">
        <v>0</v>
      </c>
      <c r="P607" t="n">
        <v>0</v>
      </c>
      <c r="Q607" t="n">
        <v>0</v>
      </c>
      <c r="R607" s="2" t="inlineStr"/>
    </row>
    <row r="608" ht="15" customHeight="1">
      <c r="A608" t="inlineStr">
        <is>
          <t>A 58145-2024</t>
        </is>
      </c>
      <c r="B608" s="1" t="n">
        <v>45632.43230324074</v>
      </c>
      <c r="C608" s="1" t="n">
        <v>45975</v>
      </c>
      <c r="D608" t="inlineStr">
        <is>
          <t>ÖREBRO LÄN</t>
        </is>
      </c>
      <c r="E608" t="inlineStr">
        <is>
          <t>ÖREBRO</t>
        </is>
      </c>
      <c r="G608" t="n">
        <v>2.1</v>
      </c>
      <c r="H608" t="n">
        <v>0</v>
      </c>
      <c r="I608" t="n">
        <v>0</v>
      </c>
      <c r="J608" t="n">
        <v>0</v>
      </c>
      <c r="K608" t="n">
        <v>0</v>
      </c>
      <c r="L608" t="n">
        <v>0</v>
      </c>
      <c r="M608" t="n">
        <v>0</v>
      </c>
      <c r="N608" t="n">
        <v>0</v>
      </c>
      <c r="O608" t="n">
        <v>0</v>
      </c>
      <c r="P608" t="n">
        <v>0</v>
      </c>
      <c r="Q608" t="n">
        <v>0</v>
      </c>
      <c r="R608" s="2" t="inlineStr"/>
    </row>
    <row r="609" ht="15" customHeight="1">
      <c r="A609" t="inlineStr">
        <is>
          <t>A 64730-2023</t>
        </is>
      </c>
      <c r="B609" s="1" t="n">
        <v>45281</v>
      </c>
      <c r="C609" s="1" t="n">
        <v>45975</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44284-2022</t>
        </is>
      </c>
      <c r="B610" s="1" t="n">
        <v>44839.59194444444</v>
      </c>
      <c r="C610" s="1" t="n">
        <v>45975</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c r="A611" t="inlineStr">
        <is>
          <t>A 14544-2023</t>
        </is>
      </c>
      <c r="B611" s="1" t="n">
        <v>45013</v>
      </c>
      <c r="C611" s="1" t="n">
        <v>45975</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2025-11-14T10:10:48Z</dcterms:created>
  <dcterms:modified xmlns:dcterms="http://purl.org/dc/terms/" xmlns:xsi="http://www.w3.org/2001/XMLSchema-instance" xsi:type="dcterms:W3CDTF">2025-11-14T10:10:48Z</dcterms:modified>
</cp:coreProperties>
</file>