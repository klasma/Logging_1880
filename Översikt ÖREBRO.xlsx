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46188</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46188</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46188</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46188</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46188</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46188</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46188</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59520-2025</t>
        </is>
      </c>
      <c r="B12" s="1" t="n">
        <v>45989</v>
      </c>
      <c r="C12" s="1" t="n">
        <v>46188</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55197-2023</t>
        </is>
      </c>
      <c r="B13" s="1" t="n">
        <v>45237</v>
      </c>
      <c r="C13" s="1" t="n">
        <v>46188</v>
      </c>
      <c r="D13" t="inlineStr">
        <is>
          <t>ÖREBRO LÄN</t>
        </is>
      </c>
      <c r="E13" t="inlineStr">
        <is>
          <t>ÖREBRO</t>
        </is>
      </c>
      <c r="G13" t="n">
        <v>1.3</v>
      </c>
      <c r="H13" t="n">
        <v>3</v>
      </c>
      <c r="I13" t="n">
        <v>1</v>
      </c>
      <c r="J13" t="n">
        <v>5</v>
      </c>
      <c r="K13" t="n">
        <v>0</v>
      </c>
      <c r="L13" t="n">
        <v>0</v>
      </c>
      <c r="M13" t="n">
        <v>0</v>
      </c>
      <c r="N13" t="n">
        <v>0</v>
      </c>
      <c r="O13" t="n">
        <v>5</v>
      </c>
      <c r="P13" t="n">
        <v>0</v>
      </c>
      <c r="Q13" t="n">
        <v>6</v>
      </c>
      <c r="R13" s="2" t="inlineStr">
        <is>
          <t>Buskskvätta
Dånvivel
Entita
Fläckstumpbagge
Gulsparv
Spindelbock</t>
        </is>
      </c>
      <c r="S13">
        <f>HYPERLINK("https://klasma.github.io/Logging_1880/artfynd/A 55197-2023 artfynd.xlsx", "A 55197-2023")</f>
        <v/>
      </c>
      <c r="T13">
        <f>HYPERLINK("https://klasma.github.io/Logging_1880/kartor/A 55197-2023 karta.png", "A 55197-2023")</f>
        <v/>
      </c>
      <c r="V13">
        <f>HYPERLINK("https://klasma.github.io/Logging_1880/klagomål/A 55197-2023 FSC-klagomål.docx", "A 55197-2023")</f>
        <v/>
      </c>
      <c r="W13">
        <f>HYPERLINK("https://klasma.github.io/Logging_1880/klagomålsmail/A 55197-2023 FSC-klagomål mail.docx", "A 55197-2023")</f>
        <v/>
      </c>
      <c r="X13">
        <f>HYPERLINK("https://klasma.github.io/Logging_1880/tillsyn/A 55197-2023 tillsynsbegäran.docx", "A 55197-2023")</f>
        <v/>
      </c>
      <c r="Y13">
        <f>HYPERLINK("https://klasma.github.io/Logging_1880/tillsynsmail/A 55197-2023 tillsynsbegäran mail.docx", "A 55197-2023")</f>
        <v/>
      </c>
      <c r="Z13">
        <f>HYPERLINK("https://klasma.github.io/Logging_1880/fåglar/A 55197-2023 prioriterade fågelarter.docx", "A 55197-2023")</f>
        <v/>
      </c>
    </row>
    <row r="14" ht="15" customHeight="1">
      <c r="A14" t="inlineStr">
        <is>
          <t>A 15758-2023</t>
        </is>
      </c>
      <c r="B14" s="1" t="n">
        <v>45021</v>
      </c>
      <c r="C14" s="1" t="n">
        <v>46188</v>
      </c>
      <c r="D14" t="inlineStr">
        <is>
          <t>ÖREBRO LÄN</t>
        </is>
      </c>
      <c r="E14" t="inlineStr">
        <is>
          <t>ÖREBRO</t>
        </is>
      </c>
      <c r="G14" t="n">
        <v>2.6</v>
      </c>
      <c r="H14" t="n">
        <v>2</v>
      </c>
      <c r="I14" t="n">
        <v>2</v>
      </c>
      <c r="J14" t="n">
        <v>3</v>
      </c>
      <c r="K14" t="n">
        <v>1</v>
      </c>
      <c r="L14" t="n">
        <v>0</v>
      </c>
      <c r="M14" t="n">
        <v>0</v>
      </c>
      <c r="N14" t="n">
        <v>0</v>
      </c>
      <c r="O14" t="n">
        <v>4</v>
      </c>
      <c r="P14" t="n">
        <v>1</v>
      </c>
      <c r="Q14" t="n">
        <v>6</v>
      </c>
      <c r="R14" s="2" t="inlineStr">
        <is>
          <t>Knärot
Orange taggsvamp
Spillkråka
Ullticka
Grönpyrola
Gullgröppa</t>
        </is>
      </c>
      <c r="S14">
        <f>HYPERLINK("https://klasma.github.io/Logging_1880/artfynd/A 15758-2023 artfynd.xlsx", "A 15758-2023")</f>
        <v/>
      </c>
      <c r="T14">
        <f>HYPERLINK("https://klasma.github.io/Logging_1880/kartor/A 15758-2023 karta.png", "A 15758-2023")</f>
        <v/>
      </c>
      <c r="U14">
        <f>HYPERLINK("https://klasma.github.io/Logging_1880/knärot/A 15758-2023 karta knärot.png", "A 15758-2023")</f>
        <v/>
      </c>
      <c r="V14">
        <f>HYPERLINK("https://klasma.github.io/Logging_1880/klagomål/A 15758-2023 FSC-klagomål.docx", "A 15758-2023")</f>
        <v/>
      </c>
      <c r="W14">
        <f>HYPERLINK("https://klasma.github.io/Logging_1880/klagomålsmail/A 15758-2023 FSC-klagomål mail.docx", "A 15758-2023")</f>
        <v/>
      </c>
      <c r="X14">
        <f>HYPERLINK("https://klasma.github.io/Logging_1880/tillsyn/A 15758-2023 tillsynsbegäran.docx", "A 15758-2023")</f>
        <v/>
      </c>
      <c r="Y14">
        <f>HYPERLINK("https://klasma.github.io/Logging_1880/tillsynsmail/A 15758-2023 tillsynsbegäran mail.docx", "A 15758-2023")</f>
        <v/>
      </c>
      <c r="Z14">
        <f>HYPERLINK("https://klasma.github.io/Logging_1880/fåglar/A 15758-2023 prioriterade fågelarter.docx", "A 15758-2023")</f>
        <v/>
      </c>
    </row>
    <row r="15" ht="15" customHeight="1">
      <c r="A15" t="inlineStr">
        <is>
          <t>A 3025-2026</t>
        </is>
      </c>
      <c r="B15" s="1" t="n">
        <v>46038.67769675926</v>
      </c>
      <c r="C15" s="1" t="n">
        <v>46188</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46188</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51530-2024</t>
        </is>
      </c>
      <c r="B17" s="1" t="n">
        <v>45604</v>
      </c>
      <c r="C17" s="1" t="n">
        <v>46188</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46188</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58832-2025</t>
        </is>
      </c>
      <c r="B19" s="1" t="n">
        <v>45987</v>
      </c>
      <c r="C19" s="1" t="n">
        <v>46188</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12974-2022</t>
        </is>
      </c>
      <c r="B20" s="1" t="n">
        <v>44643.38490740741</v>
      </c>
      <c r="C20" s="1" t="n">
        <v>46188</v>
      </c>
      <c r="D20" t="inlineStr">
        <is>
          <t>ÖREBRO LÄN</t>
        </is>
      </c>
      <c r="E20" t="inlineStr">
        <is>
          <t>ÖREBRO</t>
        </is>
      </c>
      <c r="G20" t="n">
        <v>3.3</v>
      </c>
      <c r="H20" t="n">
        <v>4</v>
      </c>
      <c r="I20" t="n">
        <v>0</v>
      </c>
      <c r="J20" t="n">
        <v>2</v>
      </c>
      <c r="K20" t="n">
        <v>0</v>
      </c>
      <c r="L20" t="n">
        <v>0</v>
      </c>
      <c r="M20" t="n">
        <v>0</v>
      </c>
      <c r="N20" t="n">
        <v>0</v>
      </c>
      <c r="O20" t="n">
        <v>2</v>
      </c>
      <c r="P20" t="n">
        <v>0</v>
      </c>
      <c r="Q20" t="n">
        <v>4</v>
      </c>
      <c r="R20" s="2" t="inlineStr">
        <is>
          <t>Duvhök
Grönsångare
Kungsfågel
Kopparödla</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29487-2022</t>
        </is>
      </c>
      <c r="B21" s="1" t="n">
        <v>44753</v>
      </c>
      <c r="C21" s="1" t="n">
        <v>46188</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46188</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575-2024</t>
        </is>
      </c>
      <c r="B23" s="1" t="n">
        <v>45299</v>
      </c>
      <c r="C23" s="1" t="n">
        <v>46188</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50096-2023</t>
        </is>
      </c>
      <c r="B24" s="1" t="n">
        <v>45215</v>
      </c>
      <c r="C24" s="1" t="n">
        <v>46188</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58837-2025</t>
        </is>
      </c>
      <c r="B25" s="1" t="n">
        <v>45987.35875</v>
      </c>
      <c r="C25" s="1" t="n">
        <v>46188</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17074-2024</t>
        </is>
      </c>
      <c r="B26" s="1" t="n">
        <v>45412</v>
      </c>
      <c r="C26" s="1" t="n">
        <v>46188</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46188</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46188</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24880-2026</t>
        </is>
      </c>
      <c r="B29" s="1" t="n">
        <v>46174.43965277778</v>
      </c>
      <c r="C29" s="1" t="n">
        <v>46188</v>
      </c>
      <c r="D29" t="inlineStr">
        <is>
          <t>ÖREBRO LÄN</t>
        </is>
      </c>
      <c r="E29" t="inlineStr">
        <is>
          <t>ÖREBRO</t>
        </is>
      </c>
      <c r="G29" t="n">
        <v>5</v>
      </c>
      <c r="H29" t="n">
        <v>1</v>
      </c>
      <c r="I29" t="n">
        <v>2</v>
      </c>
      <c r="J29" t="n">
        <v>1</v>
      </c>
      <c r="K29" t="n">
        <v>0</v>
      </c>
      <c r="L29" t="n">
        <v>0</v>
      </c>
      <c r="M29" t="n">
        <v>0</v>
      </c>
      <c r="N29" t="n">
        <v>0</v>
      </c>
      <c r="O29" t="n">
        <v>1</v>
      </c>
      <c r="P29" t="n">
        <v>0</v>
      </c>
      <c r="Q29" t="n">
        <v>3</v>
      </c>
      <c r="R29" s="2" t="inlineStr">
        <is>
          <t>Spillkråka
Bronshjon
Thomsons trägnagare</t>
        </is>
      </c>
      <c r="S29">
        <f>HYPERLINK("https://klasma.github.io/Logging_1880/artfynd/A 24880-2026 artfynd.xlsx", "A 24880-2026")</f>
        <v/>
      </c>
      <c r="T29">
        <f>HYPERLINK("https://klasma.github.io/Logging_1880/kartor/A 24880-2026 karta.png", "A 24880-2026")</f>
        <v/>
      </c>
      <c r="U29">
        <f>HYPERLINK("https://klasma.github.io/Logging_1880/knärot/A 24880-2026 karta knärot.png", "A 24880-2026")</f>
        <v/>
      </c>
      <c r="V29">
        <f>HYPERLINK("https://klasma.github.io/Logging_1880/klagomål/A 24880-2026 FSC-klagomål.docx", "A 24880-2026")</f>
        <v/>
      </c>
      <c r="W29">
        <f>HYPERLINK("https://klasma.github.io/Logging_1880/klagomålsmail/A 24880-2026 FSC-klagomål mail.docx", "A 24880-2026")</f>
        <v/>
      </c>
      <c r="X29">
        <f>HYPERLINK("https://klasma.github.io/Logging_1880/tillsyn/A 24880-2026 tillsynsbegäran.docx", "A 24880-2026")</f>
        <v/>
      </c>
      <c r="Y29">
        <f>HYPERLINK("https://klasma.github.io/Logging_1880/tillsynsmail/A 24880-2026 tillsynsbegäran mail.docx", "A 24880-2026")</f>
        <v/>
      </c>
      <c r="Z29">
        <f>HYPERLINK("https://klasma.github.io/Logging_1880/fåglar/A 24880-2026 prioriterade fågelarter.docx", "A 24880-2026")</f>
        <v/>
      </c>
    </row>
    <row r="30" ht="15" customHeight="1">
      <c r="A30" t="inlineStr">
        <is>
          <t>A 29478-2022</t>
        </is>
      </c>
      <c r="B30" s="1" t="n">
        <v>44753</v>
      </c>
      <c r="C30" s="1" t="n">
        <v>46188</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46188</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46188</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60557-2025</t>
        </is>
      </c>
      <c r="B33" s="1" t="n">
        <v>45995.74444444444</v>
      </c>
      <c r="C33" s="1" t="n">
        <v>46188</v>
      </c>
      <c r="D33" t="inlineStr">
        <is>
          <t>ÖREBRO LÄN</t>
        </is>
      </c>
      <c r="E33" t="inlineStr">
        <is>
          <t>ÖREBRO</t>
        </is>
      </c>
      <c r="G33" t="n">
        <v>4.8</v>
      </c>
      <c r="H33" t="n">
        <v>0</v>
      </c>
      <c r="I33" t="n">
        <v>2</v>
      </c>
      <c r="J33" t="n">
        <v>0</v>
      </c>
      <c r="K33" t="n">
        <v>0</v>
      </c>
      <c r="L33" t="n">
        <v>0</v>
      </c>
      <c r="M33" t="n">
        <v>0</v>
      </c>
      <c r="N33" t="n">
        <v>0</v>
      </c>
      <c r="O33" t="n">
        <v>0</v>
      </c>
      <c r="P33" t="n">
        <v>0</v>
      </c>
      <c r="Q33" t="n">
        <v>2</v>
      </c>
      <c r="R33" s="2" t="inlineStr">
        <is>
          <t>Rödbrun jordstjärna
Tibast</t>
        </is>
      </c>
      <c r="S33">
        <f>HYPERLINK("https://klasma.github.io/Logging_1880/artfynd/A 60557-2025 artfynd.xlsx", "A 60557-2025")</f>
        <v/>
      </c>
      <c r="T33">
        <f>HYPERLINK("https://klasma.github.io/Logging_1880/kartor/A 60557-2025 karta.png", "A 60557-2025")</f>
        <v/>
      </c>
      <c r="V33">
        <f>HYPERLINK("https://klasma.github.io/Logging_1880/klagomål/A 60557-2025 FSC-klagomål.docx", "A 60557-2025")</f>
        <v/>
      </c>
      <c r="W33">
        <f>HYPERLINK("https://klasma.github.io/Logging_1880/klagomålsmail/A 60557-2025 FSC-klagomål mail.docx", "A 60557-2025")</f>
        <v/>
      </c>
      <c r="X33">
        <f>HYPERLINK("https://klasma.github.io/Logging_1880/tillsyn/A 60557-2025 tillsynsbegäran.docx", "A 60557-2025")</f>
        <v/>
      </c>
      <c r="Y33">
        <f>HYPERLINK("https://klasma.github.io/Logging_1880/tillsynsmail/A 60557-2025 tillsynsbegäran mail.docx", "A 60557-2025")</f>
        <v/>
      </c>
    </row>
    <row r="34" ht="15" customHeight="1">
      <c r="A34" t="inlineStr">
        <is>
          <t>A 2998-2026</t>
        </is>
      </c>
      <c r="B34" s="1" t="n">
        <v>46038.64835648148</v>
      </c>
      <c r="C34" s="1" t="n">
        <v>46188</v>
      </c>
      <c r="D34" t="inlineStr">
        <is>
          <t>ÖREBRO LÄN</t>
        </is>
      </c>
      <c r="E34" t="inlineStr">
        <is>
          <t>ÖREBRO</t>
        </is>
      </c>
      <c r="F34" t="inlineStr">
        <is>
          <t>Övriga Aktiebolag</t>
        </is>
      </c>
      <c r="G34" t="n">
        <v>6.4</v>
      </c>
      <c r="H34" t="n">
        <v>2</v>
      </c>
      <c r="I34" t="n">
        <v>0</v>
      </c>
      <c r="J34" t="n">
        <v>1</v>
      </c>
      <c r="K34" t="n">
        <v>0</v>
      </c>
      <c r="L34" t="n">
        <v>0</v>
      </c>
      <c r="M34" t="n">
        <v>0</v>
      </c>
      <c r="N34" t="n">
        <v>0</v>
      </c>
      <c r="O34" t="n">
        <v>1</v>
      </c>
      <c r="P34" t="n">
        <v>0</v>
      </c>
      <c r="Q34" t="n">
        <v>2</v>
      </c>
      <c r="R34" s="2" t="inlineStr">
        <is>
          <t>Grönsångare
Kungsfågel</t>
        </is>
      </c>
      <c r="S34">
        <f>HYPERLINK("https://klasma.github.io/Logging_1880/artfynd/A 2998-2026 artfynd.xlsx", "A 2998-2026")</f>
        <v/>
      </c>
      <c r="T34">
        <f>HYPERLINK("https://klasma.github.io/Logging_1880/kartor/A 2998-2026 karta.png", "A 2998-2026")</f>
        <v/>
      </c>
      <c r="V34">
        <f>HYPERLINK("https://klasma.github.io/Logging_1880/klagomål/A 2998-2026 FSC-klagomål.docx", "A 2998-2026")</f>
        <v/>
      </c>
      <c r="W34">
        <f>HYPERLINK("https://klasma.github.io/Logging_1880/klagomålsmail/A 2998-2026 FSC-klagomål mail.docx", "A 2998-2026")</f>
        <v/>
      </c>
      <c r="X34">
        <f>HYPERLINK("https://klasma.github.io/Logging_1880/tillsyn/A 2998-2026 tillsynsbegäran.docx", "A 2998-2026")</f>
        <v/>
      </c>
      <c r="Y34">
        <f>HYPERLINK("https://klasma.github.io/Logging_1880/tillsynsmail/A 2998-2026 tillsynsbegäran mail.docx", "A 2998-2026")</f>
        <v/>
      </c>
      <c r="Z34">
        <f>HYPERLINK("https://klasma.github.io/Logging_1880/fåglar/A 2998-2026 prioriterade fågelarter.docx", "A 2998-2026")</f>
        <v/>
      </c>
    </row>
    <row r="35" ht="15" customHeight="1">
      <c r="A35" t="inlineStr">
        <is>
          <t>A 14956-2025</t>
        </is>
      </c>
      <c r="B35" s="1" t="n">
        <v>45743.58409722222</v>
      </c>
      <c r="C35" s="1" t="n">
        <v>46188</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30409-2025</t>
        </is>
      </c>
      <c r="B36" s="1" t="n">
        <v>45827.59738425926</v>
      </c>
      <c r="C36" s="1" t="n">
        <v>46188</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63196-2025</t>
        </is>
      </c>
      <c r="B37" s="1" t="n">
        <v>46010.45872685185</v>
      </c>
      <c r="C37" s="1" t="n">
        <v>46188</v>
      </c>
      <c r="D37" t="inlineStr">
        <is>
          <t>ÖREBRO LÄN</t>
        </is>
      </c>
      <c r="E37" t="inlineStr">
        <is>
          <t>ÖREBRO</t>
        </is>
      </c>
      <c r="F37" t="inlineStr">
        <is>
          <t>Sveaskog</t>
        </is>
      </c>
      <c r="G37" t="n">
        <v>1.4</v>
      </c>
      <c r="H37" t="n">
        <v>1</v>
      </c>
      <c r="I37" t="n">
        <v>1</v>
      </c>
      <c r="J37" t="n">
        <v>0</v>
      </c>
      <c r="K37" t="n">
        <v>0</v>
      </c>
      <c r="L37" t="n">
        <v>0</v>
      </c>
      <c r="M37" t="n">
        <v>0</v>
      </c>
      <c r="N37" t="n">
        <v>0</v>
      </c>
      <c r="O37" t="n">
        <v>0</v>
      </c>
      <c r="P37" t="n">
        <v>0</v>
      </c>
      <c r="Q37" t="n">
        <v>2</v>
      </c>
      <c r="R37" s="2" t="inlineStr">
        <is>
          <t>Tibast
Blåsippa</t>
        </is>
      </c>
      <c r="S37">
        <f>HYPERLINK("https://klasma.github.io/Logging_1880/artfynd/A 63196-2025 artfynd.xlsx", "A 63196-2025")</f>
        <v/>
      </c>
      <c r="T37">
        <f>HYPERLINK("https://klasma.github.io/Logging_1880/kartor/A 63196-2025 karta.png", "A 63196-2025")</f>
        <v/>
      </c>
      <c r="V37">
        <f>HYPERLINK("https://klasma.github.io/Logging_1880/klagomål/A 63196-2025 FSC-klagomål.docx", "A 63196-2025")</f>
        <v/>
      </c>
      <c r="W37">
        <f>HYPERLINK("https://klasma.github.io/Logging_1880/klagomålsmail/A 63196-2025 FSC-klagomål mail.docx", "A 63196-2025")</f>
        <v/>
      </c>
      <c r="X37">
        <f>HYPERLINK("https://klasma.github.io/Logging_1880/tillsyn/A 63196-2025 tillsynsbegäran.docx", "A 63196-2025")</f>
        <v/>
      </c>
      <c r="Y37">
        <f>HYPERLINK("https://klasma.github.io/Logging_1880/tillsynsmail/A 63196-2025 tillsynsbegäran mail.docx", "A 63196-2025")</f>
        <v/>
      </c>
    </row>
    <row r="38" ht="15" customHeight="1">
      <c r="A38" t="inlineStr">
        <is>
          <t>A 13395-2024</t>
        </is>
      </c>
      <c r="B38" s="1" t="n">
        <v>45387.42296296296</v>
      </c>
      <c r="C38" s="1" t="n">
        <v>46188</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13458-2024</t>
        </is>
      </c>
      <c r="B39" s="1" t="n">
        <v>45387.54642361111</v>
      </c>
      <c r="C39" s="1" t="n">
        <v>46188</v>
      </c>
      <c r="D39" t="inlineStr">
        <is>
          <t>ÖREBRO LÄN</t>
        </is>
      </c>
      <c r="E39" t="inlineStr">
        <is>
          <t>ÖREBRO</t>
        </is>
      </c>
      <c r="G39" t="n">
        <v>1.8</v>
      </c>
      <c r="H39" t="n">
        <v>2</v>
      </c>
      <c r="I39" t="n">
        <v>0</v>
      </c>
      <c r="J39" t="n">
        <v>1</v>
      </c>
      <c r="K39" t="n">
        <v>0</v>
      </c>
      <c r="L39" t="n">
        <v>0</v>
      </c>
      <c r="M39" t="n">
        <v>0</v>
      </c>
      <c r="N39" t="n">
        <v>0</v>
      </c>
      <c r="O39" t="n">
        <v>1</v>
      </c>
      <c r="P39" t="n">
        <v>0</v>
      </c>
      <c r="Q39" t="n">
        <v>2</v>
      </c>
      <c r="R39" s="2" t="inlineStr">
        <is>
          <t>Havsörn
Göktyta</t>
        </is>
      </c>
      <c r="S39">
        <f>HYPERLINK("https://klasma.github.io/Logging_1880/artfynd/A 13458-2024 artfynd.xlsx", "A 13458-2024")</f>
        <v/>
      </c>
      <c r="T39">
        <f>HYPERLINK("https://klasma.github.io/Logging_1880/kartor/A 13458-2024 karta.png", "A 13458-2024")</f>
        <v/>
      </c>
      <c r="V39">
        <f>HYPERLINK("https://klasma.github.io/Logging_1880/klagomål/A 13458-2024 FSC-klagomål.docx", "A 13458-2024")</f>
        <v/>
      </c>
      <c r="W39">
        <f>HYPERLINK("https://klasma.github.io/Logging_1880/klagomålsmail/A 13458-2024 FSC-klagomål mail.docx", "A 13458-2024")</f>
        <v/>
      </c>
      <c r="X39">
        <f>HYPERLINK("https://klasma.github.io/Logging_1880/tillsyn/A 13458-2024 tillsynsbegäran.docx", "A 13458-2024")</f>
        <v/>
      </c>
      <c r="Y39">
        <f>HYPERLINK("https://klasma.github.io/Logging_1880/tillsynsmail/A 13458-2024 tillsynsbegäran mail.docx", "A 13458-2024")</f>
        <v/>
      </c>
      <c r="Z39">
        <f>HYPERLINK("https://klasma.github.io/Logging_1880/fåglar/A 13458-2024 prioriterade fågelarter.docx", "A 13458-2024")</f>
        <v/>
      </c>
    </row>
    <row r="40" ht="15" customHeight="1">
      <c r="A40" t="inlineStr">
        <is>
          <t>A 7608-2024</t>
        </is>
      </c>
      <c r="B40" s="1" t="n">
        <v>45348</v>
      </c>
      <c r="C40" s="1" t="n">
        <v>46188</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22577-2024</t>
        </is>
      </c>
      <c r="B41" s="1" t="n">
        <v>45447</v>
      </c>
      <c r="C41" s="1" t="n">
        <v>46188</v>
      </c>
      <c r="D41" t="inlineStr">
        <is>
          <t>ÖREBRO LÄN</t>
        </is>
      </c>
      <c r="E41" t="inlineStr">
        <is>
          <t>ÖREBRO</t>
        </is>
      </c>
      <c r="G41" t="n">
        <v>1.8</v>
      </c>
      <c r="H41" t="n">
        <v>1</v>
      </c>
      <c r="I41" t="n">
        <v>0</v>
      </c>
      <c r="J41" t="n">
        <v>2</v>
      </c>
      <c r="K41" t="n">
        <v>0</v>
      </c>
      <c r="L41" t="n">
        <v>0</v>
      </c>
      <c r="M41" t="n">
        <v>0</v>
      </c>
      <c r="N41" t="n">
        <v>0</v>
      </c>
      <c r="O41" t="n">
        <v>2</v>
      </c>
      <c r="P41" t="n">
        <v>0</v>
      </c>
      <c r="Q41" t="n">
        <v>2</v>
      </c>
      <c r="R41" s="2" t="inlineStr">
        <is>
          <t>Spillkråka
Ullticka</t>
        </is>
      </c>
      <c r="S41">
        <f>HYPERLINK("https://klasma.github.io/Logging_1880/artfynd/A 22577-2024 artfynd.xlsx", "A 22577-2024")</f>
        <v/>
      </c>
      <c r="T41">
        <f>HYPERLINK("https://klasma.github.io/Logging_1880/kartor/A 22577-2024 karta.png", "A 22577-2024")</f>
        <v/>
      </c>
      <c r="V41">
        <f>HYPERLINK("https://klasma.github.io/Logging_1880/klagomål/A 22577-2024 FSC-klagomål.docx", "A 22577-2024")</f>
        <v/>
      </c>
      <c r="W41">
        <f>HYPERLINK("https://klasma.github.io/Logging_1880/klagomålsmail/A 22577-2024 FSC-klagomål mail.docx", "A 22577-2024")</f>
        <v/>
      </c>
      <c r="X41">
        <f>HYPERLINK("https://klasma.github.io/Logging_1880/tillsyn/A 22577-2024 tillsynsbegäran.docx", "A 22577-2024")</f>
        <v/>
      </c>
      <c r="Y41">
        <f>HYPERLINK("https://klasma.github.io/Logging_1880/tillsynsmail/A 22577-2024 tillsynsbegäran mail.docx", "A 22577-2024")</f>
        <v/>
      </c>
      <c r="Z41">
        <f>HYPERLINK("https://klasma.github.io/Logging_1880/fåglar/A 22577-2024 prioriterade fågelarter.docx", "A 22577-2024")</f>
        <v/>
      </c>
    </row>
    <row r="42" ht="15" customHeight="1">
      <c r="A42" t="inlineStr">
        <is>
          <t>A 29704-2022</t>
        </is>
      </c>
      <c r="B42" s="1" t="n">
        <v>44755</v>
      </c>
      <c r="C42" s="1" t="n">
        <v>46188</v>
      </c>
      <c r="D42" t="inlineStr">
        <is>
          <t>ÖREBRO LÄN</t>
        </is>
      </c>
      <c r="E42" t="inlineStr">
        <is>
          <t>ÖREBRO</t>
        </is>
      </c>
      <c r="F42" t="inlineStr">
        <is>
          <t>Kommuner</t>
        </is>
      </c>
      <c r="G42" t="n">
        <v>1.1</v>
      </c>
      <c r="H42" t="n">
        <v>0</v>
      </c>
      <c r="I42" t="n">
        <v>0</v>
      </c>
      <c r="J42" t="n">
        <v>1</v>
      </c>
      <c r="K42" t="n">
        <v>0</v>
      </c>
      <c r="L42" t="n">
        <v>0</v>
      </c>
      <c r="M42" t="n">
        <v>0</v>
      </c>
      <c r="N42" t="n">
        <v>0</v>
      </c>
      <c r="O42" t="n">
        <v>1</v>
      </c>
      <c r="P42" t="n">
        <v>0</v>
      </c>
      <c r="Q42" t="n">
        <v>1</v>
      </c>
      <c r="R42" s="2" t="inlineStr">
        <is>
          <t>Motaggsvamp</t>
        </is>
      </c>
      <c r="S42">
        <f>HYPERLINK("https://klasma.github.io/Logging_1880/artfynd/A 29704-2022 artfynd.xlsx", "A 29704-2022")</f>
        <v/>
      </c>
      <c r="T42">
        <f>HYPERLINK("https://klasma.github.io/Logging_1880/kartor/A 29704-2022 karta.png", "A 29704-2022")</f>
        <v/>
      </c>
      <c r="V42">
        <f>HYPERLINK("https://klasma.github.io/Logging_1880/klagomål/A 29704-2022 FSC-klagomål.docx", "A 29704-2022")</f>
        <v/>
      </c>
      <c r="W42">
        <f>HYPERLINK("https://klasma.github.io/Logging_1880/klagomålsmail/A 29704-2022 FSC-klagomål mail.docx", "A 29704-2022")</f>
        <v/>
      </c>
      <c r="X42">
        <f>HYPERLINK("https://klasma.github.io/Logging_1880/tillsyn/A 29704-2022 tillsynsbegäran.docx", "A 29704-2022")</f>
        <v/>
      </c>
      <c r="Y42">
        <f>HYPERLINK("https://klasma.github.io/Logging_1880/tillsynsmail/A 29704-2022 tillsynsbegäran mail.docx", "A 29704-2022")</f>
        <v/>
      </c>
    </row>
    <row r="43" ht="15" customHeight="1">
      <c r="A43" t="inlineStr">
        <is>
          <t>A 20032-2023</t>
        </is>
      </c>
      <c r="B43" s="1" t="n">
        <v>45054</v>
      </c>
      <c r="C43" s="1" t="n">
        <v>46188</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42636-2023</t>
        </is>
      </c>
      <c r="B44" s="1" t="n">
        <v>45181.49559027778</v>
      </c>
      <c r="C44" s="1" t="n">
        <v>46188</v>
      </c>
      <c r="D44" t="inlineStr">
        <is>
          <t>ÖREBRO LÄN</t>
        </is>
      </c>
      <c r="E44" t="inlineStr">
        <is>
          <t>ÖREBRO</t>
        </is>
      </c>
      <c r="G44" t="n">
        <v>1.7</v>
      </c>
      <c r="H44" t="n">
        <v>0</v>
      </c>
      <c r="I44" t="n">
        <v>0</v>
      </c>
      <c r="J44" t="n">
        <v>1</v>
      </c>
      <c r="K44" t="n">
        <v>0</v>
      </c>
      <c r="L44" t="n">
        <v>0</v>
      </c>
      <c r="M44" t="n">
        <v>0</v>
      </c>
      <c r="N44" t="n">
        <v>0</v>
      </c>
      <c r="O44" t="n">
        <v>1</v>
      </c>
      <c r="P44" t="n">
        <v>0</v>
      </c>
      <c r="Q44" t="n">
        <v>1</v>
      </c>
      <c r="R44" s="2" t="inlineStr">
        <is>
          <t>Igelkott</t>
        </is>
      </c>
      <c r="S44">
        <f>HYPERLINK("https://klasma.github.io/Logging_1880/artfynd/A 42636-2023 artfynd.xlsx", "A 42636-2023")</f>
        <v/>
      </c>
      <c r="T44">
        <f>HYPERLINK("https://klasma.github.io/Logging_1880/kartor/A 42636-2023 karta.png", "A 42636-2023")</f>
        <v/>
      </c>
      <c r="V44">
        <f>HYPERLINK("https://klasma.github.io/Logging_1880/klagomål/A 42636-2023 FSC-klagomål.docx", "A 42636-2023")</f>
        <v/>
      </c>
      <c r="W44">
        <f>HYPERLINK("https://klasma.github.io/Logging_1880/klagomålsmail/A 42636-2023 FSC-klagomål mail.docx", "A 42636-2023")</f>
        <v/>
      </c>
      <c r="X44">
        <f>HYPERLINK("https://klasma.github.io/Logging_1880/tillsyn/A 42636-2023 tillsynsbegäran.docx", "A 42636-2023")</f>
        <v/>
      </c>
      <c r="Y44">
        <f>HYPERLINK("https://klasma.github.io/Logging_1880/tillsynsmail/A 42636-2023 tillsynsbegäran mail.docx", "A 42636-2023")</f>
        <v/>
      </c>
    </row>
    <row r="45" ht="15" customHeight="1">
      <c r="A45" t="inlineStr">
        <is>
          <t>A 55904-2024</t>
        </is>
      </c>
      <c r="B45" s="1" t="n">
        <v>45623.58190972222</v>
      </c>
      <c r="C45" s="1" t="n">
        <v>46188</v>
      </c>
      <c r="D45" t="inlineStr">
        <is>
          <t>ÖREBRO LÄN</t>
        </is>
      </c>
      <c r="E45" t="inlineStr">
        <is>
          <t>ÖREBRO</t>
        </is>
      </c>
      <c r="G45" t="n">
        <v>1.2</v>
      </c>
      <c r="H45" t="n">
        <v>1</v>
      </c>
      <c r="I45" t="n">
        <v>0</v>
      </c>
      <c r="J45" t="n">
        <v>0</v>
      </c>
      <c r="K45" t="n">
        <v>0</v>
      </c>
      <c r="L45" t="n">
        <v>0</v>
      </c>
      <c r="M45" t="n">
        <v>0</v>
      </c>
      <c r="N45" t="n">
        <v>0</v>
      </c>
      <c r="O45" t="n">
        <v>0</v>
      </c>
      <c r="P45" t="n">
        <v>0</v>
      </c>
      <c r="Q45" t="n">
        <v>1</v>
      </c>
      <c r="R45" s="2" t="inlineStr">
        <is>
          <t>Trana</t>
        </is>
      </c>
      <c r="S45">
        <f>HYPERLINK("https://klasma.github.io/Logging_1880/artfynd/A 55904-2024 artfynd.xlsx", "A 55904-2024")</f>
        <v/>
      </c>
      <c r="T45">
        <f>HYPERLINK("https://klasma.github.io/Logging_1880/kartor/A 55904-2024 karta.png", "A 55904-2024")</f>
        <v/>
      </c>
      <c r="V45">
        <f>HYPERLINK("https://klasma.github.io/Logging_1880/klagomål/A 55904-2024 FSC-klagomål.docx", "A 55904-2024")</f>
        <v/>
      </c>
      <c r="W45">
        <f>HYPERLINK("https://klasma.github.io/Logging_1880/klagomålsmail/A 55904-2024 FSC-klagomål mail.docx", "A 55904-2024")</f>
        <v/>
      </c>
      <c r="X45">
        <f>HYPERLINK("https://klasma.github.io/Logging_1880/tillsyn/A 55904-2024 tillsynsbegäran.docx", "A 55904-2024")</f>
        <v/>
      </c>
      <c r="Y45">
        <f>HYPERLINK("https://klasma.github.io/Logging_1880/tillsynsmail/A 55904-2024 tillsynsbegäran mail.docx", "A 55904-2024")</f>
        <v/>
      </c>
      <c r="Z45">
        <f>HYPERLINK("https://klasma.github.io/Logging_1880/fåglar/A 55904-2024 prioriterade fågelarter.docx", "A 55904-2024")</f>
        <v/>
      </c>
    </row>
    <row r="46" ht="15" customHeight="1">
      <c r="A46" t="inlineStr">
        <is>
          <t>A 44744-2024</t>
        </is>
      </c>
      <c r="B46" s="1" t="n">
        <v>45574.59789351852</v>
      </c>
      <c r="C46" s="1" t="n">
        <v>46188</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58838-2025</t>
        </is>
      </c>
      <c r="B47" s="1" t="n">
        <v>45987.35973379629</v>
      </c>
      <c r="C47" s="1" t="n">
        <v>46188</v>
      </c>
      <c r="D47" t="inlineStr">
        <is>
          <t>ÖREBRO LÄN</t>
        </is>
      </c>
      <c r="E47" t="inlineStr">
        <is>
          <t>ÖREBRO</t>
        </is>
      </c>
      <c r="G47" t="n">
        <v>1.7</v>
      </c>
      <c r="H47" t="n">
        <v>0</v>
      </c>
      <c r="I47" t="n">
        <v>1</v>
      </c>
      <c r="J47" t="n">
        <v>0</v>
      </c>
      <c r="K47" t="n">
        <v>0</v>
      </c>
      <c r="L47" t="n">
        <v>0</v>
      </c>
      <c r="M47" t="n">
        <v>0</v>
      </c>
      <c r="N47" t="n">
        <v>0</v>
      </c>
      <c r="O47" t="n">
        <v>0</v>
      </c>
      <c r="P47" t="n">
        <v>0</v>
      </c>
      <c r="Q47" t="n">
        <v>1</v>
      </c>
      <c r="R47" s="2" t="inlineStr">
        <is>
          <t>Grönpyrola</t>
        </is>
      </c>
      <c r="S47">
        <f>HYPERLINK("https://klasma.github.io/Logging_1880/artfynd/A 58838-2025 artfynd.xlsx", "A 58838-2025")</f>
        <v/>
      </c>
      <c r="T47">
        <f>HYPERLINK("https://klasma.github.io/Logging_1880/kartor/A 58838-2025 karta.png", "A 58838-2025")</f>
        <v/>
      </c>
      <c r="V47">
        <f>HYPERLINK("https://klasma.github.io/Logging_1880/klagomål/A 58838-2025 FSC-klagomål.docx", "A 58838-2025")</f>
        <v/>
      </c>
      <c r="W47">
        <f>HYPERLINK("https://klasma.github.io/Logging_1880/klagomålsmail/A 58838-2025 FSC-klagomål mail.docx", "A 58838-2025")</f>
        <v/>
      </c>
      <c r="X47">
        <f>HYPERLINK("https://klasma.github.io/Logging_1880/tillsyn/A 58838-2025 tillsynsbegäran.docx", "A 58838-2025")</f>
        <v/>
      </c>
      <c r="Y47">
        <f>HYPERLINK("https://klasma.github.io/Logging_1880/tillsynsmail/A 58838-2025 tillsynsbegäran mail.docx", "A 58838-2025")</f>
        <v/>
      </c>
    </row>
    <row r="48" ht="15" customHeight="1">
      <c r="A48" t="inlineStr">
        <is>
          <t>A 59516-2025</t>
        </is>
      </c>
      <c r="B48" s="1" t="n">
        <v>45989.65396990741</v>
      </c>
      <c r="C48" s="1" t="n">
        <v>46188</v>
      </c>
      <c r="D48" t="inlineStr">
        <is>
          <t>ÖREBRO LÄN</t>
        </is>
      </c>
      <c r="E48" t="inlineStr">
        <is>
          <t>ÖREBRO</t>
        </is>
      </c>
      <c r="F48" t="inlineStr">
        <is>
          <t>Sveaskog</t>
        </is>
      </c>
      <c r="G48" t="n">
        <v>1.9</v>
      </c>
      <c r="H48" t="n">
        <v>0</v>
      </c>
      <c r="I48" t="n">
        <v>1</v>
      </c>
      <c r="J48" t="n">
        <v>0</v>
      </c>
      <c r="K48" t="n">
        <v>0</v>
      </c>
      <c r="L48" t="n">
        <v>0</v>
      </c>
      <c r="M48" t="n">
        <v>0</v>
      </c>
      <c r="N48" t="n">
        <v>0</v>
      </c>
      <c r="O48" t="n">
        <v>0</v>
      </c>
      <c r="P48" t="n">
        <v>0</v>
      </c>
      <c r="Q48" t="n">
        <v>1</v>
      </c>
      <c r="R48" s="2" t="inlineStr">
        <is>
          <t>Tibast</t>
        </is>
      </c>
      <c r="S48">
        <f>HYPERLINK("https://klasma.github.io/Logging_1880/artfynd/A 59516-2025 artfynd.xlsx", "A 59516-2025")</f>
        <v/>
      </c>
      <c r="T48">
        <f>HYPERLINK("https://klasma.github.io/Logging_1880/kartor/A 59516-2025 karta.png", "A 59516-2025")</f>
        <v/>
      </c>
      <c r="V48">
        <f>HYPERLINK("https://klasma.github.io/Logging_1880/klagomål/A 59516-2025 FSC-klagomål.docx", "A 59516-2025")</f>
        <v/>
      </c>
      <c r="W48">
        <f>HYPERLINK("https://klasma.github.io/Logging_1880/klagomålsmail/A 59516-2025 FSC-klagomål mail.docx", "A 59516-2025")</f>
        <v/>
      </c>
      <c r="X48">
        <f>HYPERLINK("https://klasma.github.io/Logging_1880/tillsyn/A 59516-2025 tillsynsbegäran.docx", "A 59516-2025")</f>
        <v/>
      </c>
      <c r="Y48">
        <f>HYPERLINK("https://klasma.github.io/Logging_1880/tillsynsmail/A 59516-2025 tillsynsbegäran mail.docx", "A 59516-2025")</f>
        <v/>
      </c>
    </row>
    <row r="49" ht="15" customHeight="1">
      <c r="A49" t="inlineStr">
        <is>
          <t>A 3006-2026</t>
        </is>
      </c>
      <c r="B49" s="1" t="n">
        <v>46038.65719907408</v>
      </c>
      <c r="C49" s="1" t="n">
        <v>46188</v>
      </c>
      <c r="D49" t="inlineStr">
        <is>
          <t>ÖREBRO LÄN</t>
        </is>
      </c>
      <c r="E49" t="inlineStr">
        <is>
          <t>ÖREBRO</t>
        </is>
      </c>
      <c r="F49" t="inlineStr">
        <is>
          <t>Övriga Aktiebolag</t>
        </is>
      </c>
      <c r="G49" t="n">
        <v>1</v>
      </c>
      <c r="H49" t="n">
        <v>1</v>
      </c>
      <c r="I49" t="n">
        <v>0</v>
      </c>
      <c r="J49" t="n">
        <v>1</v>
      </c>
      <c r="K49" t="n">
        <v>0</v>
      </c>
      <c r="L49" t="n">
        <v>0</v>
      </c>
      <c r="M49" t="n">
        <v>0</v>
      </c>
      <c r="N49" t="n">
        <v>0</v>
      </c>
      <c r="O49" t="n">
        <v>1</v>
      </c>
      <c r="P49" t="n">
        <v>0</v>
      </c>
      <c r="Q49" t="n">
        <v>1</v>
      </c>
      <c r="R49" s="2" t="inlineStr">
        <is>
          <t>Gulsparv</t>
        </is>
      </c>
      <c r="S49">
        <f>HYPERLINK("https://klasma.github.io/Logging_1880/artfynd/A 3006-2026 artfynd.xlsx", "A 3006-2026")</f>
        <v/>
      </c>
      <c r="T49">
        <f>HYPERLINK("https://klasma.github.io/Logging_1880/kartor/A 3006-2026 karta.png", "A 3006-2026")</f>
        <v/>
      </c>
      <c r="V49">
        <f>HYPERLINK("https://klasma.github.io/Logging_1880/klagomål/A 3006-2026 FSC-klagomål.docx", "A 3006-2026")</f>
        <v/>
      </c>
      <c r="W49">
        <f>HYPERLINK("https://klasma.github.io/Logging_1880/klagomålsmail/A 3006-2026 FSC-klagomål mail.docx", "A 3006-2026")</f>
        <v/>
      </c>
      <c r="X49">
        <f>HYPERLINK("https://klasma.github.io/Logging_1880/tillsyn/A 3006-2026 tillsynsbegäran.docx", "A 3006-2026")</f>
        <v/>
      </c>
      <c r="Y49">
        <f>HYPERLINK("https://klasma.github.io/Logging_1880/tillsynsmail/A 3006-2026 tillsynsbegäran mail.docx", "A 3006-2026")</f>
        <v/>
      </c>
      <c r="Z49">
        <f>HYPERLINK("https://klasma.github.io/Logging_1880/fåglar/A 3006-2026 prioriterade fågelarter.docx", "A 3006-2026")</f>
        <v/>
      </c>
    </row>
    <row r="50" ht="15" customHeight="1">
      <c r="A50" t="inlineStr">
        <is>
          <t>A 28936-2025</t>
        </is>
      </c>
      <c r="B50" s="1" t="n">
        <v>45820.69287037037</v>
      </c>
      <c r="C50" s="1" t="n">
        <v>46188</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26890-2022</t>
        </is>
      </c>
      <c r="B51" s="1" t="n">
        <v>44740</v>
      </c>
      <c r="C51" s="1" t="n">
        <v>46188</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46188</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44389-2021</t>
        </is>
      </c>
      <c r="B53" s="1" t="n">
        <v>44435</v>
      </c>
      <c r="C53" s="1" t="n">
        <v>46188</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2077-2023</t>
        </is>
      </c>
      <c r="B54" s="1" t="n">
        <v>44939</v>
      </c>
      <c r="C54" s="1" t="n">
        <v>46188</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63199-2025</t>
        </is>
      </c>
      <c r="B55" s="1" t="n">
        <v>46010.46091435185</v>
      </c>
      <c r="C55" s="1" t="n">
        <v>46188</v>
      </c>
      <c r="D55" t="inlineStr">
        <is>
          <t>ÖREBRO LÄN</t>
        </is>
      </c>
      <c r="E55" t="inlineStr">
        <is>
          <t>ÖREBRO</t>
        </is>
      </c>
      <c r="F55" t="inlineStr">
        <is>
          <t>Sveaskog</t>
        </is>
      </c>
      <c r="G55" t="n">
        <v>0.9</v>
      </c>
      <c r="H55" t="n">
        <v>1</v>
      </c>
      <c r="I55" t="n">
        <v>0</v>
      </c>
      <c r="J55" t="n">
        <v>0</v>
      </c>
      <c r="K55" t="n">
        <v>0</v>
      </c>
      <c r="L55" t="n">
        <v>0</v>
      </c>
      <c r="M55" t="n">
        <v>0</v>
      </c>
      <c r="N55" t="n">
        <v>0</v>
      </c>
      <c r="O55" t="n">
        <v>0</v>
      </c>
      <c r="P55" t="n">
        <v>0</v>
      </c>
      <c r="Q55" t="n">
        <v>1</v>
      </c>
      <c r="R55" s="2" t="inlineStr">
        <is>
          <t>Gullviva</t>
        </is>
      </c>
      <c r="S55">
        <f>HYPERLINK("https://klasma.github.io/Logging_1880/artfynd/A 63199-2025 artfynd.xlsx", "A 63199-2025")</f>
        <v/>
      </c>
      <c r="T55">
        <f>HYPERLINK("https://klasma.github.io/Logging_1880/kartor/A 63199-2025 karta.png", "A 63199-2025")</f>
        <v/>
      </c>
      <c r="V55">
        <f>HYPERLINK("https://klasma.github.io/Logging_1880/klagomål/A 63199-2025 FSC-klagomål.docx", "A 63199-2025")</f>
        <v/>
      </c>
      <c r="W55">
        <f>HYPERLINK("https://klasma.github.io/Logging_1880/klagomålsmail/A 63199-2025 FSC-klagomål mail.docx", "A 63199-2025")</f>
        <v/>
      </c>
      <c r="X55">
        <f>HYPERLINK("https://klasma.github.io/Logging_1880/tillsyn/A 63199-2025 tillsynsbegäran.docx", "A 63199-2025")</f>
        <v/>
      </c>
      <c r="Y55">
        <f>HYPERLINK("https://klasma.github.io/Logging_1880/tillsynsmail/A 63199-2025 tillsynsbegäran mail.docx", "A 63199-2025")</f>
        <v/>
      </c>
    </row>
    <row r="56" ht="15" customHeight="1">
      <c r="A56" t="inlineStr">
        <is>
          <t>A 30725-2023</t>
        </is>
      </c>
      <c r="B56" s="1" t="n">
        <v>45112.61451388889</v>
      </c>
      <c r="C56" s="1" t="n">
        <v>46188</v>
      </c>
      <c r="D56" t="inlineStr">
        <is>
          <t>ÖREBRO LÄN</t>
        </is>
      </c>
      <c r="E56" t="inlineStr">
        <is>
          <t>ÖREBRO</t>
        </is>
      </c>
      <c r="G56" t="n">
        <v>1.8</v>
      </c>
      <c r="H56" t="n">
        <v>1</v>
      </c>
      <c r="I56" t="n">
        <v>0</v>
      </c>
      <c r="J56" t="n">
        <v>1</v>
      </c>
      <c r="K56" t="n">
        <v>0</v>
      </c>
      <c r="L56" t="n">
        <v>0</v>
      </c>
      <c r="M56" t="n">
        <v>0</v>
      </c>
      <c r="N56" t="n">
        <v>0</v>
      </c>
      <c r="O56" t="n">
        <v>1</v>
      </c>
      <c r="P56" t="n">
        <v>0</v>
      </c>
      <c r="Q56" t="n">
        <v>1</v>
      </c>
      <c r="R56" s="2" t="inlineStr">
        <is>
          <t>Gulsparv</t>
        </is>
      </c>
      <c r="S56">
        <f>HYPERLINK("https://klasma.github.io/Logging_1880/artfynd/A 30725-2023 artfynd.xlsx", "A 30725-2023")</f>
        <v/>
      </c>
      <c r="T56">
        <f>HYPERLINK("https://klasma.github.io/Logging_1880/kartor/A 30725-2023 karta.png", "A 30725-2023")</f>
        <v/>
      </c>
      <c r="V56">
        <f>HYPERLINK("https://klasma.github.io/Logging_1880/klagomål/A 30725-2023 FSC-klagomål.docx", "A 30725-2023")</f>
        <v/>
      </c>
      <c r="W56">
        <f>HYPERLINK("https://klasma.github.io/Logging_1880/klagomålsmail/A 30725-2023 FSC-klagomål mail.docx", "A 30725-2023")</f>
        <v/>
      </c>
      <c r="X56">
        <f>HYPERLINK("https://klasma.github.io/Logging_1880/tillsyn/A 30725-2023 tillsynsbegäran.docx", "A 30725-2023")</f>
        <v/>
      </c>
      <c r="Y56">
        <f>HYPERLINK("https://klasma.github.io/Logging_1880/tillsynsmail/A 30725-2023 tillsynsbegäran mail.docx", "A 30725-2023")</f>
        <v/>
      </c>
      <c r="Z56">
        <f>HYPERLINK("https://klasma.github.io/Logging_1880/fåglar/A 30725-2023 prioriterade fågelarter.docx", "A 30725-2023")</f>
        <v/>
      </c>
    </row>
    <row r="57" ht="15" customHeight="1">
      <c r="A57" t="inlineStr">
        <is>
          <t>A 31695-2024</t>
        </is>
      </c>
      <c r="B57" s="1" t="n">
        <v>45508</v>
      </c>
      <c r="C57" s="1" t="n">
        <v>46188</v>
      </c>
      <c r="D57" t="inlineStr">
        <is>
          <t>ÖREBRO LÄN</t>
        </is>
      </c>
      <c r="E57" t="inlineStr">
        <is>
          <t>ÖREBRO</t>
        </is>
      </c>
      <c r="G57" t="n">
        <v>1.3</v>
      </c>
      <c r="H57" t="n">
        <v>1</v>
      </c>
      <c r="I57" t="n">
        <v>1</v>
      </c>
      <c r="J57" t="n">
        <v>0</v>
      </c>
      <c r="K57" t="n">
        <v>0</v>
      </c>
      <c r="L57" t="n">
        <v>0</v>
      </c>
      <c r="M57" t="n">
        <v>0</v>
      </c>
      <c r="N57" t="n">
        <v>0</v>
      </c>
      <c r="O57" t="n">
        <v>0</v>
      </c>
      <c r="P57" t="n">
        <v>0</v>
      </c>
      <c r="Q57" t="n">
        <v>1</v>
      </c>
      <c r="R57" s="2" t="inlineStr">
        <is>
          <t>Skogsknipprot</t>
        </is>
      </c>
      <c r="S57">
        <f>HYPERLINK("https://klasma.github.io/Logging_1880/artfynd/A 31695-2024 artfynd.xlsx", "A 31695-2024")</f>
        <v/>
      </c>
      <c r="T57">
        <f>HYPERLINK("https://klasma.github.io/Logging_1880/kartor/A 31695-2024 karta.png", "A 31695-2024")</f>
        <v/>
      </c>
      <c r="V57">
        <f>HYPERLINK("https://klasma.github.io/Logging_1880/klagomål/A 31695-2024 FSC-klagomål.docx", "A 31695-2024")</f>
        <v/>
      </c>
      <c r="W57">
        <f>HYPERLINK("https://klasma.github.io/Logging_1880/klagomålsmail/A 31695-2024 FSC-klagomål mail.docx", "A 31695-2024")</f>
        <v/>
      </c>
      <c r="X57">
        <f>HYPERLINK("https://klasma.github.io/Logging_1880/tillsyn/A 31695-2024 tillsynsbegäran.docx", "A 31695-2024")</f>
        <v/>
      </c>
      <c r="Y57">
        <f>HYPERLINK("https://klasma.github.io/Logging_1880/tillsynsmail/A 31695-2024 tillsynsbegäran mail.docx", "A 31695-2024")</f>
        <v/>
      </c>
    </row>
    <row r="58" ht="15" customHeight="1">
      <c r="A58" t="inlineStr">
        <is>
          <t>A 5097-2023</t>
        </is>
      </c>
      <c r="B58" s="1" t="n">
        <v>44958</v>
      </c>
      <c r="C58" s="1" t="n">
        <v>46188</v>
      </c>
      <c r="D58" t="inlineStr">
        <is>
          <t>ÖREBRO LÄN</t>
        </is>
      </c>
      <c r="E58" t="inlineStr">
        <is>
          <t>ÖREBRO</t>
        </is>
      </c>
      <c r="G58" t="n">
        <v>3.6</v>
      </c>
      <c r="H58" t="n">
        <v>1</v>
      </c>
      <c r="I58" t="n">
        <v>0</v>
      </c>
      <c r="J58" t="n">
        <v>0</v>
      </c>
      <c r="K58" t="n">
        <v>0</v>
      </c>
      <c r="L58" t="n">
        <v>0</v>
      </c>
      <c r="M58" t="n">
        <v>0</v>
      </c>
      <c r="N58" t="n">
        <v>0</v>
      </c>
      <c r="O58" t="n">
        <v>0</v>
      </c>
      <c r="P58" t="n">
        <v>0</v>
      </c>
      <c r="Q58" t="n">
        <v>1</v>
      </c>
      <c r="R58" s="2" t="inlineStr">
        <is>
          <t>Grönvit nattviol</t>
        </is>
      </c>
      <c r="S58">
        <f>HYPERLINK("https://klasma.github.io/Logging_1880/artfynd/A 5097-2023 artfynd.xlsx", "A 5097-2023")</f>
        <v/>
      </c>
      <c r="T58">
        <f>HYPERLINK("https://klasma.github.io/Logging_1880/kartor/A 5097-2023 karta.png", "A 5097-2023")</f>
        <v/>
      </c>
      <c r="V58">
        <f>HYPERLINK("https://klasma.github.io/Logging_1880/klagomål/A 5097-2023 FSC-klagomål.docx", "A 5097-2023")</f>
        <v/>
      </c>
      <c r="W58">
        <f>HYPERLINK("https://klasma.github.io/Logging_1880/klagomålsmail/A 5097-2023 FSC-klagomål mail.docx", "A 5097-2023")</f>
        <v/>
      </c>
      <c r="X58">
        <f>HYPERLINK("https://klasma.github.io/Logging_1880/tillsyn/A 5097-2023 tillsynsbegäran.docx", "A 5097-2023")</f>
        <v/>
      </c>
      <c r="Y58">
        <f>HYPERLINK("https://klasma.github.io/Logging_1880/tillsynsmail/A 5097-2023 tillsynsbegäran mail.docx", "A 5097-2023")</f>
        <v/>
      </c>
    </row>
    <row r="59" ht="15" customHeight="1">
      <c r="A59" t="inlineStr">
        <is>
          <t>A 32105-2023</t>
        </is>
      </c>
      <c r="B59" s="1" t="n">
        <v>45119</v>
      </c>
      <c r="C59" s="1" t="n">
        <v>46188</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20247-2023</t>
        </is>
      </c>
      <c r="B60" s="1" t="n">
        <v>45055</v>
      </c>
      <c r="C60" s="1" t="n">
        <v>46188</v>
      </c>
      <c r="D60" t="inlineStr">
        <is>
          <t>ÖREBRO LÄN</t>
        </is>
      </c>
      <c r="E60" t="inlineStr">
        <is>
          <t>ÖREBRO</t>
        </is>
      </c>
      <c r="G60" t="n">
        <v>3</v>
      </c>
      <c r="H60" t="n">
        <v>1</v>
      </c>
      <c r="I60" t="n">
        <v>0</v>
      </c>
      <c r="J60" t="n">
        <v>0</v>
      </c>
      <c r="K60" t="n">
        <v>0</v>
      </c>
      <c r="L60" t="n">
        <v>0</v>
      </c>
      <c r="M60" t="n">
        <v>0</v>
      </c>
      <c r="N60" t="n">
        <v>0</v>
      </c>
      <c r="O60" t="n">
        <v>0</v>
      </c>
      <c r="P60" t="n">
        <v>0</v>
      </c>
      <c r="Q60" t="n">
        <v>1</v>
      </c>
      <c r="R60" s="2" t="inlineStr">
        <is>
          <t>Större vattensalamander</t>
        </is>
      </c>
      <c r="S60">
        <f>HYPERLINK("https://klasma.github.io/Logging_1880/artfynd/A 20247-2023 artfynd.xlsx", "A 20247-2023")</f>
        <v/>
      </c>
      <c r="T60">
        <f>HYPERLINK("https://klasma.github.io/Logging_1880/kartor/A 20247-2023 karta.png", "A 20247-2023")</f>
        <v/>
      </c>
      <c r="V60">
        <f>HYPERLINK("https://klasma.github.io/Logging_1880/klagomål/A 20247-2023 FSC-klagomål.docx", "A 20247-2023")</f>
        <v/>
      </c>
      <c r="W60">
        <f>HYPERLINK("https://klasma.github.io/Logging_1880/klagomålsmail/A 20247-2023 FSC-klagomål mail.docx", "A 20247-2023")</f>
        <v/>
      </c>
      <c r="X60">
        <f>HYPERLINK("https://klasma.github.io/Logging_1880/tillsyn/A 20247-2023 tillsynsbegäran.docx", "A 20247-2023")</f>
        <v/>
      </c>
      <c r="Y60">
        <f>HYPERLINK("https://klasma.github.io/Logging_1880/tillsynsmail/A 20247-2023 tillsynsbegäran mail.docx", "A 20247-2023")</f>
        <v/>
      </c>
    </row>
    <row r="61" ht="15" customHeight="1">
      <c r="A61" t="inlineStr">
        <is>
          <t>A 22604-2024</t>
        </is>
      </c>
      <c r="B61" s="1" t="n">
        <v>45447</v>
      </c>
      <c r="C61" s="1" t="n">
        <v>46188</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11501-2025</t>
        </is>
      </c>
      <c r="B62" s="1" t="n">
        <v>45726</v>
      </c>
      <c r="C62" s="1" t="n">
        <v>46188</v>
      </c>
      <c r="D62" t="inlineStr">
        <is>
          <t>ÖREBRO LÄN</t>
        </is>
      </c>
      <c r="E62" t="inlineStr">
        <is>
          <t>ÖREBRO</t>
        </is>
      </c>
      <c r="G62" t="n">
        <v>0.8</v>
      </c>
      <c r="H62" t="n">
        <v>1</v>
      </c>
      <c r="I62" t="n">
        <v>0</v>
      </c>
      <c r="J62" t="n">
        <v>0</v>
      </c>
      <c r="K62" t="n">
        <v>0</v>
      </c>
      <c r="L62" t="n">
        <v>0</v>
      </c>
      <c r="M62" t="n">
        <v>0</v>
      </c>
      <c r="N62" t="n">
        <v>0</v>
      </c>
      <c r="O62" t="n">
        <v>0</v>
      </c>
      <c r="P62" t="n">
        <v>0</v>
      </c>
      <c r="Q62" t="n">
        <v>1</v>
      </c>
      <c r="R62" s="2" t="inlineStr">
        <is>
          <t>Kopparödla</t>
        </is>
      </c>
      <c r="S62">
        <f>HYPERLINK("https://klasma.github.io/Logging_1880/artfynd/A 11501-2025 artfynd.xlsx", "A 11501-2025")</f>
        <v/>
      </c>
      <c r="T62">
        <f>HYPERLINK("https://klasma.github.io/Logging_1880/kartor/A 11501-2025 karta.png", "A 11501-2025")</f>
        <v/>
      </c>
      <c r="V62">
        <f>HYPERLINK("https://klasma.github.io/Logging_1880/klagomål/A 11501-2025 FSC-klagomål.docx", "A 11501-2025")</f>
        <v/>
      </c>
      <c r="W62">
        <f>HYPERLINK("https://klasma.github.io/Logging_1880/klagomålsmail/A 11501-2025 FSC-klagomål mail.docx", "A 11501-2025")</f>
        <v/>
      </c>
      <c r="X62">
        <f>HYPERLINK("https://klasma.github.io/Logging_1880/tillsyn/A 11501-2025 tillsynsbegäran.docx", "A 11501-2025")</f>
        <v/>
      </c>
      <c r="Y62">
        <f>HYPERLINK("https://klasma.github.io/Logging_1880/tillsynsmail/A 11501-2025 tillsynsbegäran mail.docx", "A 11501-2025")</f>
        <v/>
      </c>
    </row>
    <row r="63" ht="15" customHeight="1">
      <c r="A63" t="inlineStr">
        <is>
          <t>A 57920-2024</t>
        </is>
      </c>
      <c r="B63" s="1" t="n">
        <v>45631.50894675926</v>
      </c>
      <c r="C63" s="1" t="n">
        <v>46188</v>
      </c>
      <c r="D63" t="inlineStr">
        <is>
          <t>ÖREBRO LÄN</t>
        </is>
      </c>
      <c r="E63" t="inlineStr">
        <is>
          <t>ÖREBRO</t>
        </is>
      </c>
      <c r="G63" t="n">
        <v>2.3</v>
      </c>
      <c r="H63" t="n">
        <v>1</v>
      </c>
      <c r="I63" t="n">
        <v>0</v>
      </c>
      <c r="J63" t="n">
        <v>0</v>
      </c>
      <c r="K63" t="n">
        <v>0</v>
      </c>
      <c r="L63" t="n">
        <v>0</v>
      </c>
      <c r="M63" t="n">
        <v>0</v>
      </c>
      <c r="N63" t="n">
        <v>0</v>
      </c>
      <c r="O63" t="n">
        <v>0</v>
      </c>
      <c r="P63" t="n">
        <v>0</v>
      </c>
      <c r="Q63" t="n">
        <v>1</v>
      </c>
      <c r="R63" s="2" t="inlineStr">
        <is>
          <t>Kungsfågel</t>
        </is>
      </c>
      <c r="S63">
        <f>HYPERLINK("https://klasma.github.io/Logging_1880/artfynd/A 57920-2024 artfynd.xlsx", "A 57920-2024")</f>
        <v/>
      </c>
      <c r="T63">
        <f>HYPERLINK("https://klasma.github.io/Logging_1880/kartor/A 57920-2024 karta.png", "A 57920-2024")</f>
        <v/>
      </c>
      <c r="V63">
        <f>HYPERLINK("https://klasma.github.io/Logging_1880/klagomål/A 57920-2024 FSC-klagomål.docx", "A 57920-2024")</f>
        <v/>
      </c>
      <c r="W63">
        <f>HYPERLINK("https://klasma.github.io/Logging_1880/klagomålsmail/A 57920-2024 FSC-klagomål mail.docx", "A 57920-2024")</f>
        <v/>
      </c>
      <c r="X63">
        <f>HYPERLINK("https://klasma.github.io/Logging_1880/tillsyn/A 57920-2024 tillsynsbegäran.docx", "A 57920-2024")</f>
        <v/>
      </c>
      <c r="Y63">
        <f>HYPERLINK("https://klasma.github.io/Logging_1880/tillsynsmail/A 57920-2024 tillsynsbegäran mail.docx", "A 57920-2024")</f>
        <v/>
      </c>
      <c r="Z63">
        <f>HYPERLINK("https://klasma.github.io/Logging_1880/fåglar/A 57920-2024 prioriterade fågelarter.docx", "A 57920-2024")</f>
        <v/>
      </c>
    </row>
    <row r="64" ht="15" customHeight="1">
      <c r="A64" t="inlineStr">
        <is>
          <t>A 33865-2021</t>
        </is>
      </c>
      <c r="B64" s="1" t="n">
        <v>44378.62756944444</v>
      </c>
      <c r="C64" s="1" t="n">
        <v>46188</v>
      </c>
      <c r="D64" t="inlineStr">
        <is>
          <t>ÖREBRO LÄN</t>
        </is>
      </c>
      <c r="E64" t="inlineStr">
        <is>
          <t>ÖREBRO</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70289-2021</t>
        </is>
      </c>
      <c r="B65" s="1" t="n">
        <v>44536</v>
      </c>
      <c r="C65" s="1" t="n">
        <v>46188</v>
      </c>
      <c r="D65" t="inlineStr">
        <is>
          <t>ÖREBRO LÄN</t>
        </is>
      </c>
      <c r="E65" t="inlineStr">
        <is>
          <t>ÖREBRO</t>
        </is>
      </c>
      <c r="G65" t="n">
        <v>1.2</v>
      </c>
      <c r="H65" t="n">
        <v>0</v>
      </c>
      <c r="I65" t="n">
        <v>0</v>
      </c>
      <c r="J65" t="n">
        <v>0</v>
      </c>
      <c r="K65" t="n">
        <v>0</v>
      </c>
      <c r="L65" t="n">
        <v>0</v>
      </c>
      <c r="M65" t="n">
        <v>0</v>
      </c>
      <c r="N65" t="n">
        <v>0</v>
      </c>
      <c r="O65" t="n">
        <v>0</v>
      </c>
      <c r="P65" t="n">
        <v>0</v>
      </c>
      <c r="Q65" t="n">
        <v>0</v>
      </c>
      <c r="R65" s="2" t="inlineStr"/>
    </row>
    <row r="66" ht="15" customHeight="1">
      <c r="A66" t="inlineStr">
        <is>
          <t>A 70540-2021</t>
        </is>
      </c>
      <c r="B66" s="1" t="n">
        <v>44537</v>
      </c>
      <c r="C66" s="1" t="n">
        <v>46188</v>
      </c>
      <c r="D66" t="inlineStr">
        <is>
          <t>ÖREBRO LÄN</t>
        </is>
      </c>
      <c r="E66" t="inlineStr">
        <is>
          <t>ÖREBRO</t>
        </is>
      </c>
      <c r="G66" t="n">
        <v>7.1</v>
      </c>
      <c r="H66" t="n">
        <v>0</v>
      </c>
      <c r="I66" t="n">
        <v>0</v>
      </c>
      <c r="J66" t="n">
        <v>0</v>
      </c>
      <c r="K66" t="n">
        <v>0</v>
      </c>
      <c r="L66" t="n">
        <v>0</v>
      </c>
      <c r="M66" t="n">
        <v>0</v>
      </c>
      <c r="N66" t="n">
        <v>0</v>
      </c>
      <c r="O66" t="n">
        <v>0</v>
      </c>
      <c r="P66" t="n">
        <v>0</v>
      </c>
      <c r="Q66" t="n">
        <v>0</v>
      </c>
      <c r="R66" s="2" t="inlineStr"/>
    </row>
    <row r="67" ht="15" customHeight="1">
      <c r="A67" t="inlineStr">
        <is>
          <t>A 49016-2021</t>
        </is>
      </c>
      <c r="B67" s="1" t="n">
        <v>44453</v>
      </c>
      <c r="C67" s="1" t="n">
        <v>46188</v>
      </c>
      <c r="D67" t="inlineStr">
        <is>
          <t>ÖREBRO LÄN</t>
        </is>
      </c>
      <c r="E67" t="inlineStr">
        <is>
          <t>ÖREBRO</t>
        </is>
      </c>
      <c r="G67" t="n">
        <v>4.5</v>
      </c>
      <c r="H67" t="n">
        <v>0</v>
      </c>
      <c r="I67" t="n">
        <v>0</v>
      </c>
      <c r="J67" t="n">
        <v>0</v>
      </c>
      <c r="K67" t="n">
        <v>0</v>
      </c>
      <c r="L67" t="n">
        <v>0</v>
      </c>
      <c r="M67" t="n">
        <v>0</v>
      </c>
      <c r="N67" t="n">
        <v>0</v>
      </c>
      <c r="O67" t="n">
        <v>0</v>
      </c>
      <c r="P67" t="n">
        <v>0</v>
      </c>
      <c r="Q67" t="n">
        <v>0</v>
      </c>
      <c r="R67" s="2" t="inlineStr"/>
    </row>
    <row r="68" ht="15" customHeight="1">
      <c r="A68" t="inlineStr">
        <is>
          <t>A 59584-2021</t>
        </is>
      </c>
      <c r="B68" s="1" t="n">
        <v>44491</v>
      </c>
      <c r="C68" s="1" t="n">
        <v>46188</v>
      </c>
      <c r="D68" t="inlineStr">
        <is>
          <t>ÖREBRO LÄN</t>
        </is>
      </c>
      <c r="E68" t="inlineStr">
        <is>
          <t>ÖREBRO</t>
        </is>
      </c>
      <c r="G68" t="n">
        <v>1.4</v>
      </c>
      <c r="H68" t="n">
        <v>0</v>
      </c>
      <c r="I68" t="n">
        <v>0</v>
      </c>
      <c r="J68" t="n">
        <v>0</v>
      </c>
      <c r="K68" t="n">
        <v>0</v>
      </c>
      <c r="L68" t="n">
        <v>0</v>
      </c>
      <c r="M68" t="n">
        <v>0</v>
      </c>
      <c r="N68" t="n">
        <v>0</v>
      </c>
      <c r="O68" t="n">
        <v>0</v>
      </c>
      <c r="P68" t="n">
        <v>0</v>
      </c>
      <c r="Q68" t="n">
        <v>0</v>
      </c>
      <c r="R68" s="2" t="inlineStr"/>
    </row>
    <row r="69" ht="15" customHeight="1">
      <c r="A69" t="inlineStr">
        <is>
          <t>A 63890-2021</t>
        </is>
      </c>
      <c r="B69" s="1" t="n">
        <v>44509</v>
      </c>
      <c r="C69" s="1" t="n">
        <v>46188</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33779-2021</t>
        </is>
      </c>
      <c r="B70" s="1" t="n">
        <v>44378.54952546296</v>
      </c>
      <c r="C70" s="1" t="n">
        <v>46188</v>
      </c>
      <c r="D70" t="inlineStr">
        <is>
          <t>ÖREBRO LÄN</t>
        </is>
      </c>
      <c r="E70" t="inlineStr">
        <is>
          <t>ÖREBRO</t>
        </is>
      </c>
      <c r="F70" t="inlineStr">
        <is>
          <t>Kommuner</t>
        </is>
      </c>
      <c r="G70" t="n">
        <v>4.5</v>
      </c>
      <c r="H70" t="n">
        <v>0</v>
      </c>
      <c r="I70" t="n">
        <v>0</v>
      </c>
      <c r="J70" t="n">
        <v>0</v>
      </c>
      <c r="K70" t="n">
        <v>0</v>
      </c>
      <c r="L70" t="n">
        <v>0</v>
      </c>
      <c r="M70" t="n">
        <v>0</v>
      </c>
      <c r="N70" t="n">
        <v>0</v>
      </c>
      <c r="O70" t="n">
        <v>0</v>
      </c>
      <c r="P70" t="n">
        <v>0</v>
      </c>
      <c r="Q70" t="n">
        <v>0</v>
      </c>
      <c r="R70" s="2" t="inlineStr"/>
    </row>
    <row r="71" ht="15" customHeight="1">
      <c r="A71" t="inlineStr">
        <is>
          <t>A 7365-2022</t>
        </is>
      </c>
      <c r="B71" s="1" t="n">
        <v>44606</v>
      </c>
      <c r="C71" s="1" t="n">
        <v>46188</v>
      </c>
      <c r="D71" t="inlineStr">
        <is>
          <t>ÖREBRO LÄN</t>
        </is>
      </c>
      <c r="E71" t="inlineStr">
        <is>
          <t>ÖREBRO</t>
        </is>
      </c>
      <c r="G71" t="n">
        <v>0.9</v>
      </c>
      <c r="H71" t="n">
        <v>0</v>
      </c>
      <c r="I71" t="n">
        <v>0</v>
      </c>
      <c r="J71" t="n">
        <v>0</v>
      </c>
      <c r="K71" t="n">
        <v>0</v>
      </c>
      <c r="L71" t="n">
        <v>0</v>
      </c>
      <c r="M71" t="n">
        <v>0</v>
      </c>
      <c r="N71" t="n">
        <v>0</v>
      </c>
      <c r="O71" t="n">
        <v>0</v>
      </c>
      <c r="P71" t="n">
        <v>0</v>
      </c>
      <c r="Q71" t="n">
        <v>0</v>
      </c>
      <c r="R71" s="2" t="inlineStr"/>
    </row>
    <row r="72" ht="15" customHeight="1">
      <c r="A72" t="inlineStr">
        <is>
          <t>A 31235-2021</t>
        </is>
      </c>
      <c r="B72" s="1" t="n">
        <v>44368.65681712963</v>
      </c>
      <c r="C72" s="1" t="n">
        <v>46188</v>
      </c>
      <c r="D72" t="inlineStr">
        <is>
          <t>ÖREBRO LÄN</t>
        </is>
      </c>
      <c r="E72" t="inlineStr">
        <is>
          <t>ÖREBRO</t>
        </is>
      </c>
      <c r="F72" t="inlineStr">
        <is>
          <t>Övriga Aktiebolag</t>
        </is>
      </c>
      <c r="G72" t="n">
        <v>1.5</v>
      </c>
      <c r="H72" t="n">
        <v>0</v>
      </c>
      <c r="I72" t="n">
        <v>0</v>
      </c>
      <c r="J72" t="n">
        <v>0</v>
      </c>
      <c r="K72" t="n">
        <v>0</v>
      </c>
      <c r="L72" t="n">
        <v>0</v>
      </c>
      <c r="M72" t="n">
        <v>0</v>
      </c>
      <c r="N72" t="n">
        <v>0</v>
      </c>
      <c r="O72" t="n">
        <v>0</v>
      </c>
      <c r="P72" t="n">
        <v>0</v>
      </c>
      <c r="Q72" t="n">
        <v>0</v>
      </c>
      <c r="R72" s="2" t="inlineStr"/>
    </row>
    <row r="73" ht="15" customHeight="1">
      <c r="A73" t="inlineStr">
        <is>
          <t>A 41892-2022</t>
        </is>
      </c>
      <c r="B73" s="1" t="n">
        <v>44830.33280092593</v>
      </c>
      <c r="C73" s="1" t="n">
        <v>46188</v>
      </c>
      <c r="D73" t="inlineStr">
        <is>
          <t>ÖREBRO LÄN</t>
        </is>
      </c>
      <c r="E73" t="inlineStr">
        <is>
          <t>ÖREBRO</t>
        </is>
      </c>
      <c r="G73" t="n">
        <v>1.1</v>
      </c>
      <c r="H73" t="n">
        <v>0</v>
      </c>
      <c r="I73" t="n">
        <v>0</v>
      </c>
      <c r="J73" t="n">
        <v>0</v>
      </c>
      <c r="K73" t="n">
        <v>0</v>
      </c>
      <c r="L73" t="n">
        <v>0</v>
      </c>
      <c r="M73" t="n">
        <v>0</v>
      </c>
      <c r="N73" t="n">
        <v>0</v>
      </c>
      <c r="O73" t="n">
        <v>0</v>
      </c>
      <c r="P73" t="n">
        <v>0</v>
      </c>
      <c r="Q73" t="n">
        <v>0</v>
      </c>
      <c r="R73" s="2" t="inlineStr"/>
    </row>
    <row r="74" ht="15" customHeight="1">
      <c r="A74" t="inlineStr">
        <is>
          <t>A 38133-2021</t>
        </is>
      </c>
      <c r="B74" s="1" t="n">
        <v>44404</v>
      </c>
      <c r="C74" s="1" t="n">
        <v>46188</v>
      </c>
      <c r="D74" t="inlineStr">
        <is>
          <t>ÖREBRO LÄN</t>
        </is>
      </c>
      <c r="E74" t="inlineStr">
        <is>
          <t>ÖREBRO</t>
        </is>
      </c>
      <c r="G74" t="n">
        <v>9.199999999999999</v>
      </c>
      <c r="H74" t="n">
        <v>0</v>
      </c>
      <c r="I74" t="n">
        <v>0</v>
      </c>
      <c r="J74" t="n">
        <v>0</v>
      </c>
      <c r="K74" t="n">
        <v>0</v>
      </c>
      <c r="L74" t="n">
        <v>0</v>
      </c>
      <c r="M74" t="n">
        <v>0</v>
      </c>
      <c r="N74" t="n">
        <v>0</v>
      </c>
      <c r="O74" t="n">
        <v>0</v>
      </c>
      <c r="P74" t="n">
        <v>0</v>
      </c>
      <c r="Q74" t="n">
        <v>0</v>
      </c>
      <c r="R74" s="2" t="inlineStr"/>
    </row>
    <row r="75" ht="15" customHeight="1">
      <c r="A75" t="inlineStr">
        <is>
          <t>A 18674-2022</t>
        </is>
      </c>
      <c r="B75" s="1" t="n">
        <v>44687</v>
      </c>
      <c r="C75" s="1" t="n">
        <v>46188</v>
      </c>
      <c r="D75" t="inlineStr">
        <is>
          <t>ÖREBRO LÄN</t>
        </is>
      </c>
      <c r="E75" t="inlineStr">
        <is>
          <t>ÖREBRO</t>
        </is>
      </c>
      <c r="G75" t="n">
        <v>0.3</v>
      </c>
      <c r="H75" t="n">
        <v>0</v>
      </c>
      <c r="I75" t="n">
        <v>0</v>
      </c>
      <c r="J75" t="n">
        <v>0</v>
      </c>
      <c r="K75" t="n">
        <v>0</v>
      </c>
      <c r="L75" t="n">
        <v>0</v>
      </c>
      <c r="M75" t="n">
        <v>0</v>
      </c>
      <c r="N75" t="n">
        <v>0</v>
      </c>
      <c r="O75" t="n">
        <v>0</v>
      </c>
      <c r="P75" t="n">
        <v>0</v>
      </c>
      <c r="Q75" t="n">
        <v>0</v>
      </c>
      <c r="R75" s="2" t="inlineStr"/>
    </row>
    <row r="76" ht="15" customHeight="1">
      <c r="A76" t="inlineStr">
        <is>
          <t>A 14877-2022</t>
        </is>
      </c>
      <c r="B76" s="1" t="n">
        <v>44656</v>
      </c>
      <c r="C76" s="1" t="n">
        <v>46188</v>
      </c>
      <c r="D76" t="inlineStr">
        <is>
          <t>ÖREBRO LÄN</t>
        </is>
      </c>
      <c r="E76" t="inlineStr">
        <is>
          <t>ÖREBRO</t>
        </is>
      </c>
      <c r="G76" t="n">
        <v>3.8</v>
      </c>
      <c r="H76" t="n">
        <v>0</v>
      </c>
      <c r="I76" t="n">
        <v>0</v>
      </c>
      <c r="J76" t="n">
        <v>0</v>
      </c>
      <c r="K76" t="n">
        <v>0</v>
      </c>
      <c r="L76" t="n">
        <v>0</v>
      </c>
      <c r="M76" t="n">
        <v>0</v>
      </c>
      <c r="N76" t="n">
        <v>0</v>
      </c>
      <c r="O76" t="n">
        <v>0</v>
      </c>
      <c r="P76" t="n">
        <v>0</v>
      </c>
      <c r="Q76" t="n">
        <v>0</v>
      </c>
      <c r="R76" s="2" t="inlineStr"/>
    </row>
    <row r="77" ht="15" customHeight="1">
      <c r="A77" t="inlineStr">
        <is>
          <t>A 14878-2022</t>
        </is>
      </c>
      <c r="B77" s="1" t="n">
        <v>44656</v>
      </c>
      <c r="C77" s="1" t="n">
        <v>46188</v>
      </c>
      <c r="D77" t="inlineStr">
        <is>
          <t>ÖREBRO LÄN</t>
        </is>
      </c>
      <c r="E77" t="inlineStr">
        <is>
          <t>ÖREBRO</t>
        </is>
      </c>
      <c r="G77" t="n">
        <v>5.4</v>
      </c>
      <c r="H77" t="n">
        <v>0</v>
      </c>
      <c r="I77" t="n">
        <v>0</v>
      </c>
      <c r="J77" t="n">
        <v>0</v>
      </c>
      <c r="K77" t="n">
        <v>0</v>
      </c>
      <c r="L77" t="n">
        <v>0</v>
      </c>
      <c r="M77" t="n">
        <v>0</v>
      </c>
      <c r="N77" t="n">
        <v>0</v>
      </c>
      <c r="O77" t="n">
        <v>0</v>
      </c>
      <c r="P77" t="n">
        <v>0</v>
      </c>
      <c r="Q77" t="n">
        <v>0</v>
      </c>
      <c r="R77" s="2" t="inlineStr"/>
    </row>
    <row r="78" ht="15" customHeight="1">
      <c r="A78" t="inlineStr">
        <is>
          <t>A 16969-2022</t>
        </is>
      </c>
      <c r="B78" s="1" t="n">
        <v>44676</v>
      </c>
      <c r="C78" s="1" t="n">
        <v>46188</v>
      </c>
      <c r="D78" t="inlineStr">
        <is>
          <t>ÖREBRO LÄN</t>
        </is>
      </c>
      <c r="E78" t="inlineStr">
        <is>
          <t>ÖREBRO</t>
        </is>
      </c>
      <c r="G78" t="n">
        <v>4.2</v>
      </c>
      <c r="H78" t="n">
        <v>0</v>
      </c>
      <c r="I78" t="n">
        <v>0</v>
      </c>
      <c r="J78" t="n">
        <v>0</v>
      </c>
      <c r="K78" t="n">
        <v>0</v>
      </c>
      <c r="L78" t="n">
        <v>0</v>
      </c>
      <c r="M78" t="n">
        <v>0</v>
      </c>
      <c r="N78" t="n">
        <v>0</v>
      </c>
      <c r="O78" t="n">
        <v>0</v>
      </c>
      <c r="P78" t="n">
        <v>0</v>
      </c>
      <c r="Q78" t="n">
        <v>0</v>
      </c>
      <c r="R78" s="2" t="inlineStr"/>
    </row>
    <row r="79" ht="15" customHeight="1">
      <c r="A79" t="inlineStr">
        <is>
          <t>A 22153-2022</t>
        </is>
      </c>
      <c r="B79" s="1" t="n">
        <v>44712</v>
      </c>
      <c r="C79" s="1" t="n">
        <v>46188</v>
      </c>
      <c r="D79" t="inlineStr">
        <is>
          <t>ÖREBRO LÄN</t>
        </is>
      </c>
      <c r="E79" t="inlineStr">
        <is>
          <t>ÖREBRO</t>
        </is>
      </c>
      <c r="G79" t="n">
        <v>2.7</v>
      </c>
      <c r="H79" t="n">
        <v>0</v>
      </c>
      <c r="I79" t="n">
        <v>0</v>
      </c>
      <c r="J79" t="n">
        <v>0</v>
      </c>
      <c r="K79" t="n">
        <v>0</v>
      </c>
      <c r="L79" t="n">
        <v>0</v>
      </c>
      <c r="M79" t="n">
        <v>0</v>
      </c>
      <c r="N79" t="n">
        <v>0</v>
      </c>
      <c r="O79" t="n">
        <v>0</v>
      </c>
      <c r="P79" t="n">
        <v>0</v>
      </c>
      <c r="Q79" t="n">
        <v>0</v>
      </c>
      <c r="R79" s="2" t="inlineStr"/>
    </row>
    <row r="80" ht="15" customHeight="1">
      <c r="A80" t="inlineStr">
        <is>
          <t>A 66970-2021</t>
        </is>
      </c>
      <c r="B80" s="1" t="n">
        <v>44522</v>
      </c>
      <c r="C80" s="1" t="n">
        <v>46188</v>
      </c>
      <c r="D80" t="inlineStr">
        <is>
          <t>ÖREBRO LÄN</t>
        </is>
      </c>
      <c r="E80" t="inlineStr">
        <is>
          <t>ÖREBRO</t>
        </is>
      </c>
      <c r="G80" t="n">
        <v>1</v>
      </c>
      <c r="H80" t="n">
        <v>0</v>
      </c>
      <c r="I80" t="n">
        <v>0</v>
      </c>
      <c r="J80" t="n">
        <v>0</v>
      </c>
      <c r="K80" t="n">
        <v>0</v>
      </c>
      <c r="L80" t="n">
        <v>0</v>
      </c>
      <c r="M80" t="n">
        <v>0</v>
      </c>
      <c r="N80" t="n">
        <v>0</v>
      </c>
      <c r="O80" t="n">
        <v>0</v>
      </c>
      <c r="P80" t="n">
        <v>0</v>
      </c>
      <c r="Q80" t="n">
        <v>0</v>
      </c>
      <c r="R80" s="2" t="inlineStr"/>
    </row>
    <row r="81" ht="15" customHeight="1">
      <c r="A81" t="inlineStr">
        <is>
          <t>A 16759-2022</t>
        </is>
      </c>
      <c r="B81" s="1" t="n">
        <v>44673</v>
      </c>
      <c r="C81" s="1" t="n">
        <v>46188</v>
      </c>
      <c r="D81" t="inlineStr">
        <is>
          <t>ÖREBRO LÄN</t>
        </is>
      </c>
      <c r="E81" t="inlineStr">
        <is>
          <t>ÖREBRO</t>
        </is>
      </c>
      <c r="G81" t="n">
        <v>2</v>
      </c>
      <c r="H81" t="n">
        <v>0</v>
      </c>
      <c r="I81" t="n">
        <v>0</v>
      </c>
      <c r="J81" t="n">
        <v>0</v>
      </c>
      <c r="K81" t="n">
        <v>0</v>
      </c>
      <c r="L81" t="n">
        <v>0</v>
      </c>
      <c r="M81" t="n">
        <v>0</v>
      </c>
      <c r="N81" t="n">
        <v>0</v>
      </c>
      <c r="O81" t="n">
        <v>0</v>
      </c>
      <c r="P81" t="n">
        <v>0</v>
      </c>
      <c r="Q81" t="n">
        <v>0</v>
      </c>
      <c r="R81" s="2" t="inlineStr"/>
    </row>
    <row r="82" ht="15" customHeight="1">
      <c r="A82" t="inlineStr">
        <is>
          <t>A 55012-2022</t>
        </is>
      </c>
      <c r="B82" s="1" t="n">
        <v>44886.52833333334</v>
      </c>
      <c r="C82" s="1" t="n">
        <v>46188</v>
      </c>
      <c r="D82" t="inlineStr">
        <is>
          <t>ÖREBRO LÄN</t>
        </is>
      </c>
      <c r="E82" t="inlineStr">
        <is>
          <t>ÖREBRO</t>
        </is>
      </c>
      <c r="G82" t="n">
        <v>5.1</v>
      </c>
      <c r="H82" t="n">
        <v>0</v>
      </c>
      <c r="I82" t="n">
        <v>0</v>
      </c>
      <c r="J82" t="n">
        <v>0</v>
      </c>
      <c r="K82" t="n">
        <v>0</v>
      </c>
      <c r="L82" t="n">
        <v>0</v>
      </c>
      <c r="M82" t="n">
        <v>0</v>
      </c>
      <c r="N82" t="n">
        <v>0</v>
      </c>
      <c r="O82" t="n">
        <v>0</v>
      </c>
      <c r="P82" t="n">
        <v>0</v>
      </c>
      <c r="Q82" t="n">
        <v>0</v>
      </c>
      <c r="R82" s="2" t="inlineStr"/>
    </row>
    <row r="83" ht="15" customHeight="1">
      <c r="A83" t="inlineStr">
        <is>
          <t>A 70871-2021</t>
        </is>
      </c>
      <c r="B83" s="1" t="n">
        <v>44538</v>
      </c>
      <c r="C83" s="1" t="n">
        <v>46188</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36794-2022</t>
        </is>
      </c>
      <c r="B84" s="1" t="n">
        <v>44805</v>
      </c>
      <c r="C84" s="1" t="n">
        <v>46188</v>
      </c>
      <c r="D84" t="inlineStr">
        <is>
          <t>ÖREBRO LÄN</t>
        </is>
      </c>
      <c r="E84" t="inlineStr">
        <is>
          <t>ÖREBRO</t>
        </is>
      </c>
      <c r="G84" t="n">
        <v>0.6</v>
      </c>
      <c r="H84" t="n">
        <v>0</v>
      </c>
      <c r="I84" t="n">
        <v>0</v>
      </c>
      <c r="J84" t="n">
        <v>0</v>
      </c>
      <c r="K84" t="n">
        <v>0</v>
      </c>
      <c r="L84" t="n">
        <v>0</v>
      </c>
      <c r="M84" t="n">
        <v>0</v>
      </c>
      <c r="N84" t="n">
        <v>0</v>
      </c>
      <c r="O84" t="n">
        <v>0</v>
      </c>
      <c r="P84" t="n">
        <v>0</v>
      </c>
      <c r="Q84" t="n">
        <v>0</v>
      </c>
      <c r="R84" s="2" t="inlineStr"/>
    </row>
    <row r="85" ht="15" customHeight="1">
      <c r="A85" t="inlineStr">
        <is>
          <t>A 70199-2021</t>
        </is>
      </c>
      <c r="B85" s="1" t="n">
        <v>44534.80712962963</v>
      </c>
      <c r="C85" s="1" t="n">
        <v>46188</v>
      </c>
      <c r="D85" t="inlineStr">
        <is>
          <t>ÖREBRO LÄN</t>
        </is>
      </c>
      <c r="E85" t="inlineStr">
        <is>
          <t>ÖREBRO</t>
        </is>
      </c>
      <c r="G85" t="n">
        <v>4.1</v>
      </c>
      <c r="H85" t="n">
        <v>0</v>
      </c>
      <c r="I85" t="n">
        <v>0</v>
      </c>
      <c r="J85" t="n">
        <v>0</v>
      </c>
      <c r="K85" t="n">
        <v>0</v>
      </c>
      <c r="L85" t="n">
        <v>0</v>
      </c>
      <c r="M85" t="n">
        <v>0</v>
      </c>
      <c r="N85" t="n">
        <v>0</v>
      </c>
      <c r="O85" t="n">
        <v>0</v>
      </c>
      <c r="P85" t="n">
        <v>0</v>
      </c>
      <c r="Q85" t="n">
        <v>0</v>
      </c>
      <c r="R85" s="2" t="inlineStr"/>
    </row>
    <row r="86" ht="15" customHeight="1">
      <c r="A86" t="inlineStr">
        <is>
          <t>A 51429-2021</t>
        </is>
      </c>
      <c r="B86" s="1" t="n">
        <v>44461.92744212963</v>
      </c>
      <c r="C86" s="1" t="n">
        <v>46188</v>
      </c>
      <c r="D86" t="inlineStr">
        <is>
          <t>ÖREBRO LÄN</t>
        </is>
      </c>
      <c r="E86" t="inlineStr">
        <is>
          <t>ÖREBRO</t>
        </is>
      </c>
      <c r="G86" t="n">
        <v>0.7</v>
      </c>
      <c r="H86" t="n">
        <v>0</v>
      </c>
      <c r="I86" t="n">
        <v>0</v>
      </c>
      <c r="J86" t="n">
        <v>0</v>
      </c>
      <c r="K86" t="n">
        <v>0</v>
      </c>
      <c r="L86" t="n">
        <v>0</v>
      </c>
      <c r="M86" t="n">
        <v>0</v>
      </c>
      <c r="N86" t="n">
        <v>0</v>
      </c>
      <c r="O86" t="n">
        <v>0</v>
      </c>
      <c r="P86" t="n">
        <v>0</v>
      </c>
      <c r="Q86" t="n">
        <v>0</v>
      </c>
      <c r="R86" s="2" t="inlineStr"/>
    </row>
    <row r="87" ht="15" customHeight="1">
      <c r="A87" t="inlineStr">
        <is>
          <t>A 797-2022</t>
        </is>
      </c>
      <c r="B87" s="1" t="n">
        <v>44566</v>
      </c>
      <c r="C87" s="1" t="n">
        <v>46188</v>
      </c>
      <c r="D87" t="inlineStr">
        <is>
          <t>ÖREBRO LÄN</t>
        </is>
      </c>
      <c r="E87" t="inlineStr">
        <is>
          <t>ÖREBRO</t>
        </is>
      </c>
      <c r="G87" t="n">
        <v>0.1</v>
      </c>
      <c r="H87" t="n">
        <v>0</v>
      </c>
      <c r="I87" t="n">
        <v>0</v>
      </c>
      <c r="J87" t="n">
        <v>0</v>
      </c>
      <c r="K87" t="n">
        <v>0</v>
      </c>
      <c r="L87" t="n">
        <v>0</v>
      </c>
      <c r="M87" t="n">
        <v>0</v>
      </c>
      <c r="N87" t="n">
        <v>0</v>
      </c>
      <c r="O87" t="n">
        <v>0</v>
      </c>
      <c r="P87" t="n">
        <v>0</v>
      </c>
      <c r="Q87" t="n">
        <v>0</v>
      </c>
      <c r="R87" s="2" t="inlineStr"/>
    </row>
    <row r="88" ht="15" customHeight="1">
      <c r="A88" t="inlineStr">
        <is>
          <t>A 35836-2021</t>
        </is>
      </c>
      <c r="B88" s="1" t="n">
        <v>44386</v>
      </c>
      <c r="C88" s="1" t="n">
        <v>46188</v>
      </c>
      <c r="D88" t="inlineStr">
        <is>
          <t>ÖREBRO LÄN</t>
        </is>
      </c>
      <c r="E88" t="inlineStr">
        <is>
          <t>ÖREBRO</t>
        </is>
      </c>
      <c r="F88" t="inlineStr">
        <is>
          <t>Kommuner</t>
        </is>
      </c>
      <c r="G88" t="n">
        <v>2.1</v>
      </c>
      <c r="H88" t="n">
        <v>0</v>
      </c>
      <c r="I88" t="n">
        <v>0</v>
      </c>
      <c r="J88" t="n">
        <v>0</v>
      </c>
      <c r="K88" t="n">
        <v>0</v>
      </c>
      <c r="L88" t="n">
        <v>0</v>
      </c>
      <c r="M88" t="n">
        <v>0</v>
      </c>
      <c r="N88" t="n">
        <v>0</v>
      </c>
      <c r="O88" t="n">
        <v>0</v>
      </c>
      <c r="P88" t="n">
        <v>0</v>
      </c>
      <c r="Q88" t="n">
        <v>0</v>
      </c>
      <c r="R88" s="2" t="inlineStr"/>
    </row>
    <row r="89" ht="15" customHeight="1">
      <c r="A89" t="inlineStr">
        <is>
          <t>A 13045-2022</t>
        </is>
      </c>
      <c r="B89" s="1" t="n">
        <v>44643</v>
      </c>
      <c r="C89" s="1" t="n">
        <v>46188</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64523-2021</t>
        </is>
      </c>
      <c r="B90" s="1" t="n">
        <v>44511</v>
      </c>
      <c r="C90" s="1" t="n">
        <v>46188</v>
      </c>
      <c r="D90" t="inlineStr">
        <is>
          <t>ÖREBRO LÄN</t>
        </is>
      </c>
      <c r="E90" t="inlineStr">
        <is>
          <t>ÖREBRO</t>
        </is>
      </c>
      <c r="G90" t="n">
        <v>1.2</v>
      </c>
      <c r="H90" t="n">
        <v>0</v>
      </c>
      <c r="I90" t="n">
        <v>0</v>
      </c>
      <c r="J90" t="n">
        <v>0</v>
      </c>
      <c r="K90" t="n">
        <v>0</v>
      </c>
      <c r="L90" t="n">
        <v>0</v>
      </c>
      <c r="M90" t="n">
        <v>0</v>
      </c>
      <c r="N90" t="n">
        <v>0</v>
      </c>
      <c r="O90" t="n">
        <v>0</v>
      </c>
      <c r="P90" t="n">
        <v>0</v>
      </c>
      <c r="Q90" t="n">
        <v>0</v>
      </c>
      <c r="R90" s="2" t="inlineStr"/>
    </row>
    <row r="91" ht="15" customHeight="1">
      <c r="A91" t="inlineStr">
        <is>
          <t>A 10019-2022</t>
        </is>
      </c>
      <c r="B91" s="1" t="n">
        <v>44621</v>
      </c>
      <c r="C91" s="1" t="n">
        <v>46188</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44146-2021</t>
        </is>
      </c>
      <c r="B92" s="1" t="n">
        <v>44434</v>
      </c>
      <c r="C92" s="1" t="n">
        <v>46188</v>
      </c>
      <c r="D92" t="inlineStr">
        <is>
          <t>ÖREBRO LÄN</t>
        </is>
      </c>
      <c r="E92" t="inlineStr">
        <is>
          <t>ÖREBRO</t>
        </is>
      </c>
      <c r="G92" t="n">
        <v>1.7</v>
      </c>
      <c r="H92" t="n">
        <v>0</v>
      </c>
      <c r="I92" t="n">
        <v>0</v>
      </c>
      <c r="J92" t="n">
        <v>0</v>
      </c>
      <c r="K92" t="n">
        <v>0</v>
      </c>
      <c r="L92" t="n">
        <v>0</v>
      </c>
      <c r="M92" t="n">
        <v>0</v>
      </c>
      <c r="N92" t="n">
        <v>0</v>
      </c>
      <c r="O92" t="n">
        <v>0</v>
      </c>
      <c r="P92" t="n">
        <v>0</v>
      </c>
      <c r="Q92" t="n">
        <v>0</v>
      </c>
      <c r="R92" s="2" t="inlineStr"/>
    </row>
    <row r="93" ht="15" customHeight="1">
      <c r="A93" t="inlineStr">
        <is>
          <t>A 21567-2022</t>
        </is>
      </c>
      <c r="B93" s="1" t="n">
        <v>44706</v>
      </c>
      <c r="C93" s="1" t="n">
        <v>46188</v>
      </c>
      <c r="D93" t="inlineStr">
        <is>
          <t>ÖREBRO LÄN</t>
        </is>
      </c>
      <c r="E93" t="inlineStr">
        <is>
          <t>ÖREBRO</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58138-2021</t>
        </is>
      </c>
      <c r="B94" s="1" t="n">
        <v>44487</v>
      </c>
      <c r="C94" s="1" t="n">
        <v>46188</v>
      </c>
      <c r="D94" t="inlineStr">
        <is>
          <t>ÖREBRO LÄN</t>
        </is>
      </c>
      <c r="E94" t="inlineStr">
        <is>
          <t>ÖREBRO</t>
        </is>
      </c>
      <c r="G94" t="n">
        <v>1.2</v>
      </c>
      <c r="H94" t="n">
        <v>0</v>
      </c>
      <c r="I94" t="n">
        <v>0</v>
      </c>
      <c r="J94" t="n">
        <v>0</v>
      </c>
      <c r="K94" t="n">
        <v>0</v>
      </c>
      <c r="L94" t="n">
        <v>0</v>
      </c>
      <c r="M94" t="n">
        <v>0</v>
      </c>
      <c r="N94" t="n">
        <v>0</v>
      </c>
      <c r="O94" t="n">
        <v>0</v>
      </c>
      <c r="P94" t="n">
        <v>0</v>
      </c>
      <c r="Q94" t="n">
        <v>0</v>
      </c>
      <c r="R94" s="2" t="inlineStr"/>
    </row>
    <row r="95" ht="15" customHeight="1">
      <c r="A95" t="inlineStr">
        <is>
          <t>A 63247-2021</t>
        </is>
      </c>
      <c r="B95" s="1" t="n">
        <v>44505</v>
      </c>
      <c r="C95" s="1" t="n">
        <v>46188</v>
      </c>
      <c r="D95" t="inlineStr">
        <is>
          <t>ÖREBRO LÄN</t>
        </is>
      </c>
      <c r="E95" t="inlineStr">
        <is>
          <t>ÖREBRO</t>
        </is>
      </c>
      <c r="G95" t="n">
        <v>1.5</v>
      </c>
      <c r="H95" t="n">
        <v>0</v>
      </c>
      <c r="I95" t="n">
        <v>0</v>
      </c>
      <c r="J95" t="n">
        <v>0</v>
      </c>
      <c r="K95" t="n">
        <v>0</v>
      </c>
      <c r="L95" t="n">
        <v>0</v>
      </c>
      <c r="M95" t="n">
        <v>0</v>
      </c>
      <c r="N95" t="n">
        <v>0</v>
      </c>
      <c r="O95" t="n">
        <v>0</v>
      </c>
      <c r="P95" t="n">
        <v>0</v>
      </c>
      <c r="Q95" t="n">
        <v>0</v>
      </c>
      <c r="R95" s="2" t="inlineStr"/>
    </row>
    <row r="96" ht="15" customHeight="1">
      <c r="A96" t="inlineStr">
        <is>
          <t>A 6638-2022</t>
        </is>
      </c>
      <c r="B96" s="1" t="n">
        <v>44601</v>
      </c>
      <c r="C96" s="1" t="n">
        <v>46188</v>
      </c>
      <c r="D96" t="inlineStr">
        <is>
          <t>ÖREBRO LÄN</t>
        </is>
      </c>
      <c r="E96" t="inlineStr">
        <is>
          <t>ÖREBRO</t>
        </is>
      </c>
      <c r="G96" t="n">
        <v>3.3</v>
      </c>
      <c r="H96" t="n">
        <v>0</v>
      </c>
      <c r="I96" t="n">
        <v>0</v>
      </c>
      <c r="J96" t="n">
        <v>0</v>
      </c>
      <c r="K96" t="n">
        <v>0</v>
      </c>
      <c r="L96" t="n">
        <v>0</v>
      </c>
      <c r="M96" t="n">
        <v>0</v>
      </c>
      <c r="N96" t="n">
        <v>0</v>
      </c>
      <c r="O96" t="n">
        <v>0</v>
      </c>
      <c r="P96" t="n">
        <v>0</v>
      </c>
      <c r="Q96" t="n">
        <v>0</v>
      </c>
      <c r="R96" s="2" t="inlineStr"/>
    </row>
    <row r="97" ht="15" customHeight="1">
      <c r="A97" t="inlineStr">
        <is>
          <t>A 29490-2022</t>
        </is>
      </c>
      <c r="B97" s="1" t="n">
        <v>44753</v>
      </c>
      <c r="C97" s="1" t="n">
        <v>46188</v>
      </c>
      <c r="D97" t="inlineStr">
        <is>
          <t>ÖREBRO LÄN</t>
        </is>
      </c>
      <c r="E97" t="inlineStr">
        <is>
          <t>ÖREBRO</t>
        </is>
      </c>
      <c r="F97" t="inlineStr">
        <is>
          <t>Kommuner</t>
        </is>
      </c>
      <c r="G97" t="n">
        <v>0.3</v>
      </c>
      <c r="H97" t="n">
        <v>0</v>
      </c>
      <c r="I97" t="n">
        <v>0</v>
      </c>
      <c r="J97" t="n">
        <v>0</v>
      </c>
      <c r="K97" t="n">
        <v>0</v>
      </c>
      <c r="L97" t="n">
        <v>0</v>
      </c>
      <c r="M97" t="n">
        <v>0</v>
      </c>
      <c r="N97" t="n">
        <v>0</v>
      </c>
      <c r="O97" t="n">
        <v>0</v>
      </c>
      <c r="P97" t="n">
        <v>0</v>
      </c>
      <c r="Q97" t="n">
        <v>0</v>
      </c>
      <c r="R97" s="2" t="inlineStr"/>
    </row>
    <row r="98" ht="15" customHeight="1">
      <c r="A98" t="inlineStr">
        <is>
          <t>A 30760-2022</t>
        </is>
      </c>
      <c r="B98" s="1" t="n">
        <v>44764.51827546296</v>
      </c>
      <c r="C98" s="1" t="n">
        <v>46188</v>
      </c>
      <c r="D98" t="inlineStr">
        <is>
          <t>ÖREBRO LÄN</t>
        </is>
      </c>
      <c r="E98" t="inlineStr">
        <is>
          <t>ÖREBRO</t>
        </is>
      </c>
      <c r="G98" t="n">
        <v>4</v>
      </c>
      <c r="H98" t="n">
        <v>0</v>
      </c>
      <c r="I98" t="n">
        <v>0</v>
      </c>
      <c r="J98" t="n">
        <v>0</v>
      </c>
      <c r="K98" t="n">
        <v>0</v>
      </c>
      <c r="L98" t="n">
        <v>0</v>
      </c>
      <c r="M98" t="n">
        <v>0</v>
      </c>
      <c r="N98" t="n">
        <v>0</v>
      </c>
      <c r="O98" t="n">
        <v>0</v>
      </c>
      <c r="P98" t="n">
        <v>0</v>
      </c>
      <c r="Q98" t="n">
        <v>0</v>
      </c>
      <c r="R98" s="2" t="inlineStr"/>
    </row>
    <row r="99" ht="15" customHeight="1">
      <c r="A99" t="inlineStr">
        <is>
          <t>A 37395-2021</t>
        </is>
      </c>
      <c r="B99" s="1" t="n">
        <v>44398</v>
      </c>
      <c r="C99" s="1" t="n">
        <v>46188</v>
      </c>
      <c r="D99" t="inlineStr">
        <is>
          <t>ÖREBRO LÄN</t>
        </is>
      </c>
      <c r="E99" t="inlineStr">
        <is>
          <t>ÖREBRO</t>
        </is>
      </c>
      <c r="G99" t="n">
        <v>3</v>
      </c>
      <c r="H99" t="n">
        <v>0</v>
      </c>
      <c r="I99" t="n">
        <v>0</v>
      </c>
      <c r="J99" t="n">
        <v>0</v>
      </c>
      <c r="K99" t="n">
        <v>0</v>
      </c>
      <c r="L99" t="n">
        <v>0</v>
      </c>
      <c r="M99" t="n">
        <v>0</v>
      </c>
      <c r="N99" t="n">
        <v>0</v>
      </c>
      <c r="O99" t="n">
        <v>0</v>
      </c>
      <c r="P99" t="n">
        <v>0</v>
      </c>
      <c r="Q99" t="n">
        <v>0</v>
      </c>
      <c r="R99" s="2" t="inlineStr"/>
    </row>
    <row r="100" ht="15" customHeight="1">
      <c r="A100" t="inlineStr">
        <is>
          <t>A 66936-2021</t>
        </is>
      </c>
      <c r="B100" s="1" t="n">
        <v>44522.56349537037</v>
      </c>
      <c r="C100" s="1" t="n">
        <v>46188</v>
      </c>
      <c r="D100" t="inlineStr">
        <is>
          <t>ÖREBRO LÄN</t>
        </is>
      </c>
      <c r="E100" t="inlineStr">
        <is>
          <t>ÖREBRO</t>
        </is>
      </c>
      <c r="G100" t="n">
        <v>6.8</v>
      </c>
      <c r="H100" t="n">
        <v>0</v>
      </c>
      <c r="I100" t="n">
        <v>0</v>
      </c>
      <c r="J100" t="n">
        <v>0</v>
      </c>
      <c r="K100" t="n">
        <v>0</v>
      </c>
      <c r="L100" t="n">
        <v>0</v>
      </c>
      <c r="M100" t="n">
        <v>0</v>
      </c>
      <c r="N100" t="n">
        <v>0</v>
      </c>
      <c r="O100" t="n">
        <v>0</v>
      </c>
      <c r="P100" t="n">
        <v>0</v>
      </c>
      <c r="Q100" t="n">
        <v>0</v>
      </c>
      <c r="R100" s="2" t="inlineStr"/>
    </row>
    <row r="101" ht="15" customHeight="1">
      <c r="A101" t="inlineStr">
        <is>
          <t>A 44131-2022</t>
        </is>
      </c>
      <c r="B101" s="1" t="n">
        <v>44839</v>
      </c>
      <c r="C101" s="1" t="n">
        <v>46188</v>
      </c>
      <c r="D101" t="inlineStr">
        <is>
          <t>ÖREBRO LÄN</t>
        </is>
      </c>
      <c r="E101" t="inlineStr">
        <is>
          <t>ÖREBRO</t>
        </is>
      </c>
      <c r="G101" t="n">
        <v>1.3</v>
      </c>
      <c r="H101" t="n">
        <v>0</v>
      </c>
      <c r="I101" t="n">
        <v>0</v>
      </c>
      <c r="J101" t="n">
        <v>0</v>
      </c>
      <c r="K101" t="n">
        <v>0</v>
      </c>
      <c r="L101" t="n">
        <v>0</v>
      </c>
      <c r="M101" t="n">
        <v>0</v>
      </c>
      <c r="N101" t="n">
        <v>0</v>
      </c>
      <c r="O101" t="n">
        <v>0</v>
      </c>
      <c r="P101" t="n">
        <v>0</v>
      </c>
      <c r="Q101" t="n">
        <v>0</v>
      </c>
      <c r="R101" s="2" t="inlineStr"/>
    </row>
    <row r="102" ht="15" customHeight="1">
      <c r="A102" t="inlineStr">
        <is>
          <t>A 18321-2022</t>
        </is>
      </c>
      <c r="B102" s="1" t="n">
        <v>44685</v>
      </c>
      <c r="C102" s="1" t="n">
        <v>46188</v>
      </c>
      <c r="D102" t="inlineStr">
        <is>
          <t>ÖREBRO LÄN</t>
        </is>
      </c>
      <c r="E102" t="inlineStr">
        <is>
          <t>ÖREBRO</t>
        </is>
      </c>
      <c r="G102" t="n">
        <v>2.1</v>
      </c>
      <c r="H102" t="n">
        <v>0</v>
      </c>
      <c r="I102" t="n">
        <v>0</v>
      </c>
      <c r="J102" t="n">
        <v>0</v>
      </c>
      <c r="K102" t="n">
        <v>0</v>
      </c>
      <c r="L102" t="n">
        <v>0</v>
      </c>
      <c r="M102" t="n">
        <v>0</v>
      </c>
      <c r="N102" t="n">
        <v>0</v>
      </c>
      <c r="O102" t="n">
        <v>0</v>
      </c>
      <c r="P102" t="n">
        <v>0</v>
      </c>
      <c r="Q102" t="n">
        <v>0</v>
      </c>
      <c r="R102" s="2" t="inlineStr"/>
    </row>
    <row r="103" ht="15" customHeight="1">
      <c r="A103" t="inlineStr">
        <is>
          <t>A 32231-2022</t>
        </is>
      </c>
      <c r="B103" s="1" t="n">
        <v>44781</v>
      </c>
      <c r="C103" s="1" t="n">
        <v>46188</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32247-2022</t>
        </is>
      </c>
      <c r="B104" s="1" t="n">
        <v>44781</v>
      </c>
      <c r="C104" s="1" t="n">
        <v>46188</v>
      </c>
      <c r="D104" t="inlineStr">
        <is>
          <t>ÖREBRO LÄN</t>
        </is>
      </c>
      <c r="E104" t="inlineStr">
        <is>
          <t>ÖREBRO</t>
        </is>
      </c>
      <c r="G104" t="n">
        <v>3</v>
      </c>
      <c r="H104" t="n">
        <v>0</v>
      </c>
      <c r="I104" t="n">
        <v>0</v>
      </c>
      <c r="J104" t="n">
        <v>0</v>
      </c>
      <c r="K104" t="n">
        <v>0</v>
      </c>
      <c r="L104" t="n">
        <v>0</v>
      </c>
      <c r="M104" t="n">
        <v>0</v>
      </c>
      <c r="N104" t="n">
        <v>0</v>
      </c>
      <c r="O104" t="n">
        <v>0</v>
      </c>
      <c r="P104" t="n">
        <v>0</v>
      </c>
      <c r="Q104" t="n">
        <v>0</v>
      </c>
      <c r="R104" s="2" t="inlineStr"/>
    </row>
    <row r="105" ht="15" customHeight="1">
      <c r="A105" t="inlineStr">
        <is>
          <t>A 41553-2022</t>
        </is>
      </c>
      <c r="B105" s="1" t="n">
        <v>44827.3940625</v>
      </c>
      <c r="C105" s="1" t="n">
        <v>46188</v>
      </c>
      <c r="D105" t="inlineStr">
        <is>
          <t>ÖREBRO LÄN</t>
        </is>
      </c>
      <c r="E105" t="inlineStr">
        <is>
          <t>ÖREBRO</t>
        </is>
      </c>
      <c r="G105" t="n">
        <v>3.7</v>
      </c>
      <c r="H105" t="n">
        <v>0</v>
      </c>
      <c r="I105" t="n">
        <v>0</v>
      </c>
      <c r="J105" t="n">
        <v>0</v>
      </c>
      <c r="K105" t="n">
        <v>0</v>
      </c>
      <c r="L105" t="n">
        <v>0</v>
      </c>
      <c r="M105" t="n">
        <v>0</v>
      </c>
      <c r="N105" t="n">
        <v>0</v>
      </c>
      <c r="O105" t="n">
        <v>0</v>
      </c>
      <c r="P105" t="n">
        <v>0</v>
      </c>
      <c r="Q105" t="n">
        <v>0</v>
      </c>
      <c r="R105" s="2" t="inlineStr"/>
    </row>
    <row r="106" ht="15" customHeight="1">
      <c r="A106" t="inlineStr">
        <is>
          <t>A 14562-2022</t>
        </is>
      </c>
      <c r="B106" s="1" t="n">
        <v>44655</v>
      </c>
      <c r="C106" s="1" t="n">
        <v>46188</v>
      </c>
      <c r="D106" t="inlineStr">
        <is>
          <t>ÖREBRO LÄN</t>
        </is>
      </c>
      <c r="E106" t="inlineStr">
        <is>
          <t>ÖREBRO</t>
        </is>
      </c>
      <c r="G106" t="n">
        <v>3.6</v>
      </c>
      <c r="H106" t="n">
        <v>0</v>
      </c>
      <c r="I106" t="n">
        <v>0</v>
      </c>
      <c r="J106" t="n">
        <v>0</v>
      </c>
      <c r="K106" t="n">
        <v>0</v>
      </c>
      <c r="L106" t="n">
        <v>0</v>
      </c>
      <c r="M106" t="n">
        <v>0</v>
      </c>
      <c r="N106" t="n">
        <v>0</v>
      </c>
      <c r="O106" t="n">
        <v>0</v>
      </c>
      <c r="P106" t="n">
        <v>0</v>
      </c>
      <c r="Q106" t="n">
        <v>0</v>
      </c>
      <c r="R106" s="2" t="inlineStr"/>
    </row>
    <row r="107" ht="15" customHeight="1">
      <c r="A107" t="inlineStr">
        <is>
          <t>A 19458-2022</t>
        </is>
      </c>
      <c r="B107" s="1" t="n">
        <v>44693</v>
      </c>
      <c r="C107" s="1" t="n">
        <v>46188</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33814-2021</t>
        </is>
      </c>
      <c r="B108" s="1" t="n">
        <v>44378</v>
      </c>
      <c r="C108" s="1" t="n">
        <v>46188</v>
      </c>
      <c r="D108" t="inlineStr">
        <is>
          <t>ÖREBRO LÄN</t>
        </is>
      </c>
      <c r="E108" t="inlineStr">
        <is>
          <t>ÖREBRO</t>
        </is>
      </c>
      <c r="F108" t="inlineStr">
        <is>
          <t>Kommuner</t>
        </is>
      </c>
      <c r="G108" t="n">
        <v>1.2</v>
      </c>
      <c r="H108" t="n">
        <v>0</v>
      </c>
      <c r="I108" t="n">
        <v>0</v>
      </c>
      <c r="J108" t="n">
        <v>0</v>
      </c>
      <c r="K108" t="n">
        <v>0</v>
      </c>
      <c r="L108" t="n">
        <v>0</v>
      </c>
      <c r="M108" t="n">
        <v>0</v>
      </c>
      <c r="N108" t="n">
        <v>0</v>
      </c>
      <c r="O108" t="n">
        <v>0</v>
      </c>
      <c r="P108" t="n">
        <v>0</v>
      </c>
      <c r="Q108" t="n">
        <v>0</v>
      </c>
      <c r="R108" s="2" t="inlineStr"/>
    </row>
    <row r="109" ht="15" customHeight="1">
      <c r="A109" t="inlineStr">
        <is>
          <t>A 13631-2022</t>
        </is>
      </c>
      <c r="B109" s="1" t="n">
        <v>44648</v>
      </c>
      <c r="C109" s="1" t="n">
        <v>46188</v>
      </c>
      <c r="D109" t="inlineStr">
        <is>
          <t>ÖREBRO LÄN</t>
        </is>
      </c>
      <c r="E109" t="inlineStr">
        <is>
          <t>ÖREBRO</t>
        </is>
      </c>
      <c r="G109" t="n">
        <v>10.4</v>
      </c>
      <c r="H109" t="n">
        <v>0</v>
      </c>
      <c r="I109" t="n">
        <v>0</v>
      </c>
      <c r="J109" t="n">
        <v>0</v>
      </c>
      <c r="K109" t="n">
        <v>0</v>
      </c>
      <c r="L109" t="n">
        <v>0</v>
      </c>
      <c r="M109" t="n">
        <v>0</v>
      </c>
      <c r="N109" t="n">
        <v>0</v>
      </c>
      <c r="O109" t="n">
        <v>0</v>
      </c>
      <c r="P109" t="n">
        <v>0</v>
      </c>
      <c r="Q109" t="n">
        <v>0</v>
      </c>
      <c r="R109" s="2" t="inlineStr"/>
    </row>
    <row r="110" ht="15" customHeight="1">
      <c r="A110" t="inlineStr">
        <is>
          <t>A 57343-2021</t>
        </is>
      </c>
      <c r="B110" s="1" t="n">
        <v>44482</v>
      </c>
      <c r="C110" s="1" t="n">
        <v>46188</v>
      </c>
      <c r="D110" t="inlineStr">
        <is>
          <t>ÖREBRO LÄN</t>
        </is>
      </c>
      <c r="E110" t="inlineStr">
        <is>
          <t>ÖREBRO</t>
        </is>
      </c>
      <c r="G110" t="n">
        <v>3.3</v>
      </c>
      <c r="H110" t="n">
        <v>0</v>
      </c>
      <c r="I110" t="n">
        <v>0</v>
      </c>
      <c r="J110" t="n">
        <v>0</v>
      </c>
      <c r="K110" t="n">
        <v>0</v>
      </c>
      <c r="L110" t="n">
        <v>0</v>
      </c>
      <c r="M110" t="n">
        <v>0</v>
      </c>
      <c r="N110" t="n">
        <v>0</v>
      </c>
      <c r="O110" t="n">
        <v>0</v>
      </c>
      <c r="P110" t="n">
        <v>0</v>
      </c>
      <c r="Q110" t="n">
        <v>0</v>
      </c>
      <c r="R110" s="2" t="inlineStr"/>
    </row>
    <row r="111" ht="15" customHeight="1">
      <c r="A111" t="inlineStr">
        <is>
          <t>A 9362-2022</t>
        </is>
      </c>
      <c r="B111" s="1" t="n">
        <v>44616.59946759259</v>
      </c>
      <c r="C111" s="1" t="n">
        <v>46188</v>
      </c>
      <c r="D111" t="inlineStr">
        <is>
          <t>ÖREBRO LÄN</t>
        </is>
      </c>
      <c r="E111" t="inlineStr">
        <is>
          <t>ÖREBRO</t>
        </is>
      </c>
      <c r="G111" t="n">
        <v>1.3</v>
      </c>
      <c r="H111" t="n">
        <v>0</v>
      </c>
      <c r="I111" t="n">
        <v>0</v>
      </c>
      <c r="J111" t="n">
        <v>0</v>
      </c>
      <c r="K111" t="n">
        <v>0</v>
      </c>
      <c r="L111" t="n">
        <v>0</v>
      </c>
      <c r="M111" t="n">
        <v>0</v>
      </c>
      <c r="N111" t="n">
        <v>0</v>
      </c>
      <c r="O111" t="n">
        <v>0</v>
      </c>
      <c r="P111" t="n">
        <v>0</v>
      </c>
      <c r="Q111" t="n">
        <v>0</v>
      </c>
      <c r="R111" s="2" t="inlineStr"/>
    </row>
    <row r="112" ht="15" customHeight="1">
      <c r="A112" t="inlineStr">
        <is>
          <t>A 16261-2022</t>
        </is>
      </c>
      <c r="B112" s="1" t="n">
        <v>44670</v>
      </c>
      <c r="C112" s="1" t="n">
        <v>46188</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44165-2022</t>
        </is>
      </c>
      <c r="B113" s="1" t="n">
        <v>44839</v>
      </c>
      <c r="C113" s="1" t="n">
        <v>46188</v>
      </c>
      <c r="D113" t="inlineStr">
        <is>
          <t>ÖREBRO LÄN</t>
        </is>
      </c>
      <c r="E113" t="inlineStr">
        <is>
          <t>ÖREBRO</t>
        </is>
      </c>
      <c r="G113" t="n">
        <v>0.5</v>
      </c>
      <c r="H113" t="n">
        <v>0</v>
      </c>
      <c r="I113" t="n">
        <v>0</v>
      </c>
      <c r="J113" t="n">
        <v>0</v>
      </c>
      <c r="K113" t="n">
        <v>0</v>
      </c>
      <c r="L113" t="n">
        <v>0</v>
      </c>
      <c r="M113" t="n">
        <v>0</v>
      </c>
      <c r="N113" t="n">
        <v>0</v>
      </c>
      <c r="O113" t="n">
        <v>0</v>
      </c>
      <c r="P113" t="n">
        <v>0</v>
      </c>
      <c r="Q113" t="n">
        <v>0</v>
      </c>
      <c r="R113" s="2" t="inlineStr"/>
    </row>
    <row r="114" ht="15" customHeight="1">
      <c r="A114" t="inlineStr">
        <is>
          <t>A 61232-2021</t>
        </is>
      </c>
      <c r="B114" s="1" t="n">
        <v>44498</v>
      </c>
      <c r="C114" s="1" t="n">
        <v>46188</v>
      </c>
      <c r="D114" t="inlineStr">
        <is>
          <t>ÖREBRO LÄN</t>
        </is>
      </c>
      <c r="E114" t="inlineStr">
        <is>
          <t>ÖREBRO</t>
        </is>
      </c>
      <c r="G114" t="n">
        <v>1.8</v>
      </c>
      <c r="H114" t="n">
        <v>0</v>
      </c>
      <c r="I114" t="n">
        <v>0</v>
      </c>
      <c r="J114" t="n">
        <v>0</v>
      </c>
      <c r="K114" t="n">
        <v>0</v>
      </c>
      <c r="L114" t="n">
        <v>0</v>
      </c>
      <c r="M114" t="n">
        <v>0</v>
      </c>
      <c r="N114" t="n">
        <v>0</v>
      </c>
      <c r="O114" t="n">
        <v>0</v>
      </c>
      <c r="P114" t="n">
        <v>0</v>
      </c>
      <c r="Q114" t="n">
        <v>0</v>
      </c>
      <c r="R114" s="2" t="inlineStr"/>
    </row>
    <row r="115" ht="15" customHeight="1">
      <c r="A115" t="inlineStr">
        <is>
          <t>A 51268-2022</t>
        </is>
      </c>
      <c r="B115" s="1" t="n">
        <v>44868</v>
      </c>
      <c r="C115" s="1" t="n">
        <v>46188</v>
      </c>
      <c r="D115" t="inlineStr">
        <is>
          <t>ÖREBRO LÄN</t>
        </is>
      </c>
      <c r="E115" t="inlineStr">
        <is>
          <t>ÖREBRO</t>
        </is>
      </c>
      <c r="G115" t="n">
        <v>3.8</v>
      </c>
      <c r="H115" t="n">
        <v>0</v>
      </c>
      <c r="I115" t="n">
        <v>0</v>
      </c>
      <c r="J115" t="n">
        <v>0</v>
      </c>
      <c r="K115" t="n">
        <v>0</v>
      </c>
      <c r="L115" t="n">
        <v>0</v>
      </c>
      <c r="M115" t="n">
        <v>0</v>
      </c>
      <c r="N115" t="n">
        <v>0</v>
      </c>
      <c r="O115" t="n">
        <v>0</v>
      </c>
      <c r="P115" t="n">
        <v>0</v>
      </c>
      <c r="Q115" t="n">
        <v>0</v>
      </c>
      <c r="R115" s="2" t="inlineStr"/>
    </row>
    <row r="116" ht="15" customHeight="1">
      <c r="A116" t="inlineStr">
        <is>
          <t>A 18047-2022</t>
        </is>
      </c>
      <c r="B116" s="1" t="n">
        <v>44684</v>
      </c>
      <c r="C116" s="1" t="n">
        <v>46188</v>
      </c>
      <c r="D116" t="inlineStr">
        <is>
          <t>ÖREBRO LÄN</t>
        </is>
      </c>
      <c r="E116" t="inlineStr">
        <is>
          <t>ÖREBRO</t>
        </is>
      </c>
      <c r="G116" t="n">
        <v>0.7</v>
      </c>
      <c r="H116" t="n">
        <v>0</v>
      </c>
      <c r="I116" t="n">
        <v>0</v>
      </c>
      <c r="J116" t="n">
        <v>0</v>
      </c>
      <c r="K116" t="n">
        <v>0</v>
      </c>
      <c r="L116" t="n">
        <v>0</v>
      </c>
      <c r="M116" t="n">
        <v>0</v>
      </c>
      <c r="N116" t="n">
        <v>0</v>
      </c>
      <c r="O116" t="n">
        <v>0</v>
      </c>
      <c r="P116" t="n">
        <v>0</v>
      </c>
      <c r="Q116" t="n">
        <v>0</v>
      </c>
      <c r="R116" s="2" t="inlineStr"/>
    </row>
    <row r="117" ht="15" customHeight="1">
      <c r="A117" t="inlineStr">
        <is>
          <t>A 57498-2021</t>
        </is>
      </c>
      <c r="B117" s="1" t="n">
        <v>44483</v>
      </c>
      <c r="C117" s="1" t="n">
        <v>46188</v>
      </c>
      <c r="D117" t="inlineStr">
        <is>
          <t>ÖREBRO LÄN</t>
        </is>
      </c>
      <c r="E117" t="inlineStr">
        <is>
          <t>ÖREBRO</t>
        </is>
      </c>
      <c r="F117" t="inlineStr">
        <is>
          <t>Övriga Aktiebolag</t>
        </is>
      </c>
      <c r="G117" t="n">
        <v>2.7</v>
      </c>
      <c r="H117" t="n">
        <v>0</v>
      </c>
      <c r="I117" t="n">
        <v>0</v>
      </c>
      <c r="J117" t="n">
        <v>0</v>
      </c>
      <c r="K117" t="n">
        <v>0</v>
      </c>
      <c r="L117" t="n">
        <v>0</v>
      </c>
      <c r="M117" t="n">
        <v>0</v>
      </c>
      <c r="N117" t="n">
        <v>0</v>
      </c>
      <c r="O117" t="n">
        <v>0</v>
      </c>
      <c r="P117" t="n">
        <v>0</v>
      </c>
      <c r="Q117" t="n">
        <v>0</v>
      </c>
      <c r="R117" s="2" t="inlineStr"/>
    </row>
    <row r="118" ht="15" customHeight="1">
      <c r="A118" t="inlineStr">
        <is>
          <t>A 4766-2022</t>
        </is>
      </c>
      <c r="B118" s="1" t="n">
        <v>44592</v>
      </c>
      <c r="C118" s="1" t="n">
        <v>46188</v>
      </c>
      <c r="D118" t="inlineStr">
        <is>
          <t>ÖREBRO LÄN</t>
        </is>
      </c>
      <c r="E118" t="inlineStr">
        <is>
          <t>ÖREBRO</t>
        </is>
      </c>
      <c r="G118" t="n">
        <v>2.9</v>
      </c>
      <c r="H118" t="n">
        <v>0</v>
      </c>
      <c r="I118" t="n">
        <v>0</v>
      </c>
      <c r="J118" t="n">
        <v>0</v>
      </c>
      <c r="K118" t="n">
        <v>0</v>
      </c>
      <c r="L118" t="n">
        <v>0</v>
      </c>
      <c r="M118" t="n">
        <v>0</v>
      </c>
      <c r="N118" t="n">
        <v>0</v>
      </c>
      <c r="O118" t="n">
        <v>0</v>
      </c>
      <c r="P118" t="n">
        <v>0</v>
      </c>
      <c r="Q118" t="n">
        <v>0</v>
      </c>
      <c r="R118" s="2" t="inlineStr"/>
    </row>
    <row r="119" ht="15" customHeight="1">
      <c r="A119" t="inlineStr">
        <is>
          <t>A 40312-2021</t>
        </is>
      </c>
      <c r="B119" s="1" t="n">
        <v>44419</v>
      </c>
      <c r="C119" s="1" t="n">
        <v>46188</v>
      </c>
      <c r="D119" t="inlineStr">
        <is>
          <t>ÖREBRO LÄN</t>
        </is>
      </c>
      <c r="E119" t="inlineStr">
        <is>
          <t>ÖREBRO</t>
        </is>
      </c>
      <c r="F119" t="inlineStr">
        <is>
          <t>Övriga Aktiebolag</t>
        </is>
      </c>
      <c r="G119" t="n">
        <v>2.6</v>
      </c>
      <c r="H119" t="n">
        <v>0</v>
      </c>
      <c r="I119" t="n">
        <v>0</v>
      </c>
      <c r="J119" t="n">
        <v>0</v>
      </c>
      <c r="K119" t="n">
        <v>0</v>
      </c>
      <c r="L119" t="n">
        <v>0</v>
      </c>
      <c r="M119" t="n">
        <v>0</v>
      </c>
      <c r="N119" t="n">
        <v>0</v>
      </c>
      <c r="O119" t="n">
        <v>0</v>
      </c>
      <c r="P119" t="n">
        <v>0</v>
      </c>
      <c r="Q119" t="n">
        <v>0</v>
      </c>
      <c r="R119" s="2" t="inlineStr"/>
    </row>
    <row r="120" ht="15" customHeight="1">
      <c r="A120" t="inlineStr">
        <is>
          <t>A 5401-2022</t>
        </is>
      </c>
      <c r="B120" s="1" t="n">
        <v>44595</v>
      </c>
      <c r="C120" s="1" t="n">
        <v>46188</v>
      </c>
      <c r="D120" t="inlineStr">
        <is>
          <t>ÖREBRO LÄN</t>
        </is>
      </c>
      <c r="E120" t="inlineStr">
        <is>
          <t>ÖREBRO</t>
        </is>
      </c>
      <c r="G120" t="n">
        <v>2.3</v>
      </c>
      <c r="H120" t="n">
        <v>0</v>
      </c>
      <c r="I120" t="n">
        <v>0</v>
      </c>
      <c r="J120" t="n">
        <v>0</v>
      </c>
      <c r="K120" t="n">
        <v>0</v>
      </c>
      <c r="L120" t="n">
        <v>0</v>
      </c>
      <c r="M120" t="n">
        <v>0</v>
      </c>
      <c r="N120" t="n">
        <v>0</v>
      </c>
      <c r="O120" t="n">
        <v>0</v>
      </c>
      <c r="P120" t="n">
        <v>0</v>
      </c>
      <c r="Q120" t="n">
        <v>0</v>
      </c>
      <c r="R120" s="2" t="inlineStr"/>
    </row>
    <row r="121" ht="15" customHeight="1">
      <c r="A121" t="inlineStr">
        <is>
          <t>A 12478-2022</t>
        </is>
      </c>
      <c r="B121" s="1" t="n">
        <v>44638</v>
      </c>
      <c r="C121" s="1" t="n">
        <v>46188</v>
      </c>
      <c r="D121" t="inlineStr">
        <is>
          <t>ÖREBRO LÄN</t>
        </is>
      </c>
      <c r="E121" t="inlineStr">
        <is>
          <t>ÖREBRO</t>
        </is>
      </c>
      <c r="F121" t="inlineStr">
        <is>
          <t>Kyrkan</t>
        </is>
      </c>
      <c r="G121" t="n">
        <v>1.4</v>
      </c>
      <c r="H121" t="n">
        <v>0</v>
      </c>
      <c r="I121" t="n">
        <v>0</v>
      </c>
      <c r="J121" t="n">
        <v>0</v>
      </c>
      <c r="K121" t="n">
        <v>0</v>
      </c>
      <c r="L121" t="n">
        <v>0</v>
      </c>
      <c r="M121" t="n">
        <v>0</v>
      </c>
      <c r="N121" t="n">
        <v>0</v>
      </c>
      <c r="O121" t="n">
        <v>0</v>
      </c>
      <c r="P121" t="n">
        <v>0</v>
      </c>
      <c r="Q121" t="n">
        <v>0</v>
      </c>
      <c r="R121" s="2" t="inlineStr"/>
    </row>
    <row r="122" ht="15" customHeight="1">
      <c r="A122" t="inlineStr">
        <is>
          <t>A 46757-2021</t>
        </is>
      </c>
      <c r="B122" s="1" t="n">
        <v>44445</v>
      </c>
      <c r="C122" s="1" t="n">
        <v>46188</v>
      </c>
      <c r="D122" t="inlineStr">
        <is>
          <t>ÖREBRO LÄN</t>
        </is>
      </c>
      <c r="E122" t="inlineStr">
        <is>
          <t>ÖREBRO</t>
        </is>
      </c>
      <c r="G122" t="n">
        <v>5.6</v>
      </c>
      <c r="H122" t="n">
        <v>0</v>
      </c>
      <c r="I122" t="n">
        <v>0</v>
      </c>
      <c r="J122" t="n">
        <v>0</v>
      </c>
      <c r="K122" t="n">
        <v>0</v>
      </c>
      <c r="L122" t="n">
        <v>0</v>
      </c>
      <c r="M122" t="n">
        <v>0</v>
      </c>
      <c r="N122" t="n">
        <v>0</v>
      </c>
      <c r="O122" t="n">
        <v>0</v>
      </c>
      <c r="P122" t="n">
        <v>0</v>
      </c>
      <c r="Q122" t="n">
        <v>0</v>
      </c>
      <c r="R122" s="2" t="inlineStr"/>
    </row>
    <row r="123" ht="15" customHeight="1">
      <c r="A123" t="inlineStr">
        <is>
          <t>A 23863-2023</t>
        </is>
      </c>
      <c r="B123" s="1" t="n">
        <v>45078.48994212963</v>
      </c>
      <c r="C123" s="1" t="n">
        <v>46188</v>
      </c>
      <c r="D123" t="inlineStr">
        <is>
          <t>ÖREBRO LÄN</t>
        </is>
      </c>
      <c r="E123" t="inlineStr">
        <is>
          <t>ÖREBRO</t>
        </is>
      </c>
      <c r="F123" t="inlineStr">
        <is>
          <t>Övriga Aktiebolag</t>
        </is>
      </c>
      <c r="G123" t="n">
        <v>5.9</v>
      </c>
      <c r="H123" t="n">
        <v>0</v>
      </c>
      <c r="I123" t="n">
        <v>0</v>
      </c>
      <c r="J123" t="n">
        <v>0</v>
      </c>
      <c r="K123" t="n">
        <v>0</v>
      </c>
      <c r="L123" t="n">
        <v>0</v>
      </c>
      <c r="M123" t="n">
        <v>0</v>
      </c>
      <c r="N123" t="n">
        <v>0</v>
      </c>
      <c r="O123" t="n">
        <v>0</v>
      </c>
      <c r="P123" t="n">
        <v>0</v>
      </c>
      <c r="Q123" t="n">
        <v>0</v>
      </c>
      <c r="R123" s="2" t="inlineStr"/>
    </row>
    <row r="124" ht="15" customHeight="1">
      <c r="A124" t="inlineStr">
        <is>
          <t>A 9609-2023</t>
        </is>
      </c>
      <c r="B124" s="1" t="n">
        <v>44983.93344907407</v>
      </c>
      <c r="C124" s="1" t="n">
        <v>46188</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10799-2024</t>
        </is>
      </c>
      <c r="B125" s="1" t="n">
        <v>45369</v>
      </c>
      <c r="C125" s="1" t="n">
        <v>46188</v>
      </c>
      <c r="D125" t="inlineStr">
        <is>
          <t>ÖREBRO LÄN</t>
        </is>
      </c>
      <c r="E125" t="inlineStr">
        <is>
          <t>ÖREBRO</t>
        </is>
      </c>
      <c r="G125" t="n">
        <v>5.8</v>
      </c>
      <c r="H125" t="n">
        <v>0</v>
      </c>
      <c r="I125" t="n">
        <v>0</v>
      </c>
      <c r="J125" t="n">
        <v>0</v>
      </c>
      <c r="K125" t="n">
        <v>0</v>
      </c>
      <c r="L125" t="n">
        <v>0</v>
      </c>
      <c r="M125" t="n">
        <v>0</v>
      </c>
      <c r="N125" t="n">
        <v>0</v>
      </c>
      <c r="O125" t="n">
        <v>0</v>
      </c>
      <c r="P125" t="n">
        <v>0</v>
      </c>
      <c r="Q125" t="n">
        <v>0</v>
      </c>
      <c r="R125" s="2" t="inlineStr"/>
    </row>
    <row r="126" ht="15" customHeight="1">
      <c r="A126" t="inlineStr">
        <is>
          <t>A 5795-2024</t>
        </is>
      </c>
      <c r="B126" s="1" t="n">
        <v>45335.4531712963</v>
      </c>
      <c r="C126" s="1" t="n">
        <v>46188</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10829-2023</t>
        </is>
      </c>
      <c r="B127" s="1" t="n">
        <v>44990.88512731482</v>
      </c>
      <c r="C127" s="1" t="n">
        <v>46188</v>
      </c>
      <c r="D127" t="inlineStr">
        <is>
          <t>ÖREBRO LÄN</t>
        </is>
      </c>
      <c r="E127" t="inlineStr">
        <is>
          <t>ÖREBRO</t>
        </is>
      </c>
      <c r="G127" t="n">
        <v>4.4</v>
      </c>
      <c r="H127" t="n">
        <v>0</v>
      </c>
      <c r="I127" t="n">
        <v>0</v>
      </c>
      <c r="J127" t="n">
        <v>0</v>
      </c>
      <c r="K127" t="n">
        <v>0</v>
      </c>
      <c r="L127" t="n">
        <v>0</v>
      </c>
      <c r="M127" t="n">
        <v>0</v>
      </c>
      <c r="N127" t="n">
        <v>0</v>
      </c>
      <c r="O127" t="n">
        <v>0</v>
      </c>
      <c r="P127" t="n">
        <v>0</v>
      </c>
      <c r="Q127" t="n">
        <v>0</v>
      </c>
      <c r="R127" s="2" t="inlineStr"/>
    </row>
    <row r="128" ht="15" customHeight="1">
      <c r="A128" t="inlineStr">
        <is>
          <t>A 10831-2023</t>
        </is>
      </c>
      <c r="B128" s="1" t="n">
        <v>44990.90357638889</v>
      </c>
      <c r="C128" s="1" t="n">
        <v>46188</v>
      </c>
      <c r="D128" t="inlineStr">
        <is>
          <t>ÖREBRO LÄN</t>
        </is>
      </c>
      <c r="E128" t="inlineStr">
        <is>
          <t>ÖREBRO</t>
        </is>
      </c>
      <c r="G128" t="n">
        <v>1.9</v>
      </c>
      <c r="H128" t="n">
        <v>0</v>
      </c>
      <c r="I128" t="n">
        <v>0</v>
      </c>
      <c r="J128" t="n">
        <v>0</v>
      </c>
      <c r="K128" t="n">
        <v>0</v>
      </c>
      <c r="L128" t="n">
        <v>0</v>
      </c>
      <c r="M128" t="n">
        <v>0</v>
      </c>
      <c r="N128" t="n">
        <v>0</v>
      </c>
      <c r="O128" t="n">
        <v>0</v>
      </c>
      <c r="P128" t="n">
        <v>0</v>
      </c>
      <c r="Q128" t="n">
        <v>0</v>
      </c>
      <c r="R128" s="2" t="inlineStr"/>
    </row>
    <row r="129" ht="15" customHeight="1">
      <c r="A129" t="inlineStr">
        <is>
          <t>A 58539-2024</t>
        </is>
      </c>
      <c r="B129" s="1" t="n">
        <v>45635.45157407408</v>
      </c>
      <c r="C129" s="1" t="n">
        <v>46188</v>
      </c>
      <c r="D129" t="inlineStr">
        <is>
          <t>ÖREBRO LÄN</t>
        </is>
      </c>
      <c r="E129" t="inlineStr">
        <is>
          <t>ÖREBRO</t>
        </is>
      </c>
      <c r="F129" t="inlineStr">
        <is>
          <t>Sveaskog</t>
        </is>
      </c>
      <c r="G129" t="n">
        <v>4.1</v>
      </c>
      <c r="H129" t="n">
        <v>0</v>
      </c>
      <c r="I129" t="n">
        <v>0</v>
      </c>
      <c r="J129" t="n">
        <v>0</v>
      </c>
      <c r="K129" t="n">
        <v>0</v>
      </c>
      <c r="L129" t="n">
        <v>0</v>
      </c>
      <c r="M129" t="n">
        <v>0</v>
      </c>
      <c r="N129" t="n">
        <v>0</v>
      </c>
      <c r="O129" t="n">
        <v>0</v>
      </c>
      <c r="P129" t="n">
        <v>0</v>
      </c>
      <c r="Q129" t="n">
        <v>0</v>
      </c>
      <c r="R129" s="2" t="inlineStr"/>
    </row>
    <row r="130" ht="15" customHeight="1">
      <c r="A130" t="inlineStr">
        <is>
          <t>A 59736-2023</t>
        </is>
      </c>
      <c r="B130" s="1" t="n">
        <v>45257.374375</v>
      </c>
      <c r="C130" s="1" t="n">
        <v>46188</v>
      </c>
      <c r="D130" t="inlineStr">
        <is>
          <t>ÖREBRO LÄN</t>
        </is>
      </c>
      <c r="E130" t="inlineStr">
        <is>
          <t>ÖREBRO</t>
        </is>
      </c>
      <c r="G130" t="n">
        <v>1.1</v>
      </c>
      <c r="H130" t="n">
        <v>0</v>
      </c>
      <c r="I130" t="n">
        <v>0</v>
      </c>
      <c r="J130" t="n">
        <v>0</v>
      </c>
      <c r="K130" t="n">
        <v>0</v>
      </c>
      <c r="L130" t="n">
        <v>0</v>
      </c>
      <c r="M130" t="n">
        <v>0</v>
      </c>
      <c r="N130" t="n">
        <v>0</v>
      </c>
      <c r="O130" t="n">
        <v>0</v>
      </c>
      <c r="P130" t="n">
        <v>0</v>
      </c>
      <c r="Q130" t="n">
        <v>0</v>
      </c>
      <c r="R130" s="2" t="inlineStr"/>
    </row>
    <row r="131" ht="15" customHeight="1">
      <c r="A131" t="inlineStr">
        <is>
          <t>A 17465-2023</t>
        </is>
      </c>
      <c r="B131" s="1" t="n">
        <v>45036</v>
      </c>
      <c r="C131" s="1" t="n">
        <v>46188</v>
      </c>
      <c r="D131" t="inlineStr">
        <is>
          <t>ÖREBRO LÄN</t>
        </is>
      </c>
      <c r="E131" t="inlineStr">
        <is>
          <t>ÖREBRO</t>
        </is>
      </c>
      <c r="G131" t="n">
        <v>0.8</v>
      </c>
      <c r="H131" t="n">
        <v>0</v>
      </c>
      <c r="I131" t="n">
        <v>0</v>
      </c>
      <c r="J131" t="n">
        <v>0</v>
      </c>
      <c r="K131" t="n">
        <v>0</v>
      </c>
      <c r="L131" t="n">
        <v>0</v>
      </c>
      <c r="M131" t="n">
        <v>0</v>
      </c>
      <c r="N131" t="n">
        <v>0</v>
      </c>
      <c r="O131" t="n">
        <v>0</v>
      </c>
      <c r="P131" t="n">
        <v>0</v>
      </c>
      <c r="Q131" t="n">
        <v>0</v>
      </c>
      <c r="R131" s="2" t="inlineStr"/>
    </row>
    <row r="132" ht="15" customHeight="1">
      <c r="A132" t="inlineStr">
        <is>
          <t>A 2153-2023</t>
        </is>
      </c>
      <c r="B132" s="1" t="n">
        <v>44941</v>
      </c>
      <c r="C132" s="1" t="n">
        <v>46188</v>
      </c>
      <c r="D132" t="inlineStr">
        <is>
          <t>ÖREBRO LÄN</t>
        </is>
      </c>
      <c r="E132" t="inlineStr">
        <is>
          <t>ÖREBRO</t>
        </is>
      </c>
      <c r="G132" t="n">
        <v>6.3</v>
      </c>
      <c r="H132" t="n">
        <v>0</v>
      </c>
      <c r="I132" t="n">
        <v>0</v>
      </c>
      <c r="J132" t="n">
        <v>0</v>
      </c>
      <c r="K132" t="n">
        <v>0</v>
      </c>
      <c r="L132" t="n">
        <v>0</v>
      </c>
      <c r="M132" t="n">
        <v>0</v>
      </c>
      <c r="N132" t="n">
        <v>0</v>
      </c>
      <c r="O132" t="n">
        <v>0</v>
      </c>
      <c r="P132" t="n">
        <v>0</v>
      </c>
      <c r="Q132" t="n">
        <v>0</v>
      </c>
      <c r="R132" s="2" t="inlineStr"/>
    </row>
    <row r="133" ht="15" customHeight="1">
      <c r="A133" t="inlineStr">
        <is>
          <t>A 58532-2024</t>
        </is>
      </c>
      <c r="B133" s="1" t="n">
        <v>45635.44899305556</v>
      </c>
      <c r="C133" s="1" t="n">
        <v>46188</v>
      </c>
      <c r="D133" t="inlineStr">
        <is>
          <t>ÖREBRO LÄN</t>
        </is>
      </c>
      <c r="E133" t="inlineStr">
        <is>
          <t>ÖREBRO</t>
        </is>
      </c>
      <c r="F133" t="inlineStr">
        <is>
          <t>Sveaskog</t>
        </is>
      </c>
      <c r="G133" t="n">
        <v>5.2</v>
      </c>
      <c r="H133" t="n">
        <v>0</v>
      </c>
      <c r="I133" t="n">
        <v>0</v>
      </c>
      <c r="J133" t="n">
        <v>0</v>
      </c>
      <c r="K133" t="n">
        <v>0</v>
      </c>
      <c r="L133" t="n">
        <v>0</v>
      </c>
      <c r="M133" t="n">
        <v>0</v>
      </c>
      <c r="N133" t="n">
        <v>0</v>
      </c>
      <c r="O133" t="n">
        <v>0</v>
      </c>
      <c r="P133" t="n">
        <v>0</v>
      </c>
      <c r="Q133" t="n">
        <v>0</v>
      </c>
      <c r="R133" s="2" t="inlineStr"/>
    </row>
    <row r="134" ht="15" customHeight="1">
      <c r="A134" t="inlineStr">
        <is>
          <t>A 11663-2024</t>
        </is>
      </c>
      <c r="B134" s="1" t="n">
        <v>45373</v>
      </c>
      <c r="C134" s="1" t="n">
        <v>46188</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187-2024</t>
        </is>
      </c>
      <c r="B135" s="1" t="n">
        <v>45294</v>
      </c>
      <c r="C135" s="1" t="n">
        <v>46188</v>
      </c>
      <c r="D135" t="inlineStr">
        <is>
          <t>ÖREBRO LÄN</t>
        </is>
      </c>
      <c r="E135" t="inlineStr">
        <is>
          <t>ÖREBRO</t>
        </is>
      </c>
      <c r="G135" t="n">
        <v>5.9</v>
      </c>
      <c r="H135" t="n">
        <v>0</v>
      </c>
      <c r="I135" t="n">
        <v>0</v>
      </c>
      <c r="J135" t="n">
        <v>0</v>
      </c>
      <c r="K135" t="n">
        <v>0</v>
      </c>
      <c r="L135" t="n">
        <v>0</v>
      </c>
      <c r="M135" t="n">
        <v>0</v>
      </c>
      <c r="N135" t="n">
        <v>0</v>
      </c>
      <c r="O135" t="n">
        <v>0</v>
      </c>
      <c r="P135" t="n">
        <v>0</v>
      </c>
      <c r="Q135" t="n">
        <v>0</v>
      </c>
      <c r="R135" s="2" t="inlineStr"/>
    </row>
    <row r="136" ht="15" customHeight="1">
      <c r="A136" t="inlineStr">
        <is>
          <t>A 36635-2023</t>
        </is>
      </c>
      <c r="B136" s="1" t="n">
        <v>45153</v>
      </c>
      <c r="C136" s="1" t="n">
        <v>46188</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681-2024</t>
        </is>
      </c>
      <c r="B137" s="1" t="n">
        <v>45300</v>
      </c>
      <c r="C137" s="1" t="n">
        <v>46188</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13762-2023</t>
        </is>
      </c>
      <c r="B138" s="1" t="n">
        <v>45007.43729166667</v>
      </c>
      <c r="C138" s="1" t="n">
        <v>46188</v>
      </c>
      <c r="D138" t="inlineStr">
        <is>
          <t>ÖREBRO LÄN</t>
        </is>
      </c>
      <c r="E138" t="inlineStr">
        <is>
          <t>ÖREBRO</t>
        </is>
      </c>
      <c r="G138" t="n">
        <v>1.3</v>
      </c>
      <c r="H138" t="n">
        <v>0</v>
      </c>
      <c r="I138" t="n">
        <v>0</v>
      </c>
      <c r="J138" t="n">
        <v>0</v>
      </c>
      <c r="K138" t="n">
        <v>0</v>
      </c>
      <c r="L138" t="n">
        <v>0</v>
      </c>
      <c r="M138" t="n">
        <v>0</v>
      </c>
      <c r="N138" t="n">
        <v>0</v>
      </c>
      <c r="O138" t="n">
        <v>0</v>
      </c>
      <c r="P138" t="n">
        <v>0</v>
      </c>
      <c r="Q138" t="n">
        <v>0</v>
      </c>
      <c r="R138" s="2" t="inlineStr"/>
    </row>
    <row r="139" ht="15" customHeight="1">
      <c r="A139" t="inlineStr">
        <is>
          <t>A 10470-2025</t>
        </is>
      </c>
      <c r="B139" s="1" t="n">
        <v>45720</v>
      </c>
      <c r="C139" s="1" t="n">
        <v>46188</v>
      </c>
      <c r="D139" t="inlineStr">
        <is>
          <t>ÖREBRO LÄN</t>
        </is>
      </c>
      <c r="E139" t="inlineStr">
        <is>
          <t>ÖREBRO</t>
        </is>
      </c>
      <c r="G139" t="n">
        <v>11.5</v>
      </c>
      <c r="H139" t="n">
        <v>0</v>
      </c>
      <c r="I139" t="n">
        <v>0</v>
      </c>
      <c r="J139" t="n">
        <v>0</v>
      </c>
      <c r="K139" t="n">
        <v>0</v>
      </c>
      <c r="L139" t="n">
        <v>0</v>
      </c>
      <c r="M139" t="n">
        <v>0</v>
      </c>
      <c r="N139" t="n">
        <v>0</v>
      </c>
      <c r="O139" t="n">
        <v>0</v>
      </c>
      <c r="P139" t="n">
        <v>0</v>
      </c>
      <c r="Q139" t="n">
        <v>0</v>
      </c>
      <c r="R139" s="2" t="inlineStr"/>
    </row>
    <row r="140" ht="15" customHeight="1">
      <c r="A140" t="inlineStr">
        <is>
          <t>A 52623-2024</t>
        </is>
      </c>
      <c r="B140" s="1" t="n">
        <v>45609</v>
      </c>
      <c r="C140" s="1" t="n">
        <v>46188</v>
      </c>
      <c r="D140" t="inlineStr">
        <is>
          <t>ÖREBRO LÄN</t>
        </is>
      </c>
      <c r="E140" t="inlineStr">
        <is>
          <t>ÖREBRO</t>
        </is>
      </c>
      <c r="F140" t="inlineStr">
        <is>
          <t>Kommuner</t>
        </is>
      </c>
      <c r="G140" t="n">
        <v>1.7</v>
      </c>
      <c r="H140" t="n">
        <v>0</v>
      </c>
      <c r="I140" t="n">
        <v>0</v>
      </c>
      <c r="J140" t="n">
        <v>0</v>
      </c>
      <c r="K140" t="n">
        <v>0</v>
      </c>
      <c r="L140" t="n">
        <v>0</v>
      </c>
      <c r="M140" t="n">
        <v>0</v>
      </c>
      <c r="N140" t="n">
        <v>0</v>
      </c>
      <c r="O140" t="n">
        <v>0</v>
      </c>
      <c r="P140" t="n">
        <v>0</v>
      </c>
      <c r="Q140" t="n">
        <v>0</v>
      </c>
      <c r="R140" s="2" t="inlineStr"/>
    </row>
    <row r="141" ht="15" customHeight="1">
      <c r="A141" t="inlineStr">
        <is>
          <t>A 21097-2025</t>
        </is>
      </c>
      <c r="B141" s="1" t="n">
        <v>45777.63863425926</v>
      </c>
      <c r="C141" s="1" t="n">
        <v>46188</v>
      </c>
      <c r="D141" t="inlineStr">
        <is>
          <t>ÖREBRO LÄN</t>
        </is>
      </c>
      <c r="E141" t="inlineStr">
        <is>
          <t>ÖREBRO</t>
        </is>
      </c>
      <c r="G141" t="n">
        <v>2.1</v>
      </c>
      <c r="H141" t="n">
        <v>0</v>
      </c>
      <c r="I141" t="n">
        <v>0</v>
      </c>
      <c r="J141" t="n">
        <v>0</v>
      </c>
      <c r="K141" t="n">
        <v>0</v>
      </c>
      <c r="L141" t="n">
        <v>0</v>
      </c>
      <c r="M141" t="n">
        <v>0</v>
      </c>
      <c r="N141" t="n">
        <v>0</v>
      </c>
      <c r="O141" t="n">
        <v>0</v>
      </c>
      <c r="P141" t="n">
        <v>0</v>
      </c>
      <c r="Q141" t="n">
        <v>0</v>
      </c>
      <c r="R141" s="2" t="inlineStr"/>
    </row>
    <row r="142" ht="15" customHeight="1">
      <c r="A142" t="inlineStr">
        <is>
          <t>A 50026-2024</t>
        </is>
      </c>
      <c r="B142" s="1" t="n">
        <v>45599.60541666667</v>
      </c>
      <c r="C142" s="1" t="n">
        <v>46188</v>
      </c>
      <c r="D142" t="inlineStr">
        <is>
          <t>ÖREBRO LÄN</t>
        </is>
      </c>
      <c r="E142" t="inlineStr">
        <is>
          <t>ÖREBRO</t>
        </is>
      </c>
      <c r="G142" t="n">
        <v>2.2</v>
      </c>
      <c r="H142" t="n">
        <v>0</v>
      </c>
      <c r="I142" t="n">
        <v>0</v>
      </c>
      <c r="J142" t="n">
        <v>0</v>
      </c>
      <c r="K142" t="n">
        <v>0</v>
      </c>
      <c r="L142" t="n">
        <v>0</v>
      </c>
      <c r="M142" t="n">
        <v>0</v>
      </c>
      <c r="N142" t="n">
        <v>0</v>
      </c>
      <c r="O142" t="n">
        <v>0</v>
      </c>
      <c r="P142" t="n">
        <v>0</v>
      </c>
      <c r="Q142" t="n">
        <v>0</v>
      </c>
      <c r="R142" s="2" t="inlineStr"/>
    </row>
    <row r="143" ht="15" customHeight="1">
      <c r="A143" t="inlineStr">
        <is>
          <t>A 50311-2025</t>
        </is>
      </c>
      <c r="B143" s="1" t="n">
        <v>45944</v>
      </c>
      <c r="C143" s="1" t="n">
        <v>46188</v>
      </c>
      <c r="D143" t="inlineStr">
        <is>
          <t>ÖREBRO LÄN</t>
        </is>
      </c>
      <c r="E143" t="inlineStr">
        <is>
          <t>ÖREBRO</t>
        </is>
      </c>
      <c r="G143" t="n">
        <v>1.7</v>
      </c>
      <c r="H143" t="n">
        <v>0</v>
      </c>
      <c r="I143" t="n">
        <v>0</v>
      </c>
      <c r="J143" t="n">
        <v>0</v>
      </c>
      <c r="K143" t="n">
        <v>0</v>
      </c>
      <c r="L143" t="n">
        <v>0</v>
      </c>
      <c r="M143" t="n">
        <v>0</v>
      </c>
      <c r="N143" t="n">
        <v>0</v>
      </c>
      <c r="O143" t="n">
        <v>0</v>
      </c>
      <c r="P143" t="n">
        <v>0</v>
      </c>
      <c r="Q143" t="n">
        <v>0</v>
      </c>
      <c r="R143" s="2" t="inlineStr"/>
    </row>
    <row r="144" ht="15" customHeight="1">
      <c r="A144" t="inlineStr">
        <is>
          <t>A 62794-2021</t>
        </is>
      </c>
      <c r="B144" s="1" t="n">
        <v>44504</v>
      </c>
      <c r="C144" s="1" t="n">
        <v>46188</v>
      </c>
      <c r="D144" t="inlineStr">
        <is>
          <t>ÖREBRO LÄN</t>
        </is>
      </c>
      <c r="E144" t="inlineStr">
        <is>
          <t>ÖREBRO</t>
        </is>
      </c>
      <c r="G144" t="n">
        <v>3.3</v>
      </c>
      <c r="H144" t="n">
        <v>0</v>
      </c>
      <c r="I144" t="n">
        <v>0</v>
      </c>
      <c r="J144" t="n">
        <v>0</v>
      </c>
      <c r="K144" t="n">
        <v>0</v>
      </c>
      <c r="L144" t="n">
        <v>0</v>
      </c>
      <c r="M144" t="n">
        <v>0</v>
      </c>
      <c r="N144" t="n">
        <v>0</v>
      </c>
      <c r="O144" t="n">
        <v>0</v>
      </c>
      <c r="P144" t="n">
        <v>0</v>
      </c>
      <c r="Q144" t="n">
        <v>0</v>
      </c>
      <c r="R144" s="2" t="inlineStr"/>
    </row>
    <row r="145" ht="15" customHeight="1">
      <c r="A145" t="inlineStr">
        <is>
          <t>A 19180-2025</t>
        </is>
      </c>
      <c r="B145" s="1" t="n">
        <v>45769.40133101852</v>
      </c>
      <c r="C145" s="1" t="n">
        <v>46188</v>
      </c>
      <c r="D145" t="inlineStr">
        <is>
          <t>ÖREBRO LÄN</t>
        </is>
      </c>
      <c r="E145" t="inlineStr">
        <is>
          <t>ÖREBRO</t>
        </is>
      </c>
      <c r="G145" t="n">
        <v>1.1</v>
      </c>
      <c r="H145" t="n">
        <v>0</v>
      </c>
      <c r="I145" t="n">
        <v>0</v>
      </c>
      <c r="J145" t="n">
        <v>0</v>
      </c>
      <c r="K145" t="n">
        <v>0</v>
      </c>
      <c r="L145" t="n">
        <v>0</v>
      </c>
      <c r="M145" t="n">
        <v>0</v>
      </c>
      <c r="N145" t="n">
        <v>0</v>
      </c>
      <c r="O145" t="n">
        <v>0</v>
      </c>
      <c r="P145" t="n">
        <v>0</v>
      </c>
      <c r="Q145" t="n">
        <v>0</v>
      </c>
      <c r="R145" s="2" t="inlineStr"/>
    </row>
    <row r="146" ht="15" customHeight="1">
      <c r="A146" t="inlineStr">
        <is>
          <t>A 58684-2023</t>
        </is>
      </c>
      <c r="B146" s="1" t="n">
        <v>45251</v>
      </c>
      <c r="C146" s="1" t="n">
        <v>46188</v>
      </c>
      <c r="D146" t="inlineStr">
        <is>
          <t>ÖREBRO LÄN</t>
        </is>
      </c>
      <c r="E146" t="inlineStr">
        <is>
          <t>ÖREBRO</t>
        </is>
      </c>
      <c r="G146" t="n">
        <v>1.2</v>
      </c>
      <c r="H146" t="n">
        <v>0</v>
      </c>
      <c r="I146" t="n">
        <v>0</v>
      </c>
      <c r="J146" t="n">
        <v>0</v>
      </c>
      <c r="K146" t="n">
        <v>0</v>
      </c>
      <c r="L146" t="n">
        <v>0</v>
      </c>
      <c r="M146" t="n">
        <v>0</v>
      </c>
      <c r="N146" t="n">
        <v>0</v>
      </c>
      <c r="O146" t="n">
        <v>0</v>
      </c>
      <c r="P146" t="n">
        <v>0</v>
      </c>
      <c r="Q146" t="n">
        <v>0</v>
      </c>
      <c r="R146" s="2" t="inlineStr"/>
    </row>
    <row r="147" ht="15" customHeight="1">
      <c r="A147" t="inlineStr">
        <is>
          <t>A 37771-2024</t>
        </is>
      </c>
      <c r="B147" s="1" t="n">
        <v>45542.31359953704</v>
      </c>
      <c r="C147" s="1" t="n">
        <v>46188</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71288-2021</t>
        </is>
      </c>
      <c r="B148" s="1" t="n">
        <v>44539.62481481482</v>
      </c>
      <c r="C148" s="1" t="n">
        <v>46188</v>
      </c>
      <c r="D148" t="inlineStr">
        <is>
          <t>ÖREBRO LÄN</t>
        </is>
      </c>
      <c r="E148" t="inlineStr">
        <is>
          <t>ÖREBRO</t>
        </is>
      </c>
      <c r="G148" t="n">
        <v>3.9</v>
      </c>
      <c r="H148" t="n">
        <v>0</v>
      </c>
      <c r="I148" t="n">
        <v>0</v>
      </c>
      <c r="J148" t="n">
        <v>0</v>
      </c>
      <c r="K148" t="n">
        <v>0</v>
      </c>
      <c r="L148" t="n">
        <v>0</v>
      </c>
      <c r="M148" t="n">
        <v>0</v>
      </c>
      <c r="N148" t="n">
        <v>0</v>
      </c>
      <c r="O148" t="n">
        <v>0</v>
      </c>
      <c r="P148" t="n">
        <v>0</v>
      </c>
      <c r="Q148" t="n">
        <v>0</v>
      </c>
      <c r="R148" s="2" t="inlineStr"/>
    </row>
    <row r="149" ht="15" customHeight="1">
      <c r="A149" t="inlineStr">
        <is>
          <t>A 45237-2023</t>
        </is>
      </c>
      <c r="B149" s="1" t="n">
        <v>45191</v>
      </c>
      <c r="C149" s="1" t="n">
        <v>46188</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52135-2025</t>
        </is>
      </c>
      <c r="B150" s="1" t="n">
        <v>45952.84231481481</v>
      </c>
      <c r="C150" s="1" t="n">
        <v>46188</v>
      </c>
      <c r="D150" t="inlineStr">
        <is>
          <t>ÖREBRO LÄN</t>
        </is>
      </c>
      <c r="E150" t="inlineStr">
        <is>
          <t>ÖREBRO</t>
        </is>
      </c>
      <c r="G150" t="n">
        <v>4</v>
      </c>
      <c r="H150" t="n">
        <v>0</v>
      </c>
      <c r="I150" t="n">
        <v>0</v>
      </c>
      <c r="J150" t="n">
        <v>0</v>
      </c>
      <c r="K150" t="n">
        <v>0</v>
      </c>
      <c r="L150" t="n">
        <v>0</v>
      </c>
      <c r="M150" t="n">
        <v>0</v>
      </c>
      <c r="N150" t="n">
        <v>0</v>
      </c>
      <c r="O150" t="n">
        <v>0</v>
      </c>
      <c r="P150" t="n">
        <v>0</v>
      </c>
      <c r="Q150" t="n">
        <v>0</v>
      </c>
      <c r="R150" s="2" t="inlineStr"/>
    </row>
    <row r="151" ht="15" customHeight="1">
      <c r="A151" t="inlineStr">
        <is>
          <t>A 51937-2025</t>
        </is>
      </c>
      <c r="B151" s="1" t="n">
        <v>45952.51270833334</v>
      </c>
      <c r="C151" s="1" t="n">
        <v>46188</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46323-2024</t>
        </is>
      </c>
      <c r="B152" s="1" t="n">
        <v>45581.84538194445</v>
      </c>
      <c r="C152" s="1" t="n">
        <v>46188</v>
      </c>
      <c r="D152" t="inlineStr">
        <is>
          <t>ÖREBRO LÄN</t>
        </is>
      </c>
      <c r="E152" t="inlineStr">
        <is>
          <t>ÖREBRO</t>
        </is>
      </c>
      <c r="F152" t="inlineStr">
        <is>
          <t>Övriga Aktiebolag</t>
        </is>
      </c>
      <c r="G152" t="n">
        <v>1.4</v>
      </c>
      <c r="H152" t="n">
        <v>0</v>
      </c>
      <c r="I152" t="n">
        <v>0</v>
      </c>
      <c r="J152" t="n">
        <v>0</v>
      </c>
      <c r="K152" t="n">
        <v>0</v>
      </c>
      <c r="L152" t="n">
        <v>0</v>
      </c>
      <c r="M152" t="n">
        <v>0</v>
      </c>
      <c r="N152" t="n">
        <v>0</v>
      </c>
      <c r="O152" t="n">
        <v>0</v>
      </c>
      <c r="P152" t="n">
        <v>0</v>
      </c>
      <c r="Q152" t="n">
        <v>0</v>
      </c>
      <c r="R152" s="2" t="inlineStr"/>
    </row>
    <row r="153" ht="15" customHeight="1">
      <c r="A153" t="inlineStr">
        <is>
          <t>A 30743-2025</t>
        </is>
      </c>
      <c r="B153" s="1" t="n">
        <v>45831</v>
      </c>
      <c r="C153" s="1" t="n">
        <v>46188</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53443-2025</t>
        </is>
      </c>
      <c r="B154" s="1" t="n">
        <v>45959.6444675926</v>
      </c>
      <c r="C154" s="1" t="n">
        <v>46188</v>
      </c>
      <c r="D154" t="inlineStr">
        <is>
          <t>ÖREBRO LÄN</t>
        </is>
      </c>
      <c r="E154" t="inlineStr">
        <is>
          <t>ÖREBRO</t>
        </is>
      </c>
      <c r="G154" t="n">
        <v>2.8</v>
      </c>
      <c r="H154" t="n">
        <v>0</v>
      </c>
      <c r="I154" t="n">
        <v>0</v>
      </c>
      <c r="J154" t="n">
        <v>0</v>
      </c>
      <c r="K154" t="n">
        <v>0</v>
      </c>
      <c r="L154" t="n">
        <v>0</v>
      </c>
      <c r="M154" t="n">
        <v>0</v>
      </c>
      <c r="N154" t="n">
        <v>0</v>
      </c>
      <c r="O154" t="n">
        <v>0</v>
      </c>
      <c r="P154" t="n">
        <v>0</v>
      </c>
      <c r="Q154" t="n">
        <v>0</v>
      </c>
      <c r="R154" s="2" t="inlineStr"/>
    </row>
    <row r="155" ht="15" customHeight="1">
      <c r="A155" t="inlineStr">
        <is>
          <t>A 53437-2025</t>
        </is>
      </c>
      <c r="B155" s="1" t="n">
        <v>45959.63440972222</v>
      </c>
      <c r="C155" s="1" t="n">
        <v>46188</v>
      </c>
      <c r="D155" t="inlineStr">
        <is>
          <t>ÖREBRO LÄN</t>
        </is>
      </c>
      <c r="E155" t="inlineStr">
        <is>
          <t>ÖREBRO</t>
        </is>
      </c>
      <c r="G155" t="n">
        <v>1</v>
      </c>
      <c r="H155" t="n">
        <v>0</v>
      </c>
      <c r="I155" t="n">
        <v>0</v>
      </c>
      <c r="J155" t="n">
        <v>0</v>
      </c>
      <c r="K155" t="n">
        <v>0</v>
      </c>
      <c r="L155" t="n">
        <v>0</v>
      </c>
      <c r="M155" t="n">
        <v>0</v>
      </c>
      <c r="N155" t="n">
        <v>0</v>
      </c>
      <c r="O155" t="n">
        <v>0</v>
      </c>
      <c r="P155" t="n">
        <v>0</v>
      </c>
      <c r="Q155" t="n">
        <v>0</v>
      </c>
      <c r="R155" s="2" t="inlineStr"/>
    </row>
    <row r="156" ht="15" customHeight="1">
      <c r="A156" t="inlineStr">
        <is>
          <t>A 53342-2025</t>
        </is>
      </c>
      <c r="B156" s="1" t="n">
        <v>45959.41769675926</v>
      </c>
      <c r="C156" s="1" t="n">
        <v>46188</v>
      </c>
      <c r="D156" t="inlineStr">
        <is>
          <t>ÖREBRO LÄN</t>
        </is>
      </c>
      <c r="E156" t="inlineStr">
        <is>
          <t>ÖREBRO</t>
        </is>
      </c>
      <c r="G156" t="n">
        <v>4.1</v>
      </c>
      <c r="H156" t="n">
        <v>0</v>
      </c>
      <c r="I156" t="n">
        <v>0</v>
      </c>
      <c r="J156" t="n">
        <v>0</v>
      </c>
      <c r="K156" t="n">
        <v>0</v>
      </c>
      <c r="L156" t="n">
        <v>0</v>
      </c>
      <c r="M156" t="n">
        <v>0</v>
      </c>
      <c r="N156" t="n">
        <v>0</v>
      </c>
      <c r="O156" t="n">
        <v>0</v>
      </c>
      <c r="P156" t="n">
        <v>0</v>
      </c>
      <c r="Q156" t="n">
        <v>0</v>
      </c>
      <c r="R156" s="2" t="inlineStr"/>
    </row>
    <row r="157" ht="15" customHeight="1">
      <c r="A157" t="inlineStr">
        <is>
          <t>A 53350-2025</t>
        </is>
      </c>
      <c r="B157" s="1" t="n">
        <v>45959.43827546296</v>
      </c>
      <c r="C157" s="1" t="n">
        <v>46188</v>
      </c>
      <c r="D157" t="inlineStr">
        <is>
          <t>ÖREBRO LÄN</t>
        </is>
      </c>
      <c r="E157" t="inlineStr">
        <is>
          <t>ÖREBRO</t>
        </is>
      </c>
      <c r="G157" t="n">
        <v>4.1</v>
      </c>
      <c r="H157" t="n">
        <v>0</v>
      </c>
      <c r="I157" t="n">
        <v>0</v>
      </c>
      <c r="J157" t="n">
        <v>0</v>
      </c>
      <c r="K157" t="n">
        <v>0</v>
      </c>
      <c r="L157" t="n">
        <v>0</v>
      </c>
      <c r="M157" t="n">
        <v>0</v>
      </c>
      <c r="N157" t="n">
        <v>0</v>
      </c>
      <c r="O157" t="n">
        <v>0</v>
      </c>
      <c r="P157" t="n">
        <v>0</v>
      </c>
      <c r="Q157" t="n">
        <v>0</v>
      </c>
      <c r="R157" s="2" t="inlineStr"/>
    </row>
    <row r="158" ht="15" customHeight="1">
      <c r="A158" t="inlineStr">
        <is>
          <t>A 16739-2023</t>
        </is>
      </c>
      <c r="B158" s="1" t="n">
        <v>45030.72627314815</v>
      </c>
      <c r="C158" s="1" t="n">
        <v>46188</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53343-2025</t>
        </is>
      </c>
      <c r="B159" s="1" t="n">
        <v>45959.42025462963</v>
      </c>
      <c r="C159" s="1" t="n">
        <v>46188</v>
      </c>
      <c r="D159" t="inlineStr">
        <is>
          <t>ÖREBRO LÄN</t>
        </is>
      </c>
      <c r="E159" t="inlineStr">
        <is>
          <t>ÖREBRO</t>
        </is>
      </c>
      <c r="G159" t="n">
        <v>0.5</v>
      </c>
      <c r="H159" t="n">
        <v>0</v>
      </c>
      <c r="I159" t="n">
        <v>0</v>
      </c>
      <c r="J159" t="n">
        <v>0</v>
      </c>
      <c r="K159" t="n">
        <v>0</v>
      </c>
      <c r="L159" t="n">
        <v>0</v>
      </c>
      <c r="M159" t="n">
        <v>0</v>
      </c>
      <c r="N159" t="n">
        <v>0</v>
      </c>
      <c r="O159" t="n">
        <v>0</v>
      </c>
      <c r="P159" t="n">
        <v>0</v>
      </c>
      <c r="Q159" t="n">
        <v>0</v>
      </c>
      <c r="R159" s="2" t="inlineStr"/>
    </row>
    <row r="160" ht="15" customHeight="1">
      <c r="A160" t="inlineStr">
        <is>
          <t>A 54205-2025</t>
        </is>
      </c>
      <c r="B160" s="1" t="n">
        <v>45964.58512731481</v>
      </c>
      <c r="C160" s="1" t="n">
        <v>46188</v>
      </c>
      <c r="D160" t="inlineStr">
        <is>
          <t>ÖREBRO LÄN</t>
        </is>
      </c>
      <c r="E160" t="inlineStr">
        <is>
          <t>ÖREBRO</t>
        </is>
      </c>
      <c r="G160" t="n">
        <v>24.3</v>
      </c>
      <c r="H160" t="n">
        <v>0</v>
      </c>
      <c r="I160" t="n">
        <v>0</v>
      </c>
      <c r="J160" t="n">
        <v>0</v>
      </c>
      <c r="K160" t="n">
        <v>0</v>
      </c>
      <c r="L160" t="n">
        <v>0</v>
      </c>
      <c r="M160" t="n">
        <v>0</v>
      </c>
      <c r="N160" t="n">
        <v>0</v>
      </c>
      <c r="O160" t="n">
        <v>0</v>
      </c>
      <c r="P160" t="n">
        <v>0</v>
      </c>
      <c r="Q160" t="n">
        <v>0</v>
      </c>
      <c r="R160" s="2" t="inlineStr"/>
    </row>
    <row r="161" ht="15" customHeight="1">
      <c r="A161" t="inlineStr">
        <is>
          <t>A 35819-2024</t>
        </is>
      </c>
      <c r="B161" s="1" t="n">
        <v>45532</v>
      </c>
      <c r="C161" s="1" t="n">
        <v>46188</v>
      </c>
      <c r="D161" t="inlineStr">
        <is>
          <t>ÖREBRO LÄN</t>
        </is>
      </c>
      <c r="E161" t="inlineStr">
        <is>
          <t>ÖREBRO</t>
        </is>
      </c>
      <c r="G161" t="n">
        <v>6.4</v>
      </c>
      <c r="H161" t="n">
        <v>0</v>
      </c>
      <c r="I161" t="n">
        <v>0</v>
      </c>
      <c r="J161" t="n">
        <v>0</v>
      </c>
      <c r="K161" t="n">
        <v>0</v>
      </c>
      <c r="L161" t="n">
        <v>0</v>
      </c>
      <c r="M161" t="n">
        <v>0</v>
      </c>
      <c r="N161" t="n">
        <v>0</v>
      </c>
      <c r="O161" t="n">
        <v>0</v>
      </c>
      <c r="P161" t="n">
        <v>0</v>
      </c>
      <c r="Q161" t="n">
        <v>0</v>
      </c>
      <c r="R161" s="2" t="inlineStr"/>
    </row>
    <row r="162" ht="15" customHeight="1">
      <c r="A162" t="inlineStr">
        <is>
          <t>A 38842-2022</t>
        </is>
      </c>
      <c r="B162" s="1" t="n">
        <v>44814</v>
      </c>
      <c r="C162" s="1" t="n">
        <v>46188</v>
      </c>
      <c r="D162" t="inlineStr">
        <is>
          <t>ÖREBRO LÄN</t>
        </is>
      </c>
      <c r="E162" t="inlineStr">
        <is>
          <t>ÖREBRO</t>
        </is>
      </c>
      <c r="G162" t="n">
        <v>5</v>
      </c>
      <c r="H162" t="n">
        <v>0</v>
      </c>
      <c r="I162" t="n">
        <v>0</v>
      </c>
      <c r="J162" t="n">
        <v>0</v>
      </c>
      <c r="K162" t="n">
        <v>0</v>
      </c>
      <c r="L162" t="n">
        <v>0</v>
      </c>
      <c r="M162" t="n">
        <v>0</v>
      </c>
      <c r="N162" t="n">
        <v>0</v>
      </c>
      <c r="O162" t="n">
        <v>0</v>
      </c>
      <c r="P162" t="n">
        <v>0</v>
      </c>
      <c r="Q162" t="n">
        <v>0</v>
      </c>
      <c r="R162" s="2" t="inlineStr"/>
    </row>
    <row r="163" ht="15" customHeight="1">
      <c r="A163" t="inlineStr">
        <is>
          <t>A 32076-2023</t>
        </is>
      </c>
      <c r="B163" s="1" t="n">
        <v>45119.58324074074</v>
      </c>
      <c r="C163" s="1" t="n">
        <v>46188</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37022-2024</t>
        </is>
      </c>
      <c r="B164" s="1" t="n">
        <v>45539.3822337963</v>
      </c>
      <c r="C164" s="1" t="n">
        <v>46188</v>
      </c>
      <c r="D164" t="inlineStr">
        <is>
          <t>ÖREBRO LÄN</t>
        </is>
      </c>
      <c r="E164" t="inlineStr">
        <is>
          <t>ÖREBRO</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47047-2022</t>
        </is>
      </c>
      <c r="B165" s="1" t="n">
        <v>44852.39063657408</v>
      </c>
      <c r="C165" s="1" t="n">
        <v>46188</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58644-2023</t>
        </is>
      </c>
      <c r="B166" s="1" t="n">
        <v>45251.58716435185</v>
      </c>
      <c r="C166" s="1" t="n">
        <v>46188</v>
      </c>
      <c r="D166" t="inlineStr">
        <is>
          <t>ÖREBRO LÄN</t>
        </is>
      </c>
      <c r="E166" t="inlineStr">
        <is>
          <t>ÖREBRO</t>
        </is>
      </c>
      <c r="F166" t="inlineStr">
        <is>
          <t>Övriga Aktiebolag</t>
        </is>
      </c>
      <c r="G166" t="n">
        <v>1.9</v>
      </c>
      <c r="H166" t="n">
        <v>0</v>
      </c>
      <c r="I166" t="n">
        <v>0</v>
      </c>
      <c r="J166" t="n">
        <v>0</v>
      </c>
      <c r="K166" t="n">
        <v>0</v>
      </c>
      <c r="L166" t="n">
        <v>0</v>
      </c>
      <c r="M166" t="n">
        <v>0</v>
      </c>
      <c r="N166" t="n">
        <v>0</v>
      </c>
      <c r="O166" t="n">
        <v>0</v>
      </c>
      <c r="P166" t="n">
        <v>0</v>
      </c>
      <c r="Q166" t="n">
        <v>0</v>
      </c>
      <c r="R166" s="2" t="inlineStr"/>
    </row>
    <row r="167" ht="15" customHeight="1">
      <c r="A167" t="inlineStr">
        <is>
          <t>A 55748-2025</t>
        </is>
      </c>
      <c r="B167" s="1" t="n">
        <v>45972.57893518519</v>
      </c>
      <c r="C167" s="1" t="n">
        <v>46188</v>
      </c>
      <c r="D167" t="inlineStr">
        <is>
          <t>ÖREBRO LÄN</t>
        </is>
      </c>
      <c r="E167" t="inlineStr">
        <is>
          <t>ÖREBRO</t>
        </is>
      </c>
      <c r="G167" t="n">
        <v>1.5</v>
      </c>
      <c r="H167" t="n">
        <v>0</v>
      </c>
      <c r="I167" t="n">
        <v>0</v>
      </c>
      <c r="J167" t="n">
        <v>0</v>
      </c>
      <c r="K167" t="n">
        <v>0</v>
      </c>
      <c r="L167" t="n">
        <v>0</v>
      </c>
      <c r="M167" t="n">
        <v>0</v>
      </c>
      <c r="N167" t="n">
        <v>0</v>
      </c>
      <c r="O167" t="n">
        <v>0</v>
      </c>
      <c r="P167" t="n">
        <v>0</v>
      </c>
      <c r="Q167" t="n">
        <v>0</v>
      </c>
      <c r="R167" s="2" t="inlineStr"/>
    </row>
    <row r="168" ht="15" customHeight="1">
      <c r="A168" t="inlineStr">
        <is>
          <t>A 58598-2022</t>
        </is>
      </c>
      <c r="B168" s="1" t="n">
        <v>44902</v>
      </c>
      <c r="C168" s="1" t="n">
        <v>46188</v>
      </c>
      <c r="D168" t="inlineStr">
        <is>
          <t>ÖREBRO LÄN</t>
        </is>
      </c>
      <c r="E168" t="inlineStr">
        <is>
          <t>ÖREBRO</t>
        </is>
      </c>
      <c r="G168" t="n">
        <v>0.4</v>
      </c>
      <c r="H168" t="n">
        <v>0</v>
      </c>
      <c r="I168" t="n">
        <v>0</v>
      </c>
      <c r="J168" t="n">
        <v>0</v>
      </c>
      <c r="K168" t="n">
        <v>0</v>
      </c>
      <c r="L168" t="n">
        <v>0</v>
      </c>
      <c r="M168" t="n">
        <v>0</v>
      </c>
      <c r="N168" t="n">
        <v>0</v>
      </c>
      <c r="O168" t="n">
        <v>0</v>
      </c>
      <c r="P168" t="n">
        <v>0</v>
      </c>
      <c r="Q168" t="n">
        <v>0</v>
      </c>
      <c r="R168" s="2" t="inlineStr"/>
    </row>
    <row r="169" ht="15" customHeight="1">
      <c r="A169" t="inlineStr">
        <is>
          <t>A 55750-2025</t>
        </is>
      </c>
      <c r="B169" s="1" t="n">
        <v>45972.58171296296</v>
      </c>
      <c r="C169" s="1" t="n">
        <v>46188</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13158-2024</t>
        </is>
      </c>
      <c r="B170" s="1" t="n">
        <v>45386.38728009259</v>
      </c>
      <c r="C170" s="1" t="n">
        <v>46188</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22719-2025</t>
        </is>
      </c>
      <c r="B171" s="1" t="n">
        <v>45789</v>
      </c>
      <c r="C171" s="1" t="n">
        <v>46188</v>
      </c>
      <c r="D171" t="inlineStr">
        <is>
          <t>ÖREBRO LÄN</t>
        </is>
      </c>
      <c r="E171" t="inlineStr">
        <is>
          <t>ÖREBRO</t>
        </is>
      </c>
      <c r="G171" t="n">
        <v>1.5</v>
      </c>
      <c r="H171" t="n">
        <v>0</v>
      </c>
      <c r="I171" t="n">
        <v>0</v>
      </c>
      <c r="J171" t="n">
        <v>0</v>
      </c>
      <c r="K171" t="n">
        <v>0</v>
      </c>
      <c r="L171" t="n">
        <v>0</v>
      </c>
      <c r="M171" t="n">
        <v>0</v>
      </c>
      <c r="N171" t="n">
        <v>0</v>
      </c>
      <c r="O171" t="n">
        <v>0</v>
      </c>
      <c r="P171" t="n">
        <v>0</v>
      </c>
      <c r="Q171" t="n">
        <v>0</v>
      </c>
      <c r="R171" s="2" t="inlineStr"/>
    </row>
    <row r="172" ht="15" customHeight="1">
      <c r="A172" t="inlineStr">
        <is>
          <t>A 764-2024</t>
        </is>
      </c>
      <c r="B172" s="1" t="n">
        <v>45300.51512731481</v>
      </c>
      <c r="C172" s="1" t="n">
        <v>46188</v>
      </c>
      <c r="D172" t="inlineStr">
        <is>
          <t>ÖREBRO LÄN</t>
        </is>
      </c>
      <c r="E172" t="inlineStr">
        <is>
          <t>ÖREBRO</t>
        </is>
      </c>
      <c r="G172" t="n">
        <v>2</v>
      </c>
      <c r="H172" t="n">
        <v>0</v>
      </c>
      <c r="I172" t="n">
        <v>0</v>
      </c>
      <c r="J172" t="n">
        <v>0</v>
      </c>
      <c r="K172" t="n">
        <v>0</v>
      </c>
      <c r="L172" t="n">
        <v>0</v>
      </c>
      <c r="M172" t="n">
        <v>0</v>
      </c>
      <c r="N172" t="n">
        <v>0</v>
      </c>
      <c r="O172" t="n">
        <v>0</v>
      </c>
      <c r="P172" t="n">
        <v>0</v>
      </c>
      <c r="Q172" t="n">
        <v>0</v>
      </c>
      <c r="R172" s="2" t="inlineStr"/>
    </row>
    <row r="173" ht="15" customHeight="1">
      <c r="A173" t="inlineStr">
        <is>
          <t>A 34336-2024</t>
        </is>
      </c>
      <c r="B173" s="1" t="n">
        <v>45524.94774305556</v>
      </c>
      <c r="C173" s="1" t="n">
        <v>46188</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15555-2025</t>
        </is>
      </c>
      <c r="B174" s="1" t="n">
        <v>45747.67768518518</v>
      </c>
      <c r="C174" s="1" t="n">
        <v>46188</v>
      </c>
      <c r="D174" t="inlineStr">
        <is>
          <t>ÖREBRO LÄN</t>
        </is>
      </c>
      <c r="E174" t="inlineStr">
        <is>
          <t>ÖREBRO</t>
        </is>
      </c>
      <c r="G174" t="n">
        <v>1.7</v>
      </c>
      <c r="H174" t="n">
        <v>0</v>
      </c>
      <c r="I174" t="n">
        <v>0</v>
      </c>
      <c r="J174" t="n">
        <v>0</v>
      </c>
      <c r="K174" t="n">
        <v>0</v>
      </c>
      <c r="L174" t="n">
        <v>0</v>
      </c>
      <c r="M174" t="n">
        <v>0</v>
      </c>
      <c r="N174" t="n">
        <v>0</v>
      </c>
      <c r="O174" t="n">
        <v>0</v>
      </c>
      <c r="P174" t="n">
        <v>0</v>
      </c>
      <c r="Q174" t="n">
        <v>0</v>
      </c>
      <c r="R174" s="2" t="inlineStr"/>
    </row>
    <row r="175" ht="15" customHeight="1">
      <c r="A175" t="inlineStr">
        <is>
          <t>A 61279-2024</t>
        </is>
      </c>
      <c r="B175" s="1" t="n">
        <v>45645</v>
      </c>
      <c r="C175" s="1" t="n">
        <v>46188</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38790-2024</t>
        </is>
      </c>
      <c r="B176" s="1" t="n">
        <v>45547.48450231482</v>
      </c>
      <c r="C176" s="1" t="n">
        <v>46188</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71269-2021</t>
        </is>
      </c>
      <c r="B177" s="1" t="n">
        <v>44539</v>
      </c>
      <c r="C177" s="1" t="n">
        <v>46188</v>
      </c>
      <c r="D177" t="inlineStr">
        <is>
          <t>ÖREBRO LÄN</t>
        </is>
      </c>
      <c r="E177" t="inlineStr">
        <is>
          <t>ÖREBRO</t>
        </is>
      </c>
      <c r="G177" t="n">
        <v>1.4</v>
      </c>
      <c r="H177" t="n">
        <v>0</v>
      </c>
      <c r="I177" t="n">
        <v>0</v>
      </c>
      <c r="J177" t="n">
        <v>0</v>
      </c>
      <c r="K177" t="n">
        <v>0</v>
      </c>
      <c r="L177" t="n">
        <v>0</v>
      </c>
      <c r="M177" t="n">
        <v>0</v>
      </c>
      <c r="N177" t="n">
        <v>0</v>
      </c>
      <c r="O177" t="n">
        <v>0</v>
      </c>
      <c r="P177" t="n">
        <v>0</v>
      </c>
      <c r="Q177" t="n">
        <v>0</v>
      </c>
      <c r="R177" s="2" t="inlineStr"/>
    </row>
    <row r="178" ht="15" customHeight="1">
      <c r="A178" t="inlineStr">
        <is>
          <t>A 34874-2022</t>
        </is>
      </c>
      <c r="B178" s="1" t="n">
        <v>44796</v>
      </c>
      <c r="C178" s="1" t="n">
        <v>46188</v>
      </c>
      <c r="D178" t="inlineStr">
        <is>
          <t>ÖREBRO LÄN</t>
        </is>
      </c>
      <c r="E178" t="inlineStr">
        <is>
          <t>ÖREBRO</t>
        </is>
      </c>
      <c r="F178" t="inlineStr">
        <is>
          <t>Övriga Aktiebolag</t>
        </is>
      </c>
      <c r="G178" t="n">
        <v>2.3</v>
      </c>
      <c r="H178" t="n">
        <v>0</v>
      </c>
      <c r="I178" t="n">
        <v>0</v>
      </c>
      <c r="J178" t="n">
        <v>0</v>
      </c>
      <c r="K178" t="n">
        <v>0</v>
      </c>
      <c r="L178" t="n">
        <v>0</v>
      </c>
      <c r="M178" t="n">
        <v>0</v>
      </c>
      <c r="N178" t="n">
        <v>0</v>
      </c>
      <c r="O178" t="n">
        <v>0</v>
      </c>
      <c r="P178" t="n">
        <v>0</v>
      </c>
      <c r="Q178" t="n">
        <v>0</v>
      </c>
      <c r="R178" s="2" t="inlineStr"/>
    </row>
    <row r="179" ht="15" customHeight="1">
      <c r="A179" t="inlineStr">
        <is>
          <t>A 30316-2024</t>
        </is>
      </c>
      <c r="B179" s="1" t="n">
        <v>45490</v>
      </c>
      <c r="C179" s="1" t="n">
        <v>46188</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852-2025</t>
        </is>
      </c>
      <c r="B180" s="1" t="n">
        <v>45665.60148148148</v>
      </c>
      <c r="C180" s="1" t="n">
        <v>46188</v>
      </c>
      <c r="D180" t="inlineStr">
        <is>
          <t>ÖREBRO LÄN</t>
        </is>
      </c>
      <c r="E180" t="inlineStr">
        <is>
          <t>ÖREBRO</t>
        </is>
      </c>
      <c r="G180" t="n">
        <v>2.9</v>
      </c>
      <c r="H180" t="n">
        <v>0</v>
      </c>
      <c r="I180" t="n">
        <v>0</v>
      </c>
      <c r="J180" t="n">
        <v>0</v>
      </c>
      <c r="K180" t="n">
        <v>0</v>
      </c>
      <c r="L180" t="n">
        <v>0</v>
      </c>
      <c r="M180" t="n">
        <v>0</v>
      </c>
      <c r="N180" t="n">
        <v>0</v>
      </c>
      <c r="O180" t="n">
        <v>0</v>
      </c>
      <c r="P180" t="n">
        <v>0</v>
      </c>
      <c r="Q180" t="n">
        <v>0</v>
      </c>
      <c r="R180" s="2" t="inlineStr"/>
    </row>
    <row r="181" ht="15" customHeight="1">
      <c r="A181" t="inlineStr">
        <is>
          <t>A 44199-2024</t>
        </is>
      </c>
      <c r="B181" s="1" t="n">
        <v>45573</v>
      </c>
      <c r="C181" s="1" t="n">
        <v>46188</v>
      </c>
      <c r="D181" t="inlineStr">
        <is>
          <t>ÖREBRO LÄN</t>
        </is>
      </c>
      <c r="E181" t="inlineStr">
        <is>
          <t>ÖREBRO</t>
        </is>
      </c>
      <c r="G181" t="n">
        <v>4.3</v>
      </c>
      <c r="H181" t="n">
        <v>0</v>
      </c>
      <c r="I181" t="n">
        <v>0</v>
      </c>
      <c r="J181" t="n">
        <v>0</v>
      </c>
      <c r="K181" t="n">
        <v>0</v>
      </c>
      <c r="L181" t="n">
        <v>0</v>
      </c>
      <c r="M181" t="n">
        <v>0</v>
      </c>
      <c r="N181" t="n">
        <v>0</v>
      </c>
      <c r="O181" t="n">
        <v>0</v>
      </c>
      <c r="P181" t="n">
        <v>0</v>
      </c>
      <c r="Q181" t="n">
        <v>0</v>
      </c>
      <c r="R181" s="2" t="inlineStr"/>
    </row>
    <row r="182" ht="15" customHeight="1">
      <c r="A182" t="inlineStr">
        <is>
          <t>A 4380-2025</t>
        </is>
      </c>
      <c r="B182" s="1" t="n">
        <v>45686.3959375</v>
      </c>
      <c r="C182" s="1" t="n">
        <v>46188</v>
      </c>
      <c r="D182" t="inlineStr">
        <is>
          <t>ÖREBRO LÄN</t>
        </is>
      </c>
      <c r="E182" t="inlineStr">
        <is>
          <t>ÖREBRO</t>
        </is>
      </c>
      <c r="G182" t="n">
        <v>3.2</v>
      </c>
      <c r="H182" t="n">
        <v>0</v>
      </c>
      <c r="I182" t="n">
        <v>0</v>
      </c>
      <c r="J182" t="n">
        <v>0</v>
      </c>
      <c r="K182" t="n">
        <v>0</v>
      </c>
      <c r="L182" t="n">
        <v>0</v>
      </c>
      <c r="M182" t="n">
        <v>0</v>
      </c>
      <c r="N182" t="n">
        <v>0</v>
      </c>
      <c r="O182" t="n">
        <v>0</v>
      </c>
      <c r="P182" t="n">
        <v>0</v>
      </c>
      <c r="Q182" t="n">
        <v>0</v>
      </c>
      <c r="R182" s="2" t="inlineStr"/>
    </row>
    <row r="183" ht="15" customHeight="1">
      <c r="A183" t="inlineStr">
        <is>
          <t>A 57537-2025</t>
        </is>
      </c>
      <c r="B183" s="1" t="n">
        <v>45980.6446875</v>
      </c>
      <c r="C183" s="1" t="n">
        <v>46188</v>
      </c>
      <c r="D183" t="inlineStr">
        <is>
          <t>ÖREBRO LÄN</t>
        </is>
      </c>
      <c r="E183" t="inlineStr">
        <is>
          <t>ÖREBRO</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44960-2025</t>
        </is>
      </c>
      <c r="B184" s="1" t="n">
        <v>45918.61577546296</v>
      </c>
      <c r="C184" s="1" t="n">
        <v>46188</v>
      </c>
      <c r="D184" t="inlineStr">
        <is>
          <t>ÖREBRO LÄN</t>
        </is>
      </c>
      <c r="E184" t="inlineStr">
        <is>
          <t>ÖREBRO</t>
        </is>
      </c>
      <c r="G184" t="n">
        <v>1.5</v>
      </c>
      <c r="H184" t="n">
        <v>0</v>
      </c>
      <c r="I184" t="n">
        <v>0</v>
      </c>
      <c r="J184" t="n">
        <v>0</v>
      </c>
      <c r="K184" t="n">
        <v>0</v>
      </c>
      <c r="L184" t="n">
        <v>0</v>
      </c>
      <c r="M184" t="n">
        <v>0</v>
      </c>
      <c r="N184" t="n">
        <v>0</v>
      </c>
      <c r="O184" t="n">
        <v>0</v>
      </c>
      <c r="P184" t="n">
        <v>0</v>
      </c>
      <c r="Q184" t="n">
        <v>0</v>
      </c>
      <c r="R184" s="2" t="inlineStr"/>
    </row>
    <row r="185" ht="15" customHeight="1">
      <c r="A185" t="inlineStr">
        <is>
          <t>A 55745-2023</t>
        </is>
      </c>
      <c r="B185" s="1" t="n">
        <v>45239.44811342593</v>
      </c>
      <c r="C185" s="1" t="n">
        <v>46188</v>
      </c>
      <c r="D185" t="inlineStr">
        <is>
          <t>ÖREBRO LÄN</t>
        </is>
      </c>
      <c r="E185" t="inlineStr">
        <is>
          <t>ÖREBRO</t>
        </is>
      </c>
      <c r="G185" t="n">
        <v>13.3</v>
      </c>
      <c r="H185" t="n">
        <v>0</v>
      </c>
      <c r="I185" t="n">
        <v>0</v>
      </c>
      <c r="J185" t="n">
        <v>0</v>
      </c>
      <c r="K185" t="n">
        <v>0</v>
      </c>
      <c r="L185" t="n">
        <v>0</v>
      </c>
      <c r="M185" t="n">
        <v>0</v>
      </c>
      <c r="N185" t="n">
        <v>0</v>
      </c>
      <c r="O185" t="n">
        <v>0</v>
      </c>
      <c r="P185" t="n">
        <v>0</v>
      </c>
      <c r="Q185" t="n">
        <v>0</v>
      </c>
      <c r="R185" s="2" t="inlineStr"/>
    </row>
    <row r="186" ht="15" customHeight="1">
      <c r="A186" t="inlineStr">
        <is>
          <t>A 44875-2025</t>
        </is>
      </c>
      <c r="B186" s="1" t="n">
        <v>45918.47043981482</v>
      </c>
      <c r="C186" s="1" t="n">
        <v>46188</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26443-2024</t>
        </is>
      </c>
      <c r="B187" s="1" t="n">
        <v>45469.49901620371</v>
      </c>
      <c r="C187" s="1" t="n">
        <v>46188</v>
      </c>
      <c r="D187" t="inlineStr">
        <is>
          <t>ÖREBRO LÄN</t>
        </is>
      </c>
      <c r="E187" t="inlineStr">
        <is>
          <t>ÖREBRO</t>
        </is>
      </c>
      <c r="G187" t="n">
        <v>5.7</v>
      </c>
      <c r="H187" t="n">
        <v>0</v>
      </c>
      <c r="I187" t="n">
        <v>0</v>
      </c>
      <c r="J187" t="n">
        <v>0</v>
      </c>
      <c r="K187" t="n">
        <v>0</v>
      </c>
      <c r="L187" t="n">
        <v>0</v>
      </c>
      <c r="M187" t="n">
        <v>0</v>
      </c>
      <c r="N187" t="n">
        <v>0</v>
      </c>
      <c r="O187" t="n">
        <v>0</v>
      </c>
      <c r="P187" t="n">
        <v>0</v>
      </c>
      <c r="Q187" t="n">
        <v>0</v>
      </c>
      <c r="R187" s="2" t="inlineStr"/>
    </row>
    <row r="188" ht="15" customHeight="1">
      <c r="A188" t="inlineStr">
        <is>
          <t>A 5136-2024</t>
        </is>
      </c>
      <c r="B188" s="1" t="n">
        <v>45330</v>
      </c>
      <c r="C188" s="1" t="n">
        <v>46188</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38573-2023</t>
        </is>
      </c>
      <c r="B189" s="1" t="n">
        <v>45162.61837962963</v>
      </c>
      <c r="C189" s="1" t="n">
        <v>46188</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58835-2025</t>
        </is>
      </c>
      <c r="B190" s="1" t="n">
        <v>45987.35519675926</v>
      </c>
      <c r="C190" s="1" t="n">
        <v>46188</v>
      </c>
      <c r="D190" t="inlineStr">
        <is>
          <t>ÖREBRO LÄN</t>
        </is>
      </c>
      <c r="E190" t="inlineStr">
        <is>
          <t>ÖREBRO</t>
        </is>
      </c>
      <c r="G190" t="n">
        <v>2.1</v>
      </c>
      <c r="H190" t="n">
        <v>0</v>
      </c>
      <c r="I190" t="n">
        <v>0</v>
      </c>
      <c r="J190" t="n">
        <v>0</v>
      </c>
      <c r="K190" t="n">
        <v>0</v>
      </c>
      <c r="L190" t="n">
        <v>0</v>
      </c>
      <c r="M190" t="n">
        <v>0</v>
      </c>
      <c r="N190" t="n">
        <v>0</v>
      </c>
      <c r="O190" t="n">
        <v>0</v>
      </c>
      <c r="P190" t="n">
        <v>0</v>
      </c>
      <c r="Q190" t="n">
        <v>0</v>
      </c>
      <c r="R190" s="2" t="inlineStr"/>
    </row>
    <row r="191" ht="15" customHeight="1">
      <c r="A191" t="inlineStr">
        <is>
          <t>A 35477-2024</t>
        </is>
      </c>
      <c r="B191" s="1" t="n">
        <v>45531</v>
      </c>
      <c r="C191" s="1" t="n">
        <v>46188</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58587-2025</t>
        </is>
      </c>
      <c r="B192" s="1" t="n">
        <v>45986.40208333333</v>
      </c>
      <c r="C192" s="1" t="n">
        <v>46188</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13856-2022</t>
        </is>
      </c>
      <c r="B193" s="1" t="n">
        <v>44649.6965162037</v>
      </c>
      <c r="C193" s="1" t="n">
        <v>46188</v>
      </c>
      <c r="D193" t="inlineStr">
        <is>
          <t>ÖREBRO LÄN</t>
        </is>
      </c>
      <c r="E193" t="inlineStr">
        <is>
          <t>ÖREBRO</t>
        </is>
      </c>
      <c r="G193" t="n">
        <v>1.8</v>
      </c>
      <c r="H193" t="n">
        <v>0</v>
      </c>
      <c r="I193" t="n">
        <v>0</v>
      </c>
      <c r="J193" t="n">
        <v>0</v>
      </c>
      <c r="K193" t="n">
        <v>0</v>
      </c>
      <c r="L193" t="n">
        <v>0</v>
      </c>
      <c r="M193" t="n">
        <v>0</v>
      </c>
      <c r="N193" t="n">
        <v>0</v>
      </c>
      <c r="O193" t="n">
        <v>0</v>
      </c>
      <c r="P193" t="n">
        <v>0</v>
      </c>
      <c r="Q193" t="n">
        <v>0</v>
      </c>
      <c r="R193" s="2" t="inlineStr"/>
    </row>
    <row r="194" ht="15" customHeight="1">
      <c r="A194" t="inlineStr">
        <is>
          <t>A 59312-2025</t>
        </is>
      </c>
      <c r="B194" s="1" t="n">
        <v>45989.30467592592</v>
      </c>
      <c r="C194" s="1" t="n">
        <v>46188</v>
      </c>
      <c r="D194" t="inlineStr">
        <is>
          <t>ÖREBRO LÄN</t>
        </is>
      </c>
      <c r="E194" t="inlineStr">
        <is>
          <t>ÖREBRO</t>
        </is>
      </c>
      <c r="G194" t="n">
        <v>1.4</v>
      </c>
      <c r="H194" t="n">
        <v>0</v>
      </c>
      <c r="I194" t="n">
        <v>0</v>
      </c>
      <c r="J194" t="n">
        <v>0</v>
      </c>
      <c r="K194" t="n">
        <v>0</v>
      </c>
      <c r="L194" t="n">
        <v>0</v>
      </c>
      <c r="M194" t="n">
        <v>0</v>
      </c>
      <c r="N194" t="n">
        <v>0</v>
      </c>
      <c r="O194" t="n">
        <v>0</v>
      </c>
      <c r="P194" t="n">
        <v>0</v>
      </c>
      <c r="Q194" t="n">
        <v>0</v>
      </c>
      <c r="R194" s="2" t="inlineStr"/>
    </row>
    <row r="195" ht="15" customHeight="1">
      <c r="A195" t="inlineStr">
        <is>
          <t>A 52256-2023</t>
        </is>
      </c>
      <c r="B195" s="1" t="n">
        <v>45224.51471064815</v>
      </c>
      <c r="C195" s="1" t="n">
        <v>46188</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60289-2023</t>
        </is>
      </c>
      <c r="B196" s="1" t="n">
        <v>45257</v>
      </c>
      <c r="C196" s="1" t="n">
        <v>46188</v>
      </c>
      <c r="D196" t="inlineStr">
        <is>
          <t>ÖREBRO LÄN</t>
        </is>
      </c>
      <c r="E196" t="inlineStr">
        <is>
          <t>ÖREBRO</t>
        </is>
      </c>
      <c r="G196" t="n">
        <v>10.9</v>
      </c>
      <c r="H196" t="n">
        <v>0</v>
      </c>
      <c r="I196" t="n">
        <v>0</v>
      </c>
      <c r="J196" t="n">
        <v>0</v>
      </c>
      <c r="K196" t="n">
        <v>0</v>
      </c>
      <c r="L196" t="n">
        <v>0</v>
      </c>
      <c r="M196" t="n">
        <v>0</v>
      </c>
      <c r="N196" t="n">
        <v>0</v>
      </c>
      <c r="O196" t="n">
        <v>0</v>
      </c>
      <c r="P196" t="n">
        <v>0</v>
      </c>
      <c r="Q196" t="n">
        <v>0</v>
      </c>
      <c r="R196" s="2" t="inlineStr"/>
    </row>
    <row r="197" ht="15" customHeight="1">
      <c r="A197" t="inlineStr">
        <is>
          <t>A 12017-2024</t>
        </is>
      </c>
      <c r="B197" s="1" t="n">
        <v>45377</v>
      </c>
      <c r="C197" s="1" t="n">
        <v>46188</v>
      </c>
      <c r="D197" t="inlineStr">
        <is>
          <t>ÖREBRO LÄN</t>
        </is>
      </c>
      <c r="E197" t="inlineStr">
        <is>
          <t>ÖREBRO</t>
        </is>
      </c>
      <c r="G197" t="n">
        <v>1.8</v>
      </c>
      <c r="H197" t="n">
        <v>0</v>
      </c>
      <c r="I197" t="n">
        <v>0</v>
      </c>
      <c r="J197" t="n">
        <v>0</v>
      </c>
      <c r="K197" t="n">
        <v>0</v>
      </c>
      <c r="L197" t="n">
        <v>0</v>
      </c>
      <c r="M197" t="n">
        <v>0</v>
      </c>
      <c r="N197" t="n">
        <v>0</v>
      </c>
      <c r="O197" t="n">
        <v>0</v>
      </c>
      <c r="P197" t="n">
        <v>0</v>
      </c>
      <c r="Q197" t="n">
        <v>0</v>
      </c>
      <c r="R197" s="2" t="inlineStr"/>
    </row>
    <row r="198" ht="15" customHeight="1">
      <c r="A198" t="inlineStr">
        <is>
          <t>A 54678-2023</t>
        </is>
      </c>
      <c r="B198" s="1" t="n">
        <v>45235</v>
      </c>
      <c r="C198" s="1" t="n">
        <v>46188</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59857-2025</t>
        </is>
      </c>
      <c r="B199" s="1" t="n">
        <v>45992.75820601852</v>
      </c>
      <c r="C199" s="1" t="n">
        <v>46188</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59938-2025</t>
        </is>
      </c>
      <c r="B200" s="1" t="n">
        <v>45993.42108796296</v>
      </c>
      <c r="C200" s="1" t="n">
        <v>46188</v>
      </c>
      <c r="D200" t="inlineStr">
        <is>
          <t>ÖREBRO LÄN</t>
        </is>
      </c>
      <c r="E200" t="inlineStr">
        <is>
          <t>ÖREBRO</t>
        </is>
      </c>
      <c r="G200" t="n">
        <v>1.5</v>
      </c>
      <c r="H200" t="n">
        <v>0</v>
      </c>
      <c r="I200" t="n">
        <v>0</v>
      </c>
      <c r="J200" t="n">
        <v>0</v>
      </c>
      <c r="K200" t="n">
        <v>0</v>
      </c>
      <c r="L200" t="n">
        <v>0</v>
      </c>
      <c r="M200" t="n">
        <v>0</v>
      </c>
      <c r="N200" t="n">
        <v>0</v>
      </c>
      <c r="O200" t="n">
        <v>0</v>
      </c>
      <c r="P200" t="n">
        <v>0</v>
      </c>
      <c r="Q200" t="n">
        <v>0</v>
      </c>
      <c r="R200" s="2" t="inlineStr"/>
    </row>
    <row r="201" ht="15" customHeight="1">
      <c r="A201" t="inlineStr">
        <is>
          <t>A 59856-2025</t>
        </is>
      </c>
      <c r="B201" s="1" t="n">
        <v>45992.74891203704</v>
      </c>
      <c r="C201" s="1" t="n">
        <v>46188</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59860-2025</t>
        </is>
      </c>
      <c r="B202" s="1" t="n">
        <v>45992.78351851852</v>
      </c>
      <c r="C202" s="1" t="n">
        <v>46188</v>
      </c>
      <c r="D202" t="inlineStr">
        <is>
          <t>ÖREBRO LÄN</t>
        </is>
      </c>
      <c r="E202" t="inlineStr">
        <is>
          <t>ÖREBRO</t>
        </is>
      </c>
      <c r="G202" t="n">
        <v>0.8</v>
      </c>
      <c r="H202" t="n">
        <v>0</v>
      </c>
      <c r="I202" t="n">
        <v>0</v>
      </c>
      <c r="J202" t="n">
        <v>0</v>
      </c>
      <c r="K202" t="n">
        <v>0</v>
      </c>
      <c r="L202" t="n">
        <v>0</v>
      </c>
      <c r="M202" t="n">
        <v>0</v>
      </c>
      <c r="N202" t="n">
        <v>0</v>
      </c>
      <c r="O202" t="n">
        <v>0</v>
      </c>
      <c r="P202" t="n">
        <v>0</v>
      </c>
      <c r="Q202" t="n">
        <v>0</v>
      </c>
      <c r="R202" s="2" t="inlineStr"/>
    </row>
    <row r="203" ht="15" customHeight="1">
      <c r="A203" t="inlineStr">
        <is>
          <t>A 59858-2025</t>
        </is>
      </c>
      <c r="B203" s="1" t="n">
        <v>45992.76758101852</v>
      </c>
      <c r="C203" s="1" t="n">
        <v>46188</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59859-2025</t>
        </is>
      </c>
      <c r="B204" s="1" t="n">
        <v>45992.7803125</v>
      </c>
      <c r="C204" s="1" t="n">
        <v>46188</v>
      </c>
      <c r="D204" t="inlineStr">
        <is>
          <t>ÖREBRO LÄN</t>
        </is>
      </c>
      <c r="E204" t="inlineStr">
        <is>
          <t>ÖREBRO</t>
        </is>
      </c>
      <c r="G204" t="n">
        <v>0.4</v>
      </c>
      <c r="H204" t="n">
        <v>0</v>
      </c>
      <c r="I204" t="n">
        <v>0</v>
      </c>
      <c r="J204" t="n">
        <v>0</v>
      </c>
      <c r="K204" t="n">
        <v>0</v>
      </c>
      <c r="L204" t="n">
        <v>0</v>
      </c>
      <c r="M204" t="n">
        <v>0</v>
      </c>
      <c r="N204" t="n">
        <v>0</v>
      </c>
      <c r="O204" t="n">
        <v>0</v>
      </c>
      <c r="P204" t="n">
        <v>0</v>
      </c>
      <c r="Q204" t="n">
        <v>0</v>
      </c>
      <c r="R204" s="2" t="inlineStr"/>
    </row>
    <row r="205" ht="15" customHeight="1">
      <c r="A205" t="inlineStr">
        <is>
          <t>A 59937-2025</t>
        </is>
      </c>
      <c r="B205" s="1" t="n">
        <v>45993.41934027777</v>
      </c>
      <c r="C205" s="1" t="n">
        <v>46188</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190-2024</t>
        </is>
      </c>
      <c r="B206" s="1" t="n">
        <v>45294.61858796296</v>
      </c>
      <c r="C206" s="1" t="n">
        <v>46188</v>
      </c>
      <c r="D206" t="inlineStr">
        <is>
          <t>ÖREBRO LÄN</t>
        </is>
      </c>
      <c r="E206" t="inlineStr">
        <is>
          <t>ÖREBRO</t>
        </is>
      </c>
      <c r="G206" t="n">
        <v>2.4</v>
      </c>
      <c r="H206" t="n">
        <v>0</v>
      </c>
      <c r="I206" t="n">
        <v>0</v>
      </c>
      <c r="J206" t="n">
        <v>0</v>
      </c>
      <c r="K206" t="n">
        <v>0</v>
      </c>
      <c r="L206" t="n">
        <v>0</v>
      </c>
      <c r="M206" t="n">
        <v>0</v>
      </c>
      <c r="N206" t="n">
        <v>0</v>
      </c>
      <c r="O206" t="n">
        <v>0</v>
      </c>
      <c r="P206" t="n">
        <v>0</v>
      </c>
      <c r="Q206" t="n">
        <v>0</v>
      </c>
      <c r="R206" s="2" t="inlineStr"/>
    </row>
    <row r="207" ht="15" customHeight="1">
      <c r="A207" t="inlineStr">
        <is>
          <t>A 60551-2025</t>
        </is>
      </c>
      <c r="B207" s="1" t="n">
        <v>45995</v>
      </c>
      <c r="C207" s="1" t="n">
        <v>46188</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60555-2025</t>
        </is>
      </c>
      <c r="B208" s="1" t="n">
        <v>45995.73722222223</v>
      </c>
      <c r="C208" s="1" t="n">
        <v>46188</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44511-2023</t>
        </is>
      </c>
      <c r="B209" s="1" t="n">
        <v>45189</v>
      </c>
      <c r="C209" s="1" t="n">
        <v>46188</v>
      </c>
      <c r="D209" t="inlineStr">
        <is>
          <t>ÖREBRO LÄN</t>
        </is>
      </c>
      <c r="E209" t="inlineStr">
        <is>
          <t>ÖREBRO</t>
        </is>
      </c>
      <c r="F209" t="inlineStr">
        <is>
          <t>Allmännings- och besparingsskogar</t>
        </is>
      </c>
      <c r="G209" t="n">
        <v>2.7</v>
      </c>
      <c r="H209" t="n">
        <v>0</v>
      </c>
      <c r="I209" t="n">
        <v>0</v>
      </c>
      <c r="J209" t="n">
        <v>0</v>
      </c>
      <c r="K209" t="n">
        <v>0</v>
      </c>
      <c r="L209" t="n">
        <v>0</v>
      </c>
      <c r="M209" t="n">
        <v>0</v>
      </c>
      <c r="N209" t="n">
        <v>0</v>
      </c>
      <c r="O209" t="n">
        <v>0</v>
      </c>
      <c r="P209" t="n">
        <v>0</v>
      </c>
      <c r="Q209" t="n">
        <v>0</v>
      </c>
      <c r="R209" s="2" t="inlineStr"/>
    </row>
    <row r="210" ht="15" customHeight="1">
      <c r="A210" t="inlineStr">
        <is>
          <t>A 60720-2025</t>
        </is>
      </c>
      <c r="B210" s="1" t="n">
        <v>45996.64050925926</v>
      </c>
      <c r="C210" s="1" t="n">
        <v>46188</v>
      </c>
      <c r="D210" t="inlineStr">
        <is>
          <t>ÖREBRO LÄN</t>
        </is>
      </c>
      <c r="E210" t="inlineStr">
        <is>
          <t>ÖREBRO</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60717-2025</t>
        </is>
      </c>
      <c r="B211" s="1" t="n">
        <v>45996.63673611111</v>
      </c>
      <c r="C211" s="1" t="n">
        <v>46188</v>
      </c>
      <c r="D211" t="inlineStr">
        <is>
          <t>ÖREBRO LÄN</t>
        </is>
      </c>
      <c r="E211" t="inlineStr">
        <is>
          <t>ÖREBRO</t>
        </is>
      </c>
      <c r="F211" t="inlineStr">
        <is>
          <t>Sveaskog</t>
        </is>
      </c>
      <c r="G211" t="n">
        <v>0.5</v>
      </c>
      <c r="H211" t="n">
        <v>0</v>
      </c>
      <c r="I211" t="n">
        <v>0</v>
      </c>
      <c r="J211" t="n">
        <v>0</v>
      </c>
      <c r="K211" t="n">
        <v>0</v>
      </c>
      <c r="L211" t="n">
        <v>0</v>
      </c>
      <c r="M211" t="n">
        <v>0</v>
      </c>
      <c r="N211" t="n">
        <v>0</v>
      </c>
      <c r="O211" t="n">
        <v>0</v>
      </c>
      <c r="P211" t="n">
        <v>0</v>
      </c>
      <c r="Q211" t="n">
        <v>0</v>
      </c>
      <c r="R211" s="2" t="inlineStr"/>
    </row>
    <row r="212" ht="15" customHeight="1">
      <c r="A212" t="inlineStr">
        <is>
          <t>A 60718-2025</t>
        </is>
      </c>
      <c r="B212" s="1" t="n">
        <v>45996.6384375</v>
      </c>
      <c r="C212" s="1" t="n">
        <v>46188</v>
      </c>
      <c r="D212" t="inlineStr">
        <is>
          <t>ÖREBRO LÄN</t>
        </is>
      </c>
      <c r="E212" t="inlineStr">
        <is>
          <t>ÖREBRO</t>
        </is>
      </c>
      <c r="F212" t="inlineStr">
        <is>
          <t>Sveaskog</t>
        </is>
      </c>
      <c r="G212" t="n">
        <v>5.3</v>
      </c>
      <c r="H212" t="n">
        <v>0</v>
      </c>
      <c r="I212" t="n">
        <v>0</v>
      </c>
      <c r="J212" t="n">
        <v>0</v>
      </c>
      <c r="K212" t="n">
        <v>0</v>
      </c>
      <c r="L212" t="n">
        <v>0</v>
      </c>
      <c r="M212" t="n">
        <v>0</v>
      </c>
      <c r="N212" t="n">
        <v>0</v>
      </c>
      <c r="O212" t="n">
        <v>0</v>
      </c>
      <c r="P212" t="n">
        <v>0</v>
      </c>
      <c r="Q212" t="n">
        <v>0</v>
      </c>
      <c r="R212" s="2" t="inlineStr"/>
    </row>
    <row r="213" ht="15" customHeight="1">
      <c r="A213" t="inlineStr">
        <is>
          <t>A 61525-2025</t>
        </is>
      </c>
      <c r="B213" s="1" t="n">
        <v>46001</v>
      </c>
      <c r="C213" s="1" t="n">
        <v>46188</v>
      </c>
      <c r="D213" t="inlineStr">
        <is>
          <t>ÖREBRO LÄN</t>
        </is>
      </c>
      <c r="E213" t="inlineStr">
        <is>
          <t>ÖREBRO</t>
        </is>
      </c>
      <c r="G213" t="n">
        <v>2.6</v>
      </c>
      <c r="H213" t="n">
        <v>0</v>
      </c>
      <c r="I213" t="n">
        <v>0</v>
      </c>
      <c r="J213" t="n">
        <v>0</v>
      </c>
      <c r="K213" t="n">
        <v>0</v>
      </c>
      <c r="L213" t="n">
        <v>0</v>
      </c>
      <c r="M213" t="n">
        <v>0</v>
      </c>
      <c r="N213" t="n">
        <v>0</v>
      </c>
      <c r="O213" t="n">
        <v>0</v>
      </c>
      <c r="P213" t="n">
        <v>0</v>
      </c>
      <c r="Q213" t="n">
        <v>0</v>
      </c>
      <c r="R213" s="2" t="inlineStr"/>
    </row>
    <row r="214" ht="15" customHeight="1">
      <c r="A214" t="inlineStr">
        <is>
          <t>A 52447-2024</t>
        </is>
      </c>
      <c r="B214" s="1" t="n">
        <v>45609.49157407408</v>
      </c>
      <c r="C214" s="1" t="n">
        <v>46188</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43803-2023</t>
        </is>
      </c>
      <c r="B215" s="1" t="n">
        <v>45187</v>
      </c>
      <c r="C215" s="1" t="n">
        <v>46188</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55943-2024</t>
        </is>
      </c>
      <c r="B216" s="1" t="n">
        <v>45623.61278935185</v>
      </c>
      <c r="C216" s="1" t="n">
        <v>46188</v>
      </c>
      <c r="D216" t="inlineStr">
        <is>
          <t>ÖREBRO LÄN</t>
        </is>
      </c>
      <c r="E216" t="inlineStr">
        <is>
          <t>ÖREBRO</t>
        </is>
      </c>
      <c r="G216" t="n">
        <v>4.8</v>
      </c>
      <c r="H216" t="n">
        <v>0</v>
      </c>
      <c r="I216" t="n">
        <v>0</v>
      </c>
      <c r="J216" t="n">
        <v>0</v>
      </c>
      <c r="K216" t="n">
        <v>0</v>
      </c>
      <c r="L216" t="n">
        <v>0</v>
      </c>
      <c r="M216" t="n">
        <v>0</v>
      </c>
      <c r="N216" t="n">
        <v>0</v>
      </c>
      <c r="O216" t="n">
        <v>0</v>
      </c>
      <c r="P216" t="n">
        <v>0</v>
      </c>
      <c r="Q216" t="n">
        <v>0</v>
      </c>
      <c r="R216" s="2" t="inlineStr"/>
    </row>
    <row r="217" ht="15" customHeight="1">
      <c r="A217" t="inlineStr">
        <is>
          <t>A 61930-2025</t>
        </is>
      </c>
      <c r="B217" s="1" t="n">
        <v>46003</v>
      </c>
      <c r="C217" s="1" t="n">
        <v>46188</v>
      </c>
      <c r="D217" t="inlineStr">
        <is>
          <t>ÖREBRO LÄN</t>
        </is>
      </c>
      <c r="E217" t="inlineStr">
        <is>
          <t>ÖREBRO</t>
        </is>
      </c>
      <c r="G217" t="n">
        <v>2.3</v>
      </c>
      <c r="H217" t="n">
        <v>0</v>
      </c>
      <c r="I217" t="n">
        <v>0</v>
      </c>
      <c r="J217" t="n">
        <v>0</v>
      </c>
      <c r="K217" t="n">
        <v>0</v>
      </c>
      <c r="L217" t="n">
        <v>0</v>
      </c>
      <c r="M217" t="n">
        <v>0</v>
      </c>
      <c r="N217" t="n">
        <v>0</v>
      </c>
      <c r="O217" t="n">
        <v>0</v>
      </c>
      <c r="P217" t="n">
        <v>0</v>
      </c>
      <c r="Q217" t="n">
        <v>0</v>
      </c>
      <c r="R217" s="2" t="inlineStr"/>
    </row>
    <row r="218" ht="15" customHeight="1">
      <c r="A218" t="inlineStr">
        <is>
          <t>A 62683-2025</t>
        </is>
      </c>
      <c r="B218" s="1" t="n">
        <v>46008.45796296297</v>
      </c>
      <c r="C218" s="1" t="n">
        <v>46188</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55003-2025</t>
        </is>
      </c>
      <c r="B219" s="1" t="n">
        <v>45967</v>
      </c>
      <c r="C219" s="1" t="n">
        <v>46188</v>
      </c>
      <c r="D219" t="inlineStr">
        <is>
          <t>ÖREBRO LÄN</t>
        </is>
      </c>
      <c r="E219" t="inlineStr">
        <is>
          <t>ÖREBRO</t>
        </is>
      </c>
      <c r="F219" t="inlineStr">
        <is>
          <t>Övriga Aktiebolag</t>
        </is>
      </c>
      <c r="G219" t="n">
        <v>1.9</v>
      </c>
      <c r="H219" t="n">
        <v>0</v>
      </c>
      <c r="I219" t="n">
        <v>0</v>
      </c>
      <c r="J219" t="n">
        <v>0</v>
      </c>
      <c r="K219" t="n">
        <v>0</v>
      </c>
      <c r="L219" t="n">
        <v>0</v>
      </c>
      <c r="M219" t="n">
        <v>0</v>
      </c>
      <c r="N219" t="n">
        <v>0</v>
      </c>
      <c r="O219" t="n">
        <v>0</v>
      </c>
      <c r="P219" t="n">
        <v>0</v>
      </c>
      <c r="Q219" t="n">
        <v>0</v>
      </c>
      <c r="R219" s="2" t="inlineStr"/>
    </row>
    <row r="220" ht="15" customHeight="1">
      <c r="A220" t="inlineStr">
        <is>
          <t>A 5406-2025</t>
        </is>
      </c>
      <c r="B220" s="1" t="n">
        <v>45692.64821759259</v>
      </c>
      <c r="C220" s="1" t="n">
        <v>46188</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6794-2025</t>
        </is>
      </c>
      <c r="B221" s="1" t="n">
        <v>45700.66429398148</v>
      </c>
      <c r="C221" s="1" t="n">
        <v>46188</v>
      </c>
      <c r="D221" t="inlineStr">
        <is>
          <t>ÖREBRO LÄN</t>
        </is>
      </c>
      <c r="E221" t="inlineStr">
        <is>
          <t>ÖREBRO</t>
        </is>
      </c>
      <c r="G221" t="n">
        <v>1</v>
      </c>
      <c r="H221" t="n">
        <v>0</v>
      </c>
      <c r="I221" t="n">
        <v>0</v>
      </c>
      <c r="J221" t="n">
        <v>0</v>
      </c>
      <c r="K221" t="n">
        <v>0</v>
      </c>
      <c r="L221" t="n">
        <v>0</v>
      </c>
      <c r="M221" t="n">
        <v>0</v>
      </c>
      <c r="N221" t="n">
        <v>0</v>
      </c>
      <c r="O221" t="n">
        <v>0</v>
      </c>
      <c r="P221" t="n">
        <v>0</v>
      </c>
      <c r="Q221" t="n">
        <v>0</v>
      </c>
      <c r="R221" s="2" t="inlineStr"/>
    </row>
    <row r="222" ht="15" customHeight="1">
      <c r="A222" t="inlineStr">
        <is>
          <t>A 2596-2022</t>
        </is>
      </c>
      <c r="B222" s="1" t="n">
        <v>44580</v>
      </c>
      <c r="C222" s="1" t="n">
        <v>46188</v>
      </c>
      <c r="D222" t="inlineStr">
        <is>
          <t>ÖREBRO LÄN</t>
        </is>
      </c>
      <c r="E222" t="inlineStr">
        <is>
          <t>ÖREBRO</t>
        </is>
      </c>
      <c r="G222" t="n">
        <v>4.3</v>
      </c>
      <c r="H222" t="n">
        <v>0</v>
      </c>
      <c r="I222" t="n">
        <v>0</v>
      </c>
      <c r="J222" t="n">
        <v>0</v>
      </c>
      <c r="K222" t="n">
        <v>0</v>
      </c>
      <c r="L222" t="n">
        <v>0</v>
      </c>
      <c r="M222" t="n">
        <v>0</v>
      </c>
      <c r="N222" t="n">
        <v>0</v>
      </c>
      <c r="O222" t="n">
        <v>0</v>
      </c>
      <c r="P222" t="n">
        <v>0</v>
      </c>
      <c r="Q222" t="n">
        <v>0</v>
      </c>
      <c r="R222" s="2" t="inlineStr"/>
    </row>
    <row r="223" ht="15" customHeight="1">
      <c r="A223" t="inlineStr">
        <is>
          <t>A 13857-2022</t>
        </is>
      </c>
      <c r="B223" s="1" t="n">
        <v>44649</v>
      </c>
      <c r="C223" s="1" t="n">
        <v>46188</v>
      </c>
      <c r="D223" t="inlineStr">
        <is>
          <t>ÖREBRO LÄN</t>
        </is>
      </c>
      <c r="E223" t="inlineStr">
        <is>
          <t>ÖREBRO</t>
        </is>
      </c>
      <c r="G223" t="n">
        <v>0.6</v>
      </c>
      <c r="H223" t="n">
        <v>0</v>
      </c>
      <c r="I223" t="n">
        <v>0</v>
      </c>
      <c r="J223" t="n">
        <v>0</v>
      </c>
      <c r="K223" t="n">
        <v>0</v>
      </c>
      <c r="L223" t="n">
        <v>0</v>
      </c>
      <c r="M223" t="n">
        <v>0</v>
      </c>
      <c r="N223" t="n">
        <v>0</v>
      </c>
      <c r="O223" t="n">
        <v>0</v>
      </c>
      <c r="P223" t="n">
        <v>0</v>
      </c>
      <c r="Q223" t="n">
        <v>0</v>
      </c>
      <c r="R223" s="2" t="inlineStr"/>
    </row>
    <row r="224" ht="15" customHeight="1">
      <c r="A224" t="inlineStr">
        <is>
          <t>A 55692-2023</t>
        </is>
      </c>
      <c r="B224" s="1" t="n">
        <v>45239</v>
      </c>
      <c r="C224" s="1" t="n">
        <v>46188</v>
      </c>
      <c r="D224" t="inlineStr">
        <is>
          <t>ÖREBRO LÄN</t>
        </is>
      </c>
      <c r="E224" t="inlineStr">
        <is>
          <t>ÖREBRO</t>
        </is>
      </c>
      <c r="F224" t="inlineStr">
        <is>
          <t>Övriga Aktiebolag</t>
        </is>
      </c>
      <c r="G224" t="n">
        <v>0.4</v>
      </c>
      <c r="H224" t="n">
        <v>0</v>
      </c>
      <c r="I224" t="n">
        <v>0</v>
      </c>
      <c r="J224" t="n">
        <v>0</v>
      </c>
      <c r="K224" t="n">
        <v>0</v>
      </c>
      <c r="L224" t="n">
        <v>0</v>
      </c>
      <c r="M224" t="n">
        <v>0</v>
      </c>
      <c r="N224" t="n">
        <v>0</v>
      </c>
      <c r="O224" t="n">
        <v>0</v>
      </c>
      <c r="P224" t="n">
        <v>0</v>
      </c>
      <c r="Q224" t="n">
        <v>0</v>
      </c>
      <c r="R224" s="2" t="inlineStr"/>
    </row>
    <row r="225" ht="15" customHeight="1">
      <c r="A225" t="inlineStr">
        <is>
          <t>A 16258-2022</t>
        </is>
      </c>
      <c r="B225" s="1" t="n">
        <v>44670</v>
      </c>
      <c r="C225" s="1" t="n">
        <v>46188</v>
      </c>
      <c r="D225" t="inlineStr">
        <is>
          <t>ÖREBRO LÄN</t>
        </is>
      </c>
      <c r="E225" t="inlineStr">
        <is>
          <t>ÖREBRO</t>
        </is>
      </c>
      <c r="G225" t="n">
        <v>0.6</v>
      </c>
      <c r="H225" t="n">
        <v>0</v>
      </c>
      <c r="I225" t="n">
        <v>0</v>
      </c>
      <c r="J225" t="n">
        <v>0</v>
      </c>
      <c r="K225" t="n">
        <v>0</v>
      </c>
      <c r="L225" t="n">
        <v>0</v>
      </c>
      <c r="M225" t="n">
        <v>0</v>
      </c>
      <c r="N225" t="n">
        <v>0</v>
      </c>
      <c r="O225" t="n">
        <v>0</v>
      </c>
      <c r="P225" t="n">
        <v>0</v>
      </c>
      <c r="Q225" t="n">
        <v>0</v>
      </c>
      <c r="R225" s="2" t="inlineStr"/>
    </row>
    <row r="226" ht="15" customHeight="1">
      <c r="A226" t="inlineStr">
        <is>
          <t>A 63657-2025</t>
        </is>
      </c>
      <c r="B226" s="1" t="n">
        <v>46014.44479166667</v>
      </c>
      <c r="C226" s="1" t="n">
        <v>46188</v>
      </c>
      <c r="D226" t="inlineStr">
        <is>
          <t>ÖREBRO LÄN</t>
        </is>
      </c>
      <c r="E226" t="inlineStr">
        <is>
          <t>ÖREBRO</t>
        </is>
      </c>
      <c r="F226" t="inlineStr">
        <is>
          <t>Allmännings- och besparingsskogar</t>
        </is>
      </c>
      <c r="G226" t="n">
        <v>3.9</v>
      </c>
      <c r="H226" t="n">
        <v>0</v>
      </c>
      <c r="I226" t="n">
        <v>0</v>
      </c>
      <c r="J226" t="n">
        <v>0</v>
      </c>
      <c r="K226" t="n">
        <v>0</v>
      </c>
      <c r="L226" t="n">
        <v>0</v>
      </c>
      <c r="M226" t="n">
        <v>0</v>
      </c>
      <c r="N226" t="n">
        <v>0</v>
      </c>
      <c r="O226" t="n">
        <v>0</v>
      </c>
      <c r="P226" t="n">
        <v>0</v>
      </c>
      <c r="Q226" t="n">
        <v>0</v>
      </c>
      <c r="R226" s="2" t="inlineStr"/>
    </row>
    <row r="227" ht="15" customHeight="1">
      <c r="A227" t="inlineStr">
        <is>
          <t>A 63666-2025</t>
        </is>
      </c>
      <c r="B227" s="1" t="n">
        <v>46014.45650462963</v>
      </c>
      <c r="C227" s="1" t="n">
        <v>46188</v>
      </c>
      <c r="D227" t="inlineStr">
        <is>
          <t>ÖREBRO LÄN</t>
        </is>
      </c>
      <c r="E227" t="inlineStr">
        <is>
          <t>ÖREBRO</t>
        </is>
      </c>
      <c r="F227" t="inlineStr">
        <is>
          <t>Allmännings- och besparingsskogar</t>
        </is>
      </c>
      <c r="G227" t="n">
        <v>2.6</v>
      </c>
      <c r="H227" t="n">
        <v>0</v>
      </c>
      <c r="I227" t="n">
        <v>0</v>
      </c>
      <c r="J227" t="n">
        <v>0</v>
      </c>
      <c r="K227" t="n">
        <v>0</v>
      </c>
      <c r="L227" t="n">
        <v>0</v>
      </c>
      <c r="M227" t="n">
        <v>0</v>
      </c>
      <c r="N227" t="n">
        <v>0</v>
      </c>
      <c r="O227" t="n">
        <v>0</v>
      </c>
      <c r="P227" t="n">
        <v>0</v>
      </c>
      <c r="Q227" t="n">
        <v>0</v>
      </c>
      <c r="R227" s="2" t="inlineStr"/>
    </row>
    <row r="228" ht="15" customHeight="1">
      <c r="A228" t="inlineStr">
        <is>
          <t>A 63662-2025</t>
        </is>
      </c>
      <c r="B228" s="1" t="n">
        <v>46014.45055555556</v>
      </c>
      <c r="C228" s="1" t="n">
        <v>46188</v>
      </c>
      <c r="D228" t="inlineStr">
        <is>
          <t>ÖREBRO LÄN</t>
        </is>
      </c>
      <c r="E228" t="inlineStr">
        <is>
          <t>ÖREBRO</t>
        </is>
      </c>
      <c r="F228" t="inlineStr">
        <is>
          <t>Allmännings- och besparingsskogar</t>
        </is>
      </c>
      <c r="G228" t="n">
        <v>3.2</v>
      </c>
      <c r="H228" t="n">
        <v>0</v>
      </c>
      <c r="I228" t="n">
        <v>0</v>
      </c>
      <c r="J228" t="n">
        <v>0</v>
      </c>
      <c r="K228" t="n">
        <v>0</v>
      </c>
      <c r="L228" t="n">
        <v>0</v>
      </c>
      <c r="M228" t="n">
        <v>0</v>
      </c>
      <c r="N228" t="n">
        <v>0</v>
      </c>
      <c r="O228" t="n">
        <v>0</v>
      </c>
      <c r="P228" t="n">
        <v>0</v>
      </c>
      <c r="Q228" t="n">
        <v>0</v>
      </c>
      <c r="R228" s="2" t="inlineStr"/>
    </row>
    <row r="229" ht="15" customHeight="1">
      <c r="A229" t="inlineStr">
        <is>
          <t>A 15866-2022</t>
        </is>
      </c>
      <c r="B229" s="1" t="n">
        <v>44664</v>
      </c>
      <c r="C229" s="1" t="n">
        <v>46188</v>
      </c>
      <c r="D229" t="inlineStr">
        <is>
          <t>ÖREBRO LÄN</t>
        </is>
      </c>
      <c r="E229" t="inlineStr">
        <is>
          <t>ÖREBRO</t>
        </is>
      </c>
      <c r="G229" t="n">
        <v>4</v>
      </c>
      <c r="H229" t="n">
        <v>0</v>
      </c>
      <c r="I229" t="n">
        <v>0</v>
      </c>
      <c r="J229" t="n">
        <v>0</v>
      </c>
      <c r="K229" t="n">
        <v>0</v>
      </c>
      <c r="L229" t="n">
        <v>0</v>
      </c>
      <c r="M229" t="n">
        <v>0</v>
      </c>
      <c r="N229" t="n">
        <v>0</v>
      </c>
      <c r="O229" t="n">
        <v>0</v>
      </c>
      <c r="P229" t="n">
        <v>0</v>
      </c>
      <c r="Q229" t="n">
        <v>0</v>
      </c>
      <c r="R229" s="2" t="inlineStr"/>
    </row>
    <row r="230" ht="15" customHeight="1">
      <c r="A230" t="inlineStr">
        <is>
          <t>A 64019-2025</t>
        </is>
      </c>
      <c r="B230" s="1" t="n">
        <v>46021.45914351852</v>
      </c>
      <c r="C230" s="1" t="n">
        <v>46188</v>
      </c>
      <c r="D230" t="inlineStr">
        <is>
          <t>ÖREBRO LÄN</t>
        </is>
      </c>
      <c r="E230" t="inlineStr">
        <is>
          <t>ÖREBRO</t>
        </is>
      </c>
      <c r="G230" t="n">
        <v>2</v>
      </c>
      <c r="H230" t="n">
        <v>0</v>
      </c>
      <c r="I230" t="n">
        <v>0</v>
      </c>
      <c r="J230" t="n">
        <v>0</v>
      </c>
      <c r="K230" t="n">
        <v>0</v>
      </c>
      <c r="L230" t="n">
        <v>0</v>
      </c>
      <c r="M230" t="n">
        <v>0</v>
      </c>
      <c r="N230" t="n">
        <v>0</v>
      </c>
      <c r="O230" t="n">
        <v>0</v>
      </c>
      <c r="P230" t="n">
        <v>0</v>
      </c>
      <c r="Q230" t="n">
        <v>0</v>
      </c>
      <c r="R230" s="2" t="inlineStr"/>
    </row>
    <row r="231" ht="15" customHeight="1">
      <c r="A231" t="inlineStr">
        <is>
          <t>A 52018-2024</t>
        </is>
      </c>
      <c r="B231" s="1" t="n">
        <v>45607.82974537037</v>
      </c>
      <c r="C231" s="1" t="n">
        <v>46188</v>
      </c>
      <c r="D231" t="inlineStr">
        <is>
          <t>ÖREBRO LÄN</t>
        </is>
      </c>
      <c r="E231" t="inlineStr">
        <is>
          <t>ÖREBRO</t>
        </is>
      </c>
      <c r="G231" t="n">
        <v>4.3</v>
      </c>
      <c r="H231" t="n">
        <v>0</v>
      </c>
      <c r="I231" t="n">
        <v>0</v>
      </c>
      <c r="J231" t="n">
        <v>0</v>
      </c>
      <c r="K231" t="n">
        <v>0</v>
      </c>
      <c r="L231" t="n">
        <v>0</v>
      </c>
      <c r="M231" t="n">
        <v>0</v>
      </c>
      <c r="N231" t="n">
        <v>0</v>
      </c>
      <c r="O231" t="n">
        <v>0</v>
      </c>
      <c r="P231" t="n">
        <v>0</v>
      </c>
      <c r="Q231" t="n">
        <v>0</v>
      </c>
      <c r="R231" s="2" t="inlineStr"/>
    </row>
    <row r="232" ht="15" customHeight="1">
      <c r="A232" t="inlineStr">
        <is>
          <t>A 28054-2022</t>
        </is>
      </c>
      <c r="B232" s="1" t="n">
        <v>44746.41938657407</v>
      </c>
      <c r="C232" s="1" t="n">
        <v>46188</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34358-2022</t>
        </is>
      </c>
      <c r="B233" s="1" t="n">
        <v>44792.45494212963</v>
      </c>
      <c r="C233" s="1" t="n">
        <v>46188</v>
      </c>
      <c r="D233" t="inlineStr">
        <is>
          <t>ÖREBRO LÄN</t>
        </is>
      </c>
      <c r="E233" t="inlineStr">
        <is>
          <t>ÖREBRO</t>
        </is>
      </c>
      <c r="F233" t="inlineStr">
        <is>
          <t>Övriga Aktiebolag</t>
        </is>
      </c>
      <c r="G233" t="n">
        <v>3.4</v>
      </c>
      <c r="H233" t="n">
        <v>0</v>
      </c>
      <c r="I233" t="n">
        <v>0</v>
      </c>
      <c r="J233" t="n">
        <v>0</v>
      </c>
      <c r="K233" t="n">
        <v>0</v>
      </c>
      <c r="L233" t="n">
        <v>0</v>
      </c>
      <c r="M233" t="n">
        <v>0</v>
      </c>
      <c r="N233" t="n">
        <v>0</v>
      </c>
      <c r="O233" t="n">
        <v>0</v>
      </c>
      <c r="P233" t="n">
        <v>0</v>
      </c>
      <c r="Q233" t="n">
        <v>0</v>
      </c>
      <c r="R233" s="2" t="inlineStr"/>
    </row>
    <row r="234" ht="15" customHeight="1">
      <c r="A234" t="inlineStr">
        <is>
          <t>A 541-2025</t>
        </is>
      </c>
      <c r="B234" s="1" t="n">
        <v>45664.52034722222</v>
      </c>
      <c r="C234" s="1" t="n">
        <v>46188</v>
      </c>
      <c r="D234" t="inlineStr">
        <is>
          <t>ÖREBRO LÄN</t>
        </is>
      </c>
      <c r="E234" t="inlineStr">
        <is>
          <t>ÖREBRO</t>
        </is>
      </c>
      <c r="G234" t="n">
        <v>2.2</v>
      </c>
      <c r="H234" t="n">
        <v>0</v>
      </c>
      <c r="I234" t="n">
        <v>0</v>
      </c>
      <c r="J234" t="n">
        <v>0</v>
      </c>
      <c r="K234" t="n">
        <v>0</v>
      </c>
      <c r="L234" t="n">
        <v>0</v>
      </c>
      <c r="M234" t="n">
        <v>0</v>
      </c>
      <c r="N234" t="n">
        <v>0</v>
      </c>
      <c r="O234" t="n">
        <v>0</v>
      </c>
      <c r="P234" t="n">
        <v>0</v>
      </c>
      <c r="Q234" t="n">
        <v>0</v>
      </c>
      <c r="R234" s="2" t="inlineStr"/>
    </row>
    <row r="235" ht="15" customHeight="1">
      <c r="A235" t="inlineStr">
        <is>
          <t>A 53143-2023</t>
        </is>
      </c>
      <c r="B235" s="1" t="n">
        <v>45229</v>
      </c>
      <c r="C235" s="1" t="n">
        <v>46188</v>
      </c>
      <c r="D235" t="inlineStr">
        <is>
          <t>ÖREBRO LÄN</t>
        </is>
      </c>
      <c r="E235" t="inlineStr">
        <is>
          <t>ÖREBRO</t>
        </is>
      </c>
      <c r="G235" t="n">
        <v>3.3</v>
      </c>
      <c r="H235" t="n">
        <v>0</v>
      </c>
      <c r="I235" t="n">
        <v>0</v>
      </c>
      <c r="J235" t="n">
        <v>0</v>
      </c>
      <c r="K235" t="n">
        <v>0</v>
      </c>
      <c r="L235" t="n">
        <v>0</v>
      </c>
      <c r="M235" t="n">
        <v>0</v>
      </c>
      <c r="N235" t="n">
        <v>0</v>
      </c>
      <c r="O235" t="n">
        <v>0</v>
      </c>
      <c r="P235" t="n">
        <v>0</v>
      </c>
      <c r="Q235" t="n">
        <v>0</v>
      </c>
      <c r="R235" s="2" t="inlineStr"/>
    </row>
    <row r="236" ht="15" customHeight="1">
      <c r="A236" t="inlineStr">
        <is>
          <t>A 22348-2024</t>
        </is>
      </c>
      <c r="B236" s="1" t="n">
        <v>45446.61256944444</v>
      </c>
      <c r="C236" s="1" t="n">
        <v>46188</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15695-2024</t>
        </is>
      </c>
      <c r="B237" s="1" t="n">
        <v>45404.45487268519</v>
      </c>
      <c r="C237" s="1" t="n">
        <v>46188</v>
      </c>
      <c r="D237" t="inlineStr">
        <is>
          <t>ÖREBRO LÄN</t>
        </is>
      </c>
      <c r="E237" t="inlineStr">
        <is>
          <t>ÖREBRO</t>
        </is>
      </c>
      <c r="G237" t="n">
        <v>2.7</v>
      </c>
      <c r="H237" t="n">
        <v>0</v>
      </c>
      <c r="I237" t="n">
        <v>0</v>
      </c>
      <c r="J237" t="n">
        <v>0</v>
      </c>
      <c r="K237" t="n">
        <v>0</v>
      </c>
      <c r="L237" t="n">
        <v>0</v>
      </c>
      <c r="M237" t="n">
        <v>0</v>
      </c>
      <c r="N237" t="n">
        <v>0</v>
      </c>
      <c r="O237" t="n">
        <v>0</v>
      </c>
      <c r="P237" t="n">
        <v>0</v>
      </c>
      <c r="Q237" t="n">
        <v>0</v>
      </c>
      <c r="R237" s="2" t="inlineStr"/>
    </row>
    <row r="238" ht="15" customHeight="1">
      <c r="A238" t="inlineStr">
        <is>
          <t>A 30089-2024</t>
        </is>
      </c>
      <c r="B238" s="1" t="n">
        <v>45485</v>
      </c>
      <c r="C238" s="1" t="n">
        <v>46188</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5643-2025</t>
        </is>
      </c>
      <c r="B239" s="1" t="n">
        <v>45693</v>
      </c>
      <c r="C239" s="1" t="n">
        <v>46188</v>
      </c>
      <c r="D239" t="inlineStr">
        <is>
          <t>ÖREBRO LÄN</t>
        </is>
      </c>
      <c r="E239" t="inlineStr">
        <is>
          <t>ÖREBRO</t>
        </is>
      </c>
      <c r="G239" t="n">
        <v>2</v>
      </c>
      <c r="H239" t="n">
        <v>0</v>
      </c>
      <c r="I239" t="n">
        <v>0</v>
      </c>
      <c r="J239" t="n">
        <v>0</v>
      </c>
      <c r="K239" t="n">
        <v>0</v>
      </c>
      <c r="L239" t="n">
        <v>0</v>
      </c>
      <c r="M239" t="n">
        <v>0</v>
      </c>
      <c r="N239" t="n">
        <v>0</v>
      </c>
      <c r="O239" t="n">
        <v>0</v>
      </c>
      <c r="P239" t="n">
        <v>0</v>
      </c>
      <c r="Q239" t="n">
        <v>0</v>
      </c>
      <c r="R239" s="2" t="inlineStr"/>
    </row>
    <row r="240" ht="15" customHeight="1">
      <c r="A240" t="inlineStr">
        <is>
          <t>A 46030-2024</t>
        </is>
      </c>
      <c r="B240" s="1" t="n">
        <v>45580.70377314815</v>
      </c>
      <c r="C240" s="1" t="n">
        <v>46188</v>
      </c>
      <c r="D240" t="inlineStr">
        <is>
          <t>ÖREBRO LÄN</t>
        </is>
      </c>
      <c r="E240" t="inlineStr">
        <is>
          <t>ÖREBRO</t>
        </is>
      </c>
      <c r="G240" t="n">
        <v>3.9</v>
      </c>
      <c r="H240" t="n">
        <v>0</v>
      </c>
      <c r="I240" t="n">
        <v>0</v>
      </c>
      <c r="J240" t="n">
        <v>0</v>
      </c>
      <c r="K240" t="n">
        <v>0</v>
      </c>
      <c r="L240" t="n">
        <v>0</v>
      </c>
      <c r="M240" t="n">
        <v>0</v>
      </c>
      <c r="N240" t="n">
        <v>0</v>
      </c>
      <c r="O240" t="n">
        <v>0</v>
      </c>
      <c r="P240" t="n">
        <v>0</v>
      </c>
      <c r="Q240" t="n">
        <v>0</v>
      </c>
      <c r="R240" s="2" t="inlineStr"/>
    </row>
    <row r="241" ht="15" customHeight="1">
      <c r="A241" t="inlineStr">
        <is>
          <t>A 1153-2026</t>
        </is>
      </c>
      <c r="B241" s="1" t="n">
        <v>46031.30899305556</v>
      </c>
      <c r="C241" s="1" t="n">
        <v>46188</v>
      </c>
      <c r="D241" t="inlineStr">
        <is>
          <t>ÖREBRO LÄN</t>
        </is>
      </c>
      <c r="E241" t="inlineStr">
        <is>
          <t>ÖREBRO</t>
        </is>
      </c>
      <c r="G241" t="n">
        <v>3.3</v>
      </c>
      <c r="H241" t="n">
        <v>0</v>
      </c>
      <c r="I241" t="n">
        <v>0</v>
      </c>
      <c r="J241" t="n">
        <v>0</v>
      </c>
      <c r="K241" t="n">
        <v>0</v>
      </c>
      <c r="L241" t="n">
        <v>0</v>
      </c>
      <c r="M241" t="n">
        <v>0</v>
      </c>
      <c r="N241" t="n">
        <v>0</v>
      </c>
      <c r="O241" t="n">
        <v>0</v>
      </c>
      <c r="P241" t="n">
        <v>0</v>
      </c>
      <c r="Q241" t="n">
        <v>0</v>
      </c>
      <c r="R241" s="2" t="inlineStr"/>
    </row>
    <row r="242" ht="15" customHeight="1">
      <c r="A242" t="inlineStr">
        <is>
          <t>A 5342-2024</t>
        </is>
      </c>
      <c r="B242" s="1" t="n">
        <v>45331.44145833333</v>
      </c>
      <c r="C242" s="1" t="n">
        <v>46188</v>
      </c>
      <c r="D242" t="inlineStr">
        <is>
          <t>ÖREBRO LÄN</t>
        </is>
      </c>
      <c r="E242" t="inlineStr">
        <is>
          <t>ÖREBRO</t>
        </is>
      </c>
      <c r="G242" t="n">
        <v>2.5</v>
      </c>
      <c r="H242" t="n">
        <v>0</v>
      </c>
      <c r="I242" t="n">
        <v>0</v>
      </c>
      <c r="J242" t="n">
        <v>0</v>
      </c>
      <c r="K242" t="n">
        <v>0</v>
      </c>
      <c r="L242" t="n">
        <v>0</v>
      </c>
      <c r="M242" t="n">
        <v>0</v>
      </c>
      <c r="N242" t="n">
        <v>0</v>
      </c>
      <c r="O242" t="n">
        <v>0</v>
      </c>
      <c r="P242" t="n">
        <v>0</v>
      </c>
      <c r="Q242" t="n">
        <v>0</v>
      </c>
      <c r="R242" s="2" t="inlineStr"/>
    </row>
    <row r="243" ht="15" customHeight="1">
      <c r="A243" t="inlineStr">
        <is>
          <t>A 71295-2021</t>
        </is>
      </c>
      <c r="B243" s="1" t="n">
        <v>44539.63009259259</v>
      </c>
      <c r="C243" s="1" t="n">
        <v>46188</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45027-2024</t>
        </is>
      </c>
      <c r="B244" s="1" t="n">
        <v>45575</v>
      </c>
      <c r="C244" s="1" t="n">
        <v>46188</v>
      </c>
      <c r="D244" t="inlineStr">
        <is>
          <t>ÖREBRO LÄN</t>
        </is>
      </c>
      <c r="E244" t="inlineStr">
        <is>
          <t>ÖREBRO</t>
        </is>
      </c>
      <c r="G244" t="n">
        <v>6.3</v>
      </c>
      <c r="H244" t="n">
        <v>0</v>
      </c>
      <c r="I244" t="n">
        <v>0</v>
      </c>
      <c r="J244" t="n">
        <v>0</v>
      </c>
      <c r="K244" t="n">
        <v>0</v>
      </c>
      <c r="L244" t="n">
        <v>0</v>
      </c>
      <c r="M244" t="n">
        <v>0</v>
      </c>
      <c r="N244" t="n">
        <v>0</v>
      </c>
      <c r="O244" t="n">
        <v>0</v>
      </c>
      <c r="P244" t="n">
        <v>0</v>
      </c>
      <c r="Q244" t="n">
        <v>0</v>
      </c>
      <c r="R244" s="2" t="inlineStr"/>
    </row>
    <row r="245" ht="15" customHeight="1">
      <c r="A245" t="inlineStr">
        <is>
          <t>A 11516-2024</t>
        </is>
      </c>
      <c r="B245" s="1" t="n">
        <v>45372</v>
      </c>
      <c r="C245" s="1" t="n">
        <v>46188</v>
      </c>
      <c r="D245" t="inlineStr">
        <is>
          <t>ÖREBRO LÄN</t>
        </is>
      </c>
      <c r="E245" t="inlineStr">
        <is>
          <t>ÖREBRO</t>
        </is>
      </c>
      <c r="G245" t="n">
        <v>10.7</v>
      </c>
      <c r="H245" t="n">
        <v>0</v>
      </c>
      <c r="I245" t="n">
        <v>0</v>
      </c>
      <c r="J245" t="n">
        <v>0</v>
      </c>
      <c r="K245" t="n">
        <v>0</v>
      </c>
      <c r="L245" t="n">
        <v>0</v>
      </c>
      <c r="M245" t="n">
        <v>0</v>
      </c>
      <c r="N245" t="n">
        <v>0</v>
      </c>
      <c r="O245" t="n">
        <v>0</v>
      </c>
      <c r="P245" t="n">
        <v>0</v>
      </c>
      <c r="Q245" t="n">
        <v>0</v>
      </c>
      <c r="R245" s="2" t="inlineStr"/>
    </row>
    <row r="246" ht="15" customHeight="1">
      <c r="A246" t="inlineStr">
        <is>
          <t>A 16140-2023</t>
        </is>
      </c>
      <c r="B246" s="1" t="n">
        <v>45027.6433912037</v>
      </c>
      <c r="C246" s="1" t="n">
        <v>46188</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18550-2025</t>
        </is>
      </c>
      <c r="B247" s="1" t="n">
        <v>45763</v>
      </c>
      <c r="C247" s="1" t="n">
        <v>46188</v>
      </c>
      <c r="D247" t="inlineStr">
        <is>
          <t>ÖREBRO LÄN</t>
        </is>
      </c>
      <c r="E247" t="inlineStr">
        <is>
          <t>ÖREBRO</t>
        </is>
      </c>
      <c r="G247" t="n">
        <v>11.5</v>
      </c>
      <c r="H247" t="n">
        <v>0</v>
      </c>
      <c r="I247" t="n">
        <v>0</v>
      </c>
      <c r="J247" t="n">
        <v>0</v>
      </c>
      <c r="K247" t="n">
        <v>0</v>
      </c>
      <c r="L247" t="n">
        <v>0</v>
      </c>
      <c r="M247" t="n">
        <v>0</v>
      </c>
      <c r="N247" t="n">
        <v>0</v>
      </c>
      <c r="O247" t="n">
        <v>0</v>
      </c>
      <c r="P247" t="n">
        <v>0</v>
      </c>
      <c r="Q247" t="n">
        <v>0</v>
      </c>
      <c r="R247" s="2" t="inlineStr"/>
    </row>
    <row r="248" ht="15" customHeight="1">
      <c r="A248" t="inlineStr">
        <is>
          <t>A 52391-2024</t>
        </is>
      </c>
      <c r="B248" s="1" t="n">
        <v>45609.43180555556</v>
      </c>
      <c r="C248" s="1" t="n">
        <v>46188</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52401-2024</t>
        </is>
      </c>
      <c r="B249" s="1" t="n">
        <v>45609.44553240741</v>
      </c>
      <c r="C249" s="1" t="n">
        <v>46188</v>
      </c>
      <c r="D249" t="inlineStr">
        <is>
          <t>ÖREBRO LÄN</t>
        </is>
      </c>
      <c r="E249" t="inlineStr">
        <is>
          <t>ÖREBRO</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25578-2025</t>
        </is>
      </c>
      <c r="B250" s="1" t="n">
        <v>45803.47803240741</v>
      </c>
      <c r="C250" s="1" t="n">
        <v>46188</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25519-2025</t>
        </is>
      </c>
      <c r="B251" s="1" t="n">
        <v>45803.38447916666</v>
      </c>
      <c r="C251" s="1" t="n">
        <v>46188</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2162-2026</t>
        </is>
      </c>
      <c r="B252" s="1" t="n">
        <v>46036.43479166667</v>
      </c>
      <c r="C252" s="1" t="n">
        <v>46188</v>
      </c>
      <c r="D252" t="inlineStr">
        <is>
          <t>ÖREBRO LÄN</t>
        </is>
      </c>
      <c r="E252" t="inlineStr">
        <is>
          <t>ÖREBRO</t>
        </is>
      </c>
      <c r="G252" t="n">
        <v>0.5</v>
      </c>
      <c r="H252" t="n">
        <v>0</v>
      </c>
      <c r="I252" t="n">
        <v>0</v>
      </c>
      <c r="J252" t="n">
        <v>0</v>
      </c>
      <c r="K252" t="n">
        <v>0</v>
      </c>
      <c r="L252" t="n">
        <v>0</v>
      </c>
      <c r="M252" t="n">
        <v>0</v>
      </c>
      <c r="N252" t="n">
        <v>0</v>
      </c>
      <c r="O252" t="n">
        <v>0</v>
      </c>
      <c r="P252" t="n">
        <v>0</v>
      </c>
      <c r="Q252" t="n">
        <v>0</v>
      </c>
      <c r="R252" s="2" t="inlineStr"/>
    </row>
    <row r="253" ht="15" customHeight="1">
      <c r="A253" t="inlineStr">
        <is>
          <t>A 59515-2025</t>
        </is>
      </c>
      <c r="B253" s="1" t="n">
        <v>45989.65238425926</v>
      </c>
      <c r="C253" s="1" t="n">
        <v>46188</v>
      </c>
      <c r="D253" t="inlineStr">
        <is>
          <t>ÖREBRO LÄN</t>
        </is>
      </c>
      <c r="E253" t="inlineStr">
        <is>
          <t>ÖREBRO</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53234-2023</t>
        </is>
      </c>
      <c r="B254" s="1" t="n">
        <v>45229</v>
      </c>
      <c r="C254" s="1" t="n">
        <v>46188</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3252-2026</t>
        </is>
      </c>
      <c r="B255" s="1" t="n">
        <v>46041.58626157408</v>
      </c>
      <c r="C255" s="1" t="n">
        <v>46188</v>
      </c>
      <c r="D255" t="inlineStr">
        <is>
          <t>ÖREBRO LÄN</t>
        </is>
      </c>
      <c r="E255" t="inlineStr">
        <is>
          <t>ÖREBRO</t>
        </is>
      </c>
      <c r="F255" t="inlineStr">
        <is>
          <t>Övriga Aktiebolag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59757-2023</t>
        </is>
      </c>
      <c r="B256" s="1" t="n">
        <v>45257.40833333333</v>
      </c>
      <c r="C256" s="1" t="n">
        <v>46188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11067-2025</t>
        </is>
      </c>
      <c r="B257" s="1" t="n">
        <v>45723</v>
      </c>
      <c r="C257" s="1" t="n">
        <v>46188</v>
      </c>
      <c r="D257" t="inlineStr">
        <is>
          <t>ÖREBRO LÄN</t>
        </is>
      </c>
      <c r="E257" t="inlineStr">
        <is>
          <t>ÖREBRO</t>
        </is>
      </c>
      <c r="G257" t="n">
        <v>3.1</v>
      </c>
      <c r="H257" t="n">
        <v>0</v>
      </c>
      <c r="I257" t="n">
        <v>0</v>
      </c>
      <c r="J257" t="n">
        <v>0</v>
      </c>
      <c r="K257" t="n">
        <v>0</v>
      </c>
      <c r="L257" t="n">
        <v>0</v>
      </c>
      <c r="M257" t="n">
        <v>0</v>
      </c>
      <c r="N257" t="n">
        <v>0</v>
      </c>
      <c r="O257" t="n">
        <v>0</v>
      </c>
      <c r="P257" t="n">
        <v>0</v>
      </c>
      <c r="Q257" t="n">
        <v>0</v>
      </c>
      <c r="R257" s="2" t="inlineStr"/>
    </row>
    <row r="258" ht="15" customHeight="1">
      <c r="A258" t="inlineStr">
        <is>
          <t>A 13347-2023</t>
        </is>
      </c>
      <c r="B258" s="1" t="n">
        <v>45004</v>
      </c>
      <c r="C258" s="1" t="n">
        <v>46188</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6752-2022</t>
        </is>
      </c>
      <c r="B259" s="1" t="n">
        <v>44602.48082175926</v>
      </c>
      <c r="C259" s="1" t="n">
        <v>46188</v>
      </c>
      <c r="D259" t="inlineStr">
        <is>
          <t>ÖREBRO LÄN</t>
        </is>
      </c>
      <c r="E259" t="inlineStr">
        <is>
          <t>ÖREBRO</t>
        </is>
      </c>
      <c r="G259" t="n">
        <v>3.1</v>
      </c>
      <c r="H259" t="n">
        <v>0</v>
      </c>
      <c r="I259" t="n">
        <v>0</v>
      </c>
      <c r="J259" t="n">
        <v>0</v>
      </c>
      <c r="K259" t="n">
        <v>0</v>
      </c>
      <c r="L259" t="n">
        <v>0</v>
      </c>
      <c r="M259" t="n">
        <v>0</v>
      </c>
      <c r="N259" t="n">
        <v>0</v>
      </c>
      <c r="O259" t="n">
        <v>0</v>
      </c>
      <c r="P259" t="n">
        <v>0</v>
      </c>
      <c r="Q259" t="n">
        <v>0</v>
      </c>
      <c r="R259" s="2" t="inlineStr"/>
    </row>
    <row r="260" ht="15" customHeight="1">
      <c r="A260" t="inlineStr">
        <is>
          <t>A 3031-2026</t>
        </is>
      </c>
      <c r="B260" s="1" t="n">
        <v>46038.71271990741</v>
      </c>
      <c r="C260" s="1" t="n">
        <v>46188</v>
      </c>
      <c r="D260" t="inlineStr">
        <is>
          <t>ÖREBRO LÄN</t>
        </is>
      </c>
      <c r="E260" t="inlineStr">
        <is>
          <t>ÖREBRO</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3033-2026</t>
        </is>
      </c>
      <c r="B261" s="1" t="n">
        <v>46038.71920138889</v>
      </c>
      <c r="C261" s="1" t="n">
        <v>46188</v>
      </c>
      <c r="D261" t="inlineStr">
        <is>
          <t>ÖREBRO LÄN</t>
        </is>
      </c>
      <c r="E261" t="inlineStr">
        <is>
          <t>ÖREBRO</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3042-2026</t>
        </is>
      </c>
      <c r="B262" s="1" t="n">
        <v>46038.73467592592</v>
      </c>
      <c r="C262" s="1" t="n">
        <v>46188</v>
      </c>
      <c r="D262" t="inlineStr">
        <is>
          <t>ÖREBRO LÄN</t>
        </is>
      </c>
      <c r="E262" t="inlineStr">
        <is>
          <t>ÖREBRO</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57867-2024</t>
        </is>
      </c>
      <c r="B263" s="1" t="n">
        <v>45631.43864583333</v>
      </c>
      <c r="C263" s="1" t="n">
        <v>46188</v>
      </c>
      <c r="D263" t="inlineStr">
        <is>
          <t>ÖREBRO LÄN</t>
        </is>
      </c>
      <c r="E263" t="inlineStr">
        <is>
          <t>ÖREBRO</t>
        </is>
      </c>
      <c r="G263" t="n">
        <v>1.5</v>
      </c>
      <c r="H263" t="n">
        <v>0</v>
      </c>
      <c r="I263" t="n">
        <v>0</v>
      </c>
      <c r="J263" t="n">
        <v>0</v>
      </c>
      <c r="K263" t="n">
        <v>0</v>
      </c>
      <c r="L263" t="n">
        <v>0</v>
      </c>
      <c r="M263" t="n">
        <v>0</v>
      </c>
      <c r="N263" t="n">
        <v>0</v>
      </c>
      <c r="O263" t="n">
        <v>0</v>
      </c>
      <c r="P263" t="n">
        <v>0</v>
      </c>
      <c r="Q263" t="n">
        <v>0</v>
      </c>
      <c r="R263" s="2" t="inlineStr"/>
    </row>
    <row r="264" ht="15" customHeight="1">
      <c r="A264" t="inlineStr">
        <is>
          <t>A 3944-2026</t>
        </is>
      </c>
      <c r="B264" s="1" t="n">
        <v>46043.93358796297</v>
      </c>
      <c r="C264" s="1" t="n">
        <v>46188</v>
      </c>
      <c r="D264" t="inlineStr">
        <is>
          <t>ÖREBRO LÄN</t>
        </is>
      </c>
      <c r="E264" t="inlineStr">
        <is>
          <t>ÖREBRO</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13355-2023</t>
        </is>
      </c>
      <c r="B265" s="1" t="n">
        <v>45004</v>
      </c>
      <c r="C265" s="1" t="n">
        <v>46188</v>
      </c>
      <c r="D265" t="inlineStr">
        <is>
          <t>ÖREBRO LÄN</t>
        </is>
      </c>
      <c r="E265" t="inlineStr">
        <is>
          <t>ÖREBRO</t>
        </is>
      </c>
      <c r="G265" t="n">
        <v>2.3</v>
      </c>
      <c r="H265" t="n">
        <v>0</v>
      </c>
      <c r="I265" t="n">
        <v>0</v>
      </c>
      <c r="J265" t="n">
        <v>0</v>
      </c>
      <c r="K265" t="n">
        <v>0</v>
      </c>
      <c r="L265" t="n">
        <v>0</v>
      </c>
      <c r="M265" t="n">
        <v>0</v>
      </c>
      <c r="N265" t="n">
        <v>0</v>
      </c>
      <c r="O265" t="n">
        <v>0</v>
      </c>
      <c r="P265" t="n">
        <v>0</v>
      </c>
      <c r="Q265" t="n">
        <v>0</v>
      </c>
      <c r="R265" s="2" t="inlineStr"/>
    </row>
    <row r="266" ht="15" customHeight="1">
      <c r="A266" t="inlineStr">
        <is>
          <t>A 14544-2023</t>
        </is>
      </c>
      <c r="B266" s="1" t="n">
        <v>45013</v>
      </c>
      <c r="C266" s="1" t="n">
        <v>46188</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71272-2021</t>
        </is>
      </c>
      <c r="B267" s="1" t="n">
        <v>44539.61571759259</v>
      </c>
      <c r="C267" s="1" t="n">
        <v>46188</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3120-2022</t>
        </is>
      </c>
      <c r="B268" s="1" t="n">
        <v>44582</v>
      </c>
      <c r="C268" s="1" t="n">
        <v>46188</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19388-2024</t>
        </is>
      </c>
      <c r="B269" s="1" t="n">
        <v>45429.37775462963</v>
      </c>
      <c r="C269" s="1" t="n">
        <v>46188</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40597-2021</t>
        </is>
      </c>
      <c r="B270" s="1" t="n">
        <v>44420</v>
      </c>
      <c r="C270" s="1" t="n">
        <v>46188</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2318-2023</t>
        </is>
      </c>
      <c r="B271" s="1" t="n">
        <v>44942</v>
      </c>
      <c r="C271" s="1" t="n">
        <v>46188</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20121-2024</t>
        </is>
      </c>
      <c r="B272" s="1" t="n">
        <v>45434</v>
      </c>
      <c r="C272" s="1" t="n">
        <v>46188</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20150-2024</t>
        </is>
      </c>
      <c r="B273" s="1" t="n">
        <v>45434.57969907407</v>
      </c>
      <c r="C273" s="1" t="n">
        <v>46188</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767-2024</t>
        </is>
      </c>
      <c r="B274" s="1" t="n">
        <v>45300.51892361111</v>
      </c>
      <c r="C274" s="1" t="n">
        <v>46188</v>
      </c>
      <c r="D274" t="inlineStr">
        <is>
          <t>ÖREBRO LÄN</t>
        </is>
      </c>
      <c r="E274" t="inlineStr">
        <is>
          <t>ÖREBRO</t>
        </is>
      </c>
      <c r="G274" t="n">
        <v>2</v>
      </c>
      <c r="H274" t="n">
        <v>0</v>
      </c>
      <c r="I274" t="n">
        <v>0</v>
      </c>
      <c r="J274" t="n">
        <v>0</v>
      </c>
      <c r="K274" t="n">
        <v>0</v>
      </c>
      <c r="L274" t="n">
        <v>0</v>
      </c>
      <c r="M274" t="n">
        <v>0</v>
      </c>
      <c r="N274" t="n">
        <v>0</v>
      </c>
      <c r="O274" t="n">
        <v>0</v>
      </c>
      <c r="P274" t="n">
        <v>0</v>
      </c>
      <c r="Q274" t="n">
        <v>0</v>
      </c>
      <c r="R274" s="2" t="inlineStr"/>
    </row>
    <row r="275" ht="15" customHeight="1">
      <c r="A275" t="inlineStr">
        <is>
          <t>A 52441-2024</t>
        </is>
      </c>
      <c r="B275" s="1" t="n">
        <v>45609.48451388889</v>
      </c>
      <c r="C275" s="1" t="n">
        <v>46188</v>
      </c>
      <c r="D275" t="inlineStr">
        <is>
          <t>ÖREBRO LÄN</t>
        </is>
      </c>
      <c r="E275" t="inlineStr">
        <is>
          <t>ÖREBRO</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58611-2024</t>
        </is>
      </c>
      <c r="B276" s="1" t="n">
        <v>45635.55555555555</v>
      </c>
      <c r="C276" s="1" t="n">
        <v>46188</v>
      </c>
      <c r="D276" t="inlineStr">
        <is>
          <t>ÖREBRO LÄN</t>
        </is>
      </c>
      <c r="E276" t="inlineStr">
        <is>
          <t>ÖREBRO</t>
        </is>
      </c>
      <c r="F276" t="inlineStr">
        <is>
          <t>Sveaskog</t>
        </is>
      </c>
      <c r="G276" t="n">
        <v>0.3</v>
      </c>
      <c r="H276" t="n">
        <v>0</v>
      </c>
      <c r="I276" t="n">
        <v>0</v>
      </c>
      <c r="J276" t="n">
        <v>0</v>
      </c>
      <c r="K276" t="n">
        <v>0</v>
      </c>
      <c r="L276" t="n">
        <v>0</v>
      </c>
      <c r="M276" t="n">
        <v>0</v>
      </c>
      <c r="N276" t="n">
        <v>0</v>
      </c>
      <c r="O276" t="n">
        <v>0</v>
      </c>
      <c r="P276" t="n">
        <v>0</v>
      </c>
      <c r="Q276" t="n">
        <v>0</v>
      </c>
      <c r="R276" s="2" t="inlineStr"/>
    </row>
    <row r="277" ht="15" customHeight="1">
      <c r="A277" t="inlineStr">
        <is>
          <t>A 38075-2022</t>
        </is>
      </c>
      <c r="B277" s="1" t="n">
        <v>44811</v>
      </c>
      <c r="C277" s="1" t="n">
        <v>46188</v>
      </c>
      <c r="D277" t="inlineStr">
        <is>
          <t>ÖREBRO LÄN</t>
        </is>
      </c>
      <c r="E277" t="inlineStr">
        <is>
          <t>ÖREBRO</t>
        </is>
      </c>
      <c r="G277" t="n">
        <v>0.2</v>
      </c>
      <c r="H277" t="n">
        <v>0</v>
      </c>
      <c r="I277" t="n">
        <v>0</v>
      </c>
      <c r="J277" t="n">
        <v>0</v>
      </c>
      <c r="K277" t="n">
        <v>0</v>
      </c>
      <c r="L277" t="n">
        <v>0</v>
      </c>
      <c r="M277" t="n">
        <v>0</v>
      </c>
      <c r="N277" t="n">
        <v>0</v>
      </c>
      <c r="O277" t="n">
        <v>0</v>
      </c>
      <c r="P277" t="n">
        <v>0</v>
      </c>
      <c r="Q277" t="n">
        <v>0</v>
      </c>
      <c r="R277" s="2" t="inlineStr"/>
    </row>
    <row r="278" ht="15" customHeight="1">
      <c r="A278" t="inlineStr">
        <is>
          <t>A 6220-2026</t>
        </is>
      </c>
      <c r="B278" s="1" t="n">
        <v>46055.43789351852</v>
      </c>
      <c r="C278" s="1" t="n">
        <v>46188</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5133-2024</t>
        </is>
      </c>
      <c r="B279" s="1" t="n">
        <v>45330</v>
      </c>
      <c r="C279" s="1" t="n">
        <v>46188</v>
      </c>
      <c r="D279" t="inlineStr">
        <is>
          <t>ÖREBRO LÄN</t>
        </is>
      </c>
      <c r="E279" t="inlineStr">
        <is>
          <t>ÖREBRO</t>
        </is>
      </c>
      <c r="G279" t="n">
        <v>0.5</v>
      </c>
      <c r="H279" t="n">
        <v>0</v>
      </c>
      <c r="I279" t="n">
        <v>0</v>
      </c>
      <c r="J279" t="n">
        <v>0</v>
      </c>
      <c r="K279" t="n">
        <v>0</v>
      </c>
      <c r="L279" t="n">
        <v>0</v>
      </c>
      <c r="M279" t="n">
        <v>0</v>
      </c>
      <c r="N279" t="n">
        <v>0</v>
      </c>
      <c r="O279" t="n">
        <v>0</v>
      </c>
      <c r="P279" t="n">
        <v>0</v>
      </c>
      <c r="Q279" t="n">
        <v>0</v>
      </c>
      <c r="R279" s="2" t="inlineStr"/>
    </row>
    <row r="280" ht="15" customHeight="1">
      <c r="A280" t="inlineStr">
        <is>
          <t>A 58219-2024</t>
        </is>
      </c>
      <c r="B280" s="1" t="n">
        <v>45632</v>
      </c>
      <c r="C280" s="1" t="n">
        <v>46188</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27215-2025</t>
        </is>
      </c>
      <c r="B281" s="1" t="n">
        <v>45812.41869212963</v>
      </c>
      <c r="C281" s="1" t="n">
        <v>46188</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27225-2025</t>
        </is>
      </c>
      <c r="B282" s="1" t="n">
        <v>45812.42856481481</v>
      </c>
      <c r="C282" s="1" t="n">
        <v>46188</v>
      </c>
      <c r="D282" t="inlineStr">
        <is>
          <t>ÖREBRO LÄN</t>
        </is>
      </c>
      <c r="E282" t="inlineStr">
        <is>
          <t>ÖREBRO</t>
        </is>
      </c>
      <c r="G282" t="n">
        <v>4</v>
      </c>
      <c r="H282" t="n">
        <v>0</v>
      </c>
      <c r="I282" t="n">
        <v>0</v>
      </c>
      <c r="J282" t="n">
        <v>0</v>
      </c>
      <c r="K282" t="n">
        <v>0</v>
      </c>
      <c r="L282" t="n">
        <v>0</v>
      </c>
      <c r="M282" t="n">
        <v>0</v>
      </c>
      <c r="N282" t="n">
        <v>0</v>
      </c>
      <c r="O282" t="n">
        <v>0</v>
      </c>
      <c r="P282" t="n">
        <v>0</v>
      </c>
      <c r="Q282" t="n">
        <v>0</v>
      </c>
      <c r="R282" s="2" t="inlineStr"/>
    </row>
    <row r="283" ht="15" customHeight="1">
      <c r="A283" t="inlineStr">
        <is>
          <t>A 27220-2025</t>
        </is>
      </c>
      <c r="B283" s="1" t="n">
        <v>45812.42293981482</v>
      </c>
      <c r="C283" s="1" t="n">
        <v>46188</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52477-2024</t>
        </is>
      </c>
      <c r="B284" s="1" t="n">
        <v>45609</v>
      </c>
      <c r="C284" s="1" t="n">
        <v>46188</v>
      </c>
      <c r="D284" t="inlineStr">
        <is>
          <t>ÖREBRO LÄN</t>
        </is>
      </c>
      <c r="E284" t="inlineStr">
        <is>
          <t>ÖREBRO</t>
        </is>
      </c>
      <c r="G284" t="n">
        <v>0.7</v>
      </c>
      <c r="H284" t="n">
        <v>0</v>
      </c>
      <c r="I284" t="n">
        <v>0</v>
      </c>
      <c r="J284" t="n">
        <v>0</v>
      </c>
      <c r="K284" t="n">
        <v>0</v>
      </c>
      <c r="L284" t="n">
        <v>0</v>
      </c>
      <c r="M284" t="n">
        <v>0</v>
      </c>
      <c r="N284" t="n">
        <v>0</v>
      </c>
      <c r="O284" t="n">
        <v>0</v>
      </c>
      <c r="P284" t="n">
        <v>0</v>
      </c>
      <c r="Q284" t="n">
        <v>0</v>
      </c>
      <c r="R284" s="2" t="inlineStr"/>
    </row>
    <row r="285" ht="15" customHeight="1">
      <c r="A285" t="inlineStr">
        <is>
          <t>A 2771-2023</t>
        </is>
      </c>
      <c r="B285" s="1" t="n">
        <v>44944.64704861111</v>
      </c>
      <c r="C285" s="1" t="n">
        <v>46188</v>
      </c>
      <c r="D285" t="inlineStr">
        <is>
          <t>ÖREBRO LÄN</t>
        </is>
      </c>
      <c r="E285" t="inlineStr">
        <is>
          <t>ÖREBRO</t>
        </is>
      </c>
      <c r="G285" t="n">
        <v>15.4</v>
      </c>
      <c r="H285" t="n">
        <v>0</v>
      </c>
      <c r="I285" t="n">
        <v>0</v>
      </c>
      <c r="J285" t="n">
        <v>0</v>
      </c>
      <c r="K285" t="n">
        <v>0</v>
      </c>
      <c r="L285" t="n">
        <v>0</v>
      </c>
      <c r="M285" t="n">
        <v>0</v>
      </c>
      <c r="N285" t="n">
        <v>0</v>
      </c>
      <c r="O285" t="n">
        <v>0</v>
      </c>
      <c r="P285" t="n">
        <v>0</v>
      </c>
      <c r="Q285" t="n">
        <v>0</v>
      </c>
      <c r="R285" s="2" t="inlineStr"/>
    </row>
    <row r="286" ht="15" customHeight="1">
      <c r="A286" t="inlineStr">
        <is>
          <t>A 28120-2025</t>
        </is>
      </c>
      <c r="B286" s="1" t="n">
        <v>45818.30459490741</v>
      </c>
      <c r="C286" s="1" t="n">
        <v>46188</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2076-2025</t>
        </is>
      </c>
      <c r="B287" s="1" t="n">
        <v>45672</v>
      </c>
      <c r="C287" s="1" t="n">
        <v>46188</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7550-2026</t>
        </is>
      </c>
      <c r="B288" s="1" t="n">
        <v>46059.68496527777</v>
      </c>
      <c r="C288" s="1" t="n">
        <v>46188</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3763-2025</t>
        </is>
      </c>
      <c r="B289" s="1" t="n">
        <v>45681</v>
      </c>
      <c r="C289" s="1" t="n">
        <v>46188</v>
      </c>
      <c r="D289" t="inlineStr">
        <is>
          <t>ÖREBRO LÄN</t>
        </is>
      </c>
      <c r="E289" t="inlineStr">
        <is>
          <t>ÖREBRO</t>
        </is>
      </c>
      <c r="G289" t="n">
        <v>10.1</v>
      </c>
      <c r="H289" t="n">
        <v>0</v>
      </c>
      <c r="I289" t="n">
        <v>0</v>
      </c>
      <c r="J289" t="n">
        <v>0</v>
      </c>
      <c r="K289" t="n">
        <v>0</v>
      </c>
      <c r="L289" t="n">
        <v>0</v>
      </c>
      <c r="M289" t="n">
        <v>0</v>
      </c>
      <c r="N289" t="n">
        <v>0</v>
      </c>
      <c r="O289" t="n">
        <v>0</v>
      </c>
      <c r="P289" t="n">
        <v>0</v>
      </c>
      <c r="Q289" t="n">
        <v>0</v>
      </c>
      <c r="R289" s="2" t="inlineStr"/>
    </row>
    <row r="290" ht="15" customHeight="1">
      <c r="A290" t="inlineStr">
        <is>
          <t>A 5324-2024</t>
        </is>
      </c>
      <c r="B290" s="1" t="n">
        <v>45331</v>
      </c>
      <c r="C290" s="1" t="n">
        <v>46188</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60059-2023</t>
        </is>
      </c>
      <c r="B291" s="1" t="n">
        <v>45258.38157407408</v>
      </c>
      <c r="C291" s="1" t="n">
        <v>46188</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26858-2024</t>
        </is>
      </c>
      <c r="B292" s="1" t="n">
        <v>45470</v>
      </c>
      <c r="C292" s="1" t="n">
        <v>46188</v>
      </c>
      <c r="D292" t="inlineStr">
        <is>
          <t>ÖREBRO LÄN</t>
        </is>
      </c>
      <c r="E292" t="inlineStr">
        <is>
          <t>ÖREBRO</t>
        </is>
      </c>
      <c r="G292" t="n">
        <v>2.3</v>
      </c>
      <c r="H292" t="n">
        <v>0</v>
      </c>
      <c r="I292" t="n">
        <v>0</v>
      </c>
      <c r="J292" t="n">
        <v>0</v>
      </c>
      <c r="K292" t="n">
        <v>0</v>
      </c>
      <c r="L292" t="n">
        <v>0</v>
      </c>
      <c r="M292" t="n">
        <v>0</v>
      </c>
      <c r="N292" t="n">
        <v>0</v>
      </c>
      <c r="O292" t="n">
        <v>0</v>
      </c>
      <c r="P292" t="n">
        <v>0</v>
      </c>
      <c r="Q292" t="n">
        <v>0</v>
      </c>
      <c r="R292" s="2" t="inlineStr"/>
    </row>
    <row r="293" ht="15" customHeight="1">
      <c r="A293" t="inlineStr">
        <is>
          <t>A 6254-2026</t>
        </is>
      </c>
      <c r="B293" s="1" t="n">
        <v>46055</v>
      </c>
      <c r="C293" s="1" t="n">
        <v>46188</v>
      </c>
      <c r="D293" t="inlineStr">
        <is>
          <t>ÖREBRO LÄN</t>
        </is>
      </c>
      <c r="E293" t="inlineStr">
        <is>
          <t>ÖREBRO</t>
        </is>
      </c>
      <c r="G293" t="n">
        <v>2.8</v>
      </c>
      <c r="H293" t="n">
        <v>0</v>
      </c>
      <c r="I293" t="n">
        <v>0</v>
      </c>
      <c r="J293" t="n">
        <v>0</v>
      </c>
      <c r="K293" t="n">
        <v>0</v>
      </c>
      <c r="L293" t="n">
        <v>0</v>
      </c>
      <c r="M293" t="n">
        <v>0</v>
      </c>
      <c r="N293" t="n">
        <v>0</v>
      </c>
      <c r="O293" t="n">
        <v>0</v>
      </c>
      <c r="P293" t="n">
        <v>0</v>
      </c>
      <c r="Q293" t="n">
        <v>0</v>
      </c>
      <c r="R293" s="2" t="inlineStr"/>
    </row>
    <row r="294" ht="15" customHeight="1">
      <c r="A294" t="inlineStr">
        <is>
          <t>A 8461-2026</t>
        </is>
      </c>
      <c r="B294" s="1" t="n">
        <v>46065.42981481482</v>
      </c>
      <c r="C294" s="1" t="n">
        <v>46188</v>
      </c>
      <c r="D294" t="inlineStr">
        <is>
          <t>ÖREBRO LÄN</t>
        </is>
      </c>
      <c r="E294" t="inlineStr">
        <is>
          <t>ÖREBRO</t>
        </is>
      </c>
      <c r="G294" t="n">
        <v>1.3</v>
      </c>
      <c r="H294" t="n">
        <v>0</v>
      </c>
      <c r="I294" t="n">
        <v>0</v>
      </c>
      <c r="J294" t="n">
        <v>0</v>
      </c>
      <c r="K294" t="n">
        <v>0</v>
      </c>
      <c r="L294" t="n">
        <v>0</v>
      </c>
      <c r="M294" t="n">
        <v>0</v>
      </c>
      <c r="N294" t="n">
        <v>0</v>
      </c>
      <c r="O294" t="n">
        <v>0</v>
      </c>
      <c r="P294" t="n">
        <v>0</v>
      </c>
      <c r="Q294" t="n">
        <v>0</v>
      </c>
      <c r="R294" s="2" t="inlineStr"/>
    </row>
    <row r="295" ht="15" customHeight="1">
      <c r="A295" t="inlineStr">
        <is>
          <t>A 29701-2025</t>
        </is>
      </c>
      <c r="B295" s="1" t="n">
        <v>45825.55261574074</v>
      </c>
      <c r="C295" s="1" t="n">
        <v>46188</v>
      </c>
      <c r="D295" t="inlineStr">
        <is>
          <t>ÖREBRO LÄN</t>
        </is>
      </c>
      <c r="E295" t="inlineStr">
        <is>
          <t>ÖREBRO</t>
        </is>
      </c>
      <c r="G295" t="n">
        <v>5.8</v>
      </c>
      <c r="H295" t="n">
        <v>0</v>
      </c>
      <c r="I295" t="n">
        <v>0</v>
      </c>
      <c r="J295" t="n">
        <v>0</v>
      </c>
      <c r="K295" t="n">
        <v>0</v>
      </c>
      <c r="L295" t="n">
        <v>0</v>
      </c>
      <c r="M295" t="n">
        <v>0</v>
      </c>
      <c r="N295" t="n">
        <v>0</v>
      </c>
      <c r="O295" t="n">
        <v>0</v>
      </c>
      <c r="P295" t="n">
        <v>0</v>
      </c>
      <c r="Q295" t="n">
        <v>0</v>
      </c>
      <c r="R295" s="2" t="inlineStr"/>
    </row>
    <row r="296" ht="15" customHeight="1">
      <c r="A296" t="inlineStr">
        <is>
          <t>A 29286-2025</t>
        </is>
      </c>
      <c r="B296" s="1" t="n">
        <v>45824.43502314815</v>
      </c>
      <c r="C296" s="1" t="n">
        <v>46188</v>
      </c>
      <c r="D296" t="inlineStr">
        <is>
          <t>ÖREBRO LÄN</t>
        </is>
      </c>
      <c r="E296" t="inlineStr">
        <is>
          <t>ÖREBRO</t>
        </is>
      </c>
      <c r="G296" t="n">
        <v>1.2</v>
      </c>
      <c r="H296" t="n">
        <v>0</v>
      </c>
      <c r="I296" t="n">
        <v>0</v>
      </c>
      <c r="J296" t="n">
        <v>0</v>
      </c>
      <c r="K296" t="n">
        <v>0</v>
      </c>
      <c r="L296" t="n">
        <v>0</v>
      </c>
      <c r="M296" t="n">
        <v>0</v>
      </c>
      <c r="N296" t="n">
        <v>0</v>
      </c>
      <c r="O296" t="n">
        <v>0</v>
      </c>
      <c r="P296" t="n">
        <v>0</v>
      </c>
      <c r="Q296" t="n">
        <v>0</v>
      </c>
      <c r="R296" s="2" t="inlineStr"/>
    </row>
    <row r="297" ht="15" customHeight="1">
      <c r="A297" t="inlineStr">
        <is>
          <t>A 18360-2024</t>
        </is>
      </c>
      <c r="B297" s="1" t="n">
        <v>45422</v>
      </c>
      <c r="C297" s="1" t="n">
        <v>46188</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8677-2026</t>
        </is>
      </c>
      <c r="B298" s="1" t="n">
        <v>46066.40994212963</v>
      </c>
      <c r="C298" s="1" t="n">
        <v>46188</v>
      </c>
      <c r="D298" t="inlineStr">
        <is>
          <t>ÖREBRO LÄN</t>
        </is>
      </c>
      <c r="E298" t="inlineStr">
        <is>
          <t>ÖREBRO</t>
        </is>
      </c>
      <c r="G298" t="n">
        <v>2.6</v>
      </c>
      <c r="H298" t="n">
        <v>0</v>
      </c>
      <c r="I298" t="n">
        <v>0</v>
      </c>
      <c r="J298" t="n">
        <v>0</v>
      </c>
      <c r="K298" t="n">
        <v>0</v>
      </c>
      <c r="L298" t="n">
        <v>0</v>
      </c>
      <c r="M298" t="n">
        <v>0</v>
      </c>
      <c r="N298" t="n">
        <v>0</v>
      </c>
      <c r="O298" t="n">
        <v>0</v>
      </c>
      <c r="P298" t="n">
        <v>0</v>
      </c>
      <c r="Q298" t="n">
        <v>0</v>
      </c>
      <c r="R298" s="2" t="inlineStr"/>
    </row>
    <row r="299" ht="15" customHeight="1">
      <c r="A299" t="inlineStr">
        <is>
          <t>A 16676-2025</t>
        </is>
      </c>
      <c r="B299" s="1" t="n">
        <v>45754.44658564815</v>
      </c>
      <c r="C299" s="1" t="n">
        <v>46188</v>
      </c>
      <c r="D299" t="inlineStr">
        <is>
          <t>ÖREBRO LÄN</t>
        </is>
      </c>
      <c r="E299" t="inlineStr">
        <is>
          <t>ÖREBRO</t>
        </is>
      </c>
      <c r="G299" t="n">
        <v>5.8</v>
      </c>
      <c r="H299" t="n">
        <v>0</v>
      </c>
      <c r="I299" t="n">
        <v>0</v>
      </c>
      <c r="J299" t="n">
        <v>0</v>
      </c>
      <c r="K299" t="n">
        <v>0</v>
      </c>
      <c r="L299" t="n">
        <v>0</v>
      </c>
      <c r="M299" t="n">
        <v>0</v>
      </c>
      <c r="N299" t="n">
        <v>0</v>
      </c>
      <c r="O299" t="n">
        <v>0</v>
      </c>
      <c r="P299" t="n">
        <v>0</v>
      </c>
      <c r="Q299" t="n">
        <v>0</v>
      </c>
      <c r="R299" s="2" t="inlineStr"/>
    </row>
    <row r="300" ht="15" customHeight="1">
      <c r="A300" t="inlineStr">
        <is>
          <t>A 57243-2022</t>
        </is>
      </c>
      <c r="B300" s="1" t="n">
        <v>44895.71835648148</v>
      </c>
      <c r="C300" s="1" t="n">
        <v>46188</v>
      </c>
      <c r="D300" t="inlineStr">
        <is>
          <t>ÖREBRO LÄN</t>
        </is>
      </c>
      <c r="E300" t="inlineStr">
        <is>
          <t>ÖREBRO</t>
        </is>
      </c>
      <c r="G300" t="n">
        <v>6</v>
      </c>
      <c r="H300" t="n">
        <v>0</v>
      </c>
      <c r="I300" t="n">
        <v>0</v>
      </c>
      <c r="J300" t="n">
        <v>0</v>
      </c>
      <c r="K300" t="n">
        <v>0</v>
      </c>
      <c r="L300" t="n">
        <v>0</v>
      </c>
      <c r="M300" t="n">
        <v>0</v>
      </c>
      <c r="N300" t="n">
        <v>0</v>
      </c>
      <c r="O300" t="n">
        <v>0</v>
      </c>
      <c r="P300" t="n">
        <v>0</v>
      </c>
      <c r="Q300" t="n">
        <v>0</v>
      </c>
      <c r="R300" s="2" t="inlineStr"/>
    </row>
    <row r="301" ht="15" customHeight="1">
      <c r="A301" t="inlineStr">
        <is>
          <t>A 30550-2025</t>
        </is>
      </c>
      <c r="B301" s="1" t="n">
        <v>45831.38224537037</v>
      </c>
      <c r="C301" s="1" t="n">
        <v>46188</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40051-2024</t>
        </is>
      </c>
      <c r="B302" s="1" t="n">
        <v>45553</v>
      </c>
      <c r="C302" s="1" t="n">
        <v>46188</v>
      </c>
      <c r="D302" t="inlineStr">
        <is>
          <t>ÖREBRO LÄN</t>
        </is>
      </c>
      <c r="E302" t="inlineStr">
        <is>
          <t>ÖREBRO</t>
        </is>
      </c>
      <c r="G302" t="n">
        <v>3.5</v>
      </c>
      <c r="H302" t="n">
        <v>0</v>
      </c>
      <c r="I302" t="n">
        <v>0</v>
      </c>
      <c r="J302" t="n">
        <v>0</v>
      </c>
      <c r="K302" t="n">
        <v>0</v>
      </c>
      <c r="L302" t="n">
        <v>0</v>
      </c>
      <c r="M302" t="n">
        <v>0</v>
      </c>
      <c r="N302" t="n">
        <v>0</v>
      </c>
      <c r="O302" t="n">
        <v>0</v>
      </c>
      <c r="P302" t="n">
        <v>0</v>
      </c>
      <c r="Q302" t="n">
        <v>0</v>
      </c>
      <c r="R302" s="2" t="inlineStr"/>
    </row>
    <row r="303" ht="15" customHeight="1">
      <c r="A303" t="inlineStr">
        <is>
          <t>A 8662-2026</t>
        </is>
      </c>
      <c r="B303" s="1" t="n">
        <v>46066.38112268518</v>
      </c>
      <c r="C303" s="1" t="n">
        <v>46188</v>
      </c>
      <c r="D303" t="inlineStr">
        <is>
          <t>ÖREBRO LÄN</t>
        </is>
      </c>
      <c r="E303" t="inlineStr">
        <is>
          <t>ÖREBRO</t>
        </is>
      </c>
      <c r="G303" t="n">
        <v>3.2</v>
      </c>
      <c r="H303" t="n">
        <v>0</v>
      </c>
      <c r="I303" t="n">
        <v>0</v>
      </c>
      <c r="J303" t="n">
        <v>0</v>
      </c>
      <c r="K303" t="n">
        <v>0</v>
      </c>
      <c r="L303" t="n">
        <v>0</v>
      </c>
      <c r="M303" t="n">
        <v>0</v>
      </c>
      <c r="N303" t="n">
        <v>0</v>
      </c>
      <c r="O303" t="n">
        <v>0</v>
      </c>
      <c r="P303" t="n">
        <v>0</v>
      </c>
      <c r="Q303" t="n">
        <v>0</v>
      </c>
      <c r="R303" s="2" t="inlineStr"/>
    </row>
    <row r="304" ht="15" customHeight="1">
      <c r="A304" t="inlineStr">
        <is>
          <t>A 50446-2023</t>
        </is>
      </c>
      <c r="B304" s="1" t="n">
        <v>45216</v>
      </c>
      <c r="C304" s="1" t="n">
        <v>46188</v>
      </c>
      <c r="D304" t="inlineStr">
        <is>
          <t>ÖREBRO LÄN</t>
        </is>
      </c>
      <c r="E304" t="inlineStr">
        <is>
          <t>ÖREBRO</t>
        </is>
      </c>
      <c r="F304" t="inlineStr">
        <is>
          <t>Övriga Aktiebolag</t>
        </is>
      </c>
      <c r="G304" t="n">
        <v>2.8</v>
      </c>
      <c r="H304" t="n">
        <v>0</v>
      </c>
      <c r="I304" t="n">
        <v>0</v>
      </c>
      <c r="J304" t="n">
        <v>0</v>
      </c>
      <c r="K304" t="n">
        <v>0</v>
      </c>
      <c r="L304" t="n">
        <v>0</v>
      </c>
      <c r="M304" t="n">
        <v>0</v>
      </c>
      <c r="N304" t="n">
        <v>0</v>
      </c>
      <c r="O304" t="n">
        <v>0</v>
      </c>
      <c r="P304" t="n">
        <v>0</v>
      </c>
      <c r="Q304" t="n">
        <v>0</v>
      </c>
      <c r="R304" s="2" t="inlineStr"/>
    </row>
    <row r="305" ht="15" customHeight="1">
      <c r="A305" t="inlineStr">
        <is>
          <t>A 50450-2023</t>
        </is>
      </c>
      <c r="B305" s="1" t="n">
        <v>45216.73533564815</v>
      </c>
      <c r="C305" s="1" t="n">
        <v>46188</v>
      </c>
      <c r="D305" t="inlineStr">
        <is>
          <t>ÖREBRO LÄN</t>
        </is>
      </c>
      <c r="E305" t="inlineStr">
        <is>
          <t>ÖREBRO</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30731-2025</t>
        </is>
      </c>
      <c r="B306" s="1" t="n">
        <v>45831.57280092593</v>
      </c>
      <c r="C306" s="1" t="n">
        <v>46188</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31232-2025</t>
        </is>
      </c>
      <c r="B307" s="1" t="n">
        <v>45832.8252199074</v>
      </c>
      <c r="C307" s="1" t="n">
        <v>46188</v>
      </c>
      <c r="D307" t="inlineStr">
        <is>
          <t>ÖREBRO LÄN</t>
        </is>
      </c>
      <c r="E307" t="inlineStr">
        <is>
          <t>ÖREBRO</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31233-2025</t>
        </is>
      </c>
      <c r="B308" s="1" t="n">
        <v>45832.83341435185</v>
      </c>
      <c r="C308" s="1" t="n">
        <v>46188</v>
      </c>
      <c r="D308" t="inlineStr">
        <is>
          <t>ÖREBRO LÄN</t>
        </is>
      </c>
      <c r="E308" t="inlineStr">
        <is>
          <t>ÖREBRO</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31237-2025</t>
        </is>
      </c>
      <c r="B309" s="1" t="n">
        <v>45832.84313657408</v>
      </c>
      <c r="C309" s="1" t="n">
        <v>46188</v>
      </c>
      <c r="D309" t="inlineStr">
        <is>
          <t>ÖREBRO LÄN</t>
        </is>
      </c>
      <c r="E309" t="inlineStr">
        <is>
          <t>ÖREBRO</t>
        </is>
      </c>
      <c r="F309" t="inlineStr">
        <is>
          <t>Övriga Aktiebolag</t>
        </is>
      </c>
      <c r="G309" t="n">
        <v>1.7</v>
      </c>
      <c r="H309" t="n">
        <v>0</v>
      </c>
      <c r="I309" t="n">
        <v>0</v>
      </c>
      <c r="J309" t="n">
        <v>0</v>
      </c>
      <c r="K309" t="n">
        <v>0</v>
      </c>
      <c r="L309" t="n">
        <v>0</v>
      </c>
      <c r="M309" t="n">
        <v>0</v>
      </c>
      <c r="N309" t="n">
        <v>0</v>
      </c>
      <c r="O309" t="n">
        <v>0</v>
      </c>
      <c r="P309" t="n">
        <v>0</v>
      </c>
      <c r="Q309" t="n">
        <v>0</v>
      </c>
      <c r="R309" s="2" t="inlineStr"/>
    </row>
    <row r="310" ht="15" customHeight="1">
      <c r="A310" t="inlineStr">
        <is>
          <t>A 9318-2026</t>
        </is>
      </c>
      <c r="B310" s="1" t="n">
        <v>46070.62585648148</v>
      </c>
      <c r="C310" s="1" t="n">
        <v>46188</v>
      </c>
      <c r="D310" t="inlineStr">
        <is>
          <t>ÖREBRO LÄN</t>
        </is>
      </c>
      <c r="E310" t="inlineStr">
        <is>
          <t>ÖREBRO</t>
        </is>
      </c>
      <c r="F310" t="inlineStr">
        <is>
          <t>Övriga Aktiebolag</t>
        </is>
      </c>
      <c r="G310" t="n">
        <v>2.7</v>
      </c>
      <c r="H310" t="n">
        <v>0</v>
      </c>
      <c r="I310" t="n">
        <v>0</v>
      </c>
      <c r="J310" t="n">
        <v>0</v>
      </c>
      <c r="K310" t="n">
        <v>0</v>
      </c>
      <c r="L310" t="n">
        <v>0</v>
      </c>
      <c r="M310" t="n">
        <v>0</v>
      </c>
      <c r="N310" t="n">
        <v>0</v>
      </c>
      <c r="O310" t="n">
        <v>0</v>
      </c>
      <c r="P310" t="n">
        <v>0</v>
      </c>
      <c r="Q310" t="n">
        <v>0</v>
      </c>
      <c r="R310" s="2" t="inlineStr"/>
    </row>
    <row r="311" ht="15" customHeight="1">
      <c r="A311" t="inlineStr">
        <is>
          <t>A 58032-2023</t>
        </is>
      </c>
      <c r="B311" s="1" t="n">
        <v>45247</v>
      </c>
      <c r="C311" s="1" t="n">
        <v>46188</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58035-2023</t>
        </is>
      </c>
      <c r="B312" s="1" t="n">
        <v>45247</v>
      </c>
      <c r="C312" s="1" t="n">
        <v>46188</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7506-2025</t>
        </is>
      </c>
      <c r="B313" s="1" t="n">
        <v>45705</v>
      </c>
      <c r="C313" s="1" t="n">
        <v>46188</v>
      </c>
      <c r="D313" t="inlineStr">
        <is>
          <t>ÖREBRO LÄN</t>
        </is>
      </c>
      <c r="E313" t="inlineStr">
        <is>
          <t>ÖREBRO</t>
        </is>
      </c>
      <c r="G313" t="n">
        <v>0.5</v>
      </c>
      <c r="H313" t="n">
        <v>0</v>
      </c>
      <c r="I313" t="n">
        <v>0</v>
      </c>
      <c r="J313" t="n">
        <v>0</v>
      </c>
      <c r="K313" t="n">
        <v>0</v>
      </c>
      <c r="L313" t="n">
        <v>0</v>
      </c>
      <c r="M313" t="n">
        <v>0</v>
      </c>
      <c r="N313" t="n">
        <v>0</v>
      </c>
      <c r="O313" t="n">
        <v>0</v>
      </c>
      <c r="P313" t="n">
        <v>0</v>
      </c>
      <c r="Q313" t="n">
        <v>0</v>
      </c>
      <c r="R313" s="2" t="inlineStr"/>
    </row>
    <row r="314" ht="15" customHeight="1">
      <c r="A314" t="inlineStr">
        <is>
          <t>A 31240-2023</t>
        </is>
      </c>
      <c r="B314" s="1" t="n">
        <v>45114</v>
      </c>
      <c r="C314" s="1" t="n">
        <v>46188</v>
      </c>
      <c r="D314" t="inlineStr">
        <is>
          <t>ÖREBRO LÄN</t>
        </is>
      </c>
      <c r="E314" t="inlineStr">
        <is>
          <t>ÖREBRO</t>
        </is>
      </c>
      <c r="F314" t="inlineStr">
        <is>
          <t>Allmännings- och besparingsskogar</t>
        </is>
      </c>
      <c r="G314" t="n">
        <v>6.2</v>
      </c>
      <c r="H314" t="n">
        <v>0</v>
      </c>
      <c r="I314" t="n">
        <v>0</v>
      </c>
      <c r="J314" t="n">
        <v>0</v>
      </c>
      <c r="K314" t="n">
        <v>0</v>
      </c>
      <c r="L314" t="n">
        <v>0</v>
      </c>
      <c r="M314" t="n">
        <v>0</v>
      </c>
      <c r="N314" t="n">
        <v>0</v>
      </c>
      <c r="O314" t="n">
        <v>0</v>
      </c>
      <c r="P314" t="n">
        <v>0</v>
      </c>
      <c r="Q314" t="n">
        <v>0</v>
      </c>
      <c r="R314" s="2" t="inlineStr"/>
    </row>
    <row r="315" ht="15" customHeight="1">
      <c r="A315" t="inlineStr">
        <is>
          <t>A 14717-2024</t>
        </is>
      </c>
      <c r="B315" s="1" t="n">
        <v>45397.55104166667</v>
      </c>
      <c r="C315" s="1" t="n">
        <v>46188</v>
      </c>
      <c r="D315" t="inlineStr">
        <is>
          <t>ÖREBRO LÄN</t>
        </is>
      </c>
      <c r="E315" t="inlineStr">
        <is>
          <t>ÖREBRO</t>
        </is>
      </c>
      <c r="G315" t="n">
        <v>0.7</v>
      </c>
      <c r="H315" t="n">
        <v>0</v>
      </c>
      <c r="I315" t="n">
        <v>0</v>
      </c>
      <c r="J315" t="n">
        <v>0</v>
      </c>
      <c r="K315" t="n">
        <v>0</v>
      </c>
      <c r="L315" t="n">
        <v>0</v>
      </c>
      <c r="M315" t="n">
        <v>0</v>
      </c>
      <c r="N315" t="n">
        <v>0</v>
      </c>
      <c r="O315" t="n">
        <v>0</v>
      </c>
      <c r="P315" t="n">
        <v>0</v>
      </c>
      <c r="Q315" t="n">
        <v>0</v>
      </c>
      <c r="R315" s="2" t="inlineStr"/>
    </row>
    <row r="316" ht="15" customHeight="1">
      <c r="A316" t="inlineStr">
        <is>
          <t>A 10816-2026</t>
        </is>
      </c>
      <c r="B316" s="1" t="n">
        <v>46078.61224537037</v>
      </c>
      <c r="C316" s="1" t="n">
        <v>46188</v>
      </c>
      <c r="D316" t="inlineStr">
        <is>
          <t>ÖREBRO LÄN</t>
        </is>
      </c>
      <c r="E316" t="inlineStr">
        <is>
          <t>ÖREBRO</t>
        </is>
      </c>
      <c r="G316" t="n">
        <v>0.9</v>
      </c>
      <c r="H316" t="n">
        <v>0</v>
      </c>
      <c r="I316" t="n">
        <v>0</v>
      </c>
      <c r="J316" t="n">
        <v>0</v>
      </c>
      <c r="K316" t="n">
        <v>0</v>
      </c>
      <c r="L316" t="n">
        <v>0</v>
      </c>
      <c r="M316" t="n">
        <v>0</v>
      </c>
      <c r="N316" t="n">
        <v>0</v>
      </c>
      <c r="O316" t="n">
        <v>0</v>
      </c>
      <c r="P316" t="n">
        <v>0</v>
      </c>
      <c r="Q316" t="n">
        <v>0</v>
      </c>
      <c r="R316" s="2" t="inlineStr"/>
    </row>
    <row r="317" ht="15" customHeight="1">
      <c r="A317" t="inlineStr">
        <is>
          <t>A 10108-2026</t>
        </is>
      </c>
      <c r="B317" s="1" t="n">
        <v>46074.64310185185</v>
      </c>
      <c r="C317" s="1" t="n">
        <v>46188</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10970-2026</t>
        </is>
      </c>
      <c r="B318" s="1" t="n">
        <v>46079.44788194444</v>
      </c>
      <c r="C318" s="1" t="n">
        <v>46188</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11286-2026</t>
        </is>
      </c>
      <c r="B319" s="1" t="n">
        <v>46080</v>
      </c>
      <c r="C319" s="1" t="n">
        <v>46188</v>
      </c>
      <c r="D319" t="inlineStr">
        <is>
          <t>ÖREBRO LÄN</t>
        </is>
      </c>
      <c r="E319" t="inlineStr">
        <is>
          <t>ÖREBRO</t>
        </is>
      </c>
      <c r="G319" t="n">
        <v>5.4</v>
      </c>
      <c r="H319" t="n">
        <v>0</v>
      </c>
      <c r="I319" t="n">
        <v>0</v>
      </c>
      <c r="J319" t="n">
        <v>0</v>
      </c>
      <c r="K319" t="n">
        <v>0</v>
      </c>
      <c r="L319" t="n">
        <v>0</v>
      </c>
      <c r="M319" t="n">
        <v>0</v>
      </c>
      <c r="N319" t="n">
        <v>0</v>
      </c>
      <c r="O319" t="n">
        <v>0</v>
      </c>
      <c r="P319" t="n">
        <v>0</v>
      </c>
      <c r="Q319" t="n">
        <v>0</v>
      </c>
      <c r="R319" s="2" t="inlineStr"/>
    </row>
    <row r="320" ht="15" customHeight="1">
      <c r="A320" t="inlineStr">
        <is>
          <t>A 37968-2024</t>
        </is>
      </c>
      <c r="B320" s="1" t="n">
        <v>45544</v>
      </c>
      <c r="C320" s="1" t="n">
        <v>46188</v>
      </c>
      <c r="D320" t="inlineStr">
        <is>
          <t>ÖREBRO LÄN</t>
        </is>
      </c>
      <c r="E320" t="inlineStr">
        <is>
          <t>ÖREBRO</t>
        </is>
      </c>
      <c r="G320" t="n">
        <v>2</v>
      </c>
      <c r="H320" t="n">
        <v>0</v>
      </c>
      <c r="I320" t="n">
        <v>0</v>
      </c>
      <c r="J320" t="n">
        <v>0</v>
      </c>
      <c r="K320" t="n">
        <v>0</v>
      </c>
      <c r="L320" t="n">
        <v>0</v>
      </c>
      <c r="M320" t="n">
        <v>0</v>
      </c>
      <c r="N320" t="n">
        <v>0</v>
      </c>
      <c r="O320" t="n">
        <v>0</v>
      </c>
      <c r="P320" t="n">
        <v>0</v>
      </c>
      <c r="Q320" t="n">
        <v>0</v>
      </c>
      <c r="R320" s="2" t="inlineStr"/>
    </row>
    <row r="321" ht="15" customHeight="1">
      <c r="A321" t="inlineStr">
        <is>
          <t>A 10944-2026</t>
        </is>
      </c>
      <c r="B321" s="1" t="n">
        <v>46079.37659722222</v>
      </c>
      <c r="C321" s="1" t="n">
        <v>46188</v>
      </c>
      <c r="D321" t="inlineStr">
        <is>
          <t>ÖREBRO LÄN</t>
        </is>
      </c>
      <c r="E321" t="inlineStr">
        <is>
          <t>ÖREBRO</t>
        </is>
      </c>
      <c r="G321" t="n">
        <v>2.7</v>
      </c>
      <c r="H321" t="n">
        <v>0</v>
      </c>
      <c r="I321" t="n">
        <v>0</v>
      </c>
      <c r="J321" t="n">
        <v>0</v>
      </c>
      <c r="K321" t="n">
        <v>0</v>
      </c>
      <c r="L321" t="n">
        <v>0</v>
      </c>
      <c r="M321" t="n">
        <v>0</v>
      </c>
      <c r="N321" t="n">
        <v>0</v>
      </c>
      <c r="O321" t="n">
        <v>0</v>
      </c>
      <c r="P321" t="n">
        <v>0</v>
      </c>
      <c r="Q321" t="n">
        <v>0</v>
      </c>
      <c r="R321" s="2" t="inlineStr"/>
    </row>
    <row r="322" ht="15" customHeight="1">
      <c r="A322" t="inlineStr">
        <is>
          <t>A 13700-2024</t>
        </is>
      </c>
      <c r="B322" s="1" t="n">
        <v>45390.59277777778</v>
      </c>
      <c r="C322" s="1" t="n">
        <v>46188</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5398-2022</t>
        </is>
      </c>
      <c r="B323" s="1" t="n">
        <v>44595.3353587963</v>
      </c>
      <c r="C323" s="1" t="n">
        <v>46188</v>
      </c>
      <c r="D323" t="inlineStr">
        <is>
          <t>ÖREBRO LÄN</t>
        </is>
      </c>
      <c r="E323" t="inlineStr">
        <is>
          <t>ÖREBRO</t>
        </is>
      </c>
      <c r="G323" t="n">
        <v>2.1</v>
      </c>
      <c r="H323" t="n">
        <v>0</v>
      </c>
      <c r="I323" t="n">
        <v>0</v>
      </c>
      <c r="J323" t="n">
        <v>0</v>
      </c>
      <c r="K323" t="n">
        <v>0</v>
      </c>
      <c r="L323" t="n">
        <v>0</v>
      </c>
      <c r="M323" t="n">
        <v>0</v>
      </c>
      <c r="N323" t="n">
        <v>0</v>
      </c>
      <c r="O323" t="n">
        <v>0</v>
      </c>
      <c r="P323" t="n">
        <v>0</v>
      </c>
      <c r="Q323" t="n">
        <v>0</v>
      </c>
      <c r="R323" s="2" t="inlineStr"/>
    </row>
    <row r="324" ht="15" customHeight="1">
      <c r="A324" t="inlineStr">
        <is>
          <t>A 32904-2025</t>
        </is>
      </c>
      <c r="B324" s="1" t="n">
        <v>45839</v>
      </c>
      <c r="C324" s="1" t="n">
        <v>46188</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32426-2025</t>
        </is>
      </c>
      <c r="B325" s="1" t="n">
        <v>45838.36179398148</v>
      </c>
      <c r="C325" s="1" t="n">
        <v>46188</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33191-2025</t>
        </is>
      </c>
      <c r="B326" s="1" t="n">
        <v>45840.6003587963</v>
      </c>
      <c r="C326" s="1" t="n">
        <v>46188</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12536-2026</t>
        </is>
      </c>
      <c r="B327" s="1" t="n">
        <v>46090.60851851852</v>
      </c>
      <c r="C327" s="1" t="n">
        <v>46188</v>
      </c>
      <c r="D327" t="inlineStr">
        <is>
          <t>ÖREBRO LÄN</t>
        </is>
      </c>
      <c r="E327" t="inlineStr">
        <is>
          <t>ÖREBRO</t>
        </is>
      </c>
      <c r="G327" t="n">
        <v>7.7</v>
      </c>
      <c r="H327" t="n">
        <v>0</v>
      </c>
      <c r="I327" t="n">
        <v>0</v>
      </c>
      <c r="J327" t="n">
        <v>0</v>
      </c>
      <c r="K327" t="n">
        <v>0</v>
      </c>
      <c r="L327" t="n">
        <v>0</v>
      </c>
      <c r="M327" t="n">
        <v>0</v>
      </c>
      <c r="N327" t="n">
        <v>0</v>
      </c>
      <c r="O327" t="n">
        <v>0</v>
      </c>
      <c r="P327" t="n">
        <v>0</v>
      </c>
      <c r="Q327" t="n">
        <v>0</v>
      </c>
      <c r="R327" s="2" t="inlineStr"/>
    </row>
    <row r="328" ht="15" customHeight="1">
      <c r="A328" t="inlineStr">
        <is>
          <t>A 38415-2023</t>
        </is>
      </c>
      <c r="B328" s="1" t="n">
        <v>45162.35502314815</v>
      </c>
      <c r="C328" s="1" t="n">
        <v>46188</v>
      </c>
      <c r="D328" t="inlineStr">
        <is>
          <t>ÖREBRO LÄN</t>
        </is>
      </c>
      <c r="E328" t="inlineStr">
        <is>
          <t>ÖREBRO</t>
        </is>
      </c>
      <c r="G328" t="n">
        <v>2.6</v>
      </c>
      <c r="H328" t="n">
        <v>0</v>
      </c>
      <c r="I328" t="n">
        <v>0</v>
      </c>
      <c r="J328" t="n">
        <v>0</v>
      </c>
      <c r="K328" t="n">
        <v>0</v>
      </c>
      <c r="L328" t="n">
        <v>0</v>
      </c>
      <c r="M328" t="n">
        <v>0</v>
      </c>
      <c r="N328" t="n">
        <v>0</v>
      </c>
      <c r="O328" t="n">
        <v>0</v>
      </c>
      <c r="P328" t="n">
        <v>0</v>
      </c>
      <c r="Q328" t="n">
        <v>0</v>
      </c>
      <c r="R328" s="2" t="inlineStr"/>
    </row>
    <row r="329" ht="15" customHeight="1">
      <c r="A329" t="inlineStr">
        <is>
          <t>A 60128-2023</t>
        </is>
      </c>
      <c r="B329" s="1" t="n">
        <v>45258</v>
      </c>
      <c r="C329" s="1" t="n">
        <v>46188</v>
      </c>
      <c r="D329" t="inlineStr">
        <is>
          <t>ÖREBRO LÄN</t>
        </is>
      </c>
      <c r="E329" t="inlineStr">
        <is>
          <t>ÖREBRO</t>
        </is>
      </c>
      <c r="G329" t="n">
        <v>0.6</v>
      </c>
      <c r="H329" t="n">
        <v>0</v>
      </c>
      <c r="I329" t="n">
        <v>0</v>
      </c>
      <c r="J329" t="n">
        <v>0</v>
      </c>
      <c r="K329" t="n">
        <v>0</v>
      </c>
      <c r="L329" t="n">
        <v>0</v>
      </c>
      <c r="M329" t="n">
        <v>0</v>
      </c>
      <c r="N329" t="n">
        <v>0</v>
      </c>
      <c r="O329" t="n">
        <v>0</v>
      </c>
      <c r="P329" t="n">
        <v>0</v>
      </c>
      <c r="Q329" t="n">
        <v>0</v>
      </c>
      <c r="R329" s="2" t="inlineStr"/>
    </row>
    <row r="330" ht="15" customHeight="1">
      <c r="A330" t="inlineStr">
        <is>
          <t>A 48687-2024</t>
        </is>
      </c>
      <c r="B330" s="1" t="n">
        <v>45593.49899305555</v>
      </c>
      <c r="C330" s="1" t="n">
        <v>46188</v>
      </c>
      <c r="D330" t="inlineStr">
        <is>
          <t>ÖREBRO LÄN</t>
        </is>
      </c>
      <c r="E330" t="inlineStr">
        <is>
          <t>ÖREBRO</t>
        </is>
      </c>
      <c r="F330" t="inlineStr">
        <is>
          <t>Övriga Aktiebolag</t>
        </is>
      </c>
      <c r="G330" t="n">
        <v>3.8</v>
      </c>
      <c r="H330" t="n">
        <v>0</v>
      </c>
      <c r="I330" t="n">
        <v>0</v>
      </c>
      <c r="J330" t="n">
        <v>0</v>
      </c>
      <c r="K330" t="n">
        <v>0</v>
      </c>
      <c r="L330" t="n">
        <v>0</v>
      </c>
      <c r="M330" t="n">
        <v>0</v>
      </c>
      <c r="N330" t="n">
        <v>0</v>
      </c>
      <c r="O330" t="n">
        <v>0</v>
      </c>
      <c r="P330" t="n">
        <v>0</v>
      </c>
      <c r="Q330" t="n">
        <v>0</v>
      </c>
      <c r="R330" s="2" t="inlineStr"/>
    </row>
    <row r="331" ht="15" customHeight="1">
      <c r="A331" t="inlineStr">
        <is>
          <t>A 18047-2023</t>
        </is>
      </c>
      <c r="B331" s="1" t="n">
        <v>45040</v>
      </c>
      <c r="C331" s="1" t="n">
        <v>46188</v>
      </c>
      <c r="D331" t="inlineStr">
        <is>
          <t>ÖREBRO LÄN</t>
        </is>
      </c>
      <c r="E331" t="inlineStr">
        <is>
          <t>ÖREBRO</t>
        </is>
      </c>
      <c r="G331" t="n">
        <v>3.9</v>
      </c>
      <c r="H331" t="n">
        <v>0</v>
      </c>
      <c r="I331" t="n">
        <v>0</v>
      </c>
      <c r="J331" t="n">
        <v>0</v>
      </c>
      <c r="K331" t="n">
        <v>0</v>
      </c>
      <c r="L331" t="n">
        <v>0</v>
      </c>
      <c r="M331" t="n">
        <v>0</v>
      </c>
      <c r="N331" t="n">
        <v>0</v>
      </c>
      <c r="O331" t="n">
        <v>0</v>
      </c>
      <c r="P331" t="n">
        <v>0</v>
      </c>
      <c r="Q331" t="n">
        <v>0</v>
      </c>
      <c r="R331" s="2" t="inlineStr"/>
    </row>
    <row r="332" ht="15" customHeight="1">
      <c r="A332" t="inlineStr">
        <is>
          <t>A 49797-2024</t>
        </is>
      </c>
      <c r="B332" s="1" t="n">
        <v>45597.37265046296</v>
      </c>
      <c r="C332" s="1" t="n">
        <v>46188</v>
      </c>
      <c r="D332" t="inlineStr">
        <is>
          <t>ÖREBRO LÄN</t>
        </is>
      </c>
      <c r="E332" t="inlineStr">
        <is>
          <t>ÖREBRO</t>
        </is>
      </c>
      <c r="G332" t="n">
        <v>11.6</v>
      </c>
      <c r="H332" t="n">
        <v>0</v>
      </c>
      <c r="I332" t="n">
        <v>0</v>
      </c>
      <c r="J332" t="n">
        <v>0</v>
      </c>
      <c r="K332" t="n">
        <v>0</v>
      </c>
      <c r="L332" t="n">
        <v>0</v>
      </c>
      <c r="M332" t="n">
        <v>0</v>
      </c>
      <c r="N332" t="n">
        <v>0</v>
      </c>
      <c r="O332" t="n">
        <v>0</v>
      </c>
      <c r="P332" t="n">
        <v>0</v>
      </c>
      <c r="Q332" t="n">
        <v>0</v>
      </c>
      <c r="R332" s="2" t="inlineStr"/>
    </row>
    <row r="333" ht="15" customHeight="1">
      <c r="A333" t="inlineStr">
        <is>
          <t>A 8022-2022</t>
        </is>
      </c>
      <c r="B333" s="1" t="n">
        <v>44609</v>
      </c>
      <c r="C333" s="1" t="n">
        <v>46188</v>
      </c>
      <c r="D333" t="inlineStr">
        <is>
          <t>ÖREBRO LÄN</t>
        </is>
      </c>
      <c r="E333" t="inlineStr">
        <is>
          <t>ÖREBRO</t>
        </is>
      </c>
      <c r="G333" t="n">
        <v>5.6</v>
      </c>
      <c r="H333" t="n">
        <v>0</v>
      </c>
      <c r="I333" t="n">
        <v>0</v>
      </c>
      <c r="J333" t="n">
        <v>0</v>
      </c>
      <c r="K333" t="n">
        <v>0</v>
      </c>
      <c r="L333" t="n">
        <v>0</v>
      </c>
      <c r="M333" t="n">
        <v>0</v>
      </c>
      <c r="N333" t="n">
        <v>0</v>
      </c>
      <c r="O333" t="n">
        <v>0</v>
      </c>
      <c r="P333" t="n">
        <v>0</v>
      </c>
      <c r="Q333" t="n">
        <v>0</v>
      </c>
      <c r="R333" s="2" t="inlineStr"/>
    </row>
    <row r="334" ht="15" customHeight="1">
      <c r="A334" t="inlineStr">
        <is>
          <t>A 29978-2024</t>
        </is>
      </c>
      <c r="B334" s="1" t="n">
        <v>45488.48340277778</v>
      </c>
      <c r="C334" s="1" t="n">
        <v>46188</v>
      </c>
      <c r="D334" t="inlineStr">
        <is>
          <t>ÖREBRO LÄN</t>
        </is>
      </c>
      <c r="E334" t="inlineStr">
        <is>
          <t>ÖREBRO</t>
        </is>
      </c>
      <c r="G334" t="n">
        <v>1.8</v>
      </c>
      <c r="H334" t="n">
        <v>0</v>
      </c>
      <c r="I334" t="n">
        <v>0</v>
      </c>
      <c r="J334" t="n">
        <v>0</v>
      </c>
      <c r="K334" t="n">
        <v>0</v>
      </c>
      <c r="L334" t="n">
        <v>0</v>
      </c>
      <c r="M334" t="n">
        <v>0</v>
      </c>
      <c r="N334" t="n">
        <v>0</v>
      </c>
      <c r="O334" t="n">
        <v>0</v>
      </c>
      <c r="P334" t="n">
        <v>0</v>
      </c>
      <c r="Q334" t="n">
        <v>0</v>
      </c>
      <c r="R334" s="2" t="inlineStr"/>
    </row>
    <row r="335" ht="15" customHeight="1">
      <c r="A335" t="inlineStr">
        <is>
          <t>A 10502-2026</t>
        </is>
      </c>
      <c r="B335" s="1" t="n">
        <v>46077</v>
      </c>
      <c r="C335" s="1" t="n">
        <v>46188</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14032-2026</t>
        </is>
      </c>
      <c r="B336" s="1" t="n">
        <v>46098</v>
      </c>
      <c r="C336" s="1" t="n">
        <v>46188</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16374-2022</t>
        </is>
      </c>
      <c r="B337" s="1" t="n">
        <v>44671</v>
      </c>
      <c r="C337" s="1" t="n">
        <v>46188</v>
      </c>
      <c r="D337" t="inlineStr">
        <is>
          <t>ÖREBRO LÄN</t>
        </is>
      </c>
      <c r="E337" t="inlineStr">
        <is>
          <t>ÖREBRO</t>
        </is>
      </c>
      <c r="F337" t="inlineStr">
        <is>
          <t>Övriga Aktiebolag</t>
        </is>
      </c>
      <c r="G337" t="n">
        <v>30.3</v>
      </c>
      <c r="H337" t="n">
        <v>0</v>
      </c>
      <c r="I337" t="n">
        <v>0</v>
      </c>
      <c r="J337" t="n">
        <v>0</v>
      </c>
      <c r="K337" t="n">
        <v>0</v>
      </c>
      <c r="L337" t="n">
        <v>0</v>
      </c>
      <c r="M337" t="n">
        <v>0</v>
      </c>
      <c r="N337" t="n">
        <v>0</v>
      </c>
      <c r="O337" t="n">
        <v>0</v>
      </c>
      <c r="P337" t="n">
        <v>0</v>
      </c>
      <c r="Q337" t="n">
        <v>0</v>
      </c>
      <c r="R337" s="2" t="inlineStr"/>
    </row>
    <row r="338" ht="15" customHeight="1">
      <c r="A338" t="inlineStr">
        <is>
          <t>A 27956-2023</t>
        </is>
      </c>
      <c r="B338" s="1" t="n">
        <v>45098</v>
      </c>
      <c r="C338" s="1" t="n">
        <v>46188</v>
      </c>
      <c r="D338" t="inlineStr">
        <is>
          <t>ÖREBRO LÄN</t>
        </is>
      </c>
      <c r="E338" t="inlineStr">
        <is>
          <t>ÖREBRO</t>
        </is>
      </c>
      <c r="G338" t="n">
        <v>0.8</v>
      </c>
      <c r="H338" t="n">
        <v>0</v>
      </c>
      <c r="I338" t="n">
        <v>0</v>
      </c>
      <c r="J338" t="n">
        <v>0</v>
      </c>
      <c r="K338" t="n">
        <v>0</v>
      </c>
      <c r="L338" t="n">
        <v>0</v>
      </c>
      <c r="M338" t="n">
        <v>0</v>
      </c>
      <c r="N338" t="n">
        <v>0</v>
      </c>
      <c r="O338" t="n">
        <v>0</v>
      </c>
      <c r="P338" t="n">
        <v>0</v>
      </c>
      <c r="Q338" t="n">
        <v>0</v>
      </c>
      <c r="R338" s="2" t="inlineStr"/>
    </row>
    <row r="339" ht="15" customHeight="1">
      <c r="A339" t="inlineStr">
        <is>
          <t>A 13321-2024</t>
        </is>
      </c>
      <c r="B339" s="1" t="n">
        <v>45386.83142361111</v>
      </c>
      <c r="C339" s="1" t="n">
        <v>46188</v>
      </c>
      <c r="D339" t="inlineStr">
        <is>
          <t>ÖREBRO LÄN</t>
        </is>
      </c>
      <c r="E339" t="inlineStr">
        <is>
          <t>ÖREBRO</t>
        </is>
      </c>
      <c r="G339" t="n">
        <v>13.1</v>
      </c>
      <c r="H339" t="n">
        <v>0</v>
      </c>
      <c r="I339" t="n">
        <v>0</v>
      </c>
      <c r="J339" t="n">
        <v>0</v>
      </c>
      <c r="K339" t="n">
        <v>0</v>
      </c>
      <c r="L339" t="n">
        <v>0</v>
      </c>
      <c r="M339" t="n">
        <v>0</v>
      </c>
      <c r="N339" t="n">
        <v>0</v>
      </c>
      <c r="O339" t="n">
        <v>0</v>
      </c>
      <c r="P339" t="n">
        <v>0</v>
      </c>
      <c r="Q339" t="n">
        <v>0</v>
      </c>
      <c r="R339" s="2" t="inlineStr"/>
    </row>
    <row r="340" ht="15" customHeight="1">
      <c r="A340" t="inlineStr">
        <is>
          <t>A 15652-2025</t>
        </is>
      </c>
      <c r="B340" s="1" t="n">
        <v>45748</v>
      </c>
      <c r="C340" s="1" t="n">
        <v>46188</v>
      </c>
      <c r="D340" t="inlineStr">
        <is>
          <t>ÖREBRO LÄN</t>
        </is>
      </c>
      <c r="E340" t="inlineStr">
        <is>
          <t>ÖREBRO</t>
        </is>
      </c>
      <c r="G340" t="n">
        <v>1.8</v>
      </c>
      <c r="H340" t="n">
        <v>0</v>
      </c>
      <c r="I340" t="n">
        <v>0</v>
      </c>
      <c r="J340" t="n">
        <v>0</v>
      </c>
      <c r="K340" t="n">
        <v>0</v>
      </c>
      <c r="L340" t="n">
        <v>0</v>
      </c>
      <c r="M340" t="n">
        <v>0</v>
      </c>
      <c r="N340" t="n">
        <v>0</v>
      </c>
      <c r="O340" t="n">
        <v>0</v>
      </c>
      <c r="P340" t="n">
        <v>0</v>
      </c>
      <c r="Q340" t="n">
        <v>0</v>
      </c>
      <c r="R340" s="2" t="inlineStr"/>
    </row>
    <row r="341" ht="15" customHeight="1">
      <c r="A341" t="inlineStr">
        <is>
          <t>A 16737-2023</t>
        </is>
      </c>
      <c r="B341" s="1" t="n">
        <v>45030.72472222222</v>
      </c>
      <c r="C341" s="1" t="n">
        <v>46188</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51180-2023</t>
        </is>
      </c>
      <c r="B342" s="1" t="n">
        <v>45219</v>
      </c>
      <c r="C342" s="1" t="n">
        <v>46188</v>
      </c>
      <c r="D342" t="inlineStr">
        <is>
          <t>ÖREBRO LÄN</t>
        </is>
      </c>
      <c r="E342" t="inlineStr">
        <is>
          <t>ÖREBRO</t>
        </is>
      </c>
      <c r="G342" t="n">
        <v>6.5</v>
      </c>
      <c r="H342" t="n">
        <v>0</v>
      </c>
      <c r="I342" t="n">
        <v>0</v>
      </c>
      <c r="J342" t="n">
        <v>0</v>
      </c>
      <c r="K342" t="n">
        <v>0</v>
      </c>
      <c r="L342" t="n">
        <v>0</v>
      </c>
      <c r="M342" t="n">
        <v>0</v>
      </c>
      <c r="N342" t="n">
        <v>0</v>
      </c>
      <c r="O342" t="n">
        <v>0</v>
      </c>
      <c r="P342" t="n">
        <v>0</v>
      </c>
      <c r="Q342" t="n">
        <v>0</v>
      </c>
      <c r="R342" s="2" t="inlineStr"/>
    </row>
    <row r="343" ht="15" customHeight="1">
      <c r="A343" t="inlineStr">
        <is>
          <t>A 58621-2024</t>
        </is>
      </c>
      <c r="B343" s="1" t="n">
        <v>45635.56321759259</v>
      </c>
      <c r="C343" s="1" t="n">
        <v>46188</v>
      </c>
      <c r="D343" t="inlineStr">
        <is>
          <t>ÖREBRO LÄN</t>
        </is>
      </c>
      <c r="E343" t="inlineStr">
        <is>
          <t>ÖREBRO</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5578-2024</t>
        </is>
      </c>
      <c r="B344" s="1" t="n">
        <v>45334.49104166667</v>
      </c>
      <c r="C344" s="1" t="n">
        <v>46188</v>
      </c>
      <c r="D344" t="inlineStr">
        <is>
          <t>ÖREBRO LÄN</t>
        </is>
      </c>
      <c r="E344" t="inlineStr">
        <is>
          <t>ÖREBRO</t>
        </is>
      </c>
      <c r="G344" t="n">
        <v>2.4</v>
      </c>
      <c r="H344" t="n">
        <v>0</v>
      </c>
      <c r="I344" t="n">
        <v>0</v>
      </c>
      <c r="J344" t="n">
        <v>0</v>
      </c>
      <c r="K344" t="n">
        <v>0</v>
      </c>
      <c r="L344" t="n">
        <v>0</v>
      </c>
      <c r="M344" t="n">
        <v>0</v>
      </c>
      <c r="N344" t="n">
        <v>0</v>
      </c>
      <c r="O344" t="n">
        <v>0</v>
      </c>
      <c r="P344" t="n">
        <v>0</v>
      </c>
      <c r="Q344" t="n">
        <v>0</v>
      </c>
      <c r="R344" s="2" t="inlineStr"/>
    </row>
    <row r="345" ht="15" customHeight="1">
      <c r="A345" t="inlineStr">
        <is>
          <t>A 21261-2026</t>
        </is>
      </c>
      <c r="B345" s="1" t="n">
        <v>46147.39856481482</v>
      </c>
      <c r="C345" s="1" t="n">
        <v>46188</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35062-2025</t>
        </is>
      </c>
      <c r="B346" s="1" t="n">
        <v>45852</v>
      </c>
      <c r="C346" s="1" t="n">
        <v>46188</v>
      </c>
      <c r="D346" t="inlineStr">
        <is>
          <t>ÖREBRO LÄN</t>
        </is>
      </c>
      <c r="E346" t="inlineStr">
        <is>
          <t>ÖREBRO</t>
        </is>
      </c>
      <c r="G346" t="n">
        <v>2.8</v>
      </c>
      <c r="H346" t="n">
        <v>0</v>
      </c>
      <c r="I346" t="n">
        <v>0</v>
      </c>
      <c r="J346" t="n">
        <v>0</v>
      </c>
      <c r="K346" t="n">
        <v>0</v>
      </c>
      <c r="L346" t="n">
        <v>0</v>
      </c>
      <c r="M346" t="n">
        <v>0</v>
      </c>
      <c r="N346" t="n">
        <v>0</v>
      </c>
      <c r="O346" t="n">
        <v>0</v>
      </c>
      <c r="P346" t="n">
        <v>0</v>
      </c>
      <c r="Q346" t="n">
        <v>0</v>
      </c>
      <c r="R346" s="2" t="inlineStr"/>
    </row>
    <row r="347" ht="15" customHeight="1">
      <c r="A347" t="inlineStr">
        <is>
          <t>A 32086-2023</t>
        </is>
      </c>
      <c r="B347" s="1" t="n">
        <v>45119.59789351852</v>
      </c>
      <c r="C347" s="1" t="n">
        <v>46188</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2630-2023</t>
        </is>
      </c>
      <c r="B348" s="1" t="n">
        <v>44944.39105324074</v>
      </c>
      <c r="C348" s="1" t="n">
        <v>46188</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5330-2024</t>
        </is>
      </c>
      <c r="B349" s="1" t="n">
        <v>45331.4187962963</v>
      </c>
      <c r="C349" s="1" t="n">
        <v>46188</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54925-2023</t>
        </is>
      </c>
      <c r="B350" s="1" t="n">
        <v>45229</v>
      </c>
      <c r="C350" s="1" t="n">
        <v>46188</v>
      </c>
      <c r="D350" t="inlineStr">
        <is>
          <t>ÖREBRO LÄN</t>
        </is>
      </c>
      <c r="E350" t="inlineStr">
        <is>
          <t>ÖREBRO</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10830-2023</t>
        </is>
      </c>
      <c r="B351" s="1" t="n">
        <v>44990.89752314815</v>
      </c>
      <c r="C351" s="1" t="n">
        <v>46188</v>
      </c>
      <c r="D351" t="inlineStr">
        <is>
          <t>ÖREBRO LÄN</t>
        </is>
      </c>
      <c r="E351" t="inlineStr">
        <is>
          <t>ÖREBRO</t>
        </is>
      </c>
      <c r="G351" t="n">
        <v>2</v>
      </c>
      <c r="H351" t="n">
        <v>0</v>
      </c>
      <c r="I351" t="n">
        <v>0</v>
      </c>
      <c r="J351" t="n">
        <v>0</v>
      </c>
      <c r="K351" t="n">
        <v>0</v>
      </c>
      <c r="L351" t="n">
        <v>0</v>
      </c>
      <c r="M351" t="n">
        <v>0</v>
      </c>
      <c r="N351" t="n">
        <v>0</v>
      </c>
      <c r="O351" t="n">
        <v>0</v>
      </c>
      <c r="P351" t="n">
        <v>0</v>
      </c>
      <c r="Q351" t="n">
        <v>0</v>
      </c>
      <c r="R351" s="2" t="inlineStr"/>
    </row>
    <row r="352" ht="15" customHeight="1">
      <c r="A352" t="inlineStr">
        <is>
          <t>A 21899-2026</t>
        </is>
      </c>
      <c r="B352" s="1" t="n">
        <v>46150.60920138889</v>
      </c>
      <c r="C352" s="1" t="n">
        <v>46188</v>
      </c>
      <c r="D352" t="inlineStr">
        <is>
          <t>ÖREBRO LÄN</t>
        </is>
      </c>
      <c r="E352" t="inlineStr">
        <is>
          <t>ÖREBRO</t>
        </is>
      </c>
      <c r="G352" t="n">
        <v>3.3</v>
      </c>
      <c r="H352" t="n">
        <v>0</v>
      </c>
      <c r="I352" t="n">
        <v>0</v>
      </c>
      <c r="J352" t="n">
        <v>0</v>
      </c>
      <c r="K352" t="n">
        <v>0</v>
      </c>
      <c r="L352" t="n">
        <v>0</v>
      </c>
      <c r="M352" t="n">
        <v>0</v>
      </c>
      <c r="N352" t="n">
        <v>0</v>
      </c>
      <c r="O352" t="n">
        <v>0</v>
      </c>
      <c r="P352" t="n">
        <v>0</v>
      </c>
      <c r="Q352" t="n">
        <v>0</v>
      </c>
      <c r="R352" s="2" t="inlineStr"/>
    </row>
    <row r="353" ht="15" customHeight="1">
      <c r="A353" t="inlineStr">
        <is>
          <t>A 5125-2024</t>
        </is>
      </c>
      <c r="B353" s="1" t="n">
        <v>45330</v>
      </c>
      <c r="C353" s="1" t="n">
        <v>46188</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42138-2024</t>
        </is>
      </c>
      <c r="B354" s="1" t="n">
        <v>45562.41854166667</v>
      </c>
      <c r="C354" s="1" t="n">
        <v>46188</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35637-2025</t>
        </is>
      </c>
      <c r="B355" s="1" t="n">
        <v>45859.46859953704</v>
      </c>
      <c r="C355" s="1" t="n">
        <v>46188</v>
      </c>
      <c r="D355" t="inlineStr">
        <is>
          <t>ÖREBRO LÄN</t>
        </is>
      </c>
      <c r="E355" t="inlineStr">
        <is>
          <t>ÖREBRO</t>
        </is>
      </c>
      <c r="G355" t="n">
        <v>2.1</v>
      </c>
      <c r="H355" t="n">
        <v>0</v>
      </c>
      <c r="I355" t="n">
        <v>0</v>
      </c>
      <c r="J355" t="n">
        <v>0</v>
      </c>
      <c r="K355" t="n">
        <v>0</v>
      </c>
      <c r="L355" t="n">
        <v>0</v>
      </c>
      <c r="M355" t="n">
        <v>0</v>
      </c>
      <c r="N355" t="n">
        <v>0</v>
      </c>
      <c r="O355" t="n">
        <v>0</v>
      </c>
      <c r="P355" t="n">
        <v>0</v>
      </c>
      <c r="Q355" t="n">
        <v>0</v>
      </c>
      <c r="R355" s="2" t="inlineStr"/>
    </row>
    <row r="356" ht="15" customHeight="1">
      <c r="A356" t="inlineStr">
        <is>
          <t>A 26101-2022</t>
        </is>
      </c>
      <c r="B356" s="1" t="n">
        <v>44734</v>
      </c>
      <c r="C356" s="1" t="n">
        <v>46188</v>
      </c>
      <c r="D356" t="inlineStr">
        <is>
          <t>ÖREBRO LÄN</t>
        </is>
      </c>
      <c r="E356" t="inlineStr">
        <is>
          <t>ÖREBRO</t>
        </is>
      </c>
      <c r="G356" t="n">
        <v>15.8</v>
      </c>
      <c r="H356" t="n">
        <v>0</v>
      </c>
      <c r="I356" t="n">
        <v>0</v>
      </c>
      <c r="J356" t="n">
        <v>0</v>
      </c>
      <c r="K356" t="n">
        <v>0</v>
      </c>
      <c r="L356" t="n">
        <v>0</v>
      </c>
      <c r="M356" t="n">
        <v>0</v>
      </c>
      <c r="N356" t="n">
        <v>0</v>
      </c>
      <c r="O356" t="n">
        <v>0</v>
      </c>
      <c r="P356" t="n">
        <v>0</v>
      </c>
      <c r="Q356" t="n">
        <v>0</v>
      </c>
      <c r="R356" s="2" t="inlineStr"/>
    </row>
    <row r="357" ht="15" customHeight="1">
      <c r="A357" t="inlineStr">
        <is>
          <t>A 2095-2025</t>
        </is>
      </c>
      <c r="B357" s="1" t="n">
        <v>45672</v>
      </c>
      <c r="C357" s="1" t="n">
        <v>46188</v>
      </c>
      <c r="D357" t="inlineStr">
        <is>
          <t>ÖREBRO LÄN</t>
        </is>
      </c>
      <c r="E357" t="inlineStr">
        <is>
          <t>ÖREBRO</t>
        </is>
      </c>
      <c r="G357" t="n">
        <v>1.2</v>
      </c>
      <c r="H357" t="n">
        <v>0</v>
      </c>
      <c r="I357" t="n">
        <v>0</v>
      </c>
      <c r="J357" t="n">
        <v>0</v>
      </c>
      <c r="K357" t="n">
        <v>0</v>
      </c>
      <c r="L357" t="n">
        <v>0</v>
      </c>
      <c r="M357" t="n">
        <v>0</v>
      </c>
      <c r="N357" t="n">
        <v>0</v>
      </c>
      <c r="O357" t="n">
        <v>0</v>
      </c>
      <c r="P357" t="n">
        <v>0</v>
      </c>
      <c r="Q357" t="n">
        <v>0</v>
      </c>
      <c r="R357" s="2" t="inlineStr"/>
    </row>
    <row r="358" ht="15" customHeight="1">
      <c r="A358" t="inlineStr">
        <is>
          <t>A 71206-2021</t>
        </is>
      </c>
      <c r="B358" s="1" t="n">
        <v>44539</v>
      </c>
      <c r="C358" s="1" t="n">
        <v>46188</v>
      </c>
      <c r="D358" t="inlineStr">
        <is>
          <t>ÖREBRO LÄN</t>
        </is>
      </c>
      <c r="E358" t="inlineStr">
        <is>
          <t>ÖREBRO</t>
        </is>
      </c>
      <c r="G358" t="n">
        <v>2.5</v>
      </c>
      <c r="H358" t="n">
        <v>0</v>
      </c>
      <c r="I358" t="n">
        <v>0</v>
      </c>
      <c r="J358" t="n">
        <v>0</v>
      </c>
      <c r="K358" t="n">
        <v>0</v>
      </c>
      <c r="L358" t="n">
        <v>0</v>
      </c>
      <c r="M358" t="n">
        <v>0</v>
      </c>
      <c r="N358" t="n">
        <v>0</v>
      </c>
      <c r="O358" t="n">
        <v>0</v>
      </c>
      <c r="P358" t="n">
        <v>0</v>
      </c>
      <c r="Q358" t="n">
        <v>0</v>
      </c>
      <c r="R358" s="2" t="inlineStr"/>
    </row>
    <row r="359" ht="15" customHeight="1">
      <c r="A359" t="inlineStr">
        <is>
          <t>A 13778-2026</t>
        </is>
      </c>
      <c r="B359" s="1" t="n">
        <v>46097</v>
      </c>
      <c r="C359" s="1" t="n">
        <v>46188</v>
      </c>
      <c r="D359" t="inlineStr">
        <is>
          <t>ÖREBRO LÄN</t>
        </is>
      </c>
      <c r="E359" t="inlineStr">
        <is>
          <t>ÖREBRO</t>
        </is>
      </c>
      <c r="F359" t="inlineStr">
        <is>
          <t>Övriga Aktiebolag</t>
        </is>
      </c>
      <c r="G359" t="n">
        <v>23.7</v>
      </c>
      <c r="H359" t="n">
        <v>0</v>
      </c>
      <c r="I359" t="n">
        <v>0</v>
      </c>
      <c r="J359" t="n">
        <v>0</v>
      </c>
      <c r="K359" t="n">
        <v>0</v>
      </c>
      <c r="L359" t="n">
        <v>0</v>
      </c>
      <c r="M359" t="n">
        <v>0</v>
      </c>
      <c r="N359" t="n">
        <v>0</v>
      </c>
      <c r="O359" t="n">
        <v>0</v>
      </c>
      <c r="P359" t="n">
        <v>0</v>
      </c>
      <c r="Q359" t="n">
        <v>0</v>
      </c>
      <c r="R359" s="2" t="inlineStr"/>
    </row>
    <row r="360" ht="15" customHeight="1">
      <c r="A360" t="inlineStr">
        <is>
          <t>A 48140-2024</t>
        </is>
      </c>
      <c r="B360" s="1" t="n">
        <v>45589.66474537037</v>
      </c>
      <c r="C360" s="1" t="n">
        <v>46188</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35928-2025</t>
        </is>
      </c>
      <c r="B361" s="1" t="n">
        <v>45862</v>
      </c>
      <c r="C361" s="1" t="n">
        <v>46188</v>
      </c>
      <c r="D361" t="inlineStr">
        <is>
          <t>ÖREBRO LÄN</t>
        </is>
      </c>
      <c r="E361" t="inlineStr">
        <is>
          <t>ÖREBRO</t>
        </is>
      </c>
      <c r="G361" t="n">
        <v>4.4</v>
      </c>
      <c r="H361" t="n">
        <v>0</v>
      </c>
      <c r="I361" t="n">
        <v>0</v>
      </c>
      <c r="J361" t="n">
        <v>0</v>
      </c>
      <c r="K361" t="n">
        <v>0</v>
      </c>
      <c r="L361" t="n">
        <v>0</v>
      </c>
      <c r="M361" t="n">
        <v>0</v>
      </c>
      <c r="N361" t="n">
        <v>0</v>
      </c>
      <c r="O361" t="n">
        <v>0</v>
      </c>
      <c r="P361" t="n">
        <v>0</v>
      </c>
      <c r="Q361" t="n">
        <v>0</v>
      </c>
      <c r="R361" s="2" t="inlineStr"/>
    </row>
    <row r="362" ht="15" customHeight="1">
      <c r="A362" t="inlineStr">
        <is>
          <t>A 33577-2023</t>
        </is>
      </c>
      <c r="B362" s="1" t="n">
        <v>45131</v>
      </c>
      <c r="C362" s="1" t="n">
        <v>46188</v>
      </c>
      <c r="D362" t="inlineStr">
        <is>
          <t>ÖREBRO LÄN</t>
        </is>
      </c>
      <c r="E362" t="inlineStr">
        <is>
          <t>ÖREBRO</t>
        </is>
      </c>
      <c r="G362" t="n">
        <v>2</v>
      </c>
      <c r="H362" t="n">
        <v>0</v>
      </c>
      <c r="I362" t="n">
        <v>0</v>
      </c>
      <c r="J362" t="n">
        <v>0</v>
      </c>
      <c r="K362" t="n">
        <v>0</v>
      </c>
      <c r="L362" t="n">
        <v>0</v>
      </c>
      <c r="M362" t="n">
        <v>0</v>
      </c>
      <c r="N362" t="n">
        <v>0</v>
      </c>
      <c r="O362" t="n">
        <v>0</v>
      </c>
      <c r="P362" t="n">
        <v>0</v>
      </c>
      <c r="Q362" t="n">
        <v>0</v>
      </c>
      <c r="R362" s="2" t="inlineStr"/>
    </row>
    <row r="363" ht="15" customHeight="1">
      <c r="A363" t="inlineStr">
        <is>
          <t>A 38489-2023</t>
        </is>
      </c>
      <c r="B363" s="1" t="n">
        <v>45162</v>
      </c>
      <c r="C363" s="1" t="n">
        <v>46188</v>
      </c>
      <c r="D363" t="inlineStr">
        <is>
          <t>ÖREBRO LÄN</t>
        </is>
      </c>
      <c r="E363" t="inlineStr">
        <is>
          <t>ÖREBRO</t>
        </is>
      </c>
      <c r="G363" t="n">
        <v>1.8</v>
      </c>
      <c r="H363" t="n">
        <v>0</v>
      </c>
      <c r="I363" t="n">
        <v>0</v>
      </c>
      <c r="J363" t="n">
        <v>0</v>
      </c>
      <c r="K363" t="n">
        <v>0</v>
      </c>
      <c r="L363" t="n">
        <v>0</v>
      </c>
      <c r="M363" t="n">
        <v>0</v>
      </c>
      <c r="N363" t="n">
        <v>0</v>
      </c>
      <c r="O363" t="n">
        <v>0</v>
      </c>
      <c r="P363" t="n">
        <v>0</v>
      </c>
      <c r="Q363" t="n">
        <v>0</v>
      </c>
      <c r="R363" s="2" t="inlineStr"/>
    </row>
    <row r="364" ht="15" customHeight="1">
      <c r="A364" t="inlineStr">
        <is>
          <t>A 22199-2026</t>
        </is>
      </c>
      <c r="B364" s="1" t="n">
        <v>46153.66310185185</v>
      </c>
      <c r="C364" s="1" t="n">
        <v>46188</v>
      </c>
      <c r="D364" t="inlineStr">
        <is>
          <t>ÖREBRO LÄN</t>
        </is>
      </c>
      <c r="E364" t="inlineStr">
        <is>
          <t>ÖREBRO</t>
        </is>
      </c>
      <c r="G364" t="n">
        <v>4.9</v>
      </c>
      <c r="H364" t="n">
        <v>0</v>
      </c>
      <c r="I364" t="n">
        <v>0</v>
      </c>
      <c r="J364" t="n">
        <v>0</v>
      </c>
      <c r="K364" t="n">
        <v>0</v>
      </c>
      <c r="L364" t="n">
        <v>0</v>
      </c>
      <c r="M364" t="n">
        <v>0</v>
      </c>
      <c r="N364" t="n">
        <v>0</v>
      </c>
      <c r="O364" t="n">
        <v>0</v>
      </c>
      <c r="P364" t="n">
        <v>0</v>
      </c>
      <c r="Q364" t="n">
        <v>0</v>
      </c>
      <c r="R364" s="2" t="inlineStr"/>
    </row>
    <row r="365" ht="15" customHeight="1">
      <c r="A365" t="inlineStr">
        <is>
          <t>A 19763-2024</t>
        </is>
      </c>
      <c r="B365" s="1" t="n">
        <v>45432</v>
      </c>
      <c r="C365" s="1" t="n">
        <v>46188</v>
      </c>
      <c r="D365" t="inlineStr">
        <is>
          <t>ÖREBRO LÄN</t>
        </is>
      </c>
      <c r="E365" t="inlineStr">
        <is>
          <t>ÖREBRO</t>
        </is>
      </c>
      <c r="G365" t="n">
        <v>1.9</v>
      </c>
      <c r="H365" t="n">
        <v>0</v>
      </c>
      <c r="I365" t="n">
        <v>0</v>
      </c>
      <c r="J365" t="n">
        <v>0</v>
      </c>
      <c r="K365" t="n">
        <v>0</v>
      </c>
      <c r="L365" t="n">
        <v>0</v>
      </c>
      <c r="M365" t="n">
        <v>0</v>
      </c>
      <c r="N365" t="n">
        <v>0</v>
      </c>
      <c r="O365" t="n">
        <v>0</v>
      </c>
      <c r="P365" t="n">
        <v>0</v>
      </c>
      <c r="Q365" t="n">
        <v>0</v>
      </c>
      <c r="R365" s="2" t="inlineStr"/>
    </row>
    <row r="366" ht="15" customHeight="1">
      <c r="A366" t="inlineStr">
        <is>
          <t>A 14545-2023</t>
        </is>
      </c>
      <c r="B366" s="1" t="n">
        <v>45013.34895833334</v>
      </c>
      <c r="C366" s="1" t="n">
        <v>46188</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54917-2023</t>
        </is>
      </c>
      <c r="B367" s="1" t="n">
        <v>45229</v>
      </c>
      <c r="C367" s="1" t="n">
        <v>46188</v>
      </c>
      <c r="D367" t="inlineStr">
        <is>
          <t>ÖREBRO LÄN</t>
        </is>
      </c>
      <c r="E367" t="inlineStr">
        <is>
          <t>ÖREBRO</t>
        </is>
      </c>
      <c r="G367" t="n">
        <v>3.1</v>
      </c>
      <c r="H367" t="n">
        <v>0</v>
      </c>
      <c r="I367" t="n">
        <v>0</v>
      </c>
      <c r="J367" t="n">
        <v>0</v>
      </c>
      <c r="K367" t="n">
        <v>0</v>
      </c>
      <c r="L367" t="n">
        <v>0</v>
      </c>
      <c r="M367" t="n">
        <v>0</v>
      </c>
      <c r="N367" t="n">
        <v>0</v>
      </c>
      <c r="O367" t="n">
        <v>0</v>
      </c>
      <c r="P367" t="n">
        <v>0</v>
      </c>
      <c r="Q367" t="n">
        <v>0</v>
      </c>
      <c r="R367" s="2" t="inlineStr"/>
    </row>
    <row r="368" ht="15" customHeight="1">
      <c r="A368" t="inlineStr">
        <is>
          <t>A 14432-2023</t>
        </is>
      </c>
      <c r="B368" s="1" t="n">
        <v>45012</v>
      </c>
      <c r="C368" s="1" t="n">
        <v>46188</v>
      </c>
      <c r="D368" t="inlineStr">
        <is>
          <t>ÖREBRO LÄN</t>
        </is>
      </c>
      <c r="E368" t="inlineStr">
        <is>
          <t>ÖREBRO</t>
        </is>
      </c>
      <c r="G368" t="n">
        <v>3.3</v>
      </c>
      <c r="H368" t="n">
        <v>0</v>
      </c>
      <c r="I368" t="n">
        <v>0</v>
      </c>
      <c r="J368" t="n">
        <v>0</v>
      </c>
      <c r="K368" t="n">
        <v>0</v>
      </c>
      <c r="L368" t="n">
        <v>0</v>
      </c>
      <c r="M368" t="n">
        <v>0</v>
      </c>
      <c r="N368" t="n">
        <v>0</v>
      </c>
      <c r="O368" t="n">
        <v>0</v>
      </c>
      <c r="P368" t="n">
        <v>0</v>
      </c>
      <c r="Q368" t="n">
        <v>0</v>
      </c>
      <c r="R368" s="2" t="inlineStr"/>
    </row>
    <row r="369" ht="15" customHeight="1">
      <c r="A369" t="inlineStr">
        <is>
          <t>A 32025-2024</t>
        </is>
      </c>
      <c r="B369" s="1" t="n">
        <v>45510.65754629629</v>
      </c>
      <c r="C369" s="1" t="n">
        <v>46188</v>
      </c>
      <c r="D369" t="inlineStr">
        <is>
          <t>ÖREBRO LÄN</t>
        </is>
      </c>
      <c r="E369" t="inlineStr">
        <is>
          <t>ÖREBRO</t>
        </is>
      </c>
      <c r="G369" t="n">
        <v>4</v>
      </c>
      <c r="H369" t="n">
        <v>0</v>
      </c>
      <c r="I369" t="n">
        <v>0</v>
      </c>
      <c r="J369" t="n">
        <v>0</v>
      </c>
      <c r="K369" t="n">
        <v>0</v>
      </c>
      <c r="L369" t="n">
        <v>0</v>
      </c>
      <c r="M369" t="n">
        <v>0</v>
      </c>
      <c r="N369" t="n">
        <v>0</v>
      </c>
      <c r="O369" t="n">
        <v>0</v>
      </c>
      <c r="P369" t="n">
        <v>0</v>
      </c>
      <c r="Q369" t="n">
        <v>0</v>
      </c>
      <c r="R369" s="2" t="inlineStr"/>
    </row>
    <row r="370" ht="15" customHeight="1">
      <c r="A370" t="inlineStr">
        <is>
          <t>A 3652-2022</t>
        </is>
      </c>
      <c r="B370" s="1" t="n">
        <v>44586.46921296296</v>
      </c>
      <c r="C370" s="1" t="n">
        <v>46188</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55453-2024</t>
        </is>
      </c>
      <c r="B371" s="1" t="n">
        <v>45622.42097222222</v>
      </c>
      <c r="C371" s="1" t="n">
        <v>46188</v>
      </c>
      <c r="D371" t="inlineStr">
        <is>
          <t>ÖREBRO LÄN</t>
        </is>
      </c>
      <c r="E371" t="inlineStr">
        <is>
          <t>ÖREBRO</t>
        </is>
      </c>
      <c r="G371" t="n">
        <v>8.5</v>
      </c>
      <c r="H371" t="n">
        <v>0</v>
      </c>
      <c r="I371" t="n">
        <v>0</v>
      </c>
      <c r="J371" t="n">
        <v>0</v>
      </c>
      <c r="K371" t="n">
        <v>0</v>
      </c>
      <c r="L371" t="n">
        <v>0</v>
      </c>
      <c r="M371" t="n">
        <v>0</v>
      </c>
      <c r="N371" t="n">
        <v>0</v>
      </c>
      <c r="O371" t="n">
        <v>0</v>
      </c>
      <c r="P371" t="n">
        <v>0</v>
      </c>
      <c r="Q371" t="n">
        <v>0</v>
      </c>
      <c r="R371" s="2" t="inlineStr"/>
    </row>
    <row r="372" ht="15" customHeight="1">
      <c r="A372" t="inlineStr">
        <is>
          <t>A 36448-2025</t>
        </is>
      </c>
      <c r="B372" s="1" t="n">
        <v>45869.41929398148</v>
      </c>
      <c r="C372" s="1" t="n">
        <v>46188</v>
      </c>
      <c r="D372" t="inlineStr">
        <is>
          <t>ÖREBRO LÄN</t>
        </is>
      </c>
      <c r="E372" t="inlineStr">
        <is>
          <t>ÖREBRO</t>
        </is>
      </c>
      <c r="F372" t="inlineStr">
        <is>
          <t>Övriga Aktiebolag</t>
        </is>
      </c>
      <c r="G372" t="n">
        <v>4.3</v>
      </c>
      <c r="H372" t="n">
        <v>0</v>
      </c>
      <c r="I372" t="n">
        <v>0</v>
      </c>
      <c r="J372" t="n">
        <v>0</v>
      </c>
      <c r="K372" t="n">
        <v>0</v>
      </c>
      <c r="L372" t="n">
        <v>0</v>
      </c>
      <c r="M372" t="n">
        <v>0</v>
      </c>
      <c r="N372" t="n">
        <v>0</v>
      </c>
      <c r="O372" t="n">
        <v>0</v>
      </c>
      <c r="P372" t="n">
        <v>0</v>
      </c>
      <c r="Q372" t="n">
        <v>0</v>
      </c>
      <c r="R372" s="2" t="inlineStr"/>
    </row>
    <row r="373" ht="15" customHeight="1">
      <c r="A373" t="inlineStr">
        <is>
          <t>A 52499-2024</t>
        </is>
      </c>
      <c r="B373" s="1" t="n">
        <v>45609.58422453704</v>
      </c>
      <c r="C373" s="1" t="n">
        <v>46188</v>
      </c>
      <c r="D373" t="inlineStr">
        <is>
          <t>ÖREBRO LÄN</t>
        </is>
      </c>
      <c r="E373" t="inlineStr">
        <is>
          <t>ÖREBRO</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13623-2024</t>
        </is>
      </c>
      <c r="B374" s="1" t="n">
        <v>45390.38626157407</v>
      </c>
      <c r="C374" s="1" t="n">
        <v>46188</v>
      </c>
      <c r="D374" t="inlineStr">
        <is>
          <t>ÖREBRO LÄN</t>
        </is>
      </c>
      <c r="E374" t="inlineStr">
        <is>
          <t>ÖREBRO</t>
        </is>
      </c>
      <c r="G374" t="n">
        <v>1.1</v>
      </c>
      <c r="H374" t="n">
        <v>0</v>
      </c>
      <c r="I374" t="n">
        <v>0</v>
      </c>
      <c r="J374" t="n">
        <v>0</v>
      </c>
      <c r="K374" t="n">
        <v>0</v>
      </c>
      <c r="L374" t="n">
        <v>0</v>
      </c>
      <c r="M374" t="n">
        <v>0</v>
      </c>
      <c r="N374" t="n">
        <v>0</v>
      </c>
      <c r="O374" t="n">
        <v>0</v>
      </c>
      <c r="P374" t="n">
        <v>0</v>
      </c>
      <c r="Q374" t="n">
        <v>0</v>
      </c>
      <c r="R374" s="2" t="inlineStr"/>
    </row>
    <row r="375" ht="15" customHeight="1">
      <c r="A375" t="inlineStr">
        <is>
          <t>A 23053-2026</t>
        </is>
      </c>
      <c r="B375" s="1" t="n">
        <v>46161.4450462963</v>
      </c>
      <c r="C375" s="1" t="n">
        <v>46188</v>
      </c>
      <c r="D375" t="inlineStr">
        <is>
          <t>ÖREBRO LÄN</t>
        </is>
      </c>
      <c r="E375" t="inlineStr">
        <is>
          <t>ÖREBRO</t>
        </is>
      </c>
      <c r="G375" t="n">
        <v>6.3</v>
      </c>
      <c r="H375" t="n">
        <v>0</v>
      </c>
      <c r="I375" t="n">
        <v>0</v>
      </c>
      <c r="J375" t="n">
        <v>0</v>
      </c>
      <c r="K375" t="n">
        <v>0</v>
      </c>
      <c r="L375" t="n">
        <v>0</v>
      </c>
      <c r="M375" t="n">
        <v>0</v>
      </c>
      <c r="N375" t="n">
        <v>0</v>
      </c>
      <c r="O375" t="n">
        <v>0</v>
      </c>
      <c r="P375" t="n">
        <v>0</v>
      </c>
      <c r="Q375" t="n">
        <v>0</v>
      </c>
      <c r="R375" s="2" t="inlineStr"/>
    </row>
    <row r="376" ht="15" customHeight="1">
      <c r="A376" t="inlineStr">
        <is>
          <t>A 5619-2023</t>
        </is>
      </c>
      <c r="B376" s="1" t="n">
        <v>44958</v>
      </c>
      <c r="C376" s="1" t="n">
        <v>46188</v>
      </c>
      <c r="D376" t="inlineStr">
        <is>
          <t>ÖREBRO LÄN</t>
        </is>
      </c>
      <c r="E376" t="inlineStr">
        <is>
          <t>ÖREBRO</t>
        </is>
      </c>
      <c r="G376" t="n">
        <v>27</v>
      </c>
      <c r="H376" t="n">
        <v>0</v>
      </c>
      <c r="I376" t="n">
        <v>0</v>
      </c>
      <c r="J376" t="n">
        <v>0</v>
      </c>
      <c r="K376" t="n">
        <v>0</v>
      </c>
      <c r="L376" t="n">
        <v>0</v>
      </c>
      <c r="M376" t="n">
        <v>0</v>
      </c>
      <c r="N376" t="n">
        <v>0</v>
      </c>
      <c r="O376" t="n">
        <v>0</v>
      </c>
      <c r="P376" t="n">
        <v>0</v>
      </c>
      <c r="Q376" t="n">
        <v>0</v>
      </c>
      <c r="R376" s="2" t="inlineStr"/>
    </row>
    <row r="377" ht="15" customHeight="1">
      <c r="A377" t="inlineStr">
        <is>
          <t>A 37277-2022</t>
        </is>
      </c>
      <c r="B377" s="1" t="n">
        <v>44807.49150462963</v>
      </c>
      <c r="C377" s="1" t="n">
        <v>46188</v>
      </c>
      <c r="D377" t="inlineStr">
        <is>
          <t>ÖREBRO LÄN</t>
        </is>
      </c>
      <c r="E377" t="inlineStr">
        <is>
          <t>ÖREBRO</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23573-2023</t>
        </is>
      </c>
      <c r="B378" s="1" t="n">
        <v>45077.41672453703</v>
      </c>
      <c r="C378" s="1" t="n">
        <v>46188</v>
      </c>
      <c r="D378" t="inlineStr">
        <is>
          <t>ÖREBRO LÄN</t>
        </is>
      </c>
      <c r="E378" t="inlineStr">
        <is>
          <t>ÖREBRO</t>
        </is>
      </c>
      <c r="G378" t="n">
        <v>2.9</v>
      </c>
      <c r="H378" t="n">
        <v>0</v>
      </c>
      <c r="I378" t="n">
        <v>0</v>
      </c>
      <c r="J378" t="n">
        <v>0</v>
      </c>
      <c r="K378" t="n">
        <v>0</v>
      </c>
      <c r="L378" t="n">
        <v>0</v>
      </c>
      <c r="M378" t="n">
        <v>0</v>
      </c>
      <c r="N378" t="n">
        <v>0</v>
      </c>
      <c r="O378" t="n">
        <v>0</v>
      </c>
      <c r="P378" t="n">
        <v>0</v>
      </c>
      <c r="Q378" t="n">
        <v>0</v>
      </c>
      <c r="R378" s="2" t="inlineStr"/>
    </row>
    <row r="379" ht="15" customHeight="1">
      <c r="A379" t="inlineStr">
        <is>
          <t>A 61593-2023</t>
        </is>
      </c>
      <c r="B379" s="1" t="n">
        <v>45265</v>
      </c>
      <c r="C379" s="1" t="n">
        <v>46188</v>
      </c>
      <c r="D379" t="inlineStr">
        <is>
          <t>ÖREBRO LÄN</t>
        </is>
      </c>
      <c r="E379" t="inlineStr">
        <is>
          <t>ÖREBRO</t>
        </is>
      </c>
      <c r="G379" t="n">
        <v>2.5</v>
      </c>
      <c r="H379" t="n">
        <v>0</v>
      </c>
      <c r="I379" t="n">
        <v>0</v>
      </c>
      <c r="J379" t="n">
        <v>0</v>
      </c>
      <c r="K379" t="n">
        <v>0</v>
      </c>
      <c r="L379" t="n">
        <v>0</v>
      </c>
      <c r="M379" t="n">
        <v>0</v>
      </c>
      <c r="N379" t="n">
        <v>0</v>
      </c>
      <c r="O379" t="n">
        <v>0</v>
      </c>
      <c r="P379" t="n">
        <v>0</v>
      </c>
      <c r="Q379" t="n">
        <v>0</v>
      </c>
      <c r="R379" s="2" t="inlineStr"/>
    </row>
    <row r="380" ht="15" customHeight="1">
      <c r="A380" t="inlineStr">
        <is>
          <t>A 59024-2024</t>
        </is>
      </c>
      <c r="B380" s="1" t="n">
        <v>45636.68505787037</v>
      </c>
      <c r="C380" s="1" t="n">
        <v>46188</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10339-2023</t>
        </is>
      </c>
      <c r="B381" s="1" t="n">
        <v>44987</v>
      </c>
      <c r="C381" s="1" t="n">
        <v>46188</v>
      </c>
      <c r="D381" t="inlineStr">
        <is>
          <t>ÖREBRO LÄN</t>
        </is>
      </c>
      <c r="E381" t="inlineStr">
        <is>
          <t>ÖREBRO</t>
        </is>
      </c>
      <c r="G381" t="n">
        <v>1</v>
      </c>
      <c r="H381" t="n">
        <v>0</v>
      </c>
      <c r="I381" t="n">
        <v>0</v>
      </c>
      <c r="J381" t="n">
        <v>0</v>
      </c>
      <c r="K381" t="n">
        <v>0</v>
      </c>
      <c r="L381" t="n">
        <v>0</v>
      </c>
      <c r="M381" t="n">
        <v>0</v>
      </c>
      <c r="N381" t="n">
        <v>0</v>
      </c>
      <c r="O381" t="n">
        <v>0</v>
      </c>
      <c r="P381" t="n">
        <v>0</v>
      </c>
      <c r="Q381" t="n">
        <v>0</v>
      </c>
      <c r="R381" s="2" t="inlineStr"/>
    </row>
    <row r="382" ht="15" customHeight="1">
      <c r="A382" t="inlineStr">
        <is>
          <t>A 16165-2023</t>
        </is>
      </c>
      <c r="B382" s="1" t="n">
        <v>45027</v>
      </c>
      <c r="C382" s="1" t="n">
        <v>46188</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17744-2026</t>
        </is>
      </c>
      <c r="B383" s="1" t="n">
        <v>46122.31243055555</v>
      </c>
      <c r="C383" s="1" t="n">
        <v>46188</v>
      </c>
      <c r="D383" t="inlineStr">
        <is>
          <t>ÖREBRO LÄN</t>
        </is>
      </c>
      <c r="E383" t="inlineStr">
        <is>
          <t>ÖREBRO</t>
        </is>
      </c>
      <c r="G383" t="n">
        <v>3.5</v>
      </c>
      <c r="H383" t="n">
        <v>0</v>
      </c>
      <c r="I383" t="n">
        <v>0</v>
      </c>
      <c r="J383" t="n">
        <v>0</v>
      </c>
      <c r="K383" t="n">
        <v>0</v>
      </c>
      <c r="L383" t="n">
        <v>0</v>
      </c>
      <c r="M383" t="n">
        <v>0</v>
      </c>
      <c r="N383" t="n">
        <v>0</v>
      </c>
      <c r="O383" t="n">
        <v>0</v>
      </c>
      <c r="P383" t="n">
        <v>0</v>
      </c>
      <c r="Q383" t="n">
        <v>0</v>
      </c>
      <c r="R383" s="2" t="inlineStr"/>
    </row>
    <row r="384" ht="15" customHeight="1">
      <c r="A384" t="inlineStr">
        <is>
          <t>A 39130-2023</t>
        </is>
      </c>
      <c r="B384" s="1" t="n">
        <v>45165</v>
      </c>
      <c r="C384" s="1" t="n">
        <v>46188</v>
      </c>
      <c r="D384" t="inlineStr">
        <is>
          <t>ÖREBRO LÄN</t>
        </is>
      </c>
      <c r="E384" t="inlineStr">
        <is>
          <t>ÖREBRO</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50398-2022</t>
        </is>
      </c>
      <c r="B385" s="1" t="n">
        <v>44861</v>
      </c>
      <c r="C385" s="1" t="n">
        <v>46188</v>
      </c>
      <c r="D385" t="inlineStr">
        <is>
          <t>ÖREBRO LÄN</t>
        </is>
      </c>
      <c r="E385" t="inlineStr">
        <is>
          <t>ÖREBRO</t>
        </is>
      </c>
      <c r="G385" t="n">
        <v>1.9</v>
      </c>
      <c r="H385" t="n">
        <v>0</v>
      </c>
      <c r="I385" t="n">
        <v>0</v>
      </c>
      <c r="J385" t="n">
        <v>0</v>
      </c>
      <c r="K385" t="n">
        <v>0</v>
      </c>
      <c r="L385" t="n">
        <v>0</v>
      </c>
      <c r="M385" t="n">
        <v>0</v>
      </c>
      <c r="N385" t="n">
        <v>0</v>
      </c>
      <c r="O385" t="n">
        <v>0</v>
      </c>
      <c r="P385" t="n">
        <v>0</v>
      </c>
      <c r="Q385" t="n">
        <v>0</v>
      </c>
      <c r="R385" s="2" t="inlineStr"/>
    </row>
    <row r="386" ht="15" customHeight="1">
      <c r="A386" t="inlineStr">
        <is>
          <t>A 29554-2025</t>
        </is>
      </c>
      <c r="B386" s="1" t="n">
        <v>45825</v>
      </c>
      <c r="C386" s="1" t="n">
        <v>46188</v>
      </c>
      <c r="D386" t="inlineStr">
        <is>
          <t>ÖREBRO LÄN</t>
        </is>
      </c>
      <c r="E386" t="inlineStr">
        <is>
          <t>ÖREBRO</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9379-2024</t>
        </is>
      </c>
      <c r="B387" s="1" t="n">
        <v>45359.37298611111</v>
      </c>
      <c r="C387" s="1" t="n">
        <v>46188</v>
      </c>
      <c r="D387" t="inlineStr">
        <is>
          <t>ÖREBRO LÄN</t>
        </is>
      </c>
      <c r="E387" t="inlineStr">
        <is>
          <t>ÖREBRO</t>
        </is>
      </c>
      <c r="G387" t="n">
        <v>2.4</v>
      </c>
      <c r="H387" t="n">
        <v>0</v>
      </c>
      <c r="I387" t="n">
        <v>0</v>
      </c>
      <c r="J387" t="n">
        <v>0</v>
      </c>
      <c r="K387" t="n">
        <v>0</v>
      </c>
      <c r="L387" t="n">
        <v>0</v>
      </c>
      <c r="M387" t="n">
        <v>0</v>
      </c>
      <c r="N387" t="n">
        <v>0</v>
      </c>
      <c r="O387" t="n">
        <v>0</v>
      </c>
      <c r="P387" t="n">
        <v>0</v>
      </c>
      <c r="Q387" t="n">
        <v>0</v>
      </c>
      <c r="R387" s="2" t="inlineStr"/>
    </row>
    <row r="388" ht="15" customHeight="1">
      <c r="A388" t="inlineStr">
        <is>
          <t>A 23033-2026</t>
        </is>
      </c>
      <c r="B388" s="1" t="n">
        <v>46161.36910879629</v>
      </c>
      <c r="C388" s="1" t="n">
        <v>46188</v>
      </c>
      <c r="D388" t="inlineStr">
        <is>
          <t>ÖREBRO LÄN</t>
        </is>
      </c>
      <c r="E388" t="inlineStr">
        <is>
          <t>ÖREBRO</t>
        </is>
      </c>
      <c r="G388" t="n">
        <v>0.6</v>
      </c>
      <c r="H388" t="n">
        <v>0</v>
      </c>
      <c r="I388" t="n">
        <v>0</v>
      </c>
      <c r="J388" t="n">
        <v>0</v>
      </c>
      <c r="K388" t="n">
        <v>0</v>
      </c>
      <c r="L388" t="n">
        <v>0</v>
      </c>
      <c r="M388" t="n">
        <v>0</v>
      </c>
      <c r="N388" t="n">
        <v>0</v>
      </c>
      <c r="O388" t="n">
        <v>0</v>
      </c>
      <c r="P388" t="n">
        <v>0</v>
      </c>
      <c r="Q388" t="n">
        <v>0</v>
      </c>
      <c r="R388" s="2" t="inlineStr"/>
    </row>
    <row r="389" ht="15" customHeight="1">
      <c r="A389" t="inlineStr">
        <is>
          <t>A 35345-2024</t>
        </is>
      </c>
      <c r="B389" s="1" t="n">
        <v>45530</v>
      </c>
      <c r="C389" s="1" t="n">
        <v>46188</v>
      </c>
      <c r="D389" t="inlineStr">
        <is>
          <t>ÖREBRO LÄN</t>
        </is>
      </c>
      <c r="E389" t="inlineStr">
        <is>
          <t>ÖREBRO</t>
        </is>
      </c>
      <c r="G389" t="n">
        <v>0.9</v>
      </c>
      <c r="H389" t="n">
        <v>0</v>
      </c>
      <c r="I389" t="n">
        <v>0</v>
      </c>
      <c r="J389" t="n">
        <v>0</v>
      </c>
      <c r="K389" t="n">
        <v>0</v>
      </c>
      <c r="L389" t="n">
        <v>0</v>
      </c>
      <c r="M389" t="n">
        <v>0</v>
      </c>
      <c r="N389" t="n">
        <v>0</v>
      </c>
      <c r="O389" t="n">
        <v>0</v>
      </c>
      <c r="P389" t="n">
        <v>0</v>
      </c>
      <c r="Q389" t="n">
        <v>0</v>
      </c>
      <c r="R389" s="2" t="inlineStr"/>
    </row>
    <row r="390" ht="15" customHeight="1">
      <c r="A390" t="inlineStr">
        <is>
          <t>A 45517-2023</t>
        </is>
      </c>
      <c r="B390" s="1" t="n">
        <v>45194.49594907407</v>
      </c>
      <c r="C390" s="1" t="n">
        <v>46188</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32321-2023</t>
        </is>
      </c>
      <c r="B391" s="1" t="n">
        <v>45120</v>
      </c>
      <c r="C391" s="1" t="n">
        <v>46188</v>
      </c>
      <c r="D391" t="inlineStr">
        <is>
          <t>ÖREBRO LÄN</t>
        </is>
      </c>
      <c r="E391" t="inlineStr">
        <is>
          <t>ÖREBRO</t>
        </is>
      </c>
      <c r="G391" t="n">
        <v>3.4</v>
      </c>
      <c r="H391" t="n">
        <v>0</v>
      </c>
      <c r="I391" t="n">
        <v>0</v>
      </c>
      <c r="J391" t="n">
        <v>0</v>
      </c>
      <c r="K391" t="n">
        <v>0</v>
      </c>
      <c r="L391" t="n">
        <v>0</v>
      </c>
      <c r="M391" t="n">
        <v>0</v>
      </c>
      <c r="N391" t="n">
        <v>0</v>
      </c>
      <c r="O391" t="n">
        <v>0</v>
      </c>
      <c r="P391" t="n">
        <v>0</v>
      </c>
      <c r="Q391" t="n">
        <v>0</v>
      </c>
      <c r="R391" s="2" t="inlineStr"/>
    </row>
    <row r="392" ht="15" customHeight="1">
      <c r="A392" t="inlineStr">
        <is>
          <t>A 29138-2022</t>
        </is>
      </c>
      <c r="B392" s="1" t="n">
        <v>44750</v>
      </c>
      <c r="C392" s="1" t="n">
        <v>46188</v>
      </c>
      <c r="D392" t="inlineStr">
        <is>
          <t>ÖREBRO LÄN</t>
        </is>
      </c>
      <c r="E392" t="inlineStr">
        <is>
          <t>ÖREBRO</t>
        </is>
      </c>
      <c r="G392" t="n">
        <v>3.3</v>
      </c>
      <c r="H392" t="n">
        <v>0</v>
      </c>
      <c r="I392" t="n">
        <v>0</v>
      </c>
      <c r="J392" t="n">
        <v>0</v>
      </c>
      <c r="K392" t="n">
        <v>0</v>
      </c>
      <c r="L392" t="n">
        <v>0</v>
      </c>
      <c r="M392" t="n">
        <v>0</v>
      </c>
      <c r="N392" t="n">
        <v>0</v>
      </c>
      <c r="O392" t="n">
        <v>0</v>
      </c>
      <c r="P392" t="n">
        <v>0</v>
      </c>
      <c r="Q392" t="n">
        <v>0</v>
      </c>
      <c r="R392" s="2" t="inlineStr"/>
    </row>
    <row r="393" ht="15" customHeight="1">
      <c r="A393" t="inlineStr">
        <is>
          <t>A 29143-2022</t>
        </is>
      </c>
      <c r="B393" s="1" t="n">
        <v>44750</v>
      </c>
      <c r="C393" s="1" t="n">
        <v>46188</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14234-2024</t>
        </is>
      </c>
      <c r="B394" s="1" t="n">
        <v>45393.46980324074</v>
      </c>
      <c r="C394" s="1" t="n">
        <v>46188</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38057-2025</t>
        </is>
      </c>
      <c r="B395" s="1" t="n">
        <v>45882.42570601852</v>
      </c>
      <c r="C395" s="1" t="n">
        <v>46188</v>
      </c>
      <c r="D395" t="inlineStr">
        <is>
          <t>ÖREBRO LÄN</t>
        </is>
      </c>
      <c r="E395" t="inlineStr">
        <is>
          <t>ÖREBRO</t>
        </is>
      </c>
      <c r="G395" t="n">
        <v>3</v>
      </c>
      <c r="H395" t="n">
        <v>0</v>
      </c>
      <c r="I395" t="n">
        <v>0</v>
      </c>
      <c r="J395" t="n">
        <v>0</v>
      </c>
      <c r="K395" t="n">
        <v>0</v>
      </c>
      <c r="L395" t="n">
        <v>0</v>
      </c>
      <c r="M395" t="n">
        <v>0</v>
      </c>
      <c r="N395" t="n">
        <v>0</v>
      </c>
      <c r="O395" t="n">
        <v>0</v>
      </c>
      <c r="P395" t="n">
        <v>0</v>
      </c>
      <c r="Q395" t="n">
        <v>0</v>
      </c>
      <c r="R395" s="2" t="inlineStr"/>
    </row>
    <row r="396" ht="15" customHeight="1">
      <c r="A396" t="inlineStr">
        <is>
          <t>A 4557-2023</t>
        </is>
      </c>
      <c r="B396" s="1" t="n">
        <v>44956.6655787037</v>
      </c>
      <c r="C396" s="1" t="n">
        <v>46188</v>
      </c>
      <c r="D396" t="inlineStr">
        <is>
          <t>ÖREBRO LÄN</t>
        </is>
      </c>
      <c r="E396" t="inlineStr">
        <is>
          <t>ÖREBRO</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53558-2023</t>
        </is>
      </c>
      <c r="B397" s="1" t="n">
        <v>45230.47266203703</v>
      </c>
      <c r="C397" s="1" t="n">
        <v>46188</v>
      </c>
      <c r="D397" t="inlineStr">
        <is>
          <t>ÖREBRO LÄN</t>
        </is>
      </c>
      <c r="E397" t="inlineStr">
        <is>
          <t>ÖREBRO</t>
        </is>
      </c>
      <c r="F397" t="inlineStr">
        <is>
          <t>Övriga Aktiebolag</t>
        </is>
      </c>
      <c r="G397" t="n">
        <v>4.7</v>
      </c>
      <c r="H397" t="n">
        <v>0</v>
      </c>
      <c r="I397" t="n">
        <v>0</v>
      </c>
      <c r="J397" t="n">
        <v>0</v>
      </c>
      <c r="K397" t="n">
        <v>0</v>
      </c>
      <c r="L397" t="n">
        <v>0</v>
      </c>
      <c r="M397" t="n">
        <v>0</v>
      </c>
      <c r="N397" t="n">
        <v>0</v>
      </c>
      <c r="O397" t="n">
        <v>0</v>
      </c>
      <c r="P397" t="n">
        <v>0</v>
      </c>
      <c r="Q397" t="n">
        <v>0</v>
      </c>
      <c r="R397" s="2" t="inlineStr"/>
    </row>
    <row r="398" ht="15" customHeight="1">
      <c r="A398" t="inlineStr">
        <is>
          <t>A 46518-2023</t>
        </is>
      </c>
      <c r="B398" s="1" t="n">
        <v>45197.72777777778</v>
      </c>
      <c r="C398" s="1" t="n">
        <v>46188</v>
      </c>
      <c r="D398" t="inlineStr">
        <is>
          <t>ÖREBRO LÄN</t>
        </is>
      </c>
      <c r="E398" t="inlineStr">
        <is>
          <t>ÖREBRO</t>
        </is>
      </c>
      <c r="G398" t="n">
        <v>2.2</v>
      </c>
      <c r="H398" t="n">
        <v>0</v>
      </c>
      <c r="I398" t="n">
        <v>0</v>
      </c>
      <c r="J398" t="n">
        <v>0</v>
      </c>
      <c r="K398" t="n">
        <v>0</v>
      </c>
      <c r="L398" t="n">
        <v>0</v>
      </c>
      <c r="M398" t="n">
        <v>0</v>
      </c>
      <c r="N398" t="n">
        <v>0</v>
      </c>
      <c r="O398" t="n">
        <v>0</v>
      </c>
      <c r="P398" t="n">
        <v>0</v>
      </c>
      <c r="Q398" t="n">
        <v>0</v>
      </c>
      <c r="R398" s="2" t="inlineStr"/>
    </row>
    <row r="399" ht="15" customHeight="1">
      <c r="A399" t="inlineStr">
        <is>
          <t>A 7692-2023</t>
        </is>
      </c>
      <c r="B399" s="1" t="n">
        <v>44972.7762962963</v>
      </c>
      <c r="C399" s="1" t="n">
        <v>46188</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57638-2022</t>
        </is>
      </c>
      <c r="B400" s="1" t="n">
        <v>44897</v>
      </c>
      <c r="C400" s="1" t="n">
        <v>46188</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8274-2025</t>
        </is>
      </c>
      <c r="B401" s="1" t="n">
        <v>45708</v>
      </c>
      <c r="C401" s="1" t="n">
        <v>46188</v>
      </c>
      <c r="D401" t="inlineStr">
        <is>
          <t>ÖREBRO LÄN</t>
        </is>
      </c>
      <c r="E401" t="inlineStr">
        <is>
          <t>ÖREBRO</t>
        </is>
      </c>
      <c r="G401" t="n">
        <v>5.8</v>
      </c>
      <c r="H401" t="n">
        <v>0</v>
      </c>
      <c r="I401" t="n">
        <v>0</v>
      </c>
      <c r="J401" t="n">
        <v>0</v>
      </c>
      <c r="K401" t="n">
        <v>0</v>
      </c>
      <c r="L401" t="n">
        <v>0</v>
      </c>
      <c r="M401" t="n">
        <v>0</v>
      </c>
      <c r="N401" t="n">
        <v>0</v>
      </c>
      <c r="O401" t="n">
        <v>0</v>
      </c>
      <c r="P401" t="n">
        <v>0</v>
      </c>
      <c r="Q401" t="n">
        <v>0</v>
      </c>
      <c r="R401" s="2" t="inlineStr"/>
    </row>
    <row r="402" ht="15" customHeight="1">
      <c r="A402" t="inlineStr">
        <is>
          <t>A 7634-2024</t>
        </is>
      </c>
      <c r="B402" s="1" t="n">
        <v>45348</v>
      </c>
      <c r="C402" s="1" t="n">
        <v>46188</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21722-2026</t>
        </is>
      </c>
      <c r="B403" s="1" t="n">
        <v>46147</v>
      </c>
      <c r="C403" s="1" t="n">
        <v>46188</v>
      </c>
      <c r="D403" t="inlineStr">
        <is>
          <t>ÖREBRO LÄN</t>
        </is>
      </c>
      <c r="E403" t="inlineStr">
        <is>
          <t>ÖREBRO</t>
        </is>
      </c>
      <c r="F403" t="inlineStr">
        <is>
          <t>Kommuner</t>
        </is>
      </c>
      <c r="G403" t="n">
        <v>0.6</v>
      </c>
      <c r="H403" t="n">
        <v>0</v>
      </c>
      <c r="I403" t="n">
        <v>0</v>
      </c>
      <c r="J403" t="n">
        <v>0</v>
      </c>
      <c r="K403" t="n">
        <v>0</v>
      </c>
      <c r="L403" t="n">
        <v>0</v>
      </c>
      <c r="M403" t="n">
        <v>0</v>
      </c>
      <c r="N403" t="n">
        <v>0</v>
      </c>
      <c r="O403" t="n">
        <v>0</v>
      </c>
      <c r="P403" t="n">
        <v>0</v>
      </c>
      <c r="Q403" t="n">
        <v>0</v>
      </c>
      <c r="R403" s="2" t="inlineStr"/>
    </row>
    <row r="404" ht="15" customHeight="1">
      <c r="A404" t="inlineStr">
        <is>
          <t>A 58208-2024</t>
        </is>
      </c>
      <c r="B404" s="1" t="n">
        <v>45632</v>
      </c>
      <c r="C404" s="1" t="n">
        <v>46188</v>
      </c>
      <c r="D404" t="inlineStr">
        <is>
          <t>ÖREBRO LÄN</t>
        </is>
      </c>
      <c r="E404" t="inlineStr">
        <is>
          <t>ÖREBRO</t>
        </is>
      </c>
      <c r="G404" t="n">
        <v>3.1</v>
      </c>
      <c r="H404" t="n">
        <v>0</v>
      </c>
      <c r="I404" t="n">
        <v>0</v>
      </c>
      <c r="J404" t="n">
        <v>0</v>
      </c>
      <c r="K404" t="n">
        <v>0</v>
      </c>
      <c r="L404" t="n">
        <v>0</v>
      </c>
      <c r="M404" t="n">
        <v>0</v>
      </c>
      <c r="N404" t="n">
        <v>0</v>
      </c>
      <c r="O404" t="n">
        <v>0</v>
      </c>
      <c r="P404" t="n">
        <v>0</v>
      </c>
      <c r="Q404" t="n">
        <v>0</v>
      </c>
      <c r="R404" s="2" t="inlineStr"/>
    </row>
    <row r="405" ht="15" customHeight="1">
      <c r="A405" t="inlineStr">
        <is>
          <t>A 71266-2021</t>
        </is>
      </c>
      <c r="B405" s="1" t="n">
        <v>44539</v>
      </c>
      <c r="C405" s="1" t="n">
        <v>46188</v>
      </c>
      <c r="D405" t="inlineStr">
        <is>
          <t>ÖREBRO LÄN</t>
        </is>
      </c>
      <c r="E405" t="inlineStr">
        <is>
          <t>ÖREBRO</t>
        </is>
      </c>
      <c r="G405" t="n">
        <v>1.8</v>
      </c>
      <c r="H405" t="n">
        <v>0</v>
      </c>
      <c r="I405" t="n">
        <v>0</v>
      </c>
      <c r="J405" t="n">
        <v>0</v>
      </c>
      <c r="K405" t="n">
        <v>0</v>
      </c>
      <c r="L405" t="n">
        <v>0</v>
      </c>
      <c r="M405" t="n">
        <v>0</v>
      </c>
      <c r="N405" t="n">
        <v>0</v>
      </c>
      <c r="O405" t="n">
        <v>0</v>
      </c>
      <c r="P405" t="n">
        <v>0</v>
      </c>
      <c r="Q405" t="n">
        <v>0</v>
      </c>
      <c r="R405" s="2" t="inlineStr"/>
    </row>
    <row r="406" ht="15" customHeight="1">
      <c r="A406" t="inlineStr">
        <is>
          <t>A 71267-2021</t>
        </is>
      </c>
      <c r="B406" s="1" t="n">
        <v>44539</v>
      </c>
      <c r="C406" s="1" t="n">
        <v>46188</v>
      </c>
      <c r="D406" t="inlineStr">
        <is>
          <t>ÖREBRO LÄN</t>
        </is>
      </c>
      <c r="E406" t="inlineStr">
        <is>
          <t>ÖREBRO</t>
        </is>
      </c>
      <c r="G406" t="n">
        <v>1.7</v>
      </c>
      <c r="H406" t="n">
        <v>0</v>
      </c>
      <c r="I406" t="n">
        <v>0</v>
      </c>
      <c r="J406" t="n">
        <v>0</v>
      </c>
      <c r="K406" t="n">
        <v>0</v>
      </c>
      <c r="L406" t="n">
        <v>0</v>
      </c>
      <c r="M406" t="n">
        <v>0</v>
      </c>
      <c r="N406" t="n">
        <v>0</v>
      </c>
      <c r="O406" t="n">
        <v>0</v>
      </c>
      <c r="P406" t="n">
        <v>0</v>
      </c>
      <c r="Q406" t="n">
        <v>0</v>
      </c>
      <c r="R406" s="2" t="inlineStr"/>
    </row>
    <row r="407" ht="15" customHeight="1">
      <c r="A407" t="inlineStr">
        <is>
          <t>A 71280-2021</t>
        </is>
      </c>
      <c r="B407" s="1" t="n">
        <v>44539</v>
      </c>
      <c r="C407" s="1" t="n">
        <v>46188</v>
      </c>
      <c r="D407" t="inlineStr">
        <is>
          <t>ÖREBRO LÄN</t>
        </is>
      </c>
      <c r="E407" t="inlineStr">
        <is>
          <t>ÖREBRO</t>
        </is>
      </c>
      <c r="G407" t="n">
        <v>0.6</v>
      </c>
      <c r="H407" t="n">
        <v>0</v>
      </c>
      <c r="I407" t="n">
        <v>0</v>
      </c>
      <c r="J407" t="n">
        <v>0</v>
      </c>
      <c r="K407" t="n">
        <v>0</v>
      </c>
      <c r="L407" t="n">
        <v>0</v>
      </c>
      <c r="M407" t="n">
        <v>0</v>
      </c>
      <c r="N407" t="n">
        <v>0</v>
      </c>
      <c r="O407" t="n">
        <v>0</v>
      </c>
      <c r="P407" t="n">
        <v>0</v>
      </c>
      <c r="Q407" t="n">
        <v>0</v>
      </c>
      <c r="R407" s="2" t="inlineStr"/>
    </row>
    <row r="408" ht="15" customHeight="1">
      <c r="A408" t="inlineStr">
        <is>
          <t>A 62497-2023</t>
        </is>
      </c>
      <c r="B408" s="1" t="n">
        <v>45268.59935185185</v>
      </c>
      <c r="C408" s="1" t="n">
        <v>46188</v>
      </c>
      <c r="D408" t="inlineStr">
        <is>
          <t>ÖREBRO LÄN</t>
        </is>
      </c>
      <c r="E408" t="inlineStr">
        <is>
          <t>ÖREBRO</t>
        </is>
      </c>
      <c r="F408" t="inlineStr">
        <is>
          <t>Övriga Aktiebolag</t>
        </is>
      </c>
      <c r="G408" t="n">
        <v>3.2</v>
      </c>
      <c r="H408" t="n">
        <v>0</v>
      </c>
      <c r="I408" t="n">
        <v>0</v>
      </c>
      <c r="J408" t="n">
        <v>0</v>
      </c>
      <c r="K408" t="n">
        <v>0</v>
      </c>
      <c r="L408" t="n">
        <v>0</v>
      </c>
      <c r="M408" t="n">
        <v>0</v>
      </c>
      <c r="N408" t="n">
        <v>0</v>
      </c>
      <c r="O408" t="n">
        <v>0</v>
      </c>
      <c r="P408" t="n">
        <v>0</v>
      </c>
      <c r="Q408" t="n">
        <v>0</v>
      </c>
      <c r="R408" s="2" t="inlineStr"/>
    </row>
    <row r="409" ht="15" customHeight="1">
      <c r="A409" t="inlineStr">
        <is>
          <t>A 33294-2023</t>
        </is>
      </c>
      <c r="B409" s="1" t="n">
        <v>45127</v>
      </c>
      <c r="C409" s="1" t="n">
        <v>46188</v>
      </c>
      <c r="D409" t="inlineStr">
        <is>
          <t>ÖREBRO LÄN</t>
        </is>
      </c>
      <c r="E409" t="inlineStr">
        <is>
          <t>ÖREBRO</t>
        </is>
      </c>
      <c r="F409" t="inlineStr">
        <is>
          <t>Övriga Aktiebolag</t>
        </is>
      </c>
      <c r="G409" t="n">
        <v>6.7</v>
      </c>
      <c r="H409" t="n">
        <v>0</v>
      </c>
      <c r="I409" t="n">
        <v>0</v>
      </c>
      <c r="J409" t="n">
        <v>0</v>
      </c>
      <c r="K409" t="n">
        <v>0</v>
      </c>
      <c r="L409" t="n">
        <v>0</v>
      </c>
      <c r="M409" t="n">
        <v>0</v>
      </c>
      <c r="N409" t="n">
        <v>0</v>
      </c>
      <c r="O409" t="n">
        <v>0</v>
      </c>
      <c r="P409" t="n">
        <v>0</v>
      </c>
      <c r="Q409" t="n">
        <v>0</v>
      </c>
      <c r="R409" s="2" t="inlineStr"/>
    </row>
    <row r="410" ht="15" customHeight="1">
      <c r="A410" t="inlineStr">
        <is>
          <t>A 46052-2024</t>
        </is>
      </c>
      <c r="B410" s="1" t="n">
        <v>45580.89116898148</v>
      </c>
      <c r="C410" s="1" t="n">
        <v>46188</v>
      </c>
      <c r="D410" t="inlineStr">
        <is>
          <t>ÖREBRO LÄN</t>
        </is>
      </c>
      <c r="E410" t="inlineStr">
        <is>
          <t>ÖREBRO</t>
        </is>
      </c>
      <c r="F410" t="inlineStr">
        <is>
          <t>Övriga Aktiebolag</t>
        </is>
      </c>
      <c r="G410" t="n">
        <v>0.6</v>
      </c>
      <c r="H410" t="n">
        <v>0</v>
      </c>
      <c r="I410" t="n">
        <v>0</v>
      </c>
      <c r="J410" t="n">
        <v>0</v>
      </c>
      <c r="K410" t="n">
        <v>0</v>
      </c>
      <c r="L410" t="n">
        <v>0</v>
      </c>
      <c r="M410" t="n">
        <v>0</v>
      </c>
      <c r="N410" t="n">
        <v>0</v>
      </c>
      <c r="O410" t="n">
        <v>0</v>
      </c>
      <c r="P410" t="n">
        <v>0</v>
      </c>
      <c r="Q410" t="n">
        <v>0</v>
      </c>
      <c r="R410" s="2" t="inlineStr"/>
    </row>
    <row r="411" ht="15" customHeight="1">
      <c r="A411" t="inlineStr">
        <is>
          <t>A 24496-2026</t>
        </is>
      </c>
      <c r="B411" s="1" t="n">
        <v>46170</v>
      </c>
      <c r="C411" s="1" t="n">
        <v>46188</v>
      </c>
      <c r="D411" t="inlineStr">
        <is>
          <t>ÖREBRO LÄN</t>
        </is>
      </c>
      <c r="E411" t="inlineStr">
        <is>
          <t>ÖREBRO</t>
        </is>
      </c>
      <c r="G411" t="n">
        <v>5.6</v>
      </c>
      <c r="H411" t="n">
        <v>0</v>
      </c>
      <c r="I411" t="n">
        <v>0</v>
      </c>
      <c r="J411" t="n">
        <v>0</v>
      </c>
      <c r="K411" t="n">
        <v>0</v>
      </c>
      <c r="L411" t="n">
        <v>0</v>
      </c>
      <c r="M411" t="n">
        <v>0</v>
      </c>
      <c r="N411" t="n">
        <v>0</v>
      </c>
      <c r="O411" t="n">
        <v>0</v>
      </c>
      <c r="P411" t="n">
        <v>0</v>
      </c>
      <c r="Q411" t="n">
        <v>0</v>
      </c>
      <c r="R411" s="2" t="inlineStr"/>
    </row>
    <row r="412" ht="15" customHeight="1">
      <c r="A412" t="inlineStr">
        <is>
          <t>A 54149-2024</t>
        </is>
      </c>
      <c r="B412" s="1" t="n">
        <v>45616</v>
      </c>
      <c r="C412" s="1" t="n">
        <v>46188</v>
      </c>
      <c r="D412" t="inlineStr">
        <is>
          <t>ÖREBRO LÄN</t>
        </is>
      </c>
      <c r="E412" t="inlineStr">
        <is>
          <t>ÖREBRO</t>
        </is>
      </c>
      <c r="G412" t="n">
        <v>2.7</v>
      </c>
      <c r="H412" t="n">
        <v>0</v>
      </c>
      <c r="I412" t="n">
        <v>0</v>
      </c>
      <c r="J412" t="n">
        <v>0</v>
      </c>
      <c r="K412" t="n">
        <v>0</v>
      </c>
      <c r="L412" t="n">
        <v>0</v>
      </c>
      <c r="M412" t="n">
        <v>0</v>
      </c>
      <c r="N412" t="n">
        <v>0</v>
      </c>
      <c r="O412" t="n">
        <v>0</v>
      </c>
      <c r="P412" t="n">
        <v>0</v>
      </c>
      <c r="Q412" t="n">
        <v>0</v>
      </c>
      <c r="R412" s="2" t="inlineStr"/>
    </row>
    <row r="413" ht="15" customHeight="1">
      <c r="A413" t="inlineStr">
        <is>
          <t>A 15424-2022</t>
        </is>
      </c>
      <c r="B413" s="1" t="n">
        <v>44659</v>
      </c>
      <c r="C413" s="1" t="n">
        <v>46188</v>
      </c>
      <c r="D413" t="inlineStr">
        <is>
          <t>ÖREBRO LÄN</t>
        </is>
      </c>
      <c r="E413" t="inlineStr">
        <is>
          <t>ÖREBRO</t>
        </is>
      </c>
      <c r="G413" t="n">
        <v>2.2</v>
      </c>
      <c r="H413" t="n">
        <v>0</v>
      </c>
      <c r="I413" t="n">
        <v>0</v>
      </c>
      <c r="J413" t="n">
        <v>0</v>
      </c>
      <c r="K413" t="n">
        <v>0</v>
      </c>
      <c r="L413" t="n">
        <v>0</v>
      </c>
      <c r="M413" t="n">
        <v>0</v>
      </c>
      <c r="N413" t="n">
        <v>0</v>
      </c>
      <c r="O413" t="n">
        <v>0</v>
      </c>
      <c r="P413" t="n">
        <v>0</v>
      </c>
      <c r="Q413" t="n">
        <v>0</v>
      </c>
      <c r="R413" s="2" t="inlineStr"/>
    </row>
    <row r="414" ht="15" customHeight="1">
      <c r="A414" t="inlineStr">
        <is>
          <t>A 15682-2023</t>
        </is>
      </c>
      <c r="B414" s="1" t="n">
        <v>45021</v>
      </c>
      <c r="C414" s="1" t="n">
        <v>46188</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12682-2023</t>
        </is>
      </c>
      <c r="B415" s="1" t="n">
        <v>45000.6115625</v>
      </c>
      <c r="C415" s="1" t="n">
        <v>46188</v>
      </c>
      <c r="D415" t="inlineStr">
        <is>
          <t>ÖREBRO LÄN</t>
        </is>
      </c>
      <c r="E415" t="inlineStr">
        <is>
          <t>ÖREBRO</t>
        </is>
      </c>
      <c r="F415" t="inlineStr">
        <is>
          <t>Övriga Aktiebolag</t>
        </is>
      </c>
      <c r="G415" t="n">
        <v>4.4</v>
      </c>
      <c r="H415" t="n">
        <v>0</v>
      </c>
      <c r="I415" t="n">
        <v>0</v>
      </c>
      <c r="J415" t="n">
        <v>0</v>
      </c>
      <c r="K415" t="n">
        <v>0</v>
      </c>
      <c r="L415" t="n">
        <v>0</v>
      </c>
      <c r="M415" t="n">
        <v>0</v>
      </c>
      <c r="N415" t="n">
        <v>0</v>
      </c>
      <c r="O415" t="n">
        <v>0</v>
      </c>
      <c r="P415" t="n">
        <v>0</v>
      </c>
      <c r="Q415" t="n">
        <v>0</v>
      </c>
      <c r="R415" s="2" t="inlineStr"/>
    </row>
    <row r="416" ht="15" customHeight="1">
      <c r="A416" t="inlineStr">
        <is>
          <t>A 57247-2022</t>
        </is>
      </c>
      <c r="B416" s="1" t="n">
        <v>44895.73065972222</v>
      </c>
      <c r="C416" s="1" t="n">
        <v>46188</v>
      </c>
      <c r="D416" t="inlineStr">
        <is>
          <t>ÖREBRO LÄN</t>
        </is>
      </c>
      <c r="E416" t="inlineStr">
        <is>
          <t>ÖREBRO</t>
        </is>
      </c>
      <c r="G416" t="n">
        <v>1.6</v>
      </c>
      <c r="H416" t="n">
        <v>0</v>
      </c>
      <c r="I416" t="n">
        <v>0</v>
      </c>
      <c r="J416" t="n">
        <v>0</v>
      </c>
      <c r="K416" t="n">
        <v>0</v>
      </c>
      <c r="L416" t="n">
        <v>0</v>
      </c>
      <c r="M416" t="n">
        <v>0</v>
      </c>
      <c r="N416" t="n">
        <v>0</v>
      </c>
      <c r="O416" t="n">
        <v>0</v>
      </c>
      <c r="P416" t="n">
        <v>0</v>
      </c>
      <c r="Q416" t="n">
        <v>0</v>
      </c>
      <c r="R416" s="2" t="inlineStr"/>
    </row>
    <row r="417" ht="15" customHeight="1">
      <c r="A417" t="inlineStr">
        <is>
          <t>A 22849-2026</t>
        </is>
      </c>
      <c r="B417" s="1" t="n">
        <v>46160</v>
      </c>
      <c r="C417" s="1" t="n">
        <v>46188</v>
      </c>
      <c r="D417" t="inlineStr">
        <is>
          <t>ÖREBRO LÄN</t>
        </is>
      </c>
      <c r="E417" t="inlineStr">
        <is>
          <t>ÖREBRO</t>
        </is>
      </c>
      <c r="G417" t="n">
        <v>6.6</v>
      </c>
      <c r="H417" t="n">
        <v>0</v>
      </c>
      <c r="I417" t="n">
        <v>0</v>
      </c>
      <c r="J417" t="n">
        <v>0</v>
      </c>
      <c r="K417" t="n">
        <v>0</v>
      </c>
      <c r="L417" t="n">
        <v>0</v>
      </c>
      <c r="M417" t="n">
        <v>0</v>
      </c>
      <c r="N417" t="n">
        <v>0</v>
      </c>
      <c r="O417" t="n">
        <v>0</v>
      </c>
      <c r="P417" t="n">
        <v>0</v>
      </c>
      <c r="Q417" t="n">
        <v>0</v>
      </c>
      <c r="R417" s="2" t="inlineStr"/>
    </row>
    <row r="418" ht="15" customHeight="1">
      <c r="A418" t="inlineStr">
        <is>
          <t>A 58606-2024</t>
        </is>
      </c>
      <c r="B418" s="1" t="n">
        <v>45635.54747685185</v>
      </c>
      <c r="C418" s="1" t="n">
        <v>46188</v>
      </c>
      <c r="D418" t="inlineStr">
        <is>
          <t>ÖREBRO LÄN</t>
        </is>
      </c>
      <c r="E418" t="inlineStr">
        <is>
          <t>ÖREBRO</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123-2025</t>
        </is>
      </c>
      <c r="B419" s="1" t="n">
        <v>45659.54851851852</v>
      </c>
      <c r="C419" s="1" t="n">
        <v>46188</v>
      </c>
      <c r="D419" t="inlineStr">
        <is>
          <t>ÖREBRO LÄN</t>
        </is>
      </c>
      <c r="E419" t="inlineStr">
        <is>
          <t>ÖREBRO</t>
        </is>
      </c>
      <c r="G419" t="n">
        <v>1.6</v>
      </c>
      <c r="H419" t="n">
        <v>0</v>
      </c>
      <c r="I419" t="n">
        <v>0</v>
      </c>
      <c r="J419" t="n">
        <v>0</v>
      </c>
      <c r="K419" t="n">
        <v>0</v>
      </c>
      <c r="L419" t="n">
        <v>0</v>
      </c>
      <c r="M419" t="n">
        <v>0</v>
      </c>
      <c r="N419" t="n">
        <v>0</v>
      </c>
      <c r="O419" t="n">
        <v>0</v>
      </c>
      <c r="P419" t="n">
        <v>0</v>
      </c>
      <c r="Q419" t="n">
        <v>0</v>
      </c>
      <c r="R419" s="2" t="inlineStr"/>
    </row>
    <row r="420" ht="15" customHeight="1">
      <c r="A420" t="inlineStr">
        <is>
          <t>A 37012-2024</t>
        </is>
      </c>
      <c r="B420" s="1" t="n">
        <v>45539</v>
      </c>
      <c r="C420" s="1" t="n">
        <v>46188</v>
      </c>
      <c r="D420" t="inlineStr">
        <is>
          <t>ÖREBRO LÄN</t>
        </is>
      </c>
      <c r="E420" t="inlineStr">
        <is>
          <t>ÖREBRO</t>
        </is>
      </c>
      <c r="G420" t="n">
        <v>4.1</v>
      </c>
      <c r="H420" t="n">
        <v>0</v>
      </c>
      <c r="I420" t="n">
        <v>0</v>
      </c>
      <c r="J420" t="n">
        <v>0</v>
      </c>
      <c r="K420" t="n">
        <v>0</v>
      </c>
      <c r="L420" t="n">
        <v>0</v>
      </c>
      <c r="M420" t="n">
        <v>0</v>
      </c>
      <c r="N420" t="n">
        <v>0</v>
      </c>
      <c r="O420" t="n">
        <v>0</v>
      </c>
      <c r="P420" t="n">
        <v>0</v>
      </c>
      <c r="Q420" t="n">
        <v>0</v>
      </c>
      <c r="R420" s="2" t="inlineStr"/>
    </row>
    <row r="421" ht="15" customHeight="1">
      <c r="A421" t="inlineStr">
        <is>
          <t>A 16958-2022</t>
        </is>
      </c>
      <c r="B421" s="1" t="n">
        <v>44676.50481481481</v>
      </c>
      <c r="C421" s="1" t="n">
        <v>46188</v>
      </c>
      <c r="D421" t="inlineStr">
        <is>
          <t>ÖREBRO LÄN</t>
        </is>
      </c>
      <c r="E421" t="inlineStr">
        <is>
          <t>ÖREBRO</t>
        </is>
      </c>
      <c r="G421" t="n">
        <v>3.1</v>
      </c>
      <c r="H421" t="n">
        <v>0</v>
      </c>
      <c r="I421" t="n">
        <v>0</v>
      </c>
      <c r="J421" t="n">
        <v>0</v>
      </c>
      <c r="K421" t="n">
        <v>0</v>
      </c>
      <c r="L421" t="n">
        <v>0</v>
      </c>
      <c r="M421" t="n">
        <v>0</v>
      </c>
      <c r="N421" t="n">
        <v>0</v>
      </c>
      <c r="O421" t="n">
        <v>0</v>
      </c>
      <c r="P421" t="n">
        <v>0</v>
      </c>
      <c r="Q421" t="n">
        <v>0</v>
      </c>
      <c r="R421" s="2" t="inlineStr"/>
    </row>
    <row r="422" ht="15" customHeight="1">
      <c r="A422" t="inlineStr">
        <is>
          <t>A 5338-2024</t>
        </is>
      </c>
      <c r="B422" s="1" t="n">
        <v>45331</v>
      </c>
      <c r="C422" s="1" t="n">
        <v>46188</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4970-2022</t>
        </is>
      </c>
      <c r="B423" s="1" t="n">
        <v>44593.51175925926</v>
      </c>
      <c r="C423" s="1" t="n">
        <v>46188</v>
      </c>
      <c r="D423" t="inlineStr">
        <is>
          <t>ÖREBRO LÄN</t>
        </is>
      </c>
      <c r="E423" t="inlineStr">
        <is>
          <t>ÖREBRO</t>
        </is>
      </c>
      <c r="G423" t="n">
        <v>1.1</v>
      </c>
      <c r="H423" t="n">
        <v>0</v>
      </c>
      <c r="I423" t="n">
        <v>0</v>
      </c>
      <c r="J423" t="n">
        <v>0</v>
      </c>
      <c r="K423" t="n">
        <v>0</v>
      </c>
      <c r="L423" t="n">
        <v>0</v>
      </c>
      <c r="M423" t="n">
        <v>0</v>
      </c>
      <c r="N423" t="n">
        <v>0</v>
      </c>
      <c r="O423" t="n">
        <v>0</v>
      </c>
      <c r="P423" t="n">
        <v>0</v>
      </c>
      <c r="Q423" t="n">
        <v>0</v>
      </c>
      <c r="R423" s="2" t="inlineStr"/>
    </row>
    <row r="424" ht="15" customHeight="1">
      <c r="A424" t="inlineStr">
        <is>
          <t>A 9314-2023</t>
        </is>
      </c>
      <c r="B424" s="1" t="n">
        <v>44980.67747685185</v>
      </c>
      <c r="C424" s="1" t="n">
        <v>46188</v>
      </c>
      <c r="D424" t="inlineStr">
        <is>
          <t>ÖREBRO LÄN</t>
        </is>
      </c>
      <c r="E424" t="inlineStr">
        <is>
          <t>ÖREBRO</t>
        </is>
      </c>
      <c r="G424" t="n">
        <v>0.8</v>
      </c>
      <c r="H424" t="n">
        <v>0</v>
      </c>
      <c r="I424" t="n">
        <v>0</v>
      </c>
      <c r="J424" t="n">
        <v>0</v>
      </c>
      <c r="K424" t="n">
        <v>0</v>
      </c>
      <c r="L424" t="n">
        <v>0</v>
      </c>
      <c r="M424" t="n">
        <v>0</v>
      </c>
      <c r="N424" t="n">
        <v>0</v>
      </c>
      <c r="O424" t="n">
        <v>0</v>
      </c>
      <c r="P424" t="n">
        <v>0</v>
      </c>
      <c r="Q424" t="n">
        <v>0</v>
      </c>
      <c r="R424" s="2" t="inlineStr"/>
    </row>
    <row r="425" ht="15" customHeight="1">
      <c r="A425" t="inlineStr">
        <is>
          <t>A 6522-2023</t>
        </is>
      </c>
      <c r="B425" s="1" t="n">
        <v>44966</v>
      </c>
      <c r="C425" s="1" t="n">
        <v>46188</v>
      </c>
      <c r="D425" t="inlineStr">
        <is>
          <t>ÖREBRO LÄN</t>
        </is>
      </c>
      <c r="E425" t="inlineStr">
        <is>
          <t>ÖREBRO</t>
        </is>
      </c>
      <c r="G425" t="n">
        <v>4.4</v>
      </c>
      <c r="H425" t="n">
        <v>0</v>
      </c>
      <c r="I425" t="n">
        <v>0</v>
      </c>
      <c r="J425" t="n">
        <v>0</v>
      </c>
      <c r="K425" t="n">
        <v>0</v>
      </c>
      <c r="L425" t="n">
        <v>0</v>
      </c>
      <c r="M425" t="n">
        <v>0</v>
      </c>
      <c r="N425" t="n">
        <v>0</v>
      </c>
      <c r="O425" t="n">
        <v>0</v>
      </c>
      <c r="P425" t="n">
        <v>0</v>
      </c>
      <c r="Q425" t="n">
        <v>0</v>
      </c>
      <c r="R425" s="2" t="inlineStr"/>
    </row>
    <row r="426" ht="15" customHeight="1">
      <c r="A426" t="inlineStr">
        <is>
          <t>A 18449-2023</t>
        </is>
      </c>
      <c r="B426" s="1" t="n">
        <v>45042.5203125</v>
      </c>
      <c r="C426" s="1" t="n">
        <v>46188</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16736-2023</t>
        </is>
      </c>
      <c r="B427" s="1" t="n">
        <v>45030.72328703704</v>
      </c>
      <c r="C427" s="1" t="n">
        <v>46188</v>
      </c>
      <c r="D427" t="inlineStr">
        <is>
          <t>ÖREBRO LÄN</t>
        </is>
      </c>
      <c r="E427" t="inlineStr">
        <is>
          <t>ÖREBRO</t>
        </is>
      </c>
      <c r="G427" t="n">
        <v>4</v>
      </c>
      <c r="H427" t="n">
        <v>0</v>
      </c>
      <c r="I427" t="n">
        <v>0</v>
      </c>
      <c r="J427" t="n">
        <v>0</v>
      </c>
      <c r="K427" t="n">
        <v>0</v>
      </c>
      <c r="L427" t="n">
        <v>0</v>
      </c>
      <c r="M427" t="n">
        <v>0</v>
      </c>
      <c r="N427" t="n">
        <v>0</v>
      </c>
      <c r="O427" t="n">
        <v>0</v>
      </c>
      <c r="P427" t="n">
        <v>0</v>
      </c>
      <c r="Q427" t="n">
        <v>0</v>
      </c>
      <c r="R427" s="2" t="inlineStr"/>
    </row>
    <row r="428" ht="15" customHeight="1">
      <c r="A428" t="inlineStr">
        <is>
          <t>A 50375-2024</t>
        </is>
      </c>
      <c r="B428" s="1" t="n">
        <v>45601.29311342593</v>
      </c>
      <c r="C428" s="1" t="n">
        <v>46188</v>
      </c>
      <c r="D428" t="inlineStr">
        <is>
          <t>ÖREBRO LÄN</t>
        </is>
      </c>
      <c r="E428" t="inlineStr">
        <is>
          <t>ÖREBRO</t>
        </is>
      </c>
      <c r="G428" t="n">
        <v>5</v>
      </c>
      <c r="H428" t="n">
        <v>0</v>
      </c>
      <c r="I428" t="n">
        <v>0</v>
      </c>
      <c r="J428" t="n">
        <v>0</v>
      </c>
      <c r="K428" t="n">
        <v>0</v>
      </c>
      <c r="L428" t="n">
        <v>0</v>
      </c>
      <c r="M428" t="n">
        <v>0</v>
      </c>
      <c r="N428" t="n">
        <v>0</v>
      </c>
      <c r="O428" t="n">
        <v>0</v>
      </c>
      <c r="P428" t="n">
        <v>0</v>
      </c>
      <c r="Q428" t="n">
        <v>0</v>
      </c>
      <c r="R428" s="2" t="inlineStr"/>
    </row>
    <row r="429" ht="15" customHeight="1">
      <c r="A429" t="inlineStr">
        <is>
          <t>A 3-2024</t>
        </is>
      </c>
      <c r="B429" s="1" t="n">
        <v>45292</v>
      </c>
      <c r="C429" s="1" t="n">
        <v>46188</v>
      </c>
      <c r="D429" t="inlineStr">
        <is>
          <t>ÖREBRO LÄN</t>
        </is>
      </c>
      <c r="E429" t="inlineStr">
        <is>
          <t>ÖREBRO</t>
        </is>
      </c>
      <c r="G429" t="n">
        <v>2.7</v>
      </c>
      <c r="H429" t="n">
        <v>0</v>
      </c>
      <c r="I429" t="n">
        <v>0</v>
      </c>
      <c r="J429" t="n">
        <v>0</v>
      </c>
      <c r="K429" t="n">
        <v>0</v>
      </c>
      <c r="L429" t="n">
        <v>0</v>
      </c>
      <c r="M429" t="n">
        <v>0</v>
      </c>
      <c r="N429" t="n">
        <v>0</v>
      </c>
      <c r="O429" t="n">
        <v>0</v>
      </c>
      <c r="P429" t="n">
        <v>0</v>
      </c>
      <c r="Q429" t="n">
        <v>0</v>
      </c>
      <c r="R429" s="2" t="inlineStr"/>
    </row>
    <row r="430" ht="15" customHeight="1">
      <c r="A430" t="inlineStr">
        <is>
          <t>A 54485-2025</t>
        </is>
      </c>
      <c r="B430" s="1" t="n">
        <v>45965.59295138889</v>
      </c>
      <c r="C430" s="1" t="n">
        <v>46188</v>
      </c>
      <c r="D430" t="inlineStr">
        <is>
          <t>ÖREBRO LÄN</t>
        </is>
      </c>
      <c r="E430" t="inlineStr">
        <is>
          <t>ÖREBRO</t>
        </is>
      </c>
      <c r="F430" t="inlineStr">
        <is>
          <t>Allmännings- och besparingsskogar</t>
        </is>
      </c>
      <c r="G430" t="n">
        <v>1.7</v>
      </c>
      <c r="H430" t="n">
        <v>0</v>
      </c>
      <c r="I430" t="n">
        <v>0</v>
      </c>
      <c r="J430" t="n">
        <v>0</v>
      </c>
      <c r="K430" t="n">
        <v>0</v>
      </c>
      <c r="L430" t="n">
        <v>0</v>
      </c>
      <c r="M430" t="n">
        <v>0</v>
      </c>
      <c r="N430" t="n">
        <v>0</v>
      </c>
      <c r="O430" t="n">
        <v>0</v>
      </c>
      <c r="P430" t="n">
        <v>0</v>
      </c>
      <c r="Q430" t="n">
        <v>0</v>
      </c>
      <c r="R430" s="2" t="inlineStr"/>
    </row>
    <row r="431" ht="15" customHeight="1">
      <c r="A431" t="inlineStr">
        <is>
          <t>A 51248-2025</t>
        </is>
      </c>
      <c r="B431" s="1" t="n">
        <v>45948.450625</v>
      </c>
      <c r="C431" s="1" t="n">
        <v>46188</v>
      </c>
      <c r="D431" t="inlineStr">
        <is>
          <t>ÖREBRO LÄN</t>
        </is>
      </c>
      <c r="E431" t="inlineStr">
        <is>
          <t>ÖREBRO</t>
        </is>
      </c>
      <c r="G431" t="n">
        <v>4.4</v>
      </c>
      <c r="H431" t="n">
        <v>0</v>
      </c>
      <c r="I431" t="n">
        <v>0</v>
      </c>
      <c r="J431" t="n">
        <v>0</v>
      </c>
      <c r="K431" t="n">
        <v>0</v>
      </c>
      <c r="L431" t="n">
        <v>0</v>
      </c>
      <c r="M431" t="n">
        <v>0</v>
      </c>
      <c r="N431" t="n">
        <v>0</v>
      </c>
      <c r="O431" t="n">
        <v>0</v>
      </c>
      <c r="P431" t="n">
        <v>0</v>
      </c>
      <c r="Q431" t="n">
        <v>0</v>
      </c>
      <c r="R431" s="2" t="inlineStr"/>
    </row>
    <row r="432" ht="15" customHeight="1">
      <c r="A432" t="inlineStr">
        <is>
          <t>A 1257-2022</t>
        </is>
      </c>
      <c r="B432" s="1" t="n">
        <v>44572</v>
      </c>
      <c r="C432" s="1" t="n">
        <v>46188</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64730-2023</t>
        </is>
      </c>
      <c r="B433" s="1" t="n">
        <v>45281</v>
      </c>
      <c r="C433" s="1" t="n">
        <v>46188</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6869-2025</t>
        </is>
      </c>
      <c r="B434" s="1" t="n">
        <v>45700</v>
      </c>
      <c r="C434" s="1" t="n">
        <v>46188</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4416-2023</t>
        </is>
      </c>
      <c r="B435" s="1" t="n">
        <v>44956</v>
      </c>
      <c r="C435" s="1" t="n">
        <v>46188</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38583-2023</t>
        </is>
      </c>
      <c r="B436" s="1" t="n">
        <v>45162.62861111111</v>
      </c>
      <c r="C436" s="1" t="n">
        <v>46188</v>
      </c>
      <c r="D436" t="inlineStr">
        <is>
          <t>ÖREBRO LÄN</t>
        </is>
      </c>
      <c r="E436" t="inlineStr">
        <is>
          <t>ÖREBRO</t>
        </is>
      </c>
      <c r="G436" t="n">
        <v>5.7</v>
      </c>
      <c r="H436" t="n">
        <v>0</v>
      </c>
      <c r="I436" t="n">
        <v>0</v>
      </c>
      <c r="J436" t="n">
        <v>0</v>
      </c>
      <c r="K436" t="n">
        <v>0</v>
      </c>
      <c r="L436" t="n">
        <v>0</v>
      </c>
      <c r="M436" t="n">
        <v>0</v>
      </c>
      <c r="N436" t="n">
        <v>0</v>
      </c>
      <c r="O436" t="n">
        <v>0</v>
      </c>
      <c r="P436" t="n">
        <v>0</v>
      </c>
      <c r="Q436" t="n">
        <v>0</v>
      </c>
      <c r="R436" s="2" t="inlineStr"/>
    </row>
    <row r="437" ht="15" customHeight="1">
      <c r="A437" t="inlineStr">
        <is>
          <t>A 16961-2022</t>
        </is>
      </c>
      <c r="B437" s="1" t="n">
        <v>44676</v>
      </c>
      <c r="C437" s="1" t="n">
        <v>46188</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17983-2025</t>
        </is>
      </c>
      <c r="B438" s="1" t="n">
        <v>45761.38829861111</v>
      </c>
      <c r="C438" s="1" t="n">
        <v>46188</v>
      </c>
      <c r="D438" t="inlineStr">
        <is>
          <t>ÖREBRO LÄN</t>
        </is>
      </c>
      <c r="E438" t="inlineStr">
        <is>
          <t>ÖREBRO</t>
        </is>
      </c>
      <c r="G438" t="n">
        <v>0.8</v>
      </c>
      <c r="H438" t="n">
        <v>0</v>
      </c>
      <c r="I438" t="n">
        <v>0</v>
      </c>
      <c r="J438" t="n">
        <v>0</v>
      </c>
      <c r="K438" t="n">
        <v>0</v>
      </c>
      <c r="L438" t="n">
        <v>0</v>
      </c>
      <c r="M438" t="n">
        <v>0</v>
      </c>
      <c r="N438" t="n">
        <v>0</v>
      </c>
      <c r="O438" t="n">
        <v>0</v>
      </c>
      <c r="P438" t="n">
        <v>0</v>
      </c>
      <c r="Q438" t="n">
        <v>0</v>
      </c>
      <c r="R438" s="2" t="inlineStr"/>
    </row>
    <row r="439" ht="15" customHeight="1">
      <c r="A439" t="inlineStr">
        <is>
          <t>A 26137-2026</t>
        </is>
      </c>
      <c r="B439" s="1" t="n">
        <v>46181.70921296296</v>
      </c>
      <c r="C439" s="1" t="n">
        <v>46188</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23594-2023</t>
        </is>
      </c>
      <c r="B440" s="1" t="n">
        <v>45077</v>
      </c>
      <c r="C440" s="1" t="n">
        <v>46188</v>
      </c>
      <c r="D440" t="inlineStr">
        <is>
          <t>ÖREBRO LÄN</t>
        </is>
      </c>
      <c r="E440" t="inlineStr">
        <is>
          <t>ÖREBRO</t>
        </is>
      </c>
      <c r="G440" t="n">
        <v>9.9</v>
      </c>
      <c r="H440" t="n">
        <v>0</v>
      </c>
      <c r="I440" t="n">
        <v>0</v>
      </c>
      <c r="J440" t="n">
        <v>0</v>
      </c>
      <c r="K440" t="n">
        <v>0</v>
      </c>
      <c r="L440" t="n">
        <v>0</v>
      </c>
      <c r="M440" t="n">
        <v>0</v>
      </c>
      <c r="N440" t="n">
        <v>0</v>
      </c>
      <c r="O440" t="n">
        <v>0</v>
      </c>
      <c r="P440" t="n">
        <v>0</v>
      </c>
      <c r="Q440" t="n">
        <v>0</v>
      </c>
      <c r="R440" s="2" t="inlineStr"/>
    </row>
    <row r="441" ht="15" customHeight="1">
      <c r="A441" t="inlineStr">
        <is>
          <t>A 22755-2025</t>
        </is>
      </c>
      <c r="B441" s="1" t="n">
        <v>45789.61872685186</v>
      </c>
      <c r="C441" s="1" t="n">
        <v>46188</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52444-2024</t>
        </is>
      </c>
      <c r="B442" s="1" t="n">
        <v>45609.48894675926</v>
      </c>
      <c r="C442" s="1" t="n">
        <v>46188</v>
      </c>
      <c r="D442" t="inlineStr">
        <is>
          <t>ÖREBRO LÄN</t>
        </is>
      </c>
      <c r="E442" t="inlineStr">
        <is>
          <t>ÖREBRO</t>
        </is>
      </c>
      <c r="G442" t="n">
        <v>1.7</v>
      </c>
      <c r="H442" t="n">
        <v>0</v>
      </c>
      <c r="I442" t="n">
        <v>0</v>
      </c>
      <c r="J442" t="n">
        <v>0</v>
      </c>
      <c r="K442" t="n">
        <v>0</v>
      </c>
      <c r="L442" t="n">
        <v>0</v>
      </c>
      <c r="M442" t="n">
        <v>0</v>
      </c>
      <c r="N442" t="n">
        <v>0</v>
      </c>
      <c r="O442" t="n">
        <v>0</v>
      </c>
      <c r="P442" t="n">
        <v>0</v>
      </c>
      <c r="Q442" t="n">
        <v>0</v>
      </c>
      <c r="R442" s="2" t="inlineStr"/>
    </row>
    <row r="443" ht="15" customHeight="1">
      <c r="A443" t="inlineStr">
        <is>
          <t>A 37021-2024</t>
        </is>
      </c>
      <c r="B443" s="1" t="n">
        <v>45539.38146990741</v>
      </c>
      <c r="C443" s="1" t="n">
        <v>46188</v>
      </c>
      <c r="D443" t="inlineStr">
        <is>
          <t>ÖREBRO LÄN</t>
        </is>
      </c>
      <c r="E443" t="inlineStr">
        <is>
          <t>ÖREBRO</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41995-2024</t>
        </is>
      </c>
      <c r="B444" s="1" t="n">
        <v>45561.6475462963</v>
      </c>
      <c r="C444" s="1" t="n">
        <v>46188</v>
      </c>
      <c r="D444" t="inlineStr">
        <is>
          <t>ÖREBRO LÄN</t>
        </is>
      </c>
      <c r="E444" t="inlineStr">
        <is>
          <t>ÖREBRO</t>
        </is>
      </c>
      <c r="G444" t="n">
        <v>1.3</v>
      </c>
      <c r="H444" t="n">
        <v>0</v>
      </c>
      <c r="I444" t="n">
        <v>0</v>
      </c>
      <c r="J444" t="n">
        <v>0</v>
      </c>
      <c r="K444" t="n">
        <v>0</v>
      </c>
      <c r="L444" t="n">
        <v>0</v>
      </c>
      <c r="M444" t="n">
        <v>0</v>
      </c>
      <c r="N444" t="n">
        <v>0</v>
      </c>
      <c r="O444" t="n">
        <v>0</v>
      </c>
      <c r="P444" t="n">
        <v>0</v>
      </c>
      <c r="Q444" t="n">
        <v>0</v>
      </c>
      <c r="R444" s="2" t="inlineStr"/>
    </row>
    <row r="445" ht="15" customHeight="1">
      <c r="A445" t="inlineStr">
        <is>
          <t>A 25996-2024</t>
        </is>
      </c>
      <c r="B445" s="1" t="n">
        <v>45467.89081018518</v>
      </c>
      <c r="C445" s="1" t="n">
        <v>46188</v>
      </c>
      <c r="D445" t="inlineStr">
        <is>
          <t>ÖREBRO LÄN</t>
        </is>
      </c>
      <c r="E445" t="inlineStr">
        <is>
          <t>ÖREBRO</t>
        </is>
      </c>
      <c r="G445" t="n">
        <v>4.7</v>
      </c>
      <c r="H445" t="n">
        <v>0</v>
      </c>
      <c r="I445" t="n">
        <v>0</v>
      </c>
      <c r="J445" t="n">
        <v>0</v>
      </c>
      <c r="K445" t="n">
        <v>0</v>
      </c>
      <c r="L445" t="n">
        <v>0</v>
      </c>
      <c r="M445" t="n">
        <v>0</v>
      </c>
      <c r="N445" t="n">
        <v>0</v>
      </c>
      <c r="O445" t="n">
        <v>0</v>
      </c>
      <c r="P445" t="n">
        <v>0</v>
      </c>
      <c r="Q445" t="n">
        <v>0</v>
      </c>
      <c r="R445" s="2" t="inlineStr"/>
    </row>
    <row r="446" ht="15" customHeight="1">
      <c r="A446" t="inlineStr">
        <is>
          <t>A 28821-2025</t>
        </is>
      </c>
      <c r="B446" s="1" t="n">
        <v>45820</v>
      </c>
      <c r="C446" s="1" t="n">
        <v>46188</v>
      </c>
      <c r="D446" t="inlineStr">
        <is>
          <t>ÖREBRO LÄN</t>
        </is>
      </c>
      <c r="E446" t="inlineStr">
        <is>
          <t>ÖREBRO</t>
        </is>
      </c>
      <c r="G446" t="n">
        <v>12.6</v>
      </c>
      <c r="H446" t="n">
        <v>0</v>
      </c>
      <c r="I446" t="n">
        <v>0</v>
      </c>
      <c r="J446" t="n">
        <v>0</v>
      </c>
      <c r="K446" t="n">
        <v>0</v>
      </c>
      <c r="L446" t="n">
        <v>0</v>
      </c>
      <c r="M446" t="n">
        <v>0</v>
      </c>
      <c r="N446" t="n">
        <v>0</v>
      </c>
      <c r="O446" t="n">
        <v>0</v>
      </c>
      <c r="P446" t="n">
        <v>0</v>
      </c>
      <c r="Q446" t="n">
        <v>0</v>
      </c>
      <c r="R446" s="2" t="inlineStr"/>
    </row>
    <row r="447" ht="15" customHeight="1">
      <c r="A447" t="inlineStr">
        <is>
          <t>A 7611-2024</t>
        </is>
      </c>
      <c r="B447" s="1" t="n">
        <v>45348.58864583333</v>
      </c>
      <c r="C447" s="1" t="n">
        <v>46188</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26139-2026</t>
        </is>
      </c>
      <c r="B448" s="1" t="n">
        <v>46181.71155092592</v>
      </c>
      <c r="C448" s="1" t="n">
        <v>46188</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15789-2023</t>
        </is>
      </c>
      <c r="B449" s="1" t="n">
        <v>45021.71539351852</v>
      </c>
      <c r="C449" s="1" t="n">
        <v>46188</v>
      </c>
      <c r="D449" t="inlineStr">
        <is>
          <t>ÖREBRO LÄN</t>
        </is>
      </c>
      <c r="E449" t="inlineStr">
        <is>
          <t>ÖREBRO</t>
        </is>
      </c>
      <c r="F449" t="inlineStr">
        <is>
          <t>Övriga Aktiebolag</t>
        </is>
      </c>
      <c r="G449" t="n">
        <v>3.7</v>
      </c>
      <c r="H449" t="n">
        <v>0</v>
      </c>
      <c r="I449" t="n">
        <v>0</v>
      </c>
      <c r="J449" t="n">
        <v>0</v>
      </c>
      <c r="K449" t="n">
        <v>0</v>
      </c>
      <c r="L449" t="n">
        <v>0</v>
      </c>
      <c r="M449" t="n">
        <v>0</v>
      </c>
      <c r="N449" t="n">
        <v>0</v>
      </c>
      <c r="O449" t="n">
        <v>0</v>
      </c>
      <c r="P449" t="n">
        <v>0</v>
      </c>
      <c r="Q449" t="n">
        <v>0</v>
      </c>
      <c r="R449" s="2" t="inlineStr"/>
    </row>
    <row r="450" ht="15" customHeight="1">
      <c r="A450" t="inlineStr">
        <is>
          <t>A 8884-2022</t>
        </is>
      </c>
      <c r="B450" s="1" t="n">
        <v>44614.60990740741</v>
      </c>
      <c r="C450" s="1" t="n">
        <v>46188</v>
      </c>
      <c r="D450" t="inlineStr">
        <is>
          <t>ÖREBRO LÄN</t>
        </is>
      </c>
      <c r="E450" t="inlineStr">
        <is>
          <t>ÖREBRO</t>
        </is>
      </c>
      <c r="G450" t="n">
        <v>1</v>
      </c>
      <c r="H450" t="n">
        <v>0</v>
      </c>
      <c r="I450" t="n">
        <v>0</v>
      </c>
      <c r="J450" t="n">
        <v>0</v>
      </c>
      <c r="K450" t="n">
        <v>0</v>
      </c>
      <c r="L450" t="n">
        <v>0</v>
      </c>
      <c r="M450" t="n">
        <v>0</v>
      </c>
      <c r="N450" t="n">
        <v>0</v>
      </c>
      <c r="O450" t="n">
        <v>0</v>
      </c>
      <c r="P450" t="n">
        <v>0</v>
      </c>
      <c r="Q450" t="n">
        <v>0</v>
      </c>
      <c r="R450" s="2" t="inlineStr"/>
    </row>
    <row r="451" ht="15" customHeight="1">
      <c r="A451" t="inlineStr">
        <is>
          <t>A 52612-2024</t>
        </is>
      </c>
      <c r="B451" s="1" t="n">
        <v>45609</v>
      </c>
      <c r="C451" s="1" t="n">
        <v>46188</v>
      </c>
      <c r="D451" t="inlineStr">
        <is>
          <t>ÖREBRO LÄN</t>
        </is>
      </c>
      <c r="E451" t="inlineStr">
        <is>
          <t>ÖREBRO</t>
        </is>
      </c>
      <c r="F451" t="inlineStr">
        <is>
          <t>Kommuner</t>
        </is>
      </c>
      <c r="G451" t="n">
        <v>5.5</v>
      </c>
      <c r="H451" t="n">
        <v>0</v>
      </c>
      <c r="I451" t="n">
        <v>0</v>
      </c>
      <c r="J451" t="n">
        <v>0</v>
      </c>
      <c r="K451" t="n">
        <v>0</v>
      </c>
      <c r="L451" t="n">
        <v>0</v>
      </c>
      <c r="M451" t="n">
        <v>0</v>
      </c>
      <c r="N451" t="n">
        <v>0</v>
      </c>
      <c r="O451" t="n">
        <v>0</v>
      </c>
      <c r="P451" t="n">
        <v>0</v>
      </c>
      <c r="Q451" t="n">
        <v>0</v>
      </c>
      <c r="R451" s="2" t="inlineStr"/>
    </row>
    <row r="452" ht="15" customHeight="1">
      <c r="A452" t="inlineStr">
        <is>
          <t>A 55875-2024</t>
        </is>
      </c>
      <c r="B452" s="1" t="n">
        <v>45623.55375</v>
      </c>
      <c r="C452" s="1" t="n">
        <v>46188</v>
      </c>
      <c r="D452" t="inlineStr">
        <is>
          <t>ÖREBRO LÄN</t>
        </is>
      </c>
      <c r="E452" t="inlineStr">
        <is>
          <t>ÖREBRO</t>
        </is>
      </c>
      <c r="G452" t="n">
        <v>3.5</v>
      </c>
      <c r="H452" t="n">
        <v>0</v>
      </c>
      <c r="I452" t="n">
        <v>0</v>
      </c>
      <c r="J452" t="n">
        <v>0</v>
      </c>
      <c r="K452" t="n">
        <v>0</v>
      </c>
      <c r="L452" t="n">
        <v>0</v>
      </c>
      <c r="M452" t="n">
        <v>0</v>
      </c>
      <c r="N452" t="n">
        <v>0</v>
      </c>
      <c r="O452" t="n">
        <v>0</v>
      </c>
      <c r="P452" t="n">
        <v>0</v>
      </c>
      <c r="Q452" t="n">
        <v>0</v>
      </c>
      <c r="R452" s="2" t="inlineStr"/>
    </row>
    <row r="453" ht="15" customHeight="1">
      <c r="A453" t="inlineStr">
        <is>
          <t>A 3841-2023</t>
        </is>
      </c>
      <c r="B453" s="1" t="n">
        <v>44951</v>
      </c>
      <c r="C453" s="1" t="n">
        <v>46188</v>
      </c>
      <c r="D453" t="inlineStr">
        <is>
          <t>ÖREBRO LÄN</t>
        </is>
      </c>
      <c r="E453" t="inlineStr">
        <is>
          <t>ÖREBRO</t>
        </is>
      </c>
      <c r="G453" t="n">
        <v>4.3</v>
      </c>
      <c r="H453" t="n">
        <v>0</v>
      </c>
      <c r="I453" t="n">
        <v>0</v>
      </c>
      <c r="J453" t="n">
        <v>0</v>
      </c>
      <c r="K453" t="n">
        <v>0</v>
      </c>
      <c r="L453" t="n">
        <v>0</v>
      </c>
      <c r="M453" t="n">
        <v>0</v>
      </c>
      <c r="N453" t="n">
        <v>0</v>
      </c>
      <c r="O453" t="n">
        <v>0</v>
      </c>
      <c r="P453" t="n">
        <v>0</v>
      </c>
      <c r="Q453" t="n">
        <v>0</v>
      </c>
      <c r="R453" s="2" t="inlineStr"/>
    </row>
    <row r="454" ht="15" customHeight="1">
      <c r="A454" t="inlineStr">
        <is>
          <t>A 49215-2023</t>
        </is>
      </c>
      <c r="B454" s="1" t="n">
        <v>45210.61050925926</v>
      </c>
      <c r="C454" s="1" t="n">
        <v>46188</v>
      </c>
      <c r="D454" t="inlineStr">
        <is>
          <t>ÖREBRO LÄN</t>
        </is>
      </c>
      <c r="E454" t="inlineStr">
        <is>
          <t>ÖREBRO</t>
        </is>
      </c>
      <c r="F454" t="inlineStr">
        <is>
          <t>Övriga Aktiebolag</t>
        </is>
      </c>
      <c r="G454" t="n">
        <v>4.2</v>
      </c>
      <c r="H454" t="n">
        <v>0</v>
      </c>
      <c r="I454" t="n">
        <v>0</v>
      </c>
      <c r="J454" t="n">
        <v>0</v>
      </c>
      <c r="K454" t="n">
        <v>0</v>
      </c>
      <c r="L454" t="n">
        <v>0</v>
      </c>
      <c r="M454" t="n">
        <v>0</v>
      </c>
      <c r="N454" t="n">
        <v>0</v>
      </c>
      <c r="O454" t="n">
        <v>0</v>
      </c>
      <c r="P454" t="n">
        <v>0</v>
      </c>
      <c r="Q454" t="n">
        <v>0</v>
      </c>
      <c r="R454" s="2" t="inlineStr"/>
    </row>
    <row r="455" ht="15" customHeight="1">
      <c r="A455" t="inlineStr">
        <is>
          <t>A 43399-2022</t>
        </is>
      </c>
      <c r="B455" s="1" t="n">
        <v>44834</v>
      </c>
      <c r="C455" s="1" t="n">
        <v>46188</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19553-2023</t>
        </is>
      </c>
      <c r="B456" s="1" t="n">
        <v>45050</v>
      </c>
      <c r="C456" s="1" t="n">
        <v>46188</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60028-2024</t>
        </is>
      </c>
      <c r="B457" s="1" t="n">
        <v>45642</v>
      </c>
      <c r="C457" s="1" t="n">
        <v>46188</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26140-2026</t>
        </is>
      </c>
      <c r="B458" s="1" t="n">
        <v>46181.71399305556</v>
      </c>
      <c r="C458" s="1" t="n">
        <v>46188</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14291-2023</t>
        </is>
      </c>
      <c r="B459" s="1" t="n">
        <v>45010</v>
      </c>
      <c r="C459" s="1" t="n">
        <v>46188</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58527-2024</t>
        </is>
      </c>
      <c r="B460" s="1" t="n">
        <v>45635.44388888889</v>
      </c>
      <c r="C460" s="1" t="n">
        <v>46188</v>
      </c>
      <c r="D460" t="inlineStr">
        <is>
          <t>ÖREBRO LÄN</t>
        </is>
      </c>
      <c r="E460" t="inlineStr">
        <is>
          <t>ÖREBRO</t>
        </is>
      </c>
      <c r="F460" t="inlineStr">
        <is>
          <t>Sveaskog</t>
        </is>
      </c>
      <c r="G460" t="n">
        <v>6.4</v>
      </c>
      <c r="H460" t="n">
        <v>0</v>
      </c>
      <c r="I460" t="n">
        <v>0</v>
      </c>
      <c r="J460" t="n">
        <v>0</v>
      </c>
      <c r="K460" t="n">
        <v>0</v>
      </c>
      <c r="L460" t="n">
        <v>0</v>
      </c>
      <c r="M460" t="n">
        <v>0</v>
      </c>
      <c r="N460" t="n">
        <v>0</v>
      </c>
      <c r="O460" t="n">
        <v>0</v>
      </c>
      <c r="P460" t="n">
        <v>0</v>
      </c>
      <c r="Q460" t="n">
        <v>0</v>
      </c>
      <c r="R460" s="2" t="inlineStr"/>
    </row>
    <row r="461" ht="15" customHeight="1">
      <c r="A461" t="inlineStr">
        <is>
          <t>A 55593-2022</t>
        </is>
      </c>
      <c r="B461" s="1" t="n">
        <v>44888</v>
      </c>
      <c r="C461" s="1" t="n">
        <v>46188</v>
      </c>
      <c r="D461" t="inlineStr">
        <is>
          <t>ÖREBRO LÄN</t>
        </is>
      </c>
      <c r="E461" t="inlineStr">
        <is>
          <t>ÖREBRO</t>
        </is>
      </c>
      <c r="G461" t="n">
        <v>3.6</v>
      </c>
      <c r="H461" t="n">
        <v>0</v>
      </c>
      <c r="I461" t="n">
        <v>0</v>
      </c>
      <c r="J461" t="n">
        <v>0</v>
      </c>
      <c r="K461" t="n">
        <v>0</v>
      </c>
      <c r="L461" t="n">
        <v>0</v>
      </c>
      <c r="M461" t="n">
        <v>0</v>
      </c>
      <c r="N461" t="n">
        <v>0</v>
      </c>
      <c r="O461" t="n">
        <v>0</v>
      </c>
      <c r="P461" t="n">
        <v>0</v>
      </c>
      <c r="Q461" t="n">
        <v>0</v>
      </c>
      <c r="R461" s="2" t="inlineStr"/>
    </row>
    <row r="462" ht="15" customHeight="1">
      <c r="A462" t="inlineStr">
        <is>
          <t>A 41669-2025</t>
        </is>
      </c>
      <c r="B462" s="1" t="n">
        <v>45902.36149305556</v>
      </c>
      <c r="C462" s="1" t="n">
        <v>46188</v>
      </c>
      <c r="D462" t="inlineStr">
        <is>
          <t>ÖREBRO LÄN</t>
        </is>
      </c>
      <c r="E462" t="inlineStr">
        <is>
          <t>ÖREBRO</t>
        </is>
      </c>
      <c r="G462" t="n">
        <v>2.8</v>
      </c>
      <c r="H462" t="n">
        <v>0</v>
      </c>
      <c r="I462" t="n">
        <v>0</v>
      </c>
      <c r="J462" t="n">
        <v>0</v>
      </c>
      <c r="K462" t="n">
        <v>0</v>
      </c>
      <c r="L462" t="n">
        <v>0</v>
      </c>
      <c r="M462" t="n">
        <v>0</v>
      </c>
      <c r="N462" t="n">
        <v>0</v>
      </c>
      <c r="O462" t="n">
        <v>0</v>
      </c>
      <c r="P462" t="n">
        <v>0</v>
      </c>
      <c r="Q462" t="n">
        <v>0</v>
      </c>
      <c r="R462" s="2" t="inlineStr"/>
    </row>
    <row r="463" ht="15" customHeight="1">
      <c r="A463" t="inlineStr">
        <is>
          <t>A 25649-2026</t>
        </is>
      </c>
      <c r="B463" s="1" t="n">
        <v>46177.95074074074</v>
      </c>
      <c r="C463" s="1" t="n">
        <v>46188</v>
      </c>
      <c r="D463" t="inlineStr">
        <is>
          <t>ÖREBRO LÄN</t>
        </is>
      </c>
      <c r="E463" t="inlineStr">
        <is>
          <t>ÖREBRO</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7141-2025</t>
        </is>
      </c>
      <c r="B464" s="1" t="n">
        <v>45702</v>
      </c>
      <c r="C464" s="1" t="n">
        <v>46188</v>
      </c>
      <c r="D464" t="inlineStr">
        <is>
          <t>ÖREBRO LÄN</t>
        </is>
      </c>
      <c r="E464" t="inlineStr">
        <is>
          <t>ÖREBRO</t>
        </is>
      </c>
      <c r="G464" t="n">
        <v>2.9</v>
      </c>
      <c r="H464" t="n">
        <v>0</v>
      </c>
      <c r="I464" t="n">
        <v>0</v>
      </c>
      <c r="J464" t="n">
        <v>0</v>
      </c>
      <c r="K464" t="n">
        <v>0</v>
      </c>
      <c r="L464" t="n">
        <v>0</v>
      </c>
      <c r="M464" t="n">
        <v>0</v>
      </c>
      <c r="N464" t="n">
        <v>0</v>
      </c>
      <c r="O464" t="n">
        <v>0</v>
      </c>
      <c r="P464" t="n">
        <v>0</v>
      </c>
      <c r="Q464" t="n">
        <v>0</v>
      </c>
      <c r="R464" s="2" t="inlineStr"/>
    </row>
    <row r="465" ht="15" customHeight="1">
      <c r="A465" t="inlineStr">
        <is>
          <t>A 26149-2026</t>
        </is>
      </c>
      <c r="B465" s="1" t="n">
        <v>46181.74087962963</v>
      </c>
      <c r="C465" s="1" t="n">
        <v>46188</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14963-2025</t>
        </is>
      </c>
      <c r="B466" s="1" t="n">
        <v>45743.58699074074</v>
      </c>
      <c r="C466" s="1" t="n">
        <v>46188</v>
      </c>
      <c r="D466" t="inlineStr">
        <is>
          <t>ÖREBRO LÄN</t>
        </is>
      </c>
      <c r="E466" t="inlineStr">
        <is>
          <t>ÖREBRO</t>
        </is>
      </c>
      <c r="G466" t="n">
        <v>9.1</v>
      </c>
      <c r="H466" t="n">
        <v>0</v>
      </c>
      <c r="I466" t="n">
        <v>0</v>
      </c>
      <c r="J466" t="n">
        <v>0</v>
      </c>
      <c r="K466" t="n">
        <v>0</v>
      </c>
      <c r="L466" t="n">
        <v>0</v>
      </c>
      <c r="M466" t="n">
        <v>0</v>
      </c>
      <c r="N466" t="n">
        <v>0</v>
      </c>
      <c r="O466" t="n">
        <v>0</v>
      </c>
      <c r="P466" t="n">
        <v>0</v>
      </c>
      <c r="Q466" t="n">
        <v>0</v>
      </c>
      <c r="R466" s="2" t="inlineStr"/>
    </row>
    <row r="467" ht="15" customHeight="1">
      <c r="A467" t="inlineStr">
        <is>
          <t>A 60022-2024</t>
        </is>
      </c>
      <c r="B467" s="1" t="n">
        <v>45642</v>
      </c>
      <c r="C467" s="1" t="n">
        <v>46188</v>
      </c>
      <c r="D467" t="inlineStr">
        <is>
          <t>ÖREBRO LÄN</t>
        </is>
      </c>
      <c r="E467" t="inlineStr">
        <is>
          <t>ÖREBRO</t>
        </is>
      </c>
      <c r="G467" t="n">
        <v>1.7</v>
      </c>
      <c r="H467" t="n">
        <v>0</v>
      </c>
      <c r="I467" t="n">
        <v>0</v>
      </c>
      <c r="J467" t="n">
        <v>0</v>
      </c>
      <c r="K467" t="n">
        <v>0</v>
      </c>
      <c r="L467" t="n">
        <v>0</v>
      </c>
      <c r="M467" t="n">
        <v>0</v>
      </c>
      <c r="N467" t="n">
        <v>0</v>
      </c>
      <c r="O467" t="n">
        <v>0</v>
      </c>
      <c r="P467" t="n">
        <v>0</v>
      </c>
      <c r="Q467" t="n">
        <v>0</v>
      </c>
      <c r="R467" s="2" t="inlineStr"/>
    </row>
    <row r="468" ht="15" customHeight="1">
      <c r="A468" t="inlineStr">
        <is>
          <t>A 49465-2024</t>
        </is>
      </c>
      <c r="B468" s="1" t="n">
        <v>45596</v>
      </c>
      <c r="C468" s="1" t="n">
        <v>46188</v>
      </c>
      <c r="D468" t="inlineStr">
        <is>
          <t>ÖREBRO LÄN</t>
        </is>
      </c>
      <c r="E468" t="inlineStr">
        <is>
          <t>ÖREBRO</t>
        </is>
      </c>
      <c r="F468" t="inlineStr">
        <is>
          <t>Övriga Aktiebolag</t>
        </is>
      </c>
      <c r="G468" t="n">
        <v>21</v>
      </c>
      <c r="H468" t="n">
        <v>0</v>
      </c>
      <c r="I468" t="n">
        <v>0</v>
      </c>
      <c r="J468" t="n">
        <v>0</v>
      </c>
      <c r="K468" t="n">
        <v>0</v>
      </c>
      <c r="L468" t="n">
        <v>0</v>
      </c>
      <c r="M468" t="n">
        <v>0</v>
      </c>
      <c r="N468" t="n">
        <v>0</v>
      </c>
      <c r="O468" t="n">
        <v>0</v>
      </c>
      <c r="P468" t="n">
        <v>0</v>
      </c>
      <c r="Q468" t="n">
        <v>0</v>
      </c>
      <c r="R468" s="2" t="inlineStr"/>
    </row>
    <row r="469" ht="15" customHeight="1">
      <c r="A469" t="inlineStr">
        <is>
          <t>A 63142-2023</t>
        </is>
      </c>
      <c r="B469" s="1" t="n">
        <v>45273</v>
      </c>
      <c r="C469" s="1" t="n">
        <v>46188</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23741-2022</t>
        </is>
      </c>
      <c r="B470" s="1" t="n">
        <v>44722</v>
      </c>
      <c r="C470" s="1" t="n">
        <v>46188</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59121-2024</t>
        </is>
      </c>
      <c r="B471" s="1" t="n">
        <v>45637.37755787037</v>
      </c>
      <c r="C471" s="1" t="n">
        <v>46188</v>
      </c>
      <c r="D471" t="inlineStr">
        <is>
          <t>ÖREBRO LÄN</t>
        </is>
      </c>
      <c r="E471" t="inlineStr">
        <is>
          <t>ÖREBRO</t>
        </is>
      </c>
      <c r="G471" t="n">
        <v>1</v>
      </c>
      <c r="H471" t="n">
        <v>0</v>
      </c>
      <c r="I471" t="n">
        <v>0</v>
      </c>
      <c r="J471" t="n">
        <v>0</v>
      </c>
      <c r="K471" t="n">
        <v>0</v>
      </c>
      <c r="L471" t="n">
        <v>0</v>
      </c>
      <c r="M471" t="n">
        <v>0</v>
      </c>
      <c r="N471" t="n">
        <v>0</v>
      </c>
      <c r="O471" t="n">
        <v>0</v>
      </c>
      <c r="P471" t="n">
        <v>0</v>
      </c>
      <c r="Q471" t="n">
        <v>0</v>
      </c>
      <c r="R471" s="2" t="inlineStr"/>
    </row>
    <row r="472" ht="15" customHeight="1">
      <c r="A472" t="inlineStr">
        <is>
          <t>A 9704-2023</t>
        </is>
      </c>
      <c r="B472" s="1" t="n">
        <v>44984</v>
      </c>
      <c r="C472" s="1" t="n">
        <v>46188</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12099-2023</t>
        </is>
      </c>
      <c r="B473" s="1" t="n">
        <v>44998.37043981482</v>
      </c>
      <c r="C473" s="1" t="n">
        <v>46188</v>
      </c>
      <c r="D473" t="inlineStr">
        <is>
          <t>ÖREBRO LÄN</t>
        </is>
      </c>
      <c r="E473" t="inlineStr">
        <is>
          <t>ÖREBRO</t>
        </is>
      </c>
      <c r="G473" t="n">
        <v>0.9</v>
      </c>
      <c r="H473" t="n">
        <v>0</v>
      </c>
      <c r="I473" t="n">
        <v>0</v>
      </c>
      <c r="J473" t="n">
        <v>0</v>
      </c>
      <c r="K473" t="n">
        <v>0</v>
      </c>
      <c r="L473" t="n">
        <v>0</v>
      </c>
      <c r="M473" t="n">
        <v>0</v>
      </c>
      <c r="N473" t="n">
        <v>0</v>
      </c>
      <c r="O473" t="n">
        <v>0</v>
      </c>
      <c r="P473" t="n">
        <v>0</v>
      </c>
      <c r="Q473" t="n">
        <v>0</v>
      </c>
      <c r="R473" s="2" t="inlineStr"/>
    </row>
    <row r="474" ht="15" customHeight="1">
      <c r="A474" t="inlineStr">
        <is>
          <t>A 17869-2024</t>
        </is>
      </c>
      <c r="B474" s="1" t="n">
        <v>45419</v>
      </c>
      <c r="C474" s="1" t="n">
        <v>46188</v>
      </c>
      <c r="D474" t="inlineStr">
        <is>
          <t>ÖREBRO LÄN</t>
        </is>
      </c>
      <c r="E474" t="inlineStr">
        <is>
          <t>ÖREBRO</t>
        </is>
      </c>
      <c r="G474" t="n">
        <v>3.7</v>
      </c>
      <c r="H474" t="n">
        <v>0</v>
      </c>
      <c r="I474" t="n">
        <v>0</v>
      </c>
      <c r="J474" t="n">
        <v>0</v>
      </c>
      <c r="K474" t="n">
        <v>0</v>
      </c>
      <c r="L474" t="n">
        <v>0</v>
      </c>
      <c r="M474" t="n">
        <v>0</v>
      </c>
      <c r="N474" t="n">
        <v>0</v>
      </c>
      <c r="O474" t="n">
        <v>0</v>
      </c>
      <c r="P474" t="n">
        <v>0</v>
      </c>
      <c r="Q474" t="n">
        <v>0</v>
      </c>
      <c r="R474" s="2" t="inlineStr"/>
    </row>
    <row r="475" ht="15" customHeight="1">
      <c r="A475" t="inlineStr">
        <is>
          <t>A 5026-2022</t>
        </is>
      </c>
      <c r="B475" s="1" t="n">
        <v>44593.63974537037</v>
      </c>
      <c r="C475" s="1" t="n">
        <v>46188</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10832-2023</t>
        </is>
      </c>
      <c r="B476" s="1" t="n">
        <v>44990.91711805556</v>
      </c>
      <c r="C476" s="1" t="n">
        <v>46188</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48581-2024</t>
        </is>
      </c>
      <c r="B477" s="1" t="n">
        <v>45593.41642361111</v>
      </c>
      <c r="C477" s="1" t="n">
        <v>46188</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20518-2026</t>
        </is>
      </c>
      <c r="B478" s="1" t="n">
        <v>46140.54920138889</v>
      </c>
      <c r="C478" s="1" t="n">
        <v>46188</v>
      </c>
      <c r="D478" t="inlineStr">
        <is>
          <t>ÖREBRO LÄN</t>
        </is>
      </c>
      <c r="E478" t="inlineStr">
        <is>
          <t>ÖREBRO</t>
        </is>
      </c>
      <c r="G478" t="n">
        <v>0.7</v>
      </c>
      <c r="H478" t="n">
        <v>0</v>
      </c>
      <c r="I478" t="n">
        <v>0</v>
      </c>
      <c r="J478" t="n">
        <v>0</v>
      </c>
      <c r="K478" t="n">
        <v>0</v>
      </c>
      <c r="L478" t="n">
        <v>0</v>
      </c>
      <c r="M478" t="n">
        <v>0</v>
      </c>
      <c r="N478" t="n">
        <v>0</v>
      </c>
      <c r="O478" t="n">
        <v>0</v>
      </c>
      <c r="P478" t="n">
        <v>0</v>
      </c>
      <c r="Q478" t="n">
        <v>0</v>
      </c>
      <c r="R478" s="2" t="inlineStr"/>
    </row>
    <row r="479" ht="15" customHeight="1">
      <c r="A479" t="inlineStr">
        <is>
          <t>A 39003-2025</t>
        </is>
      </c>
      <c r="B479" s="1" t="n">
        <v>45888.34467592592</v>
      </c>
      <c r="C479" s="1" t="n">
        <v>46188</v>
      </c>
      <c r="D479" t="inlineStr">
        <is>
          <t>ÖREBRO LÄN</t>
        </is>
      </c>
      <c r="E479" t="inlineStr">
        <is>
          <t>ÖREBRO</t>
        </is>
      </c>
      <c r="G479" t="n">
        <v>3.7</v>
      </c>
      <c r="H479" t="n">
        <v>0</v>
      </c>
      <c r="I479" t="n">
        <v>0</v>
      </c>
      <c r="J479" t="n">
        <v>0</v>
      </c>
      <c r="K479" t="n">
        <v>0</v>
      </c>
      <c r="L479" t="n">
        <v>0</v>
      </c>
      <c r="M479" t="n">
        <v>0</v>
      </c>
      <c r="N479" t="n">
        <v>0</v>
      </c>
      <c r="O479" t="n">
        <v>0</v>
      </c>
      <c r="P479" t="n">
        <v>0</v>
      </c>
      <c r="Q479" t="n">
        <v>0</v>
      </c>
      <c r="R479" s="2" t="inlineStr"/>
    </row>
    <row r="480" ht="15" customHeight="1">
      <c r="A480" t="inlineStr">
        <is>
          <t>A 40231-2022</t>
        </is>
      </c>
      <c r="B480" s="1" t="n">
        <v>44820</v>
      </c>
      <c r="C480" s="1" t="n">
        <v>46188</v>
      </c>
      <c r="D480" t="inlineStr">
        <is>
          <t>ÖREBRO LÄN</t>
        </is>
      </c>
      <c r="E480" t="inlineStr">
        <is>
          <t>ÖREBRO</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21338-2025</t>
        </is>
      </c>
      <c r="B481" s="1" t="n">
        <v>45780</v>
      </c>
      <c r="C481" s="1" t="n">
        <v>46188</v>
      </c>
      <c r="D481" t="inlineStr">
        <is>
          <t>ÖREBRO LÄN</t>
        </is>
      </c>
      <c r="E481" t="inlineStr">
        <is>
          <t>ÖREBRO</t>
        </is>
      </c>
      <c r="G481" t="n">
        <v>3.2</v>
      </c>
      <c r="H481" t="n">
        <v>0</v>
      </c>
      <c r="I481" t="n">
        <v>0</v>
      </c>
      <c r="J481" t="n">
        <v>0</v>
      </c>
      <c r="K481" t="n">
        <v>0</v>
      </c>
      <c r="L481" t="n">
        <v>0</v>
      </c>
      <c r="M481" t="n">
        <v>0</v>
      </c>
      <c r="N481" t="n">
        <v>0</v>
      </c>
      <c r="O481" t="n">
        <v>0</v>
      </c>
      <c r="P481" t="n">
        <v>0</v>
      </c>
      <c r="Q481" t="n">
        <v>0</v>
      </c>
      <c r="R481" s="2" t="inlineStr"/>
    </row>
    <row r="482" ht="15" customHeight="1">
      <c r="A482" t="inlineStr">
        <is>
          <t>A 33455-2023</t>
        </is>
      </c>
      <c r="B482" s="1" t="n">
        <v>45130.98962962963</v>
      </c>
      <c r="C482" s="1" t="n">
        <v>46188</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26404-2026</t>
        </is>
      </c>
      <c r="B483" s="1" t="n">
        <v>46183</v>
      </c>
      <c r="C483" s="1" t="n">
        <v>46188</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2069-2025</t>
        </is>
      </c>
      <c r="B484" s="1" t="n">
        <v>45672.56614583333</v>
      </c>
      <c r="C484" s="1" t="n">
        <v>46188</v>
      </c>
      <c r="D484" t="inlineStr">
        <is>
          <t>ÖREBRO LÄN</t>
        </is>
      </c>
      <c r="E484" t="inlineStr">
        <is>
          <t>ÖREBRO</t>
        </is>
      </c>
      <c r="G484" t="n">
        <v>3.8</v>
      </c>
      <c r="H484" t="n">
        <v>0</v>
      </c>
      <c r="I484" t="n">
        <v>0</v>
      </c>
      <c r="J484" t="n">
        <v>0</v>
      </c>
      <c r="K484" t="n">
        <v>0</v>
      </c>
      <c r="L484" t="n">
        <v>0</v>
      </c>
      <c r="M484" t="n">
        <v>0</v>
      </c>
      <c r="N484" t="n">
        <v>0</v>
      </c>
      <c r="O484" t="n">
        <v>0</v>
      </c>
      <c r="P484" t="n">
        <v>0</v>
      </c>
      <c r="Q484" t="n">
        <v>0</v>
      </c>
      <c r="R484" s="2" t="inlineStr"/>
    </row>
    <row r="485" ht="15" customHeight="1">
      <c r="A485" t="inlineStr">
        <is>
          <t>A 58277-2022</t>
        </is>
      </c>
      <c r="B485" s="1" t="n">
        <v>44901.48108796297</v>
      </c>
      <c r="C485" s="1" t="n">
        <v>46188</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44427.81496527778</v>
      </c>
      <c r="C486" s="1" t="n">
        <v>46188</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14524-2025</t>
        </is>
      </c>
      <c r="B487" s="1" t="n">
        <v>45741.64815972222</v>
      </c>
      <c r="C487" s="1" t="n">
        <v>46188</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20520-2026</t>
        </is>
      </c>
      <c r="B488" s="1" t="n">
        <v>46140.55184027777</v>
      </c>
      <c r="C488" s="1" t="n">
        <v>46188</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15354-2024</t>
        </is>
      </c>
      <c r="B489" s="1" t="n">
        <v>45400.85319444445</v>
      </c>
      <c r="C489" s="1" t="n">
        <v>46188</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31066-2025</t>
        </is>
      </c>
      <c r="B490" s="1" t="n">
        <v>45832</v>
      </c>
      <c r="C490" s="1" t="n">
        <v>46188</v>
      </c>
      <c r="D490" t="inlineStr">
        <is>
          <t>ÖREBRO LÄN</t>
        </is>
      </c>
      <c r="E490" t="inlineStr">
        <is>
          <t>ÖREBRO</t>
        </is>
      </c>
      <c r="G490" t="n">
        <v>11.1</v>
      </c>
      <c r="H490" t="n">
        <v>0</v>
      </c>
      <c r="I490" t="n">
        <v>0</v>
      </c>
      <c r="J490" t="n">
        <v>0</v>
      </c>
      <c r="K490" t="n">
        <v>0</v>
      </c>
      <c r="L490" t="n">
        <v>0</v>
      </c>
      <c r="M490" t="n">
        <v>0</v>
      </c>
      <c r="N490" t="n">
        <v>0</v>
      </c>
      <c r="O490" t="n">
        <v>0</v>
      </c>
      <c r="P490" t="n">
        <v>0</v>
      </c>
      <c r="Q490" t="n">
        <v>0</v>
      </c>
      <c r="R490" s="2" t="inlineStr"/>
    </row>
    <row r="491" ht="15" customHeight="1">
      <c r="A491" t="inlineStr">
        <is>
          <t>A 26402-2026</t>
        </is>
      </c>
      <c r="B491" s="1" t="n">
        <v>46183</v>
      </c>
      <c r="C491" s="1" t="n">
        <v>46188</v>
      </c>
      <c r="D491" t="inlineStr">
        <is>
          <t>ÖREBRO LÄN</t>
        </is>
      </c>
      <c r="E491" t="inlineStr">
        <is>
          <t>ÖREBRO</t>
        </is>
      </c>
      <c r="G491" t="n">
        <v>2.4</v>
      </c>
      <c r="H491" t="n">
        <v>0</v>
      </c>
      <c r="I491" t="n">
        <v>0</v>
      </c>
      <c r="J491" t="n">
        <v>0</v>
      </c>
      <c r="K491" t="n">
        <v>0</v>
      </c>
      <c r="L491" t="n">
        <v>0</v>
      </c>
      <c r="M491" t="n">
        <v>0</v>
      </c>
      <c r="N491" t="n">
        <v>0</v>
      </c>
      <c r="O491" t="n">
        <v>0</v>
      </c>
      <c r="P491" t="n">
        <v>0</v>
      </c>
      <c r="Q491" t="n">
        <v>0</v>
      </c>
      <c r="R491" s="2" t="inlineStr"/>
    </row>
    <row r="492" ht="15" customHeight="1">
      <c r="A492" t="inlineStr">
        <is>
          <t>A 41543-2024</t>
        </is>
      </c>
      <c r="B492" s="1" t="n">
        <v>45560</v>
      </c>
      <c r="C492" s="1" t="n">
        <v>46188</v>
      </c>
      <c r="D492" t="inlineStr">
        <is>
          <t>ÖREBRO LÄN</t>
        </is>
      </c>
      <c r="E492" t="inlineStr">
        <is>
          <t>ÖREBRO</t>
        </is>
      </c>
      <c r="G492" t="n">
        <v>2.8</v>
      </c>
      <c r="H492" t="n">
        <v>0</v>
      </c>
      <c r="I492" t="n">
        <v>0</v>
      </c>
      <c r="J492" t="n">
        <v>0</v>
      </c>
      <c r="K492" t="n">
        <v>0</v>
      </c>
      <c r="L492" t="n">
        <v>0</v>
      </c>
      <c r="M492" t="n">
        <v>0</v>
      </c>
      <c r="N492" t="n">
        <v>0</v>
      </c>
      <c r="O492" t="n">
        <v>0</v>
      </c>
      <c r="P492" t="n">
        <v>0</v>
      </c>
      <c r="Q492" t="n">
        <v>0</v>
      </c>
      <c r="R492" s="2" t="inlineStr"/>
    </row>
    <row r="493" ht="15" customHeight="1">
      <c r="A493" t="inlineStr">
        <is>
          <t>A 71275-2021</t>
        </is>
      </c>
      <c r="B493" s="1" t="n">
        <v>44539</v>
      </c>
      <c r="C493" s="1" t="n">
        <v>46188</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71285-2021</t>
        </is>
      </c>
      <c r="B494" s="1" t="n">
        <v>44539.62236111111</v>
      </c>
      <c r="C494" s="1" t="n">
        <v>46188</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2658-2023</t>
        </is>
      </c>
      <c r="B495" s="1" t="n">
        <v>44944</v>
      </c>
      <c r="C495" s="1" t="n">
        <v>46188</v>
      </c>
      <c r="D495" t="inlineStr">
        <is>
          <t>ÖREBRO LÄN</t>
        </is>
      </c>
      <c r="E495" t="inlineStr">
        <is>
          <t>ÖREBRO</t>
        </is>
      </c>
      <c r="G495" t="n">
        <v>0.7</v>
      </c>
      <c r="H495" t="n">
        <v>0</v>
      </c>
      <c r="I495" t="n">
        <v>0</v>
      </c>
      <c r="J495" t="n">
        <v>0</v>
      </c>
      <c r="K495" t="n">
        <v>0</v>
      </c>
      <c r="L495" t="n">
        <v>0</v>
      </c>
      <c r="M495" t="n">
        <v>0</v>
      </c>
      <c r="N495" t="n">
        <v>0</v>
      </c>
      <c r="O495" t="n">
        <v>0</v>
      </c>
      <c r="P495" t="n">
        <v>0</v>
      </c>
      <c r="Q495" t="n">
        <v>0</v>
      </c>
      <c r="R495" s="2" t="inlineStr"/>
    </row>
    <row r="496" ht="15" customHeight="1">
      <c r="A496" t="inlineStr">
        <is>
          <t>A 20996-2026</t>
        </is>
      </c>
      <c r="B496" s="1" t="n">
        <v>46142.62744212963</v>
      </c>
      <c r="C496" s="1" t="n">
        <v>46188</v>
      </c>
      <c r="D496" t="inlineStr">
        <is>
          <t>ÖREBRO LÄN</t>
        </is>
      </c>
      <c r="E496" t="inlineStr">
        <is>
          <t>ÖREBRO</t>
        </is>
      </c>
      <c r="G496" t="n">
        <v>3.4</v>
      </c>
      <c r="H496" t="n">
        <v>0</v>
      </c>
      <c r="I496" t="n">
        <v>0</v>
      </c>
      <c r="J496" t="n">
        <v>0</v>
      </c>
      <c r="K496" t="n">
        <v>0</v>
      </c>
      <c r="L496" t="n">
        <v>0</v>
      </c>
      <c r="M496" t="n">
        <v>0</v>
      </c>
      <c r="N496" t="n">
        <v>0</v>
      </c>
      <c r="O496" t="n">
        <v>0</v>
      </c>
      <c r="P496" t="n">
        <v>0</v>
      </c>
      <c r="Q496" t="n">
        <v>0</v>
      </c>
      <c r="R496" s="2" t="inlineStr"/>
    </row>
    <row r="497" ht="15" customHeight="1">
      <c r="A497" t="inlineStr">
        <is>
          <t>A 11382-2023</t>
        </is>
      </c>
      <c r="B497" s="1" t="n">
        <v>44993.45635416666</v>
      </c>
      <c r="C497" s="1" t="n">
        <v>46188</v>
      </c>
      <c r="D497" t="inlineStr">
        <is>
          <t>ÖREBRO LÄN</t>
        </is>
      </c>
      <c r="E497" t="inlineStr">
        <is>
          <t>ÖREBRO</t>
        </is>
      </c>
      <c r="G497" t="n">
        <v>3.3</v>
      </c>
      <c r="H497" t="n">
        <v>0</v>
      </c>
      <c r="I497" t="n">
        <v>0</v>
      </c>
      <c r="J497" t="n">
        <v>0</v>
      </c>
      <c r="K497" t="n">
        <v>0</v>
      </c>
      <c r="L497" t="n">
        <v>0</v>
      </c>
      <c r="M497" t="n">
        <v>0</v>
      </c>
      <c r="N497" t="n">
        <v>0</v>
      </c>
      <c r="O497" t="n">
        <v>0</v>
      </c>
      <c r="P497" t="n">
        <v>0</v>
      </c>
      <c r="Q497" t="n">
        <v>0</v>
      </c>
      <c r="R497" s="2" t="inlineStr"/>
    </row>
    <row r="498" ht="15" customHeight="1">
      <c r="A498" t="inlineStr">
        <is>
          <t>A 52016-2024</t>
        </is>
      </c>
      <c r="B498" s="1" t="n">
        <v>45607.81917824074</v>
      </c>
      <c r="C498" s="1" t="n">
        <v>46188</v>
      </c>
      <c r="D498" t="inlineStr">
        <is>
          <t>ÖREBRO LÄN</t>
        </is>
      </c>
      <c r="E498" t="inlineStr">
        <is>
          <t>ÖREBRO</t>
        </is>
      </c>
      <c r="G498" t="n">
        <v>1.9</v>
      </c>
      <c r="H498" t="n">
        <v>0</v>
      </c>
      <c r="I498" t="n">
        <v>0</v>
      </c>
      <c r="J498" t="n">
        <v>0</v>
      </c>
      <c r="K498" t="n">
        <v>0</v>
      </c>
      <c r="L498" t="n">
        <v>0</v>
      </c>
      <c r="M498" t="n">
        <v>0</v>
      </c>
      <c r="N498" t="n">
        <v>0</v>
      </c>
      <c r="O498" t="n">
        <v>0</v>
      </c>
      <c r="P498" t="n">
        <v>0</v>
      </c>
      <c r="Q498" t="n">
        <v>0</v>
      </c>
      <c r="R498" s="2" t="inlineStr"/>
    </row>
    <row r="499" ht="15" customHeight="1">
      <c r="A499" t="inlineStr">
        <is>
          <t>A 27112-2023</t>
        </is>
      </c>
      <c r="B499" s="1" t="n">
        <v>45096</v>
      </c>
      <c r="C499" s="1" t="n">
        <v>46188</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16739-2022</t>
        </is>
      </c>
      <c r="B500" s="1" t="n">
        <v>44673</v>
      </c>
      <c r="C500" s="1" t="n">
        <v>46188</v>
      </c>
      <c r="D500" t="inlineStr">
        <is>
          <t>ÖREBRO LÄN</t>
        </is>
      </c>
      <c r="E500" t="inlineStr">
        <is>
          <t>ÖREBRO</t>
        </is>
      </c>
      <c r="G500" t="n">
        <v>4.7</v>
      </c>
      <c r="H500" t="n">
        <v>0</v>
      </c>
      <c r="I500" t="n">
        <v>0</v>
      </c>
      <c r="J500" t="n">
        <v>0</v>
      </c>
      <c r="K500" t="n">
        <v>0</v>
      </c>
      <c r="L500" t="n">
        <v>0</v>
      </c>
      <c r="M500" t="n">
        <v>0</v>
      </c>
      <c r="N500" t="n">
        <v>0</v>
      </c>
      <c r="O500" t="n">
        <v>0</v>
      </c>
      <c r="P500" t="n">
        <v>0</v>
      </c>
      <c r="Q500" t="n">
        <v>0</v>
      </c>
      <c r="R500" s="2" t="inlineStr"/>
    </row>
    <row r="501" ht="15" customHeight="1">
      <c r="A501" t="inlineStr">
        <is>
          <t>A 13592-2023</t>
        </is>
      </c>
      <c r="B501" s="1" t="n">
        <v>45006.56870370371</v>
      </c>
      <c r="C501" s="1" t="n">
        <v>46188</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40656-2023</t>
        </is>
      </c>
      <c r="B502" s="1" t="n">
        <v>45170</v>
      </c>
      <c r="C502" s="1" t="n">
        <v>46188</v>
      </c>
      <c r="D502" t="inlineStr">
        <is>
          <t>ÖREBRO LÄN</t>
        </is>
      </c>
      <c r="E502" t="inlineStr">
        <is>
          <t>ÖREBRO</t>
        </is>
      </c>
      <c r="F502" t="inlineStr">
        <is>
          <t>Övriga Aktiebolag</t>
        </is>
      </c>
      <c r="G502" t="n">
        <v>0.8</v>
      </c>
      <c r="H502" t="n">
        <v>0</v>
      </c>
      <c r="I502" t="n">
        <v>0</v>
      </c>
      <c r="J502" t="n">
        <v>0</v>
      </c>
      <c r="K502" t="n">
        <v>0</v>
      </c>
      <c r="L502" t="n">
        <v>0</v>
      </c>
      <c r="M502" t="n">
        <v>0</v>
      </c>
      <c r="N502" t="n">
        <v>0</v>
      </c>
      <c r="O502" t="n">
        <v>0</v>
      </c>
      <c r="P502" t="n">
        <v>0</v>
      </c>
      <c r="Q502" t="n">
        <v>0</v>
      </c>
      <c r="R502" s="2" t="inlineStr"/>
    </row>
    <row r="503" ht="15" customHeight="1">
      <c r="A503" t="inlineStr">
        <is>
          <t>A 12245-2023</t>
        </is>
      </c>
      <c r="B503" s="1" t="n">
        <v>44998.64402777778</v>
      </c>
      <c r="C503" s="1" t="n">
        <v>46188</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8008-2024</t>
        </is>
      </c>
      <c r="B504" s="1" t="n">
        <v>45350.6794212963</v>
      </c>
      <c r="C504" s="1" t="n">
        <v>46188</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46834-2022</t>
        </is>
      </c>
      <c r="B505" s="1" t="n">
        <v>44851</v>
      </c>
      <c r="C505" s="1" t="n">
        <v>46188</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3789-2023</t>
        </is>
      </c>
      <c r="B506" s="1" t="n">
        <v>44951</v>
      </c>
      <c r="C506" s="1" t="n">
        <v>46188</v>
      </c>
      <c r="D506" t="inlineStr">
        <is>
          <t>ÖREBRO LÄN</t>
        </is>
      </c>
      <c r="E506" t="inlineStr">
        <is>
          <t>ÖREBRO</t>
        </is>
      </c>
      <c r="G506" t="n">
        <v>7.5</v>
      </c>
      <c r="H506" t="n">
        <v>0</v>
      </c>
      <c r="I506" t="n">
        <v>0</v>
      </c>
      <c r="J506" t="n">
        <v>0</v>
      </c>
      <c r="K506" t="n">
        <v>0</v>
      </c>
      <c r="L506" t="n">
        <v>0</v>
      </c>
      <c r="M506" t="n">
        <v>0</v>
      </c>
      <c r="N506" t="n">
        <v>0</v>
      </c>
      <c r="O506" t="n">
        <v>0</v>
      </c>
      <c r="P506" t="n">
        <v>0</v>
      </c>
      <c r="Q506" t="n">
        <v>0</v>
      </c>
      <c r="R506" s="2" t="inlineStr"/>
    </row>
    <row r="507" ht="15" customHeight="1">
      <c r="A507" t="inlineStr">
        <is>
          <t>A 57869-2024</t>
        </is>
      </c>
      <c r="B507" s="1" t="n">
        <v>45631.44207175926</v>
      </c>
      <c r="C507" s="1" t="n">
        <v>46188</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11565-2023</t>
        </is>
      </c>
      <c r="B508" s="1" t="n">
        <v>44994</v>
      </c>
      <c r="C508" s="1" t="n">
        <v>46188</v>
      </c>
      <c r="D508" t="inlineStr">
        <is>
          <t>ÖREBRO LÄN</t>
        </is>
      </c>
      <c r="E508" t="inlineStr">
        <is>
          <t>ÖREBRO</t>
        </is>
      </c>
      <c r="G508" t="n">
        <v>4.7</v>
      </c>
      <c r="H508" t="n">
        <v>0</v>
      </c>
      <c r="I508" t="n">
        <v>0</v>
      </c>
      <c r="J508" t="n">
        <v>0</v>
      </c>
      <c r="K508" t="n">
        <v>0</v>
      </c>
      <c r="L508" t="n">
        <v>0</v>
      </c>
      <c r="M508" t="n">
        <v>0</v>
      </c>
      <c r="N508" t="n">
        <v>0</v>
      </c>
      <c r="O508" t="n">
        <v>0</v>
      </c>
      <c r="P508" t="n">
        <v>0</v>
      </c>
      <c r="Q508" t="n">
        <v>0</v>
      </c>
      <c r="R508" s="2" t="inlineStr"/>
    </row>
    <row r="509" ht="15" customHeight="1">
      <c r="A509" t="inlineStr">
        <is>
          <t>A 1647-2024</t>
        </is>
      </c>
      <c r="B509" s="1" t="n">
        <v>45306</v>
      </c>
      <c r="C509" s="1" t="n">
        <v>46188</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31906-2023</t>
        </is>
      </c>
      <c r="B510" s="1" t="n">
        <v>45118.8353125</v>
      </c>
      <c r="C510" s="1" t="n">
        <v>46188</v>
      </c>
      <c r="D510" t="inlineStr">
        <is>
          <t>ÖREBRO LÄN</t>
        </is>
      </c>
      <c r="E510" t="inlineStr">
        <is>
          <t>ÖREBRO</t>
        </is>
      </c>
      <c r="G510" t="n">
        <v>9</v>
      </c>
      <c r="H510" t="n">
        <v>0</v>
      </c>
      <c r="I510" t="n">
        <v>0</v>
      </c>
      <c r="J510" t="n">
        <v>0</v>
      </c>
      <c r="K510" t="n">
        <v>0</v>
      </c>
      <c r="L510" t="n">
        <v>0</v>
      </c>
      <c r="M510" t="n">
        <v>0</v>
      </c>
      <c r="N510" t="n">
        <v>0</v>
      </c>
      <c r="O510" t="n">
        <v>0</v>
      </c>
      <c r="P510" t="n">
        <v>0</v>
      </c>
      <c r="Q510" t="n">
        <v>0</v>
      </c>
      <c r="R510" s="2" t="inlineStr"/>
    </row>
    <row r="511" ht="15" customHeight="1">
      <c r="A511" t="inlineStr">
        <is>
          <t>A 31326-2024</t>
        </is>
      </c>
      <c r="B511" s="1" t="n">
        <v>45504.5934375</v>
      </c>
      <c r="C511" s="1" t="n">
        <v>46188</v>
      </c>
      <c r="D511" t="inlineStr">
        <is>
          <t>ÖREBRO LÄN</t>
        </is>
      </c>
      <c r="E511" t="inlineStr">
        <is>
          <t>ÖREBRO</t>
        </is>
      </c>
      <c r="G511" t="n">
        <v>6.4</v>
      </c>
      <c r="H511" t="n">
        <v>0</v>
      </c>
      <c r="I511" t="n">
        <v>0</v>
      </c>
      <c r="J511" t="n">
        <v>0</v>
      </c>
      <c r="K511" t="n">
        <v>0</v>
      </c>
      <c r="L511" t="n">
        <v>0</v>
      </c>
      <c r="M511" t="n">
        <v>0</v>
      </c>
      <c r="N511" t="n">
        <v>0</v>
      </c>
      <c r="O511" t="n">
        <v>0</v>
      </c>
      <c r="P511" t="n">
        <v>0</v>
      </c>
      <c r="Q511" t="n">
        <v>0</v>
      </c>
      <c r="R511" s="2" t="inlineStr"/>
    </row>
    <row r="512" ht="15" customHeight="1">
      <c r="A512" t="inlineStr">
        <is>
          <t>A 70719-2021</t>
        </is>
      </c>
      <c r="B512" s="1" t="n">
        <v>44537</v>
      </c>
      <c r="C512" s="1" t="n">
        <v>46188</v>
      </c>
      <c r="D512" t="inlineStr">
        <is>
          <t>ÖREBRO LÄN</t>
        </is>
      </c>
      <c r="E512" t="inlineStr">
        <is>
          <t>ÖREBRO</t>
        </is>
      </c>
      <c r="G512" t="n">
        <v>4.3</v>
      </c>
      <c r="H512" t="n">
        <v>0</v>
      </c>
      <c r="I512" t="n">
        <v>0</v>
      </c>
      <c r="J512" t="n">
        <v>0</v>
      </c>
      <c r="K512" t="n">
        <v>0</v>
      </c>
      <c r="L512" t="n">
        <v>0</v>
      </c>
      <c r="M512" t="n">
        <v>0</v>
      </c>
      <c r="N512" t="n">
        <v>0</v>
      </c>
      <c r="O512" t="n">
        <v>0</v>
      </c>
      <c r="P512" t="n">
        <v>0</v>
      </c>
      <c r="Q512" t="n">
        <v>0</v>
      </c>
      <c r="R512" s="2" t="inlineStr"/>
    </row>
    <row r="513" ht="15" customHeight="1">
      <c r="A513" t="inlineStr">
        <is>
          <t>A 16694-2025</t>
        </is>
      </c>
      <c r="B513" s="1" t="n">
        <v>45754.46480324074</v>
      </c>
      <c r="C513" s="1" t="n">
        <v>46188</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30374-2023</t>
        </is>
      </c>
      <c r="B514" s="1" t="n">
        <v>45111</v>
      </c>
      <c r="C514" s="1" t="n">
        <v>46188</v>
      </c>
      <c r="D514" t="inlineStr">
        <is>
          <t>ÖREBRO LÄN</t>
        </is>
      </c>
      <c r="E514" t="inlineStr">
        <is>
          <t>ÖREBRO</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38898-2023</t>
        </is>
      </c>
      <c r="B515" s="1" t="n">
        <v>45163</v>
      </c>
      <c r="C515" s="1" t="n">
        <v>46188</v>
      </c>
      <c r="D515" t="inlineStr">
        <is>
          <t>ÖREBRO LÄN</t>
        </is>
      </c>
      <c r="E515" t="inlineStr">
        <is>
          <t>ÖREBRO</t>
        </is>
      </c>
      <c r="G515" t="n">
        <v>5.1</v>
      </c>
      <c r="H515" t="n">
        <v>0</v>
      </c>
      <c r="I515" t="n">
        <v>0</v>
      </c>
      <c r="J515" t="n">
        <v>0</v>
      </c>
      <c r="K515" t="n">
        <v>0</v>
      </c>
      <c r="L515" t="n">
        <v>0</v>
      </c>
      <c r="M515" t="n">
        <v>0</v>
      </c>
      <c r="N515" t="n">
        <v>0</v>
      </c>
      <c r="O515" t="n">
        <v>0</v>
      </c>
      <c r="P515" t="n">
        <v>0</v>
      </c>
      <c r="Q515" t="n">
        <v>0</v>
      </c>
      <c r="R515" s="2" t="inlineStr"/>
    </row>
    <row r="516" ht="15" customHeight="1">
      <c r="A516" t="inlineStr">
        <is>
          <t>A 5764-2022</t>
        </is>
      </c>
      <c r="B516" s="1" t="n">
        <v>44596</v>
      </c>
      <c r="C516" s="1" t="n">
        <v>46188</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21036-2024</t>
        </is>
      </c>
      <c r="B517" s="1" t="n">
        <v>45439.65954861111</v>
      </c>
      <c r="C517" s="1" t="n">
        <v>46188</v>
      </c>
      <c r="D517" t="inlineStr">
        <is>
          <t>ÖREBRO LÄN</t>
        </is>
      </c>
      <c r="E517" t="inlineStr">
        <is>
          <t>ÖREBRO</t>
        </is>
      </c>
      <c r="F517" t="inlineStr">
        <is>
          <t>Övriga Aktiebolag</t>
        </is>
      </c>
      <c r="G517" t="n">
        <v>5.7</v>
      </c>
      <c r="H517" t="n">
        <v>0</v>
      </c>
      <c r="I517" t="n">
        <v>0</v>
      </c>
      <c r="J517" t="n">
        <v>0</v>
      </c>
      <c r="K517" t="n">
        <v>0</v>
      </c>
      <c r="L517" t="n">
        <v>0</v>
      </c>
      <c r="M517" t="n">
        <v>0</v>
      </c>
      <c r="N517" t="n">
        <v>0</v>
      </c>
      <c r="O517" t="n">
        <v>0</v>
      </c>
      <c r="P517" t="n">
        <v>0</v>
      </c>
      <c r="Q517" t="n">
        <v>0</v>
      </c>
      <c r="R517" s="2" t="inlineStr"/>
    </row>
    <row r="518" ht="15" customHeight="1">
      <c r="A518" t="inlineStr">
        <is>
          <t>A 1492-2022</t>
        </is>
      </c>
      <c r="B518" s="1" t="n">
        <v>44573</v>
      </c>
      <c r="C518" s="1" t="n">
        <v>46188</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58615-2024</t>
        </is>
      </c>
      <c r="B519" s="1" t="n">
        <v>45635.5587037037</v>
      </c>
      <c r="C519" s="1" t="n">
        <v>46188</v>
      </c>
      <c r="D519" t="inlineStr">
        <is>
          <t>ÖREBRO LÄN</t>
        </is>
      </c>
      <c r="E519" t="inlineStr">
        <is>
          <t>ÖREBRO</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58620-2024</t>
        </is>
      </c>
      <c r="B520" s="1" t="n">
        <v>45635.56246527778</v>
      </c>
      <c r="C520" s="1" t="n">
        <v>46188</v>
      </c>
      <c r="D520" t="inlineStr">
        <is>
          <t>ÖREBRO LÄN</t>
        </is>
      </c>
      <c r="E520" t="inlineStr">
        <is>
          <t>ÖREBRO</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1014-2024</t>
        </is>
      </c>
      <c r="B521" s="1" t="n">
        <v>45301</v>
      </c>
      <c r="C521" s="1" t="n">
        <v>46188</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30472-2022</t>
        </is>
      </c>
      <c r="B522" s="1" t="n">
        <v>44761.70467592592</v>
      </c>
      <c r="C522" s="1" t="n">
        <v>46188</v>
      </c>
      <c r="D522" t="inlineStr">
        <is>
          <t>ÖREBRO LÄN</t>
        </is>
      </c>
      <c r="E522" t="inlineStr">
        <is>
          <t>ÖREBRO</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34056-2023</t>
        </is>
      </c>
      <c r="B523" s="1" t="n">
        <v>45135</v>
      </c>
      <c r="C523" s="1" t="n">
        <v>46188</v>
      </c>
      <c r="D523" t="inlineStr">
        <is>
          <t>ÖREBRO LÄN</t>
        </is>
      </c>
      <c r="E523" t="inlineStr">
        <is>
          <t>ÖREBRO</t>
        </is>
      </c>
      <c r="F523" t="inlineStr">
        <is>
          <t>Övriga Aktiebolag</t>
        </is>
      </c>
      <c r="G523" t="n">
        <v>4.1</v>
      </c>
      <c r="H523" t="n">
        <v>0</v>
      </c>
      <c r="I523" t="n">
        <v>0</v>
      </c>
      <c r="J523" t="n">
        <v>0</v>
      </c>
      <c r="K523" t="n">
        <v>0</v>
      </c>
      <c r="L523" t="n">
        <v>0</v>
      </c>
      <c r="M523" t="n">
        <v>0</v>
      </c>
      <c r="N523" t="n">
        <v>0</v>
      </c>
      <c r="O523" t="n">
        <v>0</v>
      </c>
      <c r="P523" t="n">
        <v>0</v>
      </c>
      <c r="Q523" t="n">
        <v>0</v>
      </c>
      <c r="R523" s="2" t="inlineStr"/>
    </row>
    <row r="524" ht="15" customHeight="1">
      <c r="A524" t="inlineStr">
        <is>
          <t>A 43612-2022</t>
        </is>
      </c>
      <c r="B524" s="1" t="n">
        <v>44837</v>
      </c>
      <c r="C524" s="1" t="n">
        <v>46188</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51373-2023</t>
        </is>
      </c>
      <c r="B525" s="1" t="n">
        <v>45213</v>
      </c>
      <c r="C525" s="1" t="n">
        <v>46188</v>
      </c>
      <c r="D525" t="inlineStr">
        <is>
          <t>ÖREBRO LÄN</t>
        </is>
      </c>
      <c r="E525" t="inlineStr">
        <is>
          <t>ÖREBRO</t>
        </is>
      </c>
      <c r="G525" t="n">
        <v>5.9</v>
      </c>
      <c r="H525" t="n">
        <v>0</v>
      </c>
      <c r="I525" t="n">
        <v>0</v>
      </c>
      <c r="J525" t="n">
        <v>0</v>
      </c>
      <c r="K525" t="n">
        <v>0</v>
      </c>
      <c r="L525" t="n">
        <v>0</v>
      </c>
      <c r="M525" t="n">
        <v>0</v>
      </c>
      <c r="N525" t="n">
        <v>0</v>
      </c>
      <c r="O525" t="n">
        <v>0</v>
      </c>
      <c r="P525" t="n">
        <v>0</v>
      </c>
      <c r="Q525" t="n">
        <v>0</v>
      </c>
      <c r="R525" s="2" t="inlineStr"/>
    </row>
    <row r="526" ht="15" customHeight="1">
      <c r="A526" t="inlineStr">
        <is>
          <t>A 35843-2022</t>
        </is>
      </c>
      <c r="B526" s="1" t="n">
        <v>44802</v>
      </c>
      <c r="C526" s="1" t="n">
        <v>46188</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20146-2024</t>
        </is>
      </c>
      <c r="B527" s="1" t="n">
        <v>45434.57641203704</v>
      </c>
      <c r="C527" s="1" t="n">
        <v>46188</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10937-2024</t>
        </is>
      </c>
      <c r="B528" s="1" t="n">
        <v>45370.44461805555</v>
      </c>
      <c r="C528" s="1" t="n">
        <v>46188</v>
      </c>
      <c r="D528" t="inlineStr">
        <is>
          <t>ÖREBRO LÄN</t>
        </is>
      </c>
      <c r="E528" t="inlineStr">
        <is>
          <t>ÖREBRO</t>
        </is>
      </c>
      <c r="G528" t="n">
        <v>4.3</v>
      </c>
      <c r="H528" t="n">
        <v>0</v>
      </c>
      <c r="I528" t="n">
        <v>0</v>
      </c>
      <c r="J528" t="n">
        <v>0</v>
      </c>
      <c r="K528" t="n">
        <v>0</v>
      </c>
      <c r="L528" t="n">
        <v>0</v>
      </c>
      <c r="M528" t="n">
        <v>0</v>
      </c>
      <c r="N528" t="n">
        <v>0</v>
      </c>
      <c r="O528" t="n">
        <v>0</v>
      </c>
      <c r="P528" t="n">
        <v>0</v>
      </c>
      <c r="Q528" t="n">
        <v>0</v>
      </c>
      <c r="R528" s="2" t="inlineStr"/>
    </row>
    <row r="529" ht="15" customHeight="1">
      <c r="A529" t="inlineStr">
        <is>
          <t>A 20115-2024</t>
        </is>
      </c>
      <c r="B529" s="1" t="n">
        <v>45434</v>
      </c>
      <c r="C529" s="1" t="n">
        <v>46188</v>
      </c>
      <c r="D529" t="inlineStr">
        <is>
          <t>ÖREBRO LÄN</t>
        </is>
      </c>
      <c r="E529" t="inlineStr">
        <is>
          <t>ÖREBRO</t>
        </is>
      </c>
      <c r="G529" t="n">
        <v>1.7</v>
      </c>
      <c r="H529" t="n">
        <v>0</v>
      </c>
      <c r="I529" t="n">
        <v>0</v>
      </c>
      <c r="J529" t="n">
        <v>0</v>
      </c>
      <c r="K529" t="n">
        <v>0</v>
      </c>
      <c r="L529" t="n">
        <v>0</v>
      </c>
      <c r="M529" t="n">
        <v>0</v>
      </c>
      <c r="N529" t="n">
        <v>0</v>
      </c>
      <c r="O529" t="n">
        <v>0</v>
      </c>
      <c r="P529" t="n">
        <v>0</v>
      </c>
      <c r="Q529" t="n">
        <v>0</v>
      </c>
      <c r="R529" s="2" t="inlineStr"/>
    </row>
    <row r="530" ht="15" customHeight="1">
      <c r="A530" t="inlineStr">
        <is>
          <t>A 16936-2023</t>
        </is>
      </c>
      <c r="B530" s="1" t="n">
        <v>45033.63005787037</v>
      </c>
      <c r="C530" s="1" t="n">
        <v>46188</v>
      </c>
      <c r="D530" t="inlineStr">
        <is>
          <t>ÖREBRO LÄN</t>
        </is>
      </c>
      <c r="E530" t="inlineStr">
        <is>
          <t>ÖREBRO</t>
        </is>
      </c>
      <c r="G530" t="n">
        <v>2</v>
      </c>
      <c r="H530" t="n">
        <v>0</v>
      </c>
      <c r="I530" t="n">
        <v>0</v>
      </c>
      <c r="J530" t="n">
        <v>0</v>
      </c>
      <c r="K530" t="n">
        <v>0</v>
      </c>
      <c r="L530" t="n">
        <v>0</v>
      </c>
      <c r="M530" t="n">
        <v>0</v>
      </c>
      <c r="N530" t="n">
        <v>0</v>
      </c>
      <c r="O530" t="n">
        <v>0</v>
      </c>
      <c r="P530" t="n">
        <v>0</v>
      </c>
      <c r="Q530" t="n">
        <v>0</v>
      </c>
      <c r="R530" s="2" t="inlineStr"/>
    </row>
    <row r="531" ht="15" customHeight="1">
      <c r="A531" t="inlineStr">
        <is>
          <t>A 40588-2021</t>
        </is>
      </c>
      <c r="B531" s="1" t="n">
        <v>44420</v>
      </c>
      <c r="C531" s="1" t="n">
        <v>46188</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57485-2023</t>
        </is>
      </c>
      <c r="B532" s="1" t="n">
        <v>45246</v>
      </c>
      <c r="C532" s="1" t="n">
        <v>46188</v>
      </c>
      <c r="D532" t="inlineStr">
        <is>
          <t>ÖREBRO LÄN</t>
        </is>
      </c>
      <c r="E532" t="inlineStr">
        <is>
          <t>ÖREBRO</t>
        </is>
      </c>
      <c r="G532" t="n">
        <v>0.9</v>
      </c>
      <c r="H532" t="n">
        <v>0</v>
      </c>
      <c r="I532" t="n">
        <v>0</v>
      </c>
      <c r="J532" t="n">
        <v>0</v>
      </c>
      <c r="K532" t="n">
        <v>0</v>
      </c>
      <c r="L532" t="n">
        <v>0</v>
      </c>
      <c r="M532" t="n">
        <v>0</v>
      </c>
      <c r="N532" t="n">
        <v>0</v>
      </c>
      <c r="O532" t="n">
        <v>0</v>
      </c>
      <c r="P532" t="n">
        <v>0</v>
      </c>
      <c r="Q532" t="n">
        <v>0</v>
      </c>
      <c r="R532" s="2" t="inlineStr"/>
    </row>
    <row r="533" ht="15" customHeight="1">
      <c r="A533" t="inlineStr">
        <is>
          <t>A 37027-2024</t>
        </is>
      </c>
      <c r="B533" s="1" t="n">
        <v>45539.38487268519</v>
      </c>
      <c r="C533" s="1" t="n">
        <v>46188</v>
      </c>
      <c r="D533" t="inlineStr">
        <is>
          <t>ÖREBRO LÄN</t>
        </is>
      </c>
      <c r="E533" t="inlineStr">
        <is>
          <t>ÖREBRO</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60506-2024</t>
        </is>
      </c>
      <c r="B534" s="1" t="n">
        <v>45643.66630787037</v>
      </c>
      <c r="C534" s="1" t="n">
        <v>46188</v>
      </c>
      <c r="D534" t="inlineStr">
        <is>
          <t>ÖREBRO LÄN</t>
        </is>
      </c>
      <c r="E534" t="inlineStr">
        <is>
          <t>ÖREBRO</t>
        </is>
      </c>
      <c r="G534" t="n">
        <v>5.8</v>
      </c>
      <c r="H534" t="n">
        <v>0</v>
      </c>
      <c r="I534" t="n">
        <v>0</v>
      </c>
      <c r="J534" t="n">
        <v>0</v>
      </c>
      <c r="K534" t="n">
        <v>0</v>
      </c>
      <c r="L534" t="n">
        <v>0</v>
      </c>
      <c r="M534" t="n">
        <v>0</v>
      </c>
      <c r="N534" t="n">
        <v>0</v>
      </c>
      <c r="O534" t="n">
        <v>0</v>
      </c>
      <c r="P534" t="n">
        <v>0</v>
      </c>
      <c r="Q534" t="n">
        <v>0</v>
      </c>
      <c r="R534" s="2" t="inlineStr"/>
    </row>
    <row r="535" ht="15" customHeight="1">
      <c r="A535" t="inlineStr">
        <is>
          <t>A 44284-2022</t>
        </is>
      </c>
      <c r="B535" s="1" t="n">
        <v>44839.59194444444</v>
      </c>
      <c r="C535" s="1" t="n">
        <v>46188</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58608-2024</t>
        </is>
      </c>
      <c r="B536" s="1" t="n">
        <v>45635.55185185185</v>
      </c>
      <c r="C536" s="1" t="n">
        <v>46188</v>
      </c>
      <c r="D536" t="inlineStr">
        <is>
          <t>ÖREBRO LÄN</t>
        </is>
      </c>
      <c r="E536" t="inlineStr">
        <is>
          <t>ÖREBRO</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38422-2023</t>
        </is>
      </c>
      <c r="B537" s="1" t="n">
        <v>45162.36422453704</v>
      </c>
      <c r="C537" s="1" t="n">
        <v>46188</v>
      </c>
      <c r="D537" t="inlineStr">
        <is>
          <t>ÖREBRO LÄN</t>
        </is>
      </c>
      <c r="E537" t="inlineStr">
        <is>
          <t>ÖREBRO</t>
        </is>
      </c>
      <c r="G537" t="n">
        <v>8</v>
      </c>
      <c r="H537" t="n">
        <v>0</v>
      </c>
      <c r="I537" t="n">
        <v>0</v>
      </c>
      <c r="J537" t="n">
        <v>0</v>
      </c>
      <c r="K537" t="n">
        <v>0</v>
      </c>
      <c r="L537" t="n">
        <v>0</v>
      </c>
      <c r="M537" t="n">
        <v>0</v>
      </c>
      <c r="N537" t="n">
        <v>0</v>
      </c>
      <c r="O537" t="n">
        <v>0</v>
      </c>
      <c r="P537" t="n">
        <v>0</v>
      </c>
      <c r="Q537" t="n">
        <v>0</v>
      </c>
      <c r="R537" s="2" t="inlineStr"/>
    </row>
    <row r="538" ht="15" customHeight="1">
      <c r="A538" t="inlineStr">
        <is>
          <t>A 56040-2024</t>
        </is>
      </c>
      <c r="B538" s="1" t="n">
        <v>45624.3344212963</v>
      </c>
      <c r="C538" s="1" t="n">
        <v>46188</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14487-2023</t>
        </is>
      </c>
      <c r="B539" s="1" t="n">
        <v>45012</v>
      </c>
      <c r="C539" s="1" t="n">
        <v>46188</v>
      </c>
      <c r="D539" t="inlineStr">
        <is>
          <t>ÖREBRO LÄN</t>
        </is>
      </c>
      <c r="E539" t="inlineStr">
        <is>
          <t>ÖREBRO</t>
        </is>
      </c>
      <c r="G539" t="n">
        <v>0.5</v>
      </c>
      <c r="H539" t="n">
        <v>0</v>
      </c>
      <c r="I539" t="n">
        <v>0</v>
      </c>
      <c r="J539" t="n">
        <v>0</v>
      </c>
      <c r="K539" t="n">
        <v>0</v>
      </c>
      <c r="L539" t="n">
        <v>0</v>
      </c>
      <c r="M539" t="n">
        <v>0</v>
      </c>
      <c r="N539" t="n">
        <v>0</v>
      </c>
      <c r="O539" t="n">
        <v>0</v>
      </c>
      <c r="P539" t="n">
        <v>0</v>
      </c>
      <c r="Q539" t="n">
        <v>0</v>
      </c>
      <c r="R539" s="2" t="inlineStr"/>
    </row>
    <row r="540" ht="15" customHeight="1">
      <c r="A540" t="inlineStr">
        <is>
          <t>A 40522-2024</t>
        </is>
      </c>
      <c r="B540" s="1" t="n">
        <v>45555.59717592593</v>
      </c>
      <c r="C540" s="1" t="n">
        <v>46188</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49029-2024</t>
        </is>
      </c>
      <c r="B541" s="1" t="n">
        <v>45594</v>
      </c>
      <c r="C541" s="1" t="n">
        <v>46188</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49062-2023</t>
        </is>
      </c>
      <c r="B542" s="1" t="n">
        <v>45210.35119212963</v>
      </c>
      <c r="C542" s="1" t="n">
        <v>46188</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35829-2024</t>
        </is>
      </c>
      <c r="B543" s="1" t="n">
        <v>45532</v>
      </c>
      <c r="C543" s="1" t="n">
        <v>46188</v>
      </c>
      <c r="D543" t="inlineStr">
        <is>
          <t>ÖREBRO LÄN</t>
        </is>
      </c>
      <c r="E543" t="inlineStr">
        <is>
          <t>ÖREBRO</t>
        </is>
      </c>
      <c r="G543" t="n">
        <v>4.6</v>
      </c>
      <c r="H543" t="n">
        <v>0</v>
      </c>
      <c r="I543" t="n">
        <v>0</v>
      </c>
      <c r="J543" t="n">
        <v>0</v>
      </c>
      <c r="K543" t="n">
        <v>0</v>
      </c>
      <c r="L543" t="n">
        <v>0</v>
      </c>
      <c r="M543" t="n">
        <v>0</v>
      </c>
      <c r="N543" t="n">
        <v>0</v>
      </c>
      <c r="O543" t="n">
        <v>0</v>
      </c>
      <c r="P543" t="n">
        <v>0</v>
      </c>
      <c r="Q543" t="n">
        <v>0</v>
      </c>
      <c r="R543" s="2" t="inlineStr"/>
    </row>
    <row r="544" ht="15" customHeight="1">
      <c r="A544" t="inlineStr">
        <is>
          <t>A 13181-2023</t>
        </is>
      </c>
      <c r="B544" s="1" t="n">
        <v>45002.60659722222</v>
      </c>
      <c r="C544" s="1" t="n">
        <v>46188</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61078-2024</t>
        </is>
      </c>
      <c r="B545" s="1" t="n">
        <v>45645.51034722223</v>
      </c>
      <c r="C545" s="1" t="n">
        <v>46188</v>
      </c>
      <c r="D545" t="inlineStr">
        <is>
          <t>ÖREBRO LÄN</t>
        </is>
      </c>
      <c r="E545" t="inlineStr">
        <is>
          <t>ÖREBRO</t>
        </is>
      </c>
      <c r="G545" t="n">
        <v>4.1</v>
      </c>
      <c r="H545" t="n">
        <v>0</v>
      </c>
      <c r="I545" t="n">
        <v>0</v>
      </c>
      <c r="J545" t="n">
        <v>0</v>
      </c>
      <c r="K545" t="n">
        <v>0</v>
      </c>
      <c r="L545" t="n">
        <v>0</v>
      </c>
      <c r="M545" t="n">
        <v>0</v>
      </c>
      <c r="N545" t="n">
        <v>0</v>
      </c>
      <c r="O545" t="n">
        <v>0</v>
      </c>
      <c r="P545" t="n">
        <v>0</v>
      </c>
      <c r="Q545" t="n">
        <v>0</v>
      </c>
      <c r="R545" s="2" t="inlineStr"/>
    </row>
    <row r="546" ht="15" customHeight="1">
      <c r="A546" t="inlineStr">
        <is>
          <t>A 55472-2023</t>
        </is>
      </c>
      <c r="B546" s="1" t="n">
        <v>45238</v>
      </c>
      <c r="C546" s="1" t="n">
        <v>46188</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5129-2024</t>
        </is>
      </c>
      <c r="B547" s="1" t="n">
        <v>45330</v>
      </c>
      <c r="C547" s="1" t="n">
        <v>46188</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30015-2023</t>
        </is>
      </c>
      <c r="B548" s="1" t="n">
        <v>45109</v>
      </c>
      <c r="C548" s="1" t="n">
        <v>46188</v>
      </c>
      <c r="D548" t="inlineStr">
        <is>
          <t>ÖREBRO LÄN</t>
        </is>
      </c>
      <c r="E548" t="inlineStr">
        <is>
          <t>ÖREBRO</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1013-2024</t>
        </is>
      </c>
      <c r="B549" s="1" t="n">
        <v>45301</v>
      </c>
      <c r="C549" s="1" t="n">
        <v>46188</v>
      </c>
      <c r="D549" t="inlineStr">
        <is>
          <t>ÖREBRO LÄN</t>
        </is>
      </c>
      <c r="E549" t="inlineStr">
        <is>
          <t>ÖREBRO</t>
        </is>
      </c>
      <c r="G549" t="n">
        <v>2.6</v>
      </c>
      <c r="H549" t="n">
        <v>0</v>
      </c>
      <c r="I549" t="n">
        <v>0</v>
      </c>
      <c r="J549" t="n">
        <v>0</v>
      </c>
      <c r="K549" t="n">
        <v>0</v>
      </c>
      <c r="L549" t="n">
        <v>0</v>
      </c>
      <c r="M549" t="n">
        <v>0</v>
      </c>
      <c r="N549" t="n">
        <v>0</v>
      </c>
      <c r="O549" t="n">
        <v>0</v>
      </c>
      <c r="P549" t="n">
        <v>0</v>
      </c>
      <c r="Q549" t="n">
        <v>0</v>
      </c>
      <c r="R549" s="2" t="inlineStr"/>
    </row>
    <row r="550" ht="15" customHeight="1">
      <c r="A550" t="inlineStr">
        <is>
          <t>A 14715-2024</t>
        </is>
      </c>
      <c r="B550" s="1" t="n">
        <v>45397.5500462963</v>
      </c>
      <c r="C550" s="1" t="n">
        <v>46188</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58145-2024</t>
        </is>
      </c>
      <c r="B551" s="1" t="n">
        <v>45632.43230324074</v>
      </c>
      <c r="C551" s="1" t="n">
        <v>46188</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16300-2022</t>
        </is>
      </c>
      <c r="B552" s="1" t="n">
        <v>44670</v>
      </c>
      <c r="C552" s="1" t="n">
        <v>46188</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18181-2024</t>
        </is>
      </c>
      <c r="B553" s="1" t="n">
        <v>45420.64561342593</v>
      </c>
      <c r="C553" s="1" t="n">
        <v>46188</v>
      </c>
      <c r="D553" t="inlineStr">
        <is>
          <t>ÖREBRO LÄN</t>
        </is>
      </c>
      <c r="E553" t="inlineStr">
        <is>
          <t>ÖREBRO</t>
        </is>
      </c>
      <c r="G553" t="n">
        <v>7.6</v>
      </c>
      <c r="H553" t="n">
        <v>0</v>
      </c>
      <c r="I553" t="n">
        <v>0</v>
      </c>
      <c r="J553" t="n">
        <v>0</v>
      </c>
      <c r="K553" t="n">
        <v>0</v>
      </c>
      <c r="L553" t="n">
        <v>0</v>
      </c>
      <c r="M553" t="n">
        <v>0</v>
      </c>
      <c r="N553" t="n">
        <v>0</v>
      </c>
      <c r="O553" t="n">
        <v>0</v>
      </c>
      <c r="P553" t="n">
        <v>0</v>
      </c>
      <c r="Q553" t="n">
        <v>0</v>
      </c>
      <c r="R553" s="2" t="inlineStr"/>
    </row>
    <row r="554" ht="15" customHeight="1">
      <c r="A554" t="inlineStr">
        <is>
          <t>A 70707-2021</t>
        </is>
      </c>
      <c r="B554" s="1" t="n">
        <v>44537</v>
      </c>
      <c r="C554" s="1" t="n">
        <v>46188</v>
      </c>
      <c r="D554" t="inlineStr">
        <is>
          <t>ÖREBRO LÄN</t>
        </is>
      </c>
      <c r="E554" t="inlineStr">
        <is>
          <t>ÖREBRO</t>
        </is>
      </c>
      <c r="G554" t="n">
        <v>13.2</v>
      </c>
      <c r="H554" t="n">
        <v>0</v>
      </c>
      <c r="I554" t="n">
        <v>0</v>
      </c>
      <c r="J554" t="n">
        <v>0</v>
      </c>
      <c r="K554" t="n">
        <v>0</v>
      </c>
      <c r="L554" t="n">
        <v>0</v>
      </c>
      <c r="M554" t="n">
        <v>0</v>
      </c>
      <c r="N554" t="n">
        <v>0</v>
      </c>
      <c r="O554" t="n">
        <v>0</v>
      </c>
      <c r="P554" t="n">
        <v>0</v>
      </c>
      <c r="Q554" t="n">
        <v>0</v>
      </c>
      <c r="R554" s="2" t="inlineStr"/>
    </row>
    <row r="555" ht="15" customHeight="1">
      <c r="A555" t="inlineStr">
        <is>
          <t>A 60100-2022</t>
        </is>
      </c>
      <c r="B555" s="1" t="n">
        <v>44902</v>
      </c>
      <c r="C555" s="1" t="n">
        <v>46188</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2152-2023</t>
        </is>
      </c>
      <c r="B556" s="1" t="n">
        <v>44941.55056712963</v>
      </c>
      <c r="C556" s="1" t="n">
        <v>46188</v>
      </c>
      <c r="D556" t="inlineStr">
        <is>
          <t>ÖREBRO LÄN</t>
        </is>
      </c>
      <c r="E556" t="inlineStr">
        <is>
          <t>ÖREBRO</t>
        </is>
      </c>
      <c r="G556" t="n">
        <v>8</v>
      </c>
      <c r="H556" t="n">
        <v>0</v>
      </c>
      <c r="I556" t="n">
        <v>0</v>
      </c>
      <c r="J556" t="n">
        <v>0</v>
      </c>
      <c r="K556" t="n">
        <v>0</v>
      </c>
      <c r="L556" t="n">
        <v>0</v>
      </c>
      <c r="M556" t="n">
        <v>0</v>
      </c>
      <c r="N556" t="n">
        <v>0</v>
      </c>
      <c r="O556" t="n">
        <v>0</v>
      </c>
      <c r="P556" t="n">
        <v>0</v>
      </c>
      <c r="Q556" t="n">
        <v>0</v>
      </c>
      <c r="R556" s="2" t="inlineStr"/>
    </row>
    <row r="557" ht="15" customHeight="1">
      <c r="A557" t="inlineStr">
        <is>
          <t>A 55353-2024</t>
        </is>
      </c>
      <c r="B557" s="1" t="n">
        <v>45621.79526620371</v>
      </c>
      <c r="C557" s="1" t="n">
        <v>46188</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55357-2024</t>
        </is>
      </c>
      <c r="B558" s="1" t="n">
        <v>45621.81126157408</v>
      </c>
      <c r="C558" s="1" t="n">
        <v>46188</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42623-2022</t>
        </is>
      </c>
      <c r="B559" s="1" t="n">
        <v>44831</v>
      </c>
      <c r="C559" s="1" t="n">
        <v>46188</v>
      </c>
      <c r="D559" t="inlineStr">
        <is>
          <t>ÖREBRO LÄN</t>
        </is>
      </c>
      <c r="E559" t="inlineStr">
        <is>
          <t>ÖREBRO</t>
        </is>
      </c>
      <c r="G559" t="n">
        <v>3.6</v>
      </c>
      <c r="H559" t="n">
        <v>0</v>
      </c>
      <c r="I559" t="n">
        <v>0</v>
      </c>
      <c r="J559" t="n">
        <v>0</v>
      </c>
      <c r="K559" t="n">
        <v>0</v>
      </c>
      <c r="L559" t="n">
        <v>0</v>
      </c>
      <c r="M559" t="n">
        <v>0</v>
      </c>
      <c r="N559" t="n">
        <v>0</v>
      </c>
      <c r="O559" t="n">
        <v>0</v>
      </c>
      <c r="P559" t="n">
        <v>0</v>
      </c>
      <c r="Q559" t="n">
        <v>0</v>
      </c>
      <c r="R559" s="2" t="inlineStr"/>
    </row>
    <row r="560" ht="15" customHeight="1">
      <c r="A560" t="inlineStr">
        <is>
          <t>A 72329-2021</t>
        </is>
      </c>
      <c r="B560" s="1" t="n">
        <v>44545.46072916667</v>
      </c>
      <c r="C560" s="1" t="n">
        <v>46188</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55355-2024</t>
        </is>
      </c>
      <c r="B561" s="1" t="n">
        <v>45621.80475694445</v>
      </c>
      <c r="C561" s="1" t="n">
        <v>46188</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56077-2022</t>
        </is>
      </c>
      <c r="B562" s="1" t="n">
        <v>44889.60872685185</v>
      </c>
      <c r="C562" s="1" t="n">
        <v>46188</v>
      </c>
      <c r="D562" t="inlineStr">
        <is>
          <t>ÖREBRO LÄN</t>
        </is>
      </c>
      <c r="E562" t="inlineStr">
        <is>
          <t>ÖREBRO</t>
        </is>
      </c>
      <c r="F562" t="inlineStr">
        <is>
          <t>Övriga Aktiebolag</t>
        </is>
      </c>
      <c r="G562" t="n">
        <v>2.5</v>
      </c>
      <c r="H562" t="n">
        <v>0</v>
      </c>
      <c r="I562" t="n">
        <v>0</v>
      </c>
      <c r="J562" t="n">
        <v>0</v>
      </c>
      <c r="K562" t="n">
        <v>0</v>
      </c>
      <c r="L562" t="n">
        <v>0</v>
      </c>
      <c r="M562" t="n">
        <v>0</v>
      </c>
      <c r="N562" t="n">
        <v>0</v>
      </c>
      <c r="O562" t="n">
        <v>0</v>
      </c>
      <c r="P562" t="n">
        <v>0</v>
      </c>
      <c r="Q562" t="n">
        <v>0</v>
      </c>
      <c r="R562" s="2" t="inlineStr"/>
    </row>
    <row r="563" ht="15" customHeight="1">
      <c r="A563" t="inlineStr">
        <is>
          <t>A 33457-2023</t>
        </is>
      </c>
      <c r="B563" s="1" t="n">
        <v>45131</v>
      </c>
      <c r="C563" s="1" t="n">
        <v>46188</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22677-2022</t>
        </is>
      </c>
      <c r="B564" s="1" t="n">
        <v>44714</v>
      </c>
      <c r="C564" s="1" t="n">
        <v>46188</v>
      </c>
      <c r="D564" t="inlineStr">
        <is>
          <t>ÖREBRO LÄN</t>
        </is>
      </c>
      <c r="E564" t="inlineStr">
        <is>
          <t>ÖREBRO</t>
        </is>
      </c>
      <c r="G564" t="n">
        <v>2.3</v>
      </c>
      <c r="H564" t="n">
        <v>0</v>
      </c>
      <c r="I564" t="n">
        <v>0</v>
      </c>
      <c r="J564" t="n">
        <v>0</v>
      </c>
      <c r="K564" t="n">
        <v>0</v>
      </c>
      <c r="L564" t="n">
        <v>0</v>
      </c>
      <c r="M564" t="n">
        <v>0</v>
      </c>
      <c r="N564" t="n">
        <v>0</v>
      </c>
      <c r="O564" t="n">
        <v>0</v>
      </c>
      <c r="P564" t="n">
        <v>0</v>
      </c>
      <c r="Q564" t="n">
        <v>0</v>
      </c>
      <c r="R564" s="2" t="inlineStr"/>
    </row>
    <row r="565" ht="15" customHeight="1">
      <c r="A565" t="inlineStr">
        <is>
          <t>A 13169-2024</t>
        </is>
      </c>
      <c r="B565" s="1" t="n">
        <v>45386.40489583334</v>
      </c>
      <c r="C565" s="1" t="n">
        <v>46188</v>
      </c>
      <c r="D565" t="inlineStr">
        <is>
          <t>ÖREBRO LÄN</t>
        </is>
      </c>
      <c r="E565" t="inlineStr">
        <is>
          <t>ÖREBRO</t>
        </is>
      </c>
      <c r="G565" t="n">
        <v>4.3</v>
      </c>
      <c r="H565" t="n">
        <v>0</v>
      </c>
      <c r="I565" t="n">
        <v>0</v>
      </c>
      <c r="J565" t="n">
        <v>0</v>
      </c>
      <c r="K565" t="n">
        <v>0</v>
      </c>
      <c r="L565" t="n">
        <v>0</v>
      </c>
      <c r="M565" t="n">
        <v>0</v>
      </c>
      <c r="N565" t="n">
        <v>0</v>
      </c>
      <c r="O565" t="n">
        <v>0</v>
      </c>
      <c r="P565" t="n">
        <v>0</v>
      </c>
      <c r="Q565" t="n">
        <v>0</v>
      </c>
      <c r="R565" s="2" t="inlineStr"/>
    </row>
    <row r="566" ht="15" customHeight="1">
      <c r="A566" t="inlineStr">
        <is>
          <t>A 23710-2022</t>
        </is>
      </c>
      <c r="B566" s="1" t="n">
        <v>44722</v>
      </c>
      <c r="C566" s="1" t="n">
        <v>46188</v>
      </c>
      <c r="D566" t="inlineStr">
        <is>
          <t>ÖREBRO LÄN</t>
        </is>
      </c>
      <c r="E566" t="inlineStr">
        <is>
          <t>ÖREBRO</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4757-2024</t>
        </is>
      </c>
      <c r="B567" s="1" t="n">
        <v>45328</v>
      </c>
      <c r="C567" s="1" t="n">
        <v>46188</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30903-2024</t>
        </is>
      </c>
      <c r="B568" s="1" t="n">
        <v>45498.49946759259</v>
      </c>
      <c r="C568" s="1" t="n">
        <v>46188</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47193-2023</t>
        </is>
      </c>
      <c r="B569" s="1" t="n">
        <v>45202.3074537037</v>
      </c>
      <c r="C569" s="1" t="n">
        <v>46188</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c r="A570" t="inlineStr">
        <is>
          <t>A 59026-2024</t>
        </is>
      </c>
      <c r="B570" s="1" t="n">
        <v>45636.6875</v>
      </c>
      <c r="C570" s="1" t="n">
        <v>46188</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2026-06-15T09:26:19Z</dcterms:created>
  <dcterms:modified xmlns:dcterms="http://purl.org/dc/terms/" xmlns:xsi="http://www.w3.org/2001/XMLSchema-instance" xsi:type="dcterms:W3CDTF">2026-06-15T09:26:20Z</dcterms:modified>
</cp:coreProperties>
</file>