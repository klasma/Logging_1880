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45900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45900</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45900</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45900</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45900</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45900</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45900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45900</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45900</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5354-2024</t>
        </is>
      </c>
      <c r="B11" s="1" t="n">
        <v>45331</v>
      </c>
      <c r="C11" s="1" t="n">
        <v>45900</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45900</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8564-2021</t>
        </is>
      </c>
      <c r="B13" s="1" t="n">
        <v>44245</v>
      </c>
      <c r="C13" s="1" t="n">
        <v>45900</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45900</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45900</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45900</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45900</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17074-2024</t>
        </is>
      </c>
      <c r="B18" s="1" t="n">
        <v>45412</v>
      </c>
      <c r="C18" s="1" t="n">
        <v>45900</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45900</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45900</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45900</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45900</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45900</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45900</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45900</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45900</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45900</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14956-2025</t>
        </is>
      </c>
      <c r="B28" s="1" t="n">
        <v>45743.58409722222</v>
      </c>
      <c r="C28" s="1" t="n">
        <v>45900</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13395-2024</t>
        </is>
      </c>
      <c r="B29" s="1" t="n">
        <v>45387.42296296296</v>
      </c>
      <c r="C29" s="1" t="n">
        <v>45900</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45900</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45900</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45900</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45900</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45900</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45900</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45900</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45900</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45900</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45900</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44744-2024</t>
        </is>
      </c>
      <c r="B40" s="1" t="n">
        <v>45574.59789351852</v>
      </c>
      <c r="C40" s="1" t="n">
        <v>45900</v>
      </c>
      <c r="D40" t="inlineStr">
        <is>
          <t>ÖREBRO LÄN</t>
        </is>
      </c>
      <c r="E40" t="inlineStr">
        <is>
          <t>ÖREBRO</t>
        </is>
      </c>
      <c r="G40" t="n">
        <v>11.6</v>
      </c>
      <c r="H40" t="n">
        <v>1</v>
      </c>
      <c r="I40" t="n">
        <v>0</v>
      </c>
      <c r="J40" t="n">
        <v>0</v>
      </c>
      <c r="K40" t="n">
        <v>0</v>
      </c>
      <c r="L40" t="n">
        <v>0</v>
      </c>
      <c r="M40" t="n">
        <v>0</v>
      </c>
      <c r="N40" t="n">
        <v>0</v>
      </c>
      <c r="O40" t="n">
        <v>0</v>
      </c>
      <c r="P40" t="n">
        <v>0</v>
      </c>
      <c r="Q40" t="n">
        <v>1</v>
      </c>
      <c r="R40" s="2" t="inlineStr">
        <is>
          <t>Revlummer</t>
        </is>
      </c>
      <c r="S40">
        <f>HYPERLINK("https://klasma.github.io/Logging_1880/artfynd/A 44744-2024 artfynd.xlsx", "A 44744-2024")</f>
        <v/>
      </c>
      <c r="T40">
        <f>HYPERLINK("https://klasma.github.io/Logging_1880/kartor/A 44744-2024 karta.png", "A 44744-2024")</f>
        <v/>
      </c>
      <c r="V40">
        <f>HYPERLINK("https://klasma.github.io/Logging_1880/klagomål/A 44744-2024 FSC-klagomål.docx", "A 44744-2024")</f>
        <v/>
      </c>
      <c r="W40">
        <f>HYPERLINK("https://klasma.github.io/Logging_1880/klagomålsmail/A 44744-2024 FSC-klagomål mail.docx", "A 44744-2024")</f>
        <v/>
      </c>
      <c r="X40">
        <f>HYPERLINK("https://klasma.github.io/Logging_1880/tillsyn/A 44744-2024 tillsynsbegäran.docx", "A 44744-2024")</f>
        <v/>
      </c>
      <c r="Y40">
        <f>HYPERLINK("https://klasma.github.io/Logging_1880/tillsynsmail/A 44744-2024 tillsynsbegäran mail.docx", "A 44744-2024")</f>
        <v/>
      </c>
    </row>
    <row r="41" ht="15" customHeight="1">
      <c r="A41" t="inlineStr">
        <is>
          <t>A 30725-2023</t>
        </is>
      </c>
      <c r="B41" s="1" t="n">
        <v>45112.61451388889</v>
      </c>
      <c r="C41" s="1" t="n">
        <v>45900</v>
      </c>
      <c r="D41" t="inlineStr">
        <is>
          <t>ÖREBRO LÄN</t>
        </is>
      </c>
      <c r="E41" t="inlineStr">
        <is>
          <t>ÖREBRO</t>
        </is>
      </c>
      <c r="G41" t="n">
        <v>1.8</v>
      </c>
      <c r="H41" t="n">
        <v>1</v>
      </c>
      <c r="I41" t="n">
        <v>0</v>
      </c>
      <c r="J41" t="n">
        <v>1</v>
      </c>
      <c r="K41" t="n">
        <v>0</v>
      </c>
      <c r="L41" t="n">
        <v>0</v>
      </c>
      <c r="M41" t="n">
        <v>0</v>
      </c>
      <c r="N41" t="n">
        <v>0</v>
      </c>
      <c r="O41" t="n">
        <v>1</v>
      </c>
      <c r="P41" t="n">
        <v>0</v>
      </c>
      <c r="Q41" t="n">
        <v>1</v>
      </c>
      <c r="R41" s="2" t="inlineStr">
        <is>
          <t>Gulsparv</t>
        </is>
      </c>
      <c r="S41">
        <f>HYPERLINK("https://klasma.github.io/Logging_1880/artfynd/A 30725-2023 artfynd.xlsx", "A 30725-2023")</f>
        <v/>
      </c>
      <c r="T41">
        <f>HYPERLINK("https://klasma.github.io/Logging_1880/kartor/A 30725-2023 karta.png", "A 30725-2023")</f>
        <v/>
      </c>
      <c r="V41">
        <f>HYPERLINK("https://klasma.github.io/Logging_1880/klagomål/A 30725-2023 FSC-klagomål.docx", "A 30725-2023")</f>
        <v/>
      </c>
      <c r="W41">
        <f>HYPERLINK("https://klasma.github.io/Logging_1880/klagomålsmail/A 30725-2023 FSC-klagomål mail.docx", "A 30725-2023")</f>
        <v/>
      </c>
      <c r="X41">
        <f>HYPERLINK("https://klasma.github.io/Logging_1880/tillsyn/A 30725-2023 tillsynsbegäran.docx", "A 30725-2023")</f>
        <v/>
      </c>
      <c r="Y41">
        <f>HYPERLINK("https://klasma.github.io/Logging_1880/tillsynsmail/A 30725-2023 tillsynsbegäran mail.docx", "A 30725-2023")</f>
        <v/>
      </c>
      <c r="Z41">
        <f>HYPERLINK("https://klasma.github.io/Logging_1880/fåglar/A 30725-2023 prioriterade fågelarter.docx", "A 30725-2023")</f>
        <v/>
      </c>
    </row>
    <row r="42" ht="15" customHeight="1">
      <c r="A42" t="inlineStr">
        <is>
          <t>A 55904-2024</t>
        </is>
      </c>
      <c r="B42" s="1" t="n">
        <v>45623.58190972222</v>
      </c>
      <c r="C42" s="1" t="n">
        <v>45900</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5097-2023</t>
        </is>
      </c>
      <c r="B43" s="1" t="n">
        <v>44958</v>
      </c>
      <c r="C43" s="1" t="n">
        <v>45900</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20247-2023</t>
        </is>
      </c>
      <c r="B44" s="1" t="n">
        <v>45055</v>
      </c>
      <c r="C44" s="1" t="n">
        <v>45900</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23998-2025</t>
        </is>
      </c>
      <c r="B45" s="1" t="n">
        <v>45796.42209490741</v>
      </c>
      <c r="C45" s="1" t="n">
        <v>45900</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45900</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45900</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45900</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45900</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45900</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26890-2022</t>
        </is>
      </c>
      <c r="B51" s="1" t="n">
        <v>44740</v>
      </c>
      <c r="C51" s="1" t="n">
        <v>45900</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32226-2025</t>
        </is>
      </c>
      <c r="B52" s="1" t="n">
        <v>45835.59478009259</v>
      </c>
      <c r="C52" s="1" t="n">
        <v>45900</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45900</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57920-2024</t>
        </is>
      </c>
      <c r="B54" s="1" t="n">
        <v>45631.50894675926</v>
      </c>
      <c r="C54" s="1" t="n">
        <v>45900</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32105-2023</t>
        </is>
      </c>
      <c r="B55" s="1" t="n">
        <v>45119</v>
      </c>
      <c r="C55" s="1" t="n">
        <v>45900</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45900</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2077-2023</t>
        </is>
      </c>
      <c r="B57" s="1" t="n">
        <v>44939</v>
      </c>
      <c r="C57" s="1" t="n">
        <v>45900</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45900</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22604-2024</t>
        </is>
      </c>
      <c r="B59" s="1" t="n">
        <v>45447</v>
      </c>
      <c r="C59" s="1" t="n">
        <v>45900</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31695-2024</t>
        </is>
      </c>
      <c r="B60" s="1" t="n">
        <v>45508</v>
      </c>
      <c r="C60" s="1" t="n">
        <v>45900</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45900</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45900</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42957-2020</t>
        </is>
      </c>
      <c r="B63" s="1" t="n">
        <v>44078</v>
      </c>
      <c r="C63" s="1" t="n">
        <v>45900</v>
      </c>
      <c r="D63" t="inlineStr">
        <is>
          <t>ÖREBRO LÄN</t>
        </is>
      </c>
      <c r="E63" t="inlineStr">
        <is>
          <t>ÖREBRO</t>
        </is>
      </c>
      <c r="G63" t="n">
        <v>1.4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45900</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45900</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54288-2020</t>
        </is>
      </c>
      <c r="B66" s="1" t="n">
        <v>44124</v>
      </c>
      <c r="C66" s="1" t="n">
        <v>45900</v>
      </c>
      <c r="D66" t="inlineStr">
        <is>
          <t>ÖREBRO LÄN</t>
        </is>
      </c>
      <c r="E66" t="inlineStr">
        <is>
          <t>ÖREBRO</t>
        </is>
      </c>
      <c r="G66" t="n">
        <v>0.5</v>
      </c>
      <c r="H66" t="n">
        <v>0</v>
      </c>
      <c r="I66" t="n">
        <v>0</v>
      </c>
      <c r="J66" t="n">
        <v>0</v>
      </c>
      <c r="K66" t="n">
        <v>0</v>
      </c>
      <c r="L66" t="n">
        <v>0</v>
      </c>
      <c r="M66" t="n">
        <v>0</v>
      </c>
      <c r="N66" t="n">
        <v>0</v>
      </c>
      <c r="O66" t="n">
        <v>0</v>
      </c>
      <c r="P66" t="n">
        <v>0</v>
      </c>
      <c r="Q66" t="n">
        <v>0</v>
      </c>
      <c r="R66" s="2" t="inlineStr"/>
    </row>
    <row r="67" ht="15" customHeight="1">
      <c r="A67" t="inlineStr">
        <is>
          <t>A 46053-2020</t>
        </is>
      </c>
      <c r="B67" s="1" t="n">
        <v>44088</v>
      </c>
      <c r="C67" s="1" t="n">
        <v>45900</v>
      </c>
      <c r="D67" t="inlineStr">
        <is>
          <t>ÖREBRO LÄN</t>
        </is>
      </c>
      <c r="E67" t="inlineStr">
        <is>
          <t>ÖREBRO</t>
        </is>
      </c>
      <c r="G67" t="n">
        <v>0.9</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45900</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33865-2021</t>
        </is>
      </c>
      <c r="B69" s="1" t="n">
        <v>44378.62756944444</v>
      </c>
      <c r="C69" s="1" t="n">
        <v>45900</v>
      </c>
      <c r="D69" t="inlineStr">
        <is>
          <t>ÖREBRO LÄN</t>
        </is>
      </c>
      <c r="E69" t="inlineStr">
        <is>
          <t>ÖREBRO</t>
        </is>
      </c>
      <c r="F69" t="inlineStr">
        <is>
          <t>Kommuner</t>
        </is>
      </c>
      <c r="G69" t="n">
        <v>2.8</v>
      </c>
      <c r="H69" t="n">
        <v>0</v>
      </c>
      <c r="I69" t="n">
        <v>0</v>
      </c>
      <c r="J69" t="n">
        <v>0</v>
      </c>
      <c r="K69" t="n">
        <v>0</v>
      </c>
      <c r="L69" t="n">
        <v>0</v>
      </c>
      <c r="M69" t="n">
        <v>0</v>
      </c>
      <c r="N69" t="n">
        <v>0</v>
      </c>
      <c r="O69" t="n">
        <v>0</v>
      </c>
      <c r="P69" t="n">
        <v>0</v>
      </c>
      <c r="Q69" t="n">
        <v>0</v>
      </c>
      <c r="R69" s="2" t="inlineStr"/>
    </row>
    <row r="70" ht="15" customHeight="1">
      <c r="A70" t="inlineStr">
        <is>
          <t>A 12232-2021</t>
        </is>
      </c>
      <c r="B70" s="1" t="n">
        <v>44266.70232638889</v>
      </c>
      <c r="C70" s="1" t="n">
        <v>45900</v>
      </c>
      <c r="D70" t="inlineStr">
        <is>
          <t>ÖREBRO LÄN</t>
        </is>
      </c>
      <c r="E70" t="inlineStr">
        <is>
          <t>ÖREBRO</t>
        </is>
      </c>
      <c r="G70" t="n">
        <v>1.5</v>
      </c>
      <c r="H70" t="n">
        <v>0</v>
      </c>
      <c r="I70" t="n">
        <v>0</v>
      </c>
      <c r="J70" t="n">
        <v>0</v>
      </c>
      <c r="K70" t="n">
        <v>0</v>
      </c>
      <c r="L70" t="n">
        <v>0</v>
      </c>
      <c r="M70" t="n">
        <v>0</v>
      </c>
      <c r="N70" t="n">
        <v>0</v>
      </c>
      <c r="O70" t="n">
        <v>0</v>
      </c>
      <c r="P70" t="n">
        <v>0</v>
      </c>
      <c r="Q70" t="n">
        <v>0</v>
      </c>
      <c r="R70" s="2" t="inlineStr"/>
    </row>
    <row r="71" ht="15" customHeight="1">
      <c r="A71" t="inlineStr">
        <is>
          <t>A 16785-2021</t>
        </is>
      </c>
      <c r="B71" s="1" t="n">
        <v>44295</v>
      </c>
      <c r="C71" s="1" t="n">
        <v>45900</v>
      </c>
      <c r="D71" t="inlineStr">
        <is>
          <t>ÖREBRO LÄN</t>
        </is>
      </c>
      <c r="E71" t="inlineStr">
        <is>
          <t>ÖREBRO</t>
        </is>
      </c>
      <c r="G71" t="n">
        <v>2.8</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45900</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45900</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3081-2021</t>
        </is>
      </c>
      <c r="B74" s="1" t="n">
        <v>44216</v>
      </c>
      <c r="C74" s="1" t="n">
        <v>45900</v>
      </c>
      <c r="D74" t="inlineStr">
        <is>
          <t>ÖREBRO LÄN</t>
        </is>
      </c>
      <c r="E74" t="inlineStr">
        <is>
          <t>ÖREBRO</t>
        </is>
      </c>
      <c r="G74" t="n">
        <v>4.2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45900</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45900</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45900</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45900</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66799-2020</t>
        </is>
      </c>
      <c r="B79" s="1" t="n">
        <v>44179</v>
      </c>
      <c r="C79" s="1" t="n">
        <v>45900</v>
      </c>
      <c r="D79" t="inlineStr">
        <is>
          <t>ÖREBRO LÄN</t>
        </is>
      </c>
      <c r="E79" t="inlineStr">
        <is>
          <t>ÖREBRO</t>
        </is>
      </c>
      <c r="G79" t="n">
        <v>5.2</v>
      </c>
      <c r="H79" t="n">
        <v>0</v>
      </c>
      <c r="I79" t="n">
        <v>0</v>
      </c>
      <c r="J79" t="n">
        <v>0</v>
      </c>
      <c r="K79" t="n">
        <v>0</v>
      </c>
      <c r="L79" t="n">
        <v>0</v>
      </c>
      <c r="M79" t="n">
        <v>0</v>
      </c>
      <c r="N79" t="n">
        <v>0</v>
      </c>
      <c r="O79" t="n">
        <v>0</v>
      </c>
      <c r="P79" t="n">
        <v>0</v>
      </c>
      <c r="Q79" t="n">
        <v>0</v>
      </c>
      <c r="R79" s="2" t="inlineStr"/>
    </row>
    <row r="80" ht="15" customHeight="1">
      <c r="A80" t="inlineStr">
        <is>
          <t>A 61965-2020</t>
        </is>
      </c>
      <c r="B80" s="1" t="n">
        <v>44155</v>
      </c>
      <c r="C80" s="1" t="n">
        <v>45900</v>
      </c>
      <c r="D80" t="inlineStr">
        <is>
          <t>ÖREBRO LÄN</t>
        </is>
      </c>
      <c r="E80" t="inlineStr">
        <is>
          <t>ÖREBRO</t>
        </is>
      </c>
      <c r="G80" t="n">
        <v>1.7</v>
      </c>
      <c r="H80" t="n">
        <v>0</v>
      </c>
      <c r="I80" t="n">
        <v>0</v>
      </c>
      <c r="J80" t="n">
        <v>0</v>
      </c>
      <c r="K80" t="n">
        <v>0</v>
      </c>
      <c r="L80" t="n">
        <v>0</v>
      </c>
      <c r="M80" t="n">
        <v>0</v>
      </c>
      <c r="N80" t="n">
        <v>0</v>
      </c>
      <c r="O80" t="n">
        <v>0</v>
      </c>
      <c r="P80" t="n">
        <v>0</v>
      </c>
      <c r="Q80" t="n">
        <v>0</v>
      </c>
      <c r="R80" s="2" t="inlineStr"/>
    </row>
    <row r="81" ht="15" customHeight="1">
      <c r="A81" t="inlineStr">
        <is>
          <t>A 57241-2020</t>
        </is>
      </c>
      <c r="B81" s="1" t="n">
        <v>44139</v>
      </c>
      <c r="C81" s="1" t="n">
        <v>45900</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45900</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45900</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45900</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45900</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45900</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45900</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47517-2020</t>
        </is>
      </c>
      <c r="B88" s="1" t="n">
        <v>44095</v>
      </c>
      <c r="C88" s="1" t="n">
        <v>45900</v>
      </c>
      <c r="D88" t="inlineStr">
        <is>
          <t>ÖREBRO LÄN</t>
        </is>
      </c>
      <c r="E88" t="inlineStr">
        <is>
          <t>ÖREBRO</t>
        </is>
      </c>
      <c r="G88" t="n">
        <v>7</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45900</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45900</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45900</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45900</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45900</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45900</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45900</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45900</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55570-2020</t>
        </is>
      </c>
      <c r="B97" s="1" t="n">
        <v>44131</v>
      </c>
      <c r="C97" s="1" t="n">
        <v>45900</v>
      </c>
      <c r="D97" t="inlineStr">
        <is>
          <t>ÖREBRO LÄN</t>
        </is>
      </c>
      <c r="E97" t="inlineStr">
        <is>
          <t>ÖREBRO</t>
        </is>
      </c>
      <c r="G97" t="n">
        <v>1.9</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45900</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45900</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45900</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48878-2020</t>
        </is>
      </c>
      <c r="B101" s="1" t="n">
        <v>44104</v>
      </c>
      <c r="C101" s="1" t="n">
        <v>45900</v>
      </c>
      <c r="D101" t="inlineStr">
        <is>
          <t>ÖREBRO LÄN</t>
        </is>
      </c>
      <c r="E101" t="inlineStr">
        <is>
          <t>ÖREBRO</t>
        </is>
      </c>
      <c r="G101" t="n">
        <v>12.7</v>
      </c>
      <c r="H101" t="n">
        <v>0</v>
      </c>
      <c r="I101" t="n">
        <v>0</v>
      </c>
      <c r="J101" t="n">
        <v>0</v>
      </c>
      <c r="K101" t="n">
        <v>0</v>
      </c>
      <c r="L101" t="n">
        <v>0</v>
      </c>
      <c r="M101" t="n">
        <v>0</v>
      </c>
      <c r="N101" t="n">
        <v>0</v>
      </c>
      <c r="O101" t="n">
        <v>0</v>
      </c>
      <c r="P101" t="n">
        <v>0</v>
      </c>
      <c r="Q101" t="n">
        <v>0</v>
      </c>
      <c r="R101" s="2" t="inlineStr"/>
    </row>
    <row r="102" ht="15" customHeight="1">
      <c r="A102" t="inlineStr">
        <is>
          <t>A 48889-2020</t>
        </is>
      </c>
      <c r="B102" s="1" t="n">
        <v>44104</v>
      </c>
      <c r="C102" s="1" t="n">
        <v>45900</v>
      </c>
      <c r="D102" t="inlineStr">
        <is>
          <t>ÖREBRO LÄN</t>
        </is>
      </c>
      <c r="E102" t="inlineStr">
        <is>
          <t>ÖREBRO</t>
        </is>
      </c>
      <c r="G102" t="n">
        <v>0.8</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45900</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45900</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45900</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3078-2021</t>
        </is>
      </c>
      <c r="B106" s="1" t="n">
        <v>44216</v>
      </c>
      <c r="C106" s="1" t="n">
        <v>45900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3085-2021</t>
        </is>
      </c>
      <c r="B107" s="1" t="n">
        <v>44216</v>
      </c>
      <c r="C107" s="1" t="n">
        <v>45900</v>
      </c>
      <c r="D107" t="inlineStr">
        <is>
          <t>ÖREBRO LÄN</t>
        </is>
      </c>
      <c r="E107" t="inlineStr">
        <is>
          <t>ÖREBRO</t>
        </is>
      </c>
      <c r="G107" t="n">
        <v>2.9</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45900</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45900</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45900</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4021-2021</t>
        </is>
      </c>
      <c r="B111" s="1" t="n">
        <v>44218</v>
      </c>
      <c r="C111" s="1" t="n">
        <v>45900</v>
      </c>
      <c r="D111" t="inlineStr">
        <is>
          <t>ÖREBRO LÄN</t>
        </is>
      </c>
      <c r="E111" t="inlineStr">
        <is>
          <t>ÖREBRO</t>
        </is>
      </c>
      <c r="G111" t="n">
        <v>5.3</v>
      </c>
      <c r="H111" t="n">
        <v>0</v>
      </c>
      <c r="I111" t="n">
        <v>0</v>
      </c>
      <c r="J111" t="n">
        <v>0</v>
      </c>
      <c r="K111" t="n">
        <v>0</v>
      </c>
      <c r="L111" t="n">
        <v>0</v>
      </c>
      <c r="M111" t="n">
        <v>0</v>
      </c>
      <c r="N111" t="n">
        <v>0</v>
      </c>
      <c r="O111" t="n">
        <v>0</v>
      </c>
      <c r="P111" t="n">
        <v>0</v>
      </c>
      <c r="Q111" t="n">
        <v>0</v>
      </c>
      <c r="R111" s="2" t="inlineStr"/>
    </row>
    <row r="112" ht="15" customHeight="1">
      <c r="A112" t="inlineStr">
        <is>
          <t>A 25660-2021</t>
        </is>
      </c>
      <c r="B112" s="1" t="n">
        <v>44343.5619212963</v>
      </c>
      <c r="C112" s="1" t="n">
        <v>45900</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45900</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45900</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45900</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45900</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45900</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42865-2020</t>
        </is>
      </c>
      <c r="B118" s="1" t="n">
        <v>44078</v>
      </c>
      <c r="C118" s="1" t="n">
        <v>45900</v>
      </c>
      <c r="D118" t="inlineStr">
        <is>
          <t>ÖREBRO LÄN</t>
        </is>
      </c>
      <c r="E118" t="inlineStr">
        <is>
          <t>ÖREBRO</t>
        </is>
      </c>
      <c r="G118" t="n">
        <v>5.2</v>
      </c>
      <c r="H118" t="n">
        <v>0</v>
      </c>
      <c r="I118" t="n">
        <v>0</v>
      </c>
      <c r="J118" t="n">
        <v>0</v>
      </c>
      <c r="K118" t="n">
        <v>0</v>
      </c>
      <c r="L118" t="n">
        <v>0</v>
      </c>
      <c r="M118" t="n">
        <v>0</v>
      </c>
      <c r="N118" t="n">
        <v>0</v>
      </c>
      <c r="O118" t="n">
        <v>0</v>
      </c>
      <c r="P118" t="n">
        <v>0</v>
      </c>
      <c r="Q118" t="n">
        <v>0</v>
      </c>
      <c r="R118" s="2" t="inlineStr"/>
    </row>
    <row r="119" ht="15" customHeight="1">
      <c r="A119" t="inlineStr">
        <is>
          <t>A 35836-2021</t>
        </is>
      </c>
      <c r="B119" s="1" t="n">
        <v>44386</v>
      </c>
      <c r="C119" s="1" t="n">
        <v>45900</v>
      </c>
      <c r="D119" t="inlineStr">
        <is>
          <t>ÖREBRO LÄN</t>
        </is>
      </c>
      <c r="E119" t="inlineStr">
        <is>
          <t>ÖREBRO</t>
        </is>
      </c>
      <c r="F119" t="inlineStr">
        <is>
          <t>Kommuner</t>
        </is>
      </c>
      <c r="G119" t="n">
        <v>2.1</v>
      </c>
      <c r="H119" t="n">
        <v>0</v>
      </c>
      <c r="I119" t="n">
        <v>0</v>
      </c>
      <c r="J119" t="n">
        <v>0</v>
      </c>
      <c r="K119" t="n">
        <v>0</v>
      </c>
      <c r="L119" t="n">
        <v>0</v>
      </c>
      <c r="M119" t="n">
        <v>0</v>
      </c>
      <c r="N119" t="n">
        <v>0</v>
      </c>
      <c r="O119" t="n">
        <v>0</v>
      </c>
      <c r="P119" t="n">
        <v>0</v>
      </c>
      <c r="Q119" t="n">
        <v>0</v>
      </c>
      <c r="R119" s="2" t="inlineStr"/>
    </row>
    <row r="120" ht="15" customHeight="1">
      <c r="A120" t="inlineStr">
        <is>
          <t>A 13045-2022</t>
        </is>
      </c>
      <c r="B120" s="1" t="n">
        <v>44643</v>
      </c>
      <c r="C120" s="1" t="n">
        <v>45900</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58633-2020</t>
        </is>
      </c>
      <c r="B121" s="1" t="n">
        <v>44145</v>
      </c>
      <c r="C121" s="1" t="n">
        <v>45900</v>
      </c>
      <c r="D121" t="inlineStr">
        <is>
          <t>ÖREBRO LÄN</t>
        </is>
      </c>
      <c r="E121" t="inlineStr">
        <is>
          <t>ÖREBRO</t>
        </is>
      </c>
      <c r="G121" t="n">
        <v>1.4</v>
      </c>
      <c r="H121" t="n">
        <v>0</v>
      </c>
      <c r="I121" t="n">
        <v>0</v>
      </c>
      <c r="J121" t="n">
        <v>0</v>
      </c>
      <c r="K121" t="n">
        <v>0</v>
      </c>
      <c r="L121" t="n">
        <v>0</v>
      </c>
      <c r="M121" t="n">
        <v>0</v>
      </c>
      <c r="N121" t="n">
        <v>0</v>
      </c>
      <c r="O121" t="n">
        <v>0</v>
      </c>
      <c r="P121" t="n">
        <v>0</v>
      </c>
      <c r="Q121" t="n">
        <v>0</v>
      </c>
      <c r="R121" s="2" t="inlineStr"/>
    </row>
    <row r="122" ht="15" customHeight="1">
      <c r="A122" t="inlineStr">
        <is>
          <t>A 64523-2021</t>
        </is>
      </c>
      <c r="B122" s="1" t="n">
        <v>44511</v>
      </c>
      <c r="C122" s="1" t="n">
        <v>45900</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60150-2020</t>
        </is>
      </c>
      <c r="B123" s="1" t="n">
        <v>44152</v>
      </c>
      <c r="C123" s="1" t="n">
        <v>45900</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28870-2021</t>
        </is>
      </c>
      <c r="B124" s="1" t="n">
        <v>44357.75265046296</v>
      </c>
      <c r="C124" s="1" t="n">
        <v>45900</v>
      </c>
      <c r="D124" t="inlineStr">
        <is>
          <t>ÖREBRO LÄN</t>
        </is>
      </c>
      <c r="E124" t="inlineStr">
        <is>
          <t>ÖREBRO</t>
        </is>
      </c>
      <c r="F124" t="inlineStr">
        <is>
          <t>Övriga Aktiebolag</t>
        </is>
      </c>
      <c r="G124" t="n">
        <v>2.4</v>
      </c>
      <c r="H124" t="n">
        <v>0</v>
      </c>
      <c r="I124" t="n">
        <v>0</v>
      </c>
      <c r="J124" t="n">
        <v>0</v>
      </c>
      <c r="K124" t="n">
        <v>0</v>
      </c>
      <c r="L124" t="n">
        <v>0</v>
      </c>
      <c r="M124" t="n">
        <v>0</v>
      </c>
      <c r="N124" t="n">
        <v>0</v>
      </c>
      <c r="O124" t="n">
        <v>0</v>
      </c>
      <c r="P124" t="n">
        <v>0</v>
      </c>
      <c r="Q124" t="n">
        <v>0</v>
      </c>
      <c r="R124" s="2" t="inlineStr"/>
    </row>
    <row r="125" ht="15" customHeight="1">
      <c r="A125" t="inlineStr">
        <is>
          <t>A 10019-2022</t>
        </is>
      </c>
      <c r="B125" s="1" t="n">
        <v>44621</v>
      </c>
      <c r="C125" s="1" t="n">
        <v>45900</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45900</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21567-2022</t>
        </is>
      </c>
      <c r="B127" s="1" t="n">
        <v>44706</v>
      </c>
      <c r="C127" s="1" t="n">
        <v>45900</v>
      </c>
      <c r="D127" t="inlineStr">
        <is>
          <t>ÖREBRO LÄN</t>
        </is>
      </c>
      <c r="E127" t="inlineStr">
        <is>
          <t>ÖREBRO</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58138-2021</t>
        </is>
      </c>
      <c r="B128" s="1" t="n">
        <v>44487</v>
      </c>
      <c r="C128" s="1" t="n">
        <v>45900</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45900</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45900</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46607-2020</t>
        </is>
      </c>
      <c r="B131" s="1" t="n">
        <v>44095</v>
      </c>
      <c r="C131" s="1" t="n">
        <v>45900</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30760-2022</t>
        </is>
      </c>
      <c r="B132" s="1" t="n">
        <v>44764.51827546296</v>
      </c>
      <c r="C132" s="1" t="n">
        <v>45900</v>
      </c>
      <c r="D132" t="inlineStr">
        <is>
          <t>ÖREBRO LÄN</t>
        </is>
      </c>
      <c r="E132" t="inlineStr">
        <is>
          <t>ÖREBRO</t>
        </is>
      </c>
      <c r="G132" t="n">
        <v>4</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45900</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29490-2022</t>
        </is>
      </c>
      <c r="B134" s="1" t="n">
        <v>44753</v>
      </c>
      <c r="C134" s="1" t="n">
        <v>45900</v>
      </c>
      <c r="D134" t="inlineStr">
        <is>
          <t>ÖREBRO LÄN</t>
        </is>
      </c>
      <c r="E134" t="inlineStr">
        <is>
          <t>ÖREBRO</t>
        </is>
      </c>
      <c r="F134" t="inlineStr">
        <is>
          <t>Kommuner</t>
        </is>
      </c>
      <c r="G134" t="n">
        <v>0.3</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45900</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37395-2021</t>
        </is>
      </c>
      <c r="B136" s="1" t="n">
        <v>44398</v>
      </c>
      <c r="C136" s="1" t="n">
        <v>45900</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13631-2022</t>
        </is>
      </c>
      <c r="B137" s="1" t="n">
        <v>44648</v>
      </c>
      <c r="C137" s="1" t="n">
        <v>45900</v>
      </c>
      <c r="D137" t="inlineStr">
        <is>
          <t>ÖREBRO LÄN</t>
        </is>
      </c>
      <c r="E137" t="inlineStr">
        <is>
          <t>ÖREBRO</t>
        </is>
      </c>
      <c r="G137" t="n">
        <v>10.4</v>
      </c>
      <c r="H137" t="n">
        <v>0</v>
      </c>
      <c r="I137" t="n">
        <v>0</v>
      </c>
      <c r="J137" t="n">
        <v>0</v>
      </c>
      <c r="K137" t="n">
        <v>0</v>
      </c>
      <c r="L137" t="n">
        <v>0</v>
      </c>
      <c r="M137" t="n">
        <v>0</v>
      </c>
      <c r="N137" t="n">
        <v>0</v>
      </c>
      <c r="O137" t="n">
        <v>0</v>
      </c>
      <c r="P137" t="n">
        <v>0</v>
      </c>
      <c r="Q137" t="n">
        <v>0</v>
      </c>
      <c r="R137" s="2" t="inlineStr"/>
    </row>
    <row r="138" ht="15" customHeight="1">
      <c r="A138" t="inlineStr">
        <is>
          <t>A 66936-2021</t>
        </is>
      </c>
      <c r="B138" s="1" t="n">
        <v>44522.56349537037</v>
      </c>
      <c r="C138" s="1" t="n">
        <v>45900</v>
      </c>
      <c r="D138" t="inlineStr">
        <is>
          <t>ÖREBRO LÄN</t>
        </is>
      </c>
      <c r="E138" t="inlineStr">
        <is>
          <t>ÖREBRO</t>
        </is>
      </c>
      <c r="G138" t="n">
        <v>6.8</v>
      </c>
      <c r="H138" t="n">
        <v>0</v>
      </c>
      <c r="I138" t="n">
        <v>0</v>
      </c>
      <c r="J138" t="n">
        <v>0</v>
      </c>
      <c r="K138" t="n">
        <v>0</v>
      </c>
      <c r="L138" t="n">
        <v>0</v>
      </c>
      <c r="M138" t="n">
        <v>0</v>
      </c>
      <c r="N138" t="n">
        <v>0</v>
      </c>
      <c r="O138" t="n">
        <v>0</v>
      </c>
      <c r="P138" t="n">
        <v>0</v>
      </c>
      <c r="Q138" t="n">
        <v>0</v>
      </c>
      <c r="R138" s="2" t="inlineStr"/>
    </row>
    <row r="139" ht="15" customHeight="1">
      <c r="A139" t="inlineStr">
        <is>
          <t>A 44131-2022</t>
        </is>
      </c>
      <c r="B139" s="1" t="n">
        <v>44839</v>
      </c>
      <c r="C139" s="1" t="n">
        <v>45900</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45900</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18321-2022</t>
        </is>
      </c>
      <c r="B141" s="1" t="n">
        <v>44685</v>
      </c>
      <c r="C141" s="1" t="n">
        <v>45900</v>
      </c>
      <c r="D141" t="inlineStr">
        <is>
          <t>ÖREBRO LÄN</t>
        </is>
      </c>
      <c r="E141" t="inlineStr">
        <is>
          <t>ÖREBRO</t>
        </is>
      </c>
      <c r="G141" t="n">
        <v>2.1</v>
      </c>
      <c r="H141" t="n">
        <v>0</v>
      </c>
      <c r="I141" t="n">
        <v>0</v>
      </c>
      <c r="J141" t="n">
        <v>0</v>
      </c>
      <c r="K141" t="n">
        <v>0</v>
      </c>
      <c r="L141" t="n">
        <v>0</v>
      </c>
      <c r="M141" t="n">
        <v>0</v>
      </c>
      <c r="N141" t="n">
        <v>0</v>
      </c>
      <c r="O141" t="n">
        <v>0</v>
      </c>
      <c r="P141" t="n">
        <v>0</v>
      </c>
      <c r="Q141" t="n">
        <v>0</v>
      </c>
      <c r="R141" s="2" t="inlineStr"/>
    </row>
    <row r="142" ht="15" customHeight="1">
      <c r="A142" t="inlineStr">
        <is>
          <t>A 62651-2020</t>
        </is>
      </c>
      <c r="B142" s="1" t="n">
        <v>44161</v>
      </c>
      <c r="C142" s="1" t="n">
        <v>45900</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15422-2022</t>
        </is>
      </c>
      <c r="B143" s="1" t="n">
        <v>44659.63753472222</v>
      </c>
      <c r="C143" s="1" t="n">
        <v>45900</v>
      </c>
      <c r="D143" t="inlineStr">
        <is>
          <t>ÖREBRO LÄN</t>
        </is>
      </c>
      <c r="E143" t="inlineStr">
        <is>
          <t>ÖREBRO</t>
        </is>
      </c>
      <c r="G143" t="n">
        <v>2</v>
      </c>
      <c r="H143" t="n">
        <v>0</v>
      </c>
      <c r="I143" t="n">
        <v>0</v>
      </c>
      <c r="J143" t="n">
        <v>0</v>
      </c>
      <c r="K143" t="n">
        <v>0</v>
      </c>
      <c r="L143" t="n">
        <v>0</v>
      </c>
      <c r="M143" t="n">
        <v>0</v>
      </c>
      <c r="N143" t="n">
        <v>0</v>
      </c>
      <c r="O143" t="n">
        <v>0</v>
      </c>
      <c r="P143" t="n">
        <v>0</v>
      </c>
      <c r="Q143" t="n">
        <v>0</v>
      </c>
      <c r="R143" s="2" t="inlineStr"/>
    </row>
    <row r="144" ht="15" customHeight="1">
      <c r="A144" t="inlineStr">
        <is>
          <t>A 16258-2022</t>
        </is>
      </c>
      <c r="B144" s="1" t="n">
        <v>44670</v>
      </c>
      <c r="C144" s="1" t="n">
        <v>45900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7117-2021</t>
        </is>
      </c>
      <c r="B145" s="1" t="n">
        <v>44238</v>
      </c>
      <c r="C145" s="1" t="n">
        <v>45900</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57343-2021</t>
        </is>
      </c>
      <c r="B146" s="1" t="n">
        <v>44482</v>
      </c>
      <c r="C146" s="1" t="n">
        <v>45900</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18047-2022</t>
        </is>
      </c>
      <c r="B147" s="1" t="n">
        <v>44684</v>
      </c>
      <c r="C147" s="1" t="n">
        <v>45900</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56138-2020</t>
        </is>
      </c>
      <c r="B148" s="1" t="n">
        <v>44133</v>
      </c>
      <c r="C148" s="1" t="n">
        <v>45900</v>
      </c>
      <c r="D148" t="inlineStr">
        <is>
          <t>ÖREBRO LÄN</t>
        </is>
      </c>
      <c r="E148" t="inlineStr">
        <is>
          <t>ÖREBRO</t>
        </is>
      </c>
      <c r="F148" t="inlineStr">
        <is>
          <t>Allmännings- och besparingsskogar</t>
        </is>
      </c>
      <c r="G148" t="n">
        <v>4.9</v>
      </c>
      <c r="H148" t="n">
        <v>0</v>
      </c>
      <c r="I148" t="n">
        <v>0</v>
      </c>
      <c r="J148" t="n">
        <v>0</v>
      </c>
      <c r="K148" t="n">
        <v>0</v>
      </c>
      <c r="L148" t="n">
        <v>0</v>
      </c>
      <c r="M148" t="n">
        <v>0</v>
      </c>
      <c r="N148" t="n">
        <v>0</v>
      </c>
      <c r="O148" t="n">
        <v>0</v>
      </c>
      <c r="P148" t="n">
        <v>0</v>
      </c>
      <c r="Q148" t="n">
        <v>0</v>
      </c>
      <c r="R148" s="2" t="inlineStr"/>
    </row>
    <row r="149" ht="15" customHeight="1">
      <c r="A149" t="inlineStr">
        <is>
          <t>A 26118-2021</t>
        </is>
      </c>
      <c r="B149" s="1" t="n">
        <v>44345</v>
      </c>
      <c r="C149" s="1" t="n">
        <v>45900</v>
      </c>
      <c r="D149" t="inlineStr">
        <is>
          <t>ÖREBRO LÄN</t>
        </is>
      </c>
      <c r="E149" t="inlineStr">
        <is>
          <t>ÖREBRO</t>
        </is>
      </c>
      <c r="G149" t="n">
        <v>2.2</v>
      </c>
      <c r="H149" t="n">
        <v>0</v>
      </c>
      <c r="I149" t="n">
        <v>0</v>
      </c>
      <c r="J149" t="n">
        <v>0</v>
      </c>
      <c r="K149" t="n">
        <v>0</v>
      </c>
      <c r="L149" t="n">
        <v>0</v>
      </c>
      <c r="M149" t="n">
        <v>0</v>
      </c>
      <c r="N149" t="n">
        <v>0</v>
      </c>
      <c r="O149" t="n">
        <v>0</v>
      </c>
      <c r="P149" t="n">
        <v>0</v>
      </c>
      <c r="Q149" t="n">
        <v>0</v>
      </c>
      <c r="R149" s="2" t="inlineStr"/>
    </row>
    <row r="150" ht="15" customHeight="1">
      <c r="A150" t="inlineStr">
        <is>
          <t>A 26119-2021</t>
        </is>
      </c>
      <c r="B150" s="1" t="n">
        <v>44345.33282407407</v>
      </c>
      <c r="C150" s="1" t="n">
        <v>45900</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45900</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3087-2021</t>
        </is>
      </c>
      <c r="B152" s="1" t="n">
        <v>44216</v>
      </c>
      <c r="C152" s="1" t="n">
        <v>45900</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44514-2020</t>
        </is>
      </c>
      <c r="B153" s="1" t="n">
        <v>44085</v>
      </c>
      <c r="C153" s="1" t="n">
        <v>45900</v>
      </c>
      <c r="D153" t="inlineStr">
        <is>
          <t>ÖREBRO LÄN</t>
        </is>
      </c>
      <c r="E153" t="inlineStr">
        <is>
          <t>ÖREBRO</t>
        </is>
      </c>
      <c r="G153" t="n">
        <v>3</v>
      </c>
      <c r="H153" t="n">
        <v>0</v>
      </c>
      <c r="I153" t="n">
        <v>0</v>
      </c>
      <c r="J153" t="n">
        <v>0</v>
      </c>
      <c r="K153" t="n">
        <v>0</v>
      </c>
      <c r="L153" t="n">
        <v>0</v>
      </c>
      <c r="M153" t="n">
        <v>0</v>
      </c>
      <c r="N153" t="n">
        <v>0</v>
      </c>
      <c r="O153" t="n">
        <v>0</v>
      </c>
      <c r="P153" t="n">
        <v>0</v>
      </c>
      <c r="Q153" t="n">
        <v>0</v>
      </c>
      <c r="R153" s="2" t="inlineStr"/>
    </row>
    <row r="154" ht="15" customHeight="1">
      <c r="A154" t="inlineStr">
        <is>
          <t>A 32231-2022</t>
        </is>
      </c>
      <c r="B154" s="1" t="n">
        <v>44781</v>
      </c>
      <c r="C154" s="1" t="n">
        <v>45900</v>
      </c>
      <c r="D154" t="inlineStr">
        <is>
          <t>ÖREBRO LÄN</t>
        </is>
      </c>
      <c r="E154" t="inlineStr">
        <is>
          <t>ÖREBRO</t>
        </is>
      </c>
      <c r="G154" t="n">
        <v>1</v>
      </c>
      <c r="H154" t="n">
        <v>0</v>
      </c>
      <c r="I154" t="n">
        <v>0</v>
      </c>
      <c r="J154" t="n">
        <v>0</v>
      </c>
      <c r="K154" t="n">
        <v>0</v>
      </c>
      <c r="L154" t="n">
        <v>0</v>
      </c>
      <c r="M154" t="n">
        <v>0</v>
      </c>
      <c r="N154" t="n">
        <v>0</v>
      </c>
      <c r="O154" t="n">
        <v>0</v>
      </c>
      <c r="P154" t="n">
        <v>0</v>
      </c>
      <c r="Q154" t="n">
        <v>0</v>
      </c>
      <c r="R154" s="2" t="inlineStr"/>
    </row>
    <row r="155" ht="15" customHeight="1">
      <c r="A155" t="inlineStr">
        <is>
          <t>A 32247-2022</t>
        </is>
      </c>
      <c r="B155" s="1" t="n">
        <v>44781</v>
      </c>
      <c r="C155" s="1" t="n">
        <v>45900</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63247-2021</t>
        </is>
      </c>
      <c r="B156" s="1" t="n">
        <v>44505</v>
      </c>
      <c r="C156" s="1" t="n">
        <v>45900</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69613-2020</t>
        </is>
      </c>
      <c r="B157" s="1" t="n">
        <v>44195</v>
      </c>
      <c r="C157" s="1" t="n">
        <v>45900</v>
      </c>
      <c r="D157" t="inlineStr">
        <is>
          <t>ÖREBRO LÄN</t>
        </is>
      </c>
      <c r="E157" t="inlineStr">
        <is>
          <t>ÖREBRO</t>
        </is>
      </c>
      <c r="G157" t="n">
        <v>4.7</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45900</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19468-2021</t>
        </is>
      </c>
      <c r="B159" s="1" t="n">
        <v>44311</v>
      </c>
      <c r="C159" s="1" t="n">
        <v>45900</v>
      </c>
      <c r="D159" t="inlineStr">
        <is>
          <t>ÖREBRO LÄN</t>
        </is>
      </c>
      <c r="E159" t="inlineStr">
        <is>
          <t>ÖREBRO</t>
        </is>
      </c>
      <c r="G159" t="n">
        <v>0.9</v>
      </c>
      <c r="H159" t="n">
        <v>0</v>
      </c>
      <c r="I159" t="n">
        <v>0</v>
      </c>
      <c r="J159" t="n">
        <v>0</v>
      </c>
      <c r="K159" t="n">
        <v>0</v>
      </c>
      <c r="L159" t="n">
        <v>0</v>
      </c>
      <c r="M159" t="n">
        <v>0</v>
      </c>
      <c r="N159" t="n">
        <v>0</v>
      </c>
      <c r="O159" t="n">
        <v>0</v>
      </c>
      <c r="P159" t="n">
        <v>0</v>
      </c>
      <c r="Q159" t="n">
        <v>0</v>
      </c>
      <c r="R159" s="2" t="inlineStr"/>
    </row>
    <row r="160" ht="15" customHeight="1">
      <c r="A160" t="inlineStr">
        <is>
          <t>A 4766-2022</t>
        </is>
      </c>
      <c r="B160" s="1" t="n">
        <v>44592</v>
      </c>
      <c r="C160" s="1" t="n">
        <v>45900</v>
      </c>
      <c r="D160" t="inlineStr">
        <is>
          <t>ÖREBRO LÄN</t>
        </is>
      </c>
      <c r="E160" t="inlineStr">
        <is>
          <t>ÖREBRO</t>
        </is>
      </c>
      <c r="G160" t="n">
        <v>2.9</v>
      </c>
      <c r="H160" t="n">
        <v>0</v>
      </c>
      <c r="I160" t="n">
        <v>0</v>
      </c>
      <c r="J160" t="n">
        <v>0</v>
      </c>
      <c r="K160" t="n">
        <v>0</v>
      </c>
      <c r="L160" t="n">
        <v>0</v>
      </c>
      <c r="M160" t="n">
        <v>0</v>
      </c>
      <c r="N160" t="n">
        <v>0</v>
      </c>
      <c r="O160" t="n">
        <v>0</v>
      </c>
      <c r="P160" t="n">
        <v>0</v>
      </c>
      <c r="Q160" t="n">
        <v>0</v>
      </c>
      <c r="R160" s="2" t="inlineStr"/>
    </row>
    <row r="161" ht="15" customHeight="1">
      <c r="A161" t="inlineStr">
        <is>
          <t>A 41553-2022</t>
        </is>
      </c>
      <c r="B161" s="1" t="n">
        <v>44827.3940625</v>
      </c>
      <c r="C161" s="1" t="n">
        <v>45900</v>
      </c>
      <c r="D161" t="inlineStr">
        <is>
          <t>ÖREBRO LÄN</t>
        </is>
      </c>
      <c r="E161" t="inlineStr">
        <is>
          <t>ÖREBRO</t>
        </is>
      </c>
      <c r="G161" t="n">
        <v>3.7</v>
      </c>
      <c r="H161" t="n">
        <v>0</v>
      </c>
      <c r="I161" t="n">
        <v>0</v>
      </c>
      <c r="J161" t="n">
        <v>0</v>
      </c>
      <c r="K161" t="n">
        <v>0</v>
      </c>
      <c r="L161" t="n">
        <v>0</v>
      </c>
      <c r="M161" t="n">
        <v>0</v>
      </c>
      <c r="N161" t="n">
        <v>0</v>
      </c>
      <c r="O161" t="n">
        <v>0</v>
      </c>
      <c r="P161" t="n">
        <v>0</v>
      </c>
      <c r="Q161" t="n">
        <v>0</v>
      </c>
      <c r="R161" s="2" t="inlineStr"/>
    </row>
    <row r="162" ht="15" customHeight="1">
      <c r="A162" t="inlineStr">
        <is>
          <t>A 14562-2022</t>
        </is>
      </c>
      <c r="B162" s="1" t="n">
        <v>44655</v>
      </c>
      <c r="C162" s="1" t="n">
        <v>45900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9362-2022</t>
        </is>
      </c>
      <c r="B163" s="1" t="n">
        <v>44616.59946759259</v>
      </c>
      <c r="C163" s="1" t="n">
        <v>45900</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40312-2021</t>
        </is>
      </c>
      <c r="B164" s="1" t="n">
        <v>44419</v>
      </c>
      <c r="C164" s="1" t="n">
        <v>45900</v>
      </c>
      <c r="D164" t="inlineStr">
        <is>
          <t>ÖREBRO LÄN</t>
        </is>
      </c>
      <c r="E164" t="inlineStr">
        <is>
          <t>ÖREBRO</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16261-2022</t>
        </is>
      </c>
      <c r="B165" s="1" t="n">
        <v>44670</v>
      </c>
      <c r="C165" s="1" t="n">
        <v>45900</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19831-2021</t>
        </is>
      </c>
      <c r="B166" s="1" t="n">
        <v>44313</v>
      </c>
      <c r="C166" s="1" t="n">
        <v>45900</v>
      </c>
      <c r="D166" t="inlineStr">
        <is>
          <t>ÖREBRO LÄN</t>
        </is>
      </c>
      <c r="E166" t="inlineStr">
        <is>
          <t>ÖREBRO</t>
        </is>
      </c>
      <c r="G166" t="n">
        <v>3.2</v>
      </c>
      <c r="H166" t="n">
        <v>0</v>
      </c>
      <c r="I166" t="n">
        <v>0</v>
      </c>
      <c r="J166" t="n">
        <v>0</v>
      </c>
      <c r="K166" t="n">
        <v>0</v>
      </c>
      <c r="L166" t="n">
        <v>0</v>
      </c>
      <c r="M166" t="n">
        <v>0</v>
      </c>
      <c r="N166" t="n">
        <v>0</v>
      </c>
      <c r="O166" t="n">
        <v>0</v>
      </c>
      <c r="P166" t="n">
        <v>0</v>
      </c>
      <c r="Q166" t="n">
        <v>0</v>
      </c>
      <c r="R166" s="2" t="inlineStr"/>
    </row>
    <row r="167" ht="15" customHeight="1">
      <c r="A167" t="inlineStr">
        <is>
          <t>A 44165-2022</t>
        </is>
      </c>
      <c r="B167" s="1" t="n">
        <v>44839</v>
      </c>
      <c r="C167" s="1" t="n">
        <v>45900</v>
      </c>
      <c r="D167" t="inlineStr">
        <is>
          <t>ÖREBRO LÄN</t>
        </is>
      </c>
      <c r="E167" t="inlineStr">
        <is>
          <t>ÖREBRO</t>
        </is>
      </c>
      <c r="G167" t="n">
        <v>0.5</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45900</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5357-2024</t>
        </is>
      </c>
      <c r="B169" s="1" t="n">
        <v>45331</v>
      </c>
      <c r="C169" s="1" t="n">
        <v>45900</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5401-2022</t>
        </is>
      </c>
      <c r="B170" s="1" t="n">
        <v>44595</v>
      </c>
      <c r="C170" s="1" t="n">
        <v>45900</v>
      </c>
      <c r="D170" t="inlineStr">
        <is>
          <t>ÖREBRO LÄN</t>
        </is>
      </c>
      <c r="E170" t="inlineStr">
        <is>
          <t>ÖREBRO</t>
        </is>
      </c>
      <c r="G170" t="n">
        <v>2.3</v>
      </c>
      <c r="H170" t="n">
        <v>0</v>
      </c>
      <c r="I170" t="n">
        <v>0</v>
      </c>
      <c r="J170" t="n">
        <v>0</v>
      </c>
      <c r="K170" t="n">
        <v>0</v>
      </c>
      <c r="L170" t="n">
        <v>0</v>
      </c>
      <c r="M170" t="n">
        <v>0</v>
      </c>
      <c r="N170" t="n">
        <v>0</v>
      </c>
      <c r="O170" t="n">
        <v>0</v>
      </c>
      <c r="P170" t="n">
        <v>0</v>
      </c>
      <c r="Q170" t="n">
        <v>0</v>
      </c>
      <c r="R170" s="2" t="inlineStr"/>
    </row>
    <row r="171" ht="15" customHeight="1">
      <c r="A171" t="inlineStr">
        <is>
          <t>A 15354-2024</t>
        </is>
      </c>
      <c r="B171" s="1" t="n">
        <v>45400.85319444445</v>
      </c>
      <c r="C171" s="1" t="n">
        <v>45900</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11067-2025</t>
        </is>
      </c>
      <c r="B172" s="1" t="n">
        <v>45723</v>
      </c>
      <c r="C172" s="1" t="n">
        <v>45900</v>
      </c>
      <c r="D172" t="inlineStr">
        <is>
          <t>ÖREBRO LÄN</t>
        </is>
      </c>
      <c r="E172" t="inlineStr">
        <is>
          <t>ÖREBRO</t>
        </is>
      </c>
      <c r="G172" t="n">
        <v>3.1</v>
      </c>
      <c r="H172" t="n">
        <v>0</v>
      </c>
      <c r="I172" t="n">
        <v>0</v>
      </c>
      <c r="J172" t="n">
        <v>0</v>
      </c>
      <c r="K172" t="n">
        <v>0</v>
      </c>
      <c r="L172" t="n">
        <v>0</v>
      </c>
      <c r="M172" t="n">
        <v>0</v>
      </c>
      <c r="N172" t="n">
        <v>0</v>
      </c>
      <c r="O172" t="n">
        <v>0</v>
      </c>
      <c r="P172" t="n">
        <v>0</v>
      </c>
      <c r="Q172" t="n">
        <v>0</v>
      </c>
      <c r="R172" s="2" t="inlineStr"/>
    </row>
    <row r="173" ht="15" customHeight="1">
      <c r="A173" t="inlineStr">
        <is>
          <t>A 60311-2020</t>
        </is>
      </c>
      <c r="B173" s="1" t="n">
        <v>44151</v>
      </c>
      <c r="C173" s="1" t="n">
        <v>45900</v>
      </c>
      <c r="D173" t="inlineStr">
        <is>
          <t>ÖREBRO LÄN</t>
        </is>
      </c>
      <c r="E173" t="inlineStr">
        <is>
          <t>ÖREBRO</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9585-2025</t>
        </is>
      </c>
      <c r="B174" s="1" t="n">
        <v>45715.63409722222</v>
      </c>
      <c r="C174" s="1" t="n">
        <v>45900</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6879-2024</t>
        </is>
      </c>
      <c r="B175" s="1" t="n">
        <v>45342.85280092592</v>
      </c>
      <c r="C175" s="1" t="n">
        <v>45900</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6638-2022</t>
        </is>
      </c>
      <c r="B176" s="1" t="n">
        <v>44601</v>
      </c>
      <c r="C176" s="1" t="n">
        <v>45900</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681-2024</t>
        </is>
      </c>
      <c r="B177" s="1" t="n">
        <v>45300</v>
      </c>
      <c r="C177" s="1" t="n">
        <v>45900</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13169-2024</t>
        </is>
      </c>
      <c r="B178" s="1" t="n">
        <v>45386.40489583334</v>
      </c>
      <c r="C178" s="1" t="n">
        <v>45900</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45029-2020</t>
        </is>
      </c>
      <c r="B179" s="1" t="n">
        <v>44088</v>
      </c>
      <c r="C179" s="1" t="n">
        <v>45900</v>
      </c>
      <c r="D179" t="inlineStr">
        <is>
          <t>ÖREBRO LÄN</t>
        </is>
      </c>
      <c r="E179" t="inlineStr">
        <is>
          <t>ÖREBRO</t>
        </is>
      </c>
      <c r="G179" t="n">
        <v>3.8</v>
      </c>
      <c r="H179" t="n">
        <v>0</v>
      </c>
      <c r="I179" t="n">
        <v>0</v>
      </c>
      <c r="J179" t="n">
        <v>0</v>
      </c>
      <c r="K179" t="n">
        <v>0</v>
      </c>
      <c r="L179" t="n">
        <v>0</v>
      </c>
      <c r="M179" t="n">
        <v>0</v>
      </c>
      <c r="N179" t="n">
        <v>0</v>
      </c>
      <c r="O179" t="n">
        <v>0</v>
      </c>
      <c r="P179" t="n">
        <v>0</v>
      </c>
      <c r="Q179" t="n">
        <v>0</v>
      </c>
      <c r="R179" s="2" t="inlineStr"/>
    </row>
    <row r="180" ht="15" customHeight="1">
      <c r="A180" t="inlineStr">
        <is>
          <t>A 58277-2022</t>
        </is>
      </c>
      <c r="B180" s="1" t="n">
        <v>44901.48108796297</v>
      </c>
      <c r="C180" s="1" t="n">
        <v>45900</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5762-2025</t>
        </is>
      </c>
      <c r="B181" s="1" t="n">
        <v>45694.57181712963</v>
      </c>
      <c r="C181" s="1" t="n">
        <v>45900</v>
      </c>
      <c r="D181" t="inlineStr">
        <is>
          <t>ÖREBRO LÄN</t>
        </is>
      </c>
      <c r="E181" t="inlineStr">
        <is>
          <t>ÖREBRO</t>
        </is>
      </c>
      <c r="F181" t="inlineStr">
        <is>
          <t>Övriga Aktiebolag</t>
        </is>
      </c>
      <c r="G181" t="n">
        <v>1.5</v>
      </c>
      <c r="H181" t="n">
        <v>0</v>
      </c>
      <c r="I181" t="n">
        <v>0</v>
      </c>
      <c r="J181" t="n">
        <v>0</v>
      </c>
      <c r="K181" t="n">
        <v>0</v>
      </c>
      <c r="L181" t="n">
        <v>0</v>
      </c>
      <c r="M181" t="n">
        <v>0</v>
      </c>
      <c r="N181" t="n">
        <v>0</v>
      </c>
      <c r="O181" t="n">
        <v>0</v>
      </c>
      <c r="P181" t="n">
        <v>0</v>
      </c>
      <c r="Q181" t="n">
        <v>0</v>
      </c>
      <c r="R181" s="2" t="inlineStr"/>
    </row>
    <row r="182" ht="15" customHeight="1">
      <c r="A182" t="inlineStr">
        <is>
          <t>A 31906-2023</t>
        </is>
      </c>
      <c r="B182" s="1" t="n">
        <v>45118.8353125</v>
      </c>
      <c r="C182" s="1" t="n">
        <v>45900</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19978-2025</t>
        </is>
      </c>
      <c r="B183" s="1" t="n">
        <v>45771.7062037037</v>
      </c>
      <c r="C183" s="1" t="n">
        <v>45900</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5125-2024</t>
        </is>
      </c>
      <c r="B184" s="1" t="n">
        <v>45330</v>
      </c>
      <c r="C184" s="1" t="n">
        <v>45900</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14234-2024</t>
        </is>
      </c>
      <c r="B185" s="1" t="n">
        <v>45393.46980324074</v>
      </c>
      <c r="C185" s="1" t="n">
        <v>45900</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52256-2023</t>
        </is>
      </c>
      <c r="B186" s="1" t="n">
        <v>45224.51471064815</v>
      </c>
      <c r="C186" s="1" t="n">
        <v>45900</v>
      </c>
      <c r="D186" t="inlineStr">
        <is>
          <t>ÖREBRO LÄN</t>
        </is>
      </c>
      <c r="E186" t="inlineStr">
        <is>
          <t>ÖREBRO</t>
        </is>
      </c>
      <c r="G186" t="n">
        <v>2.8</v>
      </c>
      <c r="H186" t="n">
        <v>0</v>
      </c>
      <c r="I186" t="n">
        <v>0</v>
      </c>
      <c r="J186" t="n">
        <v>0</v>
      </c>
      <c r="K186" t="n">
        <v>0</v>
      </c>
      <c r="L186" t="n">
        <v>0</v>
      </c>
      <c r="M186" t="n">
        <v>0</v>
      </c>
      <c r="N186" t="n">
        <v>0</v>
      </c>
      <c r="O186" t="n">
        <v>0</v>
      </c>
      <c r="P186" t="n">
        <v>0</v>
      </c>
      <c r="Q186" t="n">
        <v>0</v>
      </c>
      <c r="R186" s="2" t="inlineStr"/>
    </row>
    <row r="187" ht="15" customHeight="1">
      <c r="A187" t="inlineStr">
        <is>
          <t>A 6387-2021</t>
        </is>
      </c>
      <c r="B187" s="1" t="n">
        <v>44235</v>
      </c>
      <c r="C187" s="1" t="n">
        <v>45900</v>
      </c>
      <c r="D187" t="inlineStr">
        <is>
          <t>ÖREBRO LÄN</t>
        </is>
      </c>
      <c r="E187" t="inlineStr">
        <is>
          <t>ÖREBRO</t>
        </is>
      </c>
      <c r="G187" t="n">
        <v>1.1</v>
      </c>
      <c r="H187" t="n">
        <v>0</v>
      </c>
      <c r="I187" t="n">
        <v>0</v>
      </c>
      <c r="J187" t="n">
        <v>0</v>
      </c>
      <c r="K187" t="n">
        <v>0</v>
      </c>
      <c r="L187" t="n">
        <v>0</v>
      </c>
      <c r="M187" t="n">
        <v>0</v>
      </c>
      <c r="N187" t="n">
        <v>0</v>
      </c>
      <c r="O187" t="n">
        <v>0</v>
      </c>
      <c r="P187" t="n">
        <v>0</v>
      </c>
      <c r="Q187" t="n">
        <v>0</v>
      </c>
      <c r="R187" s="2" t="inlineStr"/>
    </row>
    <row r="188" ht="15" customHeight="1">
      <c r="A188" t="inlineStr">
        <is>
          <t>A 62794-2021</t>
        </is>
      </c>
      <c r="B188" s="1" t="n">
        <v>44504</v>
      </c>
      <c r="C188" s="1" t="n">
        <v>45900</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52612-2024</t>
        </is>
      </c>
      <c r="B189" s="1" t="n">
        <v>45609</v>
      </c>
      <c r="C189" s="1" t="n">
        <v>45900</v>
      </c>
      <c r="D189" t="inlineStr">
        <is>
          <t>ÖREBRO LÄN</t>
        </is>
      </c>
      <c r="E189" t="inlineStr">
        <is>
          <t>ÖREBRO</t>
        </is>
      </c>
      <c r="F189" t="inlineStr">
        <is>
          <t>Kommuner</t>
        </is>
      </c>
      <c r="G189" t="n">
        <v>5.5</v>
      </c>
      <c r="H189" t="n">
        <v>0</v>
      </c>
      <c r="I189" t="n">
        <v>0</v>
      </c>
      <c r="J189" t="n">
        <v>0</v>
      </c>
      <c r="K189" t="n">
        <v>0</v>
      </c>
      <c r="L189" t="n">
        <v>0</v>
      </c>
      <c r="M189" t="n">
        <v>0</v>
      </c>
      <c r="N189" t="n">
        <v>0</v>
      </c>
      <c r="O189" t="n">
        <v>0</v>
      </c>
      <c r="P189" t="n">
        <v>0</v>
      </c>
      <c r="Q189" t="n">
        <v>0</v>
      </c>
      <c r="R189" s="2" t="inlineStr"/>
    </row>
    <row r="190" ht="15" customHeight="1">
      <c r="A190" t="inlineStr">
        <is>
          <t>A 5795-2024</t>
        </is>
      </c>
      <c r="B190" s="1" t="n">
        <v>45335.4531712963</v>
      </c>
      <c r="C190" s="1" t="n">
        <v>45900</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37771-2024</t>
        </is>
      </c>
      <c r="B191" s="1" t="n">
        <v>45542.31359953704</v>
      </c>
      <c r="C191" s="1" t="n">
        <v>45900</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15652-2025</t>
        </is>
      </c>
      <c r="B192" s="1" t="n">
        <v>45748</v>
      </c>
      <c r="C192" s="1" t="n">
        <v>45900</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10937-2024</t>
        </is>
      </c>
      <c r="B193" s="1" t="n">
        <v>45370.44461805555</v>
      </c>
      <c r="C193" s="1" t="n">
        <v>45900</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22079-2023</t>
        </is>
      </c>
      <c r="B194" s="1" t="n">
        <v>45069</v>
      </c>
      <c r="C194" s="1" t="n">
        <v>45900</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2076-2025</t>
        </is>
      </c>
      <c r="B195" s="1" t="n">
        <v>45672</v>
      </c>
      <c r="C195" s="1" t="n">
        <v>45900</v>
      </c>
      <c r="D195" t="inlineStr">
        <is>
          <t>ÖREBRO LÄN</t>
        </is>
      </c>
      <c r="E195" t="inlineStr">
        <is>
          <t>ÖREBRO</t>
        </is>
      </c>
      <c r="G195" t="n">
        <v>1</v>
      </c>
      <c r="H195" t="n">
        <v>0</v>
      </c>
      <c r="I195" t="n">
        <v>0</v>
      </c>
      <c r="J195" t="n">
        <v>0</v>
      </c>
      <c r="K195" t="n">
        <v>0</v>
      </c>
      <c r="L195" t="n">
        <v>0</v>
      </c>
      <c r="M195" t="n">
        <v>0</v>
      </c>
      <c r="N195" t="n">
        <v>0</v>
      </c>
      <c r="O195" t="n">
        <v>0</v>
      </c>
      <c r="P195" t="n">
        <v>0</v>
      </c>
      <c r="Q195" t="n">
        <v>0</v>
      </c>
      <c r="R195" s="2" t="inlineStr"/>
    </row>
    <row r="196" ht="15" customHeight="1">
      <c r="A196" t="inlineStr">
        <is>
          <t>A 52447-2024</t>
        </is>
      </c>
      <c r="B196" s="1" t="n">
        <v>45609.49157407408</v>
      </c>
      <c r="C196" s="1" t="n">
        <v>45900</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55593-2022</t>
        </is>
      </c>
      <c r="B197" s="1" t="n">
        <v>44888</v>
      </c>
      <c r="C197" s="1" t="n">
        <v>45900</v>
      </c>
      <c r="D197" t="inlineStr">
        <is>
          <t>ÖREBRO LÄN</t>
        </is>
      </c>
      <c r="E197" t="inlineStr">
        <is>
          <t>ÖREBRO</t>
        </is>
      </c>
      <c r="G197" t="n">
        <v>3.6</v>
      </c>
      <c r="H197" t="n">
        <v>0</v>
      </c>
      <c r="I197" t="n">
        <v>0</v>
      </c>
      <c r="J197" t="n">
        <v>0</v>
      </c>
      <c r="K197" t="n">
        <v>0</v>
      </c>
      <c r="L197" t="n">
        <v>0</v>
      </c>
      <c r="M197" t="n">
        <v>0</v>
      </c>
      <c r="N197" t="n">
        <v>0</v>
      </c>
      <c r="O197" t="n">
        <v>0</v>
      </c>
      <c r="P197" t="n">
        <v>0</v>
      </c>
      <c r="Q197" t="n">
        <v>0</v>
      </c>
      <c r="R197" s="2" t="inlineStr"/>
    </row>
    <row r="198" ht="15" customHeight="1">
      <c r="A198" t="inlineStr">
        <is>
          <t>A 14960-2025</t>
        </is>
      </c>
      <c r="B198" s="1" t="n">
        <v>45743.5853125</v>
      </c>
      <c r="C198" s="1" t="n">
        <v>45900</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60022-2024</t>
        </is>
      </c>
      <c r="B199" s="1" t="n">
        <v>45642</v>
      </c>
      <c r="C199" s="1" t="n">
        <v>45900</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50446-2023</t>
        </is>
      </c>
      <c r="B200" s="1" t="n">
        <v>45216</v>
      </c>
      <c r="C200" s="1" t="n">
        <v>45900</v>
      </c>
      <c r="D200" t="inlineStr">
        <is>
          <t>ÖREBRO LÄN</t>
        </is>
      </c>
      <c r="E200" t="inlineStr">
        <is>
          <t>ÖREBRO</t>
        </is>
      </c>
      <c r="F200" t="inlineStr">
        <is>
          <t>Övriga Aktiebolag</t>
        </is>
      </c>
      <c r="G200" t="n">
        <v>2.8</v>
      </c>
      <c r="H200" t="n">
        <v>0</v>
      </c>
      <c r="I200" t="n">
        <v>0</v>
      </c>
      <c r="J200" t="n">
        <v>0</v>
      </c>
      <c r="K200" t="n">
        <v>0</v>
      </c>
      <c r="L200" t="n">
        <v>0</v>
      </c>
      <c r="M200" t="n">
        <v>0</v>
      </c>
      <c r="N200" t="n">
        <v>0</v>
      </c>
      <c r="O200" t="n">
        <v>0</v>
      </c>
      <c r="P200" t="n">
        <v>0</v>
      </c>
      <c r="Q200" t="n">
        <v>0</v>
      </c>
      <c r="R200" s="2" t="inlineStr"/>
    </row>
    <row r="201" ht="15" customHeight="1">
      <c r="A201" t="inlineStr">
        <is>
          <t>A 50450-2023</t>
        </is>
      </c>
      <c r="B201" s="1" t="n">
        <v>45216.73533564815</v>
      </c>
      <c r="C201" s="1" t="n">
        <v>45900</v>
      </c>
      <c r="D201" t="inlineStr">
        <is>
          <t>ÖREBRO LÄN</t>
        </is>
      </c>
      <c r="E201" t="inlineStr">
        <is>
          <t>ÖREBRO</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3841-2023</t>
        </is>
      </c>
      <c r="B202" s="1" t="n">
        <v>44951</v>
      </c>
      <c r="C202" s="1" t="n">
        <v>45900</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43612-2022</t>
        </is>
      </c>
      <c r="B203" s="1" t="n">
        <v>44837</v>
      </c>
      <c r="C203" s="1" t="n">
        <v>45900</v>
      </c>
      <c r="D203" t="inlineStr">
        <is>
          <t>ÖREBRO LÄN</t>
        </is>
      </c>
      <c r="E203" t="inlineStr">
        <is>
          <t>ÖREBRO</t>
        </is>
      </c>
      <c r="G203" t="n">
        <v>0.6</v>
      </c>
      <c r="H203" t="n">
        <v>0</v>
      </c>
      <c r="I203" t="n">
        <v>0</v>
      </c>
      <c r="J203" t="n">
        <v>0</v>
      </c>
      <c r="K203" t="n">
        <v>0</v>
      </c>
      <c r="L203" t="n">
        <v>0</v>
      </c>
      <c r="M203" t="n">
        <v>0</v>
      </c>
      <c r="N203" t="n">
        <v>0</v>
      </c>
      <c r="O203" t="n">
        <v>0</v>
      </c>
      <c r="P203" t="n">
        <v>0</v>
      </c>
      <c r="Q203" t="n">
        <v>0</v>
      </c>
      <c r="R203" s="2" t="inlineStr"/>
    </row>
    <row r="204" ht="15" customHeight="1">
      <c r="A204" t="inlineStr">
        <is>
          <t>A 21097-2025</t>
        </is>
      </c>
      <c r="B204" s="1" t="n">
        <v>45777.63863425926</v>
      </c>
      <c r="C204" s="1" t="n">
        <v>45900</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22510-2024</t>
        </is>
      </c>
      <c r="B205" s="1" t="n">
        <v>45447.37440972222</v>
      </c>
      <c r="C205" s="1" t="n">
        <v>45900</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45900</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34874-2022</t>
        </is>
      </c>
      <c r="B207" s="1" t="n">
        <v>44796</v>
      </c>
      <c r="C207" s="1" t="n">
        <v>45900</v>
      </c>
      <c r="D207" t="inlineStr">
        <is>
          <t>ÖREBRO LÄN</t>
        </is>
      </c>
      <c r="E207" t="inlineStr">
        <is>
          <t>ÖREBRO</t>
        </is>
      </c>
      <c r="F207" t="inlineStr">
        <is>
          <t>Övriga Aktiebolag</t>
        </is>
      </c>
      <c r="G207" t="n">
        <v>2.3</v>
      </c>
      <c r="H207" t="n">
        <v>0</v>
      </c>
      <c r="I207" t="n">
        <v>0</v>
      </c>
      <c r="J207" t="n">
        <v>0</v>
      </c>
      <c r="K207" t="n">
        <v>0</v>
      </c>
      <c r="L207" t="n">
        <v>0</v>
      </c>
      <c r="M207" t="n">
        <v>0</v>
      </c>
      <c r="N207" t="n">
        <v>0</v>
      </c>
      <c r="O207" t="n">
        <v>0</v>
      </c>
      <c r="P207" t="n">
        <v>0</v>
      </c>
      <c r="Q207" t="n">
        <v>0</v>
      </c>
      <c r="R207" s="2" t="inlineStr"/>
    </row>
    <row r="208" ht="15" customHeight="1">
      <c r="A208" t="inlineStr">
        <is>
          <t>A 38489-2023</t>
        </is>
      </c>
      <c r="B208" s="1" t="n">
        <v>45162</v>
      </c>
      <c r="C208" s="1" t="n">
        <v>45900</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61593-2023</t>
        </is>
      </c>
      <c r="B209" s="1" t="n">
        <v>45265</v>
      </c>
      <c r="C209" s="1" t="n">
        <v>45900</v>
      </c>
      <c r="D209" t="inlineStr">
        <is>
          <t>ÖREBRO LÄN</t>
        </is>
      </c>
      <c r="E209" t="inlineStr">
        <is>
          <t>ÖREBRO</t>
        </is>
      </c>
      <c r="G209" t="n">
        <v>2.5</v>
      </c>
      <c r="H209" t="n">
        <v>0</v>
      </c>
      <c r="I209" t="n">
        <v>0</v>
      </c>
      <c r="J209" t="n">
        <v>0</v>
      </c>
      <c r="K209" t="n">
        <v>0</v>
      </c>
      <c r="L209" t="n">
        <v>0</v>
      </c>
      <c r="M209" t="n">
        <v>0</v>
      </c>
      <c r="N209" t="n">
        <v>0</v>
      </c>
      <c r="O209" t="n">
        <v>0</v>
      </c>
      <c r="P209" t="n">
        <v>0</v>
      </c>
      <c r="Q209" t="n">
        <v>0</v>
      </c>
      <c r="R209" s="2" t="inlineStr"/>
    </row>
    <row r="210" ht="15" customHeight="1">
      <c r="A210" t="inlineStr">
        <is>
          <t>A 70719-2021</t>
        </is>
      </c>
      <c r="B210" s="1" t="n">
        <v>44537</v>
      </c>
      <c r="C210" s="1" t="n">
        <v>45900</v>
      </c>
      <c r="D210" t="inlineStr">
        <is>
          <t>ÖREBRO LÄN</t>
        </is>
      </c>
      <c r="E210" t="inlineStr">
        <is>
          <t>ÖREBRO</t>
        </is>
      </c>
      <c r="G210" t="n">
        <v>4.3</v>
      </c>
      <c r="H210" t="n">
        <v>0</v>
      </c>
      <c r="I210" t="n">
        <v>0</v>
      </c>
      <c r="J210" t="n">
        <v>0</v>
      </c>
      <c r="K210" t="n">
        <v>0</v>
      </c>
      <c r="L210" t="n">
        <v>0</v>
      </c>
      <c r="M210" t="n">
        <v>0</v>
      </c>
      <c r="N210" t="n">
        <v>0</v>
      </c>
      <c r="O210" t="n">
        <v>0</v>
      </c>
      <c r="P210" t="n">
        <v>0</v>
      </c>
      <c r="Q210" t="n">
        <v>0</v>
      </c>
      <c r="R210" s="2" t="inlineStr"/>
    </row>
    <row r="211" ht="15" customHeight="1">
      <c r="A211" t="inlineStr">
        <is>
          <t>A 38573-2023</t>
        </is>
      </c>
      <c r="B211" s="1" t="n">
        <v>45162.61837962963</v>
      </c>
      <c r="C211" s="1" t="n">
        <v>45900</v>
      </c>
      <c r="D211" t="inlineStr">
        <is>
          <t>ÖREBRO LÄN</t>
        </is>
      </c>
      <c r="E211" t="inlineStr">
        <is>
          <t>ÖREBRO</t>
        </is>
      </c>
      <c r="G211" t="n">
        <v>2.2</v>
      </c>
      <c r="H211" t="n">
        <v>0</v>
      </c>
      <c r="I211" t="n">
        <v>0</v>
      </c>
      <c r="J211" t="n">
        <v>0</v>
      </c>
      <c r="K211" t="n">
        <v>0</v>
      </c>
      <c r="L211" t="n">
        <v>0</v>
      </c>
      <c r="M211" t="n">
        <v>0</v>
      </c>
      <c r="N211" t="n">
        <v>0</v>
      </c>
      <c r="O211" t="n">
        <v>0</v>
      </c>
      <c r="P211" t="n">
        <v>0</v>
      </c>
      <c r="Q211" t="n">
        <v>0</v>
      </c>
      <c r="R211" s="2" t="inlineStr"/>
    </row>
    <row r="212" ht="15" customHeight="1">
      <c r="A212" t="inlineStr">
        <is>
          <t>A 35819-2024</t>
        </is>
      </c>
      <c r="B212" s="1" t="n">
        <v>45532</v>
      </c>
      <c r="C212" s="1" t="n">
        <v>45900</v>
      </c>
      <c r="D212" t="inlineStr">
        <is>
          <t>ÖREBRO LÄN</t>
        </is>
      </c>
      <c r="E212" t="inlineStr">
        <is>
          <t>ÖREBRO</t>
        </is>
      </c>
      <c r="G212" t="n">
        <v>6.4</v>
      </c>
      <c r="H212" t="n">
        <v>0</v>
      </c>
      <c r="I212" t="n">
        <v>0</v>
      </c>
      <c r="J212" t="n">
        <v>0</v>
      </c>
      <c r="K212" t="n">
        <v>0</v>
      </c>
      <c r="L212" t="n">
        <v>0</v>
      </c>
      <c r="M212" t="n">
        <v>0</v>
      </c>
      <c r="N212" t="n">
        <v>0</v>
      </c>
      <c r="O212" t="n">
        <v>0</v>
      </c>
      <c r="P212" t="n">
        <v>0</v>
      </c>
      <c r="Q212" t="n">
        <v>0</v>
      </c>
      <c r="R212" s="2" t="inlineStr"/>
    </row>
    <row r="213" ht="15" customHeight="1">
      <c r="A213" t="inlineStr">
        <is>
          <t>A 21578-2025</t>
        </is>
      </c>
      <c r="B213" s="1" t="n">
        <v>45782.88587962963</v>
      </c>
      <c r="C213" s="1" t="n">
        <v>45900</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4757-2024</t>
        </is>
      </c>
      <c r="B214" s="1" t="n">
        <v>45328</v>
      </c>
      <c r="C214" s="1" t="n">
        <v>45900</v>
      </c>
      <c r="D214" t="inlineStr">
        <is>
          <t>ÖREBRO LÄN</t>
        </is>
      </c>
      <c r="E214" t="inlineStr">
        <is>
          <t>ÖREBRO</t>
        </is>
      </c>
      <c r="G214" t="n">
        <v>1.9</v>
      </c>
      <c r="H214" t="n">
        <v>0</v>
      </c>
      <c r="I214" t="n">
        <v>0</v>
      </c>
      <c r="J214" t="n">
        <v>0</v>
      </c>
      <c r="K214" t="n">
        <v>0</v>
      </c>
      <c r="L214" t="n">
        <v>0</v>
      </c>
      <c r="M214" t="n">
        <v>0</v>
      </c>
      <c r="N214" t="n">
        <v>0</v>
      </c>
      <c r="O214" t="n">
        <v>0</v>
      </c>
      <c r="P214" t="n">
        <v>0</v>
      </c>
      <c r="Q214" t="n">
        <v>0</v>
      </c>
      <c r="R214" s="2" t="inlineStr"/>
    </row>
    <row r="215" ht="15" customHeight="1">
      <c r="A215" t="inlineStr">
        <is>
          <t>A 32076-2023</t>
        </is>
      </c>
      <c r="B215" s="1" t="n">
        <v>45119.58324074074</v>
      </c>
      <c r="C215" s="1" t="n">
        <v>45900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38842-2022</t>
        </is>
      </c>
      <c r="B216" s="1" t="n">
        <v>44814</v>
      </c>
      <c r="C216" s="1" t="n">
        <v>45900</v>
      </c>
      <c r="D216" t="inlineStr">
        <is>
          <t>ÖREBRO LÄN</t>
        </is>
      </c>
      <c r="E216" t="inlineStr">
        <is>
          <t>ÖREBRO</t>
        </is>
      </c>
      <c r="G216" t="n">
        <v>5</v>
      </c>
      <c r="H216" t="n">
        <v>0</v>
      </c>
      <c r="I216" t="n">
        <v>0</v>
      </c>
      <c r="J216" t="n">
        <v>0</v>
      </c>
      <c r="K216" t="n">
        <v>0</v>
      </c>
      <c r="L216" t="n">
        <v>0</v>
      </c>
      <c r="M216" t="n">
        <v>0</v>
      </c>
      <c r="N216" t="n">
        <v>0</v>
      </c>
      <c r="O216" t="n">
        <v>0</v>
      </c>
      <c r="P216" t="n">
        <v>0</v>
      </c>
      <c r="Q216" t="n">
        <v>0</v>
      </c>
      <c r="R216" s="2" t="inlineStr"/>
    </row>
    <row r="217" ht="15" customHeight="1">
      <c r="A217" t="inlineStr">
        <is>
          <t>A 764-2024</t>
        </is>
      </c>
      <c r="B217" s="1" t="n">
        <v>45300.51512731481</v>
      </c>
      <c r="C217" s="1" t="n">
        <v>45900</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48140-2024</t>
        </is>
      </c>
      <c r="B218" s="1" t="n">
        <v>45589.66474537037</v>
      </c>
      <c r="C218" s="1" t="n">
        <v>45900</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2658-2023</t>
        </is>
      </c>
      <c r="B219" s="1" t="n">
        <v>44944</v>
      </c>
      <c r="C219" s="1" t="n">
        <v>45900</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11565-2023</t>
        </is>
      </c>
      <c r="B220" s="1" t="n">
        <v>44994</v>
      </c>
      <c r="C220" s="1" t="n">
        <v>45900</v>
      </c>
      <c r="D220" t="inlineStr">
        <is>
          <t>ÖREBRO LÄN</t>
        </is>
      </c>
      <c r="E220" t="inlineStr">
        <is>
          <t>ÖREBRO</t>
        </is>
      </c>
      <c r="G220" t="n">
        <v>4.7</v>
      </c>
      <c r="H220" t="n">
        <v>0</v>
      </c>
      <c r="I220" t="n">
        <v>0</v>
      </c>
      <c r="J220" t="n">
        <v>0</v>
      </c>
      <c r="K220" t="n">
        <v>0</v>
      </c>
      <c r="L220" t="n">
        <v>0</v>
      </c>
      <c r="M220" t="n">
        <v>0</v>
      </c>
      <c r="N220" t="n">
        <v>0</v>
      </c>
      <c r="O220" t="n">
        <v>0</v>
      </c>
      <c r="P220" t="n">
        <v>0</v>
      </c>
      <c r="Q220" t="n">
        <v>0</v>
      </c>
      <c r="R220" s="2" t="inlineStr"/>
    </row>
    <row r="221" ht="15" customHeight="1">
      <c r="A221" t="inlineStr">
        <is>
          <t>A 16736-2023</t>
        </is>
      </c>
      <c r="B221" s="1" t="n">
        <v>45030.72328703704</v>
      </c>
      <c r="C221" s="1" t="n">
        <v>45900</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40597-2021</t>
        </is>
      </c>
      <c r="B222" s="1" t="n">
        <v>44420</v>
      </c>
      <c r="C222" s="1" t="n">
        <v>45900</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2630-2023</t>
        </is>
      </c>
      <c r="B223" s="1" t="n">
        <v>44944.39105324074</v>
      </c>
      <c r="C223" s="1" t="n">
        <v>45900</v>
      </c>
      <c r="D223" t="inlineStr">
        <is>
          <t>ÖREBRO LÄN</t>
        </is>
      </c>
      <c r="E223" t="inlineStr">
        <is>
          <t>ÖREBRO</t>
        </is>
      </c>
      <c r="G223" t="n">
        <v>6.1</v>
      </c>
      <c r="H223" t="n">
        <v>0</v>
      </c>
      <c r="I223" t="n">
        <v>0</v>
      </c>
      <c r="J223" t="n">
        <v>0</v>
      </c>
      <c r="K223" t="n">
        <v>0</v>
      </c>
      <c r="L223" t="n">
        <v>0</v>
      </c>
      <c r="M223" t="n">
        <v>0</v>
      </c>
      <c r="N223" t="n">
        <v>0</v>
      </c>
      <c r="O223" t="n">
        <v>0</v>
      </c>
      <c r="P223" t="n">
        <v>0</v>
      </c>
      <c r="Q223" t="n">
        <v>0</v>
      </c>
      <c r="R223" s="2" t="inlineStr"/>
    </row>
    <row r="224" ht="15" customHeight="1">
      <c r="A224" t="inlineStr">
        <is>
          <t>A 8575-2021</t>
        </is>
      </c>
      <c r="B224" s="1" t="n">
        <v>44245</v>
      </c>
      <c r="C224" s="1" t="n">
        <v>45900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42636-2023</t>
        </is>
      </c>
      <c r="B225" s="1" t="n">
        <v>45181.49559027778</v>
      </c>
      <c r="C225" s="1" t="n">
        <v>45900</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30015-2023</t>
        </is>
      </c>
      <c r="B226" s="1" t="n">
        <v>45109</v>
      </c>
      <c r="C226" s="1" t="n">
        <v>45900</v>
      </c>
      <c r="D226" t="inlineStr">
        <is>
          <t>ÖREBRO LÄN</t>
        </is>
      </c>
      <c r="E226" t="inlineStr">
        <is>
          <t>ÖREBRO</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58644-2023</t>
        </is>
      </c>
      <c r="B227" s="1" t="n">
        <v>45251.58716435185</v>
      </c>
      <c r="C227" s="1" t="n">
        <v>45900</v>
      </c>
      <c r="D227" t="inlineStr">
        <is>
          <t>ÖREBRO LÄN</t>
        </is>
      </c>
      <c r="E227" t="inlineStr">
        <is>
          <t>ÖREBRO</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26338-2021</t>
        </is>
      </c>
      <c r="B228" s="1" t="n">
        <v>44347</v>
      </c>
      <c r="C228" s="1" t="n">
        <v>45900</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37968-2024</t>
        </is>
      </c>
      <c r="B229" s="1" t="n">
        <v>45544</v>
      </c>
      <c r="C229" s="1" t="n">
        <v>45900</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13418-2024</t>
        </is>
      </c>
      <c r="B230" s="1" t="n">
        <v>45387.46482638889</v>
      </c>
      <c r="C230" s="1" t="n">
        <v>45900</v>
      </c>
      <c r="D230" t="inlineStr">
        <is>
          <t>ÖREBRO LÄN</t>
        </is>
      </c>
      <c r="E230" t="inlineStr">
        <is>
          <t>ÖREBRO</t>
        </is>
      </c>
      <c r="G230" t="n">
        <v>4.2</v>
      </c>
      <c r="H230" t="n">
        <v>0</v>
      </c>
      <c r="I230" t="n">
        <v>0</v>
      </c>
      <c r="J230" t="n">
        <v>0</v>
      </c>
      <c r="K230" t="n">
        <v>0</v>
      </c>
      <c r="L230" t="n">
        <v>0</v>
      </c>
      <c r="M230" t="n">
        <v>0</v>
      </c>
      <c r="N230" t="n">
        <v>0</v>
      </c>
      <c r="O230" t="n">
        <v>0</v>
      </c>
      <c r="P230" t="n">
        <v>0</v>
      </c>
      <c r="Q230" t="n">
        <v>0</v>
      </c>
      <c r="R230" s="2" t="inlineStr"/>
    </row>
    <row r="231" ht="15" customHeight="1">
      <c r="A231" t="inlineStr">
        <is>
          <t>A 71266-2021</t>
        </is>
      </c>
      <c r="B231" s="1" t="n">
        <v>44539</v>
      </c>
      <c r="C231" s="1" t="n">
        <v>45900</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71267-2021</t>
        </is>
      </c>
      <c r="B232" s="1" t="n">
        <v>44539</v>
      </c>
      <c r="C232" s="1" t="n">
        <v>45900</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71280-2021</t>
        </is>
      </c>
      <c r="B233" s="1" t="n">
        <v>44539</v>
      </c>
      <c r="C233" s="1" t="n">
        <v>45900</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21338-2025</t>
        </is>
      </c>
      <c r="B234" s="1" t="n">
        <v>45780</v>
      </c>
      <c r="C234" s="1" t="n">
        <v>45900</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31326-2024</t>
        </is>
      </c>
      <c r="B235" s="1" t="n">
        <v>45504.5934375</v>
      </c>
      <c r="C235" s="1" t="n">
        <v>45900</v>
      </c>
      <c r="D235" t="inlineStr">
        <is>
          <t>ÖREBRO LÄN</t>
        </is>
      </c>
      <c r="E235" t="inlineStr">
        <is>
          <t>ÖREBRO</t>
        </is>
      </c>
      <c r="G235" t="n">
        <v>6.4</v>
      </c>
      <c r="H235" t="n">
        <v>0</v>
      </c>
      <c r="I235" t="n">
        <v>0</v>
      </c>
      <c r="J235" t="n">
        <v>0</v>
      </c>
      <c r="K235" t="n">
        <v>0</v>
      </c>
      <c r="L235" t="n">
        <v>0</v>
      </c>
      <c r="M235" t="n">
        <v>0</v>
      </c>
      <c r="N235" t="n">
        <v>0</v>
      </c>
      <c r="O235" t="n">
        <v>0</v>
      </c>
      <c r="P235" t="n">
        <v>0</v>
      </c>
      <c r="Q235" t="n">
        <v>0</v>
      </c>
      <c r="R235" s="2" t="inlineStr"/>
    </row>
    <row r="236" ht="15" customHeight="1">
      <c r="A236" t="inlineStr">
        <is>
          <t>A 48581-2024</t>
        </is>
      </c>
      <c r="B236" s="1" t="n">
        <v>45593.41642361111</v>
      </c>
      <c r="C236" s="1" t="n">
        <v>45900</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22755-2025</t>
        </is>
      </c>
      <c r="B237" s="1" t="n">
        <v>45789.61872685186</v>
      </c>
      <c r="C237" s="1" t="n">
        <v>45900</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44199-2024</t>
        </is>
      </c>
      <c r="B238" s="1" t="n">
        <v>45573</v>
      </c>
      <c r="C238" s="1" t="n">
        <v>45900</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34336-2024</t>
        </is>
      </c>
      <c r="B239" s="1" t="n">
        <v>45524.94774305556</v>
      </c>
      <c r="C239" s="1" t="n">
        <v>45900</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26443-2024</t>
        </is>
      </c>
      <c r="B240" s="1" t="n">
        <v>45469.49901620371</v>
      </c>
      <c r="C240" s="1" t="n">
        <v>45900</v>
      </c>
      <c r="D240" t="inlineStr">
        <is>
          <t>ÖREBRO LÄN</t>
        </is>
      </c>
      <c r="E240" t="inlineStr">
        <is>
          <t>ÖREBRO</t>
        </is>
      </c>
      <c r="G240" t="n">
        <v>5.7</v>
      </c>
      <c r="H240" t="n">
        <v>0</v>
      </c>
      <c r="I240" t="n">
        <v>0</v>
      </c>
      <c r="J240" t="n">
        <v>0</v>
      </c>
      <c r="K240" t="n">
        <v>0</v>
      </c>
      <c r="L240" t="n">
        <v>0</v>
      </c>
      <c r="M240" t="n">
        <v>0</v>
      </c>
      <c r="N240" t="n">
        <v>0</v>
      </c>
      <c r="O240" t="n">
        <v>0</v>
      </c>
      <c r="P240" t="n">
        <v>0</v>
      </c>
      <c r="Q240" t="n">
        <v>0</v>
      </c>
      <c r="R240" s="2" t="inlineStr"/>
    </row>
    <row r="241" ht="15" customHeight="1">
      <c r="A241" t="inlineStr">
        <is>
          <t>A 35477-2024</t>
        </is>
      </c>
      <c r="B241" s="1" t="n">
        <v>45531</v>
      </c>
      <c r="C241" s="1" t="n">
        <v>45900</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47047-2022</t>
        </is>
      </c>
      <c r="B242" s="1" t="n">
        <v>44852.39063657408</v>
      </c>
      <c r="C242" s="1" t="n">
        <v>45900</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22719-2025</t>
        </is>
      </c>
      <c r="B243" s="1" t="n">
        <v>45789</v>
      </c>
      <c r="C243" s="1" t="n">
        <v>45900</v>
      </c>
      <c r="D243" t="inlineStr">
        <is>
          <t>ÖREBRO LÄN</t>
        </is>
      </c>
      <c r="E243" t="inlineStr">
        <is>
          <t>ÖREBRO</t>
        </is>
      </c>
      <c r="G243" t="n">
        <v>1.5</v>
      </c>
      <c r="H243" t="n">
        <v>0</v>
      </c>
      <c r="I243" t="n">
        <v>0</v>
      </c>
      <c r="J243" t="n">
        <v>0</v>
      </c>
      <c r="K243" t="n">
        <v>0</v>
      </c>
      <c r="L243" t="n">
        <v>0</v>
      </c>
      <c r="M243" t="n">
        <v>0</v>
      </c>
      <c r="N243" t="n">
        <v>0</v>
      </c>
      <c r="O243" t="n">
        <v>0</v>
      </c>
      <c r="P243" t="n">
        <v>0</v>
      </c>
      <c r="Q243" t="n">
        <v>0</v>
      </c>
      <c r="R243" s="2" t="inlineStr"/>
    </row>
    <row r="244" ht="15" customHeight="1">
      <c r="A244" t="inlineStr">
        <is>
          <t>A 21036-2024</t>
        </is>
      </c>
      <c r="B244" s="1" t="n">
        <v>45439.65954861111</v>
      </c>
      <c r="C244" s="1" t="n">
        <v>45900</v>
      </c>
      <c r="D244" t="inlineStr">
        <is>
          <t>ÖREBRO LÄN</t>
        </is>
      </c>
      <c r="E244" t="inlineStr">
        <is>
          <t>ÖREBRO</t>
        </is>
      </c>
      <c r="F244" t="inlineStr">
        <is>
          <t>Övriga Aktiebolag</t>
        </is>
      </c>
      <c r="G244" t="n">
        <v>5.7</v>
      </c>
      <c r="H244" t="n">
        <v>0</v>
      </c>
      <c r="I244" t="n">
        <v>0</v>
      </c>
      <c r="J244" t="n">
        <v>0</v>
      </c>
      <c r="K244" t="n">
        <v>0</v>
      </c>
      <c r="L244" t="n">
        <v>0</v>
      </c>
      <c r="M244" t="n">
        <v>0</v>
      </c>
      <c r="N244" t="n">
        <v>0</v>
      </c>
      <c r="O244" t="n">
        <v>0</v>
      </c>
      <c r="P244" t="n">
        <v>0</v>
      </c>
      <c r="Q244" t="n">
        <v>0</v>
      </c>
      <c r="R244" s="2" t="inlineStr"/>
    </row>
    <row r="245" ht="15" customHeight="1">
      <c r="A245" t="inlineStr">
        <is>
          <t>A 30316-2024</t>
        </is>
      </c>
      <c r="B245" s="1" t="n">
        <v>45490</v>
      </c>
      <c r="C245" s="1" t="n">
        <v>45900</v>
      </c>
      <c r="D245" t="inlineStr">
        <is>
          <t>ÖREBRO LÄN</t>
        </is>
      </c>
      <c r="E245" t="inlineStr">
        <is>
          <t>ÖREBRO</t>
        </is>
      </c>
      <c r="G245" t="n">
        <v>5.5</v>
      </c>
      <c r="H245" t="n">
        <v>0</v>
      </c>
      <c r="I245" t="n">
        <v>0</v>
      </c>
      <c r="J245" t="n">
        <v>0</v>
      </c>
      <c r="K245" t="n">
        <v>0</v>
      </c>
      <c r="L245" t="n">
        <v>0</v>
      </c>
      <c r="M245" t="n">
        <v>0</v>
      </c>
      <c r="N245" t="n">
        <v>0</v>
      </c>
      <c r="O245" t="n">
        <v>0</v>
      </c>
      <c r="P245" t="n">
        <v>0</v>
      </c>
      <c r="Q245" t="n">
        <v>0</v>
      </c>
      <c r="R245" s="2" t="inlineStr"/>
    </row>
    <row r="246" ht="15" customHeight="1">
      <c r="A246" t="inlineStr">
        <is>
          <t>A 38790-2024</t>
        </is>
      </c>
      <c r="B246" s="1" t="n">
        <v>45547.48450231482</v>
      </c>
      <c r="C246" s="1" t="n">
        <v>45900</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61279-2024</t>
        </is>
      </c>
      <c r="B247" s="1" t="n">
        <v>45645</v>
      </c>
      <c r="C247" s="1" t="n">
        <v>45900</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71269-2021</t>
        </is>
      </c>
      <c r="B248" s="1" t="n">
        <v>44539</v>
      </c>
      <c r="C248" s="1" t="n">
        <v>45900</v>
      </c>
      <c r="D248" t="inlineStr">
        <is>
          <t>ÖREBRO LÄN</t>
        </is>
      </c>
      <c r="E248" t="inlineStr">
        <is>
          <t>ÖREBRO</t>
        </is>
      </c>
      <c r="G248" t="n">
        <v>1.4</v>
      </c>
      <c r="H248" t="n">
        <v>0</v>
      </c>
      <c r="I248" t="n">
        <v>0</v>
      </c>
      <c r="J248" t="n">
        <v>0</v>
      </c>
      <c r="K248" t="n">
        <v>0</v>
      </c>
      <c r="L248" t="n">
        <v>0</v>
      </c>
      <c r="M248" t="n">
        <v>0</v>
      </c>
      <c r="N248" t="n">
        <v>0</v>
      </c>
      <c r="O248" t="n">
        <v>0</v>
      </c>
      <c r="P248" t="n">
        <v>0</v>
      </c>
      <c r="Q248" t="n">
        <v>0</v>
      </c>
      <c r="R248" s="2" t="inlineStr"/>
    </row>
    <row r="249" ht="15" customHeight="1">
      <c r="A249" t="inlineStr">
        <is>
          <t>A 15555-2025</t>
        </is>
      </c>
      <c r="B249" s="1" t="n">
        <v>45747.67768518518</v>
      </c>
      <c r="C249" s="1" t="n">
        <v>45900</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22045-2024</t>
        </is>
      </c>
      <c r="B250" s="1" t="n">
        <v>45443.61171296296</v>
      </c>
      <c r="C250" s="1" t="n">
        <v>45900</v>
      </c>
      <c r="D250" t="inlineStr">
        <is>
          <t>ÖREBRO LÄN</t>
        </is>
      </c>
      <c r="E250" t="inlineStr">
        <is>
          <t>ÖREBRO</t>
        </is>
      </c>
      <c r="F250" t="inlineStr">
        <is>
          <t>Övriga Aktiebolag</t>
        </is>
      </c>
      <c r="G250" t="n">
        <v>0.9</v>
      </c>
      <c r="H250" t="n">
        <v>0</v>
      </c>
      <c r="I250" t="n">
        <v>0</v>
      </c>
      <c r="J250" t="n">
        <v>0</v>
      </c>
      <c r="K250" t="n">
        <v>0</v>
      </c>
      <c r="L250" t="n">
        <v>0</v>
      </c>
      <c r="M250" t="n">
        <v>0</v>
      </c>
      <c r="N250" t="n">
        <v>0</v>
      </c>
      <c r="O250" t="n">
        <v>0</v>
      </c>
      <c r="P250" t="n">
        <v>0</v>
      </c>
      <c r="Q250" t="n">
        <v>0</v>
      </c>
      <c r="R250" s="2" t="inlineStr"/>
    </row>
    <row r="251" ht="15" customHeight="1">
      <c r="A251" t="inlineStr">
        <is>
          <t>A 58684-2023</t>
        </is>
      </c>
      <c r="B251" s="1" t="n">
        <v>45251</v>
      </c>
      <c r="C251" s="1" t="n">
        <v>45900</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38898-2023</t>
        </is>
      </c>
      <c r="B252" s="1" t="n">
        <v>45163</v>
      </c>
      <c r="C252" s="1" t="n">
        <v>45900</v>
      </c>
      <c r="D252" t="inlineStr">
        <is>
          <t>ÖREBRO LÄN</t>
        </is>
      </c>
      <c r="E252" t="inlineStr">
        <is>
          <t>ÖREBRO</t>
        </is>
      </c>
      <c r="G252" t="n">
        <v>5.1</v>
      </c>
      <c r="H252" t="n">
        <v>0</v>
      </c>
      <c r="I252" t="n">
        <v>0</v>
      </c>
      <c r="J252" t="n">
        <v>0</v>
      </c>
      <c r="K252" t="n">
        <v>0</v>
      </c>
      <c r="L252" t="n">
        <v>0</v>
      </c>
      <c r="M252" t="n">
        <v>0</v>
      </c>
      <c r="N252" t="n">
        <v>0</v>
      </c>
      <c r="O252" t="n">
        <v>0</v>
      </c>
      <c r="P252" t="n">
        <v>0</v>
      </c>
      <c r="Q252" t="n">
        <v>0</v>
      </c>
      <c r="R252" s="2" t="inlineStr"/>
    </row>
    <row r="253" ht="15" customHeight="1">
      <c r="A253" t="inlineStr">
        <is>
          <t>A 5136-2024</t>
        </is>
      </c>
      <c r="B253" s="1" t="n">
        <v>45330</v>
      </c>
      <c r="C253" s="1" t="n">
        <v>45900</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13321-2024</t>
        </is>
      </c>
      <c r="B254" s="1" t="n">
        <v>45386.83142361111</v>
      </c>
      <c r="C254" s="1" t="n">
        <v>45900</v>
      </c>
      <c r="D254" t="inlineStr">
        <is>
          <t>ÖREBRO LÄN</t>
        </is>
      </c>
      <c r="E254" t="inlineStr">
        <is>
          <t>ÖREBRO</t>
        </is>
      </c>
      <c r="G254" t="n">
        <v>13.1</v>
      </c>
      <c r="H254" t="n">
        <v>0</v>
      </c>
      <c r="I254" t="n">
        <v>0</v>
      </c>
      <c r="J254" t="n">
        <v>0</v>
      </c>
      <c r="K254" t="n">
        <v>0</v>
      </c>
      <c r="L254" t="n">
        <v>0</v>
      </c>
      <c r="M254" t="n">
        <v>0</v>
      </c>
      <c r="N254" t="n">
        <v>0</v>
      </c>
      <c r="O254" t="n">
        <v>0</v>
      </c>
      <c r="P254" t="n">
        <v>0</v>
      </c>
      <c r="Q254" t="n">
        <v>0</v>
      </c>
      <c r="R254" s="2" t="inlineStr"/>
    </row>
    <row r="255" ht="15" customHeight="1">
      <c r="A255" t="inlineStr">
        <is>
          <t>A 38583-2023</t>
        </is>
      </c>
      <c r="B255" s="1" t="n">
        <v>45162.62861111111</v>
      </c>
      <c r="C255" s="1" t="n">
        <v>45900</v>
      </c>
      <c r="D255" t="inlineStr">
        <is>
          <t>ÖREBRO LÄN</t>
        </is>
      </c>
      <c r="E255" t="inlineStr">
        <is>
          <t>ÖREBRO</t>
        </is>
      </c>
      <c r="G255" t="n">
        <v>5.7</v>
      </c>
      <c r="H255" t="n">
        <v>0</v>
      </c>
      <c r="I255" t="n">
        <v>0</v>
      </c>
      <c r="J255" t="n">
        <v>0</v>
      </c>
      <c r="K255" t="n">
        <v>0</v>
      </c>
      <c r="L255" t="n">
        <v>0</v>
      </c>
      <c r="M255" t="n">
        <v>0</v>
      </c>
      <c r="N255" t="n">
        <v>0</v>
      </c>
      <c r="O255" t="n">
        <v>0</v>
      </c>
      <c r="P255" t="n">
        <v>0</v>
      </c>
      <c r="Q255" t="n">
        <v>0</v>
      </c>
      <c r="R255" s="2" t="inlineStr"/>
    </row>
    <row r="256" ht="15" customHeight="1">
      <c r="A256" t="inlineStr">
        <is>
          <t>A 14291-2023</t>
        </is>
      </c>
      <c r="B256" s="1" t="n">
        <v>45010</v>
      </c>
      <c r="C256" s="1" t="n">
        <v>45900</v>
      </c>
      <c r="D256" t="inlineStr">
        <is>
          <t>ÖREBRO LÄN</t>
        </is>
      </c>
      <c r="E256" t="inlineStr">
        <is>
          <t>ÖREBRO</t>
        </is>
      </c>
      <c r="G256" t="n">
        <v>0.8</v>
      </c>
      <c r="H256" t="n">
        <v>0</v>
      </c>
      <c r="I256" t="n">
        <v>0</v>
      </c>
      <c r="J256" t="n">
        <v>0</v>
      </c>
      <c r="K256" t="n">
        <v>0</v>
      </c>
      <c r="L256" t="n">
        <v>0</v>
      </c>
      <c r="M256" t="n">
        <v>0</v>
      </c>
      <c r="N256" t="n">
        <v>0</v>
      </c>
      <c r="O256" t="n">
        <v>0</v>
      </c>
      <c r="P256" t="n">
        <v>0</v>
      </c>
      <c r="Q256" t="n">
        <v>0</v>
      </c>
      <c r="R256" s="2" t="inlineStr"/>
    </row>
    <row r="257" ht="15" customHeight="1">
      <c r="A257" t="inlineStr">
        <is>
          <t>A 4380-2025</t>
        </is>
      </c>
      <c r="B257" s="1" t="n">
        <v>45686.3959375</v>
      </c>
      <c r="C257" s="1" t="n">
        <v>45900</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9314-2023</t>
        </is>
      </c>
      <c r="B258" s="1" t="n">
        <v>44980.67747685185</v>
      </c>
      <c r="C258" s="1" t="n">
        <v>45900</v>
      </c>
      <c r="D258" t="inlineStr">
        <is>
          <t>ÖREBRO LÄN</t>
        </is>
      </c>
      <c r="E258" t="inlineStr">
        <is>
          <t>ÖREBRO</t>
        </is>
      </c>
      <c r="G258" t="n">
        <v>0.8</v>
      </c>
      <c r="H258" t="n">
        <v>0</v>
      </c>
      <c r="I258" t="n">
        <v>0</v>
      </c>
      <c r="J258" t="n">
        <v>0</v>
      </c>
      <c r="K258" t="n">
        <v>0</v>
      </c>
      <c r="L258" t="n">
        <v>0</v>
      </c>
      <c r="M258" t="n">
        <v>0</v>
      </c>
      <c r="N258" t="n">
        <v>0</v>
      </c>
      <c r="O258" t="n">
        <v>0</v>
      </c>
      <c r="P258" t="n">
        <v>0</v>
      </c>
      <c r="Q258" t="n">
        <v>0</v>
      </c>
      <c r="R258" s="2" t="inlineStr"/>
    </row>
    <row r="259" ht="15" customHeight="1">
      <c r="A259" t="inlineStr">
        <is>
          <t>A 34358-2022</t>
        </is>
      </c>
      <c r="B259" s="1" t="n">
        <v>44792.45494212963</v>
      </c>
      <c r="C259" s="1" t="n">
        <v>45900</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45900</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33455-2023</t>
        </is>
      </c>
      <c r="B261" s="1" t="n">
        <v>45130.98962962963</v>
      </c>
      <c r="C261" s="1" t="n">
        <v>45900</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21306-2024</t>
        </is>
      </c>
      <c r="B262" s="1" t="n">
        <v>45440.67883101852</v>
      </c>
      <c r="C262" s="1" t="n">
        <v>45900</v>
      </c>
      <c r="D262" t="inlineStr">
        <is>
          <t>ÖREBRO LÄN</t>
        </is>
      </c>
      <c r="E262" t="inlineStr">
        <is>
          <t>ÖREBRO</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5406-2025</t>
        </is>
      </c>
      <c r="B263" s="1" t="n">
        <v>45692.64821759259</v>
      </c>
      <c r="C263" s="1" t="n">
        <v>45900</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16739-2023</t>
        </is>
      </c>
      <c r="B264" s="1" t="n">
        <v>45030.72627314815</v>
      </c>
      <c r="C264" s="1" t="n">
        <v>45900</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7634-2024</t>
        </is>
      </c>
      <c r="B265" s="1" t="n">
        <v>45348</v>
      </c>
      <c r="C265" s="1" t="n">
        <v>45900</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5324-2024</t>
        </is>
      </c>
      <c r="B266" s="1" t="n">
        <v>45331</v>
      </c>
      <c r="C266" s="1" t="n">
        <v>45900</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52401-2024</t>
        </is>
      </c>
      <c r="B267" s="1" t="n">
        <v>45609.44553240741</v>
      </c>
      <c r="C267" s="1" t="n">
        <v>45900</v>
      </c>
      <c r="D267" t="inlineStr">
        <is>
          <t>ÖREBRO LÄN</t>
        </is>
      </c>
      <c r="E267" t="inlineStr">
        <is>
          <t>ÖREBRO</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2771-2023</t>
        </is>
      </c>
      <c r="B268" s="1" t="n">
        <v>44944.64704861111</v>
      </c>
      <c r="C268" s="1" t="n">
        <v>45900</v>
      </c>
      <c r="D268" t="inlineStr">
        <is>
          <t>ÖREBRO LÄN</t>
        </is>
      </c>
      <c r="E268" t="inlineStr">
        <is>
          <t>ÖREBRO</t>
        </is>
      </c>
      <c r="G268" t="n">
        <v>15.4</v>
      </c>
      <c r="H268" t="n">
        <v>0</v>
      </c>
      <c r="I268" t="n">
        <v>0</v>
      </c>
      <c r="J268" t="n">
        <v>0</v>
      </c>
      <c r="K268" t="n">
        <v>0</v>
      </c>
      <c r="L268" t="n">
        <v>0</v>
      </c>
      <c r="M268" t="n">
        <v>0</v>
      </c>
      <c r="N268" t="n">
        <v>0</v>
      </c>
      <c r="O268" t="n">
        <v>0</v>
      </c>
      <c r="P268" t="n">
        <v>0</v>
      </c>
      <c r="Q268" t="n">
        <v>0</v>
      </c>
      <c r="R268" s="2" t="inlineStr"/>
    </row>
    <row r="269" ht="15" customHeight="1">
      <c r="A269" t="inlineStr">
        <is>
          <t>A 22348-2024</t>
        </is>
      </c>
      <c r="B269" s="1" t="n">
        <v>45446.61256944444</v>
      </c>
      <c r="C269" s="1" t="n">
        <v>45900</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52018-2024</t>
        </is>
      </c>
      <c r="B270" s="1" t="n">
        <v>45607.82974537037</v>
      </c>
      <c r="C270" s="1" t="n">
        <v>45900</v>
      </c>
      <c r="D270" t="inlineStr">
        <is>
          <t>ÖREBRO LÄN</t>
        </is>
      </c>
      <c r="E270" t="inlineStr">
        <is>
          <t>ÖREBRO</t>
        </is>
      </c>
      <c r="G270" t="n">
        <v>4.3</v>
      </c>
      <c r="H270" t="n">
        <v>0</v>
      </c>
      <c r="I270" t="n">
        <v>0</v>
      </c>
      <c r="J270" t="n">
        <v>0</v>
      </c>
      <c r="K270" t="n">
        <v>0</v>
      </c>
      <c r="L270" t="n">
        <v>0</v>
      </c>
      <c r="M270" t="n">
        <v>0</v>
      </c>
      <c r="N270" t="n">
        <v>0</v>
      </c>
      <c r="O270" t="n">
        <v>0</v>
      </c>
      <c r="P270" t="n">
        <v>0</v>
      </c>
      <c r="Q270" t="n">
        <v>0</v>
      </c>
      <c r="R270" s="2" t="inlineStr"/>
    </row>
    <row r="271" ht="15" customHeight="1">
      <c r="A271" t="inlineStr">
        <is>
          <t>A 30089-2024</t>
        </is>
      </c>
      <c r="B271" s="1" t="n">
        <v>45485</v>
      </c>
      <c r="C271" s="1" t="n">
        <v>45900</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12017-2024</t>
        </is>
      </c>
      <c r="B272" s="1" t="n">
        <v>45377</v>
      </c>
      <c r="C272" s="1" t="n">
        <v>45900</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14963-2025</t>
        </is>
      </c>
      <c r="B273" s="1" t="n">
        <v>45743.58699074074</v>
      </c>
      <c r="C273" s="1" t="n">
        <v>45900</v>
      </c>
      <c r="D273" t="inlineStr">
        <is>
          <t>ÖREBRO LÄN</t>
        </is>
      </c>
      <c r="E273" t="inlineStr">
        <is>
          <t>ÖREBRO</t>
        </is>
      </c>
      <c r="G273" t="n">
        <v>9.1</v>
      </c>
      <c r="H273" t="n">
        <v>0</v>
      </c>
      <c r="I273" t="n">
        <v>0</v>
      </c>
      <c r="J273" t="n">
        <v>0</v>
      </c>
      <c r="K273" t="n">
        <v>0</v>
      </c>
      <c r="L273" t="n">
        <v>0</v>
      </c>
      <c r="M273" t="n">
        <v>0</v>
      </c>
      <c r="N273" t="n">
        <v>0</v>
      </c>
      <c r="O273" t="n">
        <v>0</v>
      </c>
      <c r="P273" t="n">
        <v>0</v>
      </c>
      <c r="Q273" t="n">
        <v>0</v>
      </c>
      <c r="R273" s="2" t="inlineStr"/>
    </row>
    <row r="274" ht="15" customHeight="1">
      <c r="A274" t="inlineStr">
        <is>
          <t>A 56077-2022</t>
        </is>
      </c>
      <c r="B274" s="1" t="n">
        <v>44889.60872685185</v>
      </c>
      <c r="C274" s="1" t="n">
        <v>45900</v>
      </c>
      <c r="D274" t="inlineStr">
        <is>
          <t>ÖREBRO LÄN</t>
        </is>
      </c>
      <c r="E274" t="inlineStr">
        <is>
          <t>ÖREBRO</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71295-2021</t>
        </is>
      </c>
      <c r="B275" s="1" t="n">
        <v>44539.63009259259</v>
      </c>
      <c r="C275" s="1" t="n">
        <v>45900</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46030-2024</t>
        </is>
      </c>
      <c r="B276" s="1" t="n">
        <v>45580.70377314815</v>
      </c>
      <c r="C276" s="1" t="n">
        <v>45900</v>
      </c>
      <c r="D276" t="inlineStr">
        <is>
          <t>ÖREBRO LÄN</t>
        </is>
      </c>
      <c r="E276" t="inlineStr">
        <is>
          <t>ÖREBRO</t>
        </is>
      </c>
      <c r="G276" t="n">
        <v>3.9</v>
      </c>
      <c r="H276" t="n">
        <v>0</v>
      </c>
      <c r="I276" t="n">
        <v>0</v>
      </c>
      <c r="J276" t="n">
        <v>0</v>
      </c>
      <c r="K276" t="n">
        <v>0</v>
      </c>
      <c r="L276" t="n">
        <v>0</v>
      </c>
      <c r="M276" t="n">
        <v>0</v>
      </c>
      <c r="N276" t="n">
        <v>0</v>
      </c>
      <c r="O276" t="n">
        <v>0</v>
      </c>
      <c r="P276" t="n">
        <v>0</v>
      </c>
      <c r="Q276" t="n">
        <v>0</v>
      </c>
      <c r="R276" s="2" t="inlineStr"/>
    </row>
    <row r="277" ht="15" customHeight="1">
      <c r="A277" t="inlineStr">
        <is>
          <t>A 5643-2025</t>
        </is>
      </c>
      <c r="B277" s="1" t="n">
        <v>45693</v>
      </c>
      <c r="C277" s="1" t="n">
        <v>45900</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9609-2023</t>
        </is>
      </c>
      <c r="B278" s="1" t="n">
        <v>44983.93344907407</v>
      </c>
      <c r="C278" s="1" t="n">
        <v>45900</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11516-2024</t>
        </is>
      </c>
      <c r="B279" s="1" t="n">
        <v>45372</v>
      </c>
      <c r="C279" s="1" t="n">
        <v>45900</v>
      </c>
      <c r="D279" t="inlineStr">
        <is>
          <t>ÖREBRO LÄN</t>
        </is>
      </c>
      <c r="E279" t="inlineStr">
        <is>
          <t>ÖREBRO</t>
        </is>
      </c>
      <c r="G279" t="n">
        <v>10.7</v>
      </c>
      <c r="H279" t="n">
        <v>0</v>
      </c>
      <c r="I279" t="n">
        <v>0</v>
      </c>
      <c r="J279" t="n">
        <v>0</v>
      </c>
      <c r="K279" t="n">
        <v>0</v>
      </c>
      <c r="L279" t="n">
        <v>0</v>
      </c>
      <c r="M279" t="n">
        <v>0</v>
      </c>
      <c r="N279" t="n">
        <v>0</v>
      </c>
      <c r="O279" t="n">
        <v>0</v>
      </c>
      <c r="P279" t="n">
        <v>0</v>
      </c>
      <c r="Q279" t="n">
        <v>0</v>
      </c>
      <c r="R279" s="2" t="inlineStr"/>
    </row>
    <row r="280" ht="15" customHeight="1">
      <c r="A280" t="inlineStr">
        <is>
          <t>A 5342-2024</t>
        </is>
      </c>
      <c r="B280" s="1" t="n">
        <v>45331.44145833333</v>
      </c>
      <c r="C280" s="1" t="n">
        <v>45900</v>
      </c>
      <c r="D280" t="inlineStr">
        <is>
          <t>ÖREBRO LÄN</t>
        </is>
      </c>
      <c r="E280" t="inlineStr">
        <is>
          <t>ÖREBRO</t>
        </is>
      </c>
      <c r="G280" t="n">
        <v>2.5</v>
      </c>
      <c r="H280" t="n">
        <v>0</v>
      </c>
      <c r="I280" t="n">
        <v>0</v>
      </c>
      <c r="J280" t="n">
        <v>0</v>
      </c>
      <c r="K280" t="n">
        <v>0</v>
      </c>
      <c r="L280" t="n">
        <v>0</v>
      </c>
      <c r="M280" t="n">
        <v>0</v>
      </c>
      <c r="N280" t="n">
        <v>0</v>
      </c>
      <c r="O280" t="n">
        <v>0</v>
      </c>
      <c r="P280" t="n">
        <v>0</v>
      </c>
      <c r="Q280" t="n">
        <v>0</v>
      </c>
      <c r="R280" s="2" t="inlineStr"/>
    </row>
    <row r="281" ht="15" customHeight="1">
      <c r="A281" t="inlineStr">
        <is>
          <t>A 70707-2021</t>
        </is>
      </c>
      <c r="B281" s="1" t="n">
        <v>44537</v>
      </c>
      <c r="C281" s="1" t="n">
        <v>45900</v>
      </c>
      <c r="D281" t="inlineStr">
        <is>
          <t>ÖREBRO LÄN</t>
        </is>
      </c>
      <c r="E281" t="inlineStr">
        <is>
          <t>ÖREBRO</t>
        </is>
      </c>
      <c r="G281" t="n">
        <v>13.2</v>
      </c>
      <c r="H281" t="n">
        <v>0</v>
      </c>
      <c r="I281" t="n">
        <v>0</v>
      </c>
      <c r="J281" t="n">
        <v>0</v>
      </c>
      <c r="K281" t="n">
        <v>0</v>
      </c>
      <c r="L281" t="n">
        <v>0</v>
      </c>
      <c r="M281" t="n">
        <v>0</v>
      </c>
      <c r="N281" t="n">
        <v>0</v>
      </c>
      <c r="O281" t="n">
        <v>0</v>
      </c>
      <c r="P281" t="n">
        <v>0</v>
      </c>
      <c r="Q281" t="n">
        <v>0</v>
      </c>
      <c r="R281" s="2" t="inlineStr"/>
    </row>
    <row r="282" ht="15" customHeight="1">
      <c r="A282" t="inlineStr">
        <is>
          <t>A 57243-2022</t>
        </is>
      </c>
      <c r="B282" s="1" t="n">
        <v>44895.71835648148</v>
      </c>
      <c r="C282" s="1" t="n">
        <v>45900</v>
      </c>
      <c r="D282" t="inlineStr">
        <is>
          <t>ÖREBRO LÄN</t>
        </is>
      </c>
      <c r="E282" t="inlineStr">
        <is>
          <t>ÖREBRO</t>
        </is>
      </c>
      <c r="G282" t="n">
        <v>6</v>
      </c>
      <c r="H282" t="n">
        <v>0</v>
      </c>
      <c r="I282" t="n">
        <v>0</v>
      </c>
      <c r="J282" t="n">
        <v>0</v>
      </c>
      <c r="K282" t="n">
        <v>0</v>
      </c>
      <c r="L282" t="n">
        <v>0</v>
      </c>
      <c r="M282" t="n">
        <v>0</v>
      </c>
      <c r="N282" t="n">
        <v>0</v>
      </c>
      <c r="O282" t="n">
        <v>0</v>
      </c>
      <c r="P282" t="n">
        <v>0</v>
      </c>
      <c r="Q282" t="n">
        <v>0</v>
      </c>
      <c r="R282" s="2" t="inlineStr"/>
    </row>
    <row r="283" ht="15" customHeight="1">
      <c r="A283" t="inlineStr">
        <is>
          <t>A 55357-2024</t>
        </is>
      </c>
      <c r="B283" s="1" t="n">
        <v>45621.81126157408</v>
      </c>
      <c r="C283" s="1" t="n">
        <v>45900</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58621-2024</t>
        </is>
      </c>
      <c r="B284" s="1" t="n">
        <v>45635.56321759259</v>
      </c>
      <c r="C284" s="1" t="n">
        <v>45900</v>
      </c>
      <c r="D284" t="inlineStr">
        <is>
          <t>ÖREBRO LÄN</t>
        </is>
      </c>
      <c r="E284" t="inlineStr">
        <is>
          <t>ÖREBRO</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58216-2024</t>
        </is>
      </c>
      <c r="B285" s="1" t="n">
        <v>45632</v>
      </c>
      <c r="C285" s="1" t="n">
        <v>45900</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38422-2023</t>
        </is>
      </c>
      <c r="B286" s="1" t="n">
        <v>45162.36422453704</v>
      </c>
      <c r="C286" s="1" t="n">
        <v>45900</v>
      </c>
      <c r="D286" t="inlineStr">
        <is>
          <t>ÖREBRO LÄN</t>
        </is>
      </c>
      <c r="E286" t="inlineStr">
        <is>
          <t>ÖREBRO</t>
        </is>
      </c>
      <c r="G286" t="n">
        <v>8</v>
      </c>
      <c r="H286" t="n">
        <v>0</v>
      </c>
      <c r="I286" t="n">
        <v>0</v>
      </c>
      <c r="J286" t="n">
        <v>0</v>
      </c>
      <c r="K286" t="n">
        <v>0</v>
      </c>
      <c r="L286" t="n">
        <v>0</v>
      </c>
      <c r="M286" t="n">
        <v>0</v>
      </c>
      <c r="N286" t="n">
        <v>0</v>
      </c>
      <c r="O286" t="n">
        <v>0</v>
      </c>
      <c r="P286" t="n">
        <v>0</v>
      </c>
      <c r="Q286" t="n">
        <v>0</v>
      </c>
      <c r="R286" s="2" t="inlineStr"/>
    </row>
    <row r="287" ht="15" customHeight="1">
      <c r="A287" t="inlineStr">
        <is>
          <t>A 46518-2023</t>
        </is>
      </c>
      <c r="B287" s="1" t="n">
        <v>45197.72777777778</v>
      </c>
      <c r="C287" s="1" t="n">
        <v>45900</v>
      </c>
      <c r="D287" t="inlineStr">
        <is>
          <t>ÖREBRO LÄN</t>
        </is>
      </c>
      <c r="E287" t="inlineStr">
        <is>
          <t>ÖREBRO</t>
        </is>
      </c>
      <c r="G287" t="n">
        <v>2.2</v>
      </c>
      <c r="H287" t="n">
        <v>0</v>
      </c>
      <c r="I287" t="n">
        <v>0</v>
      </c>
      <c r="J287" t="n">
        <v>0</v>
      </c>
      <c r="K287" t="n">
        <v>0</v>
      </c>
      <c r="L287" t="n">
        <v>0</v>
      </c>
      <c r="M287" t="n">
        <v>0</v>
      </c>
      <c r="N287" t="n">
        <v>0</v>
      </c>
      <c r="O287" t="n">
        <v>0</v>
      </c>
      <c r="P287" t="n">
        <v>0</v>
      </c>
      <c r="Q287" t="n">
        <v>0</v>
      </c>
      <c r="R287" s="2" t="inlineStr"/>
    </row>
    <row r="288" ht="15" customHeight="1">
      <c r="A288" t="inlineStr">
        <is>
          <t>A 37012-2024</t>
        </is>
      </c>
      <c r="B288" s="1" t="n">
        <v>45539</v>
      </c>
      <c r="C288" s="1" t="n">
        <v>45900</v>
      </c>
      <c r="D288" t="inlineStr">
        <is>
          <t>ÖREBRO LÄN</t>
        </is>
      </c>
      <c r="E288" t="inlineStr">
        <is>
          <t>ÖREBRO</t>
        </is>
      </c>
      <c r="G288" t="n">
        <v>4.1</v>
      </c>
      <c r="H288" t="n">
        <v>0</v>
      </c>
      <c r="I288" t="n">
        <v>0</v>
      </c>
      <c r="J288" t="n">
        <v>0</v>
      </c>
      <c r="K288" t="n">
        <v>0</v>
      </c>
      <c r="L288" t="n">
        <v>0</v>
      </c>
      <c r="M288" t="n">
        <v>0</v>
      </c>
      <c r="N288" t="n">
        <v>0</v>
      </c>
      <c r="O288" t="n">
        <v>0</v>
      </c>
      <c r="P288" t="n">
        <v>0</v>
      </c>
      <c r="Q288" t="n">
        <v>0</v>
      </c>
      <c r="R288" s="2" t="inlineStr"/>
    </row>
    <row r="289" ht="15" customHeight="1">
      <c r="A289" t="inlineStr">
        <is>
          <t>A 37020-2024</t>
        </is>
      </c>
      <c r="B289" s="1" t="n">
        <v>45539.38059027777</v>
      </c>
      <c r="C289" s="1" t="n">
        <v>45900</v>
      </c>
      <c r="D289" t="inlineStr">
        <is>
          <t>ÖREBRO LÄN</t>
        </is>
      </c>
      <c r="E289" t="inlineStr">
        <is>
          <t>ÖREBRO</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55353-2024</t>
        </is>
      </c>
      <c r="B290" s="1" t="n">
        <v>45621.79526620371</v>
      </c>
      <c r="C290" s="1" t="n">
        <v>45900</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25578-2025</t>
        </is>
      </c>
      <c r="B291" s="1" t="n">
        <v>45803.47803240741</v>
      </c>
      <c r="C291" s="1" t="n">
        <v>45900</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25519-2025</t>
        </is>
      </c>
      <c r="B292" s="1" t="n">
        <v>45803.38447916666</v>
      </c>
      <c r="C292" s="1" t="n">
        <v>45900</v>
      </c>
      <c r="D292" t="inlineStr">
        <is>
          <t>ÖREBRO LÄN</t>
        </is>
      </c>
      <c r="E292" t="inlineStr">
        <is>
          <t>ÖREBRO</t>
        </is>
      </c>
      <c r="G292" t="n">
        <v>7.4</v>
      </c>
      <c r="H292" t="n">
        <v>0</v>
      </c>
      <c r="I292" t="n">
        <v>0</v>
      </c>
      <c r="J292" t="n">
        <v>0</v>
      </c>
      <c r="K292" t="n">
        <v>0</v>
      </c>
      <c r="L292" t="n">
        <v>0</v>
      </c>
      <c r="M292" t="n">
        <v>0</v>
      </c>
      <c r="N292" t="n">
        <v>0</v>
      </c>
      <c r="O292" t="n">
        <v>0</v>
      </c>
      <c r="P292" t="n">
        <v>0</v>
      </c>
      <c r="Q292" t="n">
        <v>0</v>
      </c>
      <c r="R292" s="2" t="inlineStr"/>
    </row>
    <row r="293" ht="15" customHeight="1">
      <c r="A293" t="inlineStr">
        <is>
          <t>A 541-2025</t>
        </is>
      </c>
      <c r="B293" s="1" t="n">
        <v>45664.52034722222</v>
      </c>
      <c r="C293" s="1" t="n">
        <v>45900</v>
      </c>
      <c r="D293" t="inlineStr">
        <is>
          <t>ÖREBRO LÄN</t>
        </is>
      </c>
      <c r="E293" t="inlineStr">
        <is>
          <t>ÖREBRO</t>
        </is>
      </c>
      <c r="G293" t="n">
        <v>2.2</v>
      </c>
      <c r="H293" t="n">
        <v>0</v>
      </c>
      <c r="I293" t="n">
        <v>0</v>
      </c>
      <c r="J293" t="n">
        <v>0</v>
      </c>
      <c r="K293" t="n">
        <v>0</v>
      </c>
      <c r="L293" t="n">
        <v>0</v>
      </c>
      <c r="M293" t="n">
        <v>0</v>
      </c>
      <c r="N293" t="n">
        <v>0</v>
      </c>
      <c r="O293" t="n">
        <v>0</v>
      </c>
      <c r="P293" t="n">
        <v>0</v>
      </c>
      <c r="Q293" t="n">
        <v>0</v>
      </c>
      <c r="R293" s="2" t="inlineStr"/>
    </row>
    <row r="294" ht="15" customHeight="1">
      <c r="A294" t="inlineStr">
        <is>
          <t>A 41703-2024</t>
        </is>
      </c>
      <c r="B294" s="1" t="n">
        <v>45560</v>
      </c>
      <c r="C294" s="1" t="n">
        <v>45900</v>
      </c>
      <c r="D294" t="inlineStr">
        <is>
          <t>ÖREBRO LÄN</t>
        </is>
      </c>
      <c r="E294" t="inlineStr">
        <is>
          <t>ÖREBRO</t>
        </is>
      </c>
      <c r="G294" t="n">
        <v>6.4</v>
      </c>
      <c r="H294" t="n">
        <v>0</v>
      </c>
      <c r="I294" t="n">
        <v>0</v>
      </c>
      <c r="J294" t="n">
        <v>0</v>
      </c>
      <c r="K294" t="n">
        <v>0</v>
      </c>
      <c r="L294" t="n">
        <v>0</v>
      </c>
      <c r="M294" t="n">
        <v>0</v>
      </c>
      <c r="N294" t="n">
        <v>0</v>
      </c>
      <c r="O294" t="n">
        <v>0</v>
      </c>
      <c r="P294" t="n">
        <v>0</v>
      </c>
      <c r="Q294" t="n">
        <v>0</v>
      </c>
      <c r="R294" s="2" t="inlineStr"/>
    </row>
    <row r="295" ht="15" customHeight="1">
      <c r="A295" t="inlineStr">
        <is>
          <t>A 19553-2023</t>
        </is>
      </c>
      <c r="B295" s="1" t="n">
        <v>45050</v>
      </c>
      <c r="C295" s="1" t="n">
        <v>45900</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19763-2024</t>
        </is>
      </c>
      <c r="B296" s="1" t="n">
        <v>45432</v>
      </c>
      <c r="C296" s="1" t="n">
        <v>45900</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37025-2024</t>
        </is>
      </c>
      <c r="B297" s="1" t="n">
        <v>45539.3840162037</v>
      </c>
      <c r="C297" s="1" t="n">
        <v>45900</v>
      </c>
      <c r="D297" t="inlineStr">
        <is>
          <t>ÖREBRO LÄN</t>
        </is>
      </c>
      <c r="E297" t="inlineStr">
        <is>
          <t>ÖREBRO</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37027-2024</t>
        </is>
      </c>
      <c r="B298" s="1" t="n">
        <v>45539.38487268519</v>
      </c>
      <c r="C298" s="1" t="n">
        <v>45900</v>
      </c>
      <c r="D298" t="inlineStr">
        <is>
          <t>ÖREBRO LÄN</t>
        </is>
      </c>
      <c r="E298" t="inlineStr">
        <is>
          <t>ÖREBRO</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23594-2023</t>
        </is>
      </c>
      <c r="B299" s="1" t="n">
        <v>45077</v>
      </c>
      <c r="C299" s="1" t="n">
        <v>45900</v>
      </c>
      <c r="D299" t="inlineStr">
        <is>
          <t>ÖREBRO LÄN</t>
        </is>
      </c>
      <c r="E299" t="inlineStr">
        <is>
          <t>ÖREBRO</t>
        </is>
      </c>
      <c r="G299" t="n">
        <v>9.9</v>
      </c>
      <c r="H299" t="n">
        <v>0</v>
      </c>
      <c r="I299" t="n">
        <v>0</v>
      </c>
      <c r="J299" t="n">
        <v>0</v>
      </c>
      <c r="K299" t="n">
        <v>0</v>
      </c>
      <c r="L299" t="n">
        <v>0</v>
      </c>
      <c r="M299" t="n">
        <v>0</v>
      </c>
      <c r="N299" t="n">
        <v>0</v>
      </c>
      <c r="O299" t="n">
        <v>0</v>
      </c>
      <c r="P299" t="n">
        <v>0</v>
      </c>
      <c r="Q299" t="n">
        <v>0</v>
      </c>
      <c r="R299" s="2" t="inlineStr"/>
    </row>
    <row r="300" ht="15" customHeight="1">
      <c r="A300" t="inlineStr">
        <is>
          <t>A 8022-2022</t>
        </is>
      </c>
      <c r="B300" s="1" t="n">
        <v>44609</v>
      </c>
      <c r="C300" s="1" t="n">
        <v>45900</v>
      </c>
      <c r="D300" t="inlineStr">
        <is>
          <t>ÖREBRO LÄN</t>
        </is>
      </c>
      <c r="E300" t="inlineStr">
        <is>
          <t>ÖREBRO</t>
        </is>
      </c>
      <c r="G300" t="n">
        <v>5.6</v>
      </c>
      <c r="H300" t="n">
        <v>0</v>
      </c>
      <c r="I300" t="n">
        <v>0</v>
      </c>
      <c r="J300" t="n">
        <v>0</v>
      </c>
      <c r="K300" t="n">
        <v>0</v>
      </c>
      <c r="L300" t="n">
        <v>0</v>
      </c>
      <c r="M300" t="n">
        <v>0</v>
      </c>
      <c r="N300" t="n">
        <v>0</v>
      </c>
      <c r="O300" t="n">
        <v>0</v>
      </c>
      <c r="P300" t="n">
        <v>0</v>
      </c>
      <c r="Q300" t="n">
        <v>0</v>
      </c>
      <c r="R300" s="2" t="inlineStr"/>
    </row>
    <row r="301" ht="15" customHeight="1">
      <c r="A301" t="inlineStr">
        <is>
          <t>A 47193-2023</t>
        </is>
      </c>
      <c r="B301" s="1" t="n">
        <v>45202.3074537037</v>
      </c>
      <c r="C301" s="1" t="n">
        <v>45900</v>
      </c>
      <c r="D301" t="inlineStr">
        <is>
          <t>ÖREBRO LÄN</t>
        </is>
      </c>
      <c r="E301" t="inlineStr">
        <is>
          <t>ÖREBRO</t>
        </is>
      </c>
      <c r="G301" t="n">
        <v>2.4</v>
      </c>
      <c r="H301" t="n">
        <v>0</v>
      </c>
      <c r="I301" t="n">
        <v>0</v>
      </c>
      <c r="J301" t="n">
        <v>0</v>
      </c>
      <c r="K301" t="n">
        <v>0</v>
      </c>
      <c r="L301" t="n">
        <v>0</v>
      </c>
      <c r="M301" t="n">
        <v>0</v>
      </c>
      <c r="N301" t="n">
        <v>0</v>
      </c>
      <c r="O301" t="n">
        <v>0</v>
      </c>
      <c r="P301" t="n">
        <v>0</v>
      </c>
      <c r="Q301" t="n">
        <v>0</v>
      </c>
      <c r="R301" s="2" t="inlineStr"/>
    </row>
    <row r="302" ht="15" customHeight="1">
      <c r="A302" t="inlineStr">
        <is>
          <t>A 31247-2023</t>
        </is>
      </c>
      <c r="B302" s="1" t="n">
        <v>45114</v>
      </c>
      <c r="C302" s="1" t="n">
        <v>45900</v>
      </c>
      <c r="D302" t="inlineStr">
        <is>
          <t>ÖREBRO LÄN</t>
        </is>
      </c>
      <c r="E302" t="inlineStr">
        <is>
          <t>ÖREBRO</t>
        </is>
      </c>
      <c r="F302" t="inlineStr">
        <is>
          <t>Allmännings- och besparingsskogar</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58598-2022</t>
        </is>
      </c>
      <c r="B303" s="1" t="n">
        <v>44902</v>
      </c>
      <c r="C303" s="1" t="n">
        <v>45900</v>
      </c>
      <c r="D303" t="inlineStr">
        <is>
          <t>ÖREBRO LÄN</t>
        </is>
      </c>
      <c r="E303" t="inlineStr">
        <is>
          <t>ÖREBRO</t>
        </is>
      </c>
      <c r="G303" t="n">
        <v>0.4</v>
      </c>
      <c r="H303" t="n">
        <v>0</v>
      </c>
      <c r="I303" t="n">
        <v>0</v>
      </c>
      <c r="J303" t="n">
        <v>0</v>
      </c>
      <c r="K303" t="n">
        <v>0</v>
      </c>
      <c r="L303" t="n">
        <v>0</v>
      </c>
      <c r="M303" t="n">
        <v>0</v>
      </c>
      <c r="N303" t="n">
        <v>0</v>
      </c>
      <c r="O303" t="n">
        <v>0</v>
      </c>
      <c r="P303" t="n">
        <v>0</v>
      </c>
      <c r="Q303" t="n">
        <v>0</v>
      </c>
      <c r="R303" s="2" t="inlineStr"/>
    </row>
    <row r="304" ht="15" customHeight="1">
      <c r="A304" t="inlineStr">
        <is>
          <t>A 36635-2023</t>
        </is>
      </c>
      <c r="B304" s="1" t="n">
        <v>45153</v>
      </c>
      <c r="C304" s="1" t="n">
        <v>45900</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54149-2024</t>
        </is>
      </c>
      <c r="B305" s="1" t="n">
        <v>45616</v>
      </c>
      <c r="C305" s="1" t="n">
        <v>45900</v>
      </c>
      <c r="D305" t="inlineStr">
        <is>
          <t>ÖREBRO LÄN</t>
        </is>
      </c>
      <c r="E305" t="inlineStr">
        <is>
          <t>ÖREBRO</t>
        </is>
      </c>
      <c r="G305" t="n">
        <v>2.7</v>
      </c>
      <c r="H305" t="n">
        <v>0</v>
      </c>
      <c r="I305" t="n">
        <v>0</v>
      </c>
      <c r="J305" t="n">
        <v>0</v>
      </c>
      <c r="K305" t="n">
        <v>0</v>
      </c>
      <c r="L305" t="n">
        <v>0</v>
      </c>
      <c r="M305" t="n">
        <v>0</v>
      </c>
      <c r="N305" t="n">
        <v>0</v>
      </c>
      <c r="O305" t="n">
        <v>0</v>
      </c>
      <c r="P305" t="n">
        <v>0</v>
      </c>
      <c r="Q305" t="n">
        <v>0</v>
      </c>
      <c r="R305" s="2" t="inlineStr"/>
    </row>
    <row r="306" ht="15" customHeight="1">
      <c r="A306" t="inlineStr">
        <is>
          <t>A 71206-2021</t>
        </is>
      </c>
      <c r="B306" s="1" t="n">
        <v>44539</v>
      </c>
      <c r="C306" s="1" t="n">
        <v>45900</v>
      </c>
      <c r="D306" t="inlineStr">
        <is>
          <t>ÖREBRO LÄN</t>
        </is>
      </c>
      <c r="E306" t="inlineStr">
        <is>
          <t>ÖREBRO</t>
        </is>
      </c>
      <c r="G306" t="n">
        <v>2.5</v>
      </c>
      <c r="H306" t="n">
        <v>0</v>
      </c>
      <c r="I306" t="n">
        <v>0</v>
      </c>
      <c r="J306" t="n">
        <v>0</v>
      </c>
      <c r="K306" t="n">
        <v>0</v>
      </c>
      <c r="L306" t="n">
        <v>0</v>
      </c>
      <c r="M306" t="n">
        <v>0</v>
      </c>
      <c r="N306" t="n">
        <v>0</v>
      </c>
      <c r="O306" t="n">
        <v>0</v>
      </c>
      <c r="P306" t="n">
        <v>0</v>
      </c>
      <c r="Q306" t="n">
        <v>0</v>
      </c>
      <c r="R306" s="2" t="inlineStr"/>
    </row>
    <row r="307" ht="15" customHeight="1">
      <c r="A307" t="inlineStr">
        <is>
          <t>A 49797-2024</t>
        </is>
      </c>
      <c r="B307" s="1" t="n">
        <v>45597.37265046296</v>
      </c>
      <c r="C307" s="1" t="n">
        <v>45900</v>
      </c>
      <c r="D307" t="inlineStr">
        <is>
          <t>ÖREBRO LÄN</t>
        </is>
      </c>
      <c r="E307" t="inlineStr">
        <is>
          <t>ÖREBRO</t>
        </is>
      </c>
      <c r="G307" t="n">
        <v>11.6</v>
      </c>
      <c r="H307" t="n">
        <v>0</v>
      </c>
      <c r="I307" t="n">
        <v>0</v>
      </c>
      <c r="J307" t="n">
        <v>0</v>
      </c>
      <c r="K307" t="n">
        <v>0</v>
      </c>
      <c r="L307" t="n">
        <v>0</v>
      </c>
      <c r="M307" t="n">
        <v>0</v>
      </c>
      <c r="N307" t="n">
        <v>0</v>
      </c>
      <c r="O307" t="n">
        <v>0</v>
      </c>
      <c r="P307" t="n">
        <v>0</v>
      </c>
      <c r="Q307" t="n">
        <v>0</v>
      </c>
      <c r="R307" s="2" t="inlineStr"/>
    </row>
    <row r="308" ht="15" customHeight="1">
      <c r="A308" t="inlineStr">
        <is>
          <t>A 11663-2024</t>
        </is>
      </c>
      <c r="B308" s="1" t="n">
        <v>45373</v>
      </c>
      <c r="C308" s="1" t="n">
        <v>45900</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32086-2023</t>
        </is>
      </c>
      <c r="B309" s="1" t="n">
        <v>45119.59789351852</v>
      </c>
      <c r="C309" s="1" t="n">
        <v>45900</v>
      </c>
      <c r="D309" t="inlineStr">
        <is>
          <t>ÖREBRO LÄN</t>
        </is>
      </c>
      <c r="E309" t="inlineStr">
        <is>
          <t>ÖREBRO</t>
        </is>
      </c>
      <c r="G309" t="n">
        <v>0.7</v>
      </c>
      <c r="H309" t="n">
        <v>0</v>
      </c>
      <c r="I309" t="n">
        <v>0</v>
      </c>
      <c r="J309" t="n">
        <v>0</v>
      </c>
      <c r="K309" t="n">
        <v>0</v>
      </c>
      <c r="L309" t="n">
        <v>0</v>
      </c>
      <c r="M309" t="n">
        <v>0</v>
      </c>
      <c r="N309" t="n">
        <v>0</v>
      </c>
      <c r="O309" t="n">
        <v>0</v>
      </c>
      <c r="P309" t="n">
        <v>0</v>
      </c>
      <c r="Q309" t="n">
        <v>0</v>
      </c>
      <c r="R309" s="2" t="inlineStr"/>
    </row>
    <row r="310" ht="15" customHeight="1">
      <c r="A310" t="inlineStr">
        <is>
          <t>A 13856-2022</t>
        </is>
      </c>
      <c r="B310" s="1" t="n">
        <v>44649.6965162037</v>
      </c>
      <c r="C310" s="1" t="n">
        <v>45900</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23863-2023</t>
        </is>
      </c>
      <c r="B311" s="1" t="n">
        <v>45078.48994212963</v>
      </c>
      <c r="C311" s="1" t="n">
        <v>45900</v>
      </c>
      <c r="D311" t="inlineStr">
        <is>
          <t>ÖREBRO LÄN</t>
        </is>
      </c>
      <c r="E311" t="inlineStr">
        <is>
          <t>ÖREBRO</t>
        </is>
      </c>
      <c r="F311" t="inlineStr">
        <is>
          <t>Övriga Aktiebolag</t>
        </is>
      </c>
      <c r="G311" t="n">
        <v>5.9</v>
      </c>
      <c r="H311" t="n">
        <v>0</v>
      </c>
      <c r="I311" t="n">
        <v>0</v>
      </c>
      <c r="J311" t="n">
        <v>0</v>
      </c>
      <c r="K311" t="n">
        <v>0</v>
      </c>
      <c r="L311" t="n">
        <v>0</v>
      </c>
      <c r="M311" t="n">
        <v>0</v>
      </c>
      <c r="N311" t="n">
        <v>0</v>
      </c>
      <c r="O311" t="n">
        <v>0</v>
      </c>
      <c r="P311" t="n">
        <v>0</v>
      </c>
      <c r="Q311" t="n">
        <v>0</v>
      </c>
      <c r="R311" s="2" t="inlineStr"/>
    </row>
    <row r="312" ht="15" customHeight="1">
      <c r="A312" t="inlineStr">
        <is>
          <t>A 39130-2023</t>
        </is>
      </c>
      <c r="B312" s="1" t="n">
        <v>45165</v>
      </c>
      <c r="C312" s="1" t="n">
        <v>45900</v>
      </c>
      <c r="D312" t="inlineStr">
        <is>
          <t>ÖREBRO LÄN</t>
        </is>
      </c>
      <c r="E312" t="inlineStr">
        <is>
          <t>ÖREBRO</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13599-2025</t>
        </is>
      </c>
      <c r="B313" s="1" t="n">
        <v>45736.60597222222</v>
      </c>
      <c r="C313" s="1" t="n">
        <v>45900</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16739-2022</t>
        </is>
      </c>
      <c r="B314" s="1" t="n">
        <v>44673</v>
      </c>
      <c r="C314" s="1" t="n">
        <v>45900</v>
      </c>
      <c r="D314" t="inlineStr">
        <is>
          <t>ÖREBRO LÄN</t>
        </is>
      </c>
      <c r="E314" t="inlineStr">
        <is>
          <t>ÖREBRO</t>
        </is>
      </c>
      <c r="G314" t="n">
        <v>4.7</v>
      </c>
      <c r="H314" t="n">
        <v>0</v>
      </c>
      <c r="I314" t="n">
        <v>0</v>
      </c>
      <c r="J314" t="n">
        <v>0</v>
      </c>
      <c r="K314" t="n">
        <v>0</v>
      </c>
      <c r="L314" t="n">
        <v>0</v>
      </c>
      <c r="M314" t="n">
        <v>0</v>
      </c>
      <c r="N314" t="n">
        <v>0</v>
      </c>
      <c r="O314" t="n">
        <v>0</v>
      </c>
      <c r="P314" t="n">
        <v>0</v>
      </c>
      <c r="Q314" t="n">
        <v>0</v>
      </c>
      <c r="R314" s="2" t="inlineStr"/>
    </row>
    <row r="315" ht="15" customHeight="1">
      <c r="A315" t="inlineStr">
        <is>
          <t>A 27220-2025</t>
        </is>
      </c>
      <c r="B315" s="1" t="n">
        <v>45812.42293981482</v>
      </c>
      <c r="C315" s="1" t="n">
        <v>45900</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27180-2025</t>
        </is>
      </c>
      <c r="B316" s="1" t="n">
        <v>45812.35736111111</v>
      </c>
      <c r="C316" s="1" t="n">
        <v>45900</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27215-2025</t>
        </is>
      </c>
      <c r="B317" s="1" t="n">
        <v>45812.41869212963</v>
      </c>
      <c r="C317" s="1" t="n">
        <v>45900</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27225-2025</t>
        </is>
      </c>
      <c r="B318" s="1" t="n">
        <v>45812.42856481481</v>
      </c>
      <c r="C318" s="1" t="n">
        <v>45900</v>
      </c>
      <c r="D318" t="inlineStr">
        <is>
          <t>ÖREBRO LÄN</t>
        </is>
      </c>
      <c r="E318" t="inlineStr">
        <is>
          <t>ÖREBRO</t>
        </is>
      </c>
      <c r="G318" t="n">
        <v>4</v>
      </c>
      <c r="H318" t="n">
        <v>0</v>
      </c>
      <c r="I318" t="n">
        <v>0</v>
      </c>
      <c r="J318" t="n">
        <v>0</v>
      </c>
      <c r="K318" t="n">
        <v>0</v>
      </c>
      <c r="L318" t="n">
        <v>0</v>
      </c>
      <c r="M318" t="n">
        <v>0</v>
      </c>
      <c r="N318" t="n">
        <v>0</v>
      </c>
      <c r="O318" t="n">
        <v>0</v>
      </c>
      <c r="P318" t="n">
        <v>0</v>
      </c>
      <c r="Q318" t="n">
        <v>0</v>
      </c>
      <c r="R318" s="2" t="inlineStr"/>
    </row>
    <row r="319" ht="15" customHeight="1">
      <c r="A319" t="inlineStr">
        <is>
          <t>A 9379-2024</t>
        </is>
      </c>
      <c r="B319" s="1" t="n">
        <v>45359.37298611111</v>
      </c>
      <c r="C319" s="1" t="n">
        <v>45900</v>
      </c>
      <c r="D319" t="inlineStr">
        <is>
          <t>ÖREBRO LÄN</t>
        </is>
      </c>
      <c r="E319" t="inlineStr">
        <is>
          <t>ÖREBRO</t>
        </is>
      </c>
      <c r="G319" t="n">
        <v>2.4</v>
      </c>
      <c r="H319" t="n">
        <v>0</v>
      </c>
      <c r="I319" t="n">
        <v>0</v>
      </c>
      <c r="J319" t="n">
        <v>0</v>
      </c>
      <c r="K319" t="n">
        <v>0</v>
      </c>
      <c r="L319" t="n">
        <v>0</v>
      </c>
      <c r="M319" t="n">
        <v>0</v>
      </c>
      <c r="N319" t="n">
        <v>0</v>
      </c>
      <c r="O319" t="n">
        <v>0</v>
      </c>
      <c r="P319" t="n">
        <v>0</v>
      </c>
      <c r="Q319" t="n">
        <v>0</v>
      </c>
      <c r="R319" s="2" t="inlineStr"/>
    </row>
    <row r="320" ht="15" customHeight="1">
      <c r="A320" t="inlineStr">
        <is>
          <t>A 5398-2022</t>
        </is>
      </c>
      <c r="B320" s="1" t="n">
        <v>44595.3353587963</v>
      </c>
      <c r="C320" s="1" t="n">
        <v>45900</v>
      </c>
      <c r="D320" t="inlineStr">
        <is>
          <t>ÖREBRO LÄN</t>
        </is>
      </c>
      <c r="E320" t="inlineStr">
        <is>
          <t>ÖREBRO</t>
        </is>
      </c>
      <c r="G320" t="n">
        <v>2.1</v>
      </c>
      <c r="H320" t="n">
        <v>0</v>
      </c>
      <c r="I320" t="n">
        <v>0</v>
      </c>
      <c r="J320" t="n">
        <v>0</v>
      </c>
      <c r="K320" t="n">
        <v>0</v>
      </c>
      <c r="L320" t="n">
        <v>0</v>
      </c>
      <c r="M320" t="n">
        <v>0</v>
      </c>
      <c r="N320" t="n">
        <v>0</v>
      </c>
      <c r="O320" t="n">
        <v>0</v>
      </c>
      <c r="P320" t="n">
        <v>0</v>
      </c>
      <c r="Q320" t="n">
        <v>0</v>
      </c>
      <c r="R320" s="2" t="inlineStr"/>
    </row>
    <row r="321" ht="15" customHeight="1">
      <c r="A321" t="inlineStr">
        <is>
          <t>A 28120-2025</t>
        </is>
      </c>
      <c r="B321" s="1" t="n">
        <v>45818.30459490741</v>
      </c>
      <c r="C321" s="1" t="n">
        <v>45900</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50375-2024</t>
        </is>
      </c>
      <c r="B322" s="1" t="n">
        <v>45601.29311342593</v>
      </c>
      <c r="C322" s="1" t="n">
        <v>45900</v>
      </c>
      <c r="D322" t="inlineStr">
        <is>
          <t>ÖREBRO LÄN</t>
        </is>
      </c>
      <c r="E322" t="inlineStr">
        <is>
          <t>ÖREBRO</t>
        </is>
      </c>
      <c r="G322" t="n">
        <v>5</v>
      </c>
      <c r="H322" t="n">
        <v>0</v>
      </c>
      <c r="I322" t="n">
        <v>0</v>
      </c>
      <c r="J322" t="n">
        <v>0</v>
      </c>
      <c r="K322" t="n">
        <v>0</v>
      </c>
      <c r="L322" t="n">
        <v>0</v>
      </c>
      <c r="M322" t="n">
        <v>0</v>
      </c>
      <c r="N322" t="n">
        <v>0</v>
      </c>
      <c r="O322" t="n">
        <v>0</v>
      </c>
      <c r="P322" t="n">
        <v>0</v>
      </c>
      <c r="Q322" t="n">
        <v>0</v>
      </c>
      <c r="R322" s="2" t="inlineStr"/>
    </row>
    <row r="323" ht="15" customHeight="1">
      <c r="A323" t="inlineStr">
        <is>
          <t>A 52391-2024</t>
        </is>
      </c>
      <c r="B323" s="1" t="n">
        <v>45609.43180555556</v>
      </c>
      <c r="C323" s="1" t="n">
        <v>45900</v>
      </c>
      <c r="D323" t="inlineStr">
        <is>
          <t>ÖREBRO LÄN</t>
        </is>
      </c>
      <c r="E323" t="inlineStr">
        <is>
          <t>ÖREBRO</t>
        </is>
      </c>
      <c r="G323" t="n">
        <v>1.2</v>
      </c>
      <c r="H323" t="n">
        <v>0</v>
      </c>
      <c r="I323" t="n">
        <v>0</v>
      </c>
      <c r="J323" t="n">
        <v>0</v>
      </c>
      <c r="K323" t="n">
        <v>0</v>
      </c>
      <c r="L323" t="n">
        <v>0</v>
      </c>
      <c r="M323" t="n">
        <v>0</v>
      </c>
      <c r="N323" t="n">
        <v>0</v>
      </c>
      <c r="O323" t="n">
        <v>0</v>
      </c>
      <c r="P323" t="n">
        <v>0</v>
      </c>
      <c r="Q323" t="n">
        <v>0</v>
      </c>
      <c r="R323" s="2" t="inlineStr"/>
    </row>
    <row r="324" ht="15" customHeight="1">
      <c r="A324" t="inlineStr">
        <is>
          <t>A 41995-2024</t>
        </is>
      </c>
      <c r="B324" s="1" t="n">
        <v>45561.6475462963</v>
      </c>
      <c r="C324" s="1" t="n">
        <v>45900</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45900</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16737-2023</t>
        </is>
      </c>
      <c r="B326" s="1" t="n">
        <v>45030.72472222222</v>
      </c>
      <c r="C326" s="1" t="n">
        <v>45900</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15866-2022</t>
        </is>
      </c>
      <c r="B327" s="1" t="n">
        <v>44664</v>
      </c>
      <c r="C327" s="1" t="n">
        <v>45900</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45900</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5764-2022</t>
        </is>
      </c>
      <c r="B329" s="1" t="n">
        <v>44596</v>
      </c>
      <c r="C329" s="1" t="n">
        <v>45900</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45900</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40051-2024</t>
        </is>
      </c>
      <c r="B331" s="1" t="n">
        <v>45553</v>
      </c>
      <c r="C331" s="1" t="n">
        <v>45900</v>
      </c>
      <c r="D331" t="inlineStr">
        <is>
          <t>ÖREBRO LÄN</t>
        </is>
      </c>
      <c r="E331" t="inlineStr">
        <is>
          <t>ÖREBRO</t>
        </is>
      </c>
      <c r="G331" t="n">
        <v>3.5</v>
      </c>
      <c r="H331" t="n">
        <v>0</v>
      </c>
      <c r="I331" t="n">
        <v>0</v>
      </c>
      <c r="J331" t="n">
        <v>0</v>
      </c>
      <c r="K331" t="n">
        <v>0</v>
      </c>
      <c r="L331" t="n">
        <v>0</v>
      </c>
      <c r="M331" t="n">
        <v>0</v>
      </c>
      <c r="N331" t="n">
        <v>0</v>
      </c>
      <c r="O331" t="n">
        <v>0</v>
      </c>
      <c r="P331" t="n">
        <v>0</v>
      </c>
      <c r="Q331" t="n">
        <v>0</v>
      </c>
      <c r="R331" s="2" t="inlineStr"/>
    </row>
    <row r="332" ht="15" customHeight="1">
      <c r="A332" t="inlineStr">
        <is>
          <t>A 28938-2025</t>
        </is>
      </c>
      <c r="B332" s="1" t="n">
        <v>45820.70626157407</v>
      </c>
      <c r="C332" s="1" t="n">
        <v>45900</v>
      </c>
      <c r="D332" t="inlineStr">
        <is>
          <t>ÖREBRO LÄN</t>
        </is>
      </c>
      <c r="E332" t="inlineStr">
        <is>
          <t>ÖREBRO</t>
        </is>
      </c>
      <c r="G332" t="n">
        <v>1.9</v>
      </c>
      <c r="H332" t="n">
        <v>0</v>
      </c>
      <c r="I332" t="n">
        <v>0</v>
      </c>
      <c r="J332" t="n">
        <v>0</v>
      </c>
      <c r="K332" t="n">
        <v>0</v>
      </c>
      <c r="L332" t="n">
        <v>0</v>
      </c>
      <c r="M332" t="n">
        <v>0</v>
      </c>
      <c r="N332" t="n">
        <v>0</v>
      </c>
      <c r="O332" t="n">
        <v>0</v>
      </c>
      <c r="P332" t="n">
        <v>0</v>
      </c>
      <c r="Q332" t="n">
        <v>0</v>
      </c>
      <c r="R332" s="2" t="inlineStr"/>
    </row>
    <row r="333" ht="15" customHeight="1">
      <c r="A333" t="inlineStr">
        <is>
          <t>A 41543-2024</t>
        </is>
      </c>
      <c r="B333" s="1" t="n">
        <v>45560</v>
      </c>
      <c r="C333" s="1" t="n">
        <v>45900</v>
      </c>
      <c r="D333" t="inlineStr">
        <is>
          <t>ÖREBRO LÄN</t>
        </is>
      </c>
      <c r="E333" t="inlineStr">
        <is>
          <t>ÖREBRO</t>
        </is>
      </c>
      <c r="G333" t="n">
        <v>2.8</v>
      </c>
      <c r="H333" t="n">
        <v>0</v>
      </c>
      <c r="I333" t="n">
        <v>0</v>
      </c>
      <c r="J333" t="n">
        <v>0</v>
      </c>
      <c r="K333" t="n">
        <v>0</v>
      </c>
      <c r="L333" t="n">
        <v>0</v>
      </c>
      <c r="M333" t="n">
        <v>0</v>
      </c>
      <c r="N333" t="n">
        <v>0</v>
      </c>
      <c r="O333" t="n">
        <v>0</v>
      </c>
      <c r="P333" t="n">
        <v>0</v>
      </c>
      <c r="Q333" t="n">
        <v>0</v>
      </c>
      <c r="R333" s="2" t="inlineStr"/>
    </row>
    <row r="334" ht="15" customHeight="1">
      <c r="A334" t="inlineStr">
        <is>
          <t>A 10799-2024</t>
        </is>
      </c>
      <c r="B334" s="1" t="n">
        <v>45369</v>
      </c>
      <c r="C334" s="1" t="n">
        <v>45900</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28920-2025</t>
        </is>
      </c>
      <c r="B335" s="1" t="n">
        <v>45820.66532407407</v>
      </c>
      <c r="C335" s="1" t="n">
        <v>45900</v>
      </c>
      <c r="D335" t="inlineStr">
        <is>
          <t>ÖREBRO LÄN</t>
        </is>
      </c>
      <c r="E335" t="inlineStr">
        <is>
          <t>ÖREBRO</t>
        </is>
      </c>
      <c r="G335" t="n">
        <v>3</v>
      </c>
      <c r="H335" t="n">
        <v>0</v>
      </c>
      <c r="I335" t="n">
        <v>0</v>
      </c>
      <c r="J335" t="n">
        <v>0</v>
      </c>
      <c r="K335" t="n">
        <v>0</v>
      </c>
      <c r="L335" t="n">
        <v>0</v>
      </c>
      <c r="M335" t="n">
        <v>0</v>
      </c>
      <c r="N335" t="n">
        <v>0</v>
      </c>
      <c r="O335" t="n">
        <v>0</v>
      </c>
      <c r="P335" t="n">
        <v>0</v>
      </c>
      <c r="Q335" t="n">
        <v>0</v>
      </c>
      <c r="R335" s="2" t="inlineStr"/>
    </row>
    <row r="336" ht="15" customHeight="1">
      <c r="A336" t="inlineStr">
        <is>
          <t>A 29286-2025</t>
        </is>
      </c>
      <c r="B336" s="1" t="n">
        <v>45824.43502314815</v>
      </c>
      <c r="C336" s="1" t="n">
        <v>45900</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16694-2025</t>
        </is>
      </c>
      <c r="B337" s="1" t="n">
        <v>45754.46480324074</v>
      </c>
      <c r="C337" s="1" t="n">
        <v>45900</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29339-2025</t>
        </is>
      </c>
      <c r="B338" s="1" t="n">
        <v>45824.5044212963</v>
      </c>
      <c r="C338" s="1" t="n">
        <v>45900</v>
      </c>
      <c r="D338" t="inlineStr">
        <is>
          <t>ÖREBRO LÄN</t>
        </is>
      </c>
      <c r="E338" t="inlineStr">
        <is>
          <t>ÖREBRO</t>
        </is>
      </c>
      <c r="G338" t="n">
        <v>4.3</v>
      </c>
      <c r="H338" t="n">
        <v>0</v>
      </c>
      <c r="I338" t="n">
        <v>0</v>
      </c>
      <c r="J338" t="n">
        <v>0</v>
      </c>
      <c r="K338" t="n">
        <v>0</v>
      </c>
      <c r="L338" t="n">
        <v>0</v>
      </c>
      <c r="M338" t="n">
        <v>0</v>
      </c>
      <c r="N338" t="n">
        <v>0</v>
      </c>
      <c r="O338" t="n">
        <v>0</v>
      </c>
      <c r="P338" t="n">
        <v>0</v>
      </c>
      <c r="Q338" t="n">
        <v>0</v>
      </c>
      <c r="R338" s="2" t="inlineStr"/>
    </row>
    <row r="339" ht="15" customHeight="1">
      <c r="A339" t="inlineStr">
        <is>
          <t>A 49465-2024</t>
        </is>
      </c>
      <c r="B339" s="1" t="n">
        <v>45596</v>
      </c>
      <c r="C339" s="1" t="n">
        <v>45900</v>
      </c>
      <c r="D339" t="inlineStr">
        <is>
          <t>ÖREBRO LÄN</t>
        </is>
      </c>
      <c r="E339" t="inlineStr">
        <is>
          <t>ÖREBRO</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58532-2024</t>
        </is>
      </c>
      <c r="B340" s="1" t="n">
        <v>45635.44899305556</v>
      </c>
      <c r="C340" s="1" t="n">
        <v>45900</v>
      </c>
      <c r="D340" t="inlineStr">
        <is>
          <t>ÖREBRO LÄN</t>
        </is>
      </c>
      <c r="E340" t="inlineStr">
        <is>
          <t>ÖREBRO</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20150-2024</t>
        </is>
      </c>
      <c r="B341" s="1" t="n">
        <v>45434.57969907407</v>
      </c>
      <c r="C341" s="1" t="n">
        <v>45900</v>
      </c>
      <c r="D341" t="inlineStr">
        <is>
          <t>ÖREBRO LÄN</t>
        </is>
      </c>
      <c r="E341" t="inlineStr">
        <is>
          <t>ÖREBRO</t>
        </is>
      </c>
      <c r="G341" t="n">
        <v>0.5</v>
      </c>
      <c r="H341" t="n">
        <v>0</v>
      </c>
      <c r="I341" t="n">
        <v>0</v>
      </c>
      <c r="J341" t="n">
        <v>0</v>
      </c>
      <c r="K341" t="n">
        <v>0</v>
      </c>
      <c r="L341" t="n">
        <v>0</v>
      </c>
      <c r="M341" t="n">
        <v>0</v>
      </c>
      <c r="N341" t="n">
        <v>0</v>
      </c>
      <c r="O341" t="n">
        <v>0</v>
      </c>
      <c r="P341" t="n">
        <v>0</v>
      </c>
      <c r="Q341" t="n">
        <v>0</v>
      </c>
      <c r="R341" s="2" t="inlineStr"/>
    </row>
    <row r="342" ht="15" customHeight="1">
      <c r="A342" t="inlineStr">
        <is>
          <t>A 60059-2023</t>
        </is>
      </c>
      <c r="B342" s="1" t="n">
        <v>45258.38157407408</v>
      </c>
      <c r="C342" s="1" t="n">
        <v>45900</v>
      </c>
      <c r="D342" t="inlineStr">
        <is>
          <t>ÖREBRO LÄN</t>
        </is>
      </c>
      <c r="E342" t="inlineStr">
        <is>
          <t>ÖREBRO</t>
        </is>
      </c>
      <c r="G342" t="n">
        <v>4</v>
      </c>
      <c r="H342" t="n">
        <v>0</v>
      </c>
      <c r="I342" t="n">
        <v>0</v>
      </c>
      <c r="J342" t="n">
        <v>0</v>
      </c>
      <c r="K342" t="n">
        <v>0</v>
      </c>
      <c r="L342" t="n">
        <v>0</v>
      </c>
      <c r="M342" t="n">
        <v>0</v>
      </c>
      <c r="N342" t="n">
        <v>0</v>
      </c>
      <c r="O342" t="n">
        <v>0</v>
      </c>
      <c r="P342" t="n">
        <v>0</v>
      </c>
      <c r="Q342" t="n">
        <v>0</v>
      </c>
      <c r="R342" s="2" t="inlineStr"/>
    </row>
    <row r="343" ht="15" customHeight="1">
      <c r="A343" t="inlineStr">
        <is>
          <t>A 26858-2024</t>
        </is>
      </c>
      <c r="B343" s="1" t="n">
        <v>45470</v>
      </c>
      <c r="C343" s="1" t="n">
        <v>45900</v>
      </c>
      <c r="D343" t="inlineStr">
        <is>
          <t>ÖREBRO LÄN</t>
        </is>
      </c>
      <c r="E343" t="inlineStr">
        <is>
          <t>ÖREBRO</t>
        </is>
      </c>
      <c r="G343" t="n">
        <v>2.3</v>
      </c>
      <c r="H343" t="n">
        <v>0</v>
      </c>
      <c r="I343" t="n">
        <v>0</v>
      </c>
      <c r="J343" t="n">
        <v>0</v>
      </c>
      <c r="K343" t="n">
        <v>0</v>
      </c>
      <c r="L343" t="n">
        <v>0</v>
      </c>
      <c r="M343" t="n">
        <v>0</v>
      </c>
      <c r="N343" t="n">
        <v>0</v>
      </c>
      <c r="O343" t="n">
        <v>0</v>
      </c>
      <c r="P343" t="n">
        <v>0</v>
      </c>
      <c r="Q343" t="n">
        <v>0</v>
      </c>
      <c r="R343" s="2" t="inlineStr"/>
    </row>
    <row r="344" ht="15" customHeight="1">
      <c r="A344" t="inlineStr">
        <is>
          <t>A 58208-2024</t>
        </is>
      </c>
      <c r="B344" s="1" t="n">
        <v>45632</v>
      </c>
      <c r="C344" s="1" t="n">
        <v>45900</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19388-2024</t>
        </is>
      </c>
      <c r="B345" s="1" t="n">
        <v>45429.37775462963</v>
      </c>
      <c r="C345" s="1" t="n">
        <v>45900</v>
      </c>
      <c r="D345" t="inlineStr">
        <is>
          <t>ÖREBRO LÄN</t>
        </is>
      </c>
      <c r="E345" t="inlineStr">
        <is>
          <t>ÖREBRO</t>
        </is>
      </c>
      <c r="G345" t="n">
        <v>4.3</v>
      </c>
      <c r="H345" t="n">
        <v>0</v>
      </c>
      <c r="I345" t="n">
        <v>0</v>
      </c>
      <c r="J345" t="n">
        <v>0</v>
      </c>
      <c r="K345" t="n">
        <v>0</v>
      </c>
      <c r="L345" t="n">
        <v>0</v>
      </c>
      <c r="M345" t="n">
        <v>0</v>
      </c>
      <c r="N345" t="n">
        <v>0</v>
      </c>
      <c r="O345" t="n">
        <v>0</v>
      </c>
      <c r="P345" t="n">
        <v>0</v>
      </c>
      <c r="Q345" t="n">
        <v>0</v>
      </c>
      <c r="R345" s="2" t="inlineStr"/>
    </row>
    <row r="346" ht="15" customHeight="1">
      <c r="A346" t="inlineStr">
        <is>
          <t>A 29701-2025</t>
        </is>
      </c>
      <c r="B346" s="1" t="n">
        <v>45825.55261574074</v>
      </c>
      <c r="C346" s="1" t="n">
        <v>45900</v>
      </c>
      <c r="D346" t="inlineStr">
        <is>
          <t>ÖREBRO LÄN</t>
        </is>
      </c>
      <c r="E346" t="inlineStr">
        <is>
          <t>ÖREBRO</t>
        </is>
      </c>
      <c r="G346" t="n">
        <v>5.8</v>
      </c>
      <c r="H346" t="n">
        <v>0</v>
      </c>
      <c r="I346" t="n">
        <v>0</v>
      </c>
      <c r="J346" t="n">
        <v>0</v>
      </c>
      <c r="K346" t="n">
        <v>0</v>
      </c>
      <c r="L346" t="n">
        <v>0</v>
      </c>
      <c r="M346" t="n">
        <v>0</v>
      </c>
      <c r="N346" t="n">
        <v>0</v>
      </c>
      <c r="O346" t="n">
        <v>0</v>
      </c>
      <c r="P346" t="n">
        <v>0</v>
      </c>
      <c r="Q346" t="n">
        <v>0</v>
      </c>
      <c r="R346" s="2" t="inlineStr"/>
    </row>
    <row r="347" ht="15" customHeight="1">
      <c r="A347" t="inlineStr">
        <is>
          <t>A 29554-2025</t>
        </is>
      </c>
      <c r="B347" s="1" t="n">
        <v>45825</v>
      </c>
      <c r="C347" s="1" t="n">
        <v>45900</v>
      </c>
      <c r="D347" t="inlineStr">
        <is>
          <t>ÖREBRO LÄN</t>
        </is>
      </c>
      <c r="E347" t="inlineStr">
        <is>
          <t>ÖREBRO</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59121-2024</t>
        </is>
      </c>
      <c r="B348" s="1" t="n">
        <v>45637.37755787037</v>
      </c>
      <c r="C348" s="1" t="n">
        <v>45900</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49215-2023</t>
        </is>
      </c>
      <c r="B349" s="1" t="n">
        <v>45210.61050925926</v>
      </c>
      <c r="C349" s="1" t="n">
        <v>45900</v>
      </c>
      <c r="D349" t="inlineStr">
        <is>
          <t>ÖREBRO LÄN</t>
        </is>
      </c>
      <c r="E349" t="inlineStr">
        <is>
          <t>ÖREBRO</t>
        </is>
      </c>
      <c r="F349" t="inlineStr">
        <is>
          <t>Övriga Aktiebolag</t>
        </is>
      </c>
      <c r="G349" t="n">
        <v>4.2</v>
      </c>
      <c r="H349" t="n">
        <v>0</v>
      </c>
      <c r="I349" t="n">
        <v>0</v>
      </c>
      <c r="J349" t="n">
        <v>0</v>
      </c>
      <c r="K349" t="n">
        <v>0</v>
      </c>
      <c r="L349" t="n">
        <v>0</v>
      </c>
      <c r="M349" t="n">
        <v>0</v>
      </c>
      <c r="N349" t="n">
        <v>0</v>
      </c>
      <c r="O349" t="n">
        <v>0</v>
      </c>
      <c r="P349" t="n">
        <v>0</v>
      </c>
      <c r="Q349" t="n">
        <v>0</v>
      </c>
      <c r="R349" s="2" t="inlineStr"/>
    </row>
    <row r="350" ht="15" customHeight="1">
      <c r="A350" t="inlineStr">
        <is>
          <t>A 17983-2025</t>
        </is>
      </c>
      <c r="B350" s="1" t="n">
        <v>45761.38829861111</v>
      </c>
      <c r="C350" s="1" t="n">
        <v>45900</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36448-2025</t>
        </is>
      </c>
      <c r="B351" s="1" t="n">
        <v>45869.41929398148</v>
      </c>
      <c r="C351" s="1" t="n">
        <v>45900</v>
      </c>
      <c r="D351" t="inlineStr">
        <is>
          <t>ÖREBRO LÄN</t>
        </is>
      </c>
      <c r="E351" t="inlineStr">
        <is>
          <t>ÖREBRO</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7506-2025</t>
        </is>
      </c>
      <c r="B352" s="1" t="n">
        <v>45705</v>
      </c>
      <c r="C352" s="1" t="n">
        <v>45900</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36447-2025</t>
        </is>
      </c>
      <c r="B353" s="1" t="n">
        <v>45869.41387731482</v>
      </c>
      <c r="C353" s="1" t="n">
        <v>45900</v>
      </c>
      <c r="D353" t="inlineStr">
        <is>
          <t>ÖREBRO LÄN</t>
        </is>
      </c>
      <c r="E353" t="inlineStr">
        <is>
          <t>ÖREBRO</t>
        </is>
      </c>
      <c r="F353" t="inlineStr">
        <is>
          <t>Övriga Aktiebolag</t>
        </is>
      </c>
      <c r="G353" t="n">
        <v>12.6</v>
      </c>
      <c r="H353" t="n">
        <v>0</v>
      </c>
      <c r="I353" t="n">
        <v>0</v>
      </c>
      <c r="J353" t="n">
        <v>0</v>
      </c>
      <c r="K353" t="n">
        <v>0</v>
      </c>
      <c r="L353" t="n">
        <v>0</v>
      </c>
      <c r="M353" t="n">
        <v>0</v>
      </c>
      <c r="N353" t="n">
        <v>0</v>
      </c>
      <c r="O353" t="n">
        <v>0</v>
      </c>
      <c r="P353" t="n">
        <v>0</v>
      </c>
      <c r="Q353" t="n">
        <v>0</v>
      </c>
      <c r="R353" s="2" t="inlineStr"/>
    </row>
    <row r="354" ht="15" customHeight="1">
      <c r="A354" t="inlineStr">
        <is>
          <t>A 4344-2025</t>
        </is>
      </c>
      <c r="B354" s="1" t="n">
        <v>45685</v>
      </c>
      <c r="C354" s="1" t="n">
        <v>45900</v>
      </c>
      <c r="D354" t="inlineStr">
        <is>
          <t>ÖREBRO LÄN</t>
        </is>
      </c>
      <c r="E354" t="inlineStr">
        <is>
          <t>ÖREBRO</t>
        </is>
      </c>
      <c r="G354" t="n">
        <v>1.6</v>
      </c>
      <c r="H354" t="n">
        <v>0</v>
      </c>
      <c r="I354" t="n">
        <v>0</v>
      </c>
      <c r="J354" t="n">
        <v>0</v>
      </c>
      <c r="K354" t="n">
        <v>0</v>
      </c>
      <c r="L354" t="n">
        <v>0</v>
      </c>
      <c r="M354" t="n">
        <v>0</v>
      </c>
      <c r="N354" t="n">
        <v>0</v>
      </c>
      <c r="O354" t="n">
        <v>0</v>
      </c>
      <c r="P354" t="n">
        <v>0</v>
      </c>
      <c r="Q354" t="n">
        <v>0</v>
      </c>
      <c r="R354" s="2" t="inlineStr"/>
    </row>
    <row r="355" ht="15" customHeight="1">
      <c r="A355" t="inlineStr">
        <is>
          <t>A 8571-2021</t>
        </is>
      </c>
      <c r="B355" s="1" t="n">
        <v>44245</v>
      </c>
      <c r="C355" s="1" t="n">
        <v>45900</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30550-2025</t>
        </is>
      </c>
      <c r="B356" s="1" t="n">
        <v>45831.38224537037</v>
      </c>
      <c r="C356" s="1" t="n">
        <v>45900</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16300-2022</t>
        </is>
      </c>
      <c r="B357" s="1" t="n">
        <v>44670</v>
      </c>
      <c r="C357" s="1" t="n">
        <v>45900</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16958-2022</t>
        </is>
      </c>
      <c r="B358" s="1" t="n">
        <v>44676.50481481481</v>
      </c>
      <c r="C358" s="1" t="n">
        <v>45900</v>
      </c>
      <c r="D358" t="inlineStr">
        <is>
          <t>ÖREBRO LÄN</t>
        </is>
      </c>
      <c r="E358" t="inlineStr">
        <is>
          <t>ÖREBRO</t>
        </is>
      </c>
      <c r="G358" t="n">
        <v>3.1</v>
      </c>
      <c r="H358" t="n">
        <v>0</v>
      </c>
      <c r="I358" t="n">
        <v>0</v>
      </c>
      <c r="J358" t="n">
        <v>0</v>
      </c>
      <c r="K358" t="n">
        <v>0</v>
      </c>
      <c r="L358" t="n">
        <v>0</v>
      </c>
      <c r="M358" t="n">
        <v>0</v>
      </c>
      <c r="N358" t="n">
        <v>0</v>
      </c>
      <c r="O358" t="n">
        <v>0</v>
      </c>
      <c r="P358" t="n">
        <v>0</v>
      </c>
      <c r="Q358" t="n">
        <v>0</v>
      </c>
      <c r="R358" s="2" t="inlineStr"/>
    </row>
    <row r="359" ht="15" customHeight="1">
      <c r="A359" t="inlineStr">
        <is>
          <t>A 55472-2023</t>
        </is>
      </c>
      <c r="B359" s="1" t="n">
        <v>45238</v>
      </c>
      <c r="C359" s="1" t="n">
        <v>45900</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55692-2023</t>
        </is>
      </c>
      <c r="B360" s="1" t="n">
        <v>45239</v>
      </c>
      <c r="C360" s="1" t="n">
        <v>45900</v>
      </c>
      <c r="D360" t="inlineStr">
        <is>
          <t>ÖREBRO LÄN</t>
        </is>
      </c>
      <c r="E360" t="inlineStr">
        <is>
          <t>ÖREBRO</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30731-2025</t>
        </is>
      </c>
      <c r="B361" s="1" t="n">
        <v>45831.57280092593</v>
      </c>
      <c r="C361" s="1" t="n">
        <v>45900</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14715-2024</t>
        </is>
      </c>
      <c r="B362" s="1" t="n">
        <v>45397.5500462963</v>
      </c>
      <c r="C362" s="1" t="n">
        <v>45900</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18550-2025</t>
        </is>
      </c>
      <c r="B363" s="1" t="n">
        <v>45763.43422453704</v>
      </c>
      <c r="C363" s="1" t="n">
        <v>45900</v>
      </c>
      <c r="D363" t="inlineStr">
        <is>
          <t>ÖREBRO LÄN</t>
        </is>
      </c>
      <c r="E363" t="inlineStr">
        <is>
          <t>ÖREBRO</t>
        </is>
      </c>
      <c r="G363" t="n">
        <v>11.5</v>
      </c>
      <c r="H363" t="n">
        <v>0</v>
      </c>
      <c r="I363" t="n">
        <v>0</v>
      </c>
      <c r="J363" t="n">
        <v>0</v>
      </c>
      <c r="K363" t="n">
        <v>0</v>
      </c>
      <c r="L363" t="n">
        <v>0</v>
      </c>
      <c r="M363" t="n">
        <v>0</v>
      </c>
      <c r="N363" t="n">
        <v>0</v>
      </c>
      <c r="O363" t="n">
        <v>0</v>
      </c>
      <c r="P363" t="n">
        <v>0</v>
      </c>
      <c r="Q363" t="n">
        <v>0</v>
      </c>
      <c r="R363" s="2" t="inlineStr"/>
    </row>
    <row r="364" ht="15" customHeight="1">
      <c r="A364" t="inlineStr">
        <is>
          <t>A 30951-2025</t>
        </is>
      </c>
      <c r="B364" s="1" t="n">
        <v>45832.43225694444</v>
      </c>
      <c r="C364" s="1" t="n">
        <v>45900</v>
      </c>
      <c r="D364" t="inlineStr">
        <is>
          <t>ÖREBRO LÄN</t>
        </is>
      </c>
      <c r="E364" t="inlineStr">
        <is>
          <t>ÖREBRO</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12682-2023</t>
        </is>
      </c>
      <c r="B365" s="1" t="n">
        <v>45000.6115625</v>
      </c>
      <c r="C365" s="1" t="n">
        <v>45900</v>
      </c>
      <c r="D365" t="inlineStr">
        <is>
          <t>ÖREBRO LÄN</t>
        </is>
      </c>
      <c r="E365" t="inlineStr">
        <is>
          <t>ÖREBRO</t>
        </is>
      </c>
      <c r="F365" t="inlineStr">
        <is>
          <t>Övriga Aktiebolag</t>
        </is>
      </c>
      <c r="G365" t="n">
        <v>4.4</v>
      </c>
      <c r="H365" t="n">
        <v>0</v>
      </c>
      <c r="I365" t="n">
        <v>0</v>
      </c>
      <c r="J365" t="n">
        <v>0</v>
      </c>
      <c r="K365" t="n">
        <v>0</v>
      </c>
      <c r="L365" t="n">
        <v>0</v>
      </c>
      <c r="M365" t="n">
        <v>0</v>
      </c>
      <c r="N365" t="n">
        <v>0</v>
      </c>
      <c r="O365" t="n">
        <v>0</v>
      </c>
      <c r="P365" t="n">
        <v>0</v>
      </c>
      <c r="Q365" t="n">
        <v>0</v>
      </c>
      <c r="R365" s="2" t="inlineStr"/>
    </row>
    <row r="366" ht="15" customHeight="1">
      <c r="A366" t="inlineStr">
        <is>
          <t>A 13592-2023</t>
        </is>
      </c>
      <c r="B366" s="1" t="n">
        <v>45006.56870370371</v>
      </c>
      <c r="C366" s="1" t="n">
        <v>45900</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31066-2025</t>
        </is>
      </c>
      <c r="B367" s="1" t="n">
        <v>45832</v>
      </c>
      <c r="C367" s="1" t="n">
        <v>45900</v>
      </c>
      <c r="D367" t="inlineStr">
        <is>
          <t>ÖREBRO LÄN</t>
        </is>
      </c>
      <c r="E367" t="inlineStr">
        <is>
          <t>ÖREBRO</t>
        </is>
      </c>
      <c r="G367" t="n">
        <v>11.1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45900</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54925-2023</t>
        </is>
      </c>
      <c r="B369" s="1" t="n">
        <v>45229</v>
      </c>
      <c r="C369" s="1" t="n">
        <v>45900</v>
      </c>
      <c r="D369" t="inlineStr">
        <is>
          <t>ÖREBRO LÄN</t>
        </is>
      </c>
      <c r="E369" t="inlineStr">
        <is>
          <t>ÖREBRO</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45900</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16961-2022</t>
        </is>
      </c>
      <c r="B371" s="1" t="n">
        <v>44676</v>
      </c>
      <c r="C371" s="1" t="n">
        <v>45900</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59736-2023</t>
        </is>
      </c>
      <c r="B372" s="1" t="n">
        <v>45257.374375</v>
      </c>
      <c r="C372" s="1" t="n">
        <v>45900</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31233-2025</t>
        </is>
      </c>
      <c r="B373" s="1" t="n">
        <v>45832.83341435185</v>
      </c>
      <c r="C373" s="1" t="n">
        <v>45900</v>
      </c>
      <c r="D373" t="inlineStr">
        <is>
          <t>ÖREBRO LÄN</t>
        </is>
      </c>
      <c r="E373" t="inlineStr">
        <is>
          <t>ÖREBRO</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31232-2025</t>
        </is>
      </c>
      <c r="B374" s="1" t="n">
        <v>45832.8252199074</v>
      </c>
      <c r="C374" s="1" t="n">
        <v>45900</v>
      </c>
      <c r="D374" t="inlineStr">
        <is>
          <t>ÖREBRO LÄN</t>
        </is>
      </c>
      <c r="E374" t="inlineStr">
        <is>
          <t>ÖREBRO</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55355-2024</t>
        </is>
      </c>
      <c r="B375" s="1" t="n">
        <v>45621.80475694445</v>
      </c>
      <c r="C375" s="1" t="n">
        <v>45900</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15424-2022</t>
        </is>
      </c>
      <c r="B376" s="1" t="n">
        <v>44659</v>
      </c>
      <c r="C376" s="1" t="n">
        <v>45900</v>
      </c>
      <c r="D376" t="inlineStr">
        <is>
          <t>ÖREBRO LÄN</t>
        </is>
      </c>
      <c r="E376" t="inlineStr">
        <is>
          <t>ÖREBRO</t>
        </is>
      </c>
      <c r="G376" t="n">
        <v>2.2</v>
      </c>
      <c r="H376" t="n">
        <v>0</v>
      </c>
      <c r="I376" t="n">
        <v>0</v>
      </c>
      <c r="J376" t="n">
        <v>0</v>
      </c>
      <c r="K376" t="n">
        <v>0</v>
      </c>
      <c r="L376" t="n">
        <v>0</v>
      </c>
      <c r="M376" t="n">
        <v>0</v>
      </c>
      <c r="N376" t="n">
        <v>0</v>
      </c>
      <c r="O376" t="n">
        <v>0</v>
      </c>
      <c r="P376" t="n">
        <v>0</v>
      </c>
      <c r="Q376" t="n">
        <v>0</v>
      </c>
      <c r="R376" s="2" t="inlineStr"/>
    </row>
    <row r="377" ht="15" customHeight="1">
      <c r="A377" t="inlineStr">
        <is>
          <t>A 49029-2024</t>
        </is>
      </c>
      <c r="B377" s="1" t="n">
        <v>45594</v>
      </c>
      <c r="C377" s="1" t="n">
        <v>45900</v>
      </c>
      <c r="D377" t="inlineStr">
        <is>
          <t>ÖREBRO LÄN</t>
        </is>
      </c>
      <c r="E377" t="inlineStr">
        <is>
          <t>ÖREBRO</t>
        </is>
      </c>
      <c r="G377" t="n">
        <v>3.7</v>
      </c>
      <c r="H377" t="n">
        <v>0</v>
      </c>
      <c r="I377" t="n">
        <v>0</v>
      </c>
      <c r="J377" t="n">
        <v>0</v>
      </c>
      <c r="K377" t="n">
        <v>0</v>
      </c>
      <c r="L377" t="n">
        <v>0</v>
      </c>
      <c r="M377" t="n">
        <v>0</v>
      </c>
      <c r="N377" t="n">
        <v>0</v>
      </c>
      <c r="O377" t="n">
        <v>0</v>
      </c>
      <c r="P377" t="n">
        <v>0</v>
      </c>
      <c r="Q377" t="n">
        <v>0</v>
      </c>
      <c r="R377" s="2" t="inlineStr"/>
    </row>
    <row r="378" ht="15" customHeight="1">
      <c r="A378" t="inlineStr">
        <is>
          <t>A 20115-2024</t>
        </is>
      </c>
      <c r="B378" s="1" t="n">
        <v>45434</v>
      </c>
      <c r="C378" s="1" t="n">
        <v>45900</v>
      </c>
      <c r="D378" t="inlineStr">
        <is>
          <t>ÖREBRO LÄN</t>
        </is>
      </c>
      <c r="E378" t="inlineStr">
        <is>
          <t>ÖREBRO</t>
        </is>
      </c>
      <c r="G378" t="n">
        <v>1.7</v>
      </c>
      <c r="H378" t="n">
        <v>0</v>
      </c>
      <c r="I378" t="n">
        <v>0</v>
      </c>
      <c r="J378" t="n">
        <v>0</v>
      </c>
      <c r="K378" t="n">
        <v>0</v>
      </c>
      <c r="L378" t="n">
        <v>0</v>
      </c>
      <c r="M378" t="n">
        <v>0</v>
      </c>
      <c r="N378" t="n">
        <v>0</v>
      </c>
      <c r="O378" t="n">
        <v>0</v>
      </c>
      <c r="P378" t="n">
        <v>0</v>
      </c>
      <c r="Q378" t="n">
        <v>0</v>
      </c>
      <c r="R378" s="2" t="inlineStr"/>
    </row>
    <row r="379" ht="15" customHeight="1">
      <c r="A379" t="inlineStr">
        <is>
          <t>A 13700-2024</t>
        </is>
      </c>
      <c r="B379" s="1" t="n">
        <v>45390.59277777778</v>
      </c>
      <c r="C379" s="1" t="n">
        <v>45900</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55875-2024</t>
        </is>
      </c>
      <c r="B380" s="1" t="n">
        <v>45623.55375</v>
      </c>
      <c r="C380" s="1" t="n">
        <v>45900</v>
      </c>
      <c r="D380" t="inlineStr">
        <is>
          <t>ÖREBRO LÄN</t>
        </is>
      </c>
      <c r="E380" t="inlineStr">
        <is>
          <t>ÖREBRO</t>
        </is>
      </c>
      <c r="G380" t="n">
        <v>3.5</v>
      </c>
      <c r="H380" t="n">
        <v>0</v>
      </c>
      <c r="I380" t="n">
        <v>0</v>
      </c>
      <c r="J380" t="n">
        <v>0</v>
      </c>
      <c r="K380" t="n">
        <v>0</v>
      </c>
      <c r="L380" t="n">
        <v>0</v>
      </c>
      <c r="M380" t="n">
        <v>0</v>
      </c>
      <c r="N380" t="n">
        <v>0</v>
      </c>
      <c r="O380" t="n">
        <v>0</v>
      </c>
      <c r="P380" t="n">
        <v>0</v>
      </c>
      <c r="Q380" t="n">
        <v>0</v>
      </c>
      <c r="R380" s="2" t="inlineStr"/>
    </row>
    <row r="381" ht="15" customHeight="1">
      <c r="A381" t="inlineStr">
        <is>
          <t>A 23710-2022</t>
        </is>
      </c>
      <c r="B381" s="1" t="n">
        <v>44722</v>
      </c>
      <c r="C381" s="1" t="n">
        <v>45900</v>
      </c>
      <c r="D381" t="inlineStr">
        <is>
          <t>ÖREBRO LÄN</t>
        </is>
      </c>
      <c r="E381" t="inlineStr">
        <is>
          <t>ÖREBRO</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31237-2025</t>
        </is>
      </c>
      <c r="B382" s="1" t="n">
        <v>45832.84313657408</v>
      </c>
      <c r="C382" s="1" t="n">
        <v>45900</v>
      </c>
      <c r="D382" t="inlineStr">
        <is>
          <t>ÖREBRO LÄN</t>
        </is>
      </c>
      <c r="E382" t="inlineStr">
        <is>
          <t>ÖREBRO</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3659-2025</t>
        </is>
      </c>
      <c r="B383" s="1" t="n">
        <v>45681</v>
      </c>
      <c r="C383" s="1" t="n">
        <v>45900</v>
      </c>
      <c r="D383" t="inlineStr">
        <is>
          <t>ÖREBRO LÄN</t>
        </is>
      </c>
      <c r="E383" t="inlineStr">
        <is>
          <t>ÖREBRO</t>
        </is>
      </c>
      <c r="G383" t="n">
        <v>15.8</v>
      </c>
      <c r="H383" t="n">
        <v>0</v>
      </c>
      <c r="I383" t="n">
        <v>0</v>
      </c>
      <c r="J383" t="n">
        <v>0</v>
      </c>
      <c r="K383" t="n">
        <v>0</v>
      </c>
      <c r="L383" t="n">
        <v>0</v>
      </c>
      <c r="M383" t="n">
        <v>0</v>
      </c>
      <c r="N383" t="n">
        <v>0</v>
      </c>
      <c r="O383" t="n">
        <v>0</v>
      </c>
      <c r="P383" t="n">
        <v>0</v>
      </c>
      <c r="Q383" t="n">
        <v>0</v>
      </c>
      <c r="R383" s="2" t="inlineStr"/>
    </row>
    <row r="384" ht="15" customHeight="1">
      <c r="A384" t="inlineStr">
        <is>
          <t>A 10470-2025</t>
        </is>
      </c>
      <c r="B384" s="1" t="n">
        <v>45720</v>
      </c>
      <c r="C384" s="1" t="n">
        <v>45900</v>
      </c>
      <c r="D384" t="inlineStr">
        <is>
          <t>ÖREBRO LÄN</t>
        </is>
      </c>
      <c r="E384" t="inlineStr">
        <is>
          <t>ÖREBRO</t>
        </is>
      </c>
      <c r="G384" t="n">
        <v>11.5</v>
      </c>
      <c r="H384" t="n">
        <v>0</v>
      </c>
      <c r="I384" t="n">
        <v>0</v>
      </c>
      <c r="J384" t="n">
        <v>0</v>
      </c>
      <c r="K384" t="n">
        <v>0</v>
      </c>
      <c r="L384" t="n">
        <v>0</v>
      </c>
      <c r="M384" t="n">
        <v>0</v>
      </c>
      <c r="N384" t="n">
        <v>0</v>
      </c>
      <c r="O384" t="n">
        <v>0</v>
      </c>
      <c r="P384" t="n">
        <v>0</v>
      </c>
      <c r="Q384" t="n">
        <v>0</v>
      </c>
      <c r="R384" s="2" t="inlineStr"/>
    </row>
    <row r="385" ht="15" customHeight="1">
      <c r="A385" t="inlineStr">
        <is>
          <t>A 46056-2024</t>
        </is>
      </c>
      <c r="B385" s="1" t="n">
        <v>45580.91502314815</v>
      </c>
      <c r="C385" s="1" t="n">
        <v>45900</v>
      </c>
      <c r="D385" t="inlineStr">
        <is>
          <t>ÖREBRO LÄN</t>
        </is>
      </c>
      <c r="E385" t="inlineStr">
        <is>
          <t>ÖREBRO</t>
        </is>
      </c>
      <c r="F385" t="inlineStr">
        <is>
          <t>Övriga Aktiebolag</t>
        </is>
      </c>
      <c r="G385" t="n">
        <v>4.5</v>
      </c>
      <c r="H385" t="n">
        <v>0</v>
      </c>
      <c r="I385" t="n">
        <v>0</v>
      </c>
      <c r="J385" t="n">
        <v>0</v>
      </c>
      <c r="K385" t="n">
        <v>0</v>
      </c>
      <c r="L385" t="n">
        <v>0</v>
      </c>
      <c r="M385" t="n">
        <v>0</v>
      </c>
      <c r="N385" t="n">
        <v>0</v>
      </c>
      <c r="O385" t="n">
        <v>0</v>
      </c>
      <c r="P385" t="n">
        <v>0</v>
      </c>
      <c r="Q385" t="n">
        <v>0</v>
      </c>
      <c r="R385" s="2" t="inlineStr"/>
    </row>
    <row r="386" ht="15" customHeight="1">
      <c r="A386" t="inlineStr">
        <is>
          <t>A 13355-2023</t>
        </is>
      </c>
      <c r="B386" s="1" t="n">
        <v>45004</v>
      </c>
      <c r="C386" s="1" t="n">
        <v>45900</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65257-2023</t>
        </is>
      </c>
      <c r="B387" s="1" t="n">
        <v>45290</v>
      </c>
      <c r="C387" s="1" t="n">
        <v>45900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1014-2024</t>
        </is>
      </c>
      <c r="B388" s="1" t="n">
        <v>45301</v>
      </c>
      <c r="C388" s="1" t="n">
        <v>45900</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6522-2023</t>
        </is>
      </c>
      <c r="B389" s="1" t="n">
        <v>44966</v>
      </c>
      <c r="C389" s="1" t="n">
        <v>45900</v>
      </c>
      <c r="D389" t="inlineStr">
        <is>
          <t>ÖREBRO LÄN</t>
        </is>
      </c>
      <c r="E389" t="inlineStr">
        <is>
          <t>ÖREBRO</t>
        </is>
      </c>
      <c r="G389" t="n">
        <v>4.4</v>
      </c>
      <c r="H389" t="n">
        <v>0</v>
      </c>
      <c r="I389" t="n">
        <v>0</v>
      </c>
      <c r="J389" t="n">
        <v>0</v>
      </c>
      <c r="K389" t="n">
        <v>0</v>
      </c>
      <c r="L389" t="n">
        <v>0</v>
      </c>
      <c r="M389" t="n">
        <v>0</v>
      </c>
      <c r="N389" t="n">
        <v>0</v>
      </c>
      <c r="O389" t="n">
        <v>0</v>
      </c>
      <c r="P389" t="n">
        <v>0</v>
      </c>
      <c r="Q389" t="n">
        <v>0</v>
      </c>
      <c r="R389" s="2" t="inlineStr"/>
    </row>
    <row r="390" ht="15" customHeight="1">
      <c r="A390" t="inlineStr">
        <is>
          <t>A 56040-2024</t>
        </is>
      </c>
      <c r="B390" s="1" t="n">
        <v>45624.3344212963</v>
      </c>
      <c r="C390" s="1" t="n">
        <v>45900</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52444-2024</t>
        </is>
      </c>
      <c r="B391" s="1" t="n">
        <v>45609.48894675926</v>
      </c>
      <c r="C391" s="1" t="n">
        <v>45900</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8374-2021</t>
        </is>
      </c>
      <c r="B392" s="1" t="n">
        <v>44244</v>
      </c>
      <c r="C392" s="1" t="n">
        <v>45900</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32218-2025</t>
        </is>
      </c>
      <c r="B393" s="1" t="n">
        <v>45835.58880787037</v>
      </c>
      <c r="C393" s="1" t="n">
        <v>45900</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60128-2023</t>
        </is>
      </c>
      <c r="B394" s="1" t="n">
        <v>45258</v>
      </c>
      <c r="C394" s="1" t="n">
        <v>45900</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16140-2023</t>
        </is>
      </c>
      <c r="B395" s="1" t="n">
        <v>45027.6433912037</v>
      </c>
      <c r="C395" s="1" t="n">
        <v>45900</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32188-2025</t>
        </is>
      </c>
      <c r="B396" s="1" t="n">
        <v>45835.56965277778</v>
      </c>
      <c r="C396" s="1" t="n">
        <v>45900</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32195-2025</t>
        </is>
      </c>
      <c r="B397" s="1" t="n">
        <v>45835.57407407407</v>
      </c>
      <c r="C397" s="1" t="n">
        <v>45900</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38057-2025</t>
        </is>
      </c>
      <c r="B398" s="1" t="n">
        <v>45882.42570601852</v>
      </c>
      <c r="C398" s="1" t="n">
        <v>45900</v>
      </c>
      <c r="D398" t="inlineStr">
        <is>
          <t>ÖREBRO LÄN</t>
        </is>
      </c>
      <c r="E398" t="inlineStr">
        <is>
          <t>ÖREBRO</t>
        </is>
      </c>
      <c r="G398" t="n">
        <v>3</v>
      </c>
      <c r="H398" t="n">
        <v>0</v>
      </c>
      <c r="I398" t="n">
        <v>0</v>
      </c>
      <c r="J398" t="n">
        <v>0</v>
      </c>
      <c r="K398" t="n">
        <v>0</v>
      </c>
      <c r="L398" t="n">
        <v>0</v>
      </c>
      <c r="M398" t="n">
        <v>0</v>
      </c>
      <c r="N398" t="n">
        <v>0</v>
      </c>
      <c r="O398" t="n">
        <v>0</v>
      </c>
      <c r="P398" t="n">
        <v>0</v>
      </c>
      <c r="Q398" t="n">
        <v>0</v>
      </c>
      <c r="R398" s="2" t="inlineStr"/>
    </row>
    <row r="399" ht="15" customHeight="1">
      <c r="A399" t="inlineStr">
        <is>
          <t>A 767-2024</t>
        </is>
      </c>
      <c r="B399" s="1" t="n">
        <v>45300.51892361111</v>
      </c>
      <c r="C399" s="1" t="n">
        <v>45900</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33191-2025</t>
        </is>
      </c>
      <c r="B400" s="1" t="n">
        <v>45840.6003587963</v>
      </c>
      <c r="C400" s="1" t="n">
        <v>45900</v>
      </c>
      <c r="D400" t="inlineStr">
        <is>
          <t>ÖREBRO LÄN</t>
        </is>
      </c>
      <c r="E400" t="inlineStr">
        <is>
          <t>ÖREBRO</t>
        </is>
      </c>
      <c r="G400" t="n">
        <v>2.6</v>
      </c>
      <c r="H400" t="n">
        <v>0</v>
      </c>
      <c r="I400" t="n">
        <v>0</v>
      </c>
      <c r="J400" t="n">
        <v>0</v>
      </c>
      <c r="K400" t="n">
        <v>0</v>
      </c>
      <c r="L400" t="n">
        <v>0</v>
      </c>
      <c r="M400" t="n">
        <v>0</v>
      </c>
      <c r="N400" t="n">
        <v>0</v>
      </c>
      <c r="O400" t="n">
        <v>0</v>
      </c>
      <c r="P400" t="n">
        <v>0</v>
      </c>
      <c r="Q400" t="n">
        <v>0</v>
      </c>
      <c r="R400" s="2" t="inlineStr"/>
    </row>
    <row r="401" ht="15" customHeight="1">
      <c r="A401" t="inlineStr">
        <is>
          <t>A 44511-2023</t>
        </is>
      </c>
      <c r="B401" s="1" t="n">
        <v>45189</v>
      </c>
      <c r="C401" s="1" t="n">
        <v>45900</v>
      </c>
      <c r="D401" t="inlineStr">
        <is>
          <t>ÖREBRO LÄN</t>
        </is>
      </c>
      <c r="E401" t="inlineStr">
        <is>
          <t>ÖREBRO</t>
        </is>
      </c>
      <c r="F401" t="inlineStr">
        <is>
          <t>Allmännings- och besparingsskogar</t>
        </is>
      </c>
      <c r="G401" t="n">
        <v>2.7</v>
      </c>
      <c r="H401" t="n">
        <v>0</v>
      </c>
      <c r="I401" t="n">
        <v>0</v>
      </c>
      <c r="J401" t="n">
        <v>0</v>
      </c>
      <c r="K401" t="n">
        <v>0</v>
      </c>
      <c r="L401" t="n">
        <v>0</v>
      </c>
      <c r="M401" t="n">
        <v>0</v>
      </c>
      <c r="N401" t="n">
        <v>0</v>
      </c>
      <c r="O401" t="n">
        <v>0</v>
      </c>
      <c r="P401" t="n">
        <v>0</v>
      </c>
      <c r="Q401" t="n">
        <v>0</v>
      </c>
      <c r="R401" s="2" t="inlineStr"/>
    </row>
    <row r="402" ht="15" customHeight="1">
      <c r="A402" t="inlineStr">
        <is>
          <t>A 53234-2023</t>
        </is>
      </c>
      <c r="B402" s="1" t="n">
        <v>45229</v>
      </c>
      <c r="C402" s="1" t="n">
        <v>45900</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32426-2025</t>
        </is>
      </c>
      <c r="B403" s="1" t="n">
        <v>45838.36179398148</v>
      </c>
      <c r="C403" s="1" t="n">
        <v>45900</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8512-2025</t>
        </is>
      </c>
      <c r="B404" s="1" t="n">
        <v>45709.54873842592</v>
      </c>
      <c r="C404" s="1" t="n">
        <v>45900</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32904-2025</t>
        </is>
      </c>
      <c r="B405" s="1" t="n">
        <v>45839</v>
      </c>
      <c r="C405" s="1" t="n">
        <v>45900</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33019-2025</t>
        </is>
      </c>
      <c r="B406" s="1" t="n">
        <v>45840</v>
      </c>
      <c r="C406" s="1" t="n">
        <v>45900</v>
      </c>
      <c r="D406" t="inlineStr">
        <is>
          <t>ÖREBRO LÄN</t>
        </is>
      </c>
      <c r="E406" t="inlineStr">
        <is>
          <t>ÖREBRO</t>
        </is>
      </c>
      <c r="G406" t="n">
        <v>4.2</v>
      </c>
      <c r="H406" t="n">
        <v>0</v>
      </c>
      <c r="I406" t="n">
        <v>0</v>
      </c>
      <c r="J406" t="n">
        <v>0</v>
      </c>
      <c r="K406" t="n">
        <v>0</v>
      </c>
      <c r="L406" t="n">
        <v>0</v>
      </c>
      <c r="M406" t="n">
        <v>0</v>
      </c>
      <c r="N406" t="n">
        <v>0</v>
      </c>
      <c r="O406" t="n">
        <v>0</v>
      </c>
      <c r="P406" t="n">
        <v>0</v>
      </c>
      <c r="Q406" t="n">
        <v>0</v>
      </c>
      <c r="R406" s="2" t="inlineStr"/>
    </row>
    <row r="407" ht="15" customHeight="1">
      <c r="A407" t="inlineStr">
        <is>
          <t>A 28054-2022</t>
        </is>
      </c>
      <c r="B407" s="1" t="n">
        <v>44746.41938657407</v>
      </c>
      <c r="C407" s="1" t="n">
        <v>45900</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1647-2024</t>
        </is>
      </c>
      <c r="B408" s="1" t="n">
        <v>45306</v>
      </c>
      <c r="C408" s="1" t="n">
        <v>45900</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57485-2023</t>
        </is>
      </c>
      <c r="B409" s="1" t="n">
        <v>45246</v>
      </c>
      <c r="C409" s="1" t="n">
        <v>45900</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58032-2023</t>
        </is>
      </c>
      <c r="B410" s="1" t="n">
        <v>45247</v>
      </c>
      <c r="C410" s="1" t="n">
        <v>45900</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58035-2023</t>
        </is>
      </c>
      <c r="B411" s="1" t="n">
        <v>45247</v>
      </c>
      <c r="C411" s="1" t="n">
        <v>45900</v>
      </c>
      <c r="D411" t="inlineStr">
        <is>
          <t>ÖREBRO LÄN</t>
        </is>
      </c>
      <c r="E411" t="inlineStr">
        <is>
          <t>ÖREBRO</t>
        </is>
      </c>
      <c r="G411" t="n">
        <v>1.4</v>
      </c>
      <c r="H411" t="n">
        <v>0</v>
      </c>
      <c r="I411" t="n">
        <v>0</v>
      </c>
      <c r="J411" t="n">
        <v>0</v>
      </c>
      <c r="K411" t="n">
        <v>0</v>
      </c>
      <c r="L411" t="n">
        <v>0</v>
      </c>
      <c r="M411" t="n">
        <v>0</v>
      </c>
      <c r="N411" t="n">
        <v>0</v>
      </c>
      <c r="O411" t="n">
        <v>0</v>
      </c>
      <c r="P411" t="n">
        <v>0</v>
      </c>
      <c r="Q411" t="n">
        <v>0</v>
      </c>
      <c r="R411" s="2" t="inlineStr"/>
    </row>
    <row r="412" ht="15" customHeight="1">
      <c r="A412" t="inlineStr">
        <is>
          <t>A 35829-2024</t>
        </is>
      </c>
      <c r="B412" s="1" t="n">
        <v>45532</v>
      </c>
      <c r="C412" s="1" t="n">
        <v>45900</v>
      </c>
      <c r="D412" t="inlineStr">
        <is>
          <t>ÖREBRO LÄN</t>
        </is>
      </c>
      <c r="E412" t="inlineStr">
        <is>
          <t>ÖREBRO</t>
        </is>
      </c>
      <c r="G412" t="n">
        <v>4.6</v>
      </c>
      <c r="H412" t="n">
        <v>0</v>
      </c>
      <c r="I412" t="n">
        <v>0</v>
      </c>
      <c r="J412" t="n">
        <v>0</v>
      </c>
      <c r="K412" t="n">
        <v>0</v>
      </c>
      <c r="L412" t="n">
        <v>0</v>
      </c>
      <c r="M412" t="n">
        <v>0</v>
      </c>
      <c r="N412" t="n">
        <v>0</v>
      </c>
      <c r="O412" t="n">
        <v>0</v>
      </c>
      <c r="P412" t="n">
        <v>0</v>
      </c>
      <c r="Q412" t="n">
        <v>0</v>
      </c>
      <c r="R412" s="2" t="inlineStr"/>
    </row>
    <row r="413" ht="15" customHeight="1">
      <c r="A413" t="inlineStr">
        <is>
          <t>A 35833-2024</t>
        </is>
      </c>
      <c r="B413" s="1" t="n">
        <v>45532.68699074074</v>
      </c>
      <c r="C413" s="1" t="n">
        <v>45900</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14717-2024</t>
        </is>
      </c>
      <c r="B414" s="1" t="n">
        <v>45397.55104166667</v>
      </c>
      <c r="C414" s="1" t="n">
        <v>45900</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6752-2022</t>
        </is>
      </c>
      <c r="B415" s="1" t="n">
        <v>44602.48082175926</v>
      </c>
      <c r="C415" s="1" t="n">
        <v>45900</v>
      </c>
      <c r="D415" t="inlineStr">
        <is>
          <t>ÖREBRO LÄN</t>
        </is>
      </c>
      <c r="E415" t="inlineStr">
        <is>
          <t>ÖREBRO</t>
        </is>
      </c>
      <c r="G415" t="n">
        <v>3.1</v>
      </c>
      <c r="H415" t="n">
        <v>0</v>
      </c>
      <c r="I415" t="n">
        <v>0</v>
      </c>
      <c r="J415" t="n">
        <v>0</v>
      </c>
      <c r="K415" t="n">
        <v>0</v>
      </c>
      <c r="L415" t="n">
        <v>0</v>
      </c>
      <c r="M415" t="n">
        <v>0</v>
      </c>
      <c r="N415" t="n">
        <v>0</v>
      </c>
      <c r="O415" t="n">
        <v>0</v>
      </c>
      <c r="P415" t="n">
        <v>0</v>
      </c>
      <c r="Q415" t="n">
        <v>0</v>
      </c>
      <c r="R415" s="2" t="inlineStr"/>
    </row>
    <row r="416" ht="15" customHeight="1">
      <c r="A416" t="inlineStr">
        <is>
          <t>A 28821-2025</t>
        </is>
      </c>
      <c r="B416" s="1" t="n">
        <v>45820</v>
      </c>
      <c r="C416" s="1" t="n">
        <v>45900</v>
      </c>
      <c r="D416" t="inlineStr">
        <is>
          <t>ÖREBRO LÄN</t>
        </is>
      </c>
      <c r="E416" t="inlineStr">
        <is>
          <t>ÖREBRO</t>
        </is>
      </c>
      <c r="G416" t="n">
        <v>12.6</v>
      </c>
      <c r="H416" t="n">
        <v>0</v>
      </c>
      <c r="I416" t="n">
        <v>0</v>
      </c>
      <c r="J416" t="n">
        <v>0</v>
      </c>
      <c r="K416" t="n">
        <v>0</v>
      </c>
      <c r="L416" t="n">
        <v>0</v>
      </c>
      <c r="M416" t="n">
        <v>0</v>
      </c>
      <c r="N416" t="n">
        <v>0</v>
      </c>
      <c r="O416" t="n">
        <v>0</v>
      </c>
      <c r="P416" t="n">
        <v>0</v>
      </c>
      <c r="Q416" t="n">
        <v>0</v>
      </c>
      <c r="R416" s="2" t="inlineStr"/>
    </row>
    <row r="417" ht="15" customHeight="1">
      <c r="A417" t="inlineStr">
        <is>
          <t>A 34056-2023</t>
        </is>
      </c>
      <c r="B417" s="1" t="n">
        <v>45135</v>
      </c>
      <c r="C417" s="1" t="n">
        <v>45900</v>
      </c>
      <c r="D417" t="inlineStr">
        <is>
          <t>ÖREBRO LÄN</t>
        </is>
      </c>
      <c r="E417" t="inlineStr">
        <is>
          <t>ÖREBRO</t>
        </is>
      </c>
      <c r="F417" t="inlineStr">
        <is>
          <t>Övriga Aktiebolag</t>
        </is>
      </c>
      <c r="G417" t="n">
        <v>4.1</v>
      </c>
      <c r="H417" t="n">
        <v>0</v>
      </c>
      <c r="I417" t="n">
        <v>0</v>
      </c>
      <c r="J417" t="n">
        <v>0</v>
      </c>
      <c r="K417" t="n">
        <v>0</v>
      </c>
      <c r="L417" t="n">
        <v>0</v>
      </c>
      <c r="M417" t="n">
        <v>0</v>
      </c>
      <c r="N417" t="n">
        <v>0</v>
      </c>
      <c r="O417" t="n">
        <v>0</v>
      </c>
      <c r="P417" t="n">
        <v>0</v>
      </c>
      <c r="Q417" t="n">
        <v>0</v>
      </c>
      <c r="R417" s="2" t="inlineStr"/>
    </row>
    <row r="418" ht="15" customHeight="1">
      <c r="A418" t="inlineStr">
        <is>
          <t>A 33457-2023</t>
        </is>
      </c>
      <c r="B418" s="1" t="n">
        <v>45131</v>
      </c>
      <c r="C418" s="1" t="n">
        <v>45900</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45237-2023</t>
        </is>
      </c>
      <c r="B419" s="1" t="n">
        <v>45191</v>
      </c>
      <c r="C419" s="1" t="n">
        <v>45900</v>
      </c>
      <c r="D419" t="inlineStr">
        <is>
          <t>ÖREBRO LÄN</t>
        </is>
      </c>
      <c r="E419" t="inlineStr">
        <is>
          <t>ÖREBRO</t>
        </is>
      </c>
      <c r="G419" t="n">
        <v>1.3</v>
      </c>
      <c r="H419" t="n">
        <v>0</v>
      </c>
      <c r="I419" t="n">
        <v>0</v>
      </c>
      <c r="J419" t="n">
        <v>0</v>
      </c>
      <c r="K419" t="n">
        <v>0</v>
      </c>
      <c r="L419" t="n">
        <v>0</v>
      </c>
      <c r="M419" t="n">
        <v>0</v>
      </c>
      <c r="N419" t="n">
        <v>0</v>
      </c>
      <c r="O419" t="n">
        <v>0</v>
      </c>
      <c r="P419" t="n">
        <v>0</v>
      </c>
      <c r="Q419" t="n">
        <v>0</v>
      </c>
      <c r="R419" s="2" t="inlineStr"/>
    </row>
    <row r="420" ht="15" customHeight="1">
      <c r="A420" t="inlineStr">
        <is>
          <t>A 5946-2021</t>
        </is>
      </c>
      <c r="B420" s="1" t="n">
        <v>44230</v>
      </c>
      <c r="C420" s="1" t="n">
        <v>45900</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51180-2023</t>
        </is>
      </c>
      <c r="B421" s="1" t="n">
        <v>45219</v>
      </c>
      <c r="C421" s="1" t="n">
        <v>45900</v>
      </c>
      <c r="D421" t="inlineStr">
        <is>
          <t>ÖREBRO LÄN</t>
        </is>
      </c>
      <c r="E421" t="inlineStr">
        <is>
          <t>ÖREBRO</t>
        </is>
      </c>
      <c r="G421" t="n">
        <v>6.5</v>
      </c>
      <c r="H421" t="n">
        <v>0</v>
      </c>
      <c r="I421" t="n">
        <v>0</v>
      </c>
      <c r="J421" t="n">
        <v>0</v>
      </c>
      <c r="K421" t="n">
        <v>0</v>
      </c>
      <c r="L421" t="n">
        <v>0</v>
      </c>
      <c r="M421" t="n">
        <v>0</v>
      </c>
      <c r="N421" t="n">
        <v>0</v>
      </c>
      <c r="O421" t="n">
        <v>0</v>
      </c>
      <c r="P421" t="n">
        <v>0</v>
      </c>
      <c r="Q421" t="n">
        <v>0</v>
      </c>
      <c r="R421" s="2" t="inlineStr"/>
    </row>
    <row r="422" ht="15" customHeight="1">
      <c r="A422" t="inlineStr">
        <is>
          <t>A 60028-2024</t>
        </is>
      </c>
      <c r="B422" s="1" t="n">
        <v>45642</v>
      </c>
      <c r="C422" s="1" t="n">
        <v>45900</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33294-2023</t>
        </is>
      </c>
      <c r="B423" s="1" t="n">
        <v>45127</v>
      </c>
      <c r="C423" s="1" t="n">
        <v>45900</v>
      </c>
      <c r="D423" t="inlineStr">
        <is>
          <t>ÖREBRO LÄN</t>
        </is>
      </c>
      <c r="E423" t="inlineStr">
        <is>
          <t>ÖREBRO</t>
        </is>
      </c>
      <c r="F423" t="inlineStr">
        <is>
          <t>Övriga Aktiebolag</t>
        </is>
      </c>
      <c r="G423" t="n">
        <v>6.7</v>
      </c>
      <c r="H423" t="n">
        <v>0</v>
      </c>
      <c r="I423" t="n">
        <v>0</v>
      </c>
      <c r="J423" t="n">
        <v>0</v>
      </c>
      <c r="K423" t="n">
        <v>0</v>
      </c>
      <c r="L423" t="n">
        <v>0</v>
      </c>
      <c r="M423" t="n">
        <v>0</v>
      </c>
      <c r="N423" t="n">
        <v>0</v>
      </c>
      <c r="O423" t="n">
        <v>0</v>
      </c>
      <c r="P423" t="n">
        <v>0</v>
      </c>
      <c r="Q423" t="n">
        <v>0</v>
      </c>
      <c r="R423" s="2" t="inlineStr"/>
    </row>
    <row r="424" ht="15" customHeight="1">
      <c r="A424" t="inlineStr">
        <is>
          <t>A 13857-2022</t>
        </is>
      </c>
      <c r="B424" s="1" t="n">
        <v>44649</v>
      </c>
      <c r="C424" s="1" t="n">
        <v>45900</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61078-2024</t>
        </is>
      </c>
      <c r="B425" s="1" t="n">
        <v>45645.51034722223</v>
      </c>
      <c r="C425" s="1" t="n">
        <v>45900</v>
      </c>
      <c r="D425" t="inlineStr">
        <is>
          <t>ÖREBRO LÄN</t>
        </is>
      </c>
      <c r="E425" t="inlineStr">
        <is>
          <t>ÖREBRO</t>
        </is>
      </c>
      <c r="G425" t="n">
        <v>4.1</v>
      </c>
      <c r="H425" t="n">
        <v>0</v>
      </c>
      <c r="I425" t="n">
        <v>0</v>
      </c>
      <c r="J425" t="n">
        <v>0</v>
      </c>
      <c r="K425" t="n">
        <v>0</v>
      </c>
      <c r="L425" t="n">
        <v>0</v>
      </c>
      <c r="M425" t="n">
        <v>0</v>
      </c>
      <c r="N425" t="n">
        <v>0</v>
      </c>
      <c r="O425" t="n">
        <v>0</v>
      </c>
      <c r="P425" t="n">
        <v>0</v>
      </c>
      <c r="Q425" t="n">
        <v>0</v>
      </c>
      <c r="R425" s="2" t="inlineStr"/>
    </row>
    <row r="426" ht="15" customHeight="1">
      <c r="A426" t="inlineStr">
        <is>
          <t>A 5133-2024</t>
        </is>
      </c>
      <c r="B426" s="1" t="n">
        <v>45330</v>
      </c>
      <c r="C426" s="1" t="n">
        <v>45900</v>
      </c>
      <c r="D426" t="inlineStr">
        <is>
          <t>ÖREBRO LÄN</t>
        </is>
      </c>
      <c r="E426" t="inlineStr">
        <is>
          <t>ÖREBRO</t>
        </is>
      </c>
      <c r="G426" t="n">
        <v>0.5</v>
      </c>
      <c r="H426" t="n">
        <v>0</v>
      </c>
      <c r="I426" t="n">
        <v>0</v>
      </c>
      <c r="J426" t="n">
        <v>0</v>
      </c>
      <c r="K426" t="n">
        <v>0</v>
      </c>
      <c r="L426" t="n">
        <v>0</v>
      </c>
      <c r="M426" t="n">
        <v>0</v>
      </c>
      <c r="N426" t="n">
        <v>0</v>
      </c>
      <c r="O426" t="n">
        <v>0</v>
      </c>
      <c r="P426" t="n">
        <v>0</v>
      </c>
      <c r="Q426" t="n">
        <v>0</v>
      </c>
      <c r="R426" s="2" t="inlineStr"/>
    </row>
    <row r="427" ht="15" customHeight="1">
      <c r="A427" t="inlineStr">
        <is>
          <t>A 12871-2021</t>
        </is>
      </c>
      <c r="B427" s="1" t="n">
        <v>44271.42121527778</v>
      </c>
      <c r="C427" s="1" t="n">
        <v>45900</v>
      </c>
      <c r="D427" t="inlineStr">
        <is>
          <t>ÖREBRO LÄN</t>
        </is>
      </c>
      <c r="E427" t="inlineStr">
        <is>
          <t>ÖREBRO</t>
        </is>
      </c>
      <c r="G427" t="n">
        <v>0.9</v>
      </c>
      <c r="H427" t="n">
        <v>0</v>
      </c>
      <c r="I427" t="n">
        <v>0</v>
      </c>
      <c r="J427" t="n">
        <v>0</v>
      </c>
      <c r="K427" t="n">
        <v>0</v>
      </c>
      <c r="L427" t="n">
        <v>0</v>
      </c>
      <c r="M427" t="n">
        <v>0</v>
      </c>
      <c r="N427" t="n">
        <v>0</v>
      </c>
      <c r="O427" t="n">
        <v>0</v>
      </c>
      <c r="P427" t="n">
        <v>0</v>
      </c>
      <c r="Q427" t="n">
        <v>0</v>
      </c>
      <c r="R427" s="2" t="inlineStr"/>
    </row>
    <row r="428" ht="15" customHeight="1">
      <c r="A428" t="inlineStr">
        <is>
          <t>A 39003-2025</t>
        </is>
      </c>
      <c r="B428" s="1" t="n">
        <v>45888.34467592592</v>
      </c>
      <c r="C428" s="1" t="n">
        <v>45900</v>
      </c>
      <c r="D428" t="inlineStr">
        <is>
          <t>ÖREBRO LÄN</t>
        </is>
      </c>
      <c r="E428" t="inlineStr">
        <is>
          <t>ÖREBRO</t>
        </is>
      </c>
      <c r="G428" t="n">
        <v>3.7</v>
      </c>
      <c r="H428" t="n">
        <v>0</v>
      </c>
      <c r="I428" t="n">
        <v>0</v>
      </c>
      <c r="J428" t="n">
        <v>0</v>
      </c>
      <c r="K428" t="n">
        <v>0</v>
      </c>
      <c r="L428" t="n">
        <v>0</v>
      </c>
      <c r="M428" t="n">
        <v>0</v>
      </c>
      <c r="N428" t="n">
        <v>0</v>
      </c>
      <c r="O428" t="n">
        <v>0</v>
      </c>
      <c r="P428" t="n">
        <v>0</v>
      </c>
      <c r="Q428" t="n">
        <v>0</v>
      </c>
      <c r="R428" s="2" t="inlineStr"/>
    </row>
    <row r="429" ht="15" customHeight="1">
      <c r="A429" t="inlineStr">
        <is>
          <t>A 13158-2024</t>
        </is>
      </c>
      <c r="B429" s="1" t="n">
        <v>45386.38728009259</v>
      </c>
      <c r="C429" s="1" t="n">
        <v>45900</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13181-2023</t>
        </is>
      </c>
      <c r="B430" s="1" t="n">
        <v>45002.60659722222</v>
      </c>
      <c r="C430" s="1" t="n">
        <v>45900</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25996-2024</t>
        </is>
      </c>
      <c r="B431" s="1" t="n">
        <v>45467.89081018518</v>
      </c>
      <c r="C431" s="1" t="n">
        <v>45900</v>
      </c>
      <c r="D431" t="inlineStr">
        <is>
          <t>ÖREBRO LÄN</t>
        </is>
      </c>
      <c r="E431" t="inlineStr">
        <is>
          <t>ÖREBRO</t>
        </is>
      </c>
      <c r="G431" t="n">
        <v>4.7</v>
      </c>
      <c r="H431" t="n">
        <v>0</v>
      </c>
      <c r="I431" t="n">
        <v>0</v>
      </c>
      <c r="J431" t="n">
        <v>0</v>
      </c>
      <c r="K431" t="n">
        <v>0</v>
      </c>
      <c r="L431" t="n">
        <v>0</v>
      </c>
      <c r="M431" t="n">
        <v>0</v>
      </c>
      <c r="N431" t="n">
        <v>0</v>
      </c>
      <c r="O431" t="n">
        <v>0</v>
      </c>
      <c r="P431" t="n">
        <v>0</v>
      </c>
      <c r="Q431" t="n">
        <v>0</v>
      </c>
      <c r="R431" s="2" t="inlineStr"/>
    </row>
    <row r="432" ht="15" customHeight="1">
      <c r="A432" t="inlineStr">
        <is>
          <t>A 16676-2025</t>
        </is>
      </c>
      <c r="B432" s="1" t="n">
        <v>45754.44658564815</v>
      </c>
      <c r="C432" s="1" t="n">
        <v>45900</v>
      </c>
      <c r="D432" t="inlineStr">
        <is>
          <t>ÖREBRO LÄN</t>
        </is>
      </c>
      <c r="E432" t="inlineStr">
        <is>
          <t>ÖREBRO</t>
        </is>
      </c>
      <c r="G432" t="n">
        <v>5.8</v>
      </c>
      <c r="H432" t="n">
        <v>0</v>
      </c>
      <c r="I432" t="n">
        <v>0</v>
      </c>
      <c r="J432" t="n">
        <v>0</v>
      </c>
      <c r="K432" t="n">
        <v>0</v>
      </c>
      <c r="L432" t="n">
        <v>0</v>
      </c>
      <c r="M432" t="n">
        <v>0</v>
      </c>
      <c r="N432" t="n">
        <v>0</v>
      </c>
      <c r="O432" t="n">
        <v>0</v>
      </c>
      <c r="P432" t="n">
        <v>0</v>
      </c>
      <c r="Q432" t="n">
        <v>0</v>
      </c>
      <c r="R432" s="2" t="inlineStr"/>
    </row>
    <row r="433" ht="15" customHeight="1">
      <c r="A433" t="inlineStr">
        <is>
          <t>A 14432-2023</t>
        </is>
      </c>
      <c r="B433" s="1" t="n">
        <v>45012</v>
      </c>
      <c r="C433" s="1" t="n">
        <v>45900</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10339-2023</t>
        </is>
      </c>
      <c r="B434" s="1" t="n">
        <v>44987</v>
      </c>
      <c r="C434" s="1" t="n">
        <v>45900</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23741-2022</t>
        </is>
      </c>
      <c r="B435" s="1" t="n">
        <v>44722</v>
      </c>
      <c r="C435" s="1" t="n">
        <v>45900</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45900</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58620-2024</t>
        </is>
      </c>
      <c r="B437" s="1" t="n">
        <v>45635.56246527778</v>
      </c>
      <c r="C437" s="1" t="n">
        <v>45900</v>
      </c>
      <c r="D437" t="inlineStr">
        <is>
          <t>ÖREBRO LÄN</t>
        </is>
      </c>
      <c r="E437" t="inlineStr">
        <is>
          <t>ÖREBRO</t>
        </is>
      </c>
      <c r="F437" t="inlineStr">
        <is>
          <t>Sveaskog</t>
        </is>
      </c>
      <c r="G437" t="n">
        <v>4.5</v>
      </c>
      <c r="H437" t="n">
        <v>0</v>
      </c>
      <c r="I437" t="n">
        <v>0</v>
      </c>
      <c r="J437" t="n">
        <v>0</v>
      </c>
      <c r="K437" t="n">
        <v>0</v>
      </c>
      <c r="L437" t="n">
        <v>0</v>
      </c>
      <c r="M437" t="n">
        <v>0</v>
      </c>
      <c r="N437" t="n">
        <v>0</v>
      </c>
      <c r="O437" t="n">
        <v>0</v>
      </c>
      <c r="P437" t="n">
        <v>0</v>
      </c>
      <c r="Q437" t="n">
        <v>0</v>
      </c>
      <c r="R437" s="2" t="inlineStr"/>
    </row>
    <row r="438" ht="15" customHeight="1">
      <c r="A438" t="inlineStr">
        <is>
          <t>A 190-2024</t>
        </is>
      </c>
      <c r="B438" s="1" t="n">
        <v>45294.61858796296</v>
      </c>
      <c r="C438" s="1" t="n">
        <v>45900</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48687-2024</t>
        </is>
      </c>
      <c r="B439" s="1" t="n">
        <v>45593.49899305555</v>
      </c>
      <c r="C439" s="1" t="n">
        <v>45900</v>
      </c>
      <c r="D439" t="inlineStr">
        <is>
          <t>ÖREBRO LÄN</t>
        </is>
      </c>
      <c r="E439" t="inlineStr">
        <is>
          <t>ÖREBRO</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48644-2024</t>
        </is>
      </c>
      <c r="B440" s="1" t="n">
        <v>45593.47466435185</v>
      </c>
      <c r="C440" s="1" t="n">
        <v>45900</v>
      </c>
      <c r="D440" t="inlineStr">
        <is>
          <t>ÖREBRO LÄN</t>
        </is>
      </c>
      <c r="E440" t="inlineStr">
        <is>
          <t>ÖREBRO</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62497-2023</t>
        </is>
      </c>
      <c r="B441" s="1" t="n">
        <v>45268.59935185185</v>
      </c>
      <c r="C441" s="1" t="n">
        <v>45900</v>
      </c>
      <c r="D441" t="inlineStr">
        <is>
          <t>ÖREBRO LÄN</t>
        </is>
      </c>
      <c r="E441" t="inlineStr">
        <is>
          <t>ÖREBRO</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7141-2025</t>
        </is>
      </c>
      <c r="B442" s="1" t="n">
        <v>45702</v>
      </c>
      <c r="C442" s="1" t="n">
        <v>45900</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59024-2024</t>
        </is>
      </c>
      <c r="B443" s="1" t="n">
        <v>45636.68505787037</v>
      </c>
      <c r="C443" s="1" t="n">
        <v>45900</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39479-2025</t>
        </is>
      </c>
      <c r="B444" s="1" t="n">
        <v>45890.34752314815</v>
      </c>
      <c r="C444" s="1" t="n">
        <v>45900</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43399-2022</t>
        </is>
      </c>
      <c r="B445" s="1" t="n">
        <v>44834</v>
      </c>
      <c r="C445" s="1" t="n">
        <v>45900</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39446-2025</t>
        </is>
      </c>
      <c r="B446" s="1" t="n">
        <v>45889.70388888889</v>
      </c>
      <c r="C446" s="1" t="n">
        <v>45900</v>
      </c>
      <c r="D446" t="inlineStr">
        <is>
          <t>ÖREBRO LÄN</t>
        </is>
      </c>
      <c r="E446" t="inlineStr">
        <is>
          <t>ÖREBRO</t>
        </is>
      </c>
      <c r="F446" t="inlineStr">
        <is>
          <t>Kyrkan</t>
        </is>
      </c>
      <c r="G446" t="n">
        <v>3.2</v>
      </c>
      <c r="H446" t="n">
        <v>0</v>
      </c>
      <c r="I446" t="n">
        <v>0</v>
      </c>
      <c r="J446" t="n">
        <v>0</v>
      </c>
      <c r="K446" t="n">
        <v>0</v>
      </c>
      <c r="L446" t="n">
        <v>0</v>
      </c>
      <c r="M446" t="n">
        <v>0</v>
      </c>
      <c r="N446" t="n">
        <v>0</v>
      </c>
      <c r="O446" t="n">
        <v>0</v>
      </c>
      <c r="P446" t="n">
        <v>0</v>
      </c>
      <c r="Q446" t="n">
        <v>0</v>
      </c>
      <c r="R446" s="2" t="inlineStr"/>
    </row>
    <row r="447" ht="15" customHeight="1">
      <c r="A447" t="inlineStr">
        <is>
          <t>A 13657-2025</t>
        </is>
      </c>
      <c r="B447" s="1" t="n">
        <v>45736.7427662037</v>
      </c>
      <c r="C447" s="1" t="n">
        <v>45900</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57867-2024</t>
        </is>
      </c>
      <c r="B448" s="1" t="n">
        <v>45631.43864583333</v>
      </c>
      <c r="C448" s="1" t="n">
        <v>45900</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29138-2022</t>
        </is>
      </c>
      <c r="B449" s="1" t="n">
        <v>44750</v>
      </c>
      <c r="C449" s="1" t="n">
        <v>45900</v>
      </c>
      <c r="D449" t="inlineStr">
        <is>
          <t>ÖREBRO LÄN</t>
        </is>
      </c>
      <c r="E449" t="inlineStr">
        <is>
          <t>ÖREBRO</t>
        </is>
      </c>
      <c r="G449" t="n">
        <v>3.3</v>
      </c>
      <c r="H449" t="n">
        <v>0</v>
      </c>
      <c r="I449" t="n">
        <v>0</v>
      </c>
      <c r="J449" t="n">
        <v>0</v>
      </c>
      <c r="K449" t="n">
        <v>0</v>
      </c>
      <c r="L449" t="n">
        <v>0</v>
      </c>
      <c r="M449" t="n">
        <v>0</v>
      </c>
      <c r="N449" t="n">
        <v>0</v>
      </c>
      <c r="O449" t="n">
        <v>0</v>
      </c>
      <c r="P449" t="n">
        <v>0</v>
      </c>
      <c r="Q449" t="n">
        <v>0</v>
      </c>
      <c r="R449" s="2" t="inlineStr"/>
    </row>
    <row r="450" ht="15" customHeight="1">
      <c r="A450" t="inlineStr">
        <is>
          <t>A 29143-2022</t>
        </is>
      </c>
      <c r="B450" s="1" t="n">
        <v>44750</v>
      </c>
      <c r="C450" s="1" t="n">
        <v>45900</v>
      </c>
      <c r="D450" t="inlineStr">
        <is>
          <t>ÖREBRO LÄN</t>
        </is>
      </c>
      <c r="E450" t="inlineStr">
        <is>
          <t>ÖREBRO</t>
        </is>
      </c>
      <c r="G450" t="n">
        <v>5.6</v>
      </c>
      <c r="H450" t="n">
        <v>0</v>
      </c>
      <c r="I450" t="n">
        <v>0</v>
      </c>
      <c r="J450" t="n">
        <v>0</v>
      </c>
      <c r="K450" t="n">
        <v>0</v>
      </c>
      <c r="L450" t="n">
        <v>0</v>
      </c>
      <c r="M450" t="n">
        <v>0</v>
      </c>
      <c r="N450" t="n">
        <v>0</v>
      </c>
      <c r="O450" t="n">
        <v>0</v>
      </c>
      <c r="P450" t="n">
        <v>0</v>
      </c>
      <c r="Q450" t="n">
        <v>0</v>
      </c>
      <c r="R450" s="2" t="inlineStr"/>
    </row>
    <row r="451" ht="15" customHeight="1">
      <c r="A451" t="inlineStr">
        <is>
          <t>A 63142-2023</t>
        </is>
      </c>
      <c r="B451" s="1" t="n">
        <v>45273</v>
      </c>
      <c r="C451" s="1" t="n">
        <v>45900</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35062-2025</t>
        </is>
      </c>
      <c r="B452" s="1" t="n">
        <v>45852</v>
      </c>
      <c r="C452" s="1" t="n">
        <v>45900</v>
      </c>
      <c r="D452" t="inlineStr">
        <is>
          <t>ÖREBRO LÄN</t>
        </is>
      </c>
      <c r="E452" t="inlineStr">
        <is>
          <t>ÖREBRO</t>
        </is>
      </c>
      <c r="G452" t="n">
        <v>2.8</v>
      </c>
      <c r="H452" t="n">
        <v>0</v>
      </c>
      <c r="I452" t="n">
        <v>0</v>
      </c>
      <c r="J452" t="n">
        <v>0</v>
      </c>
      <c r="K452" t="n">
        <v>0</v>
      </c>
      <c r="L452" t="n">
        <v>0</v>
      </c>
      <c r="M452" t="n">
        <v>0</v>
      </c>
      <c r="N452" t="n">
        <v>0</v>
      </c>
      <c r="O452" t="n">
        <v>0</v>
      </c>
      <c r="P452" t="n">
        <v>0</v>
      </c>
      <c r="Q452" t="n">
        <v>0</v>
      </c>
      <c r="R452" s="2" t="inlineStr"/>
    </row>
    <row r="453" ht="15" customHeight="1">
      <c r="A453" t="inlineStr">
        <is>
          <t>A 37021-2024</t>
        </is>
      </c>
      <c r="B453" s="1" t="n">
        <v>45539.38146990741</v>
      </c>
      <c r="C453" s="1" t="n">
        <v>45900</v>
      </c>
      <c r="D453" t="inlineStr">
        <is>
          <t>ÖREBRO LÄN</t>
        </is>
      </c>
      <c r="E453" t="inlineStr">
        <is>
          <t>ÖREBRO</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21983-2021</t>
        </is>
      </c>
      <c r="B454" s="1" t="n">
        <v>44323</v>
      </c>
      <c r="C454" s="1" t="n">
        <v>45900</v>
      </c>
      <c r="D454" t="inlineStr">
        <is>
          <t>ÖREBRO LÄN</t>
        </is>
      </c>
      <c r="E454" t="inlineStr">
        <is>
          <t>ÖREBRO</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23573-2023</t>
        </is>
      </c>
      <c r="B455" s="1" t="n">
        <v>45077.41672453703</v>
      </c>
      <c r="C455" s="1" t="n">
        <v>45900</v>
      </c>
      <c r="D455" t="inlineStr">
        <is>
          <t>ÖREBRO LÄN</t>
        </is>
      </c>
      <c r="E455" t="inlineStr">
        <is>
          <t>ÖREBRO</t>
        </is>
      </c>
      <c r="G455" t="n">
        <v>2.9</v>
      </c>
      <c r="H455" t="n">
        <v>0</v>
      </c>
      <c r="I455" t="n">
        <v>0</v>
      </c>
      <c r="J455" t="n">
        <v>0</v>
      </c>
      <c r="K455" t="n">
        <v>0</v>
      </c>
      <c r="L455" t="n">
        <v>0</v>
      </c>
      <c r="M455" t="n">
        <v>0</v>
      </c>
      <c r="N455" t="n">
        <v>0</v>
      </c>
      <c r="O455" t="n">
        <v>0</v>
      </c>
      <c r="P455" t="n">
        <v>0</v>
      </c>
      <c r="Q455" t="n">
        <v>0</v>
      </c>
      <c r="R455" s="2" t="inlineStr"/>
    </row>
    <row r="456" ht="15" customHeight="1">
      <c r="A456" t="inlineStr">
        <is>
          <t>A 13762-2023</t>
        </is>
      </c>
      <c r="B456" s="1" t="n">
        <v>45007.43729166667</v>
      </c>
      <c r="C456" s="1" t="n">
        <v>45900</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3120-2022</t>
        </is>
      </c>
      <c r="B457" s="1" t="n">
        <v>44582</v>
      </c>
      <c r="C457" s="1" t="n">
        <v>45900</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58606-2024</t>
        </is>
      </c>
      <c r="B458" s="1" t="n">
        <v>45635.54747685185</v>
      </c>
      <c r="C458" s="1" t="n">
        <v>45900</v>
      </c>
      <c r="D458" t="inlineStr">
        <is>
          <t>ÖREBRO LÄN</t>
        </is>
      </c>
      <c r="E458" t="inlineStr">
        <is>
          <t>ÖREBRO</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5129-2024</t>
        </is>
      </c>
      <c r="B459" s="1" t="n">
        <v>45330</v>
      </c>
      <c r="C459" s="1" t="n">
        <v>45900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35928-2025</t>
        </is>
      </c>
      <c r="B460" s="1" t="n">
        <v>45862</v>
      </c>
      <c r="C460" s="1" t="n">
        <v>45900</v>
      </c>
      <c r="D460" t="inlineStr">
        <is>
          <t>ÖREBRO LÄN</t>
        </is>
      </c>
      <c r="E460" t="inlineStr">
        <is>
          <t>ÖREBRO</t>
        </is>
      </c>
      <c r="G460" t="n">
        <v>4.4</v>
      </c>
      <c r="H460" t="n">
        <v>0</v>
      </c>
      <c r="I460" t="n">
        <v>0</v>
      </c>
      <c r="J460" t="n">
        <v>0</v>
      </c>
      <c r="K460" t="n">
        <v>0</v>
      </c>
      <c r="L460" t="n">
        <v>0</v>
      </c>
      <c r="M460" t="n">
        <v>0</v>
      </c>
      <c r="N460" t="n">
        <v>0</v>
      </c>
      <c r="O460" t="n">
        <v>0</v>
      </c>
      <c r="P460" t="n">
        <v>0</v>
      </c>
      <c r="Q460" t="n">
        <v>0</v>
      </c>
      <c r="R460" s="2" t="inlineStr"/>
    </row>
    <row r="461" ht="15" customHeight="1">
      <c r="A461" t="inlineStr">
        <is>
          <t>A 40330-2025</t>
        </is>
      </c>
      <c r="B461" s="1" t="n">
        <v>45895.4531712963</v>
      </c>
      <c r="C461" s="1" t="n">
        <v>45900</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26101-2022</t>
        </is>
      </c>
      <c r="B462" s="1" t="n">
        <v>44734</v>
      </c>
      <c r="C462" s="1" t="n">
        <v>45900</v>
      </c>
      <c r="D462" t="inlineStr">
        <is>
          <t>ÖREBRO LÄN</t>
        </is>
      </c>
      <c r="E462" t="inlineStr">
        <is>
          <t>ÖREBRO</t>
        </is>
      </c>
      <c r="G462" t="n">
        <v>15.8</v>
      </c>
      <c r="H462" t="n">
        <v>0</v>
      </c>
      <c r="I462" t="n">
        <v>0</v>
      </c>
      <c r="J462" t="n">
        <v>0</v>
      </c>
      <c r="K462" t="n">
        <v>0</v>
      </c>
      <c r="L462" t="n">
        <v>0</v>
      </c>
      <c r="M462" t="n">
        <v>0</v>
      </c>
      <c r="N462" t="n">
        <v>0</v>
      </c>
      <c r="O462" t="n">
        <v>0</v>
      </c>
      <c r="P462" t="n">
        <v>0</v>
      </c>
      <c r="Q462" t="n">
        <v>0</v>
      </c>
      <c r="R462" s="2" t="inlineStr"/>
    </row>
    <row r="463" ht="15" customHeight="1">
      <c r="A463" t="inlineStr">
        <is>
          <t>A 40332-2025</t>
        </is>
      </c>
      <c r="B463" s="1" t="n">
        <v>45895.46060185185</v>
      </c>
      <c r="C463" s="1" t="n">
        <v>45900</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1492-2022</t>
        </is>
      </c>
      <c r="B464" s="1" t="n">
        <v>44573</v>
      </c>
      <c r="C464" s="1" t="n">
        <v>45900</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58486-2024</t>
        </is>
      </c>
      <c r="B465" s="1" t="n">
        <v>45635</v>
      </c>
      <c r="C465" s="1" t="n">
        <v>45900</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14053-2025</t>
        </is>
      </c>
      <c r="B466" s="1" t="n">
        <v>45739</v>
      </c>
      <c r="C466" s="1" t="n">
        <v>45900</v>
      </c>
      <c r="D466" t="inlineStr">
        <is>
          <t>ÖREBRO LÄN</t>
        </is>
      </c>
      <c r="E466" t="inlineStr">
        <is>
          <t>ÖREBRO</t>
        </is>
      </c>
      <c r="G466" t="n">
        <v>3.5</v>
      </c>
      <c r="H466" t="n">
        <v>0</v>
      </c>
      <c r="I466" t="n">
        <v>0</v>
      </c>
      <c r="J466" t="n">
        <v>0</v>
      </c>
      <c r="K466" t="n">
        <v>0</v>
      </c>
      <c r="L466" t="n">
        <v>0</v>
      </c>
      <c r="M466" t="n">
        <v>0</v>
      </c>
      <c r="N466" t="n">
        <v>0</v>
      </c>
      <c r="O466" t="n">
        <v>0</v>
      </c>
      <c r="P466" t="n">
        <v>0</v>
      </c>
      <c r="Q466" t="n">
        <v>0</v>
      </c>
      <c r="R466" s="2" t="inlineStr"/>
    </row>
    <row r="467" ht="15" customHeight="1">
      <c r="A467" t="inlineStr">
        <is>
          <t>A 59026-2024</t>
        </is>
      </c>
      <c r="B467" s="1" t="n">
        <v>45636.6875</v>
      </c>
      <c r="C467" s="1" t="n">
        <v>45900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52623-2024</t>
        </is>
      </c>
      <c r="B468" s="1" t="n">
        <v>45609</v>
      </c>
      <c r="C468" s="1" t="n">
        <v>45900</v>
      </c>
      <c r="D468" t="inlineStr">
        <is>
          <t>ÖREBRO LÄN</t>
        </is>
      </c>
      <c r="E468" t="inlineStr">
        <is>
          <t>ÖREBRO</t>
        </is>
      </c>
      <c r="F468" t="inlineStr">
        <is>
          <t>Kommuner</t>
        </is>
      </c>
      <c r="G468" t="n">
        <v>1.7</v>
      </c>
      <c r="H468" t="n">
        <v>0</v>
      </c>
      <c r="I468" t="n">
        <v>0</v>
      </c>
      <c r="J468" t="n">
        <v>0</v>
      </c>
      <c r="K468" t="n">
        <v>0</v>
      </c>
      <c r="L468" t="n">
        <v>0</v>
      </c>
      <c r="M468" t="n">
        <v>0</v>
      </c>
      <c r="N468" t="n">
        <v>0</v>
      </c>
      <c r="O468" t="n">
        <v>0</v>
      </c>
      <c r="P468" t="n">
        <v>0</v>
      </c>
      <c r="Q468" t="n">
        <v>0</v>
      </c>
      <c r="R468" s="2" t="inlineStr"/>
    </row>
    <row r="469" ht="15" customHeight="1">
      <c r="A469" t="inlineStr">
        <is>
          <t>A 35345-2024</t>
        </is>
      </c>
      <c r="B469" s="1" t="n">
        <v>45530</v>
      </c>
      <c r="C469" s="1" t="n">
        <v>45900</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62511-2023</t>
        </is>
      </c>
      <c r="B470" s="1" t="n">
        <v>45268.61855324074</v>
      </c>
      <c r="C470" s="1" t="n">
        <v>45900</v>
      </c>
      <c r="D470" t="inlineStr">
        <is>
          <t>ÖREBRO LÄN</t>
        </is>
      </c>
      <c r="E470" t="inlineStr">
        <is>
          <t>ÖREBRO</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123-2025</t>
        </is>
      </c>
      <c r="B471" s="1" t="n">
        <v>45659.54851851852</v>
      </c>
      <c r="C471" s="1" t="n">
        <v>45900</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30472-2022</t>
        </is>
      </c>
      <c r="B472" s="1" t="n">
        <v>44761.70467592592</v>
      </c>
      <c r="C472" s="1" t="n">
        <v>45900</v>
      </c>
      <c r="D472" t="inlineStr">
        <is>
          <t>ÖREBRO LÄN</t>
        </is>
      </c>
      <c r="E472" t="inlineStr">
        <is>
          <t>ÖREBRO</t>
        </is>
      </c>
      <c r="F472" t="inlineStr">
        <is>
          <t>Övriga Aktiebolag</t>
        </is>
      </c>
      <c r="G472" t="n">
        <v>5.6</v>
      </c>
      <c r="H472" t="n">
        <v>0</v>
      </c>
      <c r="I472" t="n">
        <v>0</v>
      </c>
      <c r="J472" t="n">
        <v>0</v>
      </c>
      <c r="K472" t="n">
        <v>0</v>
      </c>
      <c r="L472" t="n">
        <v>0</v>
      </c>
      <c r="M472" t="n">
        <v>0</v>
      </c>
      <c r="N472" t="n">
        <v>0</v>
      </c>
      <c r="O472" t="n">
        <v>0</v>
      </c>
      <c r="P472" t="n">
        <v>0</v>
      </c>
      <c r="Q472" t="n">
        <v>0</v>
      </c>
      <c r="R472" s="2" t="inlineStr"/>
    </row>
    <row r="473" ht="15" customHeight="1">
      <c r="A473" t="inlineStr">
        <is>
          <t>A 6869-2025</t>
        </is>
      </c>
      <c r="B473" s="1" t="n">
        <v>45700</v>
      </c>
      <c r="C473" s="1" t="n">
        <v>45900</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57869-2024</t>
        </is>
      </c>
      <c r="B474" s="1" t="n">
        <v>45631.44207175926</v>
      </c>
      <c r="C474" s="1" t="n">
        <v>45900</v>
      </c>
      <c r="D474" t="inlineStr">
        <is>
          <t>ÖREBRO LÄN</t>
        </is>
      </c>
      <c r="E474" t="inlineStr">
        <is>
          <t>ÖREBRO</t>
        </is>
      </c>
      <c r="G474" t="n">
        <v>1.4</v>
      </c>
      <c r="H474" t="n">
        <v>0</v>
      </c>
      <c r="I474" t="n">
        <v>0</v>
      </c>
      <c r="J474" t="n">
        <v>0</v>
      </c>
      <c r="K474" t="n">
        <v>0</v>
      </c>
      <c r="L474" t="n">
        <v>0</v>
      </c>
      <c r="M474" t="n">
        <v>0</v>
      </c>
      <c r="N474" t="n">
        <v>0</v>
      </c>
      <c r="O474" t="n">
        <v>0</v>
      </c>
      <c r="P474" t="n">
        <v>0</v>
      </c>
      <c r="Q474" t="n">
        <v>0</v>
      </c>
      <c r="R474" s="2" t="inlineStr"/>
    </row>
    <row r="475" ht="15" customHeight="1">
      <c r="A475" t="inlineStr">
        <is>
          <t>A 40522-2024</t>
        </is>
      </c>
      <c r="B475" s="1" t="n">
        <v>45555.59717592593</v>
      </c>
      <c r="C475" s="1" t="n">
        <v>45900</v>
      </c>
      <c r="D475" t="inlineStr">
        <is>
          <t>ÖREBRO LÄN</t>
        </is>
      </c>
      <c r="E475" t="inlineStr">
        <is>
          <t>ÖREBRO</t>
        </is>
      </c>
      <c r="G475" t="n">
        <v>5.1</v>
      </c>
      <c r="H475" t="n">
        <v>0</v>
      </c>
      <c r="I475" t="n">
        <v>0</v>
      </c>
      <c r="J475" t="n">
        <v>0</v>
      </c>
      <c r="K475" t="n">
        <v>0</v>
      </c>
      <c r="L475" t="n">
        <v>0</v>
      </c>
      <c r="M475" t="n">
        <v>0</v>
      </c>
      <c r="N475" t="n">
        <v>0</v>
      </c>
      <c r="O475" t="n">
        <v>0</v>
      </c>
      <c r="P475" t="n">
        <v>0</v>
      </c>
      <c r="Q475" t="n">
        <v>0</v>
      </c>
      <c r="R475" s="2" t="inlineStr"/>
    </row>
    <row r="476" ht="15" customHeight="1">
      <c r="A476" t="inlineStr">
        <is>
          <t>A 32025-2024</t>
        </is>
      </c>
      <c r="B476" s="1" t="n">
        <v>45510.65754629629</v>
      </c>
      <c r="C476" s="1" t="n">
        <v>45900</v>
      </c>
      <c r="D476" t="inlineStr">
        <is>
          <t>ÖREBRO LÄN</t>
        </is>
      </c>
      <c r="E476" t="inlineStr">
        <is>
          <t>ÖREBRO</t>
        </is>
      </c>
      <c r="G476" t="n">
        <v>4</v>
      </c>
      <c r="H476" t="n">
        <v>0</v>
      </c>
      <c r="I476" t="n">
        <v>0</v>
      </c>
      <c r="J476" t="n">
        <v>0</v>
      </c>
      <c r="K476" t="n">
        <v>0</v>
      </c>
      <c r="L476" t="n">
        <v>0</v>
      </c>
      <c r="M476" t="n">
        <v>0</v>
      </c>
      <c r="N476" t="n">
        <v>0</v>
      </c>
      <c r="O476" t="n">
        <v>0</v>
      </c>
      <c r="P476" t="n">
        <v>0</v>
      </c>
      <c r="Q476" t="n">
        <v>0</v>
      </c>
      <c r="R476" s="2" t="inlineStr"/>
    </row>
    <row r="477" ht="15" customHeight="1">
      <c r="A477" t="inlineStr">
        <is>
          <t>A 37277-2022</t>
        </is>
      </c>
      <c r="B477" s="1" t="n">
        <v>44807.49150462963</v>
      </c>
      <c r="C477" s="1" t="n">
        <v>45900</v>
      </c>
      <c r="D477" t="inlineStr">
        <is>
          <t>ÖREBRO LÄN</t>
        </is>
      </c>
      <c r="E477" t="inlineStr">
        <is>
          <t>ÖREBRO</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27956-2023</t>
        </is>
      </c>
      <c r="B478" s="1" t="n">
        <v>45098</v>
      </c>
      <c r="C478" s="1" t="n">
        <v>45900</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51331-2023</t>
        </is>
      </c>
      <c r="B479" s="1" t="n">
        <v>45219</v>
      </c>
      <c r="C479" s="1" t="n">
        <v>45900</v>
      </c>
      <c r="D479" t="inlineStr">
        <is>
          <t>ÖREBRO LÄN</t>
        </is>
      </c>
      <c r="E479" t="inlineStr">
        <is>
          <t>ÖREBRO</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59265-2020</t>
        </is>
      </c>
      <c r="B480" s="1" t="n">
        <v>44147.67359953704</v>
      </c>
      <c r="C480" s="1" t="n">
        <v>45900</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33577-2023</t>
        </is>
      </c>
      <c r="B481" s="1" t="n">
        <v>45131</v>
      </c>
      <c r="C481" s="1" t="n">
        <v>45900</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40588-2021</t>
        </is>
      </c>
      <c r="B482" s="1" t="n">
        <v>44420</v>
      </c>
      <c r="C482" s="1" t="n">
        <v>45900</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18360-2024</t>
        </is>
      </c>
      <c r="B483" s="1" t="n">
        <v>45422</v>
      </c>
      <c r="C483" s="1" t="n">
        <v>45900</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7611-2024</t>
        </is>
      </c>
      <c r="B484" s="1" t="n">
        <v>45348.58864583333</v>
      </c>
      <c r="C484" s="1" t="n">
        <v>45900</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40231-2022</t>
        </is>
      </c>
      <c r="B485" s="1" t="n">
        <v>44820</v>
      </c>
      <c r="C485" s="1" t="n">
        <v>45900</v>
      </c>
      <c r="D485" t="inlineStr">
        <is>
          <t>ÖREBRO LÄN</t>
        </is>
      </c>
      <c r="E485" t="inlineStr">
        <is>
          <t>ÖREBRO</t>
        </is>
      </c>
      <c r="F485" t="inlineStr">
        <is>
          <t>Allmännings- och besparingsskogar</t>
        </is>
      </c>
      <c r="G485" t="n">
        <v>2.2</v>
      </c>
      <c r="H485" t="n">
        <v>0</v>
      </c>
      <c r="I485" t="n">
        <v>0</v>
      </c>
      <c r="J485" t="n">
        <v>0</v>
      </c>
      <c r="K485" t="n">
        <v>0</v>
      </c>
      <c r="L485" t="n">
        <v>0</v>
      </c>
      <c r="M485" t="n">
        <v>0</v>
      </c>
      <c r="N485" t="n">
        <v>0</v>
      </c>
      <c r="O485" t="n">
        <v>0</v>
      </c>
      <c r="P485" t="n">
        <v>0</v>
      </c>
      <c r="Q485" t="n">
        <v>0</v>
      </c>
      <c r="R485" s="2" t="inlineStr"/>
    </row>
    <row r="486" ht="15" customHeight="1">
      <c r="A486" t="inlineStr">
        <is>
          <t>A 4284-2025</t>
        </is>
      </c>
      <c r="B486" s="1" t="n">
        <v>45685</v>
      </c>
      <c r="C486" s="1" t="n">
        <v>45900</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13347-2023</t>
        </is>
      </c>
      <c r="B487" s="1" t="n">
        <v>45004</v>
      </c>
      <c r="C487" s="1" t="n">
        <v>45900</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8331-2021</t>
        </is>
      </c>
      <c r="B488" s="1" t="n">
        <v>44244</v>
      </c>
      <c r="C488" s="1" t="n">
        <v>45900</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8332-2021</t>
        </is>
      </c>
      <c r="B489" s="1" t="n">
        <v>44244</v>
      </c>
      <c r="C489" s="1" t="n">
        <v>45900</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45900</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18661-2025</t>
        </is>
      </c>
      <c r="B491" s="1" t="n">
        <v>45763.58675925926</v>
      </c>
      <c r="C491" s="1" t="n">
        <v>45900</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187-2024</t>
        </is>
      </c>
      <c r="B492" s="1" t="n">
        <v>45294</v>
      </c>
      <c r="C492" s="1" t="n">
        <v>45900</v>
      </c>
      <c r="D492" t="inlineStr">
        <is>
          <t>ÖREBRO LÄN</t>
        </is>
      </c>
      <c r="E492" t="inlineStr">
        <is>
          <t>ÖREBRO</t>
        </is>
      </c>
      <c r="G492" t="n">
        <v>5.9</v>
      </c>
      <c r="H492" t="n">
        <v>0</v>
      </c>
      <c r="I492" t="n">
        <v>0</v>
      </c>
      <c r="J492" t="n">
        <v>0</v>
      </c>
      <c r="K492" t="n">
        <v>0</v>
      </c>
      <c r="L492" t="n">
        <v>0</v>
      </c>
      <c r="M492" t="n">
        <v>0</v>
      </c>
      <c r="N492" t="n">
        <v>0</v>
      </c>
      <c r="O492" t="n">
        <v>0</v>
      </c>
      <c r="P492" t="n">
        <v>0</v>
      </c>
      <c r="Q492" t="n">
        <v>0</v>
      </c>
      <c r="R492" s="2" t="inlineStr"/>
    </row>
    <row r="493" ht="15" customHeight="1">
      <c r="A493" t="inlineStr">
        <is>
          <t>A 10832-2023</t>
        </is>
      </c>
      <c r="B493" s="1" t="n">
        <v>44990.91711805556</v>
      </c>
      <c r="C493" s="1" t="n">
        <v>45900</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45900</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5338-2024</t>
        </is>
      </c>
      <c r="B495" s="1" t="n">
        <v>45331</v>
      </c>
      <c r="C495" s="1" t="n">
        <v>45900</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14487-2023</t>
        </is>
      </c>
      <c r="B496" s="1" t="n">
        <v>45012</v>
      </c>
      <c r="C496" s="1" t="n">
        <v>45900</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42623-2022</t>
        </is>
      </c>
      <c r="B497" s="1" t="n">
        <v>44831</v>
      </c>
      <c r="C497" s="1" t="n">
        <v>45900</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3763-2025</t>
        </is>
      </c>
      <c r="B498" s="1" t="n">
        <v>45681</v>
      </c>
      <c r="C498" s="1" t="n">
        <v>45900</v>
      </c>
      <c r="D498" t="inlineStr">
        <is>
          <t>ÖREBRO LÄN</t>
        </is>
      </c>
      <c r="E498" t="inlineStr">
        <is>
          <t>ÖREBRO</t>
        </is>
      </c>
      <c r="G498" t="n">
        <v>10.1</v>
      </c>
      <c r="H498" t="n">
        <v>0</v>
      </c>
      <c r="I498" t="n">
        <v>0</v>
      </c>
      <c r="J498" t="n">
        <v>0</v>
      </c>
      <c r="K498" t="n">
        <v>0</v>
      </c>
      <c r="L498" t="n">
        <v>0</v>
      </c>
      <c r="M498" t="n">
        <v>0</v>
      </c>
      <c r="N498" t="n">
        <v>0</v>
      </c>
      <c r="O498" t="n">
        <v>0</v>
      </c>
      <c r="P498" t="n">
        <v>0</v>
      </c>
      <c r="Q498" t="n">
        <v>0</v>
      </c>
      <c r="R498" s="2" t="inlineStr"/>
    </row>
    <row r="499" ht="15" customHeight="1">
      <c r="A499" t="inlineStr">
        <is>
          <t>A 8565-2021</t>
        </is>
      </c>
      <c r="B499" s="1" t="n">
        <v>44245</v>
      </c>
      <c r="C499" s="1" t="n">
        <v>45900</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4970-2022</t>
        </is>
      </c>
      <c r="B500" s="1" t="n">
        <v>44593.51175925926</v>
      </c>
      <c r="C500" s="1" t="n">
        <v>45900</v>
      </c>
      <c r="D500" t="inlineStr">
        <is>
          <t>ÖREBRO LÄN</t>
        </is>
      </c>
      <c r="E500" t="inlineStr">
        <is>
          <t>ÖREBRO</t>
        </is>
      </c>
      <c r="G500" t="n">
        <v>1.1</v>
      </c>
      <c r="H500" t="n">
        <v>0</v>
      </c>
      <c r="I500" t="n">
        <v>0</v>
      </c>
      <c r="J500" t="n">
        <v>0</v>
      </c>
      <c r="K500" t="n">
        <v>0</v>
      </c>
      <c r="L500" t="n">
        <v>0</v>
      </c>
      <c r="M500" t="n">
        <v>0</v>
      </c>
      <c r="N500" t="n">
        <v>0</v>
      </c>
      <c r="O500" t="n">
        <v>0</v>
      </c>
      <c r="P500" t="n">
        <v>0</v>
      </c>
      <c r="Q500" t="n">
        <v>0</v>
      </c>
      <c r="R500" s="2" t="inlineStr"/>
    </row>
    <row r="501" ht="15" customHeight="1">
      <c r="A501" t="inlineStr">
        <is>
          <t>A 55453-2024</t>
        </is>
      </c>
      <c r="B501" s="1" t="n">
        <v>45622.42097222222</v>
      </c>
      <c r="C501" s="1" t="n">
        <v>45900</v>
      </c>
      <c r="D501" t="inlineStr">
        <is>
          <t>ÖREBRO LÄN</t>
        </is>
      </c>
      <c r="E501" t="inlineStr">
        <is>
          <t>ÖREBRO</t>
        </is>
      </c>
      <c r="G501" t="n">
        <v>8.5</v>
      </c>
      <c r="H501" t="n">
        <v>0</v>
      </c>
      <c r="I501" t="n">
        <v>0</v>
      </c>
      <c r="J501" t="n">
        <v>0</v>
      </c>
      <c r="K501" t="n">
        <v>0</v>
      </c>
      <c r="L501" t="n">
        <v>0</v>
      </c>
      <c r="M501" t="n">
        <v>0</v>
      </c>
      <c r="N501" t="n">
        <v>0</v>
      </c>
      <c r="O501" t="n">
        <v>0</v>
      </c>
      <c r="P501" t="n">
        <v>0</v>
      </c>
      <c r="Q501" t="n">
        <v>0</v>
      </c>
      <c r="R501" s="2" t="inlineStr"/>
    </row>
    <row r="502" ht="15" customHeight="1">
      <c r="A502" t="inlineStr">
        <is>
          <t>A 18047-2023</t>
        </is>
      </c>
      <c r="B502" s="1" t="n">
        <v>45040</v>
      </c>
      <c r="C502" s="1" t="n">
        <v>45900</v>
      </c>
      <c r="D502" t="inlineStr">
        <is>
          <t>ÖREBRO LÄN</t>
        </is>
      </c>
      <c r="E502" t="inlineStr">
        <is>
          <t>ÖREBRO</t>
        </is>
      </c>
      <c r="G502" t="n">
        <v>3.9</v>
      </c>
      <c r="H502" t="n">
        <v>0</v>
      </c>
      <c r="I502" t="n">
        <v>0</v>
      </c>
      <c r="J502" t="n">
        <v>0</v>
      </c>
      <c r="K502" t="n">
        <v>0</v>
      </c>
      <c r="L502" t="n">
        <v>0</v>
      </c>
      <c r="M502" t="n">
        <v>0</v>
      </c>
      <c r="N502" t="n">
        <v>0</v>
      </c>
      <c r="O502" t="n">
        <v>0</v>
      </c>
      <c r="P502" t="n">
        <v>0</v>
      </c>
      <c r="Q502" t="n">
        <v>0</v>
      </c>
      <c r="R502" s="2" t="inlineStr"/>
    </row>
    <row r="503" ht="15" customHeight="1">
      <c r="A503" t="inlineStr">
        <is>
          <t>A 10829-2023</t>
        </is>
      </c>
      <c r="B503" s="1" t="n">
        <v>44990.88512731482</v>
      </c>
      <c r="C503" s="1" t="n">
        <v>45900</v>
      </c>
      <c r="D503" t="inlineStr">
        <is>
          <t>ÖREBRO LÄN</t>
        </is>
      </c>
      <c r="E503" t="inlineStr">
        <is>
          <t>ÖREBRO</t>
        </is>
      </c>
      <c r="G503" t="n">
        <v>4.4</v>
      </c>
      <c r="H503" t="n">
        <v>0</v>
      </c>
      <c r="I503" t="n">
        <v>0</v>
      </c>
      <c r="J503" t="n">
        <v>0</v>
      </c>
      <c r="K503" t="n">
        <v>0</v>
      </c>
      <c r="L503" t="n">
        <v>0</v>
      </c>
      <c r="M503" t="n">
        <v>0</v>
      </c>
      <c r="N503" t="n">
        <v>0</v>
      </c>
      <c r="O503" t="n">
        <v>0</v>
      </c>
      <c r="P503" t="n">
        <v>0</v>
      </c>
      <c r="Q503" t="n">
        <v>0</v>
      </c>
      <c r="R503" s="2" t="inlineStr"/>
    </row>
    <row r="504" ht="15" customHeight="1">
      <c r="A504" t="inlineStr">
        <is>
          <t>A 10831-2023</t>
        </is>
      </c>
      <c r="B504" s="1" t="n">
        <v>44990.90357638889</v>
      </c>
      <c r="C504" s="1" t="n">
        <v>45900</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16165-2023</t>
        </is>
      </c>
      <c r="B505" s="1" t="n">
        <v>45027</v>
      </c>
      <c r="C505" s="1" t="n">
        <v>45900</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3789-2023</t>
        </is>
      </c>
      <c r="B506" s="1" t="n">
        <v>44951</v>
      </c>
      <c r="C506" s="1" t="n">
        <v>45900</v>
      </c>
      <c r="D506" t="inlineStr">
        <is>
          <t>ÖREBRO LÄN</t>
        </is>
      </c>
      <c r="E506" t="inlineStr">
        <is>
          <t>ÖREBRO</t>
        </is>
      </c>
      <c r="G506" t="n">
        <v>7.5</v>
      </c>
      <c r="H506" t="n">
        <v>0</v>
      </c>
      <c r="I506" t="n">
        <v>0</v>
      </c>
      <c r="J506" t="n">
        <v>0</v>
      </c>
      <c r="K506" t="n">
        <v>0</v>
      </c>
      <c r="L506" t="n">
        <v>0</v>
      </c>
      <c r="M506" t="n">
        <v>0</v>
      </c>
      <c r="N506" t="n">
        <v>0</v>
      </c>
      <c r="O506" t="n">
        <v>0</v>
      </c>
      <c r="P506" t="n">
        <v>0</v>
      </c>
      <c r="Q506" t="n">
        <v>0</v>
      </c>
      <c r="R506" s="2" t="inlineStr"/>
    </row>
    <row r="507" ht="15" customHeight="1">
      <c r="A507" t="inlineStr">
        <is>
          <t>A 57247-2022</t>
        </is>
      </c>
      <c r="B507" s="1" t="n">
        <v>44895.73065972222</v>
      </c>
      <c r="C507" s="1" t="n">
        <v>45900</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5026-2022</t>
        </is>
      </c>
      <c r="B508" s="1" t="n">
        <v>44593.63974537037</v>
      </c>
      <c r="C508" s="1" t="n">
        <v>45900</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54917-2023</t>
        </is>
      </c>
      <c r="B509" s="1" t="n">
        <v>45229</v>
      </c>
      <c r="C509" s="1" t="n">
        <v>45900</v>
      </c>
      <c r="D509" t="inlineStr">
        <is>
          <t>ÖREBRO LÄN</t>
        </is>
      </c>
      <c r="E509" t="inlineStr">
        <is>
          <t>ÖREBRO</t>
        </is>
      </c>
      <c r="G509" t="n">
        <v>3.1</v>
      </c>
      <c r="H509" t="n">
        <v>0</v>
      </c>
      <c r="I509" t="n">
        <v>0</v>
      </c>
      <c r="J509" t="n">
        <v>0</v>
      </c>
      <c r="K509" t="n">
        <v>0</v>
      </c>
      <c r="L509" t="n">
        <v>0</v>
      </c>
      <c r="M509" t="n">
        <v>0</v>
      </c>
      <c r="N509" t="n">
        <v>0</v>
      </c>
      <c r="O509" t="n">
        <v>0</v>
      </c>
      <c r="P509" t="n">
        <v>0</v>
      </c>
      <c r="Q509" t="n">
        <v>0</v>
      </c>
      <c r="R509" s="2" t="inlineStr"/>
    </row>
    <row r="510" ht="15" customHeight="1">
      <c r="A510" t="inlineStr">
        <is>
          <t>A 46757-2021</t>
        </is>
      </c>
      <c r="B510" s="1" t="n">
        <v>44445</v>
      </c>
      <c r="C510" s="1" t="n">
        <v>45900</v>
      </c>
      <c r="D510" t="inlineStr">
        <is>
          <t>ÖREBRO LÄN</t>
        </is>
      </c>
      <c r="E510" t="inlineStr">
        <is>
          <t>ÖREBRO</t>
        </is>
      </c>
      <c r="G510" t="n">
        <v>5.6</v>
      </c>
      <c r="H510" t="n">
        <v>0</v>
      </c>
      <c r="I510" t="n">
        <v>0</v>
      </c>
      <c r="J510" t="n">
        <v>0</v>
      </c>
      <c r="K510" t="n">
        <v>0</v>
      </c>
      <c r="L510" t="n">
        <v>0</v>
      </c>
      <c r="M510" t="n">
        <v>0</v>
      </c>
      <c r="N510" t="n">
        <v>0</v>
      </c>
      <c r="O510" t="n">
        <v>0</v>
      </c>
      <c r="P510" t="n">
        <v>0</v>
      </c>
      <c r="Q510" t="n">
        <v>0</v>
      </c>
      <c r="R510" s="2" t="inlineStr"/>
    </row>
    <row r="511" ht="15" customHeight="1">
      <c r="A511" t="inlineStr">
        <is>
          <t>A 72329-2021</t>
        </is>
      </c>
      <c r="B511" s="1" t="n">
        <v>44545.46072916667</v>
      </c>
      <c r="C511" s="1" t="n">
        <v>45900</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43803-2023</t>
        </is>
      </c>
      <c r="B512" s="1" t="n">
        <v>45187</v>
      </c>
      <c r="C512" s="1" t="n">
        <v>45900</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15789-2023</t>
        </is>
      </c>
      <c r="B513" s="1" t="n">
        <v>45021.71539351852</v>
      </c>
      <c r="C513" s="1" t="n">
        <v>45900</v>
      </c>
      <c r="D513" t="inlineStr">
        <is>
          <t>ÖREBRO LÄN</t>
        </is>
      </c>
      <c r="E513" t="inlineStr">
        <is>
          <t>ÖREBRO</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30374-2023</t>
        </is>
      </c>
      <c r="B514" s="1" t="n">
        <v>45111</v>
      </c>
      <c r="C514" s="1" t="n">
        <v>45900</v>
      </c>
      <c r="D514" t="inlineStr">
        <is>
          <t>ÖREBRO LÄN</t>
        </is>
      </c>
      <c r="E514" t="inlineStr">
        <is>
          <t>ÖREBRO</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58539-2024</t>
        </is>
      </c>
      <c r="B515" s="1" t="n">
        <v>45635.45157407408</v>
      </c>
      <c r="C515" s="1" t="n">
        <v>45900</v>
      </c>
      <c r="D515" t="inlineStr">
        <is>
          <t>ÖREBRO LÄN</t>
        </is>
      </c>
      <c r="E515" t="inlineStr">
        <is>
          <t>ÖREBRO</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59757-2023</t>
        </is>
      </c>
      <c r="B516" s="1" t="n">
        <v>45257.40833333333</v>
      </c>
      <c r="C516" s="1" t="n">
        <v>45900</v>
      </c>
      <c r="D516" t="inlineStr">
        <is>
          <t>ÖREBRO LÄN</t>
        </is>
      </c>
      <c r="E516" t="inlineStr">
        <is>
          <t>ÖREBRO</t>
        </is>
      </c>
      <c r="G516" t="n">
        <v>1</v>
      </c>
      <c r="H516" t="n">
        <v>0</v>
      </c>
      <c r="I516" t="n">
        <v>0</v>
      </c>
      <c r="J516" t="n">
        <v>0</v>
      </c>
      <c r="K516" t="n">
        <v>0</v>
      </c>
      <c r="L516" t="n">
        <v>0</v>
      </c>
      <c r="M516" t="n">
        <v>0</v>
      </c>
      <c r="N516" t="n">
        <v>0</v>
      </c>
      <c r="O516" t="n">
        <v>0</v>
      </c>
      <c r="P516" t="n">
        <v>0</v>
      </c>
      <c r="Q516" t="n">
        <v>0</v>
      </c>
      <c r="R516" s="2" t="inlineStr"/>
    </row>
    <row r="517" ht="15" customHeight="1">
      <c r="A517" t="inlineStr">
        <is>
          <t>A 17869-2024</t>
        </is>
      </c>
      <c r="B517" s="1" t="n">
        <v>45419</v>
      </c>
      <c r="C517" s="1" t="n">
        <v>45900</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54678-2023</t>
        </is>
      </c>
      <c r="B518" s="1" t="n">
        <v>45235</v>
      </c>
      <c r="C518" s="1" t="n">
        <v>45900</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71272-2021</t>
        </is>
      </c>
      <c r="B519" s="1" t="n">
        <v>44539.61571759259</v>
      </c>
      <c r="C519" s="1" t="n">
        <v>45900</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4557-2023</t>
        </is>
      </c>
      <c r="B520" s="1" t="n">
        <v>44956.6655787037</v>
      </c>
      <c r="C520" s="1" t="n">
        <v>45900</v>
      </c>
      <c r="D520" t="inlineStr">
        <is>
          <t>ÖREBRO LÄN</t>
        </is>
      </c>
      <c r="E520" t="inlineStr">
        <is>
          <t>ÖREBRO</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60100-2022</t>
        </is>
      </c>
      <c r="B521" s="1" t="n">
        <v>44902</v>
      </c>
      <c r="C521" s="1" t="n">
        <v>45900</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17465-2023</t>
        </is>
      </c>
      <c r="B522" s="1" t="n">
        <v>45036</v>
      </c>
      <c r="C522" s="1" t="n">
        <v>45900</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6213-2021</t>
        </is>
      </c>
      <c r="B523" s="1" t="n">
        <v>44232</v>
      </c>
      <c r="C523" s="1" t="n">
        <v>45900</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58219-2024</t>
        </is>
      </c>
      <c r="B524" s="1" t="n">
        <v>45632</v>
      </c>
      <c r="C524" s="1" t="n">
        <v>45900</v>
      </c>
      <c r="D524" t="inlineStr">
        <is>
          <t>ÖREBRO LÄN</t>
        </is>
      </c>
      <c r="E524" t="inlineStr">
        <is>
          <t>ÖREBRO</t>
        </is>
      </c>
      <c r="G524" t="n">
        <v>1.1</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45900</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52477-2024</t>
        </is>
      </c>
      <c r="B526" s="1" t="n">
        <v>45609</v>
      </c>
      <c r="C526" s="1" t="n">
        <v>45900</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42518-2021</t>
        </is>
      </c>
      <c r="B527" s="1" t="n">
        <v>44427.81496527778</v>
      </c>
      <c r="C527" s="1" t="n">
        <v>45900</v>
      </c>
      <c r="D527" t="inlineStr">
        <is>
          <t>ÖREBRO LÄN</t>
        </is>
      </c>
      <c r="E527" t="inlineStr">
        <is>
          <t>ÖREBRO</t>
        </is>
      </c>
      <c r="G527" t="n">
        <v>4.5</v>
      </c>
      <c r="H527" t="n">
        <v>0</v>
      </c>
      <c r="I527" t="n">
        <v>0</v>
      </c>
      <c r="J527" t="n">
        <v>0</v>
      </c>
      <c r="K527" t="n">
        <v>0</v>
      </c>
      <c r="L527" t="n">
        <v>0</v>
      </c>
      <c r="M527" t="n">
        <v>0</v>
      </c>
      <c r="N527" t="n">
        <v>0</v>
      </c>
      <c r="O527" t="n">
        <v>0</v>
      </c>
      <c r="P527" t="n">
        <v>0</v>
      </c>
      <c r="Q527" t="n">
        <v>0</v>
      </c>
      <c r="R527" s="2" t="inlineStr"/>
    </row>
    <row r="528" ht="15" customHeight="1">
      <c r="A528" t="inlineStr">
        <is>
          <t>A 53558-2023</t>
        </is>
      </c>
      <c r="B528" s="1" t="n">
        <v>45230.47266203703</v>
      </c>
      <c r="C528" s="1" t="n">
        <v>45900</v>
      </c>
      <c r="D528" t="inlineStr">
        <is>
          <t>ÖREBRO LÄN</t>
        </is>
      </c>
      <c r="E528" t="inlineStr">
        <is>
          <t>ÖREBRO</t>
        </is>
      </c>
      <c r="F528" t="inlineStr">
        <is>
          <t>Övriga Aktiebolag</t>
        </is>
      </c>
      <c r="G528" t="n">
        <v>4.7</v>
      </c>
      <c r="H528" t="n">
        <v>0</v>
      </c>
      <c r="I528" t="n">
        <v>0</v>
      </c>
      <c r="J528" t="n">
        <v>0</v>
      </c>
      <c r="K528" t="n">
        <v>0</v>
      </c>
      <c r="L528" t="n">
        <v>0</v>
      </c>
      <c r="M528" t="n">
        <v>0</v>
      </c>
      <c r="N528" t="n">
        <v>0</v>
      </c>
      <c r="O528" t="n">
        <v>0</v>
      </c>
      <c r="P528" t="n">
        <v>0</v>
      </c>
      <c r="Q528" t="n">
        <v>0</v>
      </c>
      <c r="R528" s="2" t="inlineStr"/>
    </row>
    <row r="529" ht="15" customHeight="1">
      <c r="A529" t="inlineStr">
        <is>
          <t>A 14545-2023</t>
        </is>
      </c>
      <c r="B529" s="1" t="n">
        <v>45013.34895833334</v>
      </c>
      <c r="C529" s="1" t="n">
        <v>45900</v>
      </c>
      <c r="D529" t="inlineStr">
        <is>
          <t>ÖREBRO LÄN</t>
        </is>
      </c>
      <c r="E529" t="inlineStr">
        <is>
          <t>ÖREBRO</t>
        </is>
      </c>
      <c r="G529" t="n">
        <v>2.5</v>
      </c>
      <c r="H529" t="n">
        <v>0</v>
      </c>
      <c r="I529" t="n">
        <v>0</v>
      </c>
      <c r="J529" t="n">
        <v>0</v>
      </c>
      <c r="K529" t="n">
        <v>0</v>
      </c>
      <c r="L529" t="n">
        <v>0</v>
      </c>
      <c r="M529" t="n">
        <v>0</v>
      </c>
      <c r="N529" t="n">
        <v>0</v>
      </c>
      <c r="O529" t="n">
        <v>0</v>
      </c>
      <c r="P529" t="n">
        <v>0</v>
      </c>
      <c r="Q529" t="n">
        <v>0</v>
      </c>
      <c r="R529" s="2" t="inlineStr"/>
    </row>
    <row r="530" ht="15" customHeight="1">
      <c r="A530" t="inlineStr">
        <is>
          <t>A 27112-2023</t>
        </is>
      </c>
      <c r="B530" s="1" t="n">
        <v>45096</v>
      </c>
      <c r="C530" s="1" t="n">
        <v>45900</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45900</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14524-2025</t>
        </is>
      </c>
      <c r="B532" s="1" t="n">
        <v>45741.64815972222</v>
      </c>
      <c r="C532" s="1" t="n">
        <v>45900</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46834-2022</t>
        </is>
      </c>
      <c r="B533" s="1" t="n">
        <v>44851</v>
      </c>
      <c r="C533" s="1" t="n">
        <v>45900</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57638-2022</t>
        </is>
      </c>
      <c r="B534" s="1" t="n">
        <v>44897</v>
      </c>
      <c r="C534" s="1" t="n">
        <v>45900</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2152-2023</t>
        </is>
      </c>
      <c r="B535" s="1" t="n">
        <v>44941.55056712963</v>
      </c>
      <c r="C535" s="1" t="n">
        <v>45900</v>
      </c>
      <c r="D535" t="inlineStr">
        <is>
          <t>ÖREBRO LÄN</t>
        </is>
      </c>
      <c r="E535" t="inlineStr">
        <is>
          <t>ÖREBRO</t>
        </is>
      </c>
      <c r="G535" t="n">
        <v>8</v>
      </c>
      <c r="H535" t="n">
        <v>0</v>
      </c>
      <c r="I535" t="n">
        <v>0</v>
      </c>
      <c r="J535" t="n">
        <v>0</v>
      </c>
      <c r="K535" t="n">
        <v>0</v>
      </c>
      <c r="L535" t="n">
        <v>0</v>
      </c>
      <c r="M535" t="n">
        <v>0</v>
      </c>
      <c r="N535" t="n">
        <v>0</v>
      </c>
      <c r="O535" t="n">
        <v>0</v>
      </c>
      <c r="P535" t="n">
        <v>0</v>
      </c>
      <c r="Q535" t="n">
        <v>0</v>
      </c>
      <c r="R535" s="2" t="inlineStr"/>
    </row>
    <row r="536" ht="15" customHeight="1">
      <c r="A536" t="inlineStr">
        <is>
          <t>A 55745-2023</t>
        </is>
      </c>
      <c r="B536" s="1" t="n">
        <v>45239.44811342593</v>
      </c>
      <c r="C536" s="1" t="n">
        <v>45900</v>
      </c>
      <c r="D536" t="inlineStr">
        <is>
          <t>ÖREBRO LÄN</t>
        </is>
      </c>
      <c r="E536" t="inlineStr">
        <is>
          <t>ÖREBRO</t>
        </is>
      </c>
      <c r="G536" t="n">
        <v>13.3</v>
      </c>
      <c r="H536" t="n">
        <v>0</v>
      </c>
      <c r="I536" t="n">
        <v>0</v>
      </c>
      <c r="J536" t="n">
        <v>0</v>
      </c>
      <c r="K536" t="n">
        <v>0</v>
      </c>
      <c r="L536" t="n">
        <v>0</v>
      </c>
      <c r="M536" t="n">
        <v>0</v>
      </c>
      <c r="N536" t="n">
        <v>0</v>
      </c>
      <c r="O536" t="n">
        <v>0</v>
      </c>
      <c r="P536" t="n">
        <v>0</v>
      </c>
      <c r="Q536" t="n">
        <v>0</v>
      </c>
      <c r="R536" s="2" t="inlineStr"/>
    </row>
    <row r="537" ht="15" customHeight="1">
      <c r="A537" t="inlineStr">
        <is>
          <t>A 51373-2023</t>
        </is>
      </c>
      <c r="B537" s="1" t="n">
        <v>45213</v>
      </c>
      <c r="C537" s="1" t="n">
        <v>45900</v>
      </c>
      <c r="D537" t="inlineStr">
        <is>
          <t>ÖREBRO LÄN</t>
        </is>
      </c>
      <c r="E537" t="inlineStr">
        <is>
          <t>ÖREBRO</t>
        </is>
      </c>
      <c r="G537" t="n">
        <v>5.9</v>
      </c>
      <c r="H537" t="n">
        <v>0</v>
      </c>
      <c r="I537" t="n">
        <v>0</v>
      </c>
      <c r="J537" t="n">
        <v>0</v>
      </c>
      <c r="K537" t="n">
        <v>0</v>
      </c>
      <c r="L537" t="n">
        <v>0</v>
      </c>
      <c r="M537" t="n">
        <v>0</v>
      </c>
      <c r="N537" t="n">
        <v>0</v>
      </c>
      <c r="O537" t="n">
        <v>0</v>
      </c>
      <c r="P537" t="n">
        <v>0</v>
      </c>
      <c r="Q537" t="n">
        <v>0</v>
      </c>
      <c r="R537" s="2" t="inlineStr"/>
    </row>
    <row r="538" ht="15" customHeight="1">
      <c r="A538" t="inlineStr">
        <is>
          <t>A 1257-2022</t>
        </is>
      </c>
      <c r="B538" s="1" t="n">
        <v>44572</v>
      </c>
      <c r="C538" s="1" t="n">
        <v>45900</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20589-2024</t>
        </is>
      </c>
      <c r="B539" s="1" t="n">
        <v>45436.42077546296</v>
      </c>
      <c r="C539" s="1" t="n">
        <v>45900</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71285-2021</t>
        </is>
      </c>
      <c r="B540" s="1" t="n">
        <v>44539.62236111111</v>
      </c>
      <c r="C540" s="1" t="n">
        <v>45900</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40656-2023</t>
        </is>
      </c>
      <c r="B541" s="1" t="n">
        <v>45170</v>
      </c>
      <c r="C541" s="1" t="n">
        <v>45900</v>
      </c>
      <c r="D541" t="inlineStr">
        <is>
          <t>ÖREBRO LÄN</t>
        </is>
      </c>
      <c r="E541" t="inlineStr">
        <is>
          <t>ÖREBRO</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22677-2022</t>
        </is>
      </c>
      <c r="B542" s="1" t="n">
        <v>44714</v>
      </c>
      <c r="C542" s="1" t="n">
        <v>45900</v>
      </c>
      <c r="D542" t="inlineStr">
        <is>
          <t>ÖREBRO LÄN</t>
        </is>
      </c>
      <c r="E542" t="inlineStr">
        <is>
          <t>ÖREBRO</t>
        </is>
      </c>
      <c r="G542" t="n">
        <v>2.3</v>
      </c>
      <c r="H542" t="n">
        <v>0</v>
      </c>
      <c r="I542" t="n">
        <v>0</v>
      </c>
      <c r="J542" t="n">
        <v>0</v>
      </c>
      <c r="K542" t="n">
        <v>0</v>
      </c>
      <c r="L542" t="n">
        <v>0</v>
      </c>
      <c r="M542" t="n">
        <v>0</v>
      </c>
      <c r="N542" t="n">
        <v>0</v>
      </c>
      <c r="O542" t="n">
        <v>0</v>
      </c>
      <c r="P542" t="n">
        <v>0</v>
      </c>
      <c r="Q542" t="n">
        <v>0</v>
      </c>
      <c r="R542" s="2" t="inlineStr"/>
    </row>
    <row r="543" ht="15" customHeight="1">
      <c r="A543" t="inlineStr">
        <is>
          <t>A 71288-2021</t>
        </is>
      </c>
      <c r="B543" s="1" t="n">
        <v>44539.62481481482</v>
      </c>
      <c r="C543" s="1" t="n">
        <v>45900</v>
      </c>
      <c r="D543" t="inlineStr">
        <is>
          <t>ÖREBRO LÄN</t>
        </is>
      </c>
      <c r="E543" t="inlineStr">
        <is>
          <t>ÖREBRO</t>
        </is>
      </c>
      <c r="G543" t="n">
        <v>3.9</v>
      </c>
      <c r="H543" t="n">
        <v>0</v>
      </c>
      <c r="I543" t="n">
        <v>0</v>
      </c>
      <c r="J543" t="n">
        <v>0</v>
      </c>
      <c r="K543" t="n">
        <v>0</v>
      </c>
      <c r="L543" t="n">
        <v>0</v>
      </c>
      <c r="M543" t="n">
        <v>0</v>
      </c>
      <c r="N543" t="n">
        <v>0</v>
      </c>
      <c r="O543" t="n">
        <v>0</v>
      </c>
      <c r="P543" t="n">
        <v>0</v>
      </c>
      <c r="Q543" t="n">
        <v>0</v>
      </c>
      <c r="R543" s="2" t="inlineStr"/>
    </row>
    <row r="544" ht="15" customHeight="1">
      <c r="A544" t="inlineStr">
        <is>
          <t>A 10830-2023</t>
        </is>
      </c>
      <c r="B544" s="1" t="n">
        <v>44990.89752314815</v>
      </c>
      <c r="C544" s="1" t="n">
        <v>45900</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7692-2023</t>
        </is>
      </c>
      <c r="B545" s="1" t="n">
        <v>44972.7762962963</v>
      </c>
      <c r="C545" s="1" t="n">
        <v>45900</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41678-2024</t>
        </is>
      </c>
      <c r="B546" s="1" t="n">
        <v>45560</v>
      </c>
      <c r="C546" s="1" t="n">
        <v>45900</v>
      </c>
      <c r="D546" t="inlineStr">
        <is>
          <t>ÖREBRO LÄN</t>
        </is>
      </c>
      <c r="E546" t="inlineStr">
        <is>
          <t>ÖREBRO</t>
        </is>
      </c>
      <c r="G546" t="n">
        <v>11.3</v>
      </c>
      <c r="H546" t="n">
        <v>0</v>
      </c>
      <c r="I546" t="n">
        <v>0</v>
      </c>
      <c r="J546" t="n">
        <v>0</v>
      </c>
      <c r="K546" t="n">
        <v>0</v>
      </c>
      <c r="L546" t="n">
        <v>0</v>
      </c>
      <c r="M546" t="n">
        <v>0</v>
      </c>
      <c r="N546" t="n">
        <v>0</v>
      </c>
      <c r="O546" t="n">
        <v>0</v>
      </c>
      <c r="P546" t="n">
        <v>0</v>
      </c>
      <c r="Q546" t="n">
        <v>0</v>
      </c>
      <c r="R546" s="2" t="inlineStr"/>
    </row>
    <row r="547" ht="15" customHeight="1">
      <c r="A547" t="inlineStr">
        <is>
          <t>A 60289-2023</t>
        </is>
      </c>
      <c r="B547" s="1" t="n">
        <v>45257</v>
      </c>
      <c r="C547" s="1" t="n">
        <v>45900</v>
      </c>
      <c r="D547" t="inlineStr">
        <is>
          <t>ÖREBRO LÄN</t>
        </is>
      </c>
      <c r="E547" t="inlineStr">
        <is>
          <t>ÖREBRO</t>
        </is>
      </c>
      <c r="G547" t="n">
        <v>10.9</v>
      </c>
      <c r="H547" t="n">
        <v>0</v>
      </c>
      <c r="I547" t="n">
        <v>0</v>
      </c>
      <c r="J547" t="n">
        <v>0</v>
      </c>
      <c r="K547" t="n">
        <v>0</v>
      </c>
      <c r="L547" t="n">
        <v>0</v>
      </c>
      <c r="M547" t="n">
        <v>0</v>
      </c>
      <c r="N547" t="n">
        <v>0</v>
      </c>
      <c r="O547" t="n">
        <v>0</v>
      </c>
      <c r="P547" t="n">
        <v>0</v>
      </c>
      <c r="Q547" t="n">
        <v>0</v>
      </c>
      <c r="R547" s="2" t="inlineStr"/>
    </row>
    <row r="548" ht="15" customHeight="1">
      <c r="A548" t="inlineStr">
        <is>
          <t>A 12099-2023</t>
        </is>
      </c>
      <c r="B548" s="1" t="n">
        <v>44998.37043981482</v>
      </c>
      <c r="C548" s="1" t="n">
        <v>45900</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31240-2023</t>
        </is>
      </c>
      <c r="B549" s="1" t="n">
        <v>45114</v>
      </c>
      <c r="C549" s="1" t="n">
        <v>45900</v>
      </c>
      <c r="D549" t="inlineStr">
        <is>
          <t>ÖREBRO LÄN</t>
        </is>
      </c>
      <c r="E549" t="inlineStr">
        <is>
          <t>ÖREBRO</t>
        </is>
      </c>
      <c r="F549" t="inlineStr">
        <is>
          <t>Allmännings- och besparingsskogar</t>
        </is>
      </c>
      <c r="G549" t="n">
        <v>6.2</v>
      </c>
      <c r="H549" t="n">
        <v>0</v>
      </c>
      <c r="I549" t="n">
        <v>0</v>
      </c>
      <c r="J549" t="n">
        <v>0</v>
      </c>
      <c r="K549" t="n">
        <v>0</v>
      </c>
      <c r="L549" t="n">
        <v>0</v>
      </c>
      <c r="M549" t="n">
        <v>0</v>
      </c>
      <c r="N549" t="n">
        <v>0</v>
      </c>
      <c r="O549" t="n">
        <v>0</v>
      </c>
      <c r="P549" t="n">
        <v>0</v>
      </c>
      <c r="Q549" t="n">
        <v>0</v>
      </c>
      <c r="R549" s="2" t="inlineStr"/>
    </row>
    <row r="550" ht="15" customHeight="1">
      <c r="A550" t="inlineStr">
        <is>
          <t>A 42285-2020</t>
        </is>
      </c>
      <c r="B550" s="1" t="n">
        <v>44076</v>
      </c>
      <c r="C550" s="1" t="n">
        <v>45900</v>
      </c>
      <c r="D550" t="inlineStr">
        <is>
          <t>ÖREBRO LÄN</t>
        </is>
      </c>
      <c r="E550" t="inlineStr">
        <is>
          <t>ÖREBRO</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50026-2024</t>
        </is>
      </c>
      <c r="B551" s="1" t="n">
        <v>45599.60541666667</v>
      </c>
      <c r="C551" s="1" t="n">
        <v>45900</v>
      </c>
      <c r="D551" t="inlineStr">
        <is>
          <t>ÖREBRO LÄN</t>
        </is>
      </c>
      <c r="E551" t="inlineStr">
        <is>
          <t>ÖREBRO</t>
        </is>
      </c>
      <c r="G551" t="n">
        <v>2.2</v>
      </c>
      <c r="H551" t="n">
        <v>0</v>
      </c>
      <c r="I551" t="n">
        <v>0</v>
      </c>
      <c r="J551" t="n">
        <v>0</v>
      </c>
      <c r="K551" t="n">
        <v>0</v>
      </c>
      <c r="L551" t="n">
        <v>0</v>
      </c>
      <c r="M551" t="n">
        <v>0</v>
      </c>
      <c r="N551" t="n">
        <v>0</v>
      </c>
      <c r="O551" t="n">
        <v>0</v>
      </c>
      <c r="P551" t="n">
        <v>0</v>
      </c>
      <c r="Q551" t="n">
        <v>0</v>
      </c>
      <c r="R551" s="2" t="inlineStr"/>
    </row>
    <row r="552" ht="15" customHeight="1">
      <c r="A552" t="inlineStr">
        <is>
          <t>A 18449-2023</t>
        </is>
      </c>
      <c r="B552" s="1" t="n">
        <v>45042.5203125</v>
      </c>
      <c r="C552" s="1" t="n">
        <v>45900</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16936-2023</t>
        </is>
      </c>
      <c r="B553" s="1" t="n">
        <v>45033.63005787037</v>
      </c>
      <c r="C553" s="1" t="n">
        <v>45900</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58145-2024</t>
        </is>
      </c>
      <c r="B554" s="1" t="n">
        <v>45632.43230324074</v>
      </c>
      <c r="C554" s="1" t="n">
        <v>45900</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64730-2023</t>
        </is>
      </c>
      <c r="B555" s="1" t="n">
        <v>45281</v>
      </c>
      <c r="C555" s="1" t="n">
        <v>45900</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44284-2022</t>
        </is>
      </c>
      <c r="B556" s="1" t="n">
        <v>44839.59194444444</v>
      </c>
      <c r="C556" s="1" t="n">
        <v>45900</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14544-2023</t>
        </is>
      </c>
      <c r="B557" s="1" t="n">
        <v>45013</v>
      </c>
      <c r="C557" s="1" t="n">
        <v>45900</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15682-2023</t>
        </is>
      </c>
      <c r="B558" s="1" t="n">
        <v>45021</v>
      </c>
      <c r="C558" s="1" t="n">
        <v>45900</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4416-2023</t>
        </is>
      </c>
      <c r="B559" s="1" t="n">
        <v>44956</v>
      </c>
      <c r="C559" s="1" t="n">
        <v>45900</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49062-2023</t>
        </is>
      </c>
      <c r="B560" s="1" t="n">
        <v>45210.35119212963</v>
      </c>
      <c r="C560" s="1" t="n">
        <v>45900</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32321-2023</t>
        </is>
      </c>
      <c r="B561" s="1" t="n">
        <v>45120</v>
      </c>
      <c r="C561" s="1" t="n">
        <v>45900</v>
      </c>
      <c r="D561" t="inlineStr">
        <is>
          <t>ÖREBRO LÄN</t>
        </is>
      </c>
      <c r="E561" t="inlineStr">
        <is>
          <t>ÖREBRO</t>
        </is>
      </c>
      <c r="G561" t="n">
        <v>3.4</v>
      </c>
      <c r="H561" t="n">
        <v>0</v>
      </c>
      <c r="I561" t="n">
        <v>0</v>
      </c>
      <c r="J561" t="n">
        <v>0</v>
      </c>
      <c r="K561" t="n">
        <v>0</v>
      </c>
      <c r="L561" t="n">
        <v>0</v>
      </c>
      <c r="M561" t="n">
        <v>0</v>
      </c>
      <c r="N561" t="n">
        <v>0</v>
      </c>
      <c r="O561" t="n">
        <v>0</v>
      </c>
      <c r="P561" t="n">
        <v>0</v>
      </c>
      <c r="Q561" t="n">
        <v>0</v>
      </c>
      <c r="R561" s="2" t="inlineStr"/>
    </row>
    <row r="562" ht="15" customHeight="1">
      <c r="A562" t="inlineStr">
        <is>
          <t>A 2095-2025</t>
        </is>
      </c>
      <c r="B562" s="1" t="n">
        <v>45672</v>
      </c>
      <c r="C562" s="1" t="n">
        <v>45900</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71275-2021</t>
        </is>
      </c>
      <c r="B563" s="1" t="n">
        <v>44539</v>
      </c>
      <c r="C563" s="1" t="n">
        <v>45900</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58608-2024</t>
        </is>
      </c>
      <c r="B564" s="1" t="n">
        <v>45635.55185185185</v>
      </c>
      <c r="C564" s="1" t="n">
        <v>45900</v>
      </c>
      <c r="D564" t="inlineStr">
        <is>
          <t>ÖREBRO LÄN</t>
        </is>
      </c>
      <c r="E564" t="inlineStr">
        <is>
          <t>ÖREBRO</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2153-2023</t>
        </is>
      </c>
      <c r="B565" s="1" t="n">
        <v>44941</v>
      </c>
      <c r="C565" s="1" t="n">
        <v>45900</v>
      </c>
      <c r="D565" t="inlineStr">
        <is>
          <t>ÖREBRO LÄN</t>
        </is>
      </c>
      <c r="E565" t="inlineStr">
        <is>
          <t>ÖREBRO</t>
        </is>
      </c>
      <c r="G565" t="n">
        <v>6.3</v>
      </c>
      <c r="H565" t="n">
        <v>0</v>
      </c>
      <c r="I565" t="n">
        <v>0</v>
      </c>
      <c r="J565" t="n">
        <v>0</v>
      </c>
      <c r="K565" t="n">
        <v>0</v>
      </c>
      <c r="L565" t="n">
        <v>0</v>
      </c>
      <c r="M565" t="n">
        <v>0</v>
      </c>
      <c r="N565" t="n">
        <v>0</v>
      </c>
      <c r="O565" t="n">
        <v>0</v>
      </c>
      <c r="P565" t="n">
        <v>0</v>
      </c>
      <c r="Q565" t="n">
        <v>0</v>
      </c>
      <c r="R565" s="2" t="inlineStr"/>
    </row>
    <row r="566" ht="15" customHeight="1">
      <c r="A566" t="inlineStr">
        <is>
          <t>A 2069-2025</t>
        </is>
      </c>
      <c r="B566" s="1" t="n">
        <v>45672.56614583333</v>
      </c>
      <c r="C566" s="1" t="n">
        <v>45900</v>
      </c>
      <c r="D566" t="inlineStr">
        <is>
          <t>ÖREBRO LÄN</t>
        </is>
      </c>
      <c r="E566" t="inlineStr">
        <is>
          <t>ÖREBRO</t>
        </is>
      </c>
      <c r="G566" t="n">
        <v>3.8</v>
      </c>
      <c r="H566" t="n">
        <v>0</v>
      </c>
      <c r="I566" t="n">
        <v>0</v>
      </c>
      <c r="J566" t="n">
        <v>0</v>
      </c>
      <c r="K566" t="n">
        <v>0</v>
      </c>
      <c r="L566" t="n">
        <v>0</v>
      </c>
      <c r="M566" t="n">
        <v>0</v>
      </c>
      <c r="N566" t="n">
        <v>0</v>
      </c>
      <c r="O566" t="n">
        <v>0</v>
      </c>
      <c r="P566" t="n">
        <v>0</v>
      </c>
      <c r="Q566" t="n">
        <v>0</v>
      </c>
      <c r="R566" s="2" t="inlineStr"/>
    </row>
    <row r="567" ht="15" customHeight="1">
      <c r="A567" t="inlineStr">
        <is>
          <t>A 852-2025</t>
        </is>
      </c>
      <c r="B567" s="1" t="n">
        <v>45665.60148148148</v>
      </c>
      <c r="C567" s="1" t="n">
        <v>45900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50398-2022</t>
        </is>
      </c>
      <c r="B568" s="1" t="n">
        <v>44861</v>
      </c>
      <c r="C568" s="1" t="n">
        <v>45900</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52441-2024</t>
        </is>
      </c>
      <c r="B569" s="1" t="n">
        <v>45609.48451388889</v>
      </c>
      <c r="C569" s="1" t="n">
        <v>45900</v>
      </c>
      <c r="D569" t="inlineStr">
        <is>
          <t>ÖREBRO LÄN</t>
        </is>
      </c>
      <c r="E569" t="inlineStr">
        <is>
          <t>ÖREBRO</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52499-2024</t>
        </is>
      </c>
      <c r="B570" s="1" t="n">
        <v>45609.58422453704</v>
      </c>
      <c r="C570" s="1" t="n">
        <v>45900</v>
      </c>
      <c r="D570" t="inlineStr">
        <is>
          <t>ÖREBRO LÄN</t>
        </is>
      </c>
      <c r="E570" t="inlineStr">
        <is>
          <t>ÖREBRO</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8008-2024</t>
        </is>
      </c>
      <c r="B571" s="1" t="n">
        <v>45350.6794212963</v>
      </c>
      <c r="C571" s="1" t="n">
        <v>45900</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18181-2024</t>
        </is>
      </c>
      <c r="B572" s="1" t="n">
        <v>45420.64561342593</v>
      </c>
      <c r="C572" s="1" t="n">
        <v>45900</v>
      </c>
      <c r="D572" t="inlineStr">
        <is>
          <t>ÖREBRO LÄN</t>
        </is>
      </c>
      <c r="E572" t="inlineStr">
        <is>
          <t>ÖREBRO</t>
        </is>
      </c>
      <c r="G572" t="n">
        <v>7.6</v>
      </c>
      <c r="H572" t="n">
        <v>0</v>
      </c>
      <c r="I572" t="n">
        <v>0</v>
      </c>
      <c r="J572" t="n">
        <v>0</v>
      </c>
      <c r="K572" t="n">
        <v>0</v>
      </c>
      <c r="L572" t="n">
        <v>0</v>
      </c>
      <c r="M572" t="n">
        <v>0</v>
      </c>
      <c r="N572" t="n">
        <v>0</v>
      </c>
      <c r="O572" t="n">
        <v>0</v>
      </c>
      <c r="P572" t="n">
        <v>0</v>
      </c>
      <c r="Q572" t="n">
        <v>0</v>
      </c>
      <c r="R572" s="2" t="inlineStr"/>
    </row>
    <row r="573" ht="15" customHeight="1">
      <c r="A573" t="inlineStr">
        <is>
          <t>A 38415-2023</t>
        </is>
      </c>
      <c r="B573" s="1" t="n">
        <v>45162.35502314815</v>
      </c>
      <c r="C573" s="1" t="n">
        <v>45900</v>
      </c>
      <c r="D573" t="inlineStr">
        <is>
          <t>ÖREBRO LÄN</t>
        </is>
      </c>
      <c r="E573" t="inlineStr">
        <is>
          <t>ÖREBRO</t>
        </is>
      </c>
      <c r="G573" t="n">
        <v>2.6</v>
      </c>
      <c r="H573" t="n">
        <v>0</v>
      </c>
      <c r="I573" t="n">
        <v>0</v>
      </c>
      <c r="J573" t="n">
        <v>0</v>
      </c>
      <c r="K573" t="n">
        <v>0</v>
      </c>
      <c r="L573" t="n">
        <v>0</v>
      </c>
      <c r="M573" t="n">
        <v>0</v>
      </c>
      <c r="N573" t="n">
        <v>0</v>
      </c>
      <c r="O573" t="n">
        <v>0</v>
      </c>
      <c r="P573" t="n">
        <v>0</v>
      </c>
      <c r="Q573" t="n">
        <v>0</v>
      </c>
      <c r="R573" s="2" t="inlineStr"/>
    </row>
    <row r="574" ht="15" customHeight="1">
      <c r="A574" t="inlineStr">
        <is>
          <t>A 16374-2022</t>
        </is>
      </c>
      <c r="B574" s="1" t="n">
        <v>44671</v>
      </c>
      <c r="C574" s="1" t="n">
        <v>45900</v>
      </c>
      <c r="D574" t="inlineStr">
        <is>
          <t>ÖREBRO LÄN</t>
        </is>
      </c>
      <c r="E574" t="inlineStr">
        <is>
          <t>ÖREBRO</t>
        </is>
      </c>
      <c r="F574" t="inlineStr">
        <is>
          <t>Övriga Aktiebolag</t>
        </is>
      </c>
      <c r="G574" t="n">
        <v>30.3</v>
      </c>
      <c r="H574" t="n">
        <v>0</v>
      </c>
      <c r="I574" t="n">
        <v>0</v>
      </c>
      <c r="J574" t="n">
        <v>0</v>
      </c>
      <c r="K574" t="n">
        <v>0</v>
      </c>
      <c r="L574" t="n">
        <v>0</v>
      </c>
      <c r="M574" t="n">
        <v>0</v>
      </c>
      <c r="N574" t="n">
        <v>0</v>
      </c>
      <c r="O574" t="n">
        <v>0</v>
      </c>
      <c r="P574" t="n">
        <v>0</v>
      </c>
      <c r="Q574" t="n">
        <v>0</v>
      </c>
      <c r="R574" s="2" t="inlineStr"/>
    </row>
    <row r="575" ht="15" customHeight="1">
      <c r="A575" t="inlineStr">
        <is>
          <t>A 9704-2023</t>
        </is>
      </c>
      <c r="B575" s="1" t="n">
        <v>44984</v>
      </c>
      <c r="C575" s="1" t="n">
        <v>45900</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19180-2025</t>
        </is>
      </c>
      <c r="B576" s="1" t="n">
        <v>45769.40133101852</v>
      </c>
      <c r="C576" s="1" t="n">
        <v>45900</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46052-2024</t>
        </is>
      </c>
      <c r="B577" s="1" t="n">
        <v>45580.89116898148</v>
      </c>
      <c r="C577" s="1" t="n">
        <v>45900</v>
      </c>
      <c r="D577" t="inlineStr">
        <is>
          <t>ÖREBRO LÄN</t>
        </is>
      </c>
      <c r="E577" t="inlineStr">
        <is>
          <t>ÖREBRO</t>
        </is>
      </c>
      <c r="F577" t="inlineStr">
        <is>
          <t>Övriga Aktiebolag</t>
        </is>
      </c>
      <c r="G577" t="n">
        <v>0.6</v>
      </c>
      <c r="H577" t="n">
        <v>0</v>
      </c>
      <c r="I577" t="n">
        <v>0</v>
      </c>
      <c r="J577" t="n">
        <v>0</v>
      </c>
      <c r="K577" t="n">
        <v>0</v>
      </c>
      <c r="L577" t="n">
        <v>0</v>
      </c>
      <c r="M577" t="n">
        <v>0</v>
      </c>
      <c r="N577" t="n">
        <v>0</v>
      </c>
      <c r="O577" t="n">
        <v>0</v>
      </c>
      <c r="P577" t="n">
        <v>0</v>
      </c>
      <c r="Q577" t="n">
        <v>0</v>
      </c>
      <c r="R577" s="2" t="inlineStr"/>
    </row>
    <row r="578" ht="15" customHeight="1">
      <c r="A578" t="inlineStr">
        <is>
          <t>A 58527-2024</t>
        </is>
      </c>
      <c r="B578" s="1" t="n">
        <v>45635.44388888889</v>
      </c>
      <c r="C578" s="1" t="n">
        <v>45900</v>
      </c>
      <c r="D578" t="inlineStr">
        <is>
          <t>ÖREBRO LÄN</t>
        </is>
      </c>
      <c r="E578" t="inlineStr">
        <is>
          <t>ÖREBRO</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37022-2024</t>
        </is>
      </c>
      <c r="B579" s="1" t="n">
        <v>45539.3822337963</v>
      </c>
      <c r="C579" s="1" t="n">
        <v>45900</v>
      </c>
      <c r="D579" t="inlineStr">
        <is>
          <t>ÖREBRO LÄN</t>
        </is>
      </c>
      <c r="E579" t="inlineStr">
        <is>
          <t>ÖREBRO</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37024-2024</t>
        </is>
      </c>
      <c r="B580" s="1" t="n">
        <v>45539.38329861111</v>
      </c>
      <c r="C580" s="1" t="n">
        <v>45900</v>
      </c>
      <c r="D580" t="inlineStr">
        <is>
          <t>ÖREBRO LÄN</t>
        </is>
      </c>
      <c r="E580" t="inlineStr">
        <is>
          <t>ÖREBRO</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38075-2022</t>
        </is>
      </c>
      <c r="B581" s="1" t="n">
        <v>44811</v>
      </c>
      <c r="C581" s="1" t="n">
        <v>45900</v>
      </c>
      <c r="D581" t="inlineStr">
        <is>
          <t>ÖREBRO LÄN</t>
        </is>
      </c>
      <c r="E581" t="inlineStr">
        <is>
          <t>ÖREBRO</t>
        </is>
      </c>
      <c r="G581" t="n">
        <v>0.2</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45900</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20121-2024</t>
        </is>
      </c>
      <c r="B583" s="1" t="n">
        <v>45434</v>
      </c>
      <c r="C583" s="1" t="n">
        <v>45900</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26117-2021</t>
        </is>
      </c>
      <c r="B584" s="1" t="n">
        <v>44345</v>
      </c>
      <c r="C584" s="1" t="n">
        <v>45900</v>
      </c>
      <c r="D584" t="inlineStr">
        <is>
          <t>ÖREBRO LÄN</t>
        </is>
      </c>
      <c r="E584" t="inlineStr">
        <is>
          <t>ÖREBRO</t>
        </is>
      </c>
      <c r="G584" t="n">
        <v>8.1</v>
      </c>
      <c r="H584" t="n">
        <v>0</v>
      </c>
      <c r="I584" t="n">
        <v>0</v>
      </c>
      <c r="J584" t="n">
        <v>0</v>
      </c>
      <c r="K584" t="n">
        <v>0</v>
      </c>
      <c r="L584" t="n">
        <v>0</v>
      </c>
      <c r="M584" t="n">
        <v>0</v>
      </c>
      <c r="N584" t="n">
        <v>0</v>
      </c>
      <c r="O584" t="n">
        <v>0</v>
      </c>
      <c r="P584" t="n">
        <v>0</v>
      </c>
      <c r="Q584" t="n">
        <v>0</v>
      </c>
      <c r="R584" s="2" t="inlineStr"/>
    </row>
    <row r="585" ht="15" customHeight="1">
      <c r="A585" t="inlineStr">
        <is>
          <t>A 55943-2024</t>
        </is>
      </c>
      <c r="B585" s="1" t="n">
        <v>45623.61278935185</v>
      </c>
      <c r="C585" s="1" t="n">
        <v>45900</v>
      </c>
      <c r="D585" t="inlineStr">
        <is>
          <t>ÖREBRO LÄN</t>
        </is>
      </c>
      <c r="E585" t="inlineStr">
        <is>
          <t>ÖREBRO</t>
        </is>
      </c>
      <c r="G585" t="n">
        <v>4.8</v>
      </c>
      <c r="H585" t="n">
        <v>0</v>
      </c>
      <c r="I585" t="n">
        <v>0</v>
      </c>
      <c r="J585" t="n">
        <v>0</v>
      </c>
      <c r="K585" t="n">
        <v>0</v>
      </c>
      <c r="L585" t="n">
        <v>0</v>
      </c>
      <c r="M585" t="n">
        <v>0</v>
      </c>
      <c r="N585" t="n">
        <v>0</v>
      </c>
      <c r="O585" t="n">
        <v>0</v>
      </c>
      <c r="P585" t="n">
        <v>0</v>
      </c>
      <c r="Q585" t="n">
        <v>0</v>
      </c>
      <c r="R585" s="2" t="inlineStr"/>
    </row>
    <row r="586" ht="15" customHeight="1">
      <c r="A586" t="inlineStr">
        <is>
          <t>A 1013-2024</t>
        </is>
      </c>
      <c r="B586" s="1" t="n">
        <v>45301</v>
      </c>
      <c r="C586" s="1" t="n">
        <v>45900</v>
      </c>
      <c r="D586" t="inlineStr">
        <is>
          <t>ÖREBRO LÄN</t>
        </is>
      </c>
      <c r="E586" t="inlineStr">
        <is>
          <t>ÖREBRO</t>
        </is>
      </c>
      <c r="G586" t="n">
        <v>2.6</v>
      </c>
      <c r="H586" t="n">
        <v>0</v>
      </c>
      <c r="I586" t="n">
        <v>0</v>
      </c>
      <c r="J586" t="n">
        <v>0</v>
      </c>
      <c r="K586" t="n">
        <v>0</v>
      </c>
      <c r="L586" t="n">
        <v>0</v>
      </c>
      <c r="M586" t="n">
        <v>0</v>
      </c>
      <c r="N586" t="n">
        <v>0</v>
      </c>
      <c r="O586" t="n">
        <v>0</v>
      </c>
      <c r="P586" t="n">
        <v>0</v>
      </c>
      <c r="Q586" t="n">
        <v>0</v>
      </c>
      <c r="R586" s="2" t="inlineStr"/>
    </row>
    <row r="587" ht="15" customHeight="1">
      <c r="A587" t="inlineStr">
        <is>
          <t>A 13623-2024</t>
        </is>
      </c>
      <c r="B587" s="1" t="n">
        <v>45390.38626157407</v>
      </c>
      <c r="C587" s="1" t="n">
        <v>45900</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5330-2024</t>
        </is>
      </c>
      <c r="B588" s="1" t="n">
        <v>45331.4187962963</v>
      </c>
      <c r="C588" s="1" t="n">
        <v>45900</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6794-2025</t>
        </is>
      </c>
      <c r="B589" s="1" t="n">
        <v>45700.66429398148</v>
      </c>
      <c r="C589" s="1" t="n">
        <v>45900</v>
      </c>
      <c r="D589" t="inlineStr">
        <is>
          <t>ÖREBRO LÄN</t>
        </is>
      </c>
      <c r="E589" t="inlineStr">
        <is>
          <t>ÖREBRO</t>
        </is>
      </c>
      <c r="G589" t="n">
        <v>1</v>
      </c>
      <c r="H589" t="n">
        <v>0</v>
      </c>
      <c r="I589" t="n">
        <v>0</v>
      </c>
      <c r="J589" t="n">
        <v>0</v>
      </c>
      <c r="K589" t="n">
        <v>0</v>
      </c>
      <c r="L589" t="n">
        <v>0</v>
      </c>
      <c r="M589" t="n">
        <v>0</v>
      </c>
      <c r="N589" t="n">
        <v>0</v>
      </c>
      <c r="O589" t="n">
        <v>0</v>
      </c>
      <c r="P589" t="n">
        <v>0</v>
      </c>
      <c r="Q589" t="n">
        <v>0</v>
      </c>
      <c r="R589" s="2" t="inlineStr"/>
    </row>
    <row r="590" ht="15" customHeight="1">
      <c r="A590" t="inlineStr">
        <is>
          <t>A 3-2024</t>
        </is>
      </c>
      <c r="B590" s="1" t="n">
        <v>45292</v>
      </c>
      <c r="C590" s="1" t="n">
        <v>45900</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5619-2023</t>
        </is>
      </c>
      <c r="B591" s="1" t="n">
        <v>44958</v>
      </c>
      <c r="C591" s="1" t="n">
        <v>45900</v>
      </c>
      <c r="D591" t="inlineStr">
        <is>
          <t>ÖREBRO LÄN</t>
        </is>
      </c>
      <c r="E591" t="inlineStr">
        <is>
          <t>ÖREBRO</t>
        </is>
      </c>
      <c r="G591" t="n">
        <v>27</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45900</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46050-2024</t>
        </is>
      </c>
      <c r="B593" s="1" t="n">
        <v>45580.88078703704</v>
      </c>
      <c r="C593" s="1" t="n">
        <v>45900</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37786-2024</t>
        </is>
      </c>
      <c r="B594" s="1" t="n">
        <v>45542.82987268519</v>
      </c>
      <c r="C594" s="1" t="n">
        <v>45900</v>
      </c>
      <c r="D594" t="inlineStr">
        <is>
          <t>ÖREBRO LÄN</t>
        </is>
      </c>
      <c r="E594" t="inlineStr">
        <is>
          <t>ÖREBRO</t>
        </is>
      </c>
      <c r="G594" t="n">
        <v>3.1</v>
      </c>
      <c r="H594" t="n">
        <v>0</v>
      </c>
      <c r="I594" t="n">
        <v>0</v>
      </c>
      <c r="J594" t="n">
        <v>0</v>
      </c>
      <c r="K594" t="n">
        <v>0</v>
      </c>
      <c r="L594" t="n">
        <v>0</v>
      </c>
      <c r="M594" t="n">
        <v>0</v>
      </c>
      <c r="N594" t="n">
        <v>0</v>
      </c>
      <c r="O594" t="n">
        <v>0</v>
      </c>
      <c r="P594" t="n">
        <v>0</v>
      </c>
      <c r="Q594" t="n">
        <v>0</v>
      </c>
      <c r="R594" s="2" t="inlineStr"/>
    </row>
    <row r="595" ht="15" customHeight="1">
      <c r="A595" t="inlineStr">
        <is>
          <t>A 58615-2024</t>
        </is>
      </c>
      <c r="B595" s="1" t="n">
        <v>45635.5587037037</v>
      </c>
      <c r="C595" s="1" t="n">
        <v>45900</v>
      </c>
      <c r="D595" t="inlineStr">
        <is>
          <t>ÖREBRO LÄN</t>
        </is>
      </c>
      <c r="E595" t="inlineStr">
        <is>
          <t>ÖREBRO</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45517-2023</t>
        </is>
      </c>
      <c r="B596" s="1" t="n">
        <v>45194.49594907407</v>
      </c>
      <c r="C596" s="1" t="n">
        <v>45900</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3652-2022</t>
        </is>
      </c>
      <c r="B597" s="1" t="n">
        <v>44586.46921296296</v>
      </c>
      <c r="C597" s="1" t="n">
        <v>45900</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25407-2021</t>
        </is>
      </c>
      <c r="B598" s="1" t="n">
        <v>44342</v>
      </c>
      <c r="C598" s="1" t="n">
        <v>45900</v>
      </c>
      <c r="D598" t="inlineStr">
        <is>
          <t>ÖREBRO LÄN</t>
        </is>
      </c>
      <c r="E598" t="inlineStr">
        <is>
          <t>ÖREBRO</t>
        </is>
      </c>
      <c r="F598" t="inlineStr">
        <is>
          <t>Kommuner</t>
        </is>
      </c>
      <c r="G598" t="n">
        <v>7.2</v>
      </c>
      <c r="H598" t="n">
        <v>0</v>
      </c>
      <c r="I598" t="n">
        <v>0</v>
      </c>
      <c r="J598" t="n">
        <v>0</v>
      </c>
      <c r="K598" t="n">
        <v>0</v>
      </c>
      <c r="L598" t="n">
        <v>0</v>
      </c>
      <c r="M598" t="n">
        <v>0</v>
      </c>
      <c r="N598" t="n">
        <v>0</v>
      </c>
      <c r="O598" t="n">
        <v>0</v>
      </c>
      <c r="P598" t="n">
        <v>0</v>
      </c>
      <c r="Q598" t="n">
        <v>0</v>
      </c>
      <c r="R598" s="2" t="inlineStr"/>
    </row>
    <row r="599" ht="15" customHeight="1">
      <c r="A599" t="inlineStr">
        <is>
          <t>A 12245-2023</t>
        </is>
      </c>
      <c r="B599" s="1" t="n">
        <v>44998.64402777778</v>
      </c>
      <c r="C599" s="1" t="n">
        <v>45900</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7134-2025</t>
        </is>
      </c>
      <c r="B600" s="1" t="n">
        <v>45702</v>
      </c>
      <c r="C600" s="1" t="n">
        <v>45900</v>
      </c>
      <c r="D600" t="inlineStr">
        <is>
          <t>ÖREBRO LÄN</t>
        </is>
      </c>
      <c r="E600" t="inlineStr">
        <is>
          <t>ÖREBRO</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60506-2024</t>
        </is>
      </c>
      <c r="B601" s="1" t="n">
        <v>45643.66630787037</v>
      </c>
      <c r="C601" s="1" t="n">
        <v>45900</v>
      </c>
      <c r="D601" t="inlineStr">
        <is>
          <t>ÖREBRO LÄN</t>
        </is>
      </c>
      <c r="E601" t="inlineStr">
        <is>
          <t>ÖREBRO</t>
        </is>
      </c>
      <c r="G601" t="n">
        <v>5.8</v>
      </c>
      <c r="H601" t="n">
        <v>0</v>
      </c>
      <c r="I601" t="n">
        <v>0</v>
      </c>
      <c r="J601" t="n">
        <v>0</v>
      </c>
      <c r="K601" t="n">
        <v>0</v>
      </c>
      <c r="L601" t="n">
        <v>0</v>
      </c>
      <c r="M601" t="n">
        <v>0</v>
      </c>
      <c r="N601" t="n">
        <v>0</v>
      </c>
      <c r="O601" t="n">
        <v>0</v>
      </c>
      <c r="P601" t="n">
        <v>0</v>
      </c>
      <c r="Q601" t="n">
        <v>0</v>
      </c>
      <c r="R601" s="2" t="inlineStr"/>
    </row>
    <row r="602" ht="15" customHeight="1">
      <c r="A602" t="inlineStr">
        <is>
          <t>A 29978-2024</t>
        </is>
      </c>
      <c r="B602" s="1" t="n">
        <v>45488.48340277778</v>
      </c>
      <c r="C602" s="1" t="n">
        <v>45900</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30903-2024</t>
        </is>
      </c>
      <c r="B603" s="1" t="n">
        <v>45498.49946759259</v>
      </c>
      <c r="C603" s="1" t="n">
        <v>45900</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58611-2024</t>
        </is>
      </c>
      <c r="B604" s="1" t="n">
        <v>45635.55555555555</v>
      </c>
      <c r="C604" s="1" t="n">
        <v>45900</v>
      </c>
      <c r="D604" t="inlineStr">
        <is>
          <t>ÖREBRO LÄN</t>
        </is>
      </c>
      <c r="E604" t="inlineStr">
        <is>
          <t>ÖREBRO</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46323-2024</t>
        </is>
      </c>
      <c r="B605" s="1" t="n">
        <v>45581.84538194445</v>
      </c>
      <c r="C605" s="1" t="n">
        <v>45900</v>
      </c>
      <c r="D605" t="inlineStr">
        <is>
          <t>ÖREBRO LÄN</t>
        </is>
      </c>
      <c r="E605" t="inlineStr">
        <is>
          <t>ÖREBRO</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45900</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45900</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c r="A608" t="inlineStr">
        <is>
          <t>A 8656-2025</t>
        </is>
      </c>
      <c r="B608" s="1" t="n">
        <v>45712.38268518518</v>
      </c>
      <c r="C608" s="1" t="n">
        <v>45900</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2025-08-31T08:31:09Z</dcterms:created>
  <dcterms:modified xmlns:dcterms="http://purl.org/dc/terms/" xmlns:xsi="http://www.w3.org/2001/XMLSchema-instance" xsi:type="dcterms:W3CDTF">2025-08-31T08:31:10Z</dcterms:modified>
</cp:coreProperties>
</file>