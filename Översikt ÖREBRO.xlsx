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46092</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46092</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46092</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46092</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46092</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46092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46092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58832-2025</t>
        </is>
      </c>
      <c r="B15" s="1" t="n">
        <v>45987</v>
      </c>
      <c r="C15" s="1" t="n">
        <v>46092</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46092</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46092</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46092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46092</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46092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46092</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46092</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46092</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58837-2025</t>
        </is>
      </c>
      <c r="B24" s="1" t="n">
        <v>45987.35875</v>
      </c>
      <c r="C24" s="1" t="n">
        <v>46092</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13627-2025</t>
        </is>
      </c>
      <c r="B25" s="1" t="n">
        <v>45736</v>
      </c>
      <c r="C25" s="1" t="n">
        <v>46092</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17074-2024</t>
        </is>
      </c>
      <c r="B26" s="1" t="n">
        <v>45412</v>
      </c>
      <c r="C26" s="1" t="n">
        <v>46092</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46092</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46092</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35098-2025</t>
        </is>
      </c>
      <c r="B29" s="1" t="n">
        <v>45852.5469212963</v>
      </c>
      <c r="C29" s="1" t="n">
        <v>46092</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50096-2023</t>
        </is>
      </c>
      <c r="B30" s="1" t="n">
        <v>45215</v>
      </c>
      <c r="C30" s="1" t="n">
        <v>46092</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46092</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60557-2025</t>
        </is>
      </c>
      <c r="B34" s="1" t="n">
        <v>45995.74444444444</v>
      </c>
      <c r="C34" s="1" t="n">
        <v>46092</v>
      </c>
      <c r="D34" t="inlineStr">
        <is>
          <t>ÖREBRO LÄN</t>
        </is>
      </c>
      <c r="E34" t="inlineStr">
        <is>
          <t>ÖREBRO</t>
        </is>
      </c>
      <c r="G34" t="n">
        <v>4.8</v>
      </c>
      <c r="H34" t="n">
        <v>0</v>
      </c>
      <c r="I34" t="n">
        <v>2</v>
      </c>
      <c r="J34" t="n">
        <v>0</v>
      </c>
      <c r="K34" t="n">
        <v>0</v>
      </c>
      <c r="L34" t="n">
        <v>0</v>
      </c>
      <c r="M34" t="n">
        <v>0</v>
      </c>
      <c r="N34" t="n">
        <v>0</v>
      </c>
      <c r="O34" t="n">
        <v>0</v>
      </c>
      <c r="P34" t="n">
        <v>0</v>
      </c>
      <c r="Q34" t="n">
        <v>2</v>
      </c>
      <c r="R34" s="2" t="inlineStr">
        <is>
          <t>Rödbrun jordstjärna
Tibast</t>
        </is>
      </c>
      <c r="S34">
        <f>HYPERLINK("https://klasma.github.io/Logging_1880/artfynd/A 60557-2025 artfynd.xlsx", "A 60557-2025")</f>
        <v/>
      </c>
      <c r="T34">
        <f>HYPERLINK("https://klasma.github.io/Logging_1880/kartor/A 60557-2025 karta.png", "A 60557-2025")</f>
        <v/>
      </c>
      <c r="V34">
        <f>HYPERLINK("https://klasma.github.io/Logging_1880/klagomål/A 60557-2025 FSC-klagomål.docx", "A 60557-2025")</f>
        <v/>
      </c>
      <c r="W34">
        <f>HYPERLINK("https://klasma.github.io/Logging_1880/klagomålsmail/A 60557-2025 FSC-klagomål mail.docx", "A 60557-2025")</f>
        <v/>
      </c>
      <c r="X34">
        <f>HYPERLINK("https://klasma.github.io/Logging_1880/tillsyn/A 60557-2025 tillsynsbegäran.docx", "A 60557-2025")</f>
        <v/>
      </c>
      <c r="Y34">
        <f>HYPERLINK("https://klasma.github.io/Logging_1880/tillsynsmail/A 60557-2025 tillsynsbegäran mail.docx", "A 60557-2025")</f>
        <v/>
      </c>
    </row>
    <row r="35" ht="15" customHeight="1">
      <c r="A35" t="inlineStr">
        <is>
          <t>A 63196-2025</t>
        </is>
      </c>
      <c r="B35" s="1" t="n">
        <v>46010.45872685185</v>
      </c>
      <c r="C35" s="1" t="n">
        <v>46092</v>
      </c>
      <c r="D35" t="inlineStr">
        <is>
          <t>ÖREBRO LÄN</t>
        </is>
      </c>
      <c r="E35" t="inlineStr">
        <is>
          <t>ÖREBRO</t>
        </is>
      </c>
      <c r="F35" t="inlineStr">
        <is>
          <t>Sveaskog</t>
        </is>
      </c>
      <c r="G35" t="n">
        <v>1.4</v>
      </c>
      <c r="H35" t="n">
        <v>1</v>
      </c>
      <c r="I35" t="n">
        <v>1</v>
      </c>
      <c r="J35" t="n">
        <v>0</v>
      </c>
      <c r="K35" t="n">
        <v>0</v>
      </c>
      <c r="L35" t="n">
        <v>0</v>
      </c>
      <c r="M35" t="n">
        <v>0</v>
      </c>
      <c r="N35" t="n">
        <v>0</v>
      </c>
      <c r="O35" t="n">
        <v>0</v>
      </c>
      <c r="P35" t="n">
        <v>0</v>
      </c>
      <c r="Q35" t="n">
        <v>2</v>
      </c>
      <c r="R35" s="2" t="inlineStr">
        <is>
          <t>Tibast
Blåsippa</t>
        </is>
      </c>
      <c r="S35">
        <f>HYPERLINK("https://klasma.github.io/Logging_1880/artfynd/A 63196-2025 artfynd.xlsx", "A 63196-2025")</f>
        <v/>
      </c>
      <c r="T35">
        <f>HYPERLINK("https://klasma.github.io/Logging_1880/kartor/A 63196-2025 karta.png", "A 63196-2025")</f>
        <v/>
      </c>
      <c r="V35">
        <f>HYPERLINK("https://klasma.github.io/Logging_1880/klagomål/A 63196-2025 FSC-klagomål.docx", "A 63196-2025")</f>
        <v/>
      </c>
      <c r="W35">
        <f>HYPERLINK("https://klasma.github.io/Logging_1880/klagomålsmail/A 63196-2025 FSC-klagomål mail.docx", "A 63196-2025")</f>
        <v/>
      </c>
      <c r="X35">
        <f>HYPERLINK("https://klasma.github.io/Logging_1880/tillsyn/A 63196-2025 tillsynsbegäran.docx", "A 63196-2025")</f>
        <v/>
      </c>
      <c r="Y35">
        <f>HYPERLINK("https://klasma.github.io/Logging_1880/tillsynsmail/A 63196-2025 tillsynsbegäran mail.docx", "A 63196-2025")</f>
        <v/>
      </c>
    </row>
    <row r="36" ht="15" customHeight="1">
      <c r="A36" t="inlineStr">
        <is>
          <t>A 30409-2025</t>
        </is>
      </c>
      <c r="B36" s="1" t="n">
        <v>45827.59738425926</v>
      </c>
      <c r="C36" s="1" t="n">
        <v>46092</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14956-2025</t>
        </is>
      </c>
      <c r="B37" s="1" t="n">
        <v>45743.58409722222</v>
      </c>
      <c r="C37" s="1" t="n">
        <v>46092</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51550-2025</t>
        </is>
      </c>
      <c r="B38" s="1" t="n">
        <v>45950.83359953704</v>
      </c>
      <c r="C38" s="1" t="n">
        <v>46092</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2998-2026</t>
        </is>
      </c>
      <c r="B39" s="1" t="n">
        <v>46038.64835648148</v>
      </c>
      <c r="C39" s="1" t="n">
        <v>46092</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52400-2024</t>
        </is>
      </c>
      <c r="B40" s="1" t="n">
        <v>45609.44461805555</v>
      </c>
      <c r="C40" s="1" t="n">
        <v>46092</v>
      </c>
      <c r="D40" t="inlineStr">
        <is>
          <t>ÖREBRO LÄN</t>
        </is>
      </c>
      <c r="E40" t="inlineStr">
        <is>
          <t>ÖREBRO</t>
        </is>
      </c>
      <c r="F40" t="inlineStr">
        <is>
          <t>Sveaskog</t>
        </is>
      </c>
      <c r="G40" t="n">
        <v>7</v>
      </c>
      <c r="H40" t="n">
        <v>2</v>
      </c>
      <c r="I40" t="n">
        <v>0</v>
      </c>
      <c r="J40" t="n">
        <v>0</v>
      </c>
      <c r="K40" t="n">
        <v>1</v>
      </c>
      <c r="L40" t="n">
        <v>0</v>
      </c>
      <c r="M40" t="n">
        <v>0</v>
      </c>
      <c r="N40" t="n">
        <v>0</v>
      </c>
      <c r="O40" t="n">
        <v>1</v>
      </c>
      <c r="P40" t="n">
        <v>1</v>
      </c>
      <c r="Q40" t="n">
        <v>2</v>
      </c>
      <c r="R40" s="2" t="inlineStr">
        <is>
          <t>Väddnätfjäril
Grönvit nattviol</t>
        </is>
      </c>
      <c r="S40">
        <f>HYPERLINK("https://klasma.github.io/Logging_1880/artfynd/A 52400-2024 artfynd.xlsx", "A 52400-2024")</f>
        <v/>
      </c>
      <c r="T40">
        <f>HYPERLINK("https://klasma.github.io/Logging_1880/kartor/A 52400-2024 karta.png", "A 52400-2024")</f>
        <v/>
      </c>
      <c r="V40">
        <f>HYPERLINK("https://klasma.github.io/Logging_1880/klagomål/A 52400-2024 FSC-klagomål.docx", "A 52400-2024")</f>
        <v/>
      </c>
      <c r="W40">
        <f>HYPERLINK("https://klasma.github.io/Logging_1880/klagomålsmail/A 52400-2024 FSC-klagomål mail.docx", "A 52400-2024")</f>
        <v/>
      </c>
      <c r="X40">
        <f>HYPERLINK("https://klasma.github.io/Logging_1880/tillsyn/A 52400-2024 tillsynsbegäran.docx", "A 52400-2024")</f>
        <v/>
      </c>
      <c r="Y40">
        <f>HYPERLINK("https://klasma.github.io/Logging_1880/tillsynsmail/A 52400-2024 tillsynsbegäran mail.docx", "A 52400-2024")</f>
        <v/>
      </c>
    </row>
    <row r="41" ht="15" customHeight="1">
      <c r="A41" t="inlineStr">
        <is>
          <t>A 37019-2024</t>
        </is>
      </c>
      <c r="B41" s="1" t="n">
        <v>45539.37905092593</v>
      </c>
      <c r="C41" s="1" t="n">
        <v>46092</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46092</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46092</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46092</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46092</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46092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46092</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42636-2023</t>
        </is>
      </c>
      <c r="B48" s="1" t="n">
        <v>45181.49559027778</v>
      </c>
      <c r="C48" s="1" t="n">
        <v>46092</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46092</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23998-2025</t>
        </is>
      </c>
      <c r="B50" s="1" t="n">
        <v>45796.42209490741</v>
      </c>
      <c r="C50" s="1" t="n">
        <v>46092</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58838-2025</t>
        </is>
      </c>
      <c r="B51" s="1" t="n">
        <v>45987.35973379629</v>
      </c>
      <c r="C51" s="1" t="n">
        <v>46092</v>
      </c>
      <c r="D51" t="inlineStr">
        <is>
          <t>ÖREBRO LÄN</t>
        </is>
      </c>
      <c r="E51" t="inlineStr">
        <is>
          <t>ÖREBRO</t>
        </is>
      </c>
      <c r="G51" t="n">
        <v>1.7</v>
      </c>
      <c r="H51" t="n">
        <v>0</v>
      </c>
      <c r="I51" t="n">
        <v>1</v>
      </c>
      <c r="J51" t="n">
        <v>0</v>
      </c>
      <c r="K51" t="n">
        <v>0</v>
      </c>
      <c r="L51" t="n">
        <v>0</v>
      </c>
      <c r="M51" t="n">
        <v>0</v>
      </c>
      <c r="N51" t="n">
        <v>0</v>
      </c>
      <c r="O51" t="n">
        <v>0</v>
      </c>
      <c r="P51" t="n">
        <v>0</v>
      </c>
      <c r="Q51" t="n">
        <v>1</v>
      </c>
      <c r="R51" s="2" t="inlineStr">
        <is>
          <t>Grönpyrola</t>
        </is>
      </c>
      <c r="S51">
        <f>HYPERLINK("https://klasma.github.io/Logging_1880/artfynd/A 58838-2025 artfynd.xlsx", "A 58838-2025")</f>
        <v/>
      </c>
      <c r="T51">
        <f>HYPERLINK("https://klasma.github.io/Logging_1880/kartor/A 58838-2025 karta.png", "A 58838-2025")</f>
        <v/>
      </c>
      <c r="V51">
        <f>HYPERLINK("https://klasma.github.io/Logging_1880/klagomål/A 58838-2025 FSC-klagomål.docx", "A 58838-2025")</f>
        <v/>
      </c>
      <c r="W51">
        <f>HYPERLINK("https://klasma.github.io/Logging_1880/klagomålsmail/A 58838-2025 FSC-klagomål mail.docx", "A 58838-2025")</f>
        <v/>
      </c>
      <c r="X51">
        <f>HYPERLINK("https://klasma.github.io/Logging_1880/tillsyn/A 58838-2025 tillsynsbegäran.docx", "A 58838-2025")</f>
        <v/>
      </c>
      <c r="Y51">
        <f>HYPERLINK("https://klasma.github.io/Logging_1880/tillsynsmail/A 58838-2025 tillsynsbegäran mail.docx", "A 58838-2025")</f>
        <v/>
      </c>
    </row>
    <row r="52" ht="15" customHeight="1">
      <c r="A52" t="inlineStr">
        <is>
          <t>A 44744-2024</t>
        </is>
      </c>
      <c r="B52" s="1" t="n">
        <v>45574.59789351852</v>
      </c>
      <c r="C52" s="1" t="n">
        <v>46092</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15621-2021</t>
        </is>
      </c>
      <c r="B53" s="1" t="n">
        <v>44285</v>
      </c>
      <c r="C53" s="1" t="n">
        <v>46092</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63199-2025</t>
        </is>
      </c>
      <c r="B54" s="1" t="n">
        <v>46010.46091435185</v>
      </c>
      <c r="C54" s="1" t="n">
        <v>46092</v>
      </c>
      <c r="D54" t="inlineStr">
        <is>
          <t>ÖREBRO LÄN</t>
        </is>
      </c>
      <c r="E54" t="inlineStr">
        <is>
          <t>ÖREBRO</t>
        </is>
      </c>
      <c r="F54" t="inlineStr">
        <is>
          <t>Sveaskog</t>
        </is>
      </c>
      <c r="G54" t="n">
        <v>0.9</v>
      </c>
      <c r="H54" t="n">
        <v>1</v>
      </c>
      <c r="I54" t="n">
        <v>0</v>
      </c>
      <c r="J54" t="n">
        <v>0</v>
      </c>
      <c r="K54" t="n">
        <v>0</v>
      </c>
      <c r="L54" t="n">
        <v>0</v>
      </c>
      <c r="M54" t="n">
        <v>0</v>
      </c>
      <c r="N54" t="n">
        <v>0</v>
      </c>
      <c r="O54" t="n">
        <v>0</v>
      </c>
      <c r="P54" t="n">
        <v>0</v>
      </c>
      <c r="Q54" t="n">
        <v>1</v>
      </c>
      <c r="R54" s="2" t="inlineStr">
        <is>
          <t>Gullviva</t>
        </is>
      </c>
      <c r="S54">
        <f>HYPERLINK("https://klasma.github.io/Logging_1880/artfynd/A 63199-2025 artfynd.xlsx", "A 63199-2025")</f>
        <v/>
      </c>
      <c r="T54">
        <f>HYPERLINK("https://klasma.github.io/Logging_1880/kartor/A 63199-2025 karta.png", "A 63199-2025")</f>
        <v/>
      </c>
      <c r="V54">
        <f>HYPERLINK("https://klasma.github.io/Logging_1880/klagomål/A 63199-2025 FSC-klagomål.docx", "A 63199-2025")</f>
        <v/>
      </c>
      <c r="W54">
        <f>HYPERLINK("https://klasma.github.io/Logging_1880/klagomålsmail/A 63199-2025 FSC-klagomål mail.docx", "A 63199-2025")</f>
        <v/>
      </c>
      <c r="X54">
        <f>HYPERLINK("https://klasma.github.io/Logging_1880/tillsyn/A 63199-2025 tillsynsbegäran.docx", "A 63199-2025")</f>
        <v/>
      </c>
      <c r="Y54">
        <f>HYPERLINK("https://klasma.github.io/Logging_1880/tillsynsmail/A 63199-2025 tillsynsbegäran mail.docx", "A 63199-2025")</f>
        <v/>
      </c>
    </row>
    <row r="55" ht="15" customHeight="1">
      <c r="A55" t="inlineStr">
        <is>
          <t>A 28936-2025</t>
        </is>
      </c>
      <c r="B55" s="1" t="n">
        <v>45820.69287037037</v>
      </c>
      <c r="C55" s="1" t="n">
        <v>46092</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50499-2025</t>
        </is>
      </c>
      <c r="B56" s="1" t="n">
        <v>45945.41712962963</v>
      </c>
      <c r="C56" s="1" t="n">
        <v>46092</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59516-2025</t>
        </is>
      </c>
      <c r="B57" s="1" t="n">
        <v>45989.65396990741</v>
      </c>
      <c r="C57" s="1" t="n">
        <v>46092</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32204-2025</t>
        </is>
      </c>
      <c r="B58" s="1" t="n">
        <v>45835.58074074074</v>
      </c>
      <c r="C58" s="1" t="n">
        <v>46092</v>
      </c>
      <c r="D58" t="inlineStr">
        <is>
          <t>ÖREBRO LÄN</t>
        </is>
      </c>
      <c r="E58" t="inlineStr">
        <is>
          <t>ÖREBRO</t>
        </is>
      </c>
      <c r="G58" t="n">
        <v>3.4</v>
      </c>
      <c r="H58" t="n">
        <v>1</v>
      </c>
      <c r="I58" t="n">
        <v>0</v>
      </c>
      <c r="J58" t="n">
        <v>0</v>
      </c>
      <c r="K58" t="n">
        <v>0</v>
      </c>
      <c r="L58" t="n">
        <v>0</v>
      </c>
      <c r="M58" t="n">
        <v>0</v>
      </c>
      <c r="N58" t="n">
        <v>0</v>
      </c>
      <c r="O58" t="n">
        <v>0</v>
      </c>
      <c r="P58" t="n">
        <v>0</v>
      </c>
      <c r="Q58" t="n">
        <v>1</v>
      </c>
      <c r="R58" s="2" t="inlineStr">
        <is>
          <t>Tjäder</t>
        </is>
      </c>
      <c r="S58">
        <f>HYPERLINK("https://klasma.github.io/Logging_1880/artfynd/A 32204-2025 artfynd.xlsx", "A 32204-2025")</f>
        <v/>
      </c>
      <c r="T58">
        <f>HYPERLINK("https://klasma.github.io/Logging_1880/kartor/A 32204-2025 karta.png", "A 32204-2025")</f>
        <v/>
      </c>
      <c r="V58">
        <f>HYPERLINK("https://klasma.github.io/Logging_1880/klagomål/A 32204-2025 FSC-klagomål.docx", "A 32204-2025")</f>
        <v/>
      </c>
      <c r="W58">
        <f>HYPERLINK("https://klasma.github.io/Logging_1880/klagomålsmail/A 32204-2025 FSC-klagomål mail.docx", "A 32204-2025")</f>
        <v/>
      </c>
      <c r="X58">
        <f>HYPERLINK("https://klasma.github.io/Logging_1880/tillsyn/A 32204-2025 tillsynsbegäran.docx", "A 32204-2025")</f>
        <v/>
      </c>
      <c r="Y58">
        <f>HYPERLINK("https://klasma.github.io/Logging_1880/tillsynsmail/A 32204-2025 tillsynsbegäran mail.docx", "A 32204-2025")</f>
        <v/>
      </c>
      <c r="Z58">
        <f>HYPERLINK("https://klasma.github.io/Logging_1880/fåglar/A 32204-2025 prioriterade fågelarter.docx", "A 32204-2025")</f>
        <v/>
      </c>
    </row>
    <row r="59" ht="15" customHeight="1">
      <c r="A59" t="inlineStr">
        <is>
          <t>A 32226-2025</t>
        </is>
      </c>
      <c r="B59" s="1" t="n">
        <v>45835.59478009259</v>
      </c>
      <c r="C59" s="1" t="n">
        <v>46092</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3006-2026</t>
        </is>
      </c>
      <c r="B60" s="1" t="n">
        <v>46038.65719907408</v>
      </c>
      <c r="C60" s="1" t="n">
        <v>46092</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26890-2022</t>
        </is>
      </c>
      <c r="B61" s="1" t="n">
        <v>44740</v>
      </c>
      <c r="C61" s="1" t="n">
        <v>46092</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43332-2022</t>
        </is>
      </c>
      <c r="B62" s="1" t="n">
        <v>44834</v>
      </c>
      <c r="C62" s="1" t="n">
        <v>46092</v>
      </c>
      <c r="D62" t="inlineStr">
        <is>
          <t>ÖREBRO LÄN</t>
        </is>
      </c>
      <c r="E62" t="inlineStr">
        <is>
          <t>ÖREBRO</t>
        </is>
      </c>
      <c r="G62" t="n">
        <v>2.3</v>
      </c>
      <c r="H62" t="n">
        <v>1</v>
      </c>
      <c r="I62" t="n">
        <v>0</v>
      </c>
      <c r="J62" t="n">
        <v>1</v>
      </c>
      <c r="K62" t="n">
        <v>0</v>
      </c>
      <c r="L62" t="n">
        <v>0</v>
      </c>
      <c r="M62" t="n">
        <v>0</v>
      </c>
      <c r="N62" t="n">
        <v>0</v>
      </c>
      <c r="O62" t="n">
        <v>1</v>
      </c>
      <c r="P62" t="n">
        <v>0</v>
      </c>
      <c r="Q62" t="n">
        <v>1</v>
      </c>
      <c r="R62" s="2" t="inlineStr">
        <is>
          <t>Spillkråka</t>
        </is>
      </c>
      <c r="S62">
        <f>HYPERLINK("https://klasma.github.io/Logging_1880/artfynd/A 43332-2022 artfynd.xlsx", "A 43332-2022")</f>
        <v/>
      </c>
      <c r="T62">
        <f>HYPERLINK("https://klasma.github.io/Logging_1880/kartor/A 43332-2022 karta.png", "A 43332-2022")</f>
        <v/>
      </c>
      <c r="V62">
        <f>HYPERLINK("https://klasma.github.io/Logging_1880/klagomål/A 43332-2022 FSC-klagomål.docx", "A 43332-2022")</f>
        <v/>
      </c>
      <c r="W62">
        <f>HYPERLINK("https://klasma.github.io/Logging_1880/klagomålsmail/A 43332-2022 FSC-klagomål mail.docx", "A 43332-2022")</f>
        <v/>
      </c>
      <c r="X62">
        <f>HYPERLINK("https://klasma.github.io/Logging_1880/tillsyn/A 43332-2022 tillsynsbegäran.docx", "A 43332-2022")</f>
        <v/>
      </c>
      <c r="Y62">
        <f>HYPERLINK("https://klasma.github.io/Logging_1880/tillsynsmail/A 43332-2022 tillsynsbegäran mail.docx", "A 43332-2022")</f>
        <v/>
      </c>
      <c r="Z62">
        <f>HYPERLINK("https://klasma.github.io/Logging_1880/fåglar/A 43332-2022 prioriterade fågelarter.docx", "A 43332-2022")</f>
        <v/>
      </c>
    </row>
    <row r="63" ht="15" customHeight="1">
      <c r="A63" t="inlineStr">
        <is>
          <t>A 44389-2021</t>
        </is>
      </c>
      <c r="B63" s="1" t="n">
        <v>44435</v>
      </c>
      <c r="C63" s="1" t="n">
        <v>46092</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2077-2023</t>
        </is>
      </c>
      <c r="B64" s="1" t="n">
        <v>44939</v>
      </c>
      <c r="C64" s="1" t="n">
        <v>46092</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30725-2023</t>
        </is>
      </c>
      <c r="B65" s="1" t="n">
        <v>45112.61451388889</v>
      </c>
      <c r="C65" s="1" t="n">
        <v>46092</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46092</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46092</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46092</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46092</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46092</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46092</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46092</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23606-2021</t>
        </is>
      </c>
      <c r="B73" s="1" t="n">
        <v>44334</v>
      </c>
      <c r="C73" s="1" t="n">
        <v>46092</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46092</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46092</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46092</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46092</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46092</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46092</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46092</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46092</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46092</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46092</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46092</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46092</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46092</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46092</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46092</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46092</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46092</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46092</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46092</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46092</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46092</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46092</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46092</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46092</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46092</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46092</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46092</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46092</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46092</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46092</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46092</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46092</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46092</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46092</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46092</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46092</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46092</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46092</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46092</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46092</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46092</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46092</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46092</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46092</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46092</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46092</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46092</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46092</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46092</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46092</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46092</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46092</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46092</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46092</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46092</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46092</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46092</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46092</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46092</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46092</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46092</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46092</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46092</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46092</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46092</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46092</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46092</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46092</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46092</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46092</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46092</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46092</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46092</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46092</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46092</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23863-2023</t>
        </is>
      </c>
      <c r="B149" s="1" t="n">
        <v>45078.48994212963</v>
      </c>
      <c r="C149" s="1" t="n">
        <v>46092</v>
      </c>
      <c r="D149" t="inlineStr">
        <is>
          <t>ÖREBRO LÄN</t>
        </is>
      </c>
      <c r="E149" t="inlineStr">
        <is>
          <t>ÖREBRO</t>
        </is>
      </c>
      <c r="F149" t="inlineStr">
        <is>
          <t>Övriga Aktiebolag</t>
        </is>
      </c>
      <c r="G149" t="n">
        <v>5.9</v>
      </c>
      <c r="H149" t="n">
        <v>0</v>
      </c>
      <c r="I149" t="n">
        <v>0</v>
      </c>
      <c r="J149" t="n">
        <v>0</v>
      </c>
      <c r="K149" t="n">
        <v>0</v>
      </c>
      <c r="L149" t="n">
        <v>0</v>
      </c>
      <c r="M149" t="n">
        <v>0</v>
      </c>
      <c r="N149" t="n">
        <v>0</v>
      </c>
      <c r="O149" t="n">
        <v>0</v>
      </c>
      <c r="P149" t="n">
        <v>0</v>
      </c>
      <c r="Q149" t="n">
        <v>0</v>
      </c>
      <c r="R149" s="2" t="inlineStr"/>
    </row>
    <row r="150" ht="15" customHeight="1">
      <c r="A150" t="inlineStr">
        <is>
          <t>A 9609-2023</t>
        </is>
      </c>
      <c r="B150" s="1" t="n">
        <v>44983.93344907407</v>
      </c>
      <c r="C150" s="1" t="n">
        <v>46092</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14053-2025</t>
        </is>
      </c>
      <c r="B151" s="1" t="n">
        <v>45739</v>
      </c>
      <c r="C151" s="1" t="n">
        <v>46092</v>
      </c>
      <c r="D151" t="inlineStr">
        <is>
          <t>ÖREBRO LÄN</t>
        </is>
      </c>
      <c r="E151" t="inlineStr">
        <is>
          <t>ÖREBRO</t>
        </is>
      </c>
      <c r="G151" t="n">
        <v>3.5</v>
      </c>
      <c r="H151" t="n">
        <v>0</v>
      </c>
      <c r="I151" t="n">
        <v>0</v>
      </c>
      <c r="J151" t="n">
        <v>0</v>
      </c>
      <c r="K151" t="n">
        <v>0</v>
      </c>
      <c r="L151" t="n">
        <v>0</v>
      </c>
      <c r="M151" t="n">
        <v>0</v>
      </c>
      <c r="N151" t="n">
        <v>0</v>
      </c>
      <c r="O151" t="n">
        <v>0</v>
      </c>
      <c r="P151" t="n">
        <v>0</v>
      </c>
      <c r="Q151" t="n">
        <v>0</v>
      </c>
      <c r="R151" s="2" t="inlineStr"/>
    </row>
    <row r="152" ht="15" customHeight="1">
      <c r="A152" t="inlineStr">
        <is>
          <t>A 10799-2024</t>
        </is>
      </c>
      <c r="B152" s="1" t="n">
        <v>45369</v>
      </c>
      <c r="C152" s="1" t="n">
        <v>46092</v>
      </c>
      <c r="D152" t="inlineStr">
        <is>
          <t>ÖREBRO LÄN</t>
        </is>
      </c>
      <c r="E152" t="inlineStr">
        <is>
          <t>ÖREBRO</t>
        </is>
      </c>
      <c r="G152" t="n">
        <v>5.8</v>
      </c>
      <c r="H152" t="n">
        <v>0</v>
      </c>
      <c r="I152" t="n">
        <v>0</v>
      </c>
      <c r="J152" t="n">
        <v>0</v>
      </c>
      <c r="K152" t="n">
        <v>0</v>
      </c>
      <c r="L152" t="n">
        <v>0</v>
      </c>
      <c r="M152" t="n">
        <v>0</v>
      </c>
      <c r="N152" t="n">
        <v>0</v>
      </c>
      <c r="O152" t="n">
        <v>0</v>
      </c>
      <c r="P152" t="n">
        <v>0</v>
      </c>
      <c r="Q152" t="n">
        <v>0</v>
      </c>
      <c r="R152" s="2" t="inlineStr"/>
    </row>
    <row r="153" ht="15" customHeight="1">
      <c r="A153" t="inlineStr">
        <is>
          <t>A 5795-2024</t>
        </is>
      </c>
      <c r="B153" s="1" t="n">
        <v>45335.4531712963</v>
      </c>
      <c r="C153" s="1" t="n">
        <v>46092</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46092</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46092</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59736-2023</t>
        </is>
      </c>
      <c r="B156" s="1" t="n">
        <v>45257.374375</v>
      </c>
      <c r="C156" s="1" t="n">
        <v>46092</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58539-2024</t>
        </is>
      </c>
      <c r="B157" s="1" t="n">
        <v>45635.45157407408</v>
      </c>
      <c r="C157" s="1" t="n">
        <v>46092</v>
      </c>
      <c r="D157" t="inlineStr">
        <is>
          <t>ÖREBRO LÄN</t>
        </is>
      </c>
      <c r="E157" t="inlineStr">
        <is>
          <t>ÖREBRO</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46092</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58532-2024</t>
        </is>
      </c>
      <c r="B159" s="1" t="n">
        <v>45635.44899305556</v>
      </c>
      <c r="C159" s="1" t="n">
        <v>46092</v>
      </c>
      <c r="D159" t="inlineStr">
        <is>
          <t>ÖREBRO LÄN</t>
        </is>
      </c>
      <c r="E159" t="inlineStr">
        <is>
          <t>ÖREBRO</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13762-2023</t>
        </is>
      </c>
      <c r="B160" s="1" t="n">
        <v>45007.43729166667</v>
      </c>
      <c r="C160" s="1" t="n">
        <v>46092</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60022-2024</t>
        </is>
      </c>
      <c r="B161" s="1" t="n">
        <v>45642</v>
      </c>
      <c r="C161" s="1" t="n">
        <v>46092</v>
      </c>
      <c r="D161" t="inlineStr">
        <is>
          <t>ÖREBRO LÄN</t>
        </is>
      </c>
      <c r="E161" t="inlineStr">
        <is>
          <t>ÖREBRO</t>
        </is>
      </c>
      <c r="G161" t="n">
        <v>1.7</v>
      </c>
      <c r="H161" t="n">
        <v>0</v>
      </c>
      <c r="I161" t="n">
        <v>0</v>
      </c>
      <c r="J161" t="n">
        <v>0</v>
      </c>
      <c r="K161" t="n">
        <v>0</v>
      </c>
      <c r="L161" t="n">
        <v>0</v>
      </c>
      <c r="M161" t="n">
        <v>0</v>
      </c>
      <c r="N161" t="n">
        <v>0</v>
      </c>
      <c r="O161" t="n">
        <v>0</v>
      </c>
      <c r="P161" t="n">
        <v>0</v>
      </c>
      <c r="Q161" t="n">
        <v>0</v>
      </c>
      <c r="R161" s="2" t="inlineStr"/>
    </row>
    <row r="162" ht="15" customHeight="1">
      <c r="A162" t="inlineStr">
        <is>
          <t>A 10470-2025</t>
        </is>
      </c>
      <c r="B162" s="1" t="n">
        <v>45720</v>
      </c>
      <c r="C162" s="1" t="n">
        <v>46092</v>
      </c>
      <c r="D162" t="inlineStr">
        <is>
          <t>ÖREBRO LÄN</t>
        </is>
      </c>
      <c r="E162" t="inlineStr">
        <is>
          <t>ÖREBRO</t>
        </is>
      </c>
      <c r="G162" t="n">
        <v>11.5</v>
      </c>
      <c r="H162" t="n">
        <v>0</v>
      </c>
      <c r="I162" t="n">
        <v>0</v>
      </c>
      <c r="J162" t="n">
        <v>0</v>
      </c>
      <c r="K162" t="n">
        <v>0</v>
      </c>
      <c r="L162" t="n">
        <v>0</v>
      </c>
      <c r="M162" t="n">
        <v>0</v>
      </c>
      <c r="N162" t="n">
        <v>0</v>
      </c>
      <c r="O162" t="n">
        <v>0</v>
      </c>
      <c r="P162" t="n">
        <v>0</v>
      </c>
      <c r="Q162" t="n">
        <v>0</v>
      </c>
      <c r="R162" s="2" t="inlineStr"/>
    </row>
    <row r="163" ht="15" customHeight="1">
      <c r="A163" t="inlineStr">
        <is>
          <t>A 52623-2024</t>
        </is>
      </c>
      <c r="B163" s="1" t="n">
        <v>45609</v>
      </c>
      <c r="C163" s="1" t="n">
        <v>46092</v>
      </c>
      <c r="D163" t="inlineStr">
        <is>
          <t>ÖREBRO LÄN</t>
        </is>
      </c>
      <c r="E163" t="inlineStr">
        <is>
          <t>ÖREBRO</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32076-2023</t>
        </is>
      </c>
      <c r="B164" s="1" t="n">
        <v>45119.58324074074</v>
      </c>
      <c r="C164" s="1" t="n">
        <v>46092</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21338-2025</t>
        </is>
      </c>
      <c r="B165" s="1" t="n">
        <v>45780</v>
      </c>
      <c r="C165" s="1" t="n">
        <v>46092</v>
      </c>
      <c r="D165" t="inlineStr">
        <is>
          <t>ÖREBRO LÄN</t>
        </is>
      </c>
      <c r="E165" t="inlineStr">
        <is>
          <t>ÖREBRO</t>
        </is>
      </c>
      <c r="G165" t="n">
        <v>3.2</v>
      </c>
      <c r="H165" t="n">
        <v>0</v>
      </c>
      <c r="I165" t="n">
        <v>0</v>
      </c>
      <c r="J165" t="n">
        <v>0</v>
      </c>
      <c r="K165" t="n">
        <v>0</v>
      </c>
      <c r="L165" t="n">
        <v>0</v>
      </c>
      <c r="M165" t="n">
        <v>0</v>
      </c>
      <c r="N165" t="n">
        <v>0</v>
      </c>
      <c r="O165" t="n">
        <v>0</v>
      </c>
      <c r="P165" t="n">
        <v>0</v>
      </c>
      <c r="Q165" t="n">
        <v>0</v>
      </c>
      <c r="R165" s="2" t="inlineStr"/>
    </row>
    <row r="166" ht="15" customHeight="1">
      <c r="A166" t="inlineStr">
        <is>
          <t>A 187-2024</t>
        </is>
      </c>
      <c r="B166" s="1" t="n">
        <v>45294</v>
      </c>
      <c r="C166" s="1" t="n">
        <v>46092</v>
      </c>
      <c r="D166" t="inlineStr">
        <is>
          <t>ÖREBRO LÄN</t>
        </is>
      </c>
      <c r="E166" t="inlineStr">
        <is>
          <t>ÖREBRO</t>
        </is>
      </c>
      <c r="G166" t="n">
        <v>5.9</v>
      </c>
      <c r="H166" t="n">
        <v>0</v>
      </c>
      <c r="I166" t="n">
        <v>0</v>
      </c>
      <c r="J166" t="n">
        <v>0</v>
      </c>
      <c r="K166" t="n">
        <v>0</v>
      </c>
      <c r="L166" t="n">
        <v>0</v>
      </c>
      <c r="M166" t="n">
        <v>0</v>
      </c>
      <c r="N166" t="n">
        <v>0</v>
      </c>
      <c r="O166" t="n">
        <v>0</v>
      </c>
      <c r="P166" t="n">
        <v>0</v>
      </c>
      <c r="Q166" t="n">
        <v>0</v>
      </c>
      <c r="R166" s="2" t="inlineStr"/>
    </row>
    <row r="167" ht="15" customHeight="1">
      <c r="A167" t="inlineStr">
        <is>
          <t>A 50026-2024</t>
        </is>
      </c>
      <c r="B167" s="1" t="n">
        <v>45599.60541666667</v>
      </c>
      <c r="C167" s="1" t="n">
        <v>46092</v>
      </c>
      <c r="D167" t="inlineStr">
        <is>
          <t>ÖREBRO LÄN</t>
        </is>
      </c>
      <c r="E167" t="inlineStr">
        <is>
          <t>ÖREBRO</t>
        </is>
      </c>
      <c r="G167" t="n">
        <v>2.2</v>
      </c>
      <c r="H167" t="n">
        <v>0</v>
      </c>
      <c r="I167" t="n">
        <v>0</v>
      </c>
      <c r="J167" t="n">
        <v>0</v>
      </c>
      <c r="K167" t="n">
        <v>0</v>
      </c>
      <c r="L167" t="n">
        <v>0</v>
      </c>
      <c r="M167" t="n">
        <v>0</v>
      </c>
      <c r="N167" t="n">
        <v>0</v>
      </c>
      <c r="O167" t="n">
        <v>0</v>
      </c>
      <c r="P167" t="n">
        <v>0</v>
      </c>
      <c r="Q167" t="n">
        <v>0</v>
      </c>
      <c r="R167" s="2" t="inlineStr"/>
    </row>
    <row r="168" ht="15" customHeight="1">
      <c r="A168" t="inlineStr">
        <is>
          <t>A 62794-2021</t>
        </is>
      </c>
      <c r="B168" s="1" t="n">
        <v>44504</v>
      </c>
      <c r="C168" s="1" t="n">
        <v>46092</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19180-2025</t>
        </is>
      </c>
      <c r="B169" s="1" t="n">
        <v>45769.40133101852</v>
      </c>
      <c r="C169" s="1" t="n">
        <v>46092</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58684-2023</t>
        </is>
      </c>
      <c r="B170" s="1" t="n">
        <v>45251</v>
      </c>
      <c r="C170" s="1" t="n">
        <v>46092</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37771-2024</t>
        </is>
      </c>
      <c r="B171" s="1" t="n">
        <v>45542.31359953704</v>
      </c>
      <c r="C171" s="1" t="n">
        <v>46092</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58644-2023</t>
        </is>
      </c>
      <c r="B172" s="1" t="n">
        <v>45251.58716435185</v>
      </c>
      <c r="C172" s="1" t="n">
        <v>46092</v>
      </c>
      <c r="D172" t="inlineStr">
        <is>
          <t>ÖREBRO LÄN</t>
        </is>
      </c>
      <c r="E172" t="inlineStr">
        <is>
          <t>ÖREBRO</t>
        </is>
      </c>
      <c r="F172" t="inlineStr">
        <is>
          <t>Övriga Aktiebolag</t>
        </is>
      </c>
      <c r="G172" t="n">
        <v>1.9</v>
      </c>
      <c r="H172" t="n">
        <v>0</v>
      </c>
      <c r="I172" t="n">
        <v>0</v>
      </c>
      <c r="J172" t="n">
        <v>0</v>
      </c>
      <c r="K172" t="n">
        <v>0</v>
      </c>
      <c r="L172" t="n">
        <v>0</v>
      </c>
      <c r="M172" t="n">
        <v>0</v>
      </c>
      <c r="N172" t="n">
        <v>0</v>
      </c>
      <c r="O172" t="n">
        <v>0</v>
      </c>
      <c r="P172" t="n">
        <v>0</v>
      </c>
      <c r="Q172" t="n">
        <v>0</v>
      </c>
      <c r="R172" s="2" t="inlineStr"/>
    </row>
    <row r="173" ht="15" customHeight="1">
      <c r="A173" t="inlineStr">
        <is>
          <t>A 22719-2025</t>
        </is>
      </c>
      <c r="B173" s="1" t="n">
        <v>45789</v>
      </c>
      <c r="C173" s="1" t="n">
        <v>46092</v>
      </c>
      <c r="D173" t="inlineStr">
        <is>
          <t>ÖREBRO LÄN</t>
        </is>
      </c>
      <c r="E173" t="inlineStr">
        <is>
          <t>ÖREBRO</t>
        </is>
      </c>
      <c r="G173" t="n">
        <v>1.5</v>
      </c>
      <c r="H173" t="n">
        <v>0</v>
      </c>
      <c r="I173" t="n">
        <v>0</v>
      </c>
      <c r="J173" t="n">
        <v>0</v>
      </c>
      <c r="K173" t="n">
        <v>0</v>
      </c>
      <c r="L173" t="n">
        <v>0</v>
      </c>
      <c r="M173" t="n">
        <v>0</v>
      </c>
      <c r="N173" t="n">
        <v>0</v>
      </c>
      <c r="O173" t="n">
        <v>0</v>
      </c>
      <c r="P173" t="n">
        <v>0</v>
      </c>
      <c r="Q173" t="n">
        <v>0</v>
      </c>
      <c r="R173" s="2" t="inlineStr"/>
    </row>
    <row r="174" ht="15" customHeight="1">
      <c r="A174" t="inlineStr">
        <is>
          <t>A 55748-2025</t>
        </is>
      </c>
      <c r="B174" s="1" t="n">
        <v>45972.57893518519</v>
      </c>
      <c r="C174" s="1" t="n">
        <v>46092</v>
      </c>
      <c r="D174" t="inlineStr">
        <is>
          <t>ÖREBRO LÄN</t>
        </is>
      </c>
      <c r="E174" t="inlineStr">
        <is>
          <t>ÖREBRO</t>
        </is>
      </c>
      <c r="G174" t="n">
        <v>1.5</v>
      </c>
      <c r="H174" t="n">
        <v>0</v>
      </c>
      <c r="I174" t="n">
        <v>0</v>
      </c>
      <c r="J174" t="n">
        <v>0</v>
      </c>
      <c r="K174" t="n">
        <v>0</v>
      </c>
      <c r="L174" t="n">
        <v>0</v>
      </c>
      <c r="M174" t="n">
        <v>0</v>
      </c>
      <c r="N174" t="n">
        <v>0</v>
      </c>
      <c r="O174" t="n">
        <v>0</v>
      </c>
      <c r="P174" t="n">
        <v>0</v>
      </c>
      <c r="Q174" t="n">
        <v>0</v>
      </c>
      <c r="R174" s="2" t="inlineStr"/>
    </row>
    <row r="175" ht="15" customHeight="1">
      <c r="A175" t="inlineStr">
        <is>
          <t>A 41678-2024</t>
        </is>
      </c>
      <c r="B175" s="1" t="n">
        <v>45560</v>
      </c>
      <c r="C175" s="1" t="n">
        <v>46092</v>
      </c>
      <c r="D175" t="inlineStr">
        <is>
          <t>ÖREBRO LÄN</t>
        </is>
      </c>
      <c r="E175" t="inlineStr">
        <is>
          <t>ÖREBRO</t>
        </is>
      </c>
      <c r="G175" t="n">
        <v>11.3</v>
      </c>
      <c r="H175" t="n">
        <v>0</v>
      </c>
      <c r="I175" t="n">
        <v>0</v>
      </c>
      <c r="J175" t="n">
        <v>0</v>
      </c>
      <c r="K175" t="n">
        <v>0</v>
      </c>
      <c r="L175" t="n">
        <v>0</v>
      </c>
      <c r="M175" t="n">
        <v>0</v>
      </c>
      <c r="N175" t="n">
        <v>0</v>
      </c>
      <c r="O175" t="n">
        <v>0</v>
      </c>
      <c r="P175" t="n">
        <v>0</v>
      </c>
      <c r="Q175" t="n">
        <v>0</v>
      </c>
      <c r="R175" s="2" t="inlineStr"/>
    </row>
    <row r="176" ht="15" customHeight="1">
      <c r="A176" t="inlineStr">
        <is>
          <t>A 55750-2025</t>
        </is>
      </c>
      <c r="B176" s="1" t="n">
        <v>45972.58171296296</v>
      </c>
      <c r="C176" s="1" t="n">
        <v>46092</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55888-2025</t>
        </is>
      </c>
      <c r="B177" s="1" t="n">
        <v>45973.37163194444</v>
      </c>
      <c r="C177" s="1" t="n">
        <v>46092</v>
      </c>
      <c r="D177" t="inlineStr">
        <is>
          <t>ÖREBRO LÄN</t>
        </is>
      </c>
      <c r="E177" t="inlineStr">
        <is>
          <t>ÖREBRO</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55879-2025</t>
        </is>
      </c>
      <c r="B178" s="1" t="n">
        <v>45973.36508101852</v>
      </c>
      <c r="C178" s="1" t="n">
        <v>46092</v>
      </c>
      <c r="D178" t="inlineStr">
        <is>
          <t>ÖREBRO LÄN</t>
        </is>
      </c>
      <c r="E178" t="inlineStr">
        <is>
          <t>ÖREBRO</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71288-2021</t>
        </is>
      </c>
      <c r="B179" s="1" t="n">
        <v>44539.62481481482</v>
      </c>
      <c r="C179" s="1" t="n">
        <v>46092</v>
      </c>
      <c r="D179" t="inlineStr">
        <is>
          <t>ÖREBRO LÄN</t>
        </is>
      </c>
      <c r="E179" t="inlineStr">
        <is>
          <t>ÖREBRO</t>
        </is>
      </c>
      <c r="G179" t="n">
        <v>3.9</v>
      </c>
      <c r="H179" t="n">
        <v>0</v>
      </c>
      <c r="I179" t="n">
        <v>0</v>
      </c>
      <c r="J179" t="n">
        <v>0</v>
      </c>
      <c r="K179" t="n">
        <v>0</v>
      </c>
      <c r="L179" t="n">
        <v>0</v>
      </c>
      <c r="M179" t="n">
        <v>0</v>
      </c>
      <c r="N179" t="n">
        <v>0</v>
      </c>
      <c r="O179" t="n">
        <v>0</v>
      </c>
      <c r="P179" t="n">
        <v>0</v>
      </c>
      <c r="Q179" t="n">
        <v>0</v>
      </c>
      <c r="R179" s="2" t="inlineStr"/>
    </row>
    <row r="180" ht="15" customHeight="1">
      <c r="A180" t="inlineStr">
        <is>
          <t>A 13418-2024</t>
        </is>
      </c>
      <c r="B180" s="1" t="n">
        <v>45387.46482638889</v>
      </c>
      <c r="C180" s="1" t="n">
        <v>46092</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45237-2023</t>
        </is>
      </c>
      <c r="B181" s="1" t="n">
        <v>45191</v>
      </c>
      <c r="C181" s="1" t="n">
        <v>46092</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764-2024</t>
        </is>
      </c>
      <c r="B182" s="1" t="n">
        <v>45300.51512731481</v>
      </c>
      <c r="C182" s="1" t="n">
        <v>46092</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22755-2025</t>
        </is>
      </c>
      <c r="B183" s="1" t="n">
        <v>45789.61872685186</v>
      </c>
      <c r="C183" s="1" t="n">
        <v>46092</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34336-2024</t>
        </is>
      </c>
      <c r="B184" s="1" t="n">
        <v>45524.94774305556</v>
      </c>
      <c r="C184" s="1" t="n">
        <v>46092</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16739-2023</t>
        </is>
      </c>
      <c r="B185" s="1" t="n">
        <v>45030.72627314815</v>
      </c>
      <c r="C185" s="1" t="n">
        <v>46092</v>
      </c>
      <c r="D185" t="inlineStr">
        <is>
          <t>ÖREBRO LÄN</t>
        </is>
      </c>
      <c r="E185" t="inlineStr">
        <is>
          <t>ÖREBRO</t>
        </is>
      </c>
      <c r="G185" t="n">
        <v>1.2</v>
      </c>
      <c r="H185" t="n">
        <v>0</v>
      </c>
      <c r="I185" t="n">
        <v>0</v>
      </c>
      <c r="J185" t="n">
        <v>0</v>
      </c>
      <c r="K185" t="n">
        <v>0</v>
      </c>
      <c r="L185" t="n">
        <v>0</v>
      </c>
      <c r="M185" t="n">
        <v>0</v>
      </c>
      <c r="N185" t="n">
        <v>0</v>
      </c>
      <c r="O185" t="n">
        <v>0</v>
      </c>
      <c r="P185" t="n">
        <v>0</v>
      </c>
      <c r="Q185" t="n">
        <v>0</v>
      </c>
      <c r="R185" s="2" t="inlineStr"/>
    </row>
    <row r="186" ht="15" customHeight="1">
      <c r="A186" t="inlineStr">
        <is>
          <t>A 15555-2025</t>
        </is>
      </c>
      <c r="B186" s="1" t="n">
        <v>45747.67768518518</v>
      </c>
      <c r="C186" s="1" t="n">
        <v>46092</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61279-2024</t>
        </is>
      </c>
      <c r="B187" s="1" t="n">
        <v>45645</v>
      </c>
      <c r="C187" s="1" t="n">
        <v>46092</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38790-2024</t>
        </is>
      </c>
      <c r="B188" s="1" t="n">
        <v>45547.48450231482</v>
      </c>
      <c r="C188" s="1" t="n">
        <v>46092</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71269-2021</t>
        </is>
      </c>
      <c r="B189" s="1" t="n">
        <v>44539</v>
      </c>
      <c r="C189" s="1" t="n">
        <v>46092</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30316-2024</t>
        </is>
      </c>
      <c r="B190" s="1" t="n">
        <v>45490</v>
      </c>
      <c r="C190" s="1" t="n">
        <v>46092</v>
      </c>
      <c r="D190" t="inlineStr">
        <is>
          <t>ÖREBRO LÄN</t>
        </is>
      </c>
      <c r="E190" t="inlineStr">
        <is>
          <t>ÖREBRO</t>
        </is>
      </c>
      <c r="G190" t="n">
        <v>5.5</v>
      </c>
      <c r="H190" t="n">
        <v>0</v>
      </c>
      <c r="I190" t="n">
        <v>0</v>
      </c>
      <c r="J190" t="n">
        <v>0</v>
      </c>
      <c r="K190" t="n">
        <v>0</v>
      </c>
      <c r="L190" t="n">
        <v>0</v>
      </c>
      <c r="M190" t="n">
        <v>0</v>
      </c>
      <c r="N190" t="n">
        <v>0</v>
      </c>
      <c r="O190" t="n">
        <v>0</v>
      </c>
      <c r="P190" t="n">
        <v>0</v>
      </c>
      <c r="Q190" t="n">
        <v>0</v>
      </c>
      <c r="R190" s="2" t="inlineStr"/>
    </row>
    <row r="191" ht="15" customHeight="1">
      <c r="A191" t="inlineStr">
        <is>
          <t>A 57537-2025</t>
        </is>
      </c>
      <c r="B191" s="1" t="n">
        <v>45980.6446875</v>
      </c>
      <c r="C191" s="1" t="n">
        <v>46092</v>
      </c>
      <c r="D191" t="inlineStr">
        <is>
          <t>ÖREBRO LÄN</t>
        </is>
      </c>
      <c r="E191" t="inlineStr">
        <is>
          <t>ÖREBRO</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49465-2024</t>
        </is>
      </c>
      <c r="B192" s="1" t="n">
        <v>45596</v>
      </c>
      <c r="C192" s="1" t="n">
        <v>46092</v>
      </c>
      <c r="D192" t="inlineStr">
        <is>
          <t>ÖREBRO LÄN</t>
        </is>
      </c>
      <c r="E192" t="inlineStr">
        <is>
          <t>ÖREBRO</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38842-2022</t>
        </is>
      </c>
      <c r="B193" s="1" t="n">
        <v>44814</v>
      </c>
      <c r="C193" s="1" t="n">
        <v>46092</v>
      </c>
      <c r="D193" t="inlineStr">
        <is>
          <t>ÖREBRO LÄN</t>
        </is>
      </c>
      <c r="E193" t="inlineStr">
        <is>
          <t>ÖREBRO</t>
        </is>
      </c>
      <c r="G193" t="n">
        <v>5</v>
      </c>
      <c r="H193" t="n">
        <v>0</v>
      </c>
      <c r="I193" t="n">
        <v>0</v>
      </c>
      <c r="J193" t="n">
        <v>0</v>
      </c>
      <c r="K193" t="n">
        <v>0</v>
      </c>
      <c r="L193" t="n">
        <v>0</v>
      </c>
      <c r="M193" t="n">
        <v>0</v>
      </c>
      <c r="N193" t="n">
        <v>0</v>
      </c>
      <c r="O193" t="n">
        <v>0</v>
      </c>
      <c r="P193" t="n">
        <v>0</v>
      </c>
      <c r="Q193" t="n">
        <v>0</v>
      </c>
      <c r="R193" s="2" t="inlineStr"/>
    </row>
    <row r="194" ht="15" customHeight="1">
      <c r="A194" t="inlineStr">
        <is>
          <t>A 39003-2025</t>
        </is>
      </c>
      <c r="B194" s="1" t="n">
        <v>45888.34467592592</v>
      </c>
      <c r="C194" s="1" t="n">
        <v>46092</v>
      </c>
      <c r="D194" t="inlineStr">
        <is>
          <t>ÖREBRO LÄN</t>
        </is>
      </c>
      <c r="E194" t="inlineStr">
        <is>
          <t>ÖREBRO</t>
        </is>
      </c>
      <c r="G194" t="n">
        <v>3.7</v>
      </c>
      <c r="H194" t="n">
        <v>0</v>
      </c>
      <c r="I194" t="n">
        <v>0</v>
      </c>
      <c r="J194" t="n">
        <v>0</v>
      </c>
      <c r="K194" t="n">
        <v>0</v>
      </c>
      <c r="L194" t="n">
        <v>0</v>
      </c>
      <c r="M194" t="n">
        <v>0</v>
      </c>
      <c r="N194" t="n">
        <v>0</v>
      </c>
      <c r="O194" t="n">
        <v>0</v>
      </c>
      <c r="P194" t="n">
        <v>0</v>
      </c>
      <c r="Q194" t="n">
        <v>0</v>
      </c>
      <c r="R194" s="2" t="inlineStr"/>
    </row>
    <row r="195" ht="15" customHeight="1">
      <c r="A195" t="inlineStr">
        <is>
          <t>A 37022-2024</t>
        </is>
      </c>
      <c r="B195" s="1" t="n">
        <v>45539.3822337963</v>
      </c>
      <c r="C195" s="1" t="n">
        <v>46092</v>
      </c>
      <c r="D195" t="inlineStr">
        <is>
          <t>ÖREBRO LÄN</t>
        </is>
      </c>
      <c r="E195" t="inlineStr">
        <is>
          <t>ÖREBRO</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37024-2024</t>
        </is>
      </c>
      <c r="B196" s="1" t="n">
        <v>45539.38329861111</v>
      </c>
      <c r="C196" s="1" t="n">
        <v>46092</v>
      </c>
      <c r="D196" t="inlineStr">
        <is>
          <t>ÖREBRO LÄN</t>
        </is>
      </c>
      <c r="E196" t="inlineStr">
        <is>
          <t>ÖREBRO</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58230-2025</t>
        </is>
      </c>
      <c r="B197" s="1" t="n">
        <v>45985.38037037037</v>
      </c>
      <c r="C197" s="1" t="n">
        <v>46092</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15422-2022</t>
        </is>
      </c>
      <c r="B198" s="1" t="n">
        <v>44659.63753472222</v>
      </c>
      <c r="C198" s="1" t="n">
        <v>46092</v>
      </c>
      <c r="D198" t="inlineStr">
        <is>
          <t>ÖREBRO LÄN</t>
        </is>
      </c>
      <c r="E198" t="inlineStr">
        <is>
          <t>ÖREBRO</t>
        </is>
      </c>
      <c r="G198" t="n">
        <v>2</v>
      </c>
      <c r="H198" t="n">
        <v>0</v>
      </c>
      <c r="I198" t="n">
        <v>0</v>
      </c>
      <c r="J198" t="n">
        <v>0</v>
      </c>
      <c r="K198" t="n">
        <v>0</v>
      </c>
      <c r="L198" t="n">
        <v>0</v>
      </c>
      <c r="M198" t="n">
        <v>0</v>
      </c>
      <c r="N198" t="n">
        <v>0</v>
      </c>
      <c r="O198" t="n">
        <v>0</v>
      </c>
      <c r="P198" t="n">
        <v>0</v>
      </c>
      <c r="Q198" t="n">
        <v>0</v>
      </c>
      <c r="R198" s="2" t="inlineStr"/>
    </row>
    <row r="199" ht="15" customHeight="1">
      <c r="A199" t="inlineStr">
        <is>
          <t>A 47047-2022</t>
        </is>
      </c>
      <c r="B199" s="1" t="n">
        <v>44852.39063657408</v>
      </c>
      <c r="C199" s="1" t="n">
        <v>46092</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39446-2025</t>
        </is>
      </c>
      <c r="B200" s="1" t="n">
        <v>45889.70388888889</v>
      </c>
      <c r="C200" s="1" t="n">
        <v>46092</v>
      </c>
      <c r="D200" t="inlineStr">
        <is>
          <t>ÖREBRO LÄN</t>
        </is>
      </c>
      <c r="E200" t="inlineStr">
        <is>
          <t>ÖREBRO</t>
        </is>
      </c>
      <c r="F200" t="inlineStr">
        <is>
          <t>Kyrkan</t>
        </is>
      </c>
      <c r="G200" t="n">
        <v>3.2</v>
      </c>
      <c r="H200" t="n">
        <v>0</v>
      </c>
      <c r="I200" t="n">
        <v>0</v>
      </c>
      <c r="J200" t="n">
        <v>0</v>
      </c>
      <c r="K200" t="n">
        <v>0</v>
      </c>
      <c r="L200" t="n">
        <v>0</v>
      </c>
      <c r="M200" t="n">
        <v>0</v>
      </c>
      <c r="N200" t="n">
        <v>0</v>
      </c>
      <c r="O200" t="n">
        <v>0</v>
      </c>
      <c r="P200" t="n">
        <v>0</v>
      </c>
      <c r="Q200" t="n">
        <v>0</v>
      </c>
      <c r="R200" s="2" t="inlineStr"/>
    </row>
    <row r="201" ht="15" customHeight="1">
      <c r="A201" t="inlineStr">
        <is>
          <t>A 44199-2024</t>
        </is>
      </c>
      <c r="B201" s="1" t="n">
        <v>45573</v>
      </c>
      <c r="C201" s="1" t="n">
        <v>46092</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46323-2024</t>
        </is>
      </c>
      <c r="B202" s="1" t="n">
        <v>45581.84538194445</v>
      </c>
      <c r="C202" s="1" t="n">
        <v>46092</v>
      </c>
      <c r="D202" t="inlineStr">
        <is>
          <t>ÖREBRO LÄN</t>
        </is>
      </c>
      <c r="E202" t="inlineStr">
        <is>
          <t>ÖREBRO</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4380-2025</t>
        </is>
      </c>
      <c r="B203" s="1" t="n">
        <v>45686.3959375</v>
      </c>
      <c r="C203" s="1" t="n">
        <v>46092</v>
      </c>
      <c r="D203" t="inlineStr">
        <is>
          <t>ÖREBRO LÄN</t>
        </is>
      </c>
      <c r="E203" t="inlineStr">
        <is>
          <t>ÖREBRO</t>
        </is>
      </c>
      <c r="G203" t="n">
        <v>3.2</v>
      </c>
      <c r="H203" t="n">
        <v>0</v>
      </c>
      <c r="I203" t="n">
        <v>0</v>
      </c>
      <c r="J203" t="n">
        <v>0</v>
      </c>
      <c r="K203" t="n">
        <v>0</v>
      </c>
      <c r="L203" t="n">
        <v>0</v>
      </c>
      <c r="M203" t="n">
        <v>0</v>
      </c>
      <c r="N203" t="n">
        <v>0</v>
      </c>
      <c r="O203" t="n">
        <v>0</v>
      </c>
      <c r="P203" t="n">
        <v>0</v>
      </c>
      <c r="Q203" t="n">
        <v>0</v>
      </c>
      <c r="R203" s="2" t="inlineStr"/>
    </row>
    <row r="204" ht="15" customHeight="1">
      <c r="A204" t="inlineStr">
        <is>
          <t>A 58835-2025</t>
        </is>
      </c>
      <c r="B204" s="1" t="n">
        <v>45987.35519675926</v>
      </c>
      <c r="C204" s="1" t="n">
        <v>46092</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26443-2024</t>
        </is>
      </c>
      <c r="B205" s="1" t="n">
        <v>45469.49901620371</v>
      </c>
      <c r="C205" s="1" t="n">
        <v>46092</v>
      </c>
      <c r="D205" t="inlineStr">
        <is>
          <t>ÖREBRO LÄN</t>
        </is>
      </c>
      <c r="E205" t="inlineStr">
        <is>
          <t>ÖREBRO</t>
        </is>
      </c>
      <c r="G205" t="n">
        <v>5.7</v>
      </c>
      <c r="H205" t="n">
        <v>0</v>
      </c>
      <c r="I205" t="n">
        <v>0</v>
      </c>
      <c r="J205" t="n">
        <v>0</v>
      </c>
      <c r="K205" t="n">
        <v>0</v>
      </c>
      <c r="L205" t="n">
        <v>0</v>
      </c>
      <c r="M205" t="n">
        <v>0</v>
      </c>
      <c r="N205" t="n">
        <v>0</v>
      </c>
      <c r="O205" t="n">
        <v>0</v>
      </c>
      <c r="P205" t="n">
        <v>0</v>
      </c>
      <c r="Q205" t="n">
        <v>0</v>
      </c>
      <c r="R205" s="2" t="inlineStr"/>
    </row>
    <row r="206" ht="15" customHeight="1">
      <c r="A206" t="inlineStr">
        <is>
          <t>A 5136-2024</t>
        </is>
      </c>
      <c r="B206" s="1" t="n">
        <v>45330</v>
      </c>
      <c r="C206" s="1" t="n">
        <v>46092</v>
      </c>
      <c r="D206" t="inlineStr">
        <is>
          <t>ÖREBRO LÄN</t>
        </is>
      </c>
      <c r="E206" t="inlineStr">
        <is>
          <t>ÖREBRO</t>
        </is>
      </c>
      <c r="G206" t="n">
        <v>2.1</v>
      </c>
      <c r="H206" t="n">
        <v>0</v>
      </c>
      <c r="I206" t="n">
        <v>0</v>
      </c>
      <c r="J206" t="n">
        <v>0</v>
      </c>
      <c r="K206" t="n">
        <v>0</v>
      </c>
      <c r="L206" t="n">
        <v>0</v>
      </c>
      <c r="M206" t="n">
        <v>0</v>
      </c>
      <c r="N206" t="n">
        <v>0</v>
      </c>
      <c r="O206" t="n">
        <v>0</v>
      </c>
      <c r="P206" t="n">
        <v>0</v>
      </c>
      <c r="Q206" t="n">
        <v>0</v>
      </c>
      <c r="R206" s="2" t="inlineStr"/>
    </row>
    <row r="207" ht="15" customHeight="1">
      <c r="A207" t="inlineStr">
        <is>
          <t>A 39479-2025</t>
        </is>
      </c>
      <c r="B207" s="1" t="n">
        <v>45890.34752314815</v>
      </c>
      <c r="C207" s="1" t="n">
        <v>46092</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35477-2024</t>
        </is>
      </c>
      <c r="B208" s="1" t="n">
        <v>45531</v>
      </c>
      <c r="C208" s="1" t="n">
        <v>46092</v>
      </c>
      <c r="D208" t="inlineStr">
        <is>
          <t>ÖREBRO LÄN</t>
        </is>
      </c>
      <c r="E208" t="inlineStr">
        <is>
          <t>ÖREBRO</t>
        </is>
      </c>
      <c r="G208" t="n">
        <v>2.4</v>
      </c>
      <c r="H208" t="n">
        <v>0</v>
      </c>
      <c r="I208" t="n">
        <v>0</v>
      </c>
      <c r="J208" t="n">
        <v>0</v>
      </c>
      <c r="K208" t="n">
        <v>0</v>
      </c>
      <c r="L208" t="n">
        <v>0</v>
      </c>
      <c r="M208" t="n">
        <v>0</v>
      </c>
      <c r="N208" t="n">
        <v>0</v>
      </c>
      <c r="O208" t="n">
        <v>0</v>
      </c>
      <c r="P208" t="n">
        <v>0</v>
      </c>
      <c r="Q208" t="n">
        <v>0</v>
      </c>
      <c r="R208" s="2" t="inlineStr"/>
    </row>
    <row r="209" ht="15" customHeight="1">
      <c r="A209" t="inlineStr">
        <is>
          <t>A 58587-2025</t>
        </is>
      </c>
      <c r="B209" s="1" t="n">
        <v>45986.40208333333</v>
      </c>
      <c r="C209" s="1" t="n">
        <v>46092</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58598-2022</t>
        </is>
      </c>
      <c r="B210" s="1" t="n">
        <v>44902</v>
      </c>
      <c r="C210" s="1" t="n">
        <v>46092</v>
      </c>
      <c r="D210" t="inlineStr">
        <is>
          <t>ÖREBRO LÄN</t>
        </is>
      </c>
      <c r="E210" t="inlineStr">
        <is>
          <t>ÖREBRO</t>
        </is>
      </c>
      <c r="G210" t="n">
        <v>0.4</v>
      </c>
      <c r="H210" t="n">
        <v>0</v>
      </c>
      <c r="I210" t="n">
        <v>0</v>
      </c>
      <c r="J210" t="n">
        <v>0</v>
      </c>
      <c r="K210" t="n">
        <v>0</v>
      </c>
      <c r="L210" t="n">
        <v>0</v>
      </c>
      <c r="M210" t="n">
        <v>0</v>
      </c>
      <c r="N210" t="n">
        <v>0</v>
      </c>
      <c r="O210" t="n">
        <v>0</v>
      </c>
      <c r="P210" t="n">
        <v>0</v>
      </c>
      <c r="Q210" t="n">
        <v>0</v>
      </c>
      <c r="R210" s="2" t="inlineStr"/>
    </row>
    <row r="211" ht="15" customHeight="1">
      <c r="A211" t="inlineStr">
        <is>
          <t>A 59312-2025</t>
        </is>
      </c>
      <c r="B211" s="1" t="n">
        <v>45989.30467592592</v>
      </c>
      <c r="C211" s="1" t="n">
        <v>46092</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13158-2024</t>
        </is>
      </c>
      <c r="B212" s="1" t="n">
        <v>45386.38728009259</v>
      </c>
      <c r="C212" s="1" t="n">
        <v>46092</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40330-2025</t>
        </is>
      </c>
      <c r="B213" s="1" t="n">
        <v>45895.4531712963</v>
      </c>
      <c r="C213" s="1" t="n">
        <v>46092</v>
      </c>
      <c r="D213" t="inlineStr">
        <is>
          <t>ÖREBRO LÄN</t>
        </is>
      </c>
      <c r="E213" t="inlineStr">
        <is>
          <t>ÖREBRO</t>
        </is>
      </c>
      <c r="G213" t="n">
        <v>0.9</v>
      </c>
      <c r="H213" t="n">
        <v>0</v>
      </c>
      <c r="I213" t="n">
        <v>0</v>
      </c>
      <c r="J213" t="n">
        <v>0</v>
      </c>
      <c r="K213" t="n">
        <v>0</v>
      </c>
      <c r="L213" t="n">
        <v>0</v>
      </c>
      <c r="M213" t="n">
        <v>0</v>
      </c>
      <c r="N213" t="n">
        <v>0</v>
      </c>
      <c r="O213" t="n">
        <v>0</v>
      </c>
      <c r="P213" t="n">
        <v>0</v>
      </c>
      <c r="Q213" t="n">
        <v>0</v>
      </c>
      <c r="R213" s="2" t="inlineStr"/>
    </row>
    <row r="214" ht="15" customHeight="1">
      <c r="A214" t="inlineStr">
        <is>
          <t>A 40332-2025</t>
        </is>
      </c>
      <c r="B214" s="1" t="n">
        <v>45895.46060185185</v>
      </c>
      <c r="C214" s="1" t="n">
        <v>46092</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59313-2025</t>
        </is>
      </c>
      <c r="B215" s="1" t="n">
        <v>45989.30920138889</v>
      </c>
      <c r="C215" s="1" t="n">
        <v>46092</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51331-2023</t>
        </is>
      </c>
      <c r="B216" s="1" t="n">
        <v>45219</v>
      </c>
      <c r="C216" s="1" t="n">
        <v>46092</v>
      </c>
      <c r="D216" t="inlineStr">
        <is>
          <t>ÖREBRO LÄN</t>
        </is>
      </c>
      <c r="E216" t="inlineStr">
        <is>
          <t>ÖREBRO</t>
        </is>
      </c>
      <c r="F216" t="inlineStr">
        <is>
          <t>Kommuner</t>
        </is>
      </c>
      <c r="G216" t="n">
        <v>1.3</v>
      </c>
      <c r="H216" t="n">
        <v>0</v>
      </c>
      <c r="I216" t="n">
        <v>0</v>
      </c>
      <c r="J216" t="n">
        <v>0</v>
      </c>
      <c r="K216" t="n">
        <v>0</v>
      </c>
      <c r="L216" t="n">
        <v>0</v>
      </c>
      <c r="M216" t="n">
        <v>0</v>
      </c>
      <c r="N216" t="n">
        <v>0</v>
      </c>
      <c r="O216" t="n">
        <v>0</v>
      </c>
      <c r="P216" t="n">
        <v>0</v>
      </c>
      <c r="Q216" t="n">
        <v>0</v>
      </c>
      <c r="R216" s="2" t="inlineStr"/>
    </row>
    <row r="217" ht="15" customHeight="1">
      <c r="A217" t="inlineStr">
        <is>
          <t>A 59145-2025</t>
        </is>
      </c>
      <c r="B217" s="1" t="n">
        <v>45988.52015046297</v>
      </c>
      <c r="C217" s="1" t="n">
        <v>46092</v>
      </c>
      <c r="D217" t="inlineStr">
        <is>
          <t>ÖREBRO LÄN</t>
        </is>
      </c>
      <c r="E217" t="inlineStr">
        <is>
          <t>ÖREBRO</t>
        </is>
      </c>
      <c r="G217" t="n">
        <v>0.8</v>
      </c>
      <c r="H217" t="n">
        <v>0</v>
      </c>
      <c r="I217" t="n">
        <v>0</v>
      </c>
      <c r="J217" t="n">
        <v>0</v>
      </c>
      <c r="K217" t="n">
        <v>0</v>
      </c>
      <c r="L217" t="n">
        <v>0</v>
      </c>
      <c r="M217" t="n">
        <v>0</v>
      </c>
      <c r="N217" t="n">
        <v>0</v>
      </c>
      <c r="O217" t="n">
        <v>0</v>
      </c>
      <c r="P217" t="n">
        <v>0</v>
      </c>
      <c r="Q217" t="n">
        <v>0</v>
      </c>
      <c r="R217" s="2" t="inlineStr"/>
    </row>
    <row r="218" ht="15" customHeight="1">
      <c r="A218" t="inlineStr">
        <is>
          <t>A 48644-2024</t>
        </is>
      </c>
      <c r="B218" s="1" t="n">
        <v>45593.47466435185</v>
      </c>
      <c r="C218" s="1" t="n">
        <v>46092</v>
      </c>
      <c r="D218" t="inlineStr">
        <is>
          <t>ÖREBRO LÄN</t>
        </is>
      </c>
      <c r="E218" t="inlineStr">
        <is>
          <t>ÖREBRO</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59857-2025</t>
        </is>
      </c>
      <c r="B219" s="1" t="n">
        <v>45992.75820601852</v>
      </c>
      <c r="C219" s="1" t="n">
        <v>46092</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34874-2022</t>
        </is>
      </c>
      <c r="B220" s="1" t="n">
        <v>44796</v>
      </c>
      <c r="C220" s="1" t="n">
        <v>46092</v>
      </c>
      <c r="D220" t="inlineStr">
        <is>
          <t>ÖREBRO LÄN</t>
        </is>
      </c>
      <c r="E220" t="inlineStr">
        <is>
          <t>ÖREBRO</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59938-2025</t>
        </is>
      </c>
      <c r="B221" s="1" t="n">
        <v>45993.42108796296</v>
      </c>
      <c r="C221" s="1" t="n">
        <v>46092</v>
      </c>
      <c r="D221" t="inlineStr">
        <is>
          <t>ÖREBRO LÄN</t>
        </is>
      </c>
      <c r="E221" t="inlineStr">
        <is>
          <t>ÖREBRO</t>
        </is>
      </c>
      <c r="G221" t="n">
        <v>1.5</v>
      </c>
      <c r="H221" t="n">
        <v>0</v>
      </c>
      <c r="I221" t="n">
        <v>0</v>
      </c>
      <c r="J221" t="n">
        <v>0</v>
      </c>
      <c r="K221" t="n">
        <v>0</v>
      </c>
      <c r="L221" t="n">
        <v>0</v>
      </c>
      <c r="M221" t="n">
        <v>0</v>
      </c>
      <c r="N221" t="n">
        <v>0</v>
      </c>
      <c r="O221" t="n">
        <v>0</v>
      </c>
      <c r="P221" t="n">
        <v>0</v>
      </c>
      <c r="Q221" t="n">
        <v>0</v>
      </c>
      <c r="R221" s="2" t="inlineStr"/>
    </row>
    <row r="222" ht="15" customHeight="1">
      <c r="A222" t="inlineStr">
        <is>
          <t>A 852-2025</t>
        </is>
      </c>
      <c r="B222" s="1" t="n">
        <v>45665.60148148148</v>
      </c>
      <c r="C222" s="1" t="n">
        <v>46092</v>
      </c>
      <c r="D222" t="inlineStr">
        <is>
          <t>ÖREBRO LÄN</t>
        </is>
      </c>
      <c r="E222" t="inlineStr">
        <is>
          <t>ÖREBRO</t>
        </is>
      </c>
      <c r="G222" t="n">
        <v>2.9</v>
      </c>
      <c r="H222" t="n">
        <v>0</v>
      </c>
      <c r="I222" t="n">
        <v>0</v>
      </c>
      <c r="J222" t="n">
        <v>0</v>
      </c>
      <c r="K222" t="n">
        <v>0</v>
      </c>
      <c r="L222" t="n">
        <v>0</v>
      </c>
      <c r="M222" t="n">
        <v>0</v>
      </c>
      <c r="N222" t="n">
        <v>0</v>
      </c>
      <c r="O222" t="n">
        <v>0</v>
      </c>
      <c r="P222" t="n">
        <v>0</v>
      </c>
      <c r="Q222" t="n">
        <v>0</v>
      </c>
      <c r="R222" s="2" t="inlineStr"/>
    </row>
    <row r="223" ht="15" customHeight="1">
      <c r="A223" t="inlineStr">
        <is>
          <t>A 59856-2025</t>
        </is>
      </c>
      <c r="B223" s="1" t="n">
        <v>45992.74891203704</v>
      </c>
      <c r="C223" s="1" t="n">
        <v>46092</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59860-2025</t>
        </is>
      </c>
      <c r="B224" s="1" t="n">
        <v>45992.78351851852</v>
      </c>
      <c r="C224" s="1" t="n">
        <v>46092</v>
      </c>
      <c r="D224" t="inlineStr">
        <is>
          <t>ÖREBRO LÄN</t>
        </is>
      </c>
      <c r="E224" t="inlineStr">
        <is>
          <t>ÖREBRO</t>
        </is>
      </c>
      <c r="G224" t="n">
        <v>0.8</v>
      </c>
      <c r="H224" t="n">
        <v>0</v>
      </c>
      <c r="I224" t="n">
        <v>0</v>
      </c>
      <c r="J224" t="n">
        <v>0</v>
      </c>
      <c r="K224" t="n">
        <v>0</v>
      </c>
      <c r="L224" t="n">
        <v>0</v>
      </c>
      <c r="M224" t="n">
        <v>0</v>
      </c>
      <c r="N224" t="n">
        <v>0</v>
      </c>
      <c r="O224" t="n">
        <v>0</v>
      </c>
      <c r="P224" t="n">
        <v>0</v>
      </c>
      <c r="Q224" t="n">
        <v>0</v>
      </c>
      <c r="R224" s="2" t="inlineStr"/>
    </row>
    <row r="225" ht="15" customHeight="1">
      <c r="A225" t="inlineStr">
        <is>
          <t>A 59858-2025</t>
        </is>
      </c>
      <c r="B225" s="1" t="n">
        <v>45992.76758101852</v>
      </c>
      <c r="C225" s="1" t="n">
        <v>46092</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59859-2025</t>
        </is>
      </c>
      <c r="B226" s="1" t="n">
        <v>45992.7803125</v>
      </c>
      <c r="C226" s="1" t="n">
        <v>46092</v>
      </c>
      <c r="D226" t="inlineStr">
        <is>
          <t>ÖREBRO LÄN</t>
        </is>
      </c>
      <c r="E226" t="inlineStr">
        <is>
          <t>ÖREBRO</t>
        </is>
      </c>
      <c r="G226" t="n">
        <v>0.4</v>
      </c>
      <c r="H226" t="n">
        <v>0</v>
      </c>
      <c r="I226" t="n">
        <v>0</v>
      </c>
      <c r="J226" t="n">
        <v>0</v>
      </c>
      <c r="K226" t="n">
        <v>0</v>
      </c>
      <c r="L226" t="n">
        <v>0</v>
      </c>
      <c r="M226" t="n">
        <v>0</v>
      </c>
      <c r="N226" t="n">
        <v>0</v>
      </c>
      <c r="O226" t="n">
        <v>0</v>
      </c>
      <c r="P226" t="n">
        <v>0</v>
      </c>
      <c r="Q226" t="n">
        <v>0</v>
      </c>
      <c r="R226" s="2" t="inlineStr"/>
    </row>
    <row r="227" ht="15" customHeight="1">
      <c r="A227" t="inlineStr">
        <is>
          <t>A 59937-2025</t>
        </is>
      </c>
      <c r="B227" s="1" t="n">
        <v>45993.41934027777</v>
      </c>
      <c r="C227" s="1" t="n">
        <v>46092</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60551-2025</t>
        </is>
      </c>
      <c r="B228" s="1" t="n">
        <v>45995</v>
      </c>
      <c r="C228" s="1" t="n">
        <v>46092</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60466-2025</t>
        </is>
      </c>
      <c r="B229" s="1" t="n">
        <v>45995.55927083334</v>
      </c>
      <c r="C229" s="1" t="n">
        <v>46092</v>
      </c>
      <c r="D229" t="inlineStr">
        <is>
          <t>ÖREBRO LÄN</t>
        </is>
      </c>
      <c r="E229" t="inlineStr">
        <is>
          <t>ÖREBRO</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60555-2025</t>
        </is>
      </c>
      <c r="B230" s="1" t="n">
        <v>45995.73722222223</v>
      </c>
      <c r="C230" s="1" t="n">
        <v>46092</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38583-2023</t>
        </is>
      </c>
      <c r="B231" s="1" t="n">
        <v>45162.62861111111</v>
      </c>
      <c r="C231" s="1" t="n">
        <v>46092</v>
      </c>
      <c r="D231" t="inlineStr">
        <is>
          <t>ÖREBRO LÄN</t>
        </is>
      </c>
      <c r="E231" t="inlineStr">
        <is>
          <t>ÖREBRO</t>
        </is>
      </c>
      <c r="G231" t="n">
        <v>5.7</v>
      </c>
      <c r="H231" t="n">
        <v>0</v>
      </c>
      <c r="I231" t="n">
        <v>0</v>
      </c>
      <c r="J231" t="n">
        <v>0</v>
      </c>
      <c r="K231" t="n">
        <v>0</v>
      </c>
      <c r="L231" t="n">
        <v>0</v>
      </c>
      <c r="M231" t="n">
        <v>0</v>
      </c>
      <c r="N231" t="n">
        <v>0</v>
      </c>
      <c r="O231" t="n">
        <v>0</v>
      </c>
      <c r="P231" t="n">
        <v>0</v>
      </c>
      <c r="Q231" t="n">
        <v>0</v>
      </c>
      <c r="R231" s="2" t="inlineStr"/>
    </row>
    <row r="232" ht="15" customHeight="1">
      <c r="A232" t="inlineStr">
        <is>
          <t>A 60720-2025</t>
        </is>
      </c>
      <c r="B232" s="1" t="n">
        <v>45996.64050925926</v>
      </c>
      <c r="C232" s="1" t="n">
        <v>46092</v>
      </c>
      <c r="D232" t="inlineStr">
        <is>
          <t>ÖREBRO LÄN</t>
        </is>
      </c>
      <c r="E232" t="inlineStr">
        <is>
          <t>ÖREBRO</t>
        </is>
      </c>
      <c r="F232" t="inlineStr">
        <is>
          <t>Sveaskog</t>
        </is>
      </c>
      <c r="G232" t="n">
        <v>3</v>
      </c>
      <c r="H232" t="n">
        <v>0</v>
      </c>
      <c r="I232" t="n">
        <v>0</v>
      </c>
      <c r="J232" t="n">
        <v>0</v>
      </c>
      <c r="K232" t="n">
        <v>0</v>
      </c>
      <c r="L232" t="n">
        <v>0</v>
      </c>
      <c r="M232" t="n">
        <v>0</v>
      </c>
      <c r="N232" t="n">
        <v>0</v>
      </c>
      <c r="O232" t="n">
        <v>0</v>
      </c>
      <c r="P232" t="n">
        <v>0</v>
      </c>
      <c r="Q232" t="n">
        <v>0</v>
      </c>
      <c r="R232" s="2" t="inlineStr"/>
    </row>
    <row r="233" ht="15" customHeight="1">
      <c r="A233" t="inlineStr">
        <is>
          <t>A 55745-2023</t>
        </is>
      </c>
      <c r="B233" s="1" t="n">
        <v>45239.44811342593</v>
      </c>
      <c r="C233" s="1" t="n">
        <v>46092</v>
      </c>
      <c r="D233" t="inlineStr">
        <is>
          <t>ÖREBRO LÄN</t>
        </is>
      </c>
      <c r="E233" t="inlineStr">
        <is>
          <t>ÖREBRO</t>
        </is>
      </c>
      <c r="G233" t="n">
        <v>13.3</v>
      </c>
      <c r="H233" t="n">
        <v>0</v>
      </c>
      <c r="I233" t="n">
        <v>0</v>
      </c>
      <c r="J233" t="n">
        <v>0</v>
      </c>
      <c r="K233" t="n">
        <v>0</v>
      </c>
      <c r="L233" t="n">
        <v>0</v>
      </c>
      <c r="M233" t="n">
        <v>0</v>
      </c>
      <c r="N233" t="n">
        <v>0</v>
      </c>
      <c r="O233" t="n">
        <v>0</v>
      </c>
      <c r="P233" t="n">
        <v>0</v>
      </c>
      <c r="Q233" t="n">
        <v>0</v>
      </c>
      <c r="R233" s="2" t="inlineStr"/>
    </row>
    <row r="234" ht="15" customHeight="1">
      <c r="A234" t="inlineStr">
        <is>
          <t>A 60840-2025</t>
        </is>
      </c>
      <c r="B234" s="1" t="n">
        <v>45999.48547453704</v>
      </c>
      <c r="C234" s="1" t="n">
        <v>46092</v>
      </c>
      <c r="D234" t="inlineStr">
        <is>
          <t>ÖREBRO LÄN</t>
        </is>
      </c>
      <c r="E234" t="inlineStr">
        <is>
          <t>ÖREBRO</t>
        </is>
      </c>
      <c r="G234" t="n">
        <v>3.5</v>
      </c>
      <c r="H234" t="n">
        <v>0</v>
      </c>
      <c r="I234" t="n">
        <v>0</v>
      </c>
      <c r="J234" t="n">
        <v>0</v>
      </c>
      <c r="K234" t="n">
        <v>0</v>
      </c>
      <c r="L234" t="n">
        <v>0</v>
      </c>
      <c r="M234" t="n">
        <v>0</v>
      </c>
      <c r="N234" t="n">
        <v>0</v>
      </c>
      <c r="O234" t="n">
        <v>0</v>
      </c>
      <c r="P234" t="n">
        <v>0</v>
      </c>
      <c r="Q234" t="n">
        <v>0</v>
      </c>
      <c r="R234" s="2" t="inlineStr"/>
    </row>
    <row r="235" ht="15" customHeight="1">
      <c r="A235" t="inlineStr">
        <is>
          <t>A 60717-2025</t>
        </is>
      </c>
      <c r="B235" s="1" t="n">
        <v>45996.63673611111</v>
      </c>
      <c r="C235" s="1" t="n">
        <v>46092</v>
      </c>
      <c r="D235" t="inlineStr">
        <is>
          <t>ÖREBRO LÄN</t>
        </is>
      </c>
      <c r="E235" t="inlineStr">
        <is>
          <t>ÖREBRO</t>
        </is>
      </c>
      <c r="F235" t="inlineStr">
        <is>
          <t>Sveaskog</t>
        </is>
      </c>
      <c r="G235" t="n">
        <v>0.5</v>
      </c>
      <c r="H235" t="n">
        <v>0</v>
      </c>
      <c r="I235" t="n">
        <v>0</v>
      </c>
      <c r="J235" t="n">
        <v>0</v>
      </c>
      <c r="K235" t="n">
        <v>0</v>
      </c>
      <c r="L235" t="n">
        <v>0</v>
      </c>
      <c r="M235" t="n">
        <v>0</v>
      </c>
      <c r="N235" t="n">
        <v>0</v>
      </c>
      <c r="O235" t="n">
        <v>0</v>
      </c>
      <c r="P235" t="n">
        <v>0</v>
      </c>
      <c r="Q235" t="n">
        <v>0</v>
      </c>
      <c r="R235" s="2" t="inlineStr"/>
    </row>
    <row r="236" ht="15" customHeight="1">
      <c r="A236" t="inlineStr">
        <is>
          <t>A 60718-2025</t>
        </is>
      </c>
      <c r="B236" s="1" t="n">
        <v>45996.6384375</v>
      </c>
      <c r="C236" s="1" t="n">
        <v>46092</v>
      </c>
      <c r="D236" t="inlineStr">
        <is>
          <t>ÖREBRO LÄN</t>
        </is>
      </c>
      <c r="E236" t="inlineStr">
        <is>
          <t>ÖREBRO</t>
        </is>
      </c>
      <c r="F236" t="inlineStr">
        <is>
          <t>Sveaskog</t>
        </is>
      </c>
      <c r="G236" t="n">
        <v>5.3</v>
      </c>
      <c r="H236" t="n">
        <v>0</v>
      </c>
      <c r="I236" t="n">
        <v>0</v>
      </c>
      <c r="J236" t="n">
        <v>0</v>
      </c>
      <c r="K236" t="n">
        <v>0</v>
      </c>
      <c r="L236" t="n">
        <v>0</v>
      </c>
      <c r="M236" t="n">
        <v>0</v>
      </c>
      <c r="N236" t="n">
        <v>0</v>
      </c>
      <c r="O236" t="n">
        <v>0</v>
      </c>
      <c r="P236" t="n">
        <v>0</v>
      </c>
      <c r="Q236" t="n">
        <v>0</v>
      </c>
      <c r="R236" s="2" t="inlineStr"/>
    </row>
    <row r="237" ht="15" customHeight="1">
      <c r="A237" t="inlineStr">
        <is>
          <t>A 60721-2025</t>
        </is>
      </c>
      <c r="B237" s="1" t="n">
        <v>45996</v>
      </c>
      <c r="C237" s="1" t="n">
        <v>46092</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38573-2023</t>
        </is>
      </c>
      <c r="B238" s="1" t="n">
        <v>45162.61837962963</v>
      </c>
      <c r="C238" s="1" t="n">
        <v>46092</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61525-2025</t>
        </is>
      </c>
      <c r="B239" s="1" t="n">
        <v>46001</v>
      </c>
      <c r="C239" s="1" t="n">
        <v>46092</v>
      </c>
      <c r="D239" t="inlineStr">
        <is>
          <t>ÖREBRO LÄN</t>
        </is>
      </c>
      <c r="E239" t="inlineStr">
        <is>
          <t>ÖREBRO</t>
        </is>
      </c>
      <c r="G239" t="n">
        <v>2.6</v>
      </c>
      <c r="H239" t="n">
        <v>0</v>
      </c>
      <c r="I239" t="n">
        <v>0</v>
      </c>
      <c r="J239" t="n">
        <v>0</v>
      </c>
      <c r="K239" t="n">
        <v>0</v>
      </c>
      <c r="L239" t="n">
        <v>0</v>
      </c>
      <c r="M239" t="n">
        <v>0</v>
      </c>
      <c r="N239" t="n">
        <v>0</v>
      </c>
      <c r="O239" t="n">
        <v>0</v>
      </c>
      <c r="P239" t="n">
        <v>0</v>
      </c>
      <c r="Q239" t="n">
        <v>0</v>
      </c>
      <c r="R239" s="2" t="inlineStr"/>
    </row>
    <row r="240" ht="15" customHeight="1">
      <c r="A240" t="inlineStr">
        <is>
          <t>A 41412-2025</t>
        </is>
      </c>
      <c r="B240" s="1" t="n">
        <v>45901.3549537037</v>
      </c>
      <c r="C240" s="1" t="n">
        <v>46092</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5406-2025</t>
        </is>
      </c>
      <c r="B241" s="1" t="n">
        <v>45692.64821759259</v>
      </c>
      <c r="C241" s="1" t="n">
        <v>46092</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46092</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34358-2022</t>
        </is>
      </c>
      <c r="B243" s="1" t="n">
        <v>44792.45494212963</v>
      </c>
      <c r="C243" s="1" t="n">
        <v>46092</v>
      </c>
      <c r="D243" t="inlineStr">
        <is>
          <t>ÖREBRO LÄN</t>
        </is>
      </c>
      <c r="E243" t="inlineStr">
        <is>
          <t>ÖREBRO</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41669-2025</t>
        </is>
      </c>
      <c r="B244" s="1" t="n">
        <v>45902.36149305556</v>
      </c>
      <c r="C244" s="1" t="n">
        <v>46092</v>
      </c>
      <c r="D244" t="inlineStr">
        <is>
          <t>ÖREBRO LÄN</t>
        </is>
      </c>
      <c r="E244" t="inlineStr">
        <is>
          <t>ÖREBRO</t>
        </is>
      </c>
      <c r="G244" t="n">
        <v>2.8</v>
      </c>
      <c r="H244" t="n">
        <v>0</v>
      </c>
      <c r="I244" t="n">
        <v>0</v>
      </c>
      <c r="J244" t="n">
        <v>0</v>
      </c>
      <c r="K244" t="n">
        <v>0</v>
      </c>
      <c r="L244" t="n">
        <v>0</v>
      </c>
      <c r="M244" t="n">
        <v>0</v>
      </c>
      <c r="N244" t="n">
        <v>0</v>
      </c>
      <c r="O244" t="n">
        <v>0</v>
      </c>
      <c r="P244" t="n">
        <v>0</v>
      </c>
      <c r="Q244" t="n">
        <v>0</v>
      </c>
      <c r="R244" s="2" t="inlineStr"/>
    </row>
    <row r="245" ht="15" customHeight="1">
      <c r="A245" t="inlineStr">
        <is>
          <t>A 13856-2022</t>
        </is>
      </c>
      <c r="B245" s="1" t="n">
        <v>44649.6965162037</v>
      </c>
      <c r="C245" s="1" t="n">
        <v>46092</v>
      </c>
      <c r="D245" t="inlineStr">
        <is>
          <t>ÖREBRO LÄN</t>
        </is>
      </c>
      <c r="E245" t="inlineStr">
        <is>
          <t>ÖREBRO</t>
        </is>
      </c>
      <c r="G245" t="n">
        <v>1.8</v>
      </c>
      <c r="H245" t="n">
        <v>0</v>
      </c>
      <c r="I245" t="n">
        <v>0</v>
      </c>
      <c r="J245" t="n">
        <v>0</v>
      </c>
      <c r="K245" t="n">
        <v>0</v>
      </c>
      <c r="L245" t="n">
        <v>0</v>
      </c>
      <c r="M245" t="n">
        <v>0</v>
      </c>
      <c r="N245" t="n">
        <v>0</v>
      </c>
      <c r="O245" t="n">
        <v>0</v>
      </c>
      <c r="P245" t="n">
        <v>0</v>
      </c>
      <c r="Q245" t="n">
        <v>0</v>
      </c>
      <c r="R245" s="2" t="inlineStr"/>
    </row>
    <row r="246" ht="15" customHeight="1">
      <c r="A246" t="inlineStr">
        <is>
          <t>A 22348-2024</t>
        </is>
      </c>
      <c r="B246" s="1" t="n">
        <v>45446.61256944444</v>
      </c>
      <c r="C246" s="1" t="n">
        <v>46092</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52256-2023</t>
        </is>
      </c>
      <c r="B247" s="1" t="n">
        <v>45224.51471064815</v>
      </c>
      <c r="C247" s="1" t="n">
        <v>46092</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15695-2024</t>
        </is>
      </c>
      <c r="B248" s="1" t="n">
        <v>45404.45487268519</v>
      </c>
      <c r="C248" s="1" t="n">
        <v>46092</v>
      </c>
      <c r="D248" t="inlineStr">
        <is>
          <t>ÖREBRO LÄN</t>
        </is>
      </c>
      <c r="E248" t="inlineStr">
        <is>
          <t>ÖREBRO</t>
        </is>
      </c>
      <c r="G248" t="n">
        <v>2.7</v>
      </c>
      <c r="H248" t="n">
        <v>0</v>
      </c>
      <c r="I248" t="n">
        <v>0</v>
      </c>
      <c r="J248" t="n">
        <v>0</v>
      </c>
      <c r="K248" t="n">
        <v>0</v>
      </c>
      <c r="L248" t="n">
        <v>0</v>
      </c>
      <c r="M248" t="n">
        <v>0</v>
      </c>
      <c r="N248" t="n">
        <v>0</v>
      </c>
      <c r="O248" t="n">
        <v>0</v>
      </c>
      <c r="P248" t="n">
        <v>0</v>
      </c>
      <c r="Q248" t="n">
        <v>0</v>
      </c>
      <c r="R248" s="2" t="inlineStr"/>
    </row>
    <row r="249" ht="15" customHeight="1">
      <c r="A249" t="inlineStr">
        <is>
          <t>A 30089-2024</t>
        </is>
      </c>
      <c r="B249" s="1" t="n">
        <v>45485</v>
      </c>
      <c r="C249" s="1" t="n">
        <v>46092</v>
      </c>
      <c r="D249" t="inlineStr">
        <is>
          <t>ÖREBRO LÄN</t>
        </is>
      </c>
      <c r="E249" t="inlineStr">
        <is>
          <t>ÖREBRO</t>
        </is>
      </c>
      <c r="G249" t="n">
        <v>2.2</v>
      </c>
      <c r="H249" t="n">
        <v>0</v>
      </c>
      <c r="I249" t="n">
        <v>0</v>
      </c>
      <c r="J249" t="n">
        <v>0</v>
      </c>
      <c r="K249" t="n">
        <v>0</v>
      </c>
      <c r="L249" t="n">
        <v>0</v>
      </c>
      <c r="M249" t="n">
        <v>0</v>
      </c>
      <c r="N249" t="n">
        <v>0</v>
      </c>
      <c r="O249" t="n">
        <v>0</v>
      </c>
      <c r="P249" t="n">
        <v>0</v>
      </c>
      <c r="Q249" t="n">
        <v>0</v>
      </c>
      <c r="R249" s="2" t="inlineStr"/>
    </row>
    <row r="250" ht="15" customHeight="1">
      <c r="A250" t="inlineStr">
        <is>
          <t>A 5643-2025</t>
        </is>
      </c>
      <c r="B250" s="1" t="n">
        <v>45693</v>
      </c>
      <c r="C250" s="1" t="n">
        <v>46092</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46030-2024</t>
        </is>
      </c>
      <c r="B251" s="1" t="n">
        <v>45580.70377314815</v>
      </c>
      <c r="C251" s="1" t="n">
        <v>46092</v>
      </c>
      <c r="D251" t="inlineStr">
        <is>
          <t>ÖREBRO LÄN</t>
        </is>
      </c>
      <c r="E251" t="inlineStr">
        <is>
          <t>ÖREBRO</t>
        </is>
      </c>
      <c r="G251" t="n">
        <v>3.9</v>
      </c>
      <c r="H251" t="n">
        <v>0</v>
      </c>
      <c r="I251" t="n">
        <v>0</v>
      </c>
      <c r="J251" t="n">
        <v>0</v>
      </c>
      <c r="K251" t="n">
        <v>0</v>
      </c>
      <c r="L251" t="n">
        <v>0</v>
      </c>
      <c r="M251" t="n">
        <v>0</v>
      </c>
      <c r="N251" t="n">
        <v>0</v>
      </c>
      <c r="O251" t="n">
        <v>0</v>
      </c>
      <c r="P251" t="n">
        <v>0</v>
      </c>
      <c r="Q251" t="n">
        <v>0</v>
      </c>
      <c r="R251" s="2" t="inlineStr"/>
    </row>
    <row r="252" ht="15" customHeight="1">
      <c r="A252" t="inlineStr">
        <is>
          <t>A 5342-2024</t>
        </is>
      </c>
      <c r="B252" s="1" t="n">
        <v>45331.44145833333</v>
      </c>
      <c r="C252" s="1" t="n">
        <v>46092</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71295-2021</t>
        </is>
      </c>
      <c r="B253" s="1" t="n">
        <v>44539.63009259259</v>
      </c>
      <c r="C253" s="1" t="n">
        <v>46092</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60289-2023</t>
        </is>
      </c>
      <c r="B254" s="1" t="n">
        <v>45257</v>
      </c>
      <c r="C254" s="1" t="n">
        <v>46092</v>
      </c>
      <c r="D254" t="inlineStr">
        <is>
          <t>ÖREBRO LÄN</t>
        </is>
      </c>
      <c r="E254" t="inlineStr">
        <is>
          <t>ÖREBRO</t>
        </is>
      </c>
      <c r="G254" t="n">
        <v>10.9</v>
      </c>
      <c r="H254" t="n">
        <v>0</v>
      </c>
      <c r="I254" t="n">
        <v>0</v>
      </c>
      <c r="J254" t="n">
        <v>0</v>
      </c>
      <c r="K254" t="n">
        <v>0</v>
      </c>
      <c r="L254" t="n">
        <v>0</v>
      </c>
      <c r="M254" t="n">
        <v>0</v>
      </c>
      <c r="N254" t="n">
        <v>0</v>
      </c>
      <c r="O254" t="n">
        <v>0</v>
      </c>
      <c r="P254" t="n">
        <v>0</v>
      </c>
      <c r="Q254" t="n">
        <v>0</v>
      </c>
      <c r="R254" s="2" t="inlineStr"/>
    </row>
    <row r="255" ht="15" customHeight="1">
      <c r="A255" t="inlineStr">
        <is>
          <t>A 12017-2024</t>
        </is>
      </c>
      <c r="B255" s="1" t="n">
        <v>45377</v>
      </c>
      <c r="C255" s="1" t="n">
        <v>46092</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61930-2025</t>
        </is>
      </c>
      <c r="B256" s="1" t="n">
        <v>46003</v>
      </c>
      <c r="C256" s="1" t="n">
        <v>46092</v>
      </c>
      <c r="D256" t="inlineStr">
        <is>
          <t>ÖREBRO LÄN</t>
        </is>
      </c>
      <c r="E256" t="inlineStr">
        <is>
          <t>ÖREBRO</t>
        </is>
      </c>
      <c r="G256" t="n">
        <v>2.3</v>
      </c>
      <c r="H256" t="n">
        <v>0</v>
      </c>
      <c r="I256" t="n">
        <v>0</v>
      </c>
      <c r="J256" t="n">
        <v>0</v>
      </c>
      <c r="K256" t="n">
        <v>0</v>
      </c>
      <c r="L256" t="n">
        <v>0</v>
      </c>
      <c r="M256" t="n">
        <v>0</v>
      </c>
      <c r="N256" t="n">
        <v>0</v>
      </c>
      <c r="O256" t="n">
        <v>0</v>
      </c>
      <c r="P256" t="n">
        <v>0</v>
      </c>
      <c r="Q256" t="n">
        <v>0</v>
      </c>
      <c r="R256" s="2" t="inlineStr"/>
    </row>
    <row r="257" ht="15" customHeight="1">
      <c r="A257" t="inlineStr">
        <is>
          <t>A 11516-2024</t>
        </is>
      </c>
      <c r="B257" s="1" t="n">
        <v>45372</v>
      </c>
      <c r="C257" s="1" t="n">
        <v>46092</v>
      </c>
      <c r="D257" t="inlineStr">
        <is>
          <t>ÖREBRO LÄN</t>
        </is>
      </c>
      <c r="E257" t="inlineStr">
        <is>
          <t>ÖREBRO</t>
        </is>
      </c>
      <c r="G257" t="n">
        <v>10.7</v>
      </c>
      <c r="H257" t="n">
        <v>0</v>
      </c>
      <c r="I257" t="n">
        <v>0</v>
      </c>
      <c r="J257" t="n">
        <v>0</v>
      </c>
      <c r="K257" t="n">
        <v>0</v>
      </c>
      <c r="L257" t="n">
        <v>0</v>
      </c>
      <c r="M257" t="n">
        <v>0</v>
      </c>
      <c r="N257" t="n">
        <v>0</v>
      </c>
      <c r="O257" t="n">
        <v>0</v>
      </c>
      <c r="P257" t="n">
        <v>0</v>
      </c>
      <c r="Q257" t="n">
        <v>0</v>
      </c>
      <c r="R257" s="2" t="inlineStr"/>
    </row>
    <row r="258" ht="15" customHeight="1">
      <c r="A258" t="inlineStr">
        <is>
          <t>A 54678-2023</t>
        </is>
      </c>
      <c r="B258" s="1" t="n">
        <v>45235</v>
      </c>
      <c r="C258" s="1" t="n">
        <v>46092</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190-2024</t>
        </is>
      </c>
      <c r="B259" s="1" t="n">
        <v>45294.61858796296</v>
      </c>
      <c r="C259" s="1" t="n">
        <v>46092</v>
      </c>
      <c r="D259" t="inlineStr">
        <is>
          <t>ÖREBRO LÄN</t>
        </is>
      </c>
      <c r="E259" t="inlineStr">
        <is>
          <t>ÖREBRO</t>
        </is>
      </c>
      <c r="G259" t="n">
        <v>2.4</v>
      </c>
      <c r="H259" t="n">
        <v>0</v>
      </c>
      <c r="I259" t="n">
        <v>0</v>
      </c>
      <c r="J259" t="n">
        <v>0</v>
      </c>
      <c r="K259" t="n">
        <v>0</v>
      </c>
      <c r="L259" t="n">
        <v>0</v>
      </c>
      <c r="M259" t="n">
        <v>0</v>
      </c>
      <c r="N259" t="n">
        <v>0</v>
      </c>
      <c r="O259" t="n">
        <v>0</v>
      </c>
      <c r="P259" t="n">
        <v>0</v>
      </c>
      <c r="Q259" t="n">
        <v>0</v>
      </c>
      <c r="R259" s="2" t="inlineStr"/>
    </row>
    <row r="260" ht="15" customHeight="1">
      <c r="A260" t="inlineStr">
        <is>
          <t>A 44511-2023</t>
        </is>
      </c>
      <c r="B260" s="1" t="n">
        <v>45189</v>
      </c>
      <c r="C260" s="1" t="n">
        <v>46092</v>
      </c>
      <c r="D260" t="inlineStr">
        <is>
          <t>ÖREBRO LÄN</t>
        </is>
      </c>
      <c r="E260" t="inlineStr">
        <is>
          <t>ÖREBRO</t>
        </is>
      </c>
      <c r="F260" t="inlineStr">
        <is>
          <t>Allmännings- och besparingsskogar</t>
        </is>
      </c>
      <c r="G260" t="n">
        <v>2.7</v>
      </c>
      <c r="H260" t="n">
        <v>0</v>
      </c>
      <c r="I260" t="n">
        <v>0</v>
      </c>
      <c r="J260" t="n">
        <v>0</v>
      </c>
      <c r="K260" t="n">
        <v>0</v>
      </c>
      <c r="L260" t="n">
        <v>0</v>
      </c>
      <c r="M260" t="n">
        <v>0</v>
      </c>
      <c r="N260" t="n">
        <v>0</v>
      </c>
      <c r="O260" t="n">
        <v>0</v>
      </c>
      <c r="P260" t="n">
        <v>0</v>
      </c>
      <c r="Q260" t="n">
        <v>0</v>
      </c>
      <c r="R260" s="2" t="inlineStr"/>
    </row>
    <row r="261" ht="15" customHeight="1">
      <c r="A261" t="inlineStr">
        <is>
          <t>A 52447-2024</t>
        </is>
      </c>
      <c r="B261" s="1" t="n">
        <v>45609.49157407408</v>
      </c>
      <c r="C261" s="1" t="n">
        <v>46092</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43803-2023</t>
        </is>
      </c>
      <c r="B262" s="1" t="n">
        <v>45187</v>
      </c>
      <c r="C262" s="1" t="n">
        <v>46092</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55943-2024</t>
        </is>
      </c>
      <c r="B263" s="1" t="n">
        <v>45623.61278935185</v>
      </c>
      <c r="C263" s="1" t="n">
        <v>46092</v>
      </c>
      <c r="D263" t="inlineStr">
        <is>
          <t>ÖREBRO LÄN</t>
        </is>
      </c>
      <c r="E263" t="inlineStr">
        <is>
          <t>ÖREBRO</t>
        </is>
      </c>
      <c r="G263" t="n">
        <v>4.8</v>
      </c>
      <c r="H263" t="n">
        <v>0</v>
      </c>
      <c r="I263" t="n">
        <v>0</v>
      </c>
      <c r="J263" t="n">
        <v>0</v>
      </c>
      <c r="K263" t="n">
        <v>0</v>
      </c>
      <c r="L263" t="n">
        <v>0</v>
      </c>
      <c r="M263" t="n">
        <v>0</v>
      </c>
      <c r="N263" t="n">
        <v>0</v>
      </c>
      <c r="O263" t="n">
        <v>0</v>
      </c>
      <c r="P263" t="n">
        <v>0</v>
      </c>
      <c r="Q263" t="n">
        <v>0</v>
      </c>
      <c r="R263" s="2" t="inlineStr"/>
    </row>
    <row r="264" ht="15" customHeight="1">
      <c r="A264" t="inlineStr">
        <is>
          <t>A 60028-2024</t>
        </is>
      </c>
      <c r="B264" s="1" t="n">
        <v>45642</v>
      </c>
      <c r="C264" s="1" t="n">
        <v>46092</v>
      </c>
      <c r="D264" t="inlineStr">
        <is>
          <t>ÖREBRO LÄN</t>
        </is>
      </c>
      <c r="E264" t="inlineStr">
        <is>
          <t>ÖREBRO</t>
        </is>
      </c>
      <c r="G264" t="n">
        <v>1.7</v>
      </c>
      <c r="H264" t="n">
        <v>0</v>
      </c>
      <c r="I264" t="n">
        <v>0</v>
      </c>
      <c r="J264" t="n">
        <v>0</v>
      </c>
      <c r="K264" t="n">
        <v>0</v>
      </c>
      <c r="L264" t="n">
        <v>0</v>
      </c>
      <c r="M264" t="n">
        <v>0</v>
      </c>
      <c r="N264" t="n">
        <v>0</v>
      </c>
      <c r="O264" t="n">
        <v>0</v>
      </c>
      <c r="P264" t="n">
        <v>0</v>
      </c>
      <c r="Q264" t="n">
        <v>0</v>
      </c>
      <c r="R264" s="2" t="inlineStr"/>
    </row>
    <row r="265" ht="15" customHeight="1">
      <c r="A265" t="inlineStr">
        <is>
          <t>A 25578-2025</t>
        </is>
      </c>
      <c r="B265" s="1" t="n">
        <v>45803.47803240741</v>
      </c>
      <c r="C265" s="1" t="n">
        <v>46092</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62683-2025</t>
        </is>
      </c>
      <c r="B266" s="1" t="n">
        <v>46008.45796296297</v>
      </c>
      <c r="C266" s="1" t="n">
        <v>46092</v>
      </c>
      <c r="D266" t="inlineStr">
        <is>
          <t>ÖREBRO LÄN</t>
        </is>
      </c>
      <c r="E266" t="inlineStr">
        <is>
          <t>ÖREBRO</t>
        </is>
      </c>
      <c r="G266" t="n">
        <v>5.1</v>
      </c>
      <c r="H266" t="n">
        <v>0</v>
      </c>
      <c r="I266" t="n">
        <v>0</v>
      </c>
      <c r="J266" t="n">
        <v>0</v>
      </c>
      <c r="K266" t="n">
        <v>0</v>
      </c>
      <c r="L266" t="n">
        <v>0</v>
      </c>
      <c r="M266" t="n">
        <v>0</v>
      </c>
      <c r="N266" t="n">
        <v>0</v>
      </c>
      <c r="O266" t="n">
        <v>0</v>
      </c>
      <c r="P266" t="n">
        <v>0</v>
      </c>
      <c r="Q266" t="n">
        <v>0</v>
      </c>
      <c r="R266" s="2" t="inlineStr"/>
    </row>
    <row r="267" ht="15" customHeight="1">
      <c r="A267" t="inlineStr">
        <is>
          <t>A 6794-2025</t>
        </is>
      </c>
      <c r="B267" s="1" t="n">
        <v>45700.66429398148</v>
      </c>
      <c r="C267" s="1" t="n">
        <v>46092</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55003-2025</t>
        </is>
      </c>
      <c r="B268" s="1" t="n">
        <v>45967</v>
      </c>
      <c r="C268" s="1" t="n">
        <v>46092</v>
      </c>
      <c r="D268" t="inlineStr">
        <is>
          <t>ÖREBRO LÄN</t>
        </is>
      </c>
      <c r="E268" t="inlineStr">
        <is>
          <t>ÖREBRO</t>
        </is>
      </c>
      <c r="F268" t="inlineStr">
        <is>
          <t>Övriga Aktiebolag</t>
        </is>
      </c>
      <c r="G268" t="n">
        <v>1.9</v>
      </c>
      <c r="H268" t="n">
        <v>0</v>
      </c>
      <c r="I268" t="n">
        <v>0</v>
      </c>
      <c r="J268" t="n">
        <v>0</v>
      </c>
      <c r="K268" t="n">
        <v>0</v>
      </c>
      <c r="L268" t="n">
        <v>0</v>
      </c>
      <c r="M268" t="n">
        <v>0</v>
      </c>
      <c r="N268" t="n">
        <v>0</v>
      </c>
      <c r="O268" t="n">
        <v>0</v>
      </c>
      <c r="P268" t="n">
        <v>0</v>
      </c>
      <c r="Q268" t="n">
        <v>0</v>
      </c>
      <c r="R268" s="2" t="inlineStr"/>
    </row>
    <row r="269" ht="15" customHeight="1">
      <c r="A269" t="inlineStr">
        <is>
          <t>A 2596-2022</t>
        </is>
      </c>
      <c r="B269" s="1" t="n">
        <v>44580</v>
      </c>
      <c r="C269" s="1" t="n">
        <v>46092</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6220-2026</t>
        </is>
      </c>
      <c r="B270" s="1" t="n">
        <v>46055.43789351852</v>
      </c>
      <c r="C270" s="1" t="n">
        <v>46092</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13857-2022</t>
        </is>
      </c>
      <c r="B271" s="1" t="n">
        <v>44649</v>
      </c>
      <c r="C271" s="1" t="n">
        <v>46092</v>
      </c>
      <c r="D271" t="inlineStr">
        <is>
          <t>ÖREBRO LÄN</t>
        </is>
      </c>
      <c r="E271" t="inlineStr">
        <is>
          <t>ÖREBRO</t>
        </is>
      </c>
      <c r="G271" t="n">
        <v>0.6</v>
      </c>
      <c r="H271" t="n">
        <v>0</v>
      </c>
      <c r="I271" t="n">
        <v>0</v>
      </c>
      <c r="J271" t="n">
        <v>0</v>
      </c>
      <c r="K271" t="n">
        <v>0</v>
      </c>
      <c r="L271" t="n">
        <v>0</v>
      </c>
      <c r="M271" t="n">
        <v>0</v>
      </c>
      <c r="N271" t="n">
        <v>0</v>
      </c>
      <c r="O271" t="n">
        <v>0</v>
      </c>
      <c r="P271" t="n">
        <v>0</v>
      </c>
      <c r="Q271" t="n">
        <v>0</v>
      </c>
      <c r="R271" s="2" t="inlineStr"/>
    </row>
    <row r="272" ht="15" customHeight="1">
      <c r="A272" t="inlineStr">
        <is>
          <t>A 55692-2023</t>
        </is>
      </c>
      <c r="B272" s="1" t="n">
        <v>45239</v>
      </c>
      <c r="C272" s="1" t="n">
        <v>46092</v>
      </c>
      <c r="D272" t="inlineStr">
        <is>
          <t>ÖREBRO LÄN</t>
        </is>
      </c>
      <c r="E272" t="inlineStr">
        <is>
          <t>ÖREBRO</t>
        </is>
      </c>
      <c r="F272" t="inlineStr">
        <is>
          <t>Övriga Aktiebolag</t>
        </is>
      </c>
      <c r="G272" t="n">
        <v>0.4</v>
      </c>
      <c r="H272" t="n">
        <v>0</v>
      </c>
      <c r="I272" t="n">
        <v>0</v>
      </c>
      <c r="J272" t="n">
        <v>0</v>
      </c>
      <c r="K272" t="n">
        <v>0</v>
      </c>
      <c r="L272" t="n">
        <v>0</v>
      </c>
      <c r="M272" t="n">
        <v>0</v>
      </c>
      <c r="N272" t="n">
        <v>0</v>
      </c>
      <c r="O272" t="n">
        <v>0</v>
      </c>
      <c r="P272" t="n">
        <v>0</v>
      </c>
      <c r="Q272" t="n">
        <v>0</v>
      </c>
      <c r="R272" s="2" t="inlineStr"/>
    </row>
    <row r="273" ht="15" customHeight="1">
      <c r="A273" t="inlineStr">
        <is>
          <t>A 25519-2025</t>
        </is>
      </c>
      <c r="B273" s="1" t="n">
        <v>45803.38447916666</v>
      </c>
      <c r="C273" s="1" t="n">
        <v>46092</v>
      </c>
      <c r="D273" t="inlineStr">
        <is>
          <t>ÖREBRO LÄN</t>
        </is>
      </c>
      <c r="E273" t="inlineStr">
        <is>
          <t>ÖREBRO</t>
        </is>
      </c>
      <c r="G273" t="n">
        <v>7.4</v>
      </c>
      <c r="H273" t="n">
        <v>0</v>
      </c>
      <c r="I273" t="n">
        <v>0</v>
      </c>
      <c r="J273" t="n">
        <v>0</v>
      </c>
      <c r="K273" t="n">
        <v>0</v>
      </c>
      <c r="L273" t="n">
        <v>0</v>
      </c>
      <c r="M273" t="n">
        <v>0</v>
      </c>
      <c r="N273" t="n">
        <v>0</v>
      </c>
      <c r="O273" t="n">
        <v>0</v>
      </c>
      <c r="P273" t="n">
        <v>0</v>
      </c>
      <c r="Q273" t="n">
        <v>0</v>
      </c>
      <c r="R273" s="2" t="inlineStr"/>
    </row>
    <row r="274" ht="15" customHeight="1">
      <c r="A274" t="inlineStr">
        <is>
          <t>A 15866-2022</t>
        </is>
      </c>
      <c r="B274" s="1" t="n">
        <v>44664</v>
      </c>
      <c r="C274" s="1" t="n">
        <v>46092</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44960-2025</t>
        </is>
      </c>
      <c r="B275" s="1" t="n">
        <v>45918.61577546296</v>
      </c>
      <c r="C275" s="1" t="n">
        <v>46092</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16258-2022</t>
        </is>
      </c>
      <c r="B276" s="1" t="n">
        <v>44670</v>
      </c>
      <c r="C276" s="1" t="n">
        <v>46092</v>
      </c>
      <c r="D276" t="inlineStr">
        <is>
          <t>ÖREBRO LÄN</t>
        </is>
      </c>
      <c r="E276" t="inlineStr">
        <is>
          <t>ÖREBRO</t>
        </is>
      </c>
      <c r="G276" t="n">
        <v>0.6</v>
      </c>
      <c r="H276" t="n">
        <v>0</v>
      </c>
      <c r="I276" t="n">
        <v>0</v>
      </c>
      <c r="J276" t="n">
        <v>0</v>
      </c>
      <c r="K276" t="n">
        <v>0</v>
      </c>
      <c r="L276" t="n">
        <v>0</v>
      </c>
      <c r="M276" t="n">
        <v>0</v>
      </c>
      <c r="N276" t="n">
        <v>0</v>
      </c>
      <c r="O276" t="n">
        <v>0</v>
      </c>
      <c r="P276" t="n">
        <v>0</v>
      </c>
      <c r="Q276" t="n">
        <v>0</v>
      </c>
      <c r="R276" s="2" t="inlineStr"/>
    </row>
    <row r="277" ht="15" customHeight="1">
      <c r="A277" t="inlineStr">
        <is>
          <t>A 63657-2025</t>
        </is>
      </c>
      <c r="B277" s="1" t="n">
        <v>46014.44479166667</v>
      </c>
      <c r="C277" s="1" t="n">
        <v>46092</v>
      </c>
      <c r="D277" t="inlineStr">
        <is>
          <t>ÖREBRO LÄN</t>
        </is>
      </c>
      <c r="E277" t="inlineStr">
        <is>
          <t>ÖREBRO</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44875-2025</t>
        </is>
      </c>
      <c r="B278" s="1" t="n">
        <v>45918.47043981482</v>
      </c>
      <c r="C278" s="1" t="n">
        <v>46092</v>
      </c>
      <c r="D278" t="inlineStr">
        <is>
          <t>ÖREBRO LÄN</t>
        </is>
      </c>
      <c r="E278" t="inlineStr">
        <is>
          <t>ÖREBRO</t>
        </is>
      </c>
      <c r="G278" t="n">
        <v>1.4</v>
      </c>
      <c r="H278" t="n">
        <v>0</v>
      </c>
      <c r="I278" t="n">
        <v>0</v>
      </c>
      <c r="J278" t="n">
        <v>0</v>
      </c>
      <c r="K278" t="n">
        <v>0</v>
      </c>
      <c r="L278" t="n">
        <v>0</v>
      </c>
      <c r="M278" t="n">
        <v>0</v>
      </c>
      <c r="N278" t="n">
        <v>0</v>
      </c>
      <c r="O278" t="n">
        <v>0</v>
      </c>
      <c r="P278" t="n">
        <v>0</v>
      </c>
      <c r="Q278" t="n">
        <v>0</v>
      </c>
      <c r="R278" s="2" t="inlineStr"/>
    </row>
    <row r="279" ht="15" customHeight="1">
      <c r="A279" t="inlineStr">
        <is>
          <t>A 63666-2025</t>
        </is>
      </c>
      <c r="B279" s="1" t="n">
        <v>46014.45650462963</v>
      </c>
      <c r="C279" s="1" t="n">
        <v>46092</v>
      </c>
      <c r="D279" t="inlineStr">
        <is>
          <t>ÖREBRO LÄN</t>
        </is>
      </c>
      <c r="E279" t="inlineStr">
        <is>
          <t>ÖREBRO</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63662-2025</t>
        </is>
      </c>
      <c r="B280" s="1" t="n">
        <v>46014.45055555556</v>
      </c>
      <c r="C280" s="1" t="n">
        <v>46092</v>
      </c>
      <c r="D280" t="inlineStr">
        <is>
          <t>ÖREBRO LÄN</t>
        </is>
      </c>
      <c r="E280" t="inlineStr">
        <is>
          <t>ÖREBRO</t>
        </is>
      </c>
      <c r="F280" t="inlineStr">
        <is>
          <t>Allmännings- och besparingsskogar</t>
        </is>
      </c>
      <c r="G280" t="n">
        <v>3.2</v>
      </c>
      <c r="H280" t="n">
        <v>0</v>
      </c>
      <c r="I280" t="n">
        <v>0</v>
      </c>
      <c r="J280" t="n">
        <v>0</v>
      </c>
      <c r="K280" t="n">
        <v>0</v>
      </c>
      <c r="L280" t="n">
        <v>0</v>
      </c>
      <c r="M280" t="n">
        <v>0</v>
      </c>
      <c r="N280" t="n">
        <v>0</v>
      </c>
      <c r="O280" t="n">
        <v>0</v>
      </c>
      <c r="P280" t="n">
        <v>0</v>
      </c>
      <c r="Q280" t="n">
        <v>0</v>
      </c>
      <c r="R280" s="2" t="inlineStr"/>
    </row>
    <row r="281" ht="15" customHeight="1">
      <c r="A281" t="inlineStr">
        <is>
          <t>A 28054-2022</t>
        </is>
      </c>
      <c r="B281" s="1" t="n">
        <v>44746.41938657407</v>
      </c>
      <c r="C281" s="1" t="n">
        <v>46092</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541-2025</t>
        </is>
      </c>
      <c r="B282" s="1" t="n">
        <v>45664.52034722222</v>
      </c>
      <c r="C282" s="1" t="n">
        <v>46092</v>
      </c>
      <c r="D282" t="inlineStr">
        <is>
          <t>ÖREBRO LÄN</t>
        </is>
      </c>
      <c r="E282" t="inlineStr">
        <is>
          <t>ÖREBRO</t>
        </is>
      </c>
      <c r="G282" t="n">
        <v>2.2</v>
      </c>
      <c r="H282" t="n">
        <v>0</v>
      </c>
      <c r="I282" t="n">
        <v>0</v>
      </c>
      <c r="J282" t="n">
        <v>0</v>
      </c>
      <c r="K282" t="n">
        <v>0</v>
      </c>
      <c r="L282" t="n">
        <v>0</v>
      </c>
      <c r="M282" t="n">
        <v>0</v>
      </c>
      <c r="N282" t="n">
        <v>0</v>
      </c>
      <c r="O282" t="n">
        <v>0</v>
      </c>
      <c r="P282" t="n">
        <v>0</v>
      </c>
      <c r="Q282" t="n">
        <v>0</v>
      </c>
      <c r="R282" s="2" t="inlineStr"/>
    </row>
    <row r="283" ht="15" customHeight="1">
      <c r="A283" t="inlineStr">
        <is>
          <t>A 53143-2023</t>
        </is>
      </c>
      <c r="B283" s="1" t="n">
        <v>45229</v>
      </c>
      <c r="C283" s="1" t="n">
        <v>46092</v>
      </c>
      <c r="D283" t="inlineStr">
        <is>
          <t>ÖREBRO LÄN</t>
        </is>
      </c>
      <c r="E283" t="inlineStr">
        <is>
          <t>ÖREBRO</t>
        </is>
      </c>
      <c r="G283" t="n">
        <v>3.3</v>
      </c>
      <c r="H283" t="n">
        <v>0</v>
      </c>
      <c r="I283" t="n">
        <v>0</v>
      </c>
      <c r="J283" t="n">
        <v>0</v>
      </c>
      <c r="K283" t="n">
        <v>0</v>
      </c>
      <c r="L283" t="n">
        <v>0</v>
      </c>
      <c r="M283" t="n">
        <v>0</v>
      </c>
      <c r="N283" t="n">
        <v>0</v>
      </c>
      <c r="O283" t="n">
        <v>0</v>
      </c>
      <c r="P283" t="n">
        <v>0</v>
      </c>
      <c r="Q283" t="n">
        <v>0</v>
      </c>
      <c r="R283" s="2" t="inlineStr"/>
    </row>
    <row r="284" ht="15" customHeight="1">
      <c r="A284" t="inlineStr">
        <is>
          <t>A 7275-2026</t>
        </is>
      </c>
      <c r="B284" s="1" t="n">
        <v>46058.6259375</v>
      </c>
      <c r="C284" s="1" t="n">
        <v>46092</v>
      </c>
      <c r="D284" t="inlineStr">
        <is>
          <t>ÖREBRO LÄN</t>
        </is>
      </c>
      <c r="E284" t="inlineStr">
        <is>
          <t>ÖREBRO</t>
        </is>
      </c>
      <c r="F284" t="inlineStr">
        <is>
          <t>Övriga Aktiebolag</t>
        </is>
      </c>
      <c r="G284" t="n">
        <v>5.2</v>
      </c>
      <c r="H284" t="n">
        <v>0</v>
      </c>
      <c r="I284" t="n">
        <v>0</v>
      </c>
      <c r="J284" t="n">
        <v>0</v>
      </c>
      <c r="K284" t="n">
        <v>0</v>
      </c>
      <c r="L284" t="n">
        <v>0</v>
      </c>
      <c r="M284" t="n">
        <v>0</v>
      </c>
      <c r="N284" t="n">
        <v>0</v>
      </c>
      <c r="O284" t="n">
        <v>0</v>
      </c>
      <c r="P284" t="n">
        <v>0</v>
      </c>
      <c r="Q284" t="n">
        <v>0</v>
      </c>
      <c r="R284" s="2" t="inlineStr"/>
    </row>
    <row r="285" ht="15" customHeight="1">
      <c r="A285" t="inlineStr">
        <is>
          <t>A 25407-2021</t>
        </is>
      </c>
      <c r="B285" s="1" t="n">
        <v>44342</v>
      </c>
      <c r="C285" s="1" t="n">
        <v>46092</v>
      </c>
      <c r="D285" t="inlineStr">
        <is>
          <t>ÖREBRO LÄN</t>
        </is>
      </c>
      <c r="E285" t="inlineStr">
        <is>
          <t>ÖREBRO</t>
        </is>
      </c>
      <c r="F285" t="inlineStr">
        <is>
          <t>Kommuner</t>
        </is>
      </c>
      <c r="G285" t="n">
        <v>7.2</v>
      </c>
      <c r="H285" t="n">
        <v>0</v>
      </c>
      <c r="I285" t="n">
        <v>0</v>
      </c>
      <c r="J285" t="n">
        <v>0</v>
      </c>
      <c r="K285" t="n">
        <v>0</v>
      </c>
      <c r="L285" t="n">
        <v>0</v>
      </c>
      <c r="M285" t="n">
        <v>0</v>
      </c>
      <c r="N285" t="n">
        <v>0</v>
      </c>
      <c r="O285" t="n">
        <v>0</v>
      </c>
      <c r="P285" t="n">
        <v>0</v>
      </c>
      <c r="Q285" t="n">
        <v>0</v>
      </c>
      <c r="R285" s="2" t="inlineStr"/>
    </row>
    <row r="286" ht="15" customHeight="1">
      <c r="A286" t="inlineStr">
        <is>
          <t>A 7220-2026</t>
        </is>
      </c>
      <c r="B286" s="1" t="n">
        <v>46058.56126157408</v>
      </c>
      <c r="C286" s="1" t="n">
        <v>46092</v>
      </c>
      <c r="D286" t="inlineStr">
        <is>
          <t>ÖREBRO LÄN</t>
        </is>
      </c>
      <c r="E286" t="inlineStr">
        <is>
          <t>ÖREBRO</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7227-2026</t>
        </is>
      </c>
      <c r="B287" s="1" t="n">
        <v>46058.56858796296</v>
      </c>
      <c r="C287" s="1" t="n">
        <v>46092</v>
      </c>
      <c r="D287" t="inlineStr">
        <is>
          <t>ÖREBRO LÄN</t>
        </is>
      </c>
      <c r="E287" t="inlineStr">
        <is>
          <t>ÖREBRO</t>
        </is>
      </c>
      <c r="F287" t="inlineStr">
        <is>
          <t>Övriga Aktiebolag</t>
        </is>
      </c>
      <c r="G287" t="n">
        <v>0.7</v>
      </c>
      <c r="H287" t="n">
        <v>0</v>
      </c>
      <c r="I287" t="n">
        <v>0</v>
      </c>
      <c r="J287" t="n">
        <v>0</v>
      </c>
      <c r="K287" t="n">
        <v>0</v>
      </c>
      <c r="L287" t="n">
        <v>0</v>
      </c>
      <c r="M287" t="n">
        <v>0</v>
      </c>
      <c r="N287" t="n">
        <v>0</v>
      </c>
      <c r="O287" t="n">
        <v>0</v>
      </c>
      <c r="P287" t="n">
        <v>0</v>
      </c>
      <c r="Q287" t="n">
        <v>0</v>
      </c>
      <c r="R287" s="2" t="inlineStr"/>
    </row>
    <row r="288" ht="15" customHeight="1">
      <c r="A288" t="inlineStr">
        <is>
          <t>A 7550-2026</t>
        </is>
      </c>
      <c r="B288" s="1" t="n">
        <v>46059.68496527777</v>
      </c>
      <c r="C288" s="1" t="n">
        <v>46092</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64018-2025</t>
        </is>
      </c>
      <c r="B289" s="1" t="n">
        <v>46021.4546412037</v>
      </c>
      <c r="C289" s="1" t="n">
        <v>46092</v>
      </c>
      <c r="D289" t="inlineStr">
        <is>
          <t>ÖREBRO LÄN</t>
        </is>
      </c>
      <c r="E289" t="inlineStr">
        <is>
          <t>ÖREBRO</t>
        </is>
      </c>
      <c r="G289" t="n">
        <v>2.9</v>
      </c>
      <c r="H289" t="n">
        <v>0</v>
      </c>
      <c r="I289" t="n">
        <v>0</v>
      </c>
      <c r="J289" t="n">
        <v>0</v>
      </c>
      <c r="K289" t="n">
        <v>0</v>
      </c>
      <c r="L289" t="n">
        <v>0</v>
      </c>
      <c r="M289" t="n">
        <v>0</v>
      </c>
      <c r="N289" t="n">
        <v>0</v>
      </c>
      <c r="O289" t="n">
        <v>0</v>
      </c>
      <c r="P289" t="n">
        <v>0</v>
      </c>
      <c r="Q289" t="n">
        <v>0</v>
      </c>
      <c r="R289" s="2" t="inlineStr"/>
    </row>
    <row r="290" ht="15" customHeight="1">
      <c r="A290" t="inlineStr">
        <is>
          <t>A 45027-2024</t>
        </is>
      </c>
      <c r="B290" s="1" t="n">
        <v>45575</v>
      </c>
      <c r="C290" s="1" t="n">
        <v>46092</v>
      </c>
      <c r="D290" t="inlineStr">
        <is>
          <t>ÖREBRO LÄN</t>
        </is>
      </c>
      <c r="E290" t="inlineStr">
        <is>
          <t>ÖREBRO</t>
        </is>
      </c>
      <c r="G290" t="n">
        <v>6.3</v>
      </c>
      <c r="H290" t="n">
        <v>0</v>
      </c>
      <c r="I290" t="n">
        <v>0</v>
      </c>
      <c r="J290" t="n">
        <v>0</v>
      </c>
      <c r="K290" t="n">
        <v>0</v>
      </c>
      <c r="L290" t="n">
        <v>0</v>
      </c>
      <c r="M290" t="n">
        <v>0</v>
      </c>
      <c r="N290" t="n">
        <v>0</v>
      </c>
      <c r="O290" t="n">
        <v>0</v>
      </c>
      <c r="P290" t="n">
        <v>0</v>
      </c>
      <c r="Q290" t="n">
        <v>0</v>
      </c>
      <c r="R290" s="2" t="inlineStr"/>
    </row>
    <row r="291" ht="15" customHeight="1">
      <c r="A291" t="inlineStr">
        <is>
          <t>A 6254-2026</t>
        </is>
      </c>
      <c r="B291" s="1" t="n">
        <v>46055</v>
      </c>
      <c r="C291" s="1" t="n">
        <v>46092</v>
      </c>
      <c r="D291" t="inlineStr">
        <is>
          <t>ÖREBRO LÄN</t>
        </is>
      </c>
      <c r="E291" t="inlineStr">
        <is>
          <t>ÖREBRO</t>
        </is>
      </c>
      <c r="G291" t="n">
        <v>2.8</v>
      </c>
      <c r="H291" t="n">
        <v>0</v>
      </c>
      <c r="I291" t="n">
        <v>0</v>
      </c>
      <c r="J291" t="n">
        <v>0</v>
      </c>
      <c r="K291" t="n">
        <v>0</v>
      </c>
      <c r="L291" t="n">
        <v>0</v>
      </c>
      <c r="M291" t="n">
        <v>0</v>
      </c>
      <c r="N291" t="n">
        <v>0</v>
      </c>
      <c r="O291" t="n">
        <v>0</v>
      </c>
      <c r="P291" t="n">
        <v>0</v>
      </c>
      <c r="Q291" t="n">
        <v>0</v>
      </c>
      <c r="R291" s="2" t="inlineStr"/>
    </row>
    <row r="292" ht="15" customHeight="1">
      <c r="A292" t="inlineStr">
        <is>
          <t>A 16140-2023</t>
        </is>
      </c>
      <c r="B292" s="1" t="n">
        <v>45027.6433912037</v>
      </c>
      <c r="C292" s="1" t="n">
        <v>46092</v>
      </c>
      <c r="D292" t="inlineStr">
        <is>
          <t>ÖREBRO LÄN</t>
        </is>
      </c>
      <c r="E292" t="inlineStr">
        <is>
          <t>ÖREBRO</t>
        </is>
      </c>
      <c r="G292" t="n">
        <v>2</v>
      </c>
      <c r="H292" t="n">
        <v>0</v>
      </c>
      <c r="I292" t="n">
        <v>0</v>
      </c>
      <c r="J292" t="n">
        <v>0</v>
      </c>
      <c r="K292" t="n">
        <v>0</v>
      </c>
      <c r="L292" t="n">
        <v>0</v>
      </c>
      <c r="M292" t="n">
        <v>0</v>
      </c>
      <c r="N292" t="n">
        <v>0</v>
      </c>
      <c r="O292" t="n">
        <v>0</v>
      </c>
      <c r="P292" t="n">
        <v>0</v>
      </c>
      <c r="Q292" t="n">
        <v>0</v>
      </c>
      <c r="R292" s="2" t="inlineStr"/>
    </row>
    <row r="293" ht="15" customHeight="1">
      <c r="A293" t="inlineStr">
        <is>
          <t>A 64019-2025</t>
        </is>
      </c>
      <c r="B293" s="1" t="n">
        <v>46021.45914351852</v>
      </c>
      <c r="C293" s="1" t="n">
        <v>46092</v>
      </c>
      <c r="D293" t="inlineStr">
        <is>
          <t>ÖREBRO LÄN</t>
        </is>
      </c>
      <c r="E293" t="inlineStr">
        <is>
          <t>ÖREBRO</t>
        </is>
      </c>
      <c r="G293" t="n">
        <v>2</v>
      </c>
      <c r="H293" t="n">
        <v>0</v>
      </c>
      <c r="I293" t="n">
        <v>0</v>
      </c>
      <c r="J293" t="n">
        <v>0</v>
      </c>
      <c r="K293" t="n">
        <v>0</v>
      </c>
      <c r="L293" t="n">
        <v>0</v>
      </c>
      <c r="M293" t="n">
        <v>0</v>
      </c>
      <c r="N293" t="n">
        <v>0</v>
      </c>
      <c r="O293" t="n">
        <v>0</v>
      </c>
      <c r="P293" t="n">
        <v>0</v>
      </c>
      <c r="Q293" t="n">
        <v>0</v>
      </c>
      <c r="R293" s="2" t="inlineStr"/>
    </row>
    <row r="294" ht="15" customHeight="1">
      <c r="A294" t="inlineStr">
        <is>
          <t>A 52391-2024</t>
        </is>
      </c>
      <c r="B294" s="1" t="n">
        <v>45609.43180555556</v>
      </c>
      <c r="C294" s="1" t="n">
        <v>46092</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52401-2024</t>
        </is>
      </c>
      <c r="B295" s="1" t="n">
        <v>45609.44553240741</v>
      </c>
      <c r="C295" s="1" t="n">
        <v>46092</v>
      </c>
      <c r="D295" t="inlineStr">
        <is>
          <t>ÖREBRO LÄN</t>
        </is>
      </c>
      <c r="E295" t="inlineStr">
        <is>
          <t>ÖREBRO</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26338-2021</t>
        </is>
      </c>
      <c r="B296" s="1" t="n">
        <v>44347</v>
      </c>
      <c r="C296" s="1" t="n">
        <v>46092</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53234-2023</t>
        </is>
      </c>
      <c r="B297" s="1" t="n">
        <v>45229</v>
      </c>
      <c r="C297" s="1" t="n">
        <v>46092</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8461-2026</t>
        </is>
      </c>
      <c r="B298" s="1" t="n">
        <v>46065.42981481482</v>
      </c>
      <c r="C298" s="1" t="n">
        <v>46092</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59757-2023</t>
        </is>
      </c>
      <c r="B299" s="1" t="n">
        <v>45257.40833333333</v>
      </c>
      <c r="C299" s="1" t="n">
        <v>46092</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8677-2026</t>
        </is>
      </c>
      <c r="B300" s="1" t="n">
        <v>46066.40994212963</v>
      </c>
      <c r="C300" s="1" t="n">
        <v>46092</v>
      </c>
      <c r="D300" t="inlineStr">
        <is>
          <t>ÖREBRO LÄN</t>
        </is>
      </c>
      <c r="E300" t="inlineStr">
        <is>
          <t>ÖREBRO</t>
        </is>
      </c>
      <c r="G300" t="n">
        <v>2.6</v>
      </c>
      <c r="H300" t="n">
        <v>0</v>
      </c>
      <c r="I300" t="n">
        <v>0</v>
      </c>
      <c r="J300" t="n">
        <v>0</v>
      </c>
      <c r="K300" t="n">
        <v>0</v>
      </c>
      <c r="L300" t="n">
        <v>0</v>
      </c>
      <c r="M300" t="n">
        <v>0</v>
      </c>
      <c r="N300" t="n">
        <v>0</v>
      </c>
      <c r="O300" t="n">
        <v>0</v>
      </c>
      <c r="P300" t="n">
        <v>0</v>
      </c>
      <c r="Q300" t="n">
        <v>0</v>
      </c>
      <c r="R300" s="2" t="inlineStr"/>
    </row>
    <row r="301" ht="15" customHeight="1">
      <c r="A301" t="inlineStr">
        <is>
          <t>A 8662-2026</t>
        </is>
      </c>
      <c r="B301" s="1" t="n">
        <v>46066.38112268518</v>
      </c>
      <c r="C301" s="1" t="n">
        <v>46092</v>
      </c>
      <c r="D301" t="inlineStr">
        <is>
          <t>ÖREBRO LÄN</t>
        </is>
      </c>
      <c r="E301" t="inlineStr">
        <is>
          <t>ÖREBRO</t>
        </is>
      </c>
      <c r="G301" t="n">
        <v>3.2</v>
      </c>
      <c r="H301" t="n">
        <v>0</v>
      </c>
      <c r="I301" t="n">
        <v>0</v>
      </c>
      <c r="J301" t="n">
        <v>0</v>
      </c>
      <c r="K301" t="n">
        <v>0</v>
      </c>
      <c r="L301" t="n">
        <v>0</v>
      </c>
      <c r="M301" t="n">
        <v>0</v>
      </c>
      <c r="N301" t="n">
        <v>0</v>
      </c>
      <c r="O301" t="n">
        <v>0</v>
      </c>
      <c r="P301" t="n">
        <v>0</v>
      </c>
      <c r="Q301" t="n">
        <v>0</v>
      </c>
      <c r="R301" s="2" t="inlineStr"/>
    </row>
    <row r="302" ht="15" customHeight="1">
      <c r="A302" t="inlineStr">
        <is>
          <t>A 11067-2025</t>
        </is>
      </c>
      <c r="B302" s="1" t="n">
        <v>45723</v>
      </c>
      <c r="C302" s="1" t="n">
        <v>46092</v>
      </c>
      <c r="D302" t="inlineStr">
        <is>
          <t>ÖREBRO LÄN</t>
        </is>
      </c>
      <c r="E302" t="inlineStr">
        <is>
          <t>ÖREBRO</t>
        </is>
      </c>
      <c r="G302" t="n">
        <v>3.1</v>
      </c>
      <c r="H302" t="n">
        <v>0</v>
      </c>
      <c r="I302" t="n">
        <v>0</v>
      </c>
      <c r="J302" t="n">
        <v>0</v>
      </c>
      <c r="K302" t="n">
        <v>0</v>
      </c>
      <c r="L302" t="n">
        <v>0</v>
      </c>
      <c r="M302" t="n">
        <v>0</v>
      </c>
      <c r="N302" t="n">
        <v>0</v>
      </c>
      <c r="O302" t="n">
        <v>0</v>
      </c>
      <c r="P302" t="n">
        <v>0</v>
      </c>
      <c r="Q302" t="n">
        <v>0</v>
      </c>
      <c r="R302" s="2" t="inlineStr"/>
    </row>
    <row r="303" ht="15" customHeight="1">
      <c r="A303" t="inlineStr">
        <is>
          <t>A 3659-2025</t>
        </is>
      </c>
      <c r="B303" s="1" t="n">
        <v>45681</v>
      </c>
      <c r="C303" s="1" t="n">
        <v>46092</v>
      </c>
      <c r="D303" t="inlineStr">
        <is>
          <t>ÖREBRO LÄN</t>
        </is>
      </c>
      <c r="E303" t="inlineStr">
        <is>
          <t>ÖREBRO</t>
        </is>
      </c>
      <c r="G303" t="n">
        <v>15.8</v>
      </c>
      <c r="H303" t="n">
        <v>0</v>
      </c>
      <c r="I303" t="n">
        <v>0</v>
      </c>
      <c r="J303" t="n">
        <v>0</v>
      </c>
      <c r="K303" t="n">
        <v>0</v>
      </c>
      <c r="L303" t="n">
        <v>0</v>
      </c>
      <c r="M303" t="n">
        <v>0</v>
      </c>
      <c r="N303" t="n">
        <v>0</v>
      </c>
      <c r="O303" t="n">
        <v>0</v>
      </c>
      <c r="P303" t="n">
        <v>0</v>
      </c>
      <c r="Q303" t="n">
        <v>0</v>
      </c>
      <c r="R303" s="2" t="inlineStr"/>
    </row>
    <row r="304" ht="15" customHeight="1">
      <c r="A304" t="inlineStr">
        <is>
          <t>A 13347-2023</t>
        </is>
      </c>
      <c r="B304" s="1" t="n">
        <v>45004</v>
      </c>
      <c r="C304" s="1" t="n">
        <v>46092</v>
      </c>
      <c r="D304" t="inlineStr">
        <is>
          <t>ÖREBRO LÄN</t>
        </is>
      </c>
      <c r="E304" t="inlineStr">
        <is>
          <t>ÖREBRO</t>
        </is>
      </c>
      <c r="G304" t="n">
        <v>1.3</v>
      </c>
      <c r="H304" t="n">
        <v>0</v>
      </c>
      <c r="I304" t="n">
        <v>0</v>
      </c>
      <c r="J304" t="n">
        <v>0</v>
      </c>
      <c r="K304" t="n">
        <v>0</v>
      </c>
      <c r="L304" t="n">
        <v>0</v>
      </c>
      <c r="M304" t="n">
        <v>0</v>
      </c>
      <c r="N304" t="n">
        <v>0</v>
      </c>
      <c r="O304" t="n">
        <v>0</v>
      </c>
      <c r="P304" t="n">
        <v>0</v>
      </c>
      <c r="Q304" t="n">
        <v>0</v>
      </c>
      <c r="R304" s="2" t="inlineStr"/>
    </row>
    <row r="305" ht="15" customHeight="1">
      <c r="A305" t="inlineStr">
        <is>
          <t>A 6752-2022</t>
        </is>
      </c>
      <c r="B305" s="1" t="n">
        <v>44602.48082175926</v>
      </c>
      <c r="C305" s="1" t="n">
        <v>46092</v>
      </c>
      <c r="D305" t="inlineStr">
        <is>
          <t>ÖREBRO LÄN</t>
        </is>
      </c>
      <c r="E305" t="inlineStr">
        <is>
          <t>ÖREBRO</t>
        </is>
      </c>
      <c r="G305" t="n">
        <v>3.1</v>
      </c>
      <c r="H305" t="n">
        <v>0</v>
      </c>
      <c r="I305" t="n">
        <v>0</v>
      </c>
      <c r="J305" t="n">
        <v>0</v>
      </c>
      <c r="K305" t="n">
        <v>0</v>
      </c>
      <c r="L305" t="n">
        <v>0</v>
      </c>
      <c r="M305" t="n">
        <v>0</v>
      </c>
      <c r="N305" t="n">
        <v>0</v>
      </c>
      <c r="O305" t="n">
        <v>0</v>
      </c>
      <c r="P305" t="n">
        <v>0</v>
      </c>
      <c r="Q305" t="n">
        <v>0</v>
      </c>
      <c r="R305" s="2" t="inlineStr"/>
    </row>
    <row r="306" ht="15" customHeight="1">
      <c r="A306" t="inlineStr">
        <is>
          <t>A 57867-2024</t>
        </is>
      </c>
      <c r="B306" s="1" t="n">
        <v>45631.43864583333</v>
      </c>
      <c r="C306" s="1" t="n">
        <v>46092</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46092</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14544-2023</t>
        </is>
      </c>
      <c r="B308" s="1" t="n">
        <v>45013</v>
      </c>
      <c r="C308" s="1" t="n">
        <v>46092</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9318-2026</t>
        </is>
      </c>
      <c r="B309" s="1" t="n">
        <v>46070.62585648148</v>
      </c>
      <c r="C309" s="1" t="n">
        <v>46092</v>
      </c>
      <c r="D309" t="inlineStr">
        <is>
          <t>ÖREBRO LÄN</t>
        </is>
      </c>
      <c r="E309" t="inlineStr">
        <is>
          <t>ÖREBRO</t>
        </is>
      </c>
      <c r="F309" t="inlineStr">
        <is>
          <t>Övriga Aktiebolag</t>
        </is>
      </c>
      <c r="G309" t="n">
        <v>2.7</v>
      </c>
      <c r="H309" t="n">
        <v>0</v>
      </c>
      <c r="I309" t="n">
        <v>0</v>
      </c>
      <c r="J309" t="n">
        <v>0</v>
      </c>
      <c r="K309" t="n">
        <v>0</v>
      </c>
      <c r="L309" t="n">
        <v>0</v>
      </c>
      <c r="M309" t="n">
        <v>0</v>
      </c>
      <c r="N309" t="n">
        <v>0</v>
      </c>
      <c r="O309" t="n">
        <v>0</v>
      </c>
      <c r="P309" t="n">
        <v>0</v>
      </c>
      <c r="Q309" t="n">
        <v>0</v>
      </c>
      <c r="R309" s="2" t="inlineStr"/>
    </row>
    <row r="310" ht="15" customHeight="1">
      <c r="A310" t="inlineStr">
        <is>
          <t>A 71272-2021</t>
        </is>
      </c>
      <c r="B310" s="1" t="n">
        <v>44539.61571759259</v>
      </c>
      <c r="C310" s="1" t="n">
        <v>46092</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27180-2025</t>
        </is>
      </c>
      <c r="B311" s="1" t="n">
        <v>45812.35736111111</v>
      </c>
      <c r="C311" s="1" t="n">
        <v>46092</v>
      </c>
      <c r="D311" t="inlineStr">
        <is>
          <t>ÖREBRO LÄN</t>
        </is>
      </c>
      <c r="E311" t="inlineStr">
        <is>
          <t>ÖREBRO</t>
        </is>
      </c>
      <c r="G311" t="n">
        <v>1.3</v>
      </c>
      <c r="H311" t="n">
        <v>0</v>
      </c>
      <c r="I311" t="n">
        <v>0</v>
      </c>
      <c r="J311" t="n">
        <v>0</v>
      </c>
      <c r="K311" t="n">
        <v>0</v>
      </c>
      <c r="L311" t="n">
        <v>0</v>
      </c>
      <c r="M311" t="n">
        <v>0</v>
      </c>
      <c r="N311" t="n">
        <v>0</v>
      </c>
      <c r="O311" t="n">
        <v>0</v>
      </c>
      <c r="P311" t="n">
        <v>0</v>
      </c>
      <c r="Q311" t="n">
        <v>0</v>
      </c>
      <c r="R311" s="2" t="inlineStr"/>
    </row>
    <row r="312" ht="15" customHeight="1">
      <c r="A312" t="inlineStr">
        <is>
          <t>A 27215-2025</t>
        </is>
      </c>
      <c r="B312" s="1" t="n">
        <v>45812.41869212963</v>
      </c>
      <c r="C312" s="1" t="n">
        <v>46092</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27225-2025</t>
        </is>
      </c>
      <c r="B313" s="1" t="n">
        <v>45812.42856481481</v>
      </c>
      <c r="C313" s="1" t="n">
        <v>46092</v>
      </c>
      <c r="D313" t="inlineStr">
        <is>
          <t>ÖREBRO LÄN</t>
        </is>
      </c>
      <c r="E313" t="inlineStr">
        <is>
          <t>ÖREBRO</t>
        </is>
      </c>
      <c r="G313" t="n">
        <v>4</v>
      </c>
      <c r="H313" t="n">
        <v>0</v>
      </c>
      <c r="I313" t="n">
        <v>0</v>
      </c>
      <c r="J313" t="n">
        <v>0</v>
      </c>
      <c r="K313" t="n">
        <v>0</v>
      </c>
      <c r="L313" t="n">
        <v>0</v>
      </c>
      <c r="M313" t="n">
        <v>0</v>
      </c>
      <c r="N313" t="n">
        <v>0</v>
      </c>
      <c r="O313" t="n">
        <v>0</v>
      </c>
      <c r="P313" t="n">
        <v>0</v>
      </c>
      <c r="Q313" t="n">
        <v>0</v>
      </c>
      <c r="R313" s="2" t="inlineStr"/>
    </row>
    <row r="314" ht="15" customHeight="1">
      <c r="A314" t="inlineStr">
        <is>
          <t>A 27220-2025</t>
        </is>
      </c>
      <c r="B314" s="1" t="n">
        <v>45812.42293981482</v>
      </c>
      <c r="C314" s="1" t="n">
        <v>46092</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3120-2022</t>
        </is>
      </c>
      <c r="B315" s="1" t="n">
        <v>44582</v>
      </c>
      <c r="C315" s="1" t="n">
        <v>46092</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28120-2025</t>
        </is>
      </c>
      <c r="B316" s="1" t="n">
        <v>45818.30459490741</v>
      </c>
      <c r="C316" s="1" t="n">
        <v>46092</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19388-2024</t>
        </is>
      </c>
      <c r="B317" s="1" t="n">
        <v>45429.37775462963</v>
      </c>
      <c r="C317" s="1" t="n">
        <v>46092</v>
      </c>
      <c r="D317" t="inlineStr">
        <is>
          <t>ÖREBRO LÄN</t>
        </is>
      </c>
      <c r="E317" t="inlineStr">
        <is>
          <t>ÖREBRO</t>
        </is>
      </c>
      <c r="G317" t="n">
        <v>4.3</v>
      </c>
      <c r="H317" t="n">
        <v>0</v>
      </c>
      <c r="I317" t="n">
        <v>0</v>
      </c>
      <c r="J317" t="n">
        <v>0</v>
      </c>
      <c r="K317" t="n">
        <v>0</v>
      </c>
      <c r="L317" t="n">
        <v>0</v>
      </c>
      <c r="M317" t="n">
        <v>0</v>
      </c>
      <c r="N317" t="n">
        <v>0</v>
      </c>
      <c r="O317" t="n">
        <v>0</v>
      </c>
      <c r="P317" t="n">
        <v>0</v>
      </c>
      <c r="Q317" t="n">
        <v>0</v>
      </c>
      <c r="R317" s="2" t="inlineStr"/>
    </row>
    <row r="318" ht="15" customHeight="1">
      <c r="A318" t="inlineStr">
        <is>
          <t>A 11663-2024</t>
        </is>
      </c>
      <c r="B318" s="1" t="n">
        <v>45373</v>
      </c>
      <c r="C318" s="1" t="n">
        <v>46092</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40597-2021</t>
        </is>
      </c>
      <c r="B319" s="1" t="n">
        <v>44420</v>
      </c>
      <c r="C319" s="1" t="n">
        <v>46092</v>
      </c>
      <c r="D319" t="inlineStr">
        <is>
          <t>ÖREBRO LÄN</t>
        </is>
      </c>
      <c r="E319" t="inlineStr">
        <is>
          <t>ÖREBRO</t>
        </is>
      </c>
      <c r="G319" t="n">
        <v>2.1</v>
      </c>
      <c r="H319" t="n">
        <v>0</v>
      </c>
      <c r="I319" t="n">
        <v>0</v>
      </c>
      <c r="J319" t="n">
        <v>0</v>
      </c>
      <c r="K319" t="n">
        <v>0</v>
      </c>
      <c r="L319" t="n">
        <v>0</v>
      </c>
      <c r="M319" t="n">
        <v>0</v>
      </c>
      <c r="N319" t="n">
        <v>0</v>
      </c>
      <c r="O319" t="n">
        <v>0</v>
      </c>
      <c r="P319" t="n">
        <v>0</v>
      </c>
      <c r="Q319" t="n">
        <v>0</v>
      </c>
      <c r="R319" s="2" t="inlineStr"/>
    </row>
    <row r="320" ht="15" customHeight="1">
      <c r="A320" t="inlineStr">
        <is>
          <t>A 48454-2025</t>
        </is>
      </c>
      <c r="B320" s="1" t="n">
        <v>45935.80164351852</v>
      </c>
      <c r="C320" s="1" t="n">
        <v>46092</v>
      </c>
      <c r="D320" t="inlineStr">
        <is>
          <t>ÖREBRO LÄN</t>
        </is>
      </c>
      <c r="E320" t="inlineStr">
        <is>
          <t>ÖREBRO</t>
        </is>
      </c>
      <c r="F320" t="inlineStr">
        <is>
          <t>Övriga Aktiebolag</t>
        </is>
      </c>
      <c r="G320" t="n">
        <v>18.1</v>
      </c>
      <c r="H320" t="n">
        <v>0</v>
      </c>
      <c r="I320" t="n">
        <v>0</v>
      </c>
      <c r="J320" t="n">
        <v>0</v>
      </c>
      <c r="K320" t="n">
        <v>0</v>
      </c>
      <c r="L320" t="n">
        <v>0</v>
      </c>
      <c r="M320" t="n">
        <v>0</v>
      </c>
      <c r="N320" t="n">
        <v>0</v>
      </c>
      <c r="O320" t="n">
        <v>0</v>
      </c>
      <c r="P320" t="n">
        <v>0</v>
      </c>
      <c r="Q320" t="n">
        <v>0</v>
      </c>
      <c r="R320" s="2" t="inlineStr"/>
    </row>
    <row r="321" ht="15" customHeight="1">
      <c r="A321" t="inlineStr">
        <is>
          <t>A 28938-2025</t>
        </is>
      </c>
      <c r="B321" s="1" t="n">
        <v>45820.70626157407</v>
      </c>
      <c r="C321" s="1" t="n">
        <v>46092</v>
      </c>
      <c r="D321" t="inlineStr">
        <is>
          <t>ÖREBRO LÄN</t>
        </is>
      </c>
      <c r="E321" t="inlineStr">
        <is>
          <t>ÖREBRO</t>
        </is>
      </c>
      <c r="G321" t="n">
        <v>1.9</v>
      </c>
      <c r="H321" t="n">
        <v>0</v>
      </c>
      <c r="I321" t="n">
        <v>0</v>
      </c>
      <c r="J321" t="n">
        <v>0</v>
      </c>
      <c r="K321" t="n">
        <v>0</v>
      </c>
      <c r="L321" t="n">
        <v>0</v>
      </c>
      <c r="M321" t="n">
        <v>0</v>
      </c>
      <c r="N321" t="n">
        <v>0</v>
      </c>
      <c r="O321" t="n">
        <v>0</v>
      </c>
      <c r="P321" t="n">
        <v>0</v>
      </c>
      <c r="Q321" t="n">
        <v>0</v>
      </c>
      <c r="R321" s="2" t="inlineStr"/>
    </row>
    <row r="322" ht="15" customHeight="1">
      <c r="A322" t="inlineStr">
        <is>
          <t>A 1153-2026</t>
        </is>
      </c>
      <c r="B322" s="1" t="n">
        <v>46031.30899305556</v>
      </c>
      <c r="C322" s="1" t="n">
        <v>46092</v>
      </c>
      <c r="D322" t="inlineStr">
        <is>
          <t>ÖREBRO LÄN</t>
        </is>
      </c>
      <c r="E322" t="inlineStr">
        <is>
          <t>ÖREBRO</t>
        </is>
      </c>
      <c r="G322" t="n">
        <v>3.3</v>
      </c>
      <c r="H322" t="n">
        <v>0</v>
      </c>
      <c r="I322" t="n">
        <v>0</v>
      </c>
      <c r="J322" t="n">
        <v>0</v>
      </c>
      <c r="K322" t="n">
        <v>0</v>
      </c>
      <c r="L322" t="n">
        <v>0</v>
      </c>
      <c r="M322" t="n">
        <v>0</v>
      </c>
      <c r="N322" t="n">
        <v>0</v>
      </c>
      <c r="O322" t="n">
        <v>0</v>
      </c>
      <c r="P322" t="n">
        <v>0</v>
      </c>
      <c r="Q322" t="n">
        <v>0</v>
      </c>
      <c r="R322" s="2" t="inlineStr"/>
    </row>
    <row r="323" ht="15" customHeight="1">
      <c r="A323" t="inlineStr">
        <is>
          <t>A 2318-2023</t>
        </is>
      </c>
      <c r="B323" s="1" t="n">
        <v>44942</v>
      </c>
      <c r="C323" s="1" t="n">
        <v>46092</v>
      </c>
      <c r="D323" t="inlineStr">
        <is>
          <t>ÖREBRO LÄN</t>
        </is>
      </c>
      <c r="E323" t="inlineStr">
        <is>
          <t>ÖREBRO</t>
        </is>
      </c>
      <c r="G323" t="n">
        <v>1.9</v>
      </c>
      <c r="H323" t="n">
        <v>0</v>
      </c>
      <c r="I323" t="n">
        <v>0</v>
      </c>
      <c r="J323" t="n">
        <v>0</v>
      </c>
      <c r="K323" t="n">
        <v>0</v>
      </c>
      <c r="L323" t="n">
        <v>0</v>
      </c>
      <c r="M323" t="n">
        <v>0</v>
      </c>
      <c r="N323" t="n">
        <v>0</v>
      </c>
      <c r="O323" t="n">
        <v>0</v>
      </c>
      <c r="P323" t="n">
        <v>0</v>
      </c>
      <c r="Q323" t="n">
        <v>0</v>
      </c>
      <c r="R323" s="2" t="inlineStr"/>
    </row>
    <row r="324" ht="15" customHeight="1">
      <c r="A324" t="inlineStr">
        <is>
          <t>A 20121-2024</t>
        </is>
      </c>
      <c r="B324" s="1" t="n">
        <v>45434</v>
      </c>
      <c r="C324" s="1" t="n">
        <v>46092</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20150-2024</t>
        </is>
      </c>
      <c r="B325" s="1" t="n">
        <v>45434.57969907407</v>
      </c>
      <c r="C325" s="1" t="n">
        <v>46092</v>
      </c>
      <c r="D325" t="inlineStr">
        <is>
          <t>ÖREBRO LÄN</t>
        </is>
      </c>
      <c r="E325" t="inlineStr">
        <is>
          <t>ÖREBRO</t>
        </is>
      </c>
      <c r="G325" t="n">
        <v>0.5</v>
      </c>
      <c r="H325" t="n">
        <v>0</v>
      </c>
      <c r="I325" t="n">
        <v>0</v>
      </c>
      <c r="J325" t="n">
        <v>0</v>
      </c>
      <c r="K325" t="n">
        <v>0</v>
      </c>
      <c r="L325" t="n">
        <v>0</v>
      </c>
      <c r="M325" t="n">
        <v>0</v>
      </c>
      <c r="N325" t="n">
        <v>0</v>
      </c>
      <c r="O325" t="n">
        <v>0</v>
      </c>
      <c r="P325" t="n">
        <v>0</v>
      </c>
      <c r="Q325" t="n">
        <v>0</v>
      </c>
      <c r="R325" s="2" t="inlineStr"/>
    </row>
    <row r="326" ht="15" customHeight="1">
      <c r="A326" t="inlineStr">
        <is>
          <t>A 767-2024</t>
        </is>
      </c>
      <c r="B326" s="1" t="n">
        <v>45300.51892361111</v>
      </c>
      <c r="C326" s="1" t="n">
        <v>46092</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28920-2025</t>
        </is>
      </c>
      <c r="B327" s="1" t="n">
        <v>45820.66532407407</v>
      </c>
      <c r="C327" s="1" t="n">
        <v>46092</v>
      </c>
      <c r="D327" t="inlineStr">
        <is>
          <t>ÖREBRO LÄN</t>
        </is>
      </c>
      <c r="E327" t="inlineStr">
        <is>
          <t>ÖREBRO</t>
        </is>
      </c>
      <c r="G327" t="n">
        <v>3</v>
      </c>
      <c r="H327" t="n">
        <v>0</v>
      </c>
      <c r="I327" t="n">
        <v>0</v>
      </c>
      <c r="J327" t="n">
        <v>0</v>
      </c>
      <c r="K327" t="n">
        <v>0</v>
      </c>
      <c r="L327" t="n">
        <v>0</v>
      </c>
      <c r="M327" t="n">
        <v>0</v>
      </c>
      <c r="N327" t="n">
        <v>0</v>
      </c>
      <c r="O327" t="n">
        <v>0</v>
      </c>
      <c r="P327" t="n">
        <v>0</v>
      </c>
      <c r="Q327" t="n">
        <v>0</v>
      </c>
      <c r="R327" s="2" t="inlineStr"/>
    </row>
    <row r="328" ht="15" customHeight="1">
      <c r="A328" t="inlineStr">
        <is>
          <t>A 52441-2024</t>
        </is>
      </c>
      <c r="B328" s="1" t="n">
        <v>45609.48451388889</v>
      </c>
      <c r="C328" s="1" t="n">
        <v>46092</v>
      </c>
      <c r="D328" t="inlineStr">
        <is>
          <t>ÖREBRO LÄN</t>
        </is>
      </c>
      <c r="E328" t="inlineStr">
        <is>
          <t>ÖREBRO</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29339-2025</t>
        </is>
      </c>
      <c r="B329" s="1" t="n">
        <v>45824.5044212963</v>
      </c>
      <c r="C329" s="1" t="n">
        <v>46092</v>
      </c>
      <c r="D329" t="inlineStr">
        <is>
          <t>ÖREBRO LÄN</t>
        </is>
      </c>
      <c r="E329" t="inlineStr">
        <is>
          <t>ÖREBRO</t>
        </is>
      </c>
      <c r="G329" t="n">
        <v>4.3</v>
      </c>
      <c r="H329" t="n">
        <v>0</v>
      </c>
      <c r="I329" t="n">
        <v>0</v>
      </c>
      <c r="J329" t="n">
        <v>0</v>
      </c>
      <c r="K329" t="n">
        <v>0</v>
      </c>
      <c r="L329" t="n">
        <v>0</v>
      </c>
      <c r="M329" t="n">
        <v>0</v>
      </c>
      <c r="N329" t="n">
        <v>0</v>
      </c>
      <c r="O329" t="n">
        <v>0</v>
      </c>
      <c r="P329" t="n">
        <v>0</v>
      </c>
      <c r="Q329" t="n">
        <v>0</v>
      </c>
      <c r="R329" s="2" t="inlineStr"/>
    </row>
    <row r="330" ht="15" customHeight="1">
      <c r="A330" t="inlineStr">
        <is>
          <t>A 60059-2023</t>
        </is>
      </c>
      <c r="B330" s="1" t="n">
        <v>45258.38157407408</v>
      </c>
      <c r="C330" s="1" t="n">
        <v>46092</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58611-2024</t>
        </is>
      </c>
      <c r="B331" s="1" t="n">
        <v>45635.55555555555</v>
      </c>
      <c r="C331" s="1" t="n">
        <v>46092</v>
      </c>
      <c r="D331" t="inlineStr">
        <is>
          <t>ÖREBRO LÄN</t>
        </is>
      </c>
      <c r="E331" t="inlineStr">
        <is>
          <t>ÖREBRO</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26858-2024</t>
        </is>
      </c>
      <c r="B332" s="1" t="n">
        <v>45470</v>
      </c>
      <c r="C332" s="1" t="n">
        <v>46092</v>
      </c>
      <c r="D332" t="inlineStr">
        <is>
          <t>ÖREBRO LÄN</t>
        </is>
      </c>
      <c r="E332" t="inlineStr">
        <is>
          <t>ÖREBRO</t>
        </is>
      </c>
      <c r="G332" t="n">
        <v>2.3</v>
      </c>
      <c r="H332" t="n">
        <v>0</v>
      </c>
      <c r="I332" t="n">
        <v>0</v>
      </c>
      <c r="J332" t="n">
        <v>0</v>
      </c>
      <c r="K332" t="n">
        <v>0</v>
      </c>
      <c r="L332" t="n">
        <v>0</v>
      </c>
      <c r="M332" t="n">
        <v>0</v>
      </c>
      <c r="N332" t="n">
        <v>0</v>
      </c>
      <c r="O332" t="n">
        <v>0</v>
      </c>
      <c r="P332" t="n">
        <v>0</v>
      </c>
      <c r="Q332" t="n">
        <v>0</v>
      </c>
      <c r="R332" s="2" t="inlineStr"/>
    </row>
    <row r="333" ht="15" customHeight="1">
      <c r="A333" t="inlineStr">
        <is>
          <t>A 29701-2025</t>
        </is>
      </c>
      <c r="B333" s="1" t="n">
        <v>45825.55261574074</v>
      </c>
      <c r="C333" s="1" t="n">
        <v>46092</v>
      </c>
      <c r="D333" t="inlineStr">
        <is>
          <t>ÖREBRO LÄN</t>
        </is>
      </c>
      <c r="E333" t="inlineStr">
        <is>
          <t>ÖREBRO</t>
        </is>
      </c>
      <c r="G333" t="n">
        <v>5.8</v>
      </c>
      <c r="H333" t="n">
        <v>0</v>
      </c>
      <c r="I333" t="n">
        <v>0</v>
      </c>
      <c r="J333" t="n">
        <v>0</v>
      </c>
      <c r="K333" t="n">
        <v>0</v>
      </c>
      <c r="L333" t="n">
        <v>0</v>
      </c>
      <c r="M333" t="n">
        <v>0</v>
      </c>
      <c r="N333" t="n">
        <v>0</v>
      </c>
      <c r="O333" t="n">
        <v>0</v>
      </c>
      <c r="P333" t="n">
        <v>0</v>
      </c>
      <c r="Q333" t="n">
        <v>0</v>
      </c>
      <c r="R333" s="2" t="inlineStr"/>
    </row>
    <row r="334" ht="15" customHeight="1">
      <c r="A334" t="inlineStr">
        <is>
          <t>A 29286-2025</t>
        </is>
      </c>
      <c r="B334" s="1" t="n">
        <v>45824.43502314815</v>
      </c>
      <c r="C334" s="1" t="n">
        <v>46092</v>
      </c>
      <c r="D334" t="inlineStr">
        <is>
          <t>ÖREBRO LÄN</t>
        </is>
      </c>
      <c r="E334" t="inlineStr">
        <is>
          <t>ÖREBRO</t>
        </is>
      </c>
      <c r="G334" t="n">
        <v>1.2</v>
      </c>
      <c r="H334" t="n">
        <v>0</v>
      </c>
      <c r="I334" t="n">
        <v>0</v>
      </c>
      <c r="J334" t="n">
        <v>0</v>
      </c>
      <c r="K334" t="n">
        <v>0</v>
      </c>
      <c r="L334" t="n">
        <v>0</v>
      </c>
      <c r="M334" t="n">
        <v>0</v>
      </c>
      <c r="N334" t="n">
        <v>0</v>
      </c>
      <c r="O334" t="n">
        <v>0</v>
      </c>
      <c r="P334" t="n">
        <v>0</v>
      </c>
      <c r="Q334" t="n">
        <v>0</v>
      </c>
      <c r="R334" s="2" t="inlineStr"/>
    </row>
    <row r="335" ht="15" customHeight="1">
      <c r="A335" t="inlineStr">
        <is>
          <t>A 38075-2022</t>
        </is>
      </c>
      <c r="B335" s="1" t="n">
        <v>44811</v>
      </c>
      <c r="C335" s="1" t="n">
        <v>46092</v>
      </c>
      <c r="D335" t="inlineStr">
        <is>
          <t>ÖREBRO LÄN</t>
        </is>
      </c>
      <c r="E335" t="inlineStr">
        <is>
          <t>ÖREBRO</t>
        </is>
      </c>
      <c r="G335" t="n">
        <v>0.2</v>
      </c>
      <c r="H335" t="n">
        <v>0</v>
      </c>
      <c r="I335" t="n">
        <v>0</v>
      </c>
      <c r="J335" t="n">
        <v>0</v>
      </c>
      <c r="K335" t="n">
        <v>0</v>
      </c>
      <c r="L335" t="n">
        <v>0</v>
      </c>
      <c r="M335" t="n">
        <v>0</v>
      </c>
      <c r="N335" t="n">
        <v>0</v>
      </c>
      <c r="O335" t="n">
        <v>0</v>
      </c>
      <c r="P335" t="n">
        <v>0</v>
      </c>
      <c r="Q335" t="n">
        <v>0</v>
      </c>
      <c r="R335" s="2" t="inlineStr"/>
    </row>
    <row r="336" ht="15" customHeight="1">
      <c r="A336" t="inlineStr">
        <is>
          <t>A 19831-2021</t>
        </is>
      </c>
      <c r="B336" s="1" t="n">
        <v>44313</v>
      </c>
      <c r="C336" s="1" t="n">
        <v>46092</v>
      </c>
      <c r="D336" t="inlineStr">
        <is>
          <t>ÖREBRO LÄN</t>
        </is>
      </c>
      <c r="E336" t="inlineStr">
        <is>
          <t>ÖREBRO</t>
        </is>
      </c>
      <c r="G336" t="n">
        <v>3.2</v>
      </c>
      <c r="H336" t="n">
        <v>0</v>
      </c>
      <c r="I336" t="n">
        <v>0</v>
      </c>
      <c r="J336" t="n">
        <v>0</v>
      </c>
      <c r="K336" t="n">
        <v>0</v>
      </c>
      <c r="L336" t="n">
        <v>0</v>
      </c>
      <c r="M336" t="n">
        <v>0</v>
      </c>
      <c r="N336" t="n">
        <v>0</v>
      </c>
      <c r="O336" t="n">
        <v>0</v>
      </c>
      <c r="P336" t="n">
        <v>0</v>
      </c>
      <c r="Q336" t="n">
        <v>0</v>
      </c>
      <c r="R336" s="2" t="inlineStr"/>
    </row>
    <row r="337" ht="15" customHeight="1">
      <c r="A337" t="inlineStr">
        <is>
          <t>A 18550-2025</t>
        </is>
      </c>
      <c r="B337" s="1" t="n">
        <v>45763</v>
      </c>
      <c r="C337" s="1" t="n">
        <v>46092</v>
      </c>
      <c r="D337" t="inlineStr">
        <is>
          <t>ÖREBRO LÄN</t>
        </is>
      </c>
      <c r="E337" t="inlineStr">
        <is>
          <t>ÖREBRO</t>
        </is>
      </c>
      <c r="G337" t="n">
        <v>11.5</v>
      </c>
      <c r="H337" t="n">
        <v>0</v>
      </c>
      <c r="I337" t="n">
        <v>0</v>
      </c>
      <c r="J337" t="n">
        <v>0</v>
      </c>
      <c r="K337" t="n">
        <v>0</v>
      </c>
      <c r="L337" t="n">
        <v>0</v>
      </c>
      <c r="M337" t="n">
        <v>0</v>
      </c>
      <c r="N337" t="n">
        <v>0</v>
      </c>
      <c r="O337" t="n">
        <v>0</v>
      </c>
      <c r="P337" t="n">
        <v>0</v>
      </c>
      <c r="Q337" t="n">
        <v>0</v>
      </c>
      <c r="R337" s="2" t="inlineStr"/>
    </row>
    <row r="338" ht="15" customHeight="1">
      <c r="A338" t="inlineStr">
        <is>
          <t>A 5133-2024</t>
        </is>
      </c>
      <c r="B338" s="1" t="n">
        <v>45330</v>
      </c>
      <c r="C338" s="1" t="n">
        <v>46092</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58219-2024</t>
        </is>
      </c>
      <c r="B339" s="1" t="n">
        <v>45632</v>
      </c>
      <c r="C339" s="1" t="n">
        <v>46092</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52477-2024</t>
        </is>
      </c>
      <c r="B340" s="1" t="n">
        <v>45609</v>
      </c>
      <c r="C340" s="1" t="n">
        <v>46092</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10108-2026</t>
        </is>
      </c>
      <c r="B341" s="1" t="n">
        <v>46074.64310185185</v>
      </c>
      <c r="C341" s="1" t="n">
        <v>46092</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4284-2025</t>
        </is>
      </c>
      <c r="B342" s="1" t="n">
        <v>45685</v>
      </c>
      <c r="C342" s="1" t="n">
        <v>46092</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2771-2023</t>
        </is>
      </c>
      <c r="B343" s="1" t="n">
        <v>44944.64704861111</v>
      </c>
      <c r="C343" s="1" t="n">
        <v>46092</v>
      </c>
      <c r="D343" t="inlineStr">
        <is>
          <t>ÖREBRO LÄN</t>
        </is>
      </c>
      <c r="E343" t="inlineStr">
        <is>
          <t>ÖREBRO</t>
        </is>
      </c>
      <c r="G343" t="n">
        <v>15.4</v>
      </c>
      <c r="H343" t="n">
        <v>0</v>
      </c>
      <c r="I343" t="n">
        <v>0</v>
      </c>
      <c r="J343" t="n">
        <v>0</v>
      </c>
      <c r="K343" t="n">
        <v>0</v>
      </c>
      <c r="L343" t="n">
        <v>0</v>
      </c>
      <c r="M343" t="n">
        <v>0</v>
      </c>
      <c r="N343" t="n">
        <v>0</v>
      </c>
      <c r="O343" t="n">
        <v>0</v>
      </c>
      <c r="P343" t="n">
        <v>0</v>
      </c>
      <c r="Q343" t="n">
        <v>0</v>
      </c>
      <c r="R343" s="2" t="inlineStr"/>
    </row>
    <row r="344" ht="15" customHeight="1">
      <c r="A344" t="inlineStr">
        <is>
          <t>A 30550-2025</t>
        </is>
      </c>
      <c r="B344" s="1" t="n">
        <v>45831.38224537037</v>
      </c>
      <c r="C344" s="1" t="n">
        <v>46092</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2076-2025</t>
        </is>
      </c>
      <c r="B345" s="1" t="n">
        <v>45672</v>
      </c>
      <c r="C345" s="1" t="n">
        <v>46092</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50311-2025</t>
        </is>
      </c>
      <c r="B346" s="1" t="n">
        <v>45944</v>
      </c>
      <c r="C346" s="1" t="n">
        <v>46092</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30731-2025</t>
        </is>
      </c>
      <c r="B347" s="1" t="n">
        <v>45831.57280092593</v>
      </c>
      <c r="C347" s="1" t="n">
        <v>46092</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2162-2026</t>
        </is>
      </c>
      <c r="B348" s="1" t="n">
        <v>46036.43479166667</v>
      </c>
      <c r="C348" s="1" t="n">
        <v>46092</v>
      </c>
      <c r="D348" t="inlineStr">
        <is>
          <t>ÖREBRO LÄN</t>
        </is>
      </c>
      <c r="E348" t="inlineStr">
        <is>
          <t>ÖREBRO</t>
        </is>
      </c>
      <c r="G348" t="n">
        <v>0.5</v>
      </c>
      <c r="H348" t="n">
        <v>0</v>
      </c>
      <c r="I348" t="n">
        <v>0</v>
      </c>
      <c r="J348" t="n">
        <v>0</v>
      </c>
      <c r="K348" t="n">
        <v>0</v>
      </c>
      <c r="L348" t="n">
        <v>0</v>
      </c>
      <c r="M348" t="n">
        <v>0</v>
      </c>
      <c r="N348" t="n">
        <v>0</v>
      </c>
      <c r="O348" t="n">
        <v>0</v>
      </c>
      <c r="P348" t="n">
        <v>0</v>
      </c>
      <c r="Q348" t="n">
        <v>0</v>
      </c>
      <c r="R348" s="2" t="inlineStr"/>
    </row>
    <row r="349" ht="15" customHeight="1">
      <c r="A349" t="inlineStr">
        <is>
          <t>A 10972-2026</t>
        </is>
      </c>
      <c r="B349" s="1" t="n">
        <v>46079.45015046297</v>
      </c>
      <c r="C349" s="1" t="n">
        <v>46092</v>
      </c>
      <c r="D349" t="inlineStr">
        <is>
          <t>ÖREBRO LÄN</t>
        </is>
      </c>
      <c r="E349" t="inlineStr">
        <is>
          <t>ÖREBRO</t>
        </is>
      </c>
      <c r="G349" t="n">
        <v>1.7</v>
      </c>
      <c r="H349" t="n">
        <v>0</v>
      </c>
      <c r="I349" t="n">
        <v>0</v>
      </c>
      <c r="J349" t="n">
        <v>0</v>
      </c>
      <c r="K349" t="n">
        <v>0</v>
      </c>
      <c r="L349" t="n">
        <v>0</v>
      </c>
      <c r="M349" t="n">
        <v>0</v>
      </c>
      <c r="N349" t="n">
        <v>0</v>
      </c>
      <c r="O349" t="n">
        <v>0</v>
      </c>
      <c r="P349" t="n">
        <v>0</v>
      </c>
      <c r="Q349" t="n">
        <v>0</v>
      </c>
      <c r="R349" s="2" t="inlineStr"/>
    </row>
    <row r="350" ht="15" customHeight="1">
      <c r="A350" t="inlineStr">
        <is>
          <t>A 10970-2026</t>
        </is>
      </c>
      <c r="B350" s="1" t="n">
        <v>46079.44788194444</v>
      </c>
      <c r="C350" s="1" t="n">
        <v>46092</v>
      </c>
      <c r="D350" t="inlineStr">
        <is>
          <t>ÖREBRO LÄN</t>
        </is>
      </c>
      <c r="E350" t="inlineStr">
        <is>
          <t>ÖREBRO</t>
        </is>
      </c>
      <c r="G350" t="n">
        <v>6.5</v>
      </c>
      <c r="H350" t="n">
        <v>0</v>
      </c>
      <c r="I350" t="n">
        <v>0</v>
      </c>
      <c r="J350" t="n">
        <v>0</v>
      </c>
      <c r="K350" t="n">
        <v>0</v>
      </c>
      <c r="L350" t="n">
        <v>0</v>
      </c>
      <c r="M350" t="n">
        <v>0</v>
      </c>
      <c r="N350" t="n">
        <v>0</v>
      </c>
      <c r="O350" t="n">
        <v>0</v>
      </c>
      <c r="P350" t="n">
        <v>0</v>
      </c>
      <c r="Q350" t="n">
        <v>0</v>
      </c>
      <c r="R350" s="2" t="inlineStr"/>
    </row>
    <row r="351" ht="15" customHeight="1">
      <c r="A351" t="inlineStr">
        <is>
          <t>A 31232-2025</t>
        </is>
      </c>
      <c r="B351" s="1" t="n">
        <v>45832.8252199074</v>
      </c>
      <c r="C351" s="1" t="n">
        <v>46092</v>
      </c>
      <c r="D351" t="inlineStr">
        <is>
          <t>ÖREBRO LÄN</t>
        </is>
      </c>
      <c r="E351" t="inlineStr">
        <is>
          <t>ÖREBRO</t>
        </is>
      </c>
      <c r="F351" t="inlineStr">
        <is>
          <t>Övriga Aktiebolag</t>
        </is>
      </c>
      <c r="G351" t="n">
        <v>2.1</v>
      </c>
      <c r="H351" t="n">
        <v>0</v>
      </c>
      <c r="I351" t="n">
        <v>0</v>
      </c>
      <c r="J351" t="n">
        <v>0</v>
      </c>
      <c r="K351" t="n">
        <v>0</v>
      </c>
      <c r="L351" t="n">
        <v>0</v>
      </c>
      <c r="M351" t="n">
        <v>0</v>
      </c>
      <c r="N351" t="n">
        <v>0</v>
      </c>
      <c r="O351" t="n">
        <v>0</v>
      </c>
      <c r="P351" t="n">
        <v>0</v>
      </c>
      <c r="Q351" t="n">
        <v>0</v>
      </c>
      <c r="R351" s="2" t="inlineStr"/>
    </row>
    <row r="352" ht="15" customHeight="1">
      <c r="A352" t="inlineStr">
        <is>
          <t>A 30951-2025</t>
        </is>
      </c>
      <c r="B352" s="1" t="n">
        <v>45832.43225694444</v>
      </c>
      <c r="C352" s="1" t="n">
        <v>46092</v>
      </c>
      <c r="D352" t="inlineStr">
        <is>
          <t>ÖREBRO LÄN</t>
        </is>
      </c>
      <c r="E352" t="inlineStr">
        <is>
          <t>ÖREBRO</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10944-2026</t>
        </is>
      </c>
      <c r="B353" s="1" t="n">
        <v>46079.37659722222</v>
      </c>
      <c r="C353" s="1" t="n">
        <v>46092</v>
      </c>
      <c r="D353" t="inlineStr">
        <is>
          <t>ÖREBRO LÄN</t>
        </is>
      </c>
      <c r="E353" t="inlineStr">
        <is>
          <t>ÖREBRO</t>
        </is>
      </c>
      <c r="G353" t="n">
        <v>2.7</v>
      </c>
      <c r="H353" t="n">
        <v>0</v>
      </c>
      <c r="I353" t="n">
        <v>0</v>
      </c>
      <c r="J353" t="n">
        <v>0</v>
      </c>
      <c r="K353" t="n">
        <v>0</v>
      </c>
      <c r="L353" t="n">
        <v>0</v>
      </c>
      <c r="M353" t="n">
        <v>0</v>
      </c>
      <c r="N353" t="n">
        <v>0</v>
      </c>
      <c r="O353" t="n">
        <v>0</v>
      </c>
      <c r="P353" t="n">
        <v>0</v>
      </c>
      <c r="Q353" t="n">
        <v>0</v>
      </c>
      <c r="R353" s="2" t="inlineStr"/>
    </row>
    <row r="354" ht="15" customHeight="1">
      <c r="A354" t="inlineStr">
        <is>
          <t>A 59515-2025</t>
        </is>
      </c>
      <c r="B354" s="1" t="n">
        <v>45989.65238425926</v>
      </c>
      <c r="C354" s="1" t="n">
        <v>46092</v>
      </c>
      <c r="D354" t="inlineStr">
        <is>
          <t>ÖREBRO LÄN</t>
        </is>
      </c>
      <c r="E354" t="inlineStr">
        <is>
          <t>ÖREBRO</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31233-2025</t>
        </is>
      </c>
      <c r="B355" s="1" t="n">
        <v>45832.83341435185</v>
      </c>
      <c r="C355" s="1" t="n">
        <v>46092</v>
      </c>
      <c r="D355" t="inlineStr">
        <is>
          <t>ÖREBRO LÄN</t>
        </is>
      </c>
      <c r="E355" t="inlineStr">
        <is>
          <t>ÖREBRO</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58216-2024</t>
        </is>
      </c>
      <c r="B356" s="1" t="n">
        <v>45632</v>
      </c>
      <c r="C356" s="1" t="n">
        <v>46092</v>
      </c>
      <c r="D356" t="inlineStr">
        <is>
          <t>ÖREBRO LÄN</t>
        </is>
      </c>
      <c r="E356" t="inlineStr">
        <is>
          <t>ÖREBRO</t>
        </is>
      </c>
      <c r="G356" t="n">
        <v>1.9</v>
      </c>
      <c r="H356" t="n">
        <v>0</v>
      </c>
      <c r="I356" t="n">
        <v>0</v>
      </c>
      <c r="J356" t="n">
        <v>0</v>
      </c>
      <c r="K356" t="n">
        <v>0</v>
      </c>
      <c r="L356" t="n">
        <v>0</v>
      </c>
      <c r="M356" t="n">
        <v>0</v>
      </c>
      <c r="N356" t="n">
        <v>0</v>
      </c>
      <c r="O356" t="n">
        <v>0</v>
      </c>
      <c r="P356" t="n">
        <v>0</v>
      </c>
      <c r="Q356" t="n">
        <v>0</v>
      </c>
      <c r="R356" s="2" t="inlineStr"/>
    </row>
    <row r="357" ht="15" customHeight="1">
      <c r="A357" t="inlineStr">
        <is>
          <t>A 3763-2025</t>
        </is>
      </c>
      <c r="B357" s="1" t="n">
        <v>45681</v>
      </c>
      <c r="C357" s="1" t="n">
        <v>46092</v>
      </c>
      <c r="D357" t="inlineStr">
        <is>
          <t>ÖREBRO LÄN</t>
        </is>
      </c>
      <c r="E357" t="inlineStr">
        <is>
          <t>ÖREBRO</t>
        </is>
      </c>
      <c r="G357" t="n">
        <v>10.1</v>
      </c>
      <c r="H357" t="n">
        <v>0</v>
      </c>
      <c r="I357" t="n">
        <v>0</v>
      </c>
      <c r="J357" t="n">
        <v>0</v>
      </c>
      <c r="K357" t="n">
        <v>0</v>
      </c>
      <c r="L357" t="n">
        <v>0</v>
      </c>
      <c r="M357" t="n">
        <v>0</v>
      </c>
      <c r="N357" t="n">
        <v>0</v>
      </c>
      <c r="O357" t="n">
        <v>0</v>
      </c>
      <c r="P357" t="n">
        <v>0</v>
      </c>
      <c r="Q357" t="n">
        <v>0</v>
      </c>
      <c r="R357" s="2" t="inlineStr"/>
    </row>
    <row r="358" ht="15" customHeight="1">
      <c r="A358" t="inlineStr">
        <is>
          <t>A 31237-2025</t>
        </is>
      </c>
      <c r="B358" s="1" t="n">
        <v>45832.84313657408</v>
      </c>
      <c r="C358" s="1" t="n">
        <v>46092</v>
      </c>
      <c r="D358" t="inlineStr">
        <is>
          <t>ÖREBRO LÄN</t>
        </is>
      </c>
      <c r="E358" t="inlineStr">
        <is>
          <t>ÖREBRO</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5324-2024</t>
        </is>
      </c>
      <c r="B359" s="1" t="n">
        <v>45331</v>
      </c>
      <c r="C359" s="1" t="n">
        <v>46092</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51248-2025</t>
        </is>
      </c>
      <c r="B360" s="1" t="n">
        <v>45948.450625</v>
      </c>
      <c r="C360" s="1" t="n">
        <v>46092</v>
      </c>
      <c r="D360" t="inlineStr">
        <is>
          <t>ÖREBRO LÄN</t>
        </is>
      </c>
      <c r="E360" t="inlineStr">
        <is>
          <t>ÖREBRO</t>
        </is>
      </c>
      <c r="G360" t="n">
        <v>4.4</v>
      </c>
      <c r="H360" t="n">
        <v>0</v>
      </c>
      <c r="I360" t="n">
        <v>0</v>
      </c>
      <c r="J360" t="n">
        <v>0</v>
      </c>
      <c r="K360" t="n">
        <v>0</v>
      </c>
      <c r="L360" t="n">
        <v>0</v>
      </c>
      <c r="M360" t="n">
        <v>0</v>
      </c>
      <c r="N360" t="n">
        <v>0</v>
      </c>
      <c r="O360" t="n">
        <v>0</v>
      </c>
      <c r="P360" t="n">
        <v>0</v>
      </c>
      <c r="Q360" t="n">
        <v>0</v>
      </c>
      <c r="R360" s="2" t="inlineStr"/>
    </row>
    <row r="361" ht="15" customHeight="1">
      <c r="A361" t="inlineStr">
        <is>
          <t>A 31066-2025</t>
        </is>
      </c>
      <c r="B361" s="1" t="n">
        <v>45832</v>
      </c>
      <c r="C361" s="1" t="n">
        <v>46092</v>
      </c>
      <c r="D361" t="inlineStr">
        <is>
          <t>ÖREBRO LÄN</t>
        </is>
      </c>
      <c r="E361" t="inlineStr">
        <is>
          <t>ÖREBRO</t>
        </is>
      </c>
      <c r="G361" t="n">
        <v>11.1</v>
      </c>
      <c r="H361" t="n">
        <v>0</v>
      </c>
      <c r="I361" t="n">
        <v>0</v>
      </c>
      <c r="J361" t="n">
        <v>0</v>
      </c>
      <c r="K361" t="n">
        <v>0</v>
      </c>
      <c r="L361" t="n">
        <v>0</v>
      </c>
      <c r="M361" t="n">
        <v>0</v>
      </c>
      <c r="N361" t="n">
        <v>0</v>
      </c>
      <c r="O361" t="n">
        <v>0</v>
      </c>
      <c r="P361" t="n">
        <v>0</v>
      </c>
      <c r="Q361" t="n">
        <v>0</v>
      </c>
      <c r="R361" s="2" t="inlineStr"/>
    </row>
    <row r="362" ht="15" customHeight="1">
      <c r="A362" t="inlineStr">
        <is>
          <t>A 51249-2025</t>
        </is>
      </c>
      <c r="B362" s="1" t="n">
        <v>45948.45704861111</v>
      </c>
      <c r="C362" s="1" t="n">
        <v>46092</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18360-2024</t>
        </is>
      </c>
      <c r="B363" s="1" t="n">
        <v>45422</v>
      </c>
      <c r="C363" s="1" t="n">
        <v>46092</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16676-2025</t>
        </is>
      </c>
      <c r="B364" s="1" t="n">
        <v>45754.44658564815</v>
      </c>
      <c r="C364" s="1" t="n">
        <v>46092</v>
      </c>
      <c r="D364" t="inlineStr">
        <is>
          <t>ÖREBRO LÄN</t>
        </is>
      </c>
      <c r="E364" t="inlineStr">
        <is>
          <t>ÖREBRO</t>
        </is>
      </c>
      <c r="G364" t="n">
        <v>5.8</v>
      </c>
      <c r="H364" t="n">
        <v>0</v>
      </c>
      <c r="I364" t="n">
        <v>0</v>
      </c>
      <c r="J364" t="n">
        <v>0</v>
      </c>
      <c r="K364" t="n">
        <v>0</v>
      </c>
      <c r="L364" t="n">
        <v>0</v>
      </c>
      <c r="M364" t="n">
        <v>0</v>
      </c>
      <c r="N364" t="n">
        <v>0</v>
      </c>
      <c r="O364" t="n">
        <v>0</v>
      </c>
      <c r="P364" t="n">
        <v>0</v>
      </c>
      <c r="Q364" t="n">
        <v>0</v>
      </c>
      <c r="R364" s="2" t="inlineStr"/>
    </row>
    <row r="365" ht="15" customHeight="1">
      <c r="A365" t="inlineStr">
        <is>
          <t>A 32188-2025</t>
        </is>
      </c>
      <c r="B365" s="1" t="n">
        <v>45835.56965277778</v>
      </c>
      <c r="C365" s="1" t="n">
        <v>46092</v>
      </c>
      <c r="D365" t="inlineStr">
        <is>
          <t>ÖREBRO LÄN</t>
        </is>
      </c>
      <c r="E365" t="inlineStr">
        <is>
          <t>ÖREBRO</t>
        </is>
      </c>
      <c r="G365" t="n">
        <v>2.9</v>
      </c>
      <c r="H365" t="n">
        <v>0</v>
      </c>
      <c r="I365" t="n">
        <v>0</v>
      </c>
      <c r="J365" t="n">
        <v>0</v>
      </c>
      <c r="K365" t="n">
        <v>0</v>
      </c>
      <c r="L365" t="n">
        <v>0</v>
      </c>
      <c r="M365" t="n">
        <v>0</v>
      </c>
      <c r="N365" t="n">
        <v>0</v>
      </c>
      <c r="O365" t="n">
        <v>0</v>
      </c>
      <c r="P365" t="n">
        <v>0</v>
      </c>
      <c r="Q365" t="n">
        <v>0</v>
      </c>
      <c r="R365" s="2" t="inlineStr"/>
    </row>
    <row r="366" ht="15" customHeight="1">
      <c r="A366" t="inlineStr">
        <is>
          <t>A 32195-2025</t>
        </is>
      </c>
      <c r="B366" s="1" t="n">
        <v>45835.57407407407</v>
      </c>
      <c r="C366" s="1" t="n">
        <v>46092</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32218-2025</t>
        </is>
      </c>
      <c r="B367" s="1" t="n">
        <v>45835.58880787037</v>
      </c>
      <c r="C367" s="1" t="n">
        <v>46092</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5357-2024</t>
        </is>
      </c>
      <c r="B368" s="1" t="n">
        <v>45331</v>
      </c>
      <c r="C368" s="1" t="n">
        <v>46092</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2970-2026</t>
        </is>
      </c>
      <c r="B369" s="1" t="n">
        <v>46038.6202662037</v>
      </c>
      <c r="C369" s="1" t="n">
        <v>46092</v>
      </c>
      <c r="D369" t="inlineStr">
        <is>
          <t>ÖREBRO LÄN</t>
        </is>
      </c>
      <c r="E369" t="inlineStr">
        <is>
          <t>ÖREBRO</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57243-2022</t>
        </is>
      </c>
      <c r="B370" s="1" t="n">
        <v>44895.71835648148</v>
      </c>
      <c r="C370" s="1" t="n">
        <v>46092</v>
      </c>
      <c r="D370" t="inlineStr">
        <is>
          <t>ÖREBRO LÄN</t>
        </is>
      </c>
      <c r="E370" t="inlineStr">
        <is>
          <t>ÖREBRO</t>
        </is>
      </c>
      <c r="G370" t="n">
        <v>6</v>
      </c>
      <c r="H370" t="n">
        <v>0</v>
      </c>
      <c r="I370" t="n">
        <v>0</v>
      </c>
      <c r="J370" t="n">
        <v>0</v>
      </c>
      <c r="K370" t="n">
        <v>0</v>
      </c>
      <c r="L370" t="n">
        <v>0</v>
      </c>
      <c r="M370" t="n">
        <v>0</v>
      </c>
      <c r="N370" t="n">
        <v>0</v>
      </c>
      <c r="O370" t="n">
        <v>0</v>
      </c>
      <c r="P370" t="n">
        <v>0</v>
      </c>
      <c r="Q370" t="n">
        <v>0</v>
      </c>
      <c r="R370" s="2" t="inlineStr"/>
    </row>
    <row r="371" ht="15" customHeight="1">
      <c r="A371" t="inlineStr">
        <is>
          <t>A 3252-2026</t>
        </is>
      </c>
      <c r="B371" s="1" t="n">
        <v>46041.58626157408</v>
      </c>
      <c r="C371" s="1" t="n">
        <v>46092</v>
      </c>
      <c r="D371" t="inlineStr">
        <is>
          <t>ÖREBRO LÄN</t>
        </is>
      </c>
      <c r="E371" t="inlineStr">
        <is>
          <t>ÖREBRO</t>
        </is>
      </c>
      <c r="F371" t="inlineStr">
        <is>
          <t>Övriga Aktiebolag</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32904-2025</t>
        </is>
      </c>
      <c r="B372" s="1" t="n">
        <v>45839</v>
      </c>
      <c r="C372" s="1" t="n">
        <v>46092</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52135-2025</t>
        </is>
      </c>
      <c r="B373" s="1" t="n">
        <v>45952.84231481481</v>
      </c>
      <c r="C373" s="1" t="n">
        <v>46092</v>
      </c>
      <c r="D373" t="inlineStr">
        <is>
          <t>ÖREBRO LÄN</t>
        </is>
      </c>
      <c r="E373" t="inlineStr">
        <is>
          <t>ÖREBRO</t>
        </is>
      </c>
      <c r="G373" t="n">
        <v>4</v>
      </c>
      <c r="H373" t="n">
        <v>0</v>
      </c>
      <c r="I373" t="n">
        <v>0</v>
      </c>
      <c r="J373" t="n">
        <v>0</v>
      </c>
      <c r="K373" t="n">
        <v>0</v>
      </c>
      <c r="L373" t="n">
        <v>0</v>
      </c>
      <c r="M373" t="n">
        <v>0</v>
      </c>
      <c r="N373" t="n">
        <v>0</v>
      </c>
      <c r="O373" t="n">
        <v>0</v>
      </c>
      <c r="P373" t="n">
        <v>0</v>
      </c>
      <c r="Q373" t="n">
        <v>0</v>
      </c>
      <c r="R373" s="2" t="inlineStr"/>
    </row>
    <row r="374" ht="15" customHeight="1">
      <c r="A374" t="inlineStr">
        <is>
          <t>A 51925-2025</t>
        </is>
      </c>
      <c r="B374" s="1" t="n">
        <v>45952.49476851852</v>
      </c>
      <c r="C374" s="1" t="n">
        <v>46092</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40051-2024</t>
        </is>
      </c>
      <c r="B375" s="1" t="n">
        <v>45553</v>
      </c>
      <c r="C375" s="1" t="n">
        <v>46092</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51923-2025</t>
        </is>
      </c>
      <c r="B376" s="1" t="n">
        <v>45952.49300925926</v>
      </c>
      <c r="C376" s="1" t="n">
        <v>46092</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51937-2025</t>
        </is>
      </c>
      <c r="B377" s="1" t="n">
        <v>45952.51270833334</v>
      </c>
      <c r="C377" s="1" t="n">
        <v>46092</v>
      </c>
      <c r="D377" t="inlineStr">
        <is>
          <t>ÖREBRO LÄN</t>
        </is>
      </c>
      <c r="E377" t="inlineStr">
        <is>
          <t>ÖREBRO</t>
        </is>
      </c>
      <c r="G377" t="n">
        <v>1</v>
      </c>
      <c r="H377" t="n">
        <v>0</v>
      </c>
      <c r="I377" t="n">
        <v>0</v>
      </c>
      <c r="J377" t="n">
        <v>0</v>
      </c>
      <c r="K377" t="n">
        <v>0</v>
      </c>
      <c r="L377" t="n">
        <v>0</v>
      </c>
      <c r="M377" t="n">
        <v>0</v>
      </c>
      <c r="N377" t="n">
        <v>0</v>
      </c>
      <c r="O377" t="n">
        <v>0</v>
      </c>
      <c r="P377" t="n">
        <v>0</v>
      </c>
      <c r="Q377" t="n">
        <v>0</v>
      </c>
      <c r="R377" s="2" t="inlineStr"/>
    </row>
    <row r="378" ht="15" customHeight="1">
      <c r="A378" t="inlineStr">
        <is>
          <t>A 3111-2026</t>
        </is>
      </c>
      <c r="B378" s="1" t="n">
        <v>46041.36004629629</v>
      </c>
      <c r="C378" s="1" t="n">
        <v>46092</v>
      </c>
      <c r="D378" t="inlineStr">
        <is>
          <t>ÖREBRO LÄN</t>
        </is>
      </c>
      <c r="E378" t="inlineStr">
        <is>
          <t>ÖREBRO</t>
        </is>
      </c>
      <c r="F378" t="inlineStr">
        <is>
          <t>Övriga Aktiebolag</t>
        </is>
      </c>
      <c r="G378" t="n">
        <v>8.6</v>
      </c>
      <c r="H378" t="n">
        <v>0</v>
      </c>
      <c r="I378" t="n">
        <v>0</v>
      </c>
      <c r="J378" t="n">
        <v>0</v>
      </c>
      <c r="K378" t="n">
        <v>0</v>
      </c>
      <c r="L378" t="n">
        <v>0</v>
      </c>
      <c r="M378" t="n">
        <v>0</v>
      </c>
      <c r="N378" t="n">
        <v>0</v>
      </c>
      <c r="O378" t="n">
        <v>0</v>
      </c>
      <c r="P378" t="n">
        <v>0</v>
      </c>
      <c r="Q378" t="n">
        <v>0</v>
      </c>
      <c r="R378" s="2" t="inlineStr"/>
    </row>
    <row r="379" ht="15" customHeight="1">
      <c r="A379" t="inlineStr">
        <is>
          <t>A 50446-2023</t>
        </is>
      </c>
      <c r="B379" s="1" t="n">
        <v>45216</v>
      </c>
      <c r="C379" s="1" t="n">
        <v>46092</v>
      </c>
      <c r="D379" t="inlineStr">
        <is>
          <t>ÖREBRO LÄN</t>
        </is>
      </c>
      <c r="E379" t="inlineStr">
        <is>
          <t>ÖREBRO</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50450-2023</t>
        </is>
      </c>
      <c r="B380" s="1" t="n">
        <v>45216.73533564815</v>
      </c>
      <c r="C380" s="1" t="n">
        <v>46092</v>
      </c>
      <c r="D380" t="inlineStr">
        <is>
          <t>ÖREBRO LÄN</t>
        </is>
      </c>
      <c r="E380" t="inlineStr">
        <is>
          <t>ÖREBRO</t>
        </is>
      </c>
      <c r="F380" t="inlineStr">
        <is>
          <t>Övriga Aktiebolag</t>
        </is>
      </c>
      <c r="G380" t="n">
        <v>0.8</v>
      </c>
      <c r="H380" t="n">
        <v>0</v>
      </c>
      <c r="I380" t="n">
        <v>0</v>
      </c>
      <c r="J380" t="n">
        <v>0</v>
      </c>
      <c r="K380" t="n">
        <v>0</v>
      </c>
      <c r="L380" t="n">
        <v>0</v>
      </c>
      <c r="M380" t="n">
        <v>0</v>
      </c>
      <c r="N380" t="n">
        <v>0</v>
      </c>
      <c r="O380" t="n">
        <v>0</v>
      </c>
      <c r="P380" t="n">
        <v>0</v>
      </c>
      <c r="Q380" t="n">
        <v>0</v>
      </c>
      <c r="R380" s="2" t="inlineStr"/>
    </row>
    <row r="381" ht="15" customHeight="1">
      <c r="A381" t="inlineStr">
        <is>
          <t>A 32426-2025</t>
        </is>
      </c>
      <c r="B381" s="1" t="n">
        <v>45838.36179398148</v>
      </c>
      <c r="C381" s="1" t="n">
        <v>46092</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3031-2026</t>
        </is>
      </c>
      <c r="B382" s="1" t="n">
        <v>46038.71271990741</v>
      </c>
      <c r="C382" s="1" t="n">
        <v>46092</v>
      </c>
      <c r="D382" t="inlineStr">
        <is>
          <t>ÖREBRO LÄN</t>
        </is>
      </c>
      <c r="E382" t="inlineStr">
        <is>
          <t>ÖREBRO</t>
        </is>
      </c>
      <c r="F382" t="inlineStr">
        <is>
          <t>Övriga Aktiebolag</t>
        </is>
      </c>
      <c r="G382" t="n">
        <v>1.4</v>
      </c>
      <c r="H382" t="n">
        <v>0</v>
      </c>
      <c r="I382" t="n">
        <v>0</v>
      </c>
      <c r="J382" t="n">
        <v>0</v>
      </c>
      <c r="K382" t="n">
        <v>0</v>
      </c>
      <c r="L382" t="n">
        <v>0</v>
      </c>
      <c r="M382" t="n">
        <v>0</v>
      </c>
      <c r="N382" t="n">
        <v>0</v>
      </c>
      <c r="O382" t="n">
        <v>0</v>
      </c>
      <c r="P382" t="n">
        <v>0</v>
      </c>
      <c r="Q382" t="n">
        <v>0</v>
      </c>
      <c r="R382" s="2" t="inlineStr"/>
    </row>
    <row r="383" ht="15" customHeight="1">
      <c r="A383" t="inlineStr">
        <is>
          <t>A 3033-2026</t>
        </is>
      </c>
      <c r="B383" s="1" t="n">
        <v>46038.71920138889</v>
      </c>
      <c r="C383" s="1" t="n">
        <v>46092</v>
      </c>
      <c r="D383" t="inlineStr">
        <is>
          <t>ÖREBRO LÄN</t>
        </is>
      </c>
      <c r="E383" t="inlineStr">
        <is>
          <t>ÖREBRO</t>
        </is>
      </c>
      <c r="F383" t="inlineStr">
        <is>
          <t>Övriga Aktiebolag</t>
        </is>
      </c>
      <c r="G383" t="n">
        <v>3.4</v>
      </c>
      <c r="H383" t="n">
        <v>0</v>
      </c>
      <c r="I383" t="n">
        <v>0</v>
      </c>
      <c r="J383" t="n">
        <v>0</v>
      </c>
      <c r="K383" t="n">
        <v>0</v>
      </c>
      <c r="L383" t="n">
        <v>0</v>
      </c>
      <c r="M383" t="n">
        <v>0</v>
      </c>
      <c r="N383" t="n">
        <v>0</v>
      </c>
      <c r="O383" t="n">
        <v>0</v>
      </c>
      <c r="P383" t="n">
        <v>0</v>
      </c>
      <c r="Q383" t="n">
        <v>0</v>
      </c>
      <c r="R383" s="2" t="inlineStr"/>
    </row>
    <row r="384" ht="15" customHeight="1">
      <c r="A384" t="inlineStr">
        <is>
          <t>A 26117-2021</t>
        </is>
      </c>
      <c r="B384" s="1" t="n">
        <v>44345</v>
      </c>
      <c r="C384" s="1" t="n">
        <v>46092</v>
      </c>
      <c r="D384" t="inlineStr">
        <is>
          <t>ÖREBRO LÄN</t>
        </is>
      </c>
      <c r="E384" t="inlineStr">
        <is>
          <t>ÖREBRO</t>
        </is>
      </c>
      <c r="G384" t="n">
        <v>8.1</v>
      </c>
      <c r="H384" t="n">
        <v>0</v>
      </c>
      <c r="I384" t="n">
        <v>0</v>
      </c>
      <c r="J384" t="n">
        <v>0</v>
      </c>
      <c r="K384" t="n">
        <v>0</v>
      </c>
      <c r="L384" t="n">
        <v>0</v>
      </c>
      <c r="M384" t="n">
        <v>0</v>
      </c>
      <c r="N384" t="n">
        <v>0</v>
      </c>
      <c r="O384" t="n">
        <v>0</v>
      </c>
      <c r="P384" t="n">
        <v>0</v>
      </c>
      <c r="Q384" t="n">
        <v>0</v>
      </c>
      <c r="R384" s="2" t="inlineStr"/>
    </row>
    <row r="385" ht="15" customHeight="1">
      <c r="A385" t="inlineStr">
        <is>
          <t>A 11286-2026</t>
        </is>
      </c>
      <c r="B385" s="1" t="n">
        <v>46080</v>
      </c>
      <c r="C385" s="1" t="n">
        <v>46092</v>
      </c>
      <c r="D385" t="inlineStr">
        <is>
          <t>ÖREBRO LÄN</t>
        </is>
      </c>
      <c r="E385" t="inlineStr">
        <is>
          <t>ÖREBRO</t>
        </is>
      </c>
      <c r="G385" t="n">
        <v>5.4</v>
      </c>
      <c r="H385" t="n">
        <v>0</v>
      </c>
      <c r="I385" t="n">
        <v>0</v>
      </c>
      <c r="J385" t="n">
        <v>0</v>
      </c>
      <c r="K385" t="n">
        <v>0</v>
      </c>
      <c r="L385" t="n">
        <v>0</v>
      </c>
      <c r="M385" t="n">
        <v>0</v>
      </c>
      <c r="N385" t="n">
        <v>0</v>
      </c>
      <c r="O385" t="n">
        <v>0</v>
      </c>
      <c r="P385" t="n">
        <v>0</v>
      </c>
      <c r="Q385" t="n">
        <v>0</v>
      </c>
      <c r="R385" s="2" t="inlineStr"/>
    </row>
    <row r="386" ht="15" customHeight="1">
      <c r="A386" t="inlineStr">
        <is>
          <t>A 33191-2025</t>
        </is>
      </c>
      <c r="B386" s="1" t="n">
        <v>45840.6003587963</v>
      </c>
      <c r="C386" s="1" t="n">
        <v>46092</v>
      </c>
      <c r="D386" t="inlineStr">
        <is>
          <t>ÖREBRO LÄN</t>
        </is>
      </c>
      <c r="E386" t="inlineStr">
        <is>
          <t>ÖREBRO</t>
        </is>
      </c>
      <c r="G386" t="n">
        <v>2.6</v>
      </c>
      <c r="H386" t="n">
        <v>0</v>
      </c>
      <c r="I386" t="n">
        <v>0</v>
      </c>
      <c r="J386" t="n">
        <v>0</v>
      </c>
      <c r="K386" t="n">
        <v>0</v>
      </c>
      <c r="L386" t="n">
        <v>0</v>
      </c>
      <c r="M386" t="n">
        <v>0</v>
      </c>
      <c r="N386" t="n">
        <v>0</v>
      </c>
      <c r="O386" t="n">
        <v>0</v>
      </c>
      <c r="P386" t="n">
        <v>0</v>
      </c>
      <c r="Q386" t="n">
        <v>0</v>
      </c>
      <c r="R386" s="2" t="inlineStr"/>
    </row>
    <row r="387" ht="15" customHeight="1">
      <c r="A387" t="inlineStr">
        <is>
          <t>A 30743-2025</t>
        </is>
      </c>
      <c r="B387" s="1" t="n">
        <v>45831</v>
      </c>
      <c r="C387" s="1" t="n">
        <v>46092</v>
      </c>
      <c r="D387" t="inlineStr">
        <is>
          <t>ÖREBRO LÄN</t>
        </is>
      </c>
      <c r="E387" t="inlineStr">
        <is>
          <t>ÖREBRO</t>
        </is>
      </c>
      <c r="G387" t="n">
        <v>2.9</v>
      </c>
      <c r="H387" t="n">
        <v>0</v>
      </c>
      <c r="I387" t="n">
        <v>0</v>
      </c>
      <c r="J387" t="n">
        <v>0</v>
      </c>
      <c r="K387" t="n">
        <v>0</v>
      </c>
      <c r="L387" t="n">
        <v>0</v>
      </c>
      <c r="M387" t="n">
        <v>0</v>
      </c>
      <c r="N387" t="n">
        <v>0</v>
      </c>
      <c r="O387" t="n">
        <v>0</v>
      </c>
      <c r="P387" t="n">
        <v>0</v>
      </c>
      <c r="Q387" t="n">
        <v>0</v>
      </c>
      <c r="R387" s="2" t="inlineStr"/>
    </row>
    <row r="388" ht="15" customHeight="1">
      <c r="A388" t="inlineStr">
        <is>
          <t>A 6879-2024</t>
        </is>
      </c>
      <c r="B388" s="1" t="n">
        <v>45342.85280092592</v>
      </c>
      <c r="C388" s="1" t="n">
        <v>46092</v>
      </c>
      <c r="D388" t="inlineStr">
        <is>
          <t>ÖREBRO LÄN</t>
        </is>
      </c>
      <c r="E388" t="inlineStr">
        <is>
          <t>ÖREBRO</t>
        </is>
      </c>
      <c r="G388" t="n">
        <v>1.6</v>
      </c>
      <c r="H388" t="n">
        <v>0</v>
      </c>
      <c r="I388" t="n">
        <v>0</v>
      </c>
      <c r="J388" t="n">
        <v>0</v>
      </c>
      <c r="K388" t="n">
        <v>0</v>
      </c>
      <c r="L388" t="n">
        <v>0</v>
      </c>
      <c r="M388" t="n">
        <v>0</v>
      </c>
      <c r="N388" t="n">
        <v>0</v>
      </c>
      <c r="O388" t="n">
        <v>0</v>
      </c>
      <c r="P388" t="n">
        <v>0</v>
      </c>
      <c r="Q388" t="n">
        <v>0</v>
      </c>
      <c r="R388" s="2" t="inlineStr"/>
    </row>
    <row r="389" ht="15" customHeight="1">
      <c r="A389" t="inlineStr">
        <is>
          <t>A 3042-2026</t>
        </is>
      </c>
      <c r="B389" s="1" t="n">
        <v>46038.73467592592</v>
      </c>
      <c r="C389" s="1" t="n">
        <v>46092</v>
      </c>
      <c r="D389" t="inlineStr">
        <is>
          <t>ÖREBRO LÄN</t>
        </is>
      </c>
      <c r="E389" t="inlineStr">
        <is>
          <t>ÖREBRO</t>
        </is>
      </c>
      <c r="F389" t="inlineStr">
        <is>
          <t>Övriga Aktiebolag</t>
        </is>
      </c>
      <c r="G389" t="n">
        <v>1</v>
      </c>
      <c r="H389" t="n">
        <v>0</v>
      </c>
      <c r="I389" t="n">
        <v>0</v>
      </c>
      <c r="J389" t="n">
        <v>0</v>
      </c>
      <c r="K389" t="n">
        <v>0</v>
      </c>
      <c r="L389" t="n">
        <v>0</v>
      </c>
      <c r="M389" t="n">
        <v>0</v>
      </c>
      <c r="N389" t="n">
        <v>0</v>
      </c>
      <c r="O389" t="n">
        <v>0</v>
      </c>
      <c r="P389" t="n">
        <v>0</v>
      </c>
      <c r="Q389" t="n">
        <v>0</v>
      </c>
      <c r="R389" s="2" t="inlineStr"/>
    </row>
    <row r="390" ht="15" customHeight="1">
      <c r="A390" t="inlineStr">
        <is>
          <t>A 58032-2023</t>
        </is>
      </c>
      <c r="B390" s="1" t="n">
        <v>45247</v>
      </c>
      <c r="C390" s="1" t="n">
        <v>46092</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58035-2023</t>
        </is>
      </c>
      <c r="B391" s="1" t="n">
        <v>45247</v>
      </c>
      <c r="C391" s="1" t="n">
        <v>46092</v>
      </c>
      <c r="D391" t="inlineStr">
        <is>
          <t>ÖREBRO LÄN</t>
        </is>
      </c>
      <c r="E391" t="inlineStr">
        <is>
          <t>ÖREBRO</t>
        </is>
      </c>
      <c r="G391" t="n">
        <v>1.4</v>
      </c>
      <c r="H391" t="n">
        <v>0</v>
      </c>
      <c r="I391" t="n">
        <v>0</v>
      </c>
      <c r="J391" t="n">
        <v>0</v>
      </c>
      <c r="K391" t="n">
        <v>0</v>
      </c>
      <c r="L391" t="n">
        <v>0</v>
      </c>
      <c r="M391" t="n">
        <v>0</v>
      </c>
      <c r="N391" t="n">
        <v>0</v>
      </c>
      <c r="O391" t="n">
        <v>0</v>
      </c>
      <c r="P391" t="n">
        <v>0</v>
      </c>
      <c r="Q391" t="n">
        <v>0</v>
      </c>
      <c r="R391" s="2" t="inlineStr"/>
    </row>
    <row r="392" ht="15" customHeight="1">
      <c r="A392" t="inlineStr">
        <is>
          <t>A 52382-2025</t>
        </is>
      </c>
      <c r="B392" s="1" t="n">
        <v>45953.9559837963</v>
      </c>
      <c r="C392" s="1" t="n">
        <v>46092</v>
      </c>
      <c r="D392" t="inlineStr">
        <is>
          <t>ÖREBRO LÄN</t>
        </is>
      </c>
      <c r="E392" t="inlineStr">
        <is>
          <t>ÖREBRO</t>
        </is>
      </c>
      <c r="F392" t="inlineStr">
        <is>
          <t>Sveaskog</t>
        </is>
      </c>
      <c r="G392" t="n">
        <v>3.4</v>
      </c>
      <c r="H392" t="n">
        <v>0</v>
      </c>
      <c r="I392" t="n">
        <v>0</v>
      </c>
      <c r="J392" t="n">
        <v>0</v>
      </c>
      <c r="K392" t="n">
        <v>0</v>
      </c>
      <c r="L392" t="n">
        <v>0</v>
      </c>
      <c r="M392" t="n">
        <v>0</v>
      </c>
      <c r="N392" t="n">
        <v>0</v>
      </c>
      <c r="O392" t="n">
        <v>0</v>
      </c>
      <c r="P392" t="n">
        <v>0</v>
      </c>
      <c r="Q392" t="n">
        <v>0</v>
      </c>
      <c r="R392" s="2" t="inlineStr"/>
    </row>
    <row r="393" ht="15" customHeight="1">
      <c r="A393" t="inlineStr">
        <is>
          <t>A 10816-2026</t>
        </is>
      </c>
      <c r="B393" s="1" t="n">
        <v>46078.61224537037</v>
      </c>
      <c r="C393" s="1" t="n">
        <v>46092</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7506-2025</t>
        </is>
      </c>
      <c r="B394" s="1" t="n">
        <v>45705</v>
      </c>
      <c r="C394" s="1" t="n">
        <v>46092</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53443-2025</t>
        </is>
      </c>
      <c r="B395" s="1" t="n">
        <v>45959.6444675926</v>
      </c>
      <c r="C395" s="1" t="n">
        <v>46092</v>
      </c>
      <c r="D395" t="inlineStr">
        <is>
          <t>ÖREBRO LÄN</t>
        </is>
      </c>
      <c r="E395" t="inlineStr">
        <is>
          <t>ÖREBRO</t>
        </is>
      </c>
      <c r="G395" t="n">
        <v>2.8</v>
      </c>
      <c r="H395" t="n">
        <v>0</v>
      </c>
      <c r="I395" t="n">
        <v>0</v>
      </c>
      <c r="J395" t="n">
        <v>0</v>
      </c>
      <c r="K395" t="n">
        <v>0</v>
      </c>
      <c r="L395" t="n">
        <v>0</v>
      </c>
      <c r="M395" t="n">
        <v>0</v>
      </c>
      <c r="N395" t="n">
        <v>0</v>
      </c>
      <c r="O395" t="n">
        <v>0</v>
      </c>
      <c r="P395" t="n">
        <v>0</v>
      </c>
      <c r="Q395" t="n">
        <v>0</v>
      </c>
      <c r="R395" s="2" t="inlineStr"/>
    </row>
    <row r="396" ht="15" customHeight="1">
      <c r="A396" t="inlineStr">
        <is>
          <t>A 53437-2025</t>
        </is>
      </c>
      <c r="B396" s="1" t="n">
        <v>45959.63440972222</v>
      </c>
      <c r="C396" s="1" t="n">
        <v>46092</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53342-2025</t>
        </is>
      </c>
      <c r="B397" s="1" t="n">
        <v>45959.41769675926</v>
      </c>
      <c r="C397" s="1" t="n">
        <v>46092</v>
      </c>
      <c r="D397" t="inlineStr">
        <is>
          <t>ÖREBRO LÄN</t>
        </is>
      </c>
      <c r="E397" t="inlineStr">
        <is>
          <t>ÖREBRO</t>
        </is>
      </c>
      <c r="G397" t="n">
        <v>4.1</v>
      </c>
      <c r="H397" t="n">
        <v>0</v>
      </c>
      <c r="I397" t="n">
        <v>0</v>
      </c>
      <c r="J397" t="n">
        <v>0</v>
      </c>
      <c r="K397" t="n">
        <v>0</v>
      </c>
      <c r="L397" t="n">
        <v>0</v>
      </c>
      <c r="M397" t="n">
        <v>0</v>
      </c>
      <c r="N397" t="n">
        <v>0</v>
      </c>
      <c r="O397" t="n">
        <v>0</v>
      </c>
      <c r="P397" t="n">
        <v>0</v>
      </c>
      <c r="Q397" t="n">
        <v>0</v>
      </c>
      <c r="R397" s="2" t="inlineStr"/>
    </row>
    <row r="398" ht="15" customHeight="1">
      <c r="A398" t="inlineStr">
        <is>
          <t>A 53350-2025</t>
        </is>
      </c>
      <c r="B398" s="1" t="n">
        <v>45959.43827546296</v>
      </c>
      <c r="C398" s="1" t="n">
        <v>46092</v>
      </c>
      <c r="D398" t="inlineStr">
        <is>
          <t>ÖREBRO LÄN</t>
        </is>
      </c>
      <c r="E398" t="inlineStr">
        <is>
          <t>ÖREBRO</t>
        </is>
      </c>
      <c r="G398" t="n">
        <v>4.1</v>
      </c>
      <c r="H398" t="n">
        <v>0</v>
      </c>
      <c r="I398" t="n">
        <v>0</v>
      </c>
      <c r="J398" t="n">
        <v>0</v>
      </c>
      <c r="K398" t="n">
        <v>0</v>
      </c>
      <c r="L398" t="n">
        <v>0</v>
      </c>
      <c r="M398" t="n">
        <v>0</v>
      </c>
      <c r="N398" t="n">
        <v>0</v>
      </c>
      <c r="O398" t="n">
        <v>0</v>
      </c>
      <c r="P398" t="n">
        <v>0</v>
      </c>
      <c r="Q398" t="n">
        <v>0</v>
      </c>
      <c r="R398" s="2" t="inlineStr"/>
    </row>
    <row r="399" ht="15" customHeight="1">
      <c r="A399" t="inlineStr">
        <is>
          <t>A 31240-2023</t>
        </is>
      </c>
      <c r="B399" s="1" t="n">
        <v>45114</v>
      </c>
      <c r="C399" s="1" t="n">
        <v>46092</v>
      </c>
      <c r="D399" t="inlineStr">
        <is>
          <t>ÖREBRO LÄN</t>
        </is>
      </c>
      <c r="E399" t="inlineStr">
        <is>
          <t>ÖREBRO</t>
        </is>
      </c>
      <c r="F399" t="inlineStr">
        <is>
          <t>Allmännings- och besparingsskogar</t>
        </is>
      </c>
      <c r="G399" t="n">
        <v>6.2</v>
      </c>
      <c r="H399" t="n">
        <v>0</v>
      </c>
      <c r="I399" t="n">
        <v>0</v>
      </c>
      <c r="J399" t="n">
        <v>0</v>
      </c>
      <c r="K399" t="n">
        <v>0</v>
      </c>
      <c r="L399" t="n">
        <v>0</v>
      </c>
      <c r="M399" t="n">
        <v>0</v>
      </c>
      <c r="N399" t="n">
        <v>0</v>
      </c>
      <c r="O399" t="n">
        <v>0</v>
      </c>
      <c r="P399" t="n">
        <v>0</v>
      </c>
      <c r="Q399" t="n">
        <v>0</v>
      </c>
      <c r="R399" s="2" t="inlineStr"/>
    </row>
    <row r="400" ht="15" customHeight="1">
      <c r="A400" t="inlineStr">
        <is>
          <t>A 14717-2024</t>
        </is>
      </c>
      <c r="B400" s="1" t="n">
        <v>45397.55104166667</v>
      </c>
      <c r="C400" s="1" t="n">
        <v>46092</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53343-2025</t>
        </is>
      </c>
      <c r="B401" s="1" t="n">
        <v>45959.42025462963</v>
      </c>
      <c r="C401" s="1" t="n">
        <v>46092</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53715-2025</t>
        </is>
      </c>
      <c r="B402" s="1" t="n">
        <v>45960.61763888889</v>
      </c>
      <c r="C402" s="1" t="n">
        <v>46092</v>
      </c>
      <c r="D402" t="inlineStr">
        <is>
          <t>ÖREBRO LÄN</t>
        </is>
      </c>
      <c r="E402" t="inlineStr">
        <is>
          <t>ÖREBRO</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53719-2025</t>
        </is>
      </c>
      <c r="B403" s="1" t="n">
        <v>45960.62042824074</v>
      </c>
      <c r="C403" s="1" t="n">
        <v>46092</v>
      </c>
      <c r="D403" t="inlineStr">
        <is>
          <t>ÖREBRO LÄN</t>
        </is>
      </c>
      <c r="E403" t="inlineStr">
        <is>
          <t>ÖREBRO</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37968-2024</t>
        </is>
      </c>
      <c r="B404" s="1" t="n">
        <v>45544</v>
      </c>
      <c r="C404" s="1" t="n">
        <v>46092</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48687-2024</t>
        </is>
      </c>
      <c r="B405" s="1" t="n">
        <v>45593.49899305555</v>
      </c>
      <c r="C405" s="1" t="n">
        <v>46092</v>
      </c>
      <c r="D405" t="inlineStr">
        <is>
          <t>ÖREBRO LÄN</t>
        </is>
      </c>
      <c r="E405" t="inlineStr">
        <is>
          <t>ÖREBRO</t>
        </is>
      </c>
      <c r="F405" t="inlineStr">
        <is>
          <t>Övriga Aktiebolag</t>
        </is>
      </c>
      <c r="G405" t="n">
        <v>3.8</v>
      </c>
      <c r="H405" t="n">
        <v>0</v>
      </c>
      <c r="I405" t="n">
        <v>0</v>
      </c>
      <c r="J405" t="n">
        <v>0</v>
      </c>
      <c r="K405" t="n">
        <v>0</v>
      </c>
      <c r="L405" t="n">
        <v>0</v>
      </c>
      <c r="M405" t="n">
        <v>0</v>
      </c>
      <c r="N405" t="n">
        <v>0</v>
      </c>
      <c r="O405" t="n">
        <v>0</v>
      </c>
      <c r="P405" t="n">
        <v>0</v>
      </c>
      <c r="Q405" t="n">
        <v>0</v>
      </c>
      <c r="R405" s="2" t="inlineStr"/>
    </row>
    <row r="406" ht="15" customHeight="1">
      <c r="A406" t="inlineStr">
        <is>
          <t>A 3944-2026</t>
        </is>
      </c>
      <c r="B406" s="1" t="n">
        <v>46043.93358796297</v>
      </c>
      <c r="C406" s="1" t="n">
        <v>46092</v>
      </c>
      <c r="D406" t="inlineStr">
        <is>
          <t>ÖREBRO LÄN</t>
        </is>
      </c>
      <c r="E406" t="inlineStr">
        <is>
          <t>ÖREBRO</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25443-2021</t>
        </is>
      </c>
      <c r="B407" s="1" t="n">
        <v>44342</v>
      </c>
      <c r="C407" s="1" t="n">
        <v>46092</v>
      </c>
      <c r="D407" t="inlineStr">
        <is>
          <t>ÖREBRO LÄN</t>
        </is>
      </c>
      <c r="E407" t="inlineStr">
        <is>
          <t>ÖREBRO</t>
        </is>
      </c>
      <c r="G407" t="n">
        <v>1</v>
      </c>
      <c r="H407" t="n">
        <v>0</v>
      </c>
      <c r="I407" t="n">
        <v>0</v>
      </c>
      <c r="J407" t="n">
        <v>0</v>
      </c>
      <c r="K407" t="n">
        <v>0</v>
      </c>
      <c r="L407" t="n">
        <v>0</v>
      </c>
      <c r="M407" t="n">
        <v>0</v>
      </c>
      <c r="N407" t="n">
        <v>0</v>
      </c>
      <c r="O407" t="n">
        <v>0</v>
      </c>
      <c r="P407" t="n">
        <v>0</v>
      </c>
      <c r="Q407" t="n">
        <v>0</v>
      </c>
      <c r="R407" s="2" t="inlineStr"/>
    </row>
    <row r="408" ht="15" customHeight="1">
      <c r="A408" t="inlineStr">
        <is>
          <t>A 54205-2025</t>
        </is>
      </c>
      <c r="B408" s="1" t="n">
        <v>45964.58512731481</v>
      </c>
      <c r="C408" s="1" t="n">
        <v>46092</v>
      </c>
      <c r="D408" t="inlineStr">
        <is>
          <t>ÖREBRO LÄN</t>
        </is>
      </c>
      <c r="E408" t="inlineStr">
        <is>
          <t>ÖREBRO</t>
        </is>
      </c>
      <c r="G408" t="n">
        <v>24.3</v>
      </c>
      <c r="H408" t="n">
        <v>0</v>
      </c>
      <c r="I408" t="n">
        <v>0</v>
      </c>
      <c r="J408" t="n">
        <v>0</v>
      </c>
      <c r="K408" t="n">
        <v>0</v>
      </c>
      <c r="L408" t="n">
        <v>0</v>
      </c>
      <c r="M408" t="n">
        <v>0</v>
      </c>
      <c r="N408" t="n">
        <v>0</v>
      </c>
      <c r="O408" t="n">
        <v>0</v>
      </c>
      <c r="P408" t="n">
        <v>0</v>
      </c>
      <c r="Q408" t="n">
        <v>0</v>
      </c>
      <c r="R408" s="2" t="inlineStr"/>
    </row>
    <row r="409" ht="15" customHeight="1">
      <c r="A409" t="inlineStr">
        <is>
          <t>A 13700-2024</t>
        </is>
      </c>
      <c r="B409" s="1" t="n">
        <v>45390.59277777778</v>
      </c>
      <c r="C409" s="1" t="n">
        <v>46092</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54485-2025</t>
        </is>
      </c>
      <c r="B410" s="1" t="n">
        <v>45965.59295138889</v>
      </c>
      <c r="C410" s="1" t="n">
        <v>46092</v>
      </c>
      <c r="D410" t="inlineStr">
        <is>
          <t>ÖREBRO LÄN</t>
        </is>
      </c>
      <c r="E410" t="inlineStr">
        <is>
          <t>ÖREBRO</t>
        </is>
      </c>
      <c r="F410" t="inlineStr">
        <is>
          <t>Allmännings- och besparingsskogar</t>
        </is>
      </c>
      <c r="G410" t="n">
        <v>1.7</v>
      </c>
      <c r="H410" t="n">
        <v>0</v>
      </c>
      <c r="I410" t="n">
        <v>0</v>
      </c>
      <c r="J410" t="n">
        <v>0</v>
      </c>
      <c r="K410" t="n">
        <v>0</v>
      </c>
      <c r="L410" t="n">
        <v>0</v>
      </c>
      <c r="M410" t="n">
        <v>0</v>
      </c>
      <c r="N410" t="n">
        <v>0</v>
      </c>
      <c r="O410" t="n">
        <v>0</v>
      </c>
      <c r="P410" t="n">
        <v>0</v>
      </c>
      <c r="Q410" t="n">
        <v>0</v>
      </c>
      <c r="R410" s="2" t="inlineStr"/>
    </row>
    <row r="411" ht="15" customHeight="1">
      <c r="A411" t="inlineStr">
        <is>
          <t>A 5398-2022</t>
        </is>
      </c>
      <c r="B411" s="1" t="n">
        <v>44595.3353587963</v>
      </c>
      <c r="C411" s="1" t="n">
        <v>46092</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12536-2026</t>
        </is>
      </c>
      <c r="B412" s="1" t="n">
        <v>46090.60851851852</v>
      </c>
      <c r="C412" s="1" t="n">
        <v>46092</v>
      </c>
      <c r="D412" t="inlineStr">
        <is>
          <t>ÖREBRO LÄN</t>
        </is>
      </c>
      <c r="E412" t="inlineStr">
        <is>
          <t>ÖREBRO</t>
        </is>
      </c>
      <c r="G412" t="n">
        <v>7.7</v>
      </c>
      <c r="H412" t="n">
        <v>0</v>
      </c>
      <c r="I412" t="n">
        <v>0</v>
      </c>
      <c r="J412" t="n">
        <v>0</v>
      </c>
      <c r="K412" t="n">
        <v>0</v>
      </c>
      <c r="L412" t="n">
        <v>0</v>
      </c>
      <c r="M412" t="n">
        <v>0</v>
      </c>
      <c r="N412" t="n">
        <v>0</v>
      </c>
      <c r="O412" t="n">
        <v>0</v>
      </c>
      <c r="P412" t="n">
        <v>0</v>
      </c>
      <c r="Q412" t="n">
        <v>0</v>
      </c>
      <c r="R412" s="2" t="inlineStr"/>
    </row>
    <row r="413" ht="15" customHeight="1">
      <c r="A413" t="inlineStr">
        <is>
          <t>A 35062-2025</t>
        </is>
      </c>
      <c r="B413" s="1" t="n">
        <v>45852</v>
      </c>
      <c r="C413" s="1" t="n">
        <v>46092</v>
      </c>
      <c r="D413" t="inlineStr">
        <is>
          <t>ÖREBRO LÄN</t>
        </is>
      </c>
      <c r="E413" t="inlineStr">
        <is>
          <t>ÖREBRO</t>
        </is>
      </c>
      <c r="G413" t="n">
        <v>2.8</v>
      </c>
      <c r="H413" t="n">
        <v>0</v>
      </c>
      <c r="I413" t="n">
        <v>0</v>
      </c>
      <c r="J413" t="n">
        <v>0</v>
      </c>
      <c r="K413" t="n">
        <v>0</v>
      </c>
      <c r="L413" t="n">
        <v>0</v>
      </c>
      <c r="M413" t="n">
        <v>0</v>
      </c>
      <c r="N413" t="n">
        <v>0</v>
      </c>
      <c r="O413" t="n">
        <v>0</v>
      </c>
      <c r="P413" t="n">
        <v>0</v>
      </c>
      <c r="Q413" t="n">
        <v>0</v>
      </c>
      <c r="R413" s="2" t="inlineStr"/>
    </row>
    <row r="414" ht="15" customHeight="1">
      <c r="A414" t="inlineStr">
        <is>
          <t>A 38415-2023</t>
        </is>
      </c>
      <c r="B414" s="1" t="n">
        <v>45162.35502314815</v>
      </c>
      <c r="C414" s="1" t="n">
        <v>46092</v>
      </c>
      <c r="D414" t="inlineStr">
        <is>
          <t>ÖREBRO LÄN</t>
        </is>
      </c>
      <c r="E414" t="inlineStr">
        <is>
          <t>ÖREBRO</t>
        </is>
      </c>
      <c r="G414" t="n">
        <v>2.6</v>
      </c>
      <c r="H414" t="n">
        <v>0</v>
      </c>
      <c r="I414" t="n">
        <v>0</v>
      </c>
      <c r="J414" t="n">
        <v>0</v>
      </c>
      <c r="K414" t="n">
        <v>0</v>
      </c>
      <c r="L414" t="n">
        <v>0</v>
      </c>
      <c r="M414" t="n">
        <v>0</v>
      </c>
      <c r="N414" t="n">
        <v>0</v>
      </c>
      <c r="O414" t="n">
        <v>0</v>
      </c>
      <c r="P414" t="n">
        <v>0</v>
      </c>
      <c r="Q414" t="n">
        <v>0</v>
      </c>
      <c r="R414" s="2" t="inlineStr"/>
    </row>
    <row r="415" ht="15" customHeight="1">
      <c r="A415" t="inlineStr">
        <is>
          <t>A 60128-2023</t>
        </is>
      </c>
      <c r="B415" s="1" t="n">
        <v>45258</v>
      </c>
      <c r="C415" s="1" t="n">
        <v>46092</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18047-2023</t>
        </is>
      </c>
      <c r="B416" s="1" t="n">
        <v>45040</v>
      </c>
      <c r="C416" s="1" t="n">
        <v>46092</v>
      </c>
      <c r="D416" t="inlineStr">
        <is>
          <t>ÖREBRO LÄN</t>
        </is>
      </c>
      <c r="E416" t="inlineStr">
        <is>
          <t>ÖREBRO</t>
        </is>
      </c>
      <c r="G416" t="n">
        <v>3.9</v>
      </c>
      <c r="H416" t="n">
        <v>0</v>
      </c>
      <c r="I416" t="n">
        <v>0</v>
      </c>
      <c r="J416" t="n">
        <v>0</v>
      </c>
      <c r="K416" t="n">
        <v>0</v>
      </c>
      <c r="L416" t="n">
        <v>0</v>
      </c>
      <c r="M416" t="n">
        <v>0</v>
      </c>
      <c r="N416" t="n">
        <v>0</v>
      </c>
      <c r="O416" t="n">
        <v>0</v>
      </c>
      <c r="P416" t="n">
        <v>0</v>
      </c>
      <c r="Q416" t="n">
        <v>0</v>
      </c>
      <c r="R416" s="2" t="inlineStr"/>
    </row>
    <row r="417" ht="15" customHeight="1">
      <c r="A417" t="inlineStr">
        <is>
          <t>A 28821-2025</t>
        </is>
      </c>
      <c r="B417" s="1" t="n">
        <v>45820</v>
      </c>
      <c r="C417" s="1" t="n">
        <v>46092</v>
      </c>
      <c r="D417" t="inlineStr">
        <is>
          <t>ÖREBRO LÄN</t>
        </is>
      </c>
      <c r="E417" t="inlineStr">
        <is>
          <t>ÖREBRO</t>
        </is>
      </c>
      <c r="G417" t="n">
        <v>12.6</v>
      </c>
      <c r="H417" t="n">
        <v>0</v>
      </c>
      <c r="I417" t="n">
        <v>0</v>
      </c>
      <c r="J417" t="n">
        <v>0</v>
      </c>
      <c r="K417" t="n">
        <v>0</v>
      </c>
      <c r="L417" t="n">
        <v>0</v>
      </c>
      <c r="M417" t="n">
        <v>0</v>
      </c>
      <c r="N417" t="n">
        <v>0</v>
      </c>
      <c r="O417" t="n">
        <v>0</v>
      </c>
      <c r="P417" t="n">
        <v>0</v>
      </c>
      <c r="Q417" t="n">
        <v>0</v>
      </c>
      <c r="R417" s="2" t="inlineStr"/>
    </row>
    <row r="418" ht="15" customHeight="1">
      <c r="A418" t="inlineStr">
        <is>
          <t>A 35637-2025</t>
        </is>
      </c>
      <c r="B418" s="1" t="n">
        <v>45859.46859953704</v>
      </c>
      <c r="C418" s="1" t="n">
        <v>46092</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49797-2024</t>
        </is>
      </c>
      <c r="B419" s="1" t="n">
        <v>45597.37265046296</v>
      </c>
      <c r="C419" s="1" t="n">
        <v>46092</v>
      </c>
      <c r="D419" t="inlineStr">
        <is>
          <t>ÖREBRO LÄN</t>
        </is>
      </c>
      <c r="E419" t="inlineStr">
        <is>
          <t>ÖREBRO</t>
        </is>
      </c>
      <c r="G419" t="n">
        <v>11.6</v>
      </c>
      <c r="H419" t="n">
        <v>0</v>
      </c>
      <c r="I419" t="n">
        <v>0</v>
      </c>
      <c r="J419" t="n">
        <v>0</v>
      </c>
      <c r="K419" t="n">
        <v>0</v>
      </c>
      <c r="L419" t="n">
        <v>0</v>
      </c>
      <c r="M419" t="n">
        <v>0</v>
      </c>
      <c r="N419" t="n">
        <v>0</v>
      </c>
      <c r="O419" t="n">
        <v>0</v>
      </c>
      <c r="P419" t="n">
        <v>0</v>
      </c>
      <c r="Q419" t="n">
        <v>0</v>
      </c>
      <c r="R419" s="2" t="inlineStr"/>
    </row>
    <row r="420" ht="15" customHeight="1">
      <c r="A420" t="inlineStr">
        <is>
          <t>A 35928-2025</t>
        </is>
      </c>
      <c r="B420" s="1" t="n">
        <v>45862</v>
      </c>
      <c r="C420" s="1" t="n">
        <v>46092</v>
      </c>
      <c r="D420" t="inlineStr">
        <is>
          <t>ÖREBRO LÄN</t>
        </is>
      </c>
      <c r="E420" t="inlineStr">
        <is>
          <t>ÖREBRO</t>
        </is>
      </c>
      <c r="G420" t="n">
        <v>4.4</v>
      </c>
      <c r="H420" t="n">
        <v>0</v>
      </c>
      <c r="I420" t="n">
        <v>0</v>
      </c>
      <c r="J420" t="n">
        <v>0</v>
      </c>
      <c r="K420" t="n">
        <v>0</v>
      </c>
      <c r="L420" t="n">
        <v>0</v>
      </c>
      <c r="M420" t="n">
        <v>0</v>
      </c>
      <c r="N420" t="n">
        <v>0</v>
      </c>
      <c r="O420" t="n">
        <v>0</v>
      </c>
      <c r="P420" t="n">
        <v>0</v>
      </c>
      <c r="Q420" t="n">
        <v>0</v>
      </c>
      <c r="R420" s="2" t="inlineStr"/>
    </row>
    <row r="421" ht="15" customHeight="1">
      <c r="A421" t="inlineStr">
        <is>
          <t>A 32025-2024</t>
        </is>
      </c>
      <c r="B421" s="1" t="n">
        <v>45510.65754629629</v>
      </c>
      <c r="C421" s="1" t="n">
        <v>46092</v>
      </c>
      <c r="D421" t="inlineStr">
        <is>
          <t>ÖREBRO LÄN</t>
        </is>
      </c>
      <c r="E421" t="inlineStr">
        <is>
          <t>ÖREBRO</t>
        </is>
      </c>
      <c r="G421" t="n">
        <v>4</v>
      </c>
      <c r="H421" t="n">
        <v>0</v>
      </c>
      <c r="I421" t="n">
        <v>0</v>
      </c>
      <c r="J421" t="n">
        <v>0</v>
      </c>
      <c r="K421" t="n">
        <v>0</v>
      </c>
      <c r="L421" t="n">
        <v>0</v>
      </c>
      <c r="M421" t="n">
        <v>0</v>
      </c>
      <c r="N421" t="n">
        <v>0</v>
      </c>
      <c r="O421" t="n">
        <v>0</v>
      </c>
      <c r="P421" t="n">
        <v>0</v>
      </c>
      <c r="Q421" t="n">
        <v>0</v>
      </c>
      <c r="R421" s="2" t="inlineStr"/>
    </row>
    <row r="422" ht="15" customHeight="1">
      <c r="A422" t="inlineStr">
        <is>
          <t>A 55453-2024</t>
        </is>
      </c>
      <c r="B422" s="1" t="n">
        <v>45622.42097222222</v>
      </c>
      <c r="C422" s="1" t="n">
        <v>46092</v>
      </c>
      <c r="D422" t="inlineStr">
        <is>
          <t>ÖREBRO LÄN</t>
        </is>
      </c>
      <c r="E422" t="inlineStr">
        <is>
          <t>ÖREBRO</t>
        </is>
      </c>
      <c r="G422" t="n">
        <v>8.5</v>
      </c>
      <c r="H422" t="n">
        <v>0</v>
      </c>
      <c r="I422" t="n">
        <v>0</v>
      </c>
      <c r="J422" t="n">
        <v>0</v>
      </c>
      <c r="K422" t="n">
        <v>0</v>
      </c>
      <c r="L422" t="n">
        <v>0</v>
      </c>
      <c r="M422" t="n">
        <v>0</v>
      </c>
      <c r="N422" t="n">
        <v>0</v>
      </c>
      <c r="O422" t="n">
        <v>0</v>
      </c>
      <c r="P422" t="n">
        <v>0</v>
      </c>
      <c r="Q422" t="n">
        <v>0</v>
      </c>
      <c r="R422" s="2" t="inlineStr"/>
    </row>
    <row r="423" ht="15" customHeight="1">
      <c r="A423" t="inlineStr">
        <is>
          <t>A 36448-2025</t>
        </is>
      </c>
      <c r="B423" s="1" t="n">
        <v>45869.41929398148</v>
      </c>
      <c r="C423" s="1" t="n">
        <v>46092</v>
      </c>
      <c r="D423" t="inlineStr">
        <is>
          <t>ÖREBRO LÄN</t>
        </is>
      </c>
      <c r="E423" t="inlineStr">
        <is>
          <t>ÖREBRO</t>
        </is>
      </c>
      <c r="F423" t="inlineStr">
        <is>
          <t>Övriga Aktiebolag</t>
        </is>
      </c>
      <c r="G423" t="n">
        <v>4.3</v>
      </c>
      <c r="H423" t="n">
        <v>0</v>
      </c>
      <c r="I423" t="n">
        <v>0</v>
      </c>
      <c r="J423" t="n">
        <v>0</v>
      </c>
      <c r="K423" t="n">
        <v>0</v>
      </c>
      <c r="L423" t="n">
        <v>0</v>
      </c>
      <c r="M423" t="n">
        <v>0</v>
      </c>
      <c r="N423" t="n">
        <v>0</v>
      </c>
      <c r="O423" t="n">
        <v>0</v>
      </c>
      <c r="P423" t="n">
        <v>0</v>
      </c>
      <c r="Q423" t="n">
        <v>0</v>
      </c>
      <c r="R423" s="2" t="inlineStr"/>
    </row>
    <row r="424" ht="15" customHeight="1">
      <c r="A424" t="inlineStr">
        <is>
          <t>A 8022-2022</t>
        </is>
      </c>
      <c r="B424" s="1" t="n">
        <v>44609</v>
      </c>
      <c r="C424" s="1" t="n">
        <v>46092</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36447-2025</t>
        </is>
      </c>
      <c r="B425" s="1" t="n">
        <v>45869.41387731482</v>
      </c>
      <c r="C425" s="1" t="n">
        <v>46092</v>
      </c>
      <c r="D425" t="inlineStr">
        <is>
          <t>ÖREBRO LÄN</t>
        </is>
      </c>
      <c r="E425" t="inlineStr">
        <is>
          <t>ÖREBRO</t>
        </is>
      </c>
      <c r="F425" t="inlineStr">
        <is>
          <t>Övriga Aktiebolag</t>
        </is>
      </c>
      <c r="G425" t="n">
        <v>12.6</v>
      </c>
      <c r="H425" t="n">
        <v>0</v>
      </c>
      <c r="I425" t="n">
        <v>0</v>
      </c>
      <c r="J425" t="n">
        <v>0</v>
      </c>
      <c r="K425" t="n">
        <v>0</v>
      </c>
      <c r="L425" t="n">
        <v>0</v>
      </c>
      <c r="M425" t="n">
        <v>0</v>
      </c>
      <c r="N425" t="n">
        <v>0</v>
      </c>
      <c r="O425" t="n">
        <v>0</v>
      </c>
      <c r="P425" t="n">
        <v>0</v>
      </c>
      <c r="Q425" t="n">
        <v>0</v>
      </c>
      <c r="R425" s="2" t="inlineStr"/>
    </row>
    <row r="426" ht="15" customHeight="1">
      <c r="A426" t="inlineStr">
        <is>
          <t>A 29978-2024</t>
        </is>
      </c>
      <c r="B426" s="1" t="n">
        <v>45488.48340277778</v>
      </c>
      <c r="C426" s="1" t="n">
        <v>46092</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19978-2025</t>
        </is>
      </c>
      <c r="B427" s="1" t="n">
        <v>45771.7062037037</v>
      </c>
      <c r="C427" s="1" t="n">
        <v>46092</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7134-2025</t>
        </is>
      </c>
      <c r="B428" s="1" t="n">
        <v>45702</v>
      </c>
      <c r="C428" s="1" t="n">
        <v>46092</v>
      </c>
      <c r="D428" t="inlineStr">
        <is>
          <t>ÖREBRO LÄN</t>
        </is>
      </c>
      <c r="E428" t="inlineStr">
        <is>
          <t>ÖREBRO</t>
        </is>
      </c>
      <c r="F428" t="inlineStr">
        <is>
          <t>Övriga Aktiebolag</t>
        </is>
      </c>
      <c r="G428" t="n">
        <v>2.1</v>
      </c>
      <c r="H428" t="n">
        <v>0</v>
      </c>
      <c r="I428" t="n">
        <v>0</v>
      </c>
      <c r="J428" t="n">
        <v>0</v>
      </c>
      <c r="K428" t="n">
        <v>0</v>
      </c>
      <c r="L428" t="n">
        <v>0</v>
      </c>
      <c r="M428" t="n">
        <v>0</v>
      </c>
      <c r="N428" t="n">
        <v>0</v>
      </c>
      <c r="O428" t="n">
        <v>0</v>
      </c>
      <c r="P428" t="n">
        <v>0</v>
      </c>
      <c r="Q428" t="n">
        <v>0</v>
      </c>
      <c r="R428" s="2" t="inlineStr"/>
    </row>
    <row r="429" ht="15" customHeight="1">
      <c r="A429" t="inlineStr">
        <is>
          <t>A 16374-2022</t>
        </is>
      </c>
      <c r="B429" s="1" t="n">
        <v>44671</v>
      </c>
      <c r="C429" s="1" t="n">
        <v>46092</v>
      </c>
      <c r="D429" t="inlineStr">
        <is>
          <t>ÖREBRO LÄN</t>
        </is>
      </c>
      <c r="E429" t="inlineStr">
        <is>
          <t>ÖREBRO</t>
        </is>
      </c>
      <c r="F429" t="inlineStr">
        <is>
          <t>Övriga Aktiebolag</t>
        </is>
      </c>
      <c r="G429" t="n">
        <v>30.3</v>
      </c>
      <c r="H429" t="n">
        <v>0</v>
      </c>
      <c r="I429" t="n">
        <v>0</v>
      </c>
      <c r="J429" t="n">
        <v>0</v>
      </c>
      <c r="K429" t="n">
        <v>0</v>
      </c>
      <c r="L429" t="n">
        <v>0</v>
      </c>
      <c r="M429" t="n">
        <v>0</v>
      </c>
      <c r="N429" t="n">
        <v>0</v>
      </c>
      <c r="O429" t="n">
        <v>0</v>
      </c>
      <c r="P429" t="n">
        <v>0</v>
      </c>
      <c r="Q429" t="n">
        <v>0</v>
      </c>
      <c r="R429" s="2" t="inlineStr"/>
    </row>
    <row r="430" ht="15" customHeight="1">
      <c r="A430" t="inlineStr">
        <is>
          <t>A 27956-2023</t>
        </is>
      </c>
      <c r="B430" s="1" t="n">
        <v>45098</v>
      </c>
      <c r="C430" s="1" t="n">
        <v>46092</v>
      </c>
      <c r="D430" t="inlineStr">
        <is>
          <t>ÖREBRO LÄN</t>
        </is>
      </c>
      <c r="E430" t="inlineStr">
        <is>
          <t>ÖREBRO</t>
        </is>
      </c>
      <c r="G430" t="n">
        <v>0.8</v>
      </c>
      <c r="H430" t="n">
        <v>0</v>
      </c>
      <c r="I430" t="n">
        <v>0</v>
      </c>
      <c r="J430" t="n">
        <v>0</v>
      </c>
      <c r="K430" t="n">
        <v>0</v>
      </c>
      <c r="L430" t="n">
        <v>0</v>
      </c>
      <c r="M430" t="n">
        <v>0</v>
      </c>
      <c r="N430" t="n">
        <v>0</v>
      </c>
      <c r="O430" t="n">
        <v>0</v>
      </c>
      <c r="P430" t="n">
        <v>0</v>
      </c>
      <c r="Q430" t="n">
        <v>0</v>
      </c>
      <c r="R430" s="2" t="inlineStr"/>
    </row>
    <row r="431" ht="15" customHeight="1">
      <c r="A431" t="inlineStr">
        <is>
          <t>A 13321-2024</t>
        </is>
      </c>
      <c r="B431" s="1" t="n">
        <v>45386.83142361111</v>
      </c>
      <c r="C431" s="1" t="n">
        <v>46092</v>
      </c>
      <c r="D431" t="inlineStr">
        <is>
          <t>ÖREBRO LÄN</t>
        </is>
      </c>
      <c r="E431" t="inlineStr">
        <is>
          <t>ÖREBRO</t>
        </is>
      </c>
      <c r="G431" t="n">
        <v>13.1</v>
      </c>
      <c r="H431" t="n">
        <v>0</v>
      </c>
      <c r="I431" t="n">
        <v>0</v>
      </c>
      <c r="J431" t="n">
        <v>0</v>
      </c>
      <c r="K431" t="n">
        <v>0</v>
      </c>
      <c r="L431" t="n">
        <v>0</v>
      </c>
      <c r="M431" t="n">
        <v>0</v>
      </c>
      <c r="N431" t="n">
        <v>0</v>
      </c>
      <c r="O431" t="n">
        <v>0</v>
      </c>
      <c r="P431" t="n">
        <v>0</v>
      </c>
      <c r="Q431" t="n">
        <v>0</v>
      </c>
      <c r="R431" s="2" t="inlineStr"/>
    </row>
    <row r="432" ht="15" customHeight="1">
      <c r="A432" t="inlineStr">
        <is>
          <t>A 29554-2025</t>
        </is>
      </c>
      <c r="B432" s="1" t="n">
        <v>45825</v>
      </c>
      <c r="C432" s="1" t="n">
        <v>46092</v>
      </c>
      <c r="D432" t="inlineStr">
        <is>
          <t>ÖREBRO LÄN</t>
        </is>
      </c>
      <c r="E432" t="inlineStr">
        <is>
          <t>ÖREBRO</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15652-2025</t>
        </is>
      </c>
      <c r="B433" s="1" t="n">
        <v>45748</v>
      </c>
      <c r="C433" s="1" t="n">
        <v>46092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16737-2023</t>
        </is>
      </c>
      <c r="B434" s="1" t="n">
        <v>45030.72472222222</v>
      </c>
      <c r="C434" s="1" t="n">
        <v>46092</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5762-2025</t>
        </is>
      </c>
      <c r="B435" s="1" t="n">
        <v>45694.57181712963</v>
      </c>
      <c r="C435" s="1" t="n">
        <v>46092</v>
      </c>
      <c r="D435" t="inlineStr">
        <is>
          <t>ÖREBRO LÄN</t>
        </is>
      </c>
      <c r="E435" t="inlineStr">
        <is>
          <t>ÖREBRO</t>
        </is>
      </c>
      <c r="F435" t="inlineStr">
        <is>
          <t>Övriga Aktiebolag</t>
        </is>
      </c>
      <c r="G435" t="n">
        <v>1.5</v>
      </c>
      <c r="H435" t="n">
        <v>0</v>
      </c>
      <c r="I435" t="n">
        <v>0</v>
      </c>
      <c r="J435" t="n">
        <v>0</v>
      </c>
      <c r="K435" t="n">
        <v>0</v>
      </c>
      <c r="L435" t="n">
        <v>0</v>
      </c>
      <c r="M435" t="n">
        <v>0</v>
      </c>
      <c r="N435" t="n">
        <v>0</v>
      </c>
      <c r="O435" t="n">
        <v>0</v>
      </c>
      <c r="P435" t="n">
        <v>0</v>
      </c>
      <c r="Q435" t="n">
        <v>0</v>
      </c>
      <c r="R435" s="2" t="inlineStr"/>
    </row>
    <row r="436" ht="15" customHeight="1">
      <c r="A436" t="inlineStr">
        <is>
          <t>A 51180-2023</t>
        </is>
      </c>
      <c r="B436" s="1" t="n">
        <v>45219</v>
      </c>
      <c r="C436" s="1" t="n">
        <v>46092</v>
      </c>
      <c r="D436" t="inlineStr">
        <is>
          <t>ÖREBRO LÄN</t>
        </is>
      </c>
      <c r="E436" t="inlineStr">
        <is>
          <t>ÖREBRO</t>
        </is>
      </c>
      <c r="G436" t="n">
        <v>6.5</v>
      </c>
      <c r="H436" t="n">
        <v>0</v>
      </c>
      <c r="I436" t="n">
        <v>0</v>
      </c>
      <c r="J436" t="n">
        <v>0</v>
      </c>
      <c r="K436" t="n">
        <v>0</v>
      </c>
      <c r="L436" t="n">
        <v>0</v>
      </c>
      <c r="M436" t="n">
        <v>0</v>
      </c>
      <c r="N436" t="n">
        <v>0</v>
      </c>
      <c r="O436" t="n">
        <v>0</v>
      </c>
      <c r="P436" t="n">
        <v>0</v>
      </c>
      <c r="Q436" t="n">
        <v>0</v>
      </c>
      <c r="R436" s="2" t="inlineStr"/>
    </row>
    <row r="437" ht="15" customHeight="1">
      <c r="A437" t="inlineStr">
        <is>
          <t>A 58621-2024</t>
        </is>
      </c>
      <c r="B437" s="1" t="n">
        <v>45635.56321759259</v>
      </c>
      <c r="C437" s="1" t="n">
        <v>46092</v>
      </c>
      <c r="D437" t="inlineStr">
        <is>
          <t>ÖREBRO LÄN</t>
        </is>
      </c>
      <c r="E437" t="inlineStr">
        <is>
          <t>ÖREBRO</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5578-2024</t>
        </is>
      </c>
      <c r="B438" s="1" t="n">
        <v>45334.49104166667</v>
      </c>
      <c r="C438" s="1" t="n">
        <v>46092</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32086-2023</t>
        </is>
      </c>
      <c r="B439" s="1" t="n">
        <v>45119.59789351852</v>
      </c>
      <c r="C439" s="1" t="n">
        <v>46092</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22079-2023</t>
        </is>
      </c>
      <c r="B440" s="1" t="n">
        <v>45069</v>
      </c>
      <c r="C440" s="1" t="n">
        <v>46092</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38057-2025</t>
        </is>
      </c>
      <c r="B441" s="1" t="n">
        <v>45882.42570601852</v>
      </c>
      <c r="C441" s="1" t="n">
        <v>46092</v>
      </c>
      <c r="D441" t="inlineStr">
        <is>
          <t>ÖREBRO LÄN</t>
        </is>
      </c>
      <c r="E441" t="inlineStr">
        <is>
          <t>ÖREBRO</t>
        </is>
      </c>
      <c r="G441" t="n">
        <v>3</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46092</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5330-2024</t>
        </is>
      </c>
      <c r="B443" s="1" t="n">
        <v>45331.4187962963</v>
      </c>
      <c r="C443" s="1" t="n">
        <v>46092</v>
      </c>
      <c r="D443" t="inlineStr">
        <is>
          <t>ÖREBRO LÄN</t>
        </is>
      </c>
      <c r="E443" t="inlineStr">
        <is>
          <t>ÖREBRO</t>
        </is>
      </c>
      <c r="G443" t="n">
        <v>1.4</v>
      </c>
      <c r="H443" t="n">
        <v>0</v>
      </c>
      <c r="I443" t="n">
        <v>0</v>
      </c>
      <c r="J443" t="n">
        <v>0</v>
      </c>
      <c r="K443" t="n">
        <v>0</v>
      </c>
      <c r="L443" t="n">
        <v>0</v>
      </c>
      <c r="M443" t="n">
        <v>0</v>
      </c>
      <c r="N443" t="n">
        <v>0</v>
      </c>
      <c r="O443" t="n">
        <v>0</v>
      </c>
      <c r="P443" t="n">
        <v>0</v>
      </c>
      <c r="Q443" t="n">
        <v>0</v>
      </c>
      <c r="R443" s="2" t="inlineStr"/>
    </row>
    <row r="444" ht="15" customHeight="1">
      <c r="A444" t="inlineStr">
        <is>
          <t>A 54925-2023</t>
        </is>
      </c>
      <c r="B444" s="1" t="n">
        <v>45229</v>
      </c>
      <c r="C444" s="1" t="n">
        <v>46092</v>
      </c>
      <c r="D444" t="inlineStr">
        <is>
          <t>ÖREBRO LÄN</t>
        </is>
      </c>
      <c r="E444" t="inlineStr">
        <is>
          <t>ÖREBRO</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10830-2023</t>
        </is>
      </c>
      <c r="B445" s="1" t="n">
        <v>44990.89752314815</v>
      </c>
      <c r="C445" s="1" t="n">
        <v>46092</v>
      </c>
      <c r="D445" t="inlineStr">
        <is>
          <t>ÖREBRO LÄN</t>
        </is>
      </c>
      <c r="E445" t="inlineStr">
        <is>
          <t>ÖREBRO</t>
        </is>
      </c>
      <c r="G445" t="n">
        <v>2</v>
      </c>
      <c r="H445" t="n">
        <v>0</v>
      </c>
      <c r="I445" t="n">
        <v>0</v>
      </c>
      <c r="J445" t="n">
        <v>0</v>
      </c>
      <c r="K445" t="n">
        <v>0</v>
      </c>
      <c r="L445" t="n">
        <v>0</v>
      </c>
      <c r="M445" t="n">
        <v>0</v>
      </c>
      <c r="N445" t="n">
        <v>0</v>
      </c>
      <c r="O445" t="n">
        <v>0</v>
      </c>
      <c r="P445" t="n">
        <v>0</v>
      </c>
      <c r="Q445" t="n">
        <v>0</v>
      </c>
      <c r="R445" s="2" t="inlineStr"/>
    </row>
    <row r="446" ht="15" customHeight="1">
      <c r="A446" t="inlineStr">
        <is>
          <t>A 9585-2025</t>
        </is>
      </c>
      <c r="B446" s="1" t="n">
        <v>45715.63409722222</v>
      </c>
      <c r="C446" s="1" t="n">
        <v>46092</v>
      </c>
      <c r="D446" t="inlineStr">
        <is>
          <t>ÖREBRO LÄN</t>
        </is>
      </c>
      <c r="E446" t="inlineStr">
        <is>
          <t>ÖREBRO</t>
        </is>
      </c>
      <c r="G446" t="n">
        <v>3.4</v>
      </c>
      <c r="H446" t="n">
        <v>0</v>
      </c>
      <c r="I446" t="n">
        <v>0</v>
      </c>
      <c r="J446" t="n">
        <v>0</v>
      </c>
      <c r="K446" t="n">
        <v>0</v>
      </c>
      <c r="L446" t="n">
        <v>0</v>
      </c>
      <c r="M446" t="n">
        <v>0</v>
      </c>
      <c r="N446" t="n">
        <v>0</v>
      </c>
      <c r="O446" t="n">
        <v>0</v>
      </c>
      <c r="P446" t="n">
        <v>0</v>
      </c>
      <c r="Q446" t="n">
        <v>0</v>
      </c>
      <c r="R446" s="2" t="inlineStr"/>
    </row>
    <row r="447" ht="15" customHeight="1">
      <c r="A447" t="inlineStr">
        <is>
          <t>A 5125-2024</t>
        </is>
      </c>
      <c r="B447" s="1" t="n">
        <v>45330</v>
      </c>
      <c r="C447" s="1" t="n">
        <v>46092</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42138-2024</t>
        </is>
      </c>
      <c r="B448" s="1" t="n">
        <v>45562.41854166667</v>
      </c>
      <c r="C448" s="1" t="n">
        <v>46092</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26101-2022</t>
        </is>
      </c>
      <c r="B449" s="1" t="n">
        <v>44734</v>
      </c>
      <c r="C449" s="1" t="n">
        <v>46092</v>
      </c>
      <c r="D449" t="inlineStr">
        <is>
          <t>ÖREBRO LÄN</t>
        </is>
      </c>
      <c r="E449" t="inlineStr">
        <is>
          <t>ÖREBRO</t>
        </is>
      </c>
      <c r="G449" t="n">
        <v>15.8</v>
      </c>
      <c r="H449" t="n">
        <v>0</v>
      </c>
      <c r="I449" t="n">
        <v>0</v>
      </c>
      <c r="J449" t="n">
        <v>0</v>
      </c>
      <c r="K449" t="n">
        <v>0</v>
      </c>
      <c r="L449" t="n">
        <v>0</v>
      </c>
      <c r="M449" t="n">
        <v>0</v>
      </c>
      <c r="N449" t="n">
        <v>0</v>
      </c>
      <c r="O449" t="n">
        <v>0</v>
      </c>
      <c r="P449" t="n">
        <v>0</v>
      </c>
      <c r="Q449" t="n">
        <v>0</v>
      </c>
      <c r="R449" s="2" t="inlineStr"/>
    </row>
    <row r="450" ht="15" customHeight="1">
      <c r="A450" t="inlineStr">
        <is>
          <t>A 2095-2025</t>
        </is>
      </c>
      <c r="B450" s="1" t="n">
        <v>45672</v>
      </c>
      <c r="C450" s="1" t="n">
        <v>46092</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71206-2021</t>
        </is>
      </c>
      <c r="B451" s="1" t="n">
        <v>44539</v>
      </c>
      <c r="C451" s="1" t="n">
        <v>46092</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48140-2024</t>
        </is>
      </c>
      <c r="B452" s="1" t="n">
        <v>45589.66474537037</v>
      </c>
      <c r="C452" s="1" t="n">
        <v>46092</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41703-2024</t>
        </is>
      </c>
      <c r="B453" s="1" t="n">
        <v>45560</v>
      </c>
      <c r="C453" s="1" t="n">
        <v>46092</v>
      </c>
      <c r="D453" t="inlineStr">
        <is>
          <t>ÖREBRO LÄN</t>
        </is>
      </c>
      <c r="E453" t="inlineStr">
        <is>
          <t>ÖREBRO</t>
        </is>
      </c>
      <c r="G453" t="n">
        <v>6.4</v>
      </c>
      <c r="H453" t="n">
        <v>0</v>
      </c>
      <c r="I453" t="n">
        <v>0</v>
      </c>
      <c r="J453" t="n">
        <v>0</v>
      </c>
      <c r="K453" t="n">
        <v>0</v>
      </c>
      <c r="L453" t="n">
        <v>0</v>
      </c>
      <c r="M453" t="n">
        <v>0</v>
      </c>
      <c r="N453" t="n">
        <v>0</v>
      </c>
      <c r="O453" t="n">
        <v>0</v>
      </c>
      <c r="P453" t="n">
        <v>0</v>
      </c>
      <c r="Q453" t="n">
        <v>0</v>
      </c>
      <c r="R453" s="2" t="inlineStr"/>
    </row>
    <row r="454" ht="15" customHeight="1">
      <c r="A454" t="inlineStr">
        <is>
          <t>A 33577-2023</t>
        </is>
      </c>
      <c r="B454" s="1" t="n">
        <v>45131</v>
      </c>
      <c r="C454" s="1" t="n">
        <v>46092</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38489-2023</t>
        </is>
      </c>
      <c r="B455" s="1" t="n">
        <v>45162</v>
      </c>
      <c r="C455" s="1" t="n">
        <v>46092</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19763-2024</t>
        </is>
      </c>
      <c r="B456" s="1" t="n">
        <v>45432</v>
      </c>
      <c r="C456" s="1" t="n">
        <v>46092</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14545-2023</t>
        </is>
      </c>
      <c r="B457" s="1" t="n">
        <v>45013.34895833334</v>
      </c>
      <c r="C457" s="1" t="n">
        <v>46092</v>
      </c>
      <c r="D457" t="inlineStr">
        <is>
          <t>ÖREBRO LÄN</t>
        </is>
      </c>
      <c r="E457" t="inlineStr">
        <is>
          <t>ÖREBRO</t>
        </is>
      </c>
      <c r="G457" t="n">
        <v>2.5</v>
      </c>
      <c r="H457" t="n">
        <v>0</v>
      </c>
      <c r="I457" t="n">
        <v>0</v>
      </c>
      <c r="J457" t="n">
        <v>0</v>
      </c>
      <c r="K457" t="n">
        <v>0</v>
      </c>
      <c r="L457" t="n">
        <v>0</v>
      </c>
      <c r="M457" t="n">
        <v>0</v>
      </c>
      <c r="N457" t="n">
        <v>0</v>
      </c>
      <c r="O457" t="n">
        <v>0</v>
      </c>
      <c r="P457" t="n">
        <v>0</v>
      </c>
      <c r="Q457" t="n">
        <v>0</v>
      </c>
      <c r="R457" s="2" t="inlineStr"/>
    </row>
    <row r="458" ht="15" customHeight="1">
      <c r="A458" t="inlineStr">
        <is>
          <t>A 54917-2023</t>
        </is>
      </c>
      <c r="B458" s="1" t="n">
        <v>45229</v>
      </c>
      <c r="C458" s="1" t="n">
        <v>46092</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14432-2023</t>
        </is>
      </c>
      <c r="B459" s="1" t="n">
        <v>45012</v>
      </c>
      <c r="C459" s="1" t="n">
        <v>46092</v>
      </c>
      <c r="D459" t="inlineStr">
        <is>
          <t>ÖREBRO LÄN</t>
        </is>
      </c>
      <c r="E459" t="inlineStr">
        <is>
          <t>ÖREBRO</t>
        </is>
      </c>
      <c r="G459" t="n">
        <v>3.3</v>
      </c>
      <c r="H459" t="n">
        <v>0</v>
      </c>
      <c r="I459" t="n">
        <v>0</v>
      </c>
      <c r="J459" t="n">
        <v>0</v>
      </c>
      <c r="K459" t="n">
        <v>0</v>
      </c>
      <c r="L459" t="n">
        <v>0</v>
      </c>
      <c r="M459" t="n">
        <v>0</v>
      </c>
      <c r="N459" t="n">
        <v>0</v>
      </c>
      <c r="O459" t="n">
        <v>0</v>
      </c>
      <c r="P459" t="n">
        <v>0</v>
      </c>
      <c r="Q459" t="n">
        <v>0</v>
      </c>
      <c r="R459" s="2" t="inlineStr"/>
    </row>
    <row r="460" ht="15" customHeight="1">
      <c r="A460" t="inlineStr">
        <is>
          <t>A 3652-2022</t>
        </is>
      </c>
      <c r="B460" s="1" t="n">
        <v>44586.46921296296</v>
      </c>
      <c r="C460" s="1" t="n">
        <v>46092</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37021-2024</t>
        </is>
      </c>
      <c r="B461" s="1" t="n">
        <v>45539.38146990741</v>
      </c>
      <c r="C461" s="1" t="n">
        <v>46092</v>
      </c>
      <c r="D461" t="inlineStr">
        <is>
          <t>ÖREBRO LÄN</t>
        </is>
      </c>
      <c r="E461" t="inlineStr">
        <is>
          <t>ÖREBRO</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52499-2024</t>
        </is>
      </c>
      <c r="B462" s="1" t="n">
        <v>45609.58422453704</v>
      </c>
      <c r="C462" s="1" t="n">
        <v>46092</v>
      </c>
      <c r="D462" t="inlineStr">
        <is>
          <t>ÖREBRO LÄN</t>
        </is>
      </c>
      <c r="E462" t="inlineStr">
        <is>
          <t>ÖREBRO</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14960-2025</t>
        </is>
      </c>
      <c r="B463" s="1" t="n">
        <v>45743.5853125</v>
      </c>
      <c r="C463" s="1" t="n">
        <v>46092</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13623-2024</t>
        </is>
      </c>
      <c r="B464" s="1" t="n">
        <v>45390.38626157407</v>
      </c>
      <c r="C464" s="1" t="n">
        <v>46092</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5619-2023</t>
        </is>
      </c>
      <c r="B465" s="1" t="n">
        <v>44958</v>
      </c>
      <c r="C465" s="1" t="n">
        <v>46092</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37277-2022</t>
        </is>
      </c>
      <c r="B466" s="1" t="n">
        <v>44807.49150462963</v>
      </c>
      <c r="C466" s="1" t="n">
        <v>46092</v>
      </c>
      <c r="D466" t="inlineStr">
        <is>
          <t>ÖREBRO LÄN</t>
        </is>
      </c>
      <c r="E466" t="inlineStr">
        <is>
          <t>ÖREBRO</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23573-2023</t>
        </is>
      </c>
      <c r="B467" s="1" t="n">
        <v>45077.41672453703</v>
      </c>
      <c r="C467" s="1" t="n">
        <v>46092</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61593-2023</t>
        </is>
      </c>
      <c r="B468" s="1" t="n">
        <v>45265</v>
      </c>
      <c r="C468" s="1" t="n">
        <v>46092</v>
      </c>
      <c r="D468" t="inlineStr">
        <is>
          <t>ÖREBRO LÄN</t>
        </is>
      </c>
      <c r="E468" t="inlineStr">
        <is>
          <t>ÖREBRO</t>
        </is>
      </c>
      <c r="G468" t="n">
        <v>2.5</v>
      </c>
      <c r="H468" t="n">
        <v>0</v>
      </c>
      <c r="I468" t="n">
        <v>0</v>
      </c>
      <c r="J468" t="n">
        <v>0</v>
      </c>
      <c r="K468" t="n">
        <v>0</v>
      </c>
      <c r="L468" t="n">
        <v>0</v>
      </c>
      <c r="M468" t="n">
        <v>0</v>
      </c>
      <c r="N468" t="n">
        <v>0</v>
      </c>
      <c r="O468" t="n">
        <v>0</v>
      </c>
      <c r="P468" t="n">
        <v>0</v>
      </c>
      <c r="Q468" t="n">
        <v>0</v>
      </c>
      <c r="R468" s="2" t="inlineStr"/>
    </row>
    <row r="469" ht="15" customHeight="1">
      <c r="A469" t="inlineStr">
        <is>
          <t>A 59024-2024</t>
        </is>
      </c>
      <c r="B469" s="1" t="n">
        <v>45636.68505787037</v>
      </c>
      <c r="C469" s="1" t="n">
        <v>46092</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10339-2023</t>
        </is>
      </c>
      <c r="B470" s="1" t="n">
        <v>44987</v>
      </c>
      <c r="C470" s="1" t="n">
        <v>46092</v>
      </c>
      <c r="D470" t="inlineStr">
        <is>
          <t>ÖREBRO LÄN</t>
        </is>
      </c>
      <c r="E470" t="inlineStr">
        <is>
          <t>ÖREBRO</t>
        </is>
      </c>
      <c r="G470" t="n">
        <v>1</v>
      </c>
      <c r="H470" t="n">
        <v>0</v>
      </c>
      <c r="I470" t="n">
        <v>0</v>
      </c>
      <c r="J470" t="n">
        <v>0</v>
      </c>
      <c r="K470" t="n">
        <v>0</v>
      </c>
      <c r="L470" t="n">
        <v>0</v>
      </c>
      <c r="M470" t="n">
        <v>0</v>
      </c>
      <c r="N470" t="n">
        <v>0</v>
      </c>
      <c r="O470" t="n">
        <v>0</v>
      </c>
      <c r="P470" t="n">
        <v>0</v>
      </c>
      <c r="Q470" t="n">
        <v>0</v>
      </c>
      <c r="R470" s="2" t="inlineStr"/>
    </row>
    <row r="471" ht="15" customHeight="1">
      <c r="A471" t="inlineStr">
        <is>
          <t>A 31247-2023</t>
        </is>
      </c>
      <c r="B471" s="1" t="n">
        <v>45114</v>
      </c>
      <c r="C471" s="1" t="n">
        <v>46092</v>
      </c>
      <c r="D471" t="inlineStr">
        <is>
          <t>ÖREBRO LÄN</t>
        </is>
      </c>
      <c r="E471" t="inlineStr">
        <is>
          <t>ÖREBRO</t>
        </is>
      </c>
      <c r="F471" t="inlineStr">
        <is>
          <t>Allmännings- och besparingsskogar</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16165-2023</t>
        </is>
      </c>
      <c r="B472" s="1" t="n">
        <v>45027</v>
      </c>
      <c r="C472" s="1" t="n">
        <v>46092</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39130-2023</t>
        </is>
      </c>
      <c r="B473" s="1" t="n">
        <v>45165</v>
      </c>
      <c r="C473" s="1" t="n">
        <v>46092</v>
      </c>
      <c r="D473" t="inlineStr">
        <is>
          <t>ÖREBRO LÄN</t>
        </is>
      </c>
      <c r="E473" t="inlineStr">
        <is>
          <t>ÖREBRO</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50398-2022</t>
        </is>
      </c>
      <c r="B474" s="1" t="n">
        <v>44861</v>
      </c>
      <c r="C474" s="1" t="n">
        <v>46092</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9379-2024</t>
        </is>
      </c>
      <c r="B475" s="1" t="n">
        <v>45359.37298611111</v>
      </c>
      <c r="C475" s="1" t="n">
        <v>46092</v>
      </c>
      <c r="D475" t="inlineStr">
        <is>
          <t>ÖREBRO LÄN</t>
        </is>
      </c>
      <c r="E475" t="inlineStr">
        <is>
          <t>ÖREBRO</t>
        </is>
      </c>
      <c r="G475" t="n">
        <v>2.4</v>
      </c>
      <c r="H475" t="n">
        <v>0</v>
      </c>
      <c r="I475" t="n">
        <v>0</v>
      </c>
      <c r="J475" t="n">
        <v>0</v>
      </c>
      <c r="K475" t="n">
        <v>0</v>
      </c>
      <c r="L475" t="n">
        <v>0</v>
      </c>
      <c r="M475" t="n">
        <v>0</v>
      </c>
      <c r="N475" t="n">
        <v>0</v>
      </c>
      <c r="O475" t="n">
        <v>0</v>
      </c>
      <c r="P475" t="n">
        <v>0</v>
      </c>
      <c r="Q475" t="n">
        <v>0</v>
      </c>
      <c r="R475" s="2" t="inlineStr"/>
    </row>
    <row r="476" ht="15" customHeight="1">
      <c r="A476" t="inlineStr">
        <is>
          <t>A 35345-2024</t>
        </is>
      </c>
      <c r="B476" s="1" t="n">
        <v>45530</v>
      </c>
      <c r="C476" s="1" t="n">
        <v>46092</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45517-2023</t>
        </is>
      </c>
      <c r="B477" s="1" t="n">
        <v>45194.49594907407</v>
      </c>
      <c r="C477" s="1" t="n">
        <v>46092</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32321-2023</t>
        </is>
      </c>
      <c r="B478" s="1" t="n">
        <v>45120</v>
      </c>
      <c r="C478" s="1" t="n">
        <v>46092</v>
      </c>
      <c r="D478" t="inlineStr">
        <is>
          <t>ÖREBRO LÄN</t>
        </is>
      </c>
      <c r="E478" t="inlineStr">
        <is>
          <t>ÖREBRO</t>
        </is>
      </c>
      <c r="G478" t="n">
        <v>3.4</v>
      </c>
      <c r="H478" t="n">
        <v>0</v>
      </c>
      <c r="I478" t="n">
        <v>0</v>
      </c>
      <c r="J478" t="n">
        <v>0</v>
      </c>
      <c r="K478" t="n">
        <v>0</v>
      </c>
      <c r="L478" t="n">
        <v>0</v>
      </c>
      <c r="M478" t="n">
        <v>0</v>
      </c>
      <c r="N478" t="n">
        <v>0</v>
      </c>
      <c r="O478" t="n">
        <v>0</v>
      </c>
      <c r="P478" t="n">
        <v>0</v>
      </c>
      <c r="Q478" t="n">
        <v>0</v>
      </c>
      <c r="R478" s="2" t="inlineStr"/>
    </row>
    <row r="479" ht="15" customHeight="1">
      <c r="A479" t="inlineStr">
        <is>
          <t>A 29138-2022</t>
        </is>
      </c>
      <c r="B479" s="1" t="n">
        <v>44750</v>
      </c>
      <c r="C479" s="1" t="n">
        <v>46092</v>
      </c>
      <c r="D479" t="inlineStr">
        <is>
          <t>ÖREBRO LÄN</t>
        </is>
      </c>
      <c r="E479" t="inlineStr">
        <is>
          <t>ÖREBRO</t>
        </is>
      </c>
      <c r="G479" t="n">
        <v>3.3</v>
      </c>
      <c r="H479" t="n">
        <v>0</v>
      </c>
      <c r="I479" t="n">
        <v>0</v>
      </c>
      <c r="J479" t="n">
        <v>0</v>
      </c>
      <c r="K479" t="n">
        <v>0</v>
      </c>
      <c r="L479" t="n">
        <v>0</v>
      </c>
      <c r="M479" t="n">
        <v>0</v>
      </c>
      <c r="N479" t="n">
        <v>0</v>
      </c>
      <c r="O479" t="n">
        <v>0</v>
      </c>
      <c r="P479" t="n">
        <v>0</v>
      </c>
      <c r="Q479" t="n">
        <v>0</v>
      </c>
      <c r="R479" s="2" t="inlineStr"/>
    </row>
    <row r="480" ht="15" customHeight="1">
      <c r="A480" t="inlineStr">
        <is>
          <t>A 29143-2022</t>
        </is>
      </c>
      <c r="B480" s="1" t="n">
        <v>44750</v>
      </c>
      <c r="C480" s="1" t="n">
        <v>46092</v>
      </c>
      <c r="D480" t="inlineStr">
        <is>
          <t>ÖREBRO LÄN</t>
        </is>
      </c>
      <c r="E480" t="inlineStr">
        <is>
          <t>ÖREBRO</t>
        </is>
      </c>
      <c r="G480" t="n">
        <v>5.6</v>
      </c>
      <c r="H480" t="n">
        <v>0</v>
      </c>
      <c r="I480" t="n">
        <v>0</v>
      </c>
      <c r="J480" t="n">
        <v>0</v>
      </c>
      <c r="K480" t="n">
        <v>0</v>
      </c>
      <c r="L480" t="n">
        <v>0</v>
      </c>
      <c r="M480" t="n">
        <v>0</v>
      </c>
      <c r="N480" t="n">
        <v>0</v>
      </c>
      <c r="O480" t="n">
        <v>0</v>
      </c>
      <c r="P480" t="n">
        <v>0</v>
      </c>
      <c r="Q480" t="n">
        <v>0</v>
      </c>
      <c r="R480" s="2" t="inlineStr"/>
    </row>
    <row r="481" ht="15" customHeight="1">
      <c r="A481" t="inlineStr">
        <is>
          <t>A 14234-2024</t>
        </is>
      </c>
      <c r="B481" s="1" t="n">
        <v>45393.46980324074</v>
      </c>
      <c r="C481" s="1" t="n">
        <v>46092</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4557-2023</t>
        </is>
      </c>
      <c r="B482" s="1" t="n">
        <v>44956.6655787037</v>
      </c>
      <c r="C482" s="1" t="n">
        <v>46092</v>
      </c>
      <c r="D482" t="inlineStr">
        <is>
          <t>ÖREBRO LÄN</t>
        </is>
      </c>
      <c r="E482" t="inlineStr">
        <is>
          <t>ÖREBRO</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53558-2023</t>
        </is>
      </c>
      <c r="B483" s="1" t="n">
        <v>45230.47266203703</v>
      </c>
      <c r="C483" s="1" t="n">
        <v>46092</v>
      </c>
      <c r="D483" t="inlineStr">
        <is>
          <t>ÖREBRO LÄN</t>
        </is>
      </c>
      <c r="E483" t="inlineStr">
        <is>
          <t>ÖREBRO</t>
        </is>
      </c>
      <c r="F483" t="inlineStr">
        <is>
          <t>Övriga Aktiebolag</t>
        </is>
      </c>
      <c r="G483" t="n">
        <v>4.7</v>
      </c>
      <c r="H483" t="n">
        <v>0</v>
      </c>
      <c r="I483" t="n">
        <v>0</v>
      </c>
      <c r="J483" t="n">
        <v>0</v>
      </c>
      <c r="K483" t="n">
        <v>0</v>
      </c>
      <c r="L483" t="n">
        <v>0</v>
      </c>
      <c r="M483" t="n">
        <v>0</v>
      </c>
      <c r="N483" t="n">
        <v>0</v>
      </c>
      <c r="O483" t="n">
        <v>0</v>
      </c>
      <c r="P483" t="n">
        <v>0</v>
      </c>
      <c r="Q483" t="n">
        <v>0</v>
      </c>
      <c r="R483" s="2" t="inlineStr"/>
    </row>
    <row r="484" ht="15" customHeight="1">
      <c r="A484" t="inlineStr">
        <is>
          <t>A 46518-2023</t>
        </is>
      </c>
      <c r="B484" s="1" t="n">
        <v>45197.72777777778</v>
      </c>
      <c r="C484" s="1" t="n">
        <v>46092</v>
      </c>
      <c r="D484" t="inlineStr">
        <is>
          <t>ÖREBRO LÄN</t>
        </is>
      </c>
      <c r="E484" t="inlineStr">
        <is>
          <t>ÖREBRO</t>
        </is>
      </c>
      <c r="G484" t="n">
        <v>2.2</v>
      </c>
      <c r="H484" t="n">
        <v>0</v>
      </c>
      <c r="I484" t="n">
        <v>0</v>
      </c>
      <c r="J484" t="n">
        <v>0</v>
      </c>
      <c r="K484" t="n">
        <v>0</v>
      </c>
      <c r="L484" t="n">
        <v>0</v>
      </c>
      <c r="M484" t="n">
        <v>0</v>
      </c>
      <c r="N484" t="n">
        <v>0</v>
      </c>
      <c r="O484" t="n">
        <v>0</v>
      </c>
      <c r="P484" t="n">
        <v>0</v>
      </c>
      <c r="Q484" t="n">
        <v>0</v>
      </c>
      <c r="R484" s="2" t="inlineStr"/>
    </row>
    <row r="485" ht="15" customHeight="1">
      <c r="A485" t="inlineStr">
        <is>
          <t>A 7692-2023</t>
        </is>
      </c>
      <c r="B485" s="1" t="n">
        <v>44972.7762962963</v>
      </c>
      <c r="C485" s="1" t="n">
        <v>46092</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46056-2024</t>
        </is>
      </c>
      <c r="B486" s="1" t="n">
        <v>45580.91502314815</v>
      </c>
      <c r="C486" s="1" t="n">
        <v>46092</v>
      </c>
      <c r="D486" t="inlineStr">
        <is>
          <t>ÖREBRO LÄN</t>
        </is>
      </c>
      <c r="E486" t="inlineStr">
        <is>
          <t>ÖREBRO</t>
        </is>
      </c>
      <c r="F486" t="inlineStr">
        <is>
          <t>Övriga Aktiebolag</t>
        </is>
      </c>
      <c r="G486" t="n">
        <v>4.5</v>
      </c>
      <c r="H486" t="n">
        <v>0</v>
      </c>
      <c r="I486" t="n">
        <v>0</v>
      </c>
      <c r="J486" t="n">
        <v>0</v>
      </c>
      <c r="K486" t="n">
        <v>0</v>
      </c>
      <c r="L486" t="n">
        <v>0</v>
      </c>
      <c r="M486" t="n">
        <v>0</v>
      </c>
      <c r="N486" t="n">
        <v>0</v>
      </c>
      <c r="O486" t="n">
        <v>0</v>
      </c>
      <c r="P486" t="n">
        <v>0</v>
      </c>
      <c r="Q486" t="n">
        <v>0</v>
      </c>
      <c r="R486" s="2" t="inlineStr"/>
    </row>
    <row r="487" ht="15" customHeight="1">
      <c r="A487" t="inlineStr">
        <is>
          <t>A 57638-2022</t>
        </is>
      </c>
      <c r="B487" s="1" t="n">
        <v>44897</v>
      </c>
      <c r="C487" s="1" t="n">
        <v>46092</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8274-2025</t>
        </is>
      </c>
      <c r="B488" s="1" t="n">
        <v>45708</v>
      </c>
      <c r="C488" s="1" t="n">
        <v>46092</v>
      </c>
      <c r="D488" t="inlineStr">
        <is>
          <t>ÖREBRO LÄN</t>
        </is>
      </c>
      <c r="E488" t="inlineStr">
        <is>
          <t>ÖREBRO</t>
        </is>
      </c>
      <c r="G488" t="n">
        <v>5.8</v>
      </c>
      <c r="H488" t="n">
        <v>0</v>
      </c>
      <c r="I488" t="n">
        <v>0</v>
      </c>
      <c r="J488" t="n">
        <v>0</v>
      </c>
      <c r="K488" t="n">
        <v>0</v>
      </c>
      <c r="L488" t="n">
        <v>0</v>
      </c>
      <c r="M488" t="n">
        <v>0</v>
      </c>
      <c r="N488" t="n">
        <v>0</v>
      </c>
      <c r="O488" t="n">
        <v>0</v>
      </c>
      <c r="P488" t="n">
        <v>0</v>
      </c>
      <c r="Q488" t="n">
        <v>0</v>
      </c>
      <c r="R488" s="2" t="inlineStr"/>
    </row>
    <row r="489" ht="15" customHeight="1">
      <c r="A489" t="inlineStr">
        <is>
          <t>A 7634-2024</t>
        </is>
      </c>
      <c r="B489" s="1" t="n">
        <v>45348</v>
      </c>
      <c r="C489" s="1" t="n">
        <v>46092</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58208-2024</t>
        </is>
      </c>
      <c r="B490" s="1" t="n">
        <v>45632</v>
      </c>
      <c r="C490" s="1" t="n">
        <v>46092</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71266-2021</t>
        </is>
      </c>
      <c r="B491" s="1" t="n">
        <v>44539</v>
      </c>
      <c r="C491" s="1" t="n">
        <v>46092</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71267-2021</t>
        </is>
      </c>
      <c r="B492" s="1" t="n">
        <v>44539</v>
      </c>
      <c r="C492" s="1" t="n">
        <v>46092</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71280-2021</t>
        </is>
      </c>
      <c r="B493" s="1" t="n">
        <v>44539</v>
      </c>
      <c r="C493" s="1" t="n">
        <v>46092</v>
      </c>
      <c r="D493" t="inlineStr">
        <is>
          <t>ÖREBRO LÄN</t>
        </is>
      </c>
      <c r="E493" t="inlineStr">
        <is>
          <t>ÖREBRO</t>
        </is>
      </c>
      <c r="G493" t="n">
        <v>0.6</v>
      </c>
      <c r="H493" t="n">
        <v>0</v>
      </c>
      <c r="I493" t="n">
        <v>0</v>
      </c>
      <c r="J493" t="n">
        <v>0</v>
      </c>
      <c r="K493" t="n">
        <v>0</v>
      </c>
      <c r="L493" t="n">
        <v>0</v>
      </c>
      <c r="M493" t="n">
        <v>0</v>
      </c>
      <c r="N493" t="n">
        <v>0</v>
      </c>
      <c r="O493" t="n">
        <v>0</v>
      </c>
      <c r="P493" t="n">
        <v>0</v>
      </c>
      <c r="Q493" t="n">
        <v>0</v>
      </c>
      <c r="R493" s="2" t="inlineStr"/>
    </row>
    <row r="494" ht="15" customHeight="1">
      <c r="A494" t="inlineStr">
        <is>
          <t>A 21983-2021</t>
        </is>
      </c>
      <c r="B494" s="1" t="n">
        <v>44323</v>
      </c>
      <c r="C494" s="1" t="n">
        <v>46092</v>
      </c>
      <c r="D494" t="inlineStr">
        <is>
          <t>ÖREBRO LÄN</t>
        </is>
      </c>
      <c r="E494" t="inlineStr">
        <is>
          <t>ÖREBRO</t>
        </is>
      </c>
      <c r="F494" t="inlineStr">
        <is>
          <t>Övriga Aktiebolag</t>
        </is>
      </c>
      <c r="G494" t="n">
        <v>0.7</v>
      </c>
      <c r="H494" t="n">
        <v>0</v>
      </c>
      <c r="I494" t="n">
        <v>0</v>
      </c>
      <c r="J494" t="n">
        <v>0</v>
      </c>
      <c r="K494" t="n">
        <v>0</v>
      </c>
      <c r="L494" t="n">
        <v>0</v>
      </c>
      <c r="M494" t="n">
        <v>0</v>
      </c>
      <c r="N494" t="n">
        <v>0</v>
      </c>
      <c r="O494" t="n">
        <v>0</v>
      </c>
      <c r="P494" t="n">
        <v>0</v>
      </c>
      <c r="Q494" t="n">
        <v>0</v>
      </c>
      <c r="R494" s="2" t="inlineStr"/>
    </row>
    <row r="495" ht="15" customHeight="1">
      <c r="A495" t="inlineStr">
        <is>
          <t>A 62497-2023</t>
        </is>
      </c>
      <c r="B495" s="1" t="n">
        <v>45268.59935185185</v>
      </c>
      <c r="C495" s="1" t="n">
        <v>46092</v>
      </c>
      <c r="D495" t="inlineStr">
        <is>
          <t>ÖREBRO LÄN</t>
        </is>
      </c>
      <c r="E495" t="inlineStr">
        <is>
          <t>ÖREBRO</t>
        </is>
      </c>
      <c r="F495" t="inlineStr">
        <is>
          <t>Övriga Aktiebolag</t>
        </is>
      </c>
      <c r="G495" t="n">
        <v>3.2</v>
      </c>
      <c r="H495" t="n">
        <v>0</v>
      </c>
      <c r="I495" t="n">
        <v>0</v>
      </c>
      <c r="J495" t="n">
        <v>0</v>
      </c>
      <c r="K495" t="n">
        <v>0</v>
      </c>
      <c r="L495" t="n">
        <v>0</v>
      </c>
      <c r="M495" t="n">
        <v>0</v>
      </c>
      <c r="N495" t="n">
        <v>0</v>
      </c>
      <c r="O495" t="n">
        <v>0</v>
      </c>
      <c r="P495" t="n">
        <v>0</v>
      </c>
      <c r="Q495" t="n">
        <v>0</v>
      </c>
      <c r="R495" s="2" t="inlineStr"/>
    </row>
    <row r="496" ht="15" customHeight="1">
      <c r="A496" t="inlineStr">
        <is>
          <t>A 33294-2023</t>
        </is>
      </c>
      <c r="B496" s="1" t="n">
        <v>45127</v>
      </c>
      <c r="C496" s="1" t="n">
        <v>46092</v>
      </c>
      <c r="D496" t="inlineStr">
        <is>
          <t>ÖREBRO LÄN</t>
        </is>
      </c>
      <c r="E496" t="inlineStr">
        <is>
          <t>ÖREBRO</t>
        </is>
      </c>
      <c r="F496" t="inlineStr">
        <is>
          <t>Övriga Aktiebolag</t>
        </is>
      </c>
      <c r="G496" t="n">
        <v>6.7</v>
      </c>
      <c r="H496" t="n">
        <v>0</v>
      </c>
      <c r="I496" t="n">
        <v>0</v>
      </c>
      <c r="J496" t="n">
        <v>0</v>
      </c>
      <c r="K496" t="n">
        <v>0</v>
      </c>
      <c r="L496" t="n">
        <v>0</v>
      </c>
      <c r="M496" t="n">
        <v>0</v>
      </c>
      <c r="N496" t="n">
        <v>0</v>
      </c>
      <c r="O496" t="n">
        <v>0</v>
      </c>
      <c r="P496" t="n">
        <v>0</v>
      </c>
      <c r="Q496" t="n">
        <v>0</v>
      </c>
      <c r="R496" s="2" t="inlineStr"/>
    </row>
    <row r="497" ht="15" customHeight="1">
      <c r="A497" t="inlineStr">
        <is>
          <t>A 46052-2024</t>
        </is>
      </c>
      <c r="B497" s="1" t="n">
        <v>45580.89116898148</v>
      </c>
      <c r="C497" s="1" t="n">
        <v>46092</v>
      </c>
      <c r="D497" t="inlineStr">
        <is>
          <t>ÖREBRO LÄN</t>
        </is>
      </c>
      <c r="E497" t="inlineStr">
        <is>
          <t>ÖREBRO</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54149-2024</t>
        </is>
      </c>
      <c r="B498" s="1" t="n">
        <v>45616</v>
      </c>
      <c r="C498" s="1" t="n">
        <v>46092</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12871-2021</t>
        </is>
      </c>
      <c r="B499" s="1" t="n">
        <v>44271.42121527778</v>
      </c>
      <c r="C499" s="1" t="n">
        <v>46092</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46092</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15682-2023</t>
        </is>
      </c>
      <c r="B501" s="1" t="n">
        <v>45021</v>
      </c>
      <c r="C501" s="1" t="n">
        <v>46092</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12682-2023</t>
        </is>
      </c>
      <c r="B502" s="1" t="n">
        <v>45000.6115625</v>
      </c>
      <c r="C502" s="1" t="n">
        <v>46092</v>
      </c>
      <c r="D502" t="inlineStr">
        <is>
          <t>ÖREBRO LÄN</t>
        </is>
      </c>
      <c r="E502" t="inlineStr">
        <is>
          <t>ÖREBRO</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57247-2022</t>
        </is>
      </c>
      <c r="B503" s="1" t="n">
        <v>44895.73065972222</v>
      </c>
      <c r="C503" s="1" t="n">
        <v>46092</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58606-2024</t>
        </is>
      </c>
      <c r="B504" s="1" t="n">
        <v>45635.54747685185</v>
      </c>
      <c r="C504" s="1" t="n">
        <v>46092</v>
      </c>
      <c r="D504" t="inlineStr">
        <is>
          <t>ÖREBRO LÄN</t>
        </is>
      </c>
      <c r="E504" t="inlineStr">
        <is>
          <t>ÖREBRO</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123-2025</t>
        </is>
      </c>
      <c r="B505" s="1" t="n">
        <v>45659.54851851852</v>
      </c>
      <c r="C505" s="1" t="n">
        <v>46092</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37012-2024</t>
        </is>
      </c>
      <c r="B506" s="1" t="n">
        <v>45539</v>
      </c>
      <c r="C506" s="1" t="n">
        <v>46092</v>
      </c>
      <c r="D506" t="inlineStr">
        <is>
          <t>ÖREBRO LÄN</t>
        </is>
      </c>
      <c r="E506" t="inlineStr">
        <is>
          <t>ÖREBRO</t>
        </is>
      </c>
      <c r="G506" t="n">
        <v>4.1</v>
      </c>
      <c r="H506" t="n">
        <v>0</v>
      </c>
      <c r="I506" t="n">
        <v>0</v>
      </c>
      <c r="J506" t="n">
        <v>0</v>
      </c>
      <c r="K506" t="n">
        <v>0</v>
      </c>
      <c r="L506" t="n">
        <v>0</v>
      </c>
      <c r="M506" t="n">
        <v>0</v>
      </c>
      <c r="N506" t="n">
        <v>0</v>
      </c>
      <c r="O506" t="n">
        <v>0</v>
      </c>
      <c r="P506" t="n">
        <v>0</v>
      </c>
      <c r="Q506" t="n">
        <v>0</v>
      </c>
      <c r="R506" s="2" t="inlineStr"/>
    </row>
    <row r="507" ht="15" customHeight="1">
      <c r="A507" t="inlineStr">
        <is>
          <t>A 37020-2024</t>
        </is>
      </c>
      <c r="B507" s="1" t="n">
        <v>45539.38059027777</v>
      </c>
      <c r="C507" s="1" t="n">
        <v>46092</v>
      </c>
      <c r="D507" t="inlineStr">
        <is>
          <t>ÖREBRO LÄN</t>
        </is>
      </c>
      <c r="E507" t="inlineStr">
        <is>
          <t>ÖREBRO</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16958-2022</t>
        </is>
      </c>
      <c r="B508" s="1" t="n">
        <v>44676.50481481481</v>
      </c>
      <c r="C508" s="1" t="n">
        <v>46092</v>
      </c>
      <c r="D508" t="inlineStr">
        <is>
          <t>ÖREBRO LÄN</t>
        </is>
      </c>
      <c r="E508" t="inlineStr">
        <is>
          <t>ÖREBRO</t>
        </is>
      </c>
      <c r="G508" t="n">
        <v>3.1</v>
      </c>
      <c r="H508" t="n">
        <v>0</v>
      </c>
      <c r="I508" t="n">
        <v>0</v>
      </c>
      <c r="J508" t="n">
        <v>0</v>
      </c>
      <c r="K508" t="n">
        <v>0</v>
      </c>
      <c r="L508" t="n">
        <v>0</v>
      </c>
      <c r="M508" t="n">
        <v>0</v>
      </c>
      <c r="N508" t="n">
        <v>0</v>
      </c>
      <c r="O508" t="n">
        <v>0</v>
      </c>
      <c r="P508" t="n">
        <v>0</v>
      </c>
      <c r="Q508" t="n">
        <v>0</v>
      </c>
      <c r="R508" s="2" t="inlineStr"/>
    </row>
    <row r="509" ht="15" customHeight="1">
      <c r="A509" t="inlineStr">
        <is>
          <t>A 5338-2024</t>
        </is>
      </c>
      <c r="B509" s="1" t="n">
        <v>45331</v>
      </c>
      <c r="C509" s="1" t="n">
        <v>46092</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4970-2022</t>
        </is>
      </c>
      <c r="B510" s="1" t="n">
        <v>44593.51175925926</v>
      </c>
      <c r="C510" s="1" t="n">
        <v>46092</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13657-2025</t>
        </is>
      </c>
      <c r="B511" s="1" t="n">
        <v>45736.7427662037</v>
      </c>
      <c r="C511" s="1" t="n">
        <v>46092</v>
      </c>
      <c r="D511" t="inlineStr">
        <is>
          <t>ÖREBRO LÄN</t>
        </is>
      </c>
      <c r="E511" t="inlineStr">
        <is>
          <t>ÖREBRO</t>
        </is>
      </c>
      <c r="G511" t="n">
        <v>3.8</v>
      </c>
      <c r="H511" t="n">
        <v>0</v>
      </c>
      <c r="I511" t="n">
        <v>0</v>
      </c>
      <c r="J511" t="n">
        <v>0</v>
      </c>
      <c r="K511" t="n">
        <v>0</v>
      </c>
      <c r="L511" t="n">
        <v>0</v>
      </c>
      <c r="M511" t="n">
        <v>0</v>
      </c>
      <c r="N511" t="n">
        <v>0</v>
      </c>
      <c r="O511" t="n">
        <v>0</v>
      </c>
      <c r="P511" t="n">
        <v>0</v>
      </c>
      <c r="Q511" t="n">
        <v>0</v>
      </c>
      <c r="R511" s="2" t="inlineStr"/>
    </row>
    <row r="512" ht="15" customHeight="1">
      <c r="A512" t="inlineStr">
        <is>
          <t>A 9314-2023</t>
        </is>
      </c>
      <c r="B512" s="1" t="n">
        <v>44980.67747685185</v>
      </c>
      <c r="C512" s="1" t="n">
        <v>46092</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6522-2023</t>
        </is>
      </c>
      <c r="B513" s="1" t="n">
        <v>44966</v>
      </c>
      <c r="C513" s="1" t="n">
        <v>46092</v>
      </c>
      <c r="D513" t="inlineStr">
        <is>
          <t>ÖREBRO LÄN</t>
        </is>
      </c>
      <c r="E513" t="inlineStr">
        <is>
          <t>ÖREBRO</t>
        </is>
      </c>
      <c r="G513" t="n">
        <v>4.4</v>
      </c>
      <c r="H513" t="n">
        <v>0</v>
      </c>
      <c r="I513" t="n">
        <v>0</v>
      </c>
      <c r="J513" t="n">
        <v>0</v>
      </c>
      <c r="K513" t="n">
        <v>0</v>
      </c>
      <c r="L513" t="n">
        <v>0</v>
      </c>
      <c r="M513" t="n">
        <v>0</v>
      </c>
      <c r="N513" t="n">
        <v>0</v>
      </c>
      <c r="O513" t="n">
        <v>0</v>
      </c>
      <c r="P513" t="n">
        <v>0</v>
      </c>
      <c r="Q513" t="n">
        <v>0</v>
      </c>
      <c r="R513" s="2" t="inlineStr"/>
    </row>
    <row r="514" ht="15" customHeight="1">
      <c r="A514" t="inlineStr">
        <is>
          <t>A 18449-2023</t>
        </is>
      </c>
      <c r="B514" s="1" t="n">
        <v>45042.5203125</v>
      </c>
      <c r="C514" s="1" t="n">
        <v>46092</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16736-2023</t>
        </is>
      </c>
      <c r="B515" s="1" t="n">
        <v>45030.72328703704</v>
      </c>
      <c r="C515" s="1" t="n">
        <v>46092</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50375-2024</t>
        </is>
      </c>
      <c r="B516" s="1" t="n">
        <v>45601.29311342593</v>
      </c>
      <c r="C516" s="1" t="n">
        <v>46092</v>
      </c>
      <c r="D516" t="inlineStr">
        <is>
          <t>ÖREBRO LÄN</t>
        </is>
      </c>
      <c r="E516" t="inlineStr">
        <is>
          <t>ÖREBRO</t>
        </is>
      </c>
      <c r="G516" t="n">
        <v>5</v>
      </c>
      <c r="H516" t="n">
        <v>0</v>
      </c>
      <c r="I516" t="n">
        <v>0</v>
      </c>
      <c r="J516" t="n">
        <v>0</v>
      </c>
      <c r="K516" t="n">
        <v>0</v>
      </c>
      <c r="L516" t="n">
        <v>0</v>
      </c>
      <c r="M516" t="n">
        <v>0</v>
      </c>
      <c r="N516" t="n">
        <v>0</v>
      </c>
      <c r="O516" t="n">
        <v>0</v>
      </c>
      <c r="P516" t="n">
        <v>0</v>
      </c>
      <c r="Q516" t="n">
        <v>0</v>
      </c>
      <c r="R516" s="2" t="inlineStr"/>
    </row>
    <row r="517" ht="15" customHeight="1">
      <c r="A517" t="inlineStr">
        <is>
          <t>A 22045-2024</t>
        </is>
      </c>
      <c r="B517" s="1" t="n">
        <v>45443.61171296296</v>
      </c>
      <c r="C517" s="1" t="n">
        <v>46092</v>
      </c>
      <c r="D517" t="inlineStr">
        <is>
          <t>ÖREBRO LÄN</t>
        </is>
      </c>
      <c r="E517" t="inlineStr">
        <is>
          <t>ÖREBRO</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3-2024</t>
        </is>
      </c>
      <c r="B518" s="1" t="n">
        <v>45292</v>
      </c>
      <c r="C518" s="1" t="n">
        <v>46092</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21306-2024</t>
        </is>
      </c>
      <c r="B519" s="1" t="n">
        <v>45440.67883101852</v>
      </c>
      <c r="C519" s="1" t="n">
        <v>46092</v>
      </c>
      <c r="D519" t="inlineStr">
        <is>
          <t>ÖREBRO LÄN</t>
        </is>
      </c>
      <c r="E519" t="inlineStr">
        <is>
          <t>ÖREBRO</t>
        </is>
      </c>
      <c r="F519" t="inlineStr">
        <is>
          <t>Övriga Aktiebolag</t>
        </is>
      </c>
      <c r="G519" t="n">
        <v>2</v>
      </c>
      <c r="H519" t="n">
        <v>0</v>
      </c>
      <c r="I519" t="n">
        <v>0</v>
      </c>
      <c r="J519" t="n">
        <v>0</v>
      </c>
      <c r="K519" t="n">
        <v>0</v>
      </c>
      <c r="L519" t="n">
        <v>0</v>
      </c>
      <c r="M519" t="n">
        <v>0</v>
      </c>
      <c r="N519" t="n">
        <v>0</v>
      </c>
      <c r="O519" t="n">
        <v>0</v>
      </c>
      <c r="P519" t="n">
        <v>0</v>
      </c>
      <c r="Q519" t="n">
        <v>0</v>
      </c>
      <c r="R519" s="2" t="inlineStr"/>
    </row>
    <row r="520" ht="15" customHeight="1">
      <c r="A520" t="inlineStr">
        <is>
          <t>A 1257-2022</t>
        </is>
      </c>
      <c r="B520" s="1" t="n">
        <v>44572</v>
      </c>
      <c r="C520" s="1" t="n">
        <v>46092</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64730-2023</t>
        </is>
      </c>
      <c r="B521" s="1" t="n">
        <v>45281</v>
      </c>
      <c r="C521" s="1" t="n">
        <v>46092</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6869-2025</t>
        </is>
      </c>
      <c r="B522" s="1" t="n">
        <v>45700</v>
      </c>
      <c r="C522" s="1" t="n">
        <v>46092</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4416-2023</t>
        </is>
      </c>
      <c r="B523" s="1" t="n">
        <v>44956</v>
      </c>
      <c r="C523" s="1" t="n">
        <v>46092</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16961-2022</t>
        </is>
      </c>
      <c r="B524" s="1" t="n">
        <v>44676</v>
      </c>
      <c r="C524" s="1" t="n">
        <v>46092</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17983-2025</t>
        </is>
      </c>
      <c r="B525" s="1" t="n">
        <v>45761.38829861111</v>
      </c>
      <c r="C525" s="1" t="n">
        <v>46092</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23594-2023</t>
        </is>
      </c>
      <c r="B526" s="1" t="n">
        <v>45077</v>
      </c>
      <c r="C526" s="1" t="n">
        <v>46092</v>
      </c>
      <c r="D526" t="inlineStr">
        <is>
          <t>ÖREBRO LÄN</t>
        </is>
      </c>
      <c r="E526" t="inlineStr">
        <is>
          <t>ÖREBRO</t>
        </is>
      </c>
      <c r="G526" t="n">
        <v>9.9</v>
      </c>
      <c r="H526" t="n">
        <v>0</v>
      </c>
      <c r="I526" t="n">
        <v>0</v>
      </c>
      <c r="J526" t="n">
        <v>0</v>
      </c>
      <c r="K526" t="n">
        <v>0</v>
      </c>
      <c r="L526" t="n">
        <v>0</v>
      </c>
      <c r="M526" t="n">
        <v>0</v>
      </c>
      <c r="N526" t="n">
        <v>0</v>
      </c>
      <c r="O526" t="n">
        <v>0</v>
      </c>
      <c r="P526" t="n">
        <v>0</v>
      </c>
      <c r="Q526" t="n">
        <v>0</v>
      </c>
      <c r="R526" s="2" t="inlineStr"/>
    </row>
    <row r="527" ht="15" customHeight="1">
      <c r="A527" t="inlineStr">
        <is>
          <t>A 52444-2024</t>
        </is>
      </c>
      <c r="B527" s="1" t="n">
        <v>45609.48894675926</v>
      </c>
      <c r="C527" s="1" t="n">
        <v>46092</v>
      </c>
      <c r="D527" t="inlineStr">
        <is>
          <t>ÖREBRO LÄN</t>
        </is>
      </c>
      <c r="E527" t="inlineStr">
        <is>
          <t>ÖREBRO</t>
        </is>
      </c>
      <c r="G527" t="n">
        <v>1.7</v>
      </c>
      <c r="H527" t="n">
        <v>0</v>
      </c>
      <c r="I527" t="n">
        <v>0</v>
      </c>
      <c r="J527" t="n">
        <v>0</v>
      </c>
      <c r="K527" t="n">
        <v>0</v>
      </c>
      <c r="L527" t="n">
        <v>0</v>
      </c>
      <c r="M527" t="n">
        <v>0</v>
      </c>
      <c r="N527" t="n">
        <v>0</v>
      </c>
      <c r="O527" t="n">
        <v>0</v>
      </c>
      <c r="P527" t="n">
        <v>0</v>
      </c>
      <c r="Q527" t="n">
        <v>0</v>
      </c>
      <c r="R527" s="2" t="inlineStr"/>
    </row>
    <row r="528" ht="15" customHeight="1">
      <c r="A528" t="inlineStr">
        <is>
          <t>A 41995-2024</t>
        </is>
      </c>
      <c r="B528" s="1" t="n">
        <v>45561.6475462963</v>
      </c>
      <c r="C528" s="1" t="n">
        <v>46092</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25996-2024</t>
        </is>
      </c>
      <c r="B529" s="1" t="n">
        <v>45467.89081018518</v>
      </c>
      <c r="C529" s="1" t="n">
        <v>46092</v>
      </c>
      <c r="D529" t="inlineStr">
        <is>
          <t>ÖREBRO LÄN</t>
        </is>
      </c>
      <c r="E529" t="inlineStr">
        <is>
          <t>ÖREBRO</t>
        </is>
      </c>
      <c r="G529" t="n">
        <v>4.7</v>
      </c>
      <c r="H529" t="n">
        <v>0</v>
      </c>
      <c r="I529" t="n">
        <v>0</v>
      </c>
      <c r="J529" t="n">
        <v>0</v>
      </c>
      <c r="K529" t="n">
        <v>0</v>
      </c>
      <c r="L529" t="n">
        <v>0</v>
      </c>
      <c r="M529" t="n">
        <v>0</v>
      </c>
      <c r="N529" t="n">
        <v>0</v>
      </c>
      <c r="O529" t="n">
        <v>0</v>
      </c>
      <c r="P529" t="n">
        <v>0</v>
      </c>
      <c r="Q529" t="n">
        <v>0</v>
      </c>
      <c r="R529" s="2" t="inlineStr"/>
    </row>
    <row r="530" ht="15" customHeight="1">
      <c r="A530" t="inlineStr">
        <is>
          <t>A 7611-2024</t>
        </is>
      </c>
      <c r="B530" s="1" t="n">
        <v>45348.58864583333</v>
      </c>
      <c r="C530" s="1" t="n">
        <v>46092</v>
      </c>
      <c r="D530" t="inlineStr">
        <is>
          <t>ÖREBRO LÄN</t>
        </is>
      </c>
      <c r="E530" t="inlineStr">
        <is>
          <t>ÖREBRO</t>
        </is>
      </c>
      <c r="G530" t="n">
        <v>4.2</v>
      </c>
      <c r="H530" t="n">
        <v>0</v>
      </c>
      <c r="I530" t="n">
        <v>0</v>
      </c>
      <c r="J530" t="n">
        <v>0</v>
      </c>
      <c r="K530" t="n">
        <v>0</v>
      </c>
      <c r="L530" t="n">
        <v>0</v>
      </c>
      <c r="M530" t="n">
        <v>0</v>
      </c>
      <c r="N530" t="n">
        <v>0</v>
      </c>
      <c r="O530" t="n">
        <v>0</v>
      </c>
      <c r="P530" t="n">
        <v>0</v>
      </c>
      <c r="Q530" t="n">
        <v>0</v>
      </c>
      <c r="R530" s="2" t="inlineStr"/>
    </row>
    <row r="531" ht="15" customHeight="1">
      <c r="A531" t="inlineStr">
        <is>
          <t>A 15789-2023</t>
        </is>
      </c>
      <c r="B531" s="1" t="n">
        <v>45021.71539351852</v>
      </c>
      <c r="C531" s="1" t="n">
        <v>46092</v>
      </c>
      <c r="D531" t="inlineStr">
        <is>
          <t>ÖREBRO LÄN</t>
        </is>
      </c>
      <c r="E531" t="inlineStr">
        <is>
          <t>ÖREBRO</t>
        </is>
      </c>
      <c r="F531" t="inlineStr">
        <is>
          <t>Övriga Aktiebolag</t>
        </is>
      </c>
      <c r="G531" t="n">
        <v>3.7</v>
      </c>
      <c r="H531" t="n">
        <v>0</v>
      </c>
      <c r="I531" t="n">
        <v>0</v>
      </c>
      <c r="J531" t="n">
        <v>0</v>
      </c>
      <c r="K531" t="n">
        <v>0</v>
      </c>
      <c r="L531" t="n">
        <v>0</v>
      </c>
      <c r="M531" t="n">
        <v>0</v>
      </c>
      <c r="N531" t="n">
        <v>0</v>
      </c>
      <c r="O531" t="n">
        <v>0</v>
      </c>
      <c r="P531" t="n">
        <v>0</v>
      </c>
      <c r="Q531" t="n">
        <v>0</v>
      </c>
      <c r="R531" s="2" t="inlineStr"/>
    </row>
    <row r="532" ht="15" customHeight="1">
      <c r="A532" t="inlineStr">
        <is>
          <t>A 52612-2024</t>
        </is>
      </c>
      <c r="B532" s="1" t="n">
        <v>45609</v>
      </c>
      <c r="C532" s="1" t="n">
        <v>46092</v>
      </c>
      <c r="D532" t="inlineStr">
        <is>
          <t>ÖREBRO LÄN</t>
        </is>
      </c>
      <c r="E532" t="inlineStr">
        <is>
          <t>ÖREBRO</t>
        </is>
      </c>
      <c r="F532" t="inlineStr">
        <is>
          <t>Kommuner</t>
        </is>
      </c>
      <c r="G532" t="n">
        <v>5.5</v>
      </c>
      <c r="H532" t="n">
        <v>0</v>
      </c>
      <c r="I532" t="n">
        <v>0</v>
      </c>
      <c r="J532" t="n">
        <v>0</v>
      </c>
      <c r="K532" t="n">
        <v>0</v>
      </c>
      <c r="L532" t="n">
        <v>0</v>
      </c>
      <c r="M532" t="n">
        <v>0</v>
      </c>
      <c r="N532" t="n">
        <v>0</v>
      </c>
      <c r="O532" t="n">
        <v>0</v>
      </c>
      <c r="P532" t="n">
        <v>0</v>
      </c>
      <c r="Q532" t="n">
        <v>0</v>
      </c>
      <c r="R532" s="2" t="inlineStr"/>
    </row>
    <row r="533" ht="15" customHeight="1">
      <c r="A533" t="inlineStr">
        <is>
          <t>A 37786-2024</t>
        </is>
      </c>
      <c r="B533" s="1" t="n">
        <v>45542.82987268519</v>
      </c>
      <c r="C533" s="1" t="n">
        <v>46092</v>
      </c>
      <c r="D533" t="inlineStr">
        <is>
          <t>ÖREBRO LÄN</t>
        </is>
      </c>
      <c r="E533" t="inlineStr">
        <is>
          <t>ÖREBRO</t>
        </is>
      </c>
      <c r="G533" t="n">
        <v>3.1</v>
      </c>
      <c r="H533" t="n">
        <v>0</v>
      </c>
      <c r="I533" t="n">
        <v>0</v>
      </c>
      <c r="J533" t="n">
        <v>0</v>
      </c>
      <c r="K533" t="n">
        <v>0</v>
      </c>
      <c r="L533" t="n">
        <v>0</v>
      </c>
      <c r="M533" t="n">
        <v>0</v>
      </c>
      <c r="N533" t="n">
        <v>0</v>
      </c>
      <c r="O533" t="n">
        <v>0</v>
      </c>
      <c r="P533" t="n">
        <v>0</v>
      </c>
      <c r="Q533" t="n">
        <v>0</v>
      </c>
      <c r="R533" s="2" t="inlineStr"/>
    </row>
    <row r="534" ht="15" customHeight="1">
      <c r="A534" t="inlineStr">
        <is>
          <t>A 55875-2024</t>
        </is>
      </c>
      <c r="B534" s="1" t="n">
        <v>45623.55375</v>
      </c>
      <c r="C534" s="1" t="n">
        <v>46092</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3841-2023</t>
        </is>
      </c>
      <c r="B535" s="1" t="n">
        <v>44951</v>
      </c>
      <c r="C535" s="1" t="n">
        <v>46092</v>
      </c>
      <c r="D535" t="inlineStr">
        <is>
          <t>ÖREBRO LÄN</t>
        </is>
      </c>
      <c r="E535" t="inlineStr">
        <is>
          <t>ÖREBRO</t>
        </is>
      </c>
      <c r="G535" t="n">
        <v>4.3</v>
      </c>
      <c r="H535" t="n">
        <v>0</v>
      </c>
      <c r="I535" t="n">
        <v>0</v>
      </c>
      <c r="J535" t="n">
        <v>0</v>
      </c>
      <c r="K535" t="n">
        <v>0</v>
      </c>
      <c r="L535" t="n">
        <v>0</v>
      </c>
      <c r="M535" t="n">
        <v>0</v>
      </c>
      <c r="N535" t="n">
        <v>0</v>
      </c>
      <c r="O535" t="n">
        <v>0</v>
      </c>
      <c r="P535" t="n">
        <v>0</v>
      </c>
      <c r="Q535" t="n">
        <v>0</v>
      </c>
      <c r="R535" s="2" t="inlineStr"/>
    </row>
    <row r="536" ht="15" customHeight="1">
      <c r="A536" t="inlineStr">
        <is>
          <t>A 49215-2023</t>
        </is>
      </c>
      <c r="B536" s="1" t="n">
        <v>45210.61050925926</v>
      </c>
      <c r="C536" s="1" t="n">
        <v>46092</v>
      </c>
      <c r="D536" t="inlineStr">
        <is>
          <t>ÖREBRO LÄN</t>
        </is>
      </c>
      <c r="E536" t="inlineStr">
        <is>
          <t>ÖREBRO</t>
        </is>
      </c>
      <c r="F536" t="inlineStr">
        <is>
          <t>Övriga Aktiebolag</t>
        </is>
      </c>
      <c r="G536" t="n">
        <v>4.2</v>
      </c>
      <c r="H536" t="n">
        <v>0</v>
      </c>
      <c r="I536" t="n">
        <v>0</v>
      </c>
      <c r="J536" t="n">
        <v>0</v>
      </c>
      <c r="K536" t="n">
        <v>0</v>
      </c>
      <c r="L536" t="n">
        <v>0</v>
      </c>
      <c r="M536" t="n">
        <v>0</v>
      </c>
      <c r="N536" t="n">
        <v>0</v>
      </c>
      <c r="O536" t="n">
        <v>0</v>
      </c>
      <c r="P536" t="n">
        <v>0</v>
      </c>
      <c r="Q536" t="n">
        <v>0</v>
      </c>
      <c r="R536" s="2" t="inlineStr"/>
    </row>
    <row r="537" ht="15" customHeight="1">
      <c r="A537" t="inlineStr">
        <is>
          <t>A 43399-2022</t>
        </is>
      </c>
      <c r="B537" s="1" t="n">
        <v>44834</v>
      </c>
      <c r="C537" s="1" t="n">
        <v>46092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19553-2023</t>
        </is>
      </c>
      <c r="B538" s="1" t="n">
        <v>45050</v>
      </c>
      <c r="C538" s="1" t="n">
        <v>46092</v>
      </c>
      <c r="D538" t="inlineStr">
        <is>
          <t>ÖREBRO LÄN</t>
        </is>
      </c>
      <c r="E538" t="inlineStr">
        <is>
          <t>ÖREBRO</t>
        </is>
      </c>
      <c r="G538" t="n">
        <v>2.1</v>
      </c>
      <c r="H538" t="n">
        <v>0</v>
      </c>
      <c r="I538" t="n">
        <v>0</v>
      </c>
      <c r="J538" t="n">
        <v>0</v>
      </c>
      <c r="K538" t="n">
        <v>0</v>
      </c>
      <c r="L538" t="n">
        <v>0</v>
      </c>
      <c r="M538" t="n">
        <v>0</v>
      </c>
      <c r="N538" t="n">
        <v>0</v>
      </c>
      <c r="O538" t="n">
        <v>0</v>
      </c>
      <c r="P538" t="n">
        <v>0</v>
      </c>
      <c r="Q538" t="n">
        <v>0</v>
      </c>
      <c r="R538" s="2" t="inlineStr"/>
    </row>
    <row r="539" ht="15" customHeight="1">
      <c r="A539" t="inlineStr">
        <is>
          <t>A 14291-2023</t>
        </is>
      </c>
      <c r="B539" s="1" t="n">
        <v>45010</v>
      </c>
      <c r="C539" s="1" t="n">
        <v>46092</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58527-2024</t>
        </is>
      </c>
      <c r="B540" s="1" t="n">
        <v>45635.44388888889</v>
      </c>
      <c r="C540" s="1" t="n">
        <v>46092</v>
      </c>
      <c r="D540" t="inlineStr">
        <is>
          <t>ÖREBRO LÄN</t>
        </is>
      </c>
      <c r="E540" t="inlineStr">
        <is>
          <t>ÖREBRO</t>
        </is>
      </c>
      <c r="F540" t="inlineStr">
        <is>
          <t>Sveaskog</t>
        </is>
      </c>
      <c r="G540" t="n">
        <v>6.4</v>
      </c>
      <c r="H540" t="n">
        <v>0</v>
      </c>
      <c r="I540" t="n">
        <v>0</v>
      </c>
      <c r="J540" t="n">
        <v>0</v>
      </c>
      <c r="K540" t="n">
        <v>0</v>
      </c>
      <c r="L540" t="n">
        <v>0</v>
      </c>
      <c r="M540" t="n">
        <v>0</v>
      </c>
      <c r="N540" t="n">
        <v>0</v>
      </c>
      <c r="O540" t="n">
        <v>0</v>
      </c>
      <c r="P540" t="n">
        <v>0</v>
      </c>
      <c r="Q540" t="n">
        <v>0</v>
      </c>
      <c r="R540" s="2" t="inlineStr"/>
    </row>
    <row r="541" ht="15" customHeight="1">
      <c r="A541" t="inlineStr">
        <is>
          <t>A 55593-2022</t>
        </is>
      </c>
      <c r="B541" s="1" t="n">
        <v>44888</v>
      </c>
      <c r="C541" s="1" t="n">
        <v>46092</v>
      </c>
      <c r="D541" t="inlineStr">
        <is>
          <t>ÖREBRO LÄN</t>
        </is>
      </c>
      <c r="E541" t="inlineStr">
        <is>
          <t>ÖREBRO</t>
        </is>
      </c>
      <c r="G541" t="n">
        <v>3.6</v>
      </c>
      <c r="H541" t="n">
        <v>0</v>
      </c>
      <c r="I541" t="n">
        <v>0</v>
      </c>
      <c r="J541" t="n">
        <v>0</v>
      </c>
      <c r="K541" t="n">
        <v>0</v>
      </c>
      <c r="L541" t="n">
        <v>0</v>
      </c>
      <c r="M541" t="n">
        <v>0</v>
      </c>
      <c r="N541" t="n">
        <v>0</v>
      </c>
      <c r="O541" t="n">
        <v>0</v>
      </c>
      <c r="P541" t="n">
        <v>0</v>
      </c>
      <c r="Q541" t="n">
        <v>0</v>
      </c>
      <c r="R541" s="2" t="inlineStr"/>
    </row>
    <row r="542" ht="15" customHeight="1">
      <c r="A542" t="inlineStr">
        <is>
          <t>A 63142-2023</t>
        </is>
      </c>
      <c r="B542" s="1" t="n">
        <v>45273</v>
      </c>
      <c r="C542" s="1" t="n">
        <v>46092</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46092</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59121-2024</t>
        </is>
      </c>
      <c r="B544" s="1" t="n">
        <v>45637.37755787037</v>
      </c>
      <c r="C544" s="1" t="n">
        <v>46092</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9704-2023</t>
        </is>
      </c>
      <c r="B545" s="1" t="n">
        <v>44984</v>
      </c>
      <c r="C545" s="1" t="n">
        <v>46092</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12099-2023</t>
        </is>
      </c>
      <c r="B546" s="1" t="n">
        <v>44998.37043981482</v>
      </c>
      <c r="C546" s="1" t="n">
        <v>46092</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17869-2024</t>
        </is>
      </c>
      <c r="B547" s="1" t="n">
        <v>45419</v>
      </c>
      <c r="C547" s="1" t="n">
        <v>46092</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44593.63974537037</v>
      </c>
      <c r="C548" s="1" t="n">
        <v>46092</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10832-2023</t>
        </is>
      </c>
      <c r="B549" s="1" t="n">
        <v>44990.91711805556</v>
      </c>
      <c r="C549" s="1" t="n">
        <v>46092</v>
      </c>
      <c r="D549" t="inlineStr">
        <is>
          <t>ÖREBRO LÄN</t>
        </is>
      </c>
      <c r="E549" t="inlineStr">
        <is>
          <t>ÖREBRO</t>
        </is>
      </c>
      <c r="G549" t="n">
        <v>1.4</v>
      </c>
      <c r="H549" t="n">
        <v>0</v>
      </c>
      <c r="I549" t="n">
        <v>0</v>
      </c>
      <c r="J549" t="n">
        <v>0</v>
      </c>
      <c r="K549" t="n">
        <v>0</v>
      </c>
      <c r="L549" t="n">
        <v>0</v>
      </c>
      <c r="M549" t="n">
        <v>0</v>
      </c>
      <c r="N549" t="n">
        <v>0</v>
      </c>
      <c r="O549" t="n">
        <v>0</v>
      </c>
      <c r="P549" t="n">
        <v>0</v>
      </c>
      <c r="Q549" t="n">
        <v>0</v>
      </c>
      <c r="R549" s="2" t="inlineStr"/>
    </row>
    <row r="550" ht="15" customHeight="1">
      <c r="A550" t="inlineStr">
        <is>
          <t>A 48581-2024</t>
        </is>
      </c>
      <c r="B550" s="1" t="n">
        <v>45593.41642361111</v>
      </c>
      <c r="C550" s="1" t="n">
        <v>46092</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40231-2022</t>
        </is>
      </c>
      <c r="B551" s="1" t="n">
        <v>44820</v>
      </c>
      <c r="C551" s="1" t="n">
        <v>46092</v>
      </c>
      <c r="D551" t="inlineStr">
        <is>
          <t>ÖREBRO LÄN</t>
        </is>
      </c>
      <c r="E551" t="inlineStr">
        <is>
          <t>ÖREBRO</t>
        </is>
      </c>
      <c r="F551" t="inlineStr">
        <is>
          <t>Allmännings- och besparingsskogar</t>
        </is>
      </c>
      <c r="G551" t="n">
        <v>2.2</v>
      </c>
      <c r="H551" t="n">
        <v>0</v>
      </c>
      <c r="I551" t="n">
        <v>0</v>
      </c>
      <c r="J551" t="n">
        <v>0</v>
      </c>
      <c r="K551" t="n">
        <v>0</v>
      </c>
      <c r="L551" t="n">
        <v>0</v>
      </c>
      <c r="M551" t="n">
        <v>0</v>
      </c>
      <c r="N551" t="n">
        <v>0</v>
      </c>
      <c r="O551" t="n">
        <v>0</v>
      </c>
      <c r="P551" t="n">
        <v>0</v>
      </c>
      <c r="Q551" t="n">
        <v>0</v>
      </c>
      <c r="R551" s="2" t="inlineStr"/>
    </row>
    <row r="552" ht="15" customHeight="1">
      <c r="A552" t="inlineStr">
        <is>
          <t>A 14963-2025</t>
        </is>
      </c>
      <c r="B552" s="1" t="n">
        <v>45743.58699074074</v>
      </c>
      <c r="C552" s="1" t="n">
        <v>46092</v>
      </c>
      <c r="D552" t="inlineStr">
        <is>
          <t>ÖREBRO LÄN</t>
        </is>
      </c>
      <c r="E552" t="inlineStr">
        <is>
          <t>ÖREBRO</t>
        </is>
      </c>
      <c r="G552" t="n">
        <v>9.1</v>
      </c>
      <c r="H552" t="n">
        <v>0</v>
      </c>
      <c r="I552" t="n">
        <v>0</v>
      </c>
      <c r="J552" t="n">
        <v>0</v>
      </c>
      <c r="K552" t="n">
        <v>0</v>
      </c>
      <c r="L552" t="n">
        <v>0</v>
      </c>
      <c r="M552" t="n">
        <v>0</v>
      </c>
      <c r="N552" t="n">
        <v>0</v>
      </c>
      <c r="O552" t="n">
        <v>0</v>
      </c>
      <c r="P552" t="n">
        <v>0</v>
      </c>
      <c r="Q552" t="n">
        <v>0</v>
      </c>
      <c r="R552" s="2" t="inlineStr"/>
    </row>
    <row r="553" ht="15" customHeight="1">
      <c r="A553" t="inlineStr">
        <is>
          <t>A 33455-2023</t>
        </is>
      </c>
      <c r="B553" s="1" t="n">
        <v>45130.98962962963</v>
      </c>
      <c r="C553" s="1" t="n">
        <v>46092</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2069-2025</t>
        </is>
      </c>
      <c r="B554" s="1" t="n">
        <v>45672.56614583333</v>
      </c>
      <c r="C554" s="1" t="n">
        <v>46092</v>
      </c>
      <c r="D554" t="inlineStr">
        <is>
          <t>ÖREBRO LÄN</t>
        </is>
      </c>
      <c r="E554" t="inlineStr">
        <is>
          <t>ÖREBRO</t>
        </is>
      </c>
      <c r="G554" t="n">
        <v>3.8</v>
      </c>
      <c r="H554" t="n">
        <v>0</v>
      </c>
      <c r="I554" t="n">
        <v>0</v>
      </c>
      <c r="J554" t="n">
        <v>0</v>
      </c>
      <c r="K554" t="n">
        <v>0</v>
      </c>
      <c r="L554" t="n">
        <v>0</v>
      </c>
      <c r="M554" t="n">
        <v>0</v>
      </c>
      <c r="N554" t="n">
        <v>0</v>
      </c>
      <c r="O554" t="n">
        <v>0</v>
      </c>
      <c r="P554" t="n">
        <v>0</v>
      </c>
      <c r="Q554" t="n">
        <v>0</v>
      </c>
      <c r="R554" s="2" t="inlineStr"/>
    </row>
    <row r="555" ht="15" customHeight="1">
      <c r="A555" t="inlineStr">
        <is>
          <t>A 58277-2022</t>
        </is>
      </c>
      <c r="B555" s="1" t="n">
        <v>44901.48108796297</v>
      </c>
      <c r="C555" s="1" t="n">
        <v>46092</v>
      </c>
      <c r="D555" t="inlineStr">
        <is>
          <t>ÖREBRO LÄN</t>
        </is>
      </c>
      <c r="E555" t="inlineStr">
        <is>
          <t>ÖREBRO</t>
        </is>
      </c>
      <c r="G555" t="n">
        <v>1.8</v>
      </c>
      <c r="H555" t="n">
        <v>0</v>
      </c>
      <c r="I555" t="n">
        <v>0</v>
      </c>
      <c r="J555" t="n">
        <v>0</v>
      </c>
      <c r="K555" t="n">
        <v>0</v>
      </c>
      <c r="L555" t="n">
        <v>0</v>
      </c>
      <c r="M555" t="n">
        <v>0</v>
      </c>
      <c r="N555" t="n">
        <v>0</v>
      </c>
      <c r="O555" t="n">
        <v>0</v>
      </c>
      <c r="P555" t="n">
        <v>0</v>
      </c>
      <c r="Q555" t="n">
        <v>0</v>
      </c>
      <c r="R555" s="2" t="inlineStr"/>
    </row>
    <row r="556" ht="15" customHeight="1">
      <c r="A556" t="inlineStr">
        <is>
          <t>A 42518-2021</t>
        </is>
      </c>
      <c r="B556" s="1" t="n">
        <v>44427.81496527778</v>
      </c>
      <c r="C556" s="1" t="n">
        <v>46092</v>
      </c>
      <c r="D556" t="inlineStr">
        <is>
          <t>ÖREBRO LÄN</t>
        </is>
      </c>
      <c r="E556" t="inlineStr">
        <is>
          <t>ÖREBRO</t>
        </is>
      </c>
      <c r="G556" t="n">
        <v>4.5</v>
      </c>
      <c r="H556" t="n">
        <v>0</v>
      </c>
      <c r="I556" t="n">
        <v>0</v>
      </c>
      <c r="J556" t="n">
        <v>0</v>
      </c>
      <c r="K556" t="n">
        <v>0</v>
      </c>
      <c r="L556" t="n">
        <v>0</v>
      </c>
      <c r="M556" t="n">
        <v>0</v>
      </c>
      <c r="N556" t="n">
        <v>0</v>
      </c>
      <c r="O556" t="n">
        <v>0</v>
      </c>
      <c r="P556" t="n">
        <v>0</v>
      </c>
      <c r="Q556" t="n">
        <v>0</v>
      </c>
      <c r="R556" s="2" t="inlineStr"/>
    </row>
    <row r="557" ht="15" customHeight="1">
      <c r="A557" t="inlineStr">
        <is>
          <t>A 14524-2025</t>
        </is>
      </c>
      <c r="B557" s="1" t="n">
        <v>45741.64815972222</v>
      </c>
      <c r="C557" s="1" t="n">
        <v>46092</v>
      </c>
      <c r="D557" t="inlineStr">
        <is>
          <t>ÖREBRO LÄN</t>
        </is>
      </c>
      <c r="E557" t="inlineStr">
        <is>
          <t>ÖREBRO</t>
        </is>
      </c>
      <c r="G557" t="n">
        <v>2.8</v>
      </c>
      <c r="H557" t="n">
        <v>0</v>
      </c>
      <c r="I557" t="n">
        <v>0</v>
      </c>
      <c r="J557" t="n">
        <v>0</v>
      </c>
      <c r="K557" t="n">
        <v>0</v>
      </c>
      <c r="L557" t="n">
        <v>0</v>
      </c>
      <c r="M557" t="n">
        <v>0</v>
      </c>
      <c r="N557" t="n">
        <v>0</v>
      </c>
      <c r="O557" t="n">
        <v>0</v>
      </c>
      <c r="P557" t="n">
        <v>0</v>
      </c>
      <c r="Q557" t="n">
        <v>0</v>
      </c>
      <c r="R557" s="2" t="inlineStr"/>
    </row>
    <row r="558" ht="15" customHeight="1">
      <c r="A558" t="inlineStr">
        <is>
          <t>A 15354-2024</t>
        </is>
      </c>
      <c r="B558" s="1" t="n">
        <v>45400.85319444445</v>
      </c>
      <c r="C558" s="1" t="n">
        <v>46092</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41543-2024</t>
        </is>
      </c>
      <c r="B559" s="1" t="n">
        <v>45560</v>
      </c>
      <c r="C559" s="1" t="n">
        <v>46092</v>
      </c>
      <c r="D559" t="inlineStr">
        <is>
          <t>ÖREBRO LÄN</t>
        </is>
      </c>
      <c r="E559" t="inlineStr">
        <is>
          <t>ÖREBRO</t>
        </is>
      </c>
      <c r="G559" t="n">
        <v>2.8</v>
      </c>
      <c r="H559" t="n">
        <v>0</v>
      </c>
      <c r="I559" t="n">
        <v>0</v>
      </c>
      <c r="J559" t="n">
        <v>0</v>
      </c>
      <c r="K559" t="n">
        <v>0</v>
      </c>
      <c r="L559" t="n">
        <v>0</v>
      </c>
      <c r="M559" t="n">
        <v>0</v>
      </c>
      <c r="N559" t="n">
        <v>0</v>
      </c>
      <c r="O559" t="n">
        <v>0</v>
      </c>
      <c r="P559" t="n">
        <v>0</v>
      </c>
      <c r="Q559" t="n">
        <v>0</v>
      </c>
      <c r="R559" s="2" t="inlineStr"/>
    </row>
    <row r="560" ht="15" customHeight="1">
      <c r="A560" t="inlineStr">
        <is>
          <t>A 71275-2021</t>
        </is>
      </c>
      <c r="B560" s="1" t="n">
        <v>44539</v>
      </c>
      <c r="C560" s="1" t="n">
        <v>46092</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71285-2021</t>
        </is>
      </c>
      <c r="B561" s="1" t="n">
        <v>44539.62236111111</v>
      </c>
      <c r="C561" s="1" t="n">
        <v>46092</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2658-2023</t>
        </is>
      </c>
      <c r="B562" s="1" t="n">
        <v>44944</v>
      </c>
      <c r="C562" s="1" t="n">
        <v>46092</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11382-2023</t>
        </is>
      </c>
      <c r="B563" s="1" t="n">
        <v>44993.45635416666</v>
      </c>
      <c r="C563" s="1" t="n">
        <v>46092</v>
      </c>
      <c r="D563" t="inlineStr">
        <is>
          <t>ÖREBRO LÄN</t>
        </is>
      </c>
      <c r="E563" t="inlineStr">
        <is>
          <t>ÖREBRO</t>
        </is>
      </c>
      <c r="G563" t="n">
        <v>3.3</v>
      </c>
      <c r="H563" t="n">
        <v>0</v>
      </c>
      <c r="I563" t="n">
        <v>0</v>
      </c>
      <c r="J563" t="n">
        <v>0</v>
      </c>
      <c r="K563" t="n">
        <v>0</v>
      </c>
      <c r="L563" t="n">
        <v>0</v>
      </c>
      <c r="M563" t="n">
        <v>0</v>
      </c>
      <c r="N563" t="n">
        <v>0</v>
      </c>
      <c r="O563" t="n">
        <v>0</v>
      </c>
      <c r="P563" t="n">
        <v>0</v>
      </c>
      <c r="Q563" t="n">
        <v>0</v>
      </c>
      <c r="R563" s="2" t="inlineStr"/>
    </row>
    <row r="564" ht="15" customHeight="1">
      <c r="A564" t="inlineStr">
        <is>
          <t>A 52016-2024</t>
        </is>
      </c>
      <c r="B564" s="1" t="n">
        <v>45607.81917824074</v>
      </c>
      <c r="C564" s="1" t="n">
        <v>46092</v>
      </c>
      <c r="D564" t="inlineStr">
        <is>
          <t>ÖREBRO LÄN</t>
        </is>
      </c>
      <c r="E564" t="inlineStr">
        <is>
          <t>ÖREBRO</t>
        </is>
      </c>
      <c r="G564" t="n">
        <v>1.9</v>
      </c>
      <c r="H564" t="n">
        <v>0</v>
      </c>
      <c r="I564" t="n">
        <v>0</v>
      </c>
      <c r="J564" t="n">
        <v>0</v>
      </c>
      <c r="K564" t="n">
        <v>0</v>
      </c>
      <c r="L564" t="n">
        <v>0</v>
      </c>
      <c r="M564" t="n">
        <v>0</v>
      </c>
      <c r="N564" t="n">
        <v>0</v>
      </c>
      <c r="O564" t="n">
        <v>0</v>
      </c>
      <c r="P564" t="n">
        <v>0</v>
      </c>
      <c r="Q564" t="n">
        <v>0</v>
      </c>
      <c r="R564" s="2" t="inlineStr"/>
    </row>
    <row r="565" ht="15" customHeight="1">
      <c r="A565" t="inlineStr">
        <is>
          <t>A 27112-2023</t>
        </is>
      </c>
      <c r="B565" s="1" t="n">
        <v>45096</v>
      </c>
      <c r="C565" s="1" t="n">
        <v>46092</v>
      </c>
      <c r="D565" t="inlineStr">
        <is>
          <t>ÖREBRO LÄN</t>
        </is>
      </c>
      <c r="E565" t="inlineStr">
        <is>
          <t>ÖREBRO</t>
        </is>
      </c>
      <c r="G565" t="n">
        <v>0.7</v>
      </c>
      <c r="H565" t="n">
        <v>0</v>
      </c>
      <c r="I565" t="n">
        <v>0</v>
      </c>
      <c r="J565" t="n">
        <v>0</v>
      </c>
      <c r="K565" t="n">
        <v>0</v>
      </c>
      <c r="L565" t="n">
        <v>0</v>
      </c>
      <c r="M565" t="n">
        <v>0</v>
      </c>
      <c r="N565" t="n">
        <v>0</v>
      </c>
      <c r="O565" t="n">
        <v>0</v>
      </c>
      <c r="P565" t="n">
        <v>0</v>
      </c>
      <c r="Q565" t="n">
        <v>0</v>
      </c>
      <c r="R565" s="2" t="inlineStr"/>
    </row>
    <row r="566" ht="15" customHeight="1">
      <c r="A566" t="inlineStr">
        <is>
          <t>A 16739-2022</t>
        </is>
      </c>
      <c r="B566" s="1" t="n">
        <v>44673</v>
      </c>
      <c r="C566" s="1" t="n">
        <v>46092</v>
      </c>
      <c r="D566" t="inlineStr">
        <is>
          <t>ÖREBRO LÄN</t>
        </is>
      </c>
      <c r="E566" t="inlineStr">
        <is>
          <t>ÖREBRO</t>
        </is>
      </c>
      <c r="G566" t="n">
        <v>4.7</v>
      </c>
      <c r="H566" t="n">
        <v>0</v>
      </c>
      <c r="I566" t="n">
        <v>0</v>
      </c>
      <c r="J566" t="n">
        <v>0</v>
      </c>
      <c r="K566" t="n">
        <v>0</v>
      </c>
      <c r="L566" t="n">
        <v>0</v>
      </c>
      <c r="M566" t="n">
        <v>0</v>
      </c>
      <c r="N566" t="n">
        <v>0</v>
      </c>
      <c r="O566" t="n">
        <v>0</v>
      </c>
      <c r="P566" t="n">
        <v>0</v>
      </c>
      <c r="Q566" t="n">
        <v>0</v>
      </c>
      <c r="R566" s="2" t="inlineStr"/>
    </row>
    <row r="567" ht="15" customHeight="1">
      <c r="A567" t="inlineStr">
        <is>
          <t>A 13592-2023</t>
        </is>
      </c>
      <c r="B567" s="1" t="n">
        <v>45006.56870370371</v>
      </c>
      <c r="C567" s="1" t="n">
        <v>46092</v>
      </c>
      <c r="D567" t="inlineStr">
        <is>
          <t>ÖREBRO LÄN</t>
        </is>
      </c>
      <c r="E567" t="inlineStr">
        <is>
          <t>ÖREBRO</t>
        </is>
      </c>
      <c r="G567" t="n">
        <v>2</v>
      </c>
      <c r="H567" t="n">
        <v>0</v>
      </c>
      <c r="I567" t="n">
        <v>0</v>
      </c>
      <c r="J567" t="n">
        <v>0</v>
      </c>
      <c r="K567" t="n">
        <v>0</v>
      </c>
      <c r="L567" t="n">
        <v>0</v>
      </c>
      <c r="M567" t="n">
        <v>0</v>
      </c>
      <c r="N567" t="n">
        <v>0</v>
      </c>
      <c r="O567" t="n">
        <v>0</v>
      </c>
      <c r="P567" t="n">
        <v>0</v>
      </c>
      <c r="Q567" t="n">
        <v>0</v>
      </c>
      <c r="R567" s="2" t="inlineStr"/>
    </row>
    <row r="568" ht="15" customHeight="1">
      <c r="A568" t="inlineStr">
        <is>
          <t>A 40656-2023</t>
        </is>
      </c>
      <c r="B568" s="1" t="n">
        <v>45170</v>
      </c>
      <c r="C568" s="1" t="n">
        <v>46092</v>
      </c>
      <c r="D568" t="inlineStr">
        <is>
          <t>ÖREBRO LÄN</t>
        </is>
      </c>
      <c r="E568" t="inlineStr">
        <is>
          <t>ÖREBRO</t>
        </is>
      </c>
      <c r="F568" t="inlineStr">
        <is>
          <t>Övriga Aktiebolag</t>
        </is>
      </c>
      <c r="G568" t="n">
        <v>0.8</v>
      </c>
      <c r="H568" t="n">
        <v>0</v>
      </c>
      <c r="I568" t="n">
        <v>0</v>
      </c>
      <c r="J568" t="n">
        <v>0</v>
      </c>
      <c r="K568" t="n">
        <v>0</v>
      </c>
      <c r="L568" t="n">
        <v>0</v>
      </c>
      <c r="M568" t="n">
        <v>0</v>
      </c>
      <c r="N568" t="n">
        <v>0</v>
      </c>
      <c r="O568" t="n">
        <v>0</v>
      </c>
      <c r="P568" t="n">
        <v>0</v>
      </c>
      <c r="Q568" t="n">
        <v>0</v>
      </c>
      <c r="R568" s="2" t="inlineStr"/>
    </row>
    <row r="569" ht="15" customHeight="1">
      <c r="A569" t="inlineStr">
        <is>
          <t>A 12245-2023</t>
        </is>
      </c>
      <c r="B569" s="1" t="n">
        <v>44998.64402777778</v>
      </c>
      <c r="C569" s="1" t="n">
        <v>46092</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8008-2024</t>
        </is>
      </c>
      <c r="B570" s="1" t="n">
        <v>45350.6794212963</v>
      </c>
      <c r="C570" s="1" t="n">
        <v>46092</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46092</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3789-2023</t>
        </is>
      </c>
      <c r="B572" s="1" t="n">
        <v>44951</v>
      </c>
      <c r="C572" s="1" t="n">
        <v>46092</v>
      </c>
      <c r="D572" t="inlineStr">
        <is>
          <t>ÖREBRO LÄN</t>
        </is>
      </c>
      <c r="E572" t="inlineStr">
        <is>
          <t>ÖREBRO</t>
        </is>
      </c>
      <c r="G572" t="n">
        <v>7.5</v>
      </c>
      <c r="H572" t="n">
        <v>0</v>
      </c>
      <c r="I572" t="n">
        <v>0</v>
      </c>
      <c r="J572" t="n">
        <v>0</v>
      </c>
      <c r="K572" t="n">
        <v>0</v>
      </c>
      <c r="L572" t="n">
        <v>0</v>
      </c>
      <c r="M572" t="n">
        <v>0</v>
      </c>
      <c r="N572" t="n">
        <v>0</v>
      </c>
      <c r="O572" t="n">
        <v>0</v>
      </c>
      <c r="P572" t="n">
        <v>0</v>
      </c>
      <c r="Q572" t="n">
        <v>0</v>
      </c>
      <c r="R572" s="2" t="inlineStr"/>
    </row>
    <row r="573" ht="15" customHeight="1">
      <c r="A573" t="inlineStr">
        <is>
          <t>A 57869-2024</t>
        </is>
      </c>
      <c r="B573" s="1" t="n">
        <v>45631.44207175926</v>
      </c>
      <c r="C573" s="1" t="n">
        <v>46092</v>
      </c>
      <c r="D573" t="inlineStr">
        <is>
          <t>ÖREBRO LÄN</t>
        </is>
      </c>
      <c r="E573" t="inlineStr">
        <is>
          <t>ÖREBRO</t>
        </is>
      </c>
      <c r="G573" t="n">
        <v>1.4</v>
      </c>
      <c r="H573" t="n">
        <v>0</v>
      </c>
      <c r="I573" t="n">
        <v>0</v>
      </c>
      <c r="J573" t="n">
        <v>0</v>
      </c>
      <c r="K573" t="n">
        <v>0</v>
      </c>
      <c r="L573" t="n">
        <v>0</v>
      </c>
      <c r="M573" t="n">
        <v>0</v>
      </c>
      <c r="N573" t="n">
        <v>0</v>
      </c>
      <c r="O573" t="n">
        <v>0</v>
      </c>
      <c r="P573" t="n">
        <v>0</v>
      </c>
      <c r="Q573" t="n">
        <v>0</v>
      </c>
      <c r="R573" s="2" t="inlineStr"/>
    </row>
    <row r="574" ht="15" customHeight="1">
      <c r="A574" t="inlineStr">
        <is>
          <t>A 11565-2023</t>
        </is>
      </c>
      <c r="B574" s="1" t="n">
        <v>44994</v>
      </c>
      <c r="C574" s="1" t="n">
        <v>46092</v>
      </c>
      <c r="D574" t="inlineStr">
        <is>
          <t>ÖREBRO LÄN</t>
        </is>
      </c>
      <c r="E574" t="inlineStr">
        <is>
          <t>ÖREBRO</t>
        </is>
      </c>
      <c r="G574" t="n">
        <v>4.7</v>
      </c>
      <c r="H574" t="n">
        <v>0</v>
      </c>
      <c r="I574" t="n">
        <v>0</v>
      </c>
      <c r="J574" t="n">
        <v>0</v>
      </c>
      <c r="K574" t="n">
        <v>0</v>
      </c>
      <c r="L574" t="n">
        <v>0</v>
      </c>
      <c r="M574" t="n">
        <v>0</v>
      </c>
      <c r="N574" t="n">
        <v>0</v>
      </c>
      <c r="O574" t="n">
        <v>0</v>
      </c>
      <c r="P574" t="n">
        <v>0</v>
      </c>
      <c r="Q574" t="n">
        <v>0</v>
      </c>
      <c r="R574" s="2" t="inlineStr"/>
    </row>
    <row r="575" ht="15" customHeight="1">
      <c r="A575" t="inlineStr">
        <is>
          <t>A 1647-2024</t>
        </is>
      </c>
      <c r="B575" s="1" t="n">
        <v>45306</v>
      </c>
      <c r="C575" s="1" t="n">
        <v>46092</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31906-2023</t>
        </is>
      </c>
      <c r="B576" s="1" t="n">
        <v>45118.8353125</v>
      </c>
      <c r="C576" s="1" t="n">
        <v>46092</v>
      </c>
      <c r="D576" t="inlineStr">
        <is>
          <t>ÖREBRO LÄN</t>
        </is>
      </c>
      <c r="E576" t="inlineStr">
        <is>
          <t>ÖREBRO</t>
        </is>
      </c>
      <c r="G576" t="n">
        <v>9</v>
      </c>
      <c r="H576" t="n">
        <v>0</v>
      </c>
      <c r="I576" t="n">
        <v>0</v>
      </c>
      <c r="J576" t="n">
        <v>0</v>
      </c>
      <c r="K576" t="n">
        <v>0</v>
      </c>
      <c r="L576" t="n">
        <v>0</v>
      </c>
      <c r="M576" t="n">
        <v>0</v>
      </c>
      <c r="N576" t="n">
        <v>0</v>
      </c>
      <c r="O576" t="n">
        <v>0</v>
      </c>
      <c r="P576" t="n">
        <v>0</v>
      </c>
      <c r="Q576" t="n">
        <v>0</v>
      </c>
      <c r="R576" s="2" t="inlineStr"/>
    </row>
    <row r="577" ht="15" customHeight="1">
      <c r="A577" t="inlineStr">
        <is>
          <t>A 31326-2024</t>
        </is>
      </c>
      <c r="B577" s="1" t="n">
        <v>45504.5934375</v>
      </c>
      <c r="C577" s="1" t="n">
        <v>46092</v>
      </c>
      <c r="D577" t="inlineStr">
        <is>
          <t>ÖREBRO LÄN</t>
        </is>
      </c>
      <c r="E577" t="inlineStr">
        <is>
          <t>ÖREBRO</t>
        </is>
      </c>
      <c r="G577" t="n">
        <v>6.4</v>
      </c>
      <c r="H577" t="n">
        <v>0</v>
      </c>
      <c r="I577" t="n">
        <v>0</v>
      </c>
      <c r="J577" t="n">
        <v>0</v>
      </c>
      <c r="K577" t="n">
        <v>0</v>
      </c>
      <c r="L577" t="n">
        <v>0</v>
      </c>
      <c r="M577" t="n">
        <v>0</v>
      </c>
      <c r="N577" t="n">
        <v>0</v>
      </c>
      <c r="O577" t="n">
        <v>0</v>
      </c>
      <c r="P577" t="n">
        <v>0</v>
      </c>
      <c r="Q577" t="n">
        <v>0</v>
      </c>
      <c r="R577" s="2" t="inlineStr"/>
    </row>
    <row r="578" ht="15" customHeight="1">
      <c r="A578" t="inlineStr">
        <is>
          <t>A 70719-2021</t>
        </is>
      </c>
      <c r="B578" s="1" t="n">
        <v>44537</v>
      </c>
      <c r="C578" s="1" t="n">
        <v>46092</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16694-2025</t>
        </is>
      </c>
      <c r="B579" s="1" t="n">
        <v>45754.46480324074</v>
      </c>
      <c r="C579" s="1" t="n">
        <v>46092</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30374-2023</t>
        </is>
      </c>
      <c r="B580" s="1" t="n">
        <v>45111</v>
      </c>
      <c r="C580" s="1" t="n">
        <v>46092</v>
      </c>
      <c r="D580" t="inlineStr">
        <is>
          <t>ÖREBRO LÄN</t>
        </is>
      </c>
      <c r="E580" t="inlineStr">
        <is>
          <t>ÖREBRO</t>
        </is>
      </c>
      <c r="F580" t="inlineStr">
        <is>
          <t>Övriga Aktiebolag</t>
        </is>
      </c>
      <c r="G580" t="n">
        <v>2.3</v>
      </c>
      <c r="H580" t="n">
        <v>0</v>
      </c>
      <c r="I580" t="n">
        <v>0</v>
      </c>
      <c r="J580" t="n">
        <v>0</v>
      </c>
      <c r="K580" t="n">
        <v>0</v>
      </c>
      <c r="L580" t="n">
        <v>0</v>
      </c>
      <c r="M580" t="n">
        <v>0</v>
      </c>
      <c r="N580" t="n">
        <v>0</v>
      </c>
      <c r="O580" t="n">
        <v>0</v>
      </c>
      <c r="P580" t="n">
        <v>0</v>
      </c>
      <c r="Q580" t="n">
        <v>0</v>
      </c>
      <c r="R580" s="2" t="inlineStr"/>
    </row>
    <row r="581" ht="15" customHeight="1">
      <c r="A581" t="inlineStr">
        <is>
          <t>A 38898-2023</t>
        </is>
      </c>
      <c r="B581" s="1" t="n">
        <v>45163</v>
      </c>
      <c r="C581" s="1" t="n">
        <v>46092</v>
      </c>
      <c r="D581" t="inlineStr">
        <is>
          <t>ÖREBRO LÄN</t>
        </is>
      </c>
      <c r="E581" t="inlineStr">
        <is>
          <t>ÖREBRO</t>
        </is>
      </c>
      <c r="G581" t="n">
        <v>5.1</v>
      </c>
      <c r="H581" t="n">
        <v>0</v>
      </c>
      <c r="I581" t="n">
        <v>0</v>
      </c>
      <c r="J581" t="n">
        <v>0</v>
      </c>
      <c r="K581" t="n">
        <v>0</v>
      </c>
      <c r="L581" t="n">
        <v>0</v>
      </c>
      <c r="M581" t="n">
        <v>0</v>
      </c>
      <c r="N581" t="n">
        <v>0</v>
      </c>
      <c r="O581" t="n">
        <v>0</v>
      </c>
      <c r="P581" t="n">
        <v>0</v>
      </c>
      <c r="Q581" t="n">
        <v>0</v>
      </c>
      <c r="R581" s="2" t="inlineStr"/>
    </row>
    <row r="582" ht="15" customHeight="1">
      <c r="A582" t="inlineStr">
        <is>
          <t>A 5764-2022</t>
        </is>
      </c>
      <c r="B582" s="1" t="n">
        <v>44596</v>
      </c>
      <c r="C582" s="1" t="n">
        <v>46092</v>
      </c>
      <c r="D582" t="inlineStr">
        <is>
          <t>ÖREBRO LÄN</t>
        </is>
      </c>
      <c r="E582" t="inlineStr">
        <is>
          <t>ÖREBRO</t>
        </is>
      </c>
      <c r="G582" t="n">
        <v>3.5</v>
      </c>
      <c r="H582" t="n">
        <v>0</v>
      </c>
      <c r="I582" t="n">
        <v>0</v>
      </c>
      <c r="J582" t="n">
        <v>0</v>
      </c>
      <c r="K582" t="n">
        <v>0</v>
      </c>
      <c r="L582" t="n">
        <v>0</v>
      </c>
      <c r="M582" t="n">
        <v>0</v>
      </c>
      <c r="N582" t="n">
        <v>0</v>
      </c>
      <c r="O582" t="n">
        <v>0</v>
      </c>
      <c r="P582" t="n">
        <v>0</v>
      </c>
      <c r="Q582" t="n">
        <v>0</v>
      </c>
      <c r="R582" s="2" t="inlineStr"/>
    </row>
    <row r="583" ht="15" customHeight="1">
      <c r="A583" t="inlineStr">
        <is>
          <t>A 21036-2024</t>
        </is>
      </c>
      <c r="B583" s="1" t="n">
        <v>45439.65954861111</v>
      </c>
      <c r="C583" s="1" t="n">
        <v>46092</v>
      </c>
      <c r="D583" t="inlineStr">
        <is>
          <t>ÖREBRO LÄN</t>
        </is>
      </c>
      <c r="E583" t="inlineStr">
        <is>
          <t>ÖREBRO</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1492-2022</t>
        </is>
      </c>
      <c r="B584" s="1" t="n">
        <v>44573</v>
      </c>
      <c r="C584" s="1" t="n">
        <v>46092</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58615-2024</t>
        </is>
      </c>
      <c r="B585" s="1" t="n">
        <v>45635.5587037037</v>
      </c>
      <c r="C585" s="1" t="n">
        <v>46092</v>
      </c>
      <c r="D585" t="inlineStr">
        <is>
          <t>ÖREBRO LÄN</t>
        </is>
      </c>
      <c r="E585" t="inlineStr">
        <is>
          <t>ÖREBRO</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58620-2024</t>
        </is>
      </c>
      <c r="B586" s="1" t="n">
        <v>45635.56246527778</v>
      </c>
      <c r="C586" s="1" t="n">
        <v>46092</v>
      </c>
      <c r="D586" t="inlineStr">
        <is>
          <t>ÖREBRO LÄN</t>
        </is>
      </c>
      <c r="E586" t="inlineStr">
        <is>
          <t>ÖREBRO</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1014-2024</t>
        </is>
      </c>
      <c r="B587" s="1" t="n">
        <v>45301</v>
      </c>
      <c r="C587" s="1" t="n">
        <v>46092</v>
      </c>
      <c r="D587" t="inlineStr">
        <is>
          <t>ÖREBRO LÄN</t>
        </is>
      </c>
      <c r="E587" t="inlineStr">
        <is>
          <t>ÖREBRO</t>
        </is>
      </c>
      <c r="G587" t="n">
        <v>1.4</v>
      </c>
      <c r="H587" t="n">
        <v>0</v>
      </c>
      <c r="I587" t="n">
        <v>0</v>
      </c>
      <c r="J587" t="n">
        <v>0</v>
      </c>
      <c r="K587" t="n">
        <v>0</v>
      </c>
      <c r="L587" t="n">
        <v>0</v>
      </c>
      <c r="M587" t="n">
        <v>0</v>
      </c>
      <c r="N587" t="n">
        <v>0</v>
      </c>
      <c r="O587" t="n">
        <v>0</v>
      </c>
      <c r="P587" t="n">
        <v>0</v>
      </c>
      <c r="Q587" t="n">
        <v>0</v>
      </c>
      <c r="R587" s="2" t="inlineStr"/>
    </row>
    <row r="588" ht="15" customHeight="1">
      <c r="A588" t="inlineStr">
        <is>
          <t>A 30472-2022</t>
        </is>
      </c>
      <c r="B588" s="1" t="n">
        <v>44761.70467592592</v>
      </c>
      <c r="C588" s="1" t="n">
        <v>46092</v>
      </c>
      <c r="D588" t="inlineStr">
        <is>
          <t>ÖREBRO LÄN</t>
        </is>
      </c>
      <c r="E588" t="inlineStr">
        <is>
          <t>ÖREBRO</t>
        </is>
      </c>
      <c r="F588" t="inlineStr">
        <is>
          <t>Övriga Aktiebolag</t>
        </is>
      </c>
      <c r="G588" t="n">
        <v>5.6</v>
      </c>
      <c r="H588" t="n">
        <v>0</v>
      </c>
      <c r="I588" t="n">
        <v>0</v>
      </c>
      <c r="J588" t="n">
        <v>0</v>
      </c>
      <c r="K588" t="n">
        <v>0</v>
      </c>
      <c r="L588" t="n">
        <v>0</v>
      </c>
      <c r="M588" t="n">
        <v>0</v>
      </c>
      <c r="N588" t="n">
        <v>0</v>
      </c>
      <c r="O588" t="n">
        <v>0</v>
      </c>
      <c r="P588" t="n">
        <v>0</v>
      </c>
      <c r="Q588" t="n">
        <v>0</v>
      </c>
      <c r="R588" s="2" t="inlineStr"/>
    </row>
    <row r="589" ht="15" customHeight="1">
      <c r="A589" t="inlineStr">
        <is>
          <t>A 34056-2023</t>
        </is>
      </c>
      <c r="B589" s="1" t="n">
        <v>45135</v>
      </c>
      <c r="C589" s="1" t="n">
        <v>46092</v>
      </c>
      <c r="D589" t="inlineStr">
        <is>
          <t>ÖREBRO LÄN</t>
        </is>
      </c>
      <c r="E589" t="inlineStr">
        <is>
          <t>ÖREBRO</t>
        </is>
      </c>
      <c r="F589" t="inlineStr">
        <is>
          <t>Övriga Aktiebolag</t>
        </is>
      </c>
      <c r="G589" t="n">
        <v>4.1</v>
      </c>
      <c r="H589" t="n">
        <v>0</v>
      </c>
      <c r="I589" t="n">
        <v>0</v>
      </c>
      <c r="J589" t="n">
        <v>0</v>
      </c>
      <c r="K589" t="n">
        <v>0</v>
      </c>
      <c r="L589" t="n">
        <v>0</v>
      </c>
      <c r="M589" t="n">
        <v>0</v>
      </c>
      <c r="N589" t="n">
        <v>0</v>
      </c>
      <c r="O589" t="n">
        <v>0</v>
      </c>
      <c r="P589" t="n">
        <v>0</v>
      </c>
      <c r="Q589" t="n">
        <v>0</v>
      </c>
      <c r="R589" s="2" t="inlineStr"/>
    </row>
    <row r="590" ht="15" customHeight="1">
      <c r="A590" t="inlineStr">
        <is>
          <t>A 43612-2022</t>
        </is>
      </c>
      <c r="B590" s="1" t="n">
        <v>44837</v>
      </c>
      <c r="C590" s="1" t="n">
        <v>46092</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51373-2023</t>
        </is>
      </c>
      <c r="B591" s="1" t="n">
        <v>45213</v>
      </c>
      <c r="C591" s="1" t="n">
        <v>46092</v>
      </c>
      <c r="D591" t="inlineStr">
        <is>
          <t>ÖREBRO LÄN</t>
        </is>
      </c>
      <c r="E591" t="inlineStr">
        <is>
          <t>ÖREBRO</t>
        </is>
      </c>
      <c r="G591" t="n">
        <v>5.9</v>
      </c>
      <c r="H591" t="n">
        <v>0</v>
      </c>
      <c r="I591" t="n">
        <v>0</v>
      </c>
      <c r="J591" t="n">
        <v>0</v>
      </c>
      <c r="K591" t="n">
        <v>0</v>
      </c>
      <c r="L591" t="n">
        <v>0</v>
      </c>
      <c r="M591" t="n">
        <v>0</v>
      </c>
      <c r="N591" t="n">
        <v>0</v>
      </c>
      <c r="O591" t="n">
        <v>0</v>
      </c>
      <c r="P591" t="n">
        <v>0</v>
      </c>
      <c r="Q591" t="n">
        <v>0</v>
      </c>
      <c r="R591" s="2" t="inlineStr"/>
    </row>
    <row r="592" ht="15" customHeight="1">
      <c r="A592" t="inlineStr">
        <is>
          <t>A 35843-2022</t>
        </is>
      </c>
      <c r="B592" s="1" t="n">
        <v>44802</v>
      </c>
      <c r="C592" s="1" t="n">
        <v>46092</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13599-2025</t>
        </is>
      </c>
      <c r="B593" s="1" t="n">
        <v>45736.60597222222</v>
      </c>
      <c r="C593" s="1" t="n">
        <v>46092</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20146-2024</t>
        </is>
      </c>
      <c r="B594" s="1" t="n">
        <v>45434.57641203704</v>
      </c>
      <c r="C594" s="1" t="n">
        <v>46092</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10937-2024</t>
        </is>
      </c>
      <c r="B595" s="1" t="n">
        <v>45370.44461805555</v>
      </c>
      <c r="C595" s="1" t="n">
        <v>46092</v>
      </c>
      <c r="D595" t="inlineStr">
        <is>
          <t>ÖREBRO LÄN</t>
        </is>
      </c>
      <c r="E595" t="inlineStr">
        <is>
          <t>ÖREBRO</t>
        </is>
      </c>
      <c r="G595" t="n">
        <v>4.3</v>
      </c>
      <c r="H595" t="n">
        <v>0</v>
      </c>
      <c r="I595" t="n">
        <v>0</v>
      </c>
      <c r="J595" t="n">
        <v>0</v>
      </c>
      <c r="K595" t="n">
        <v>0</v>
      </c>
      <c r="L595" t="n">
        <v>0</v>
      </c>
      <c r="M595" t="n">
        <v>0</v>
      </c>
      <c r="N595" t="n">
        <v>0</v>
      </c>
      <c r="O595" t="n">
        <v>0</v>
      </c>
      <c r="P595" t="n">
        <v>0</v>
      </c>
      <c r="Q595" t="n">
        <v>0</v>
      </c>
      <c r="R595" s="2" t="inlineStr"/>
    </row>
    <row r="596" ht="15" customHeight="1">
      <c r="A596" t="inlineStr">
        <is>
          <t>A 20115-2024</t>
        </is>
      </c>
      <c r="B596" s="1" t="n">
        <v>45434</v>
      </c>
      <c r="C596" s="1" t="n">
        <v>46092</v>
      </c>
      <c r="D596" t="inlineStr">
        <is>
          <t>ÖREBRO LÄN</t>
        </is>
      </c>
      <c r="E596" t="inlineStr">
        <is>
          <t>ÖREBRO</t>
        </is>
      </c>
      <c r="G596" t="n">
        <v>1.7</v>
      </c>
      <c r="H596" t="n">
        <v>0</v>
      </c>
      <c r="I596" t="n">
        <v>0</v>
      </c>
      <c r="J596" t="n">
        <v>0</v>
      </c>
      <c r="K596" t="n">
        <v>0</v>
      </c>
      <c r="L596" t="n">
        <v>0</v>
      </c>
      <c r="M596" t="n">
        <v>0</v>
      </c>
      <c r="N596" t="n">
        <v>0</v>
      </c>
      <c r="O596" t="n">
        <v>0</v>
      </c>
      <c r="P596" t="n">
        <v>0</v>
      </c>
      <c r="Q596" t="n">
        <v>0</v>
      </c>
      <c r="R596" s="2" t="inlineStr"/>
    </row>
    <row r="597" ht="15" customHeight="1">
      <c r="A597" t="inlineStr">
        <is>
          <t>A 16936-2023</t>
        </is>
      </c>
      <c r="B597" s="1" t="n">
        <v>45033.63005787037</v>
      </c>
      <c r="C597" s="1" t="n">
        <v>46092</v>
      </c>
      <c r="D597" t="inlineStr">
        <is>
          <t>ÖREBRO LÄN</t>
        </is>
      </c>
      <c r="E597" t="inlineStr">
        <is>
          <t>ÖREBRO</t>
        </is>
      </c>
      <c r="G597" t="n">
        <v>2</v>
      </c>
      <c r="H597" t="n">
        <v>0</v>
      </c>
      <c r="I597" t="n">
        <v>0</v>
      </c>
      <c r="J597" t="n">
        <v>0</v>
      </c>
      <c r="K597" t="n">
        <v>0</v>
      </c>
      <c r="L597" t="n">
        <v>0</v>
      </c>
      <c r="M597" t="n">
        <v>0</v>
      </c>
      <c r="N597" t="n">
        <v>0</v>
      </c>
      <c r="O597" t="n">
        <v>0</v>
      </c>
      <c r="P597" t="n">
        <v>0</v>
      </c>
      <c r="Q597" t="n">
        <v>0</v>
      </c>
      <c r="R597" s="2" t="inlineStr"/>
    </row>
    <row r="598" ht="15" customHeight="1">
      <c r="A598" t="inlineStr">
        <is>
          <t>A 40588-2021</t>
        </is>
      </c>
      <c r="B598" s="1" t="n">
        <v>44420</v>
      </c>
      <c r="C598" s="1" t="n">
        <v>46092</v>
      </c>
      <c r="D598" t="inlineStr">
        <is>
          <t>ÖREBRO LÄN</t>
        </is>
      </c>
      <c r="E598" t="inlineStr">
        <is>
          <t>ÖREBRO</t>
        </is>
      </c>
      <c r="G598" t="n">
        <v>1.1</v>
      </c>
      <c r="H598" t="n">
        <v>0</v>
      </c>
      <c r="I598" t="n">
        <v>0</v>
      </c>
      <c r="J598" t="n">
        <v>0</v>
      </c>
      <c r="K598" t="n">
        <v>0</v>
      </c>
      <c r="L598" t="n">
        <v>0</v>
      </c>
      <c r="M598" t="n">
        <v>0</v>
      </c>
      <c r="N598" t="n">
        <v>0</v>
      </c>
      <c r="O598" t="n">
        <v>0</v>
      </c>
      <c r="P598" t="n">
        <v>0</v>
      </c>
      <c r="Q598" t="n">
        <v>0</v>
      </c>
      <c r="R598" s="2" t="inlineStr"/>
    </row>
    <row r="599" ht="15" customHeight="1">
      <c r="A599" t="inlineStr">
        <is>
          <t>A 57485-2023</t>
        </is>
      </c>
      <c r="B599" s="1" t="n">
        <v>45246</v>
      </c>
      <c r="C599" s="1" t="n">
        <v>46092</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37025-2024</t>
        </is>
      </c>
      <c r="B600" s="1" t="n">
        <v>45539.3840162037</v>
      </c>
      <c r="C600" s="1" t="n">
        <v>46092</v>
      </c>
      <c r="D600" t="inlineStr">
        <is>
          <t>ÖREBRO LÄN</t>
        </is>
      </c>
      <c r="E600" t="inlineStr">
        <is>
          <t>ÖREBRO</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37027-2024</t>
        </is>
      </c>
      <c r="B601" s="1" t="n">
        <v>45539.38487268519</v>
      </c>
      <c r="C601" s="1" t="n">
        <v>46092</v>
      </c>
      <c r="D601" t="inlineStr">
        <is>
          <t>ÖREBRO LÄN</t>
        </is>
      </c>
      <c r="E601" t="inlineStr">
        <is>
          <t>ÖREBRO</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46092</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44284-2022</t>
        </is>
      </c>
      <c r="B603" s="1" t="n">
        <v>44839.59194444444</v>
      </c>
      <c r="C603" s="1" t="n">
        <v>46092</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35833-2024</t>
        </is>
      </c>
      <c r="B604" s="1" t="n">
        <v>45532.68699074074</v>
      </c>
      <c r="C604" s="1" t="n">
        <v>46092</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58608-2024</t>
        </is>
      </c>
      <c r="B605" s="1" t="n">
        <v>45635.55185185185</v>
      </c>
      <c r="C605" s="1" t="n">
        <v>46092</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38422-2023</t>
        </is>
      </c>
      <c r="B606" s="1" t="n">
        <v>45162.36422453704</v>
      </c>
      <c r="C606" s="1" t="n">
        <v>46092</v>
      </c>
      <c r="D606" t="inlineStr">
        <is>
          <t>ÖREBRO LÄN</t>
        </is>
      </c>
      <c r="E606" t="inlineStr">
        <is>
          <t>ÖREBRO</t>
        </is>
      </c>
      <c r="G606" t="n">
        <v>8</v>
      </c>
      <c r="H606" t="n">
        <v>0</v>
      </c>
      <c r="I606" t="n">
        <v>0</v>
      </c>
      <c r="J606" t="n">
        <v>0</v>
      </c>
      <c r="K606" t="n">
        <v>0</v>
      </c>
      <c r="L606" t="n">
        <v>0</v>
      </c>
      <c r="M606" t="n">
        <v>0</v>
      </c>
      <c r="N606" t="n">
        <v>0</v>
      </c>
      <c r="O606" t="n">
        <v>0</v>
      </c>
      <c r="P606" t="n">
        <v>0</v>
      </c>
      <c r="Q606" t="n">
        <v>0</v>
      </c>
      <c r="R606" s="2" t="inlineStr"/>
    </row>
    <row r="607" ht="15" customHeight="1">
      <c r="A607" t="inlineStr">
        <is>
          <t>A 56040-2024</t>
        </is>
      </c>
      <c r="B607" s="1" t="n">
        <v>45624.3344212963</v>
      </c>
      <c r="C607" s="1" t="n">
        <v>46092</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14487-2023</t>
        </is>
      </c>
      <c r="B608" s="1" t="n">
        <v>45012</v>
      </c>
      <c r="C608" s="1" t="n">
        <v>46092</v>
      </c>
      <c r="D608" t="inlineStr">
        <is>
          <t>ÖREBRO LÄN</t>
        </is>
      </c>
      <c r="E608" t="inlineStr">
        <is>
          <t>ÖREBRO</t>
        </is>
      </c>
      <c r="G608" t="n">
        <v>0.5</v>
      </c>
      <c r="H608" t="n">
        <v>0</v>
      </c>
      <c r="I608" t="n">
        <v>0</v>
      </c>
      <c r="J608" t="n">
        <v>0</v>
      </c>
      <c r="K608" t="n">
        <v>0</v>
      </c>
      <c r="L608" t="n">
        <v>0</v>
      </c>
      <c r="M608" t="n">
        <v>0</v>
      </c>
      <c r="N608" t="n">
        <v>0</v>
      </c>
      <c r="O608" t="n">
        <v>0</v>
      </c>
      <c r="P608" t="n">
        <v>0</v>
      </c>
      <c r="Q608" t="n">
        <v>0</v>
      </c>
      <c r="R608" s="2" t="inlineStr"/>
    </row>
    <row r="609" ht="15" customHeight="1">
      <c r="A609" t="inlineStr">
        <is>
          <t>A 40522-2024</t>
        </is>
      </c>
      <c r="B609" s="1" t="n">
        <v>45555.59717592593</v>
      </c>
      <c r="C609" s="1" t="n">
        <v>46092</v>
      </c>
      <c r="D609" t="inlineStr">
        <is>
          <t>ÖREBRO LÄN</t>
        </is>
      </c>
      <c r="E609" t="inlineStr">
        <is>
          <t>ÖREBRO</t>
        </is>
      </c>
      <c r="G609" t="n">
        <v>5.1</v>
      </c>
      <c r="H609" t="n">
        <v>0</v>
      </c>
      <c r="I609" t="n">
        <v>0</v>
      </c>
      <c r="J609" t="n">
        <v>0</v>
      </c>
      <c r="K609" t="n">
        <v>0</v>
      </c>
      <c r="L609" t="n">
        <v>0</v>
      </c>
      <c r="M609" t="n">
        <v>0</v>
      </c>
      <c r="N609" t="n">
        <v>0</v>
      </c>
      <c r="O609" t="n">
        <v>0</v>
      </c>
      <c r="P609" t="n">
        <v>0</v>
      </c>
      <c r="Q609" t="n">
        <v>0</v>
      </c>
      <c r="R609" s="2" t="inlineStr"/>
    </row>
    <row r="610" ht="15" customHeight="1">
      <c r="A610" t="inlineStr">
        <is>
          <t>A 49029-2024</t>
        </is>
      </c>
      <c r="B610" s="1" t="n">
        <v>45594</v>
      </c>
      <c r="C610" s="1" t="n">
        <v>46092</v>
      </c>
      <c r="D610" t="inlineStr">
        <is>
          <t>ÖREBRO LÄN</t>
        </is>
      </c>
      <c r="E610" t="inlineStr">
        <is>
          <t>ÖREBRO</t>
        </is>
      </c>
      <c r="G610" t="n">
        <v>3.7</v>
      </c>
      <c r="H610" t="n">
        <v>0</v>
      </c>
      <c r="I610" t="n">
        <v>0</v>
      </c>
      <c r="J610" t="n">
        <v>0</v>
      </c>
      <c r="K610" t="n">
        <v>0</v>
      </c>
      <c r="L610" t="n">
        <v>0</v>
      </c>
      <c r="M610" t="n">
        <v>0</v>
      </c>
      <c r="N610" t="n">
        <v>0</v>
      </c>
      <c r="O610" t="n">
        <v>0</v>
      </c>
      <c r="P610" t="n">
        <v>0</v>
      </c>
      <c r="Q610" t="n">
        <v>0</v>
      </c>
      <c r="R610" s="2" t="inlineStr"/>
    </row>
    <row r="611" ht="15" customHeight="1">
      <c r="A611" t="inlineStr">
        <is>
          <t>A 49062-2023</t>
        </is>
      </c>
      <c r="B611" s="1" t="n">
        <v>45210.35119212963</v>
      </c>
      <c r="C611" s="1" t="n">
        <v>46092</v>
      </c>
      <c r="D611" t="inlineStr">
        <is>
          <t>ÖREBRO LÄN</t>
        </is>
      </c>
      <c r="E611" t="inlineStr">
        <is>
          <t>ÖREBRO</t>
        </is>
      </c>
      <c r="G611" t="n">
        <v>1.6</v>
      </c>
      <c r="H611" t="n">
        <v>0</v>
      </c>
      <c r="I611" t="n">
        <v>0</v>
      </c>
      <c r="J611" t="n">
        <v>0</v>
      </c>
      <c r="K611" t="n">
        <v>0</v>
      </c>
      <c r="L611" t="n">
        <v>0</v>
      </c>
      <c r="M611" t="n">
        <v>0</v>
      </c>
      <c r="N611" t="n">
        <v>0</v>
      </c>
      <c r="O611" t="n">
        <v>0</v>
      </c>
      <c r="P611" t="n">
        <v>0</v>
      </c>
      <c r="Q611" t="n">
        <v>0</v>
      </c>
      <c r="R611" s="2" t="inlineStr"/>
    </row>
    <row r="612" ht="15" customHeight="1">
      <c r="A612" t="inlineStr">
        <is>
          <t>A 35829-2024</t>
        </is>
      </c>
      <c r="B612" s="1" t="n">
        <v>45532</v>
      </c>
      <c r="C612" s="1" t="n">
        <v>46092</v>
      </c>
      <c r="D612" t="inlineStr">
        <is>
          <t>ÖREBRO LÄN</t>
        </is>
      </c>
      <c r="E612" t="inlineStr">
        <is>
          <t>ÖREBRO</t>
        </is>
      </c>
      <c r="G612" t="n">
        <v>4.6</v>
      </c>
      <c r="H612" t="n">
        <v>0</v>
      </c>
      <c r="I612" t="n">
        <v>0</v>
      </c>
      <c r="J612" t="n">
        <v>0</v>
      </c>
      <c r="K612" t="n">
        <v>0</v>
      </c>
      <c r="L612" t="n">
        <v>0</v>
      </c>
      <c r="M612" t="n">
        <v>0</v>
      </c>
      <c r="N612" t="n">
        <v>0</v>
      </c>
      <c r="O612" t="n">
        <v>0</v>
      </c>
      <c r="P612" t="n">
        <v>0</v>
      </c>
      <c r="Q612" t="n">
        <v>0</v>
      </c>
      <c r="R612" s="2" t="inlineStr"/>
    </row>
    <row r="613" ht="15" customHeight="1">
      <c r="A613" t="inlineStr">
        <is>
          <t>A 13181-2023</t>
        </is>
      </c>
      <c r="B613" s="1" t="n">
        <v>45002.60659722222</v>
      </c>
      <c r="C613" s="1" t="n">
        <v>46092</v>
      </c>
      <c r="D613" t="inlineStr">
        <is>
          <t>ÖREBRO LÄN</t>
        </is>
      </c>
      <c r="E613" t="inlineStr">
        <is>
          <t>ÖREBRO</t>
        </is>
      </c>
      <c r="G613" t="n">
        <v>1.2</v>
      </c>
      <c r="H613" t="n">
        <v>0</v>
      </c>
      <c r="I613" t="n">
        <v>0</v>
      </c>
      <c r="J613" t="n">
        <v>0</v>
      </c>
      <c r="K613" t="n">
        <v>0</v>
      </c>
      <c r="L613" t="n">
        <v>0</v>
      </c>
      <c r="M613" t="n">
        <v>0</v>
      </c>
      <c r="N613" t="n">
        <v>0</v>
      </c>
      <c r="O613" t="n">
        <v>0</v>
      </c>
      <c r="P613" t="n">
        <v>0</v>
      </c>
      <c r="Q613" t="n">
        <v>0</v>
      </c>
      <c r="R613" s="2" t="inlineStr"/>
    </row>
    <row r="614" ht="15" customHeight="1">
      <c r="A614" t="inlineStr">
        <is>
          <t>A 61078-2024</t>
        </is>
      </c>
      <c r="B614" s="1" t="n">
        <v>45645.51034722223</v>
      </c>
      <c r="C614" s="1" t="n">
        <v>46092</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62511-2023</t>
        </is>
      </c>
      <c r="B615" s="1" t="n">
        <v>45268.61855324074</v>
      </c>
      <c r="C615" s="1" t="n">
        <v>46092</v>
      </c>
      <c r="D615" t="inlineStr">
        <is>
          <t>ÖREBRO LÄN</t>
        </is>
      </c>
      <c r="E615" t="inlineStr">
        <is>
          <t>ÖREBRO</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55472-2023</t>
        </is>
      </c>
      <c r="B616" s="1" t="n">
        <v>45238</v>
      </c>
      <c r="C616" s="1" t="n">
        <v>46092</v>
      </c>
      <c r="D616" t="inlineStr">
        <is>
          <t>ÖREBRO LÄN</t>
        </is>
      </c>
      <c r="E616" t="inlineStr">
        <is>
          <t>ÖREBRO</t>
        </is>
      </c>
      <c r="G616" t="n">
        <v>0.6</v>
      </c>
      <c r="H616" t="n">
        <v>0</v>
      </c>
      <c r="I616" t="n">
        <v>0</v>
      </c>
      <c r="J616" t="n">
        <v>0</v>
      </c>
      <c r="K616" t="n">
        <v>0</v>
      </c>
      <c r="L616" t="n">
        <v>0</v>
      </c>
      <c r="M616" t="n">
        <v>0</v>
      </c>
      <c r="N616" t="n">
        <v>0</v>
      </c>
      <c r="O616" t="n">
        <v>0</v>
      </c>
      <c r="P616" t="n">
        <v>0</v>
      </c>
      <c r="Q616" t="n">
        <v>0</v>
      </c>
      <c r="R616" s="2" t="inlineStr"/>
    </row>
    <row r="617" ht="15" customHeight="1">
      <c r="A617" t="inlineStr">
        <is>
          <t>A 5129-2024</t>
        </is>
      </c>
      <c r="B617" s="1" t="n">
        <v>45330</v>
      </c>
      <c r="C617" s="1" t="n">
        <v>46092</v>
      </c>
      <c r="D617" t="inlineStr">
        <is>
          <t>ÖREBRO LÄN</t>
        </is>
      </c>
      <c r="E617" t="inlineStr">
        <is>
          <t>ÖREBRO</t>
        </is>
      </c>
      <c r="G617" t="n">
        <v>0.5</v>
      </c>
      <c r="H617" t="n">
        <v>0</v>
      </c>
      <c r="I617" t="n">
        <v>0</v>
      </c>
      <c r="J617" t="n">
        <v>0</v>
      </c>
      <c r="K617" t="n">
        <v>0</v>
      </c>
      <c r="L617" t="n">
        <v>0</v>
      </c>
      <c r="M617" t="n">
        <v>0</v>
      </c>
      <c r="N617" t="n">
        <v>0</v>
      </c>
      <c r="O617" t="n">
        <v>0</v>
      </c>
      <c r="P617" t="n">
        <v>0</v>
      </c>
      <c r="Q617" t="n">
        <v>0</v>
      </c>
      <c r="R617" s="2" t="inlineStr"/>
    </row>
    <row r="618" ht="15" customHeight="1">
      <c r="A618" t="inlineStr">
        <is>
          <t>A 58486-2024</t>
        </is>
      </c>
      <c r="B618" s="1" t="n">
        <v>45635</v>
      </c>
      <c r="C618" s="1" t="n">
        <v>46092</v>
      </c>
      <c r="D618" t="inlineStr">
        <is>
          <t>ÖREBRO LÄN</t>
        </is>
      </c>
      <c r="E618" t="inlineStr">
        <is>
          <t>ÖREBRO</t>
        </is>
      </c>
      <c r="G618" t="n">
        <v>1.7</v>
      </c>
      <c r="H618" t="n">
        <v>0</v>
      </c>
      <c r="I618" t="n">
        <v>0</v>
      </c>
      <c r="J618" t="n">
        <v>0</v>
      </c>
      <c r="K618" t="n">
        <v>0</v>
      </c>
      <c r="L618" t="n">
        <v>0</v>
      </c>
      <c r="M618" t="n">
        <v>0</v>
      </c>
      <c r="N618" t="n">
        <v>0</v>
      </c>
      <c r="O618" t="n">
        <v>0</v>
      </c>
      <c r="P618" t="n">
        <v>0</v>
      </c>
      <c r="Q618" t="n">
        <v>0</v>
      </c>
      <c r="R618" s="2" t="inlineStr"/>
    </row>
    <row r="619" ht="15" customHeight="1">
      <c r="A619" t="inlineStr">
        <is>
          <t>A 30015-2023</t>
        </is>
      </c>
      <c r="B619" s="1" t="n">
        <v>45109</v>
      </c>
      <c r="C619" s="1" t="n">
        <v>46092</v>
      </c>
      <c r="D619" t="inlineStr">
        <is>
          <t>ÖREBRO LÄN</t>
        </is>
      </c>
      <c r="E619" t="inlineStr">
        <is>
          <t>ÖREBRO</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1013-2024</t>
        </is>
      </c>
      <c r="B620" s="1" t="n">
        <v>45301</v>
      </c>
      <c r="C620" s="1" t="n">
        <v>46092</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8512-2025</t>
        </is>
      </c>
      <c r="B621" s="1" t="n">
        <v>45709.54873842592</v>
      </c>
      <c r="C621" s="1" t="n">
        <v>46092</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14715-2024</t>
        </is>
      </c>
      <c r="B622" s="1" t="n">
        <v>45397.5500462963</v>
      </c>
      <c r="C622" s="1" t="n">
        <v>46092</v>
      </c>
      <c r="D622" t="inlineStr">
        <is>
          <t>ÖREBRO LÄN</t>
        </is>
      </c>
      <c r="E622" t="inlineStr">
        <is>
          <t>ÖREBRO</t>
        </is>
      </c>
      <c r="G622" t="n">
        <v>1.2</v>
      </c>
      <c r="H622" t="n">
        <v>0</v>
      </c>
      <c r="I622" t="n">
        <v>0</v>
      </c>
      <c r="J622" t="n">
        <v>0</v>
      </c>
      <c r="K622" t="n">
        <v>0</v>
      </c>
      <c r="L622" t="n">
        <v>0</v>
      </c>
      <c r="M622" t="n">
        <v>0</v>
      </c>
      <c r="N622" t="n">
        <v>0</v>
      </c>
      <c r="O622" t="n">
        <v>0</v>
      </c>
      <c r="P622" t="n">
        <v>0</v>
      </c>
      <c r="Q622" t="n">
        <v>0</v>
      </c>
      <c r="R622" s="2" t="inlineStr"/>
    </row>
    <row r="623" ht="15" customHeight="1">
      <c r="A623" t="inlineStr">
        <is>
          <t>A 58145-2024</t>
        </is>
      </c>
      <c r="B623" s="1" t="n">
        <v>45632.43230324074</v>
      </c>
      <c r="C623" s="1" t="n">
        <v>46092</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16300-2022</t>
        </is>
      </c>
      <c r="B624" s="1" t="n">
        <v>44670</v>
      </c>
      <c r="C624" s="1" t="n">
        <v>46092</v>
      </c>
      <c r="D624" t="inlineStr">
        <is>
          <t>ÖREBRO LÄN</t>
        </is>
      </c>
      <c r="E624" t="inlineStr">
        <is>
          <t>ÖREBRO</t>
        </is>
      </c>
      <c r="G624" t="n">
        <v>0.8</v>
      </c>
      <c r="H624" t="n">
        <v>0</v>
      </c>
      <c r="I624" t="n">
        <v>0</v>
      </c>
      <c r="J624" t="n">
        <v>0</v>
      </c>
      <c r="K624" t="n">
        <v>0</v>
      </c>
      <c r="L624" t="n">
        <v>0</v>
      </c>
      <c r="M624" t="n">
        <v>0</v>
      </c>
      <c r="N624" t="n">
        <v>0</v>
      </c>
      <c r="O624" t="n">
        <v>0</v>
      </c>
      <c r="P624" t="n">
        <v>0</v>
      </c>
      <c r="Q624" t="n">
        <v>0</v>
      </c>
      <c r="R624" s="2" t="inlineStr"/>
    </row>
    <row r="625" ht="15" customHeight="1">
      <c r="A625" t="inlineStr">
        <is>
          <t>A 18181-2024</t>
        </is>
      </c>
      <c r="B625" s="1" t="n">
        <v>45420.64561342593</v>
      </c>
      <c r="C625" s="1" t="n">
        <v>46092</v>
      </c>
      <c r="D625" t="inlineStr">
        <is>
          <t>ÖREBRO LÄN</t>
        </is>
      </c>
      <c r="E625" t="inlineStr">
        <is>
          <t>ÖREBRO</t>
        </is>
      </c>
      <c r="G625" t="n">
        <v>7.6</v>
      </c>
      <c r="H625" t="n">
        <v>0</v>
      </c>
      <c r="I625" t="n">
        <v>0</v>
      </c>
      <c r="J625" t="n">
        <v>0</v>
      </c>
      <c r="K625" t="n">
        <v>0</v>
      </c>
      <c r="L625" t="n">
        <v>0</v>
      </c>
      <c r="M625" t="n">
        <v>0</v>
      </c>
      <c r="N625" t="n">
        <v>0</v>
      </c>
      <c r="O625" t="n">
        <v>0</v>
      </c>
      <c r="P625" t="n">
        <v>0</v>
      </c>
      <c r="Q625" t="n">
        <v>0</v>
      </c>
      <c r="R625" s="2" t="inlineStr"/>
    </row>
    <row r="626" ht="15" customHeight="1">
      <c r="A626" t="inlineStr">
        <is>
          <t>A 70707-2021</t>
        </is>
      </c>
      <c r="B626" s="1" t="n">
        <v>44537</v>
      </c>
      <c r="C626" s="1" t="n">
        <v>46092</v>
      </c>
      <c r="D626" t="inlineStr">
        <is>
          <t>ÖREBRO LÄN</t>
        </is>
      </c>
      <c r="E626" t="inlineStr">
        <is>
          <t>ÖREBRO</t>
        </is>
      </c>
      <c r="G626" t="n">
        <v>13.2</v>
      </c>
      <c r="H626" t="n">
        <v>0</v>
      </c>
      <c r="I626" t="n">
        <v>0</v>
      </c>
      <c r="J626" t="n">
        <v>0</v>
      </c>
      <c r="K626" t="n">
        <v>0</v>
      </c>
      <c r="L626" t="n">
        <v>0</v>
      </c>
      <c r="M626" t="n">
        <v>0</v>
      </c>
      <c r="N626" t="n">
        <v>0</v>
      </c>
      <c r="O626" t="n">
        <v>0</v>
      </c>
      <c r="P626" t="n">
        <v>0</v>
      </c>
      <c r="Q626" t="n">
        <v>0</v>
      </c>
      <c r="R626" s="2" t="inlineStr"/>
    </row>
    <row r="627" ht="15" customHeight="1">
      <c r="A627" t="inlineStr">
        <is>
          <t>A 60100-2022</t>
        </is>
      </c>
      <c r="B627" s="1" t="n">
        <v>44902</v>
      </c>
      <c r="C627" s="1" t="n">
        <v>46092</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2152-2023</t>
        </is>
      </c>
      <c r="B628" s="1" t="n">
        <v>44941.55056712963</v>
      </c>
      <c r="C628" s="1" t="n">
        <v>46092</v>
      </c>
      <c r="D628" t="inlineStr">
        <is>
          <t>ÖREBRO LÄN</t>
        </is>
      </c>
      <c r="E628" t="inlineStr">
        <is>
          <t>ÖREBRO</t>
        </is>
      </c>
      <c r="G628" t="n">
        <v>8</v>
      </c>
      <c r="H628" t="n">
        <v>0</v>
      </c>
      <c r="I628" t="n">
        <v>0</v>
      </c>
      <c r="J628" t="n">
        <v>0</v>
      </c>
      <c r="K628" t="n">
        <v>0</v>
      </c>
      <c r="L628" t="n">
        <v>0</v>
      </c>
      <c r="M628" t="n">
        <v>0</v>
      </c>
      <c r="N628" t="n">
        <v>0</v>
      </c>
      <c r="O628" t="n">
        <v>0</v>
      </c>
      <c r="P628" t="n">
        <v>0</v>
      </c>
      <c r="Q628" t="n">
        <v>0</v>
      </c>
      <c r="R628" s="2" t="inlineStr"/>
    </row>
    <row r="629" ht="15" customHeight="1">
      <c r="A629" t="inlineStr">
        <is>
          <t>A 8656-2025</t>
        </is>
      </c>
      <c r="B629" s="1" t="n">
        <v>45712.38268518518</v>
      </c>
      <c r="C629" s="1" t="n">
        <v>46092</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55353-2024</t>
        </is>
      </c>
      <c r="B630" s="1" t="n">
        <v>45621.79526620371</v>
      </c>
      <c r="C630" s="1" t="n">
        <v>46092</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55357-2024</t>
        </is>
      </c>
      <c r="B631" s="1" t="n">
        <v>45621.81126157408</v>
      </c>
      <c r="C631" s="1" t="n">
        <v>46092</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42623-2022</t>
        </is>
      </c>
      <c r="B632" s="1" t="n">
        <v>44831</v>
      </c>
      <c r="C632" s="1" t="n">
        <v>46092</v>
      </c>
      <c r="D632" t="inlineStr">
        <is>
          <t>ÖREBRO LÄN</t>
        </is>
      </c>
      <c r="E632" t="inlineStr">
        <is>
          <t>ÖREBRO</t>
        </is>
      </c>
      <c r="G632" t="n">
        <v>3.6</v>
      </c>
      <c r="H632" t="n">
        <v>0</v>
      </c>
      <c r="I632" t="n">
        <v>0</v>
      </c>
      <c r="J632" t="n">
        <v>0</v>
      </c>
      <c r="K632" t="n">
        <v>0</v>
      </c>
      <c r="L632" t="n">
        <v>0</v>
      </c>
      <c r="M632" t="n">
        <v>0</v>
      </c>
      <c r="N632" t="n">
        <v>0</v>
      </c>
      <c r="O632" t="n">
        <v>0</v>
      </c>
      <c r="P632" t="n">
        <v>0</v>
      </c>
      <c r="Q632" t="n">
        <v>0</v>
      </c>
      <c r="R632" s="2" t="inlineStr"/>
    </row>
    <row r="633" ht="15" customHeight="1">
      <c r="A633" t="inlineStr">
        <is>
          <t>A 72329-2021</t>
        </is>
      </c>
      <c r="B633" s="1" t="n">
        <v>44545.46072916667</v>
      </c>
      <c r="C633" s="1" t="n">
        <v>46092</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4344-2025</t>
        </is>
      </c>
      <c r="B634" s="1" t="n">
        <v>45685</v>
      </c>
      <c r="C634" s="1" t="n">
        <v>46092</v>
      </c>
      <c r="D634" t="inlineStr">
        <is>
          <t>ÖREBRO LÄN</t>
        </is>
      </c>
      <c r="E634" t="inlineStr">
        <is>
          <t>ÖREBRO</t>
        </is>
      </c>
      <c r="G634" t="n">
        <v>1.6</v>
      </c>
      <c r="H634" t="n">
        <v>0</v>
      </c>
      <c r="I634" t="n">
        <v>0</v>
      </c>
      <c r="J634" t="n">
        <v>0</v>
      </c>
      <c r="K634" t="n">
        <v>0</v>
      </c>
      <c r="L634" t="n">
        <v>0</v>
      </c>
      <c r="M634" t="n">
        <v>0</v>
      </c>
      <c r="N634" t="n">
        <v>0</v>
      </c>
      <c r="O634" t="n">
        <v>0</v>
      </c>
      <c r="P634" t="n">
        <v>0</v>
      </c>
      <c r="Q634" t="n">
        <v>0</v>
      </c>
      <c r="R634" s="2" t="inlineStr"/>
    </row>
    <row r="635" ht="15" customHeight="1">
      <c r="A635" t="inlineStr">
        <is>
          <t>A 55355-2024</t>
        </is>
      </c>
      <c r="B635" s="1" t="n">
        <v>45621.80475694445</v>
      </c>
      <c r="C635" s="1" t="n">
        <v>46092</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56077-2022</t>
        </is>
      </c>
      <c r="B636" s="1" t="n">
        <v>44889.60872685185</v>
      </c>
      <c r="C636" s="1" t="n">
        <v>46092</v>
      </c>
      <c r="D636" t="inlineStr">
        <is>
          <t>ÖREBRO LÄN</t>
        </is>
      </c>
      <c r="E636" t="inlineStr">
        <is>
          <t>ÖREBRO</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33457-2023</t>
        </is>
      </c>
      <c r="B637" s="1" t="n">
        <v>45131</v>
      </c>
      <c r="C637" s="1" t="n">
        <v>46092</v>
      </c>
      <c r="D637" t="inlineStr">
        <is>
          <t>ÖREBRO LÄN</t>
        </is>
      </c>
      <c r="E637" t="inlineStr">
        <is>
          <t>ÖREBRO</t>
        </is>
      </c>
      <c r="G637" t="n">
        <v>0.5</v>
      </c>
      <c r="H637" t="n">
        <v>0</v>
      </c>
      <c r="I637" t="n">
        <v>0</v>
      </c>
      <c r="J637" t="n">
        <v>0</v>
      </c>
      <c r="K637" t="n">
        <v>0</v>
      </c>
      <c r="L637" t="n">
        <v>0</v>
      </c>
      <c r="M637" t="n">
        <v>0</v>
      </c>
      <c r="N637" t="n">
        <v>0</v>
      </c>
      <c r="O637" t="n">
        <v>0</v>
      </c>
      <c r="P637" t="n">
        <v>0</v>
      </c>
      <c r="Q637" t="n">
        <v>0</v>
      </c>
      <c r="R637" s="2" t="inlineStr"/>
    </row>
    <row r="638" ht="15" customHeight="1">
      <c r="A638" t="inlineStr">
        <is>
          <t>A 7141-2025</t>
        </is>
      </c>
      <c r="B638" s="1" t="n">
        <v>45702</v>
      </c>
      <c r="C638" s="1" t="n">
        <v>46092</v>
      </c>
      <c r="D638" t="inlineStr">
        <is>
          <t>ÖREBRO LÄN</t>
        </is>
      </c>
      <c r="E638" t="inlineStr">
        <is>
          <t>ÖREBRO</t>
        </is>
      </c>
      <c r="G638" t="n">
        <v>2.9</v>
      </c>
      <c r="H638" t="n">
        <v>0</v>
      </c>
      <c r="I638" t="n">
        <v>0</v>
      </c>
      <c r="J638" t="n">
        <v>0</v>
      </c>
      <c r="K638" t="n">
        <v>0</v>
      </c>
      <c r="L638" t="n">
        <v>0</v>
      </c>
      <c r="M638" t="n">
        <v>0</v>
      </c>
      <c r="N638" t="n">
        <v>0</v>
      </c>
      <c r="O638" t="n">
        <v>0</v>
      </c>
      <c r="P638" t="n">
        <v>0</v>
      </c>
      <c r="Q638" t="n">
        <v>0</v>
      </c>
      <c r="R638" s="2" t="inlineStr"/>
    </row>
    <row r="639" ht="15" customHeight="1">
      <c r="A639" t="inlineStr">
        <is>
          <t>A 22677-2022</t>
        </is>
      </c>
      <c r="B639" s="1" t="n">
        <v>44714</v>
      </c>
      <c r="C639" s="1" t="n">
        <v>46092</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13169-2024</t>
        </is>
      </c>
      <c r="B640" s="1" t="n">
        <v>45386.40489583334</v>
      </c>
      <c r="C640" s="1" t="n">
        <v>46092</v>
      </c>
      <c r="D640" t="inlineStr">
        <is>
          <t>ÖREBRO LÄN</t>
        </is>
      </c>
      <c r="E640" t="inlineStr">
        <is>
          <t>ÖREBRO</t>
        </is>
      </c>
      <c r="G640" t="n">
        <v>4.3</v>
      </c>
      <c r="H640" t="n">
        <v>0</v>
      </c>
      <c r="I640" t="n">
        <v>0</v>
      </c>
      <c r="J640" t="n">
        <v>0</v>
      </c>
      <c r="K640" t="n">
        <v>0</v>
      </c>
      <c r="L640" t="n">
        <v>0</v>
      </c>
      <c r="M640" t="n">
        <v>0</v>
      </c>
      <c r="N640" t="n">
        <v>0</v>
      </c>
      <c r="O640" t="n">
        <v>0</v>
      </c>
      <c r="P640" t="n">
        <v>0</v>
      </c>
      <c r="Q640" t="n">
        <v>0</v>
      </c>
      <c r="R640" s="2" t="inlineStr"/>
    </row>
    <row r="641" ht="15" customHeight="1">
      <c r="A641" t="inlineStr">
        <is>
          <t>A 23710-2022</t>
        </is>
      </c>
      <c r="B641" s="1" t="n">
        <v>44722</v>
      </c>
      <c r="C641" s="1" t="n">
        <v>46092</v>
      </c>
      <c r="D641" t="inlineStr">
        <is>
          <t>ÖREBRO LÄN</t>
        </is>
      </c>
      <c r="E641" t="inlineStr">
        <is>
          <t>ÖREBRO</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4757-2024</t>
        </is>
      </c>
      <c r="B642" s="1" t="n">
        <v>45328</v>
      </c>
      <c r="C642" s="1" t="n">
        <v>46092</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30903-2024</t>
        </is>
      </c>
      <c r="B643" s="1" t="n">
        <v>45498.49946759259</v>
      </c>
      <c r="C643" s="1" t="n">
        <v>46092</v>
      </c>
      <c r="D643" t="inlineStr">
        <is>
          <t>ÖREBRO LÄN</t>
        </is>
      </c>
      <c r="E643" t="inlineStr">
        <is>
          <t>ÖREBRO</t>
        </is>
      </c>
      <c r="G643" t="n">
        <v>1.1</v>
      </c>
      <c r="H643" t="n">
        <v>0</v>
      </c>
      <c r="I643" t="n">
        <v>0</v>
      </c>
      <c r="J643" t="n">
        <v>0</v>
      </c>
      <c r="K643" t="n">
        <v>0</v>
      </c>
      <c r="L643" t="n">
        <v>0</v>
      </c>
      <c r="M643" t="n">
        <v>0</v>
      </c>
      <c r="N643" t="n">
        <v>0</v>
      </c>
      <c r="O643" t="n">
        <v>0</v>
      </c>
      <c r="P643" t="n">
        <v>0</v>
      </c>
      <c r="Q643" t="n">
        <v>0</v>
      </c>
      <c r="R643" s="2" t="inlineStr"/>
    </row>
    <row r="644" ht="15" customHeight="1">
      <c r="A644" t="inlineStr">
        <is>
          <t>A 47193-2023</t>
        </is>
      </c>
      <c r="B644" s="1" t="n">
        <v>45202.3074537037</v>
      </c>
      <c r="C644" s="1" t="n">
        <v>46092</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ht="15" customHeight="1">
      <c r="A645" t="inlineStr">
        <is>
          <t>A 59026-2024</t>
        </is>
      </c>
      <c r="B645" s="1" t="n">
        <v>45636.6875</v>
      </c>
      <c r="C645" s="1" t="n">
        <v>46092</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17465-2023</t>
        </is>
      </c>
      <c r="B646" s="1" t="n">
        <v>45036</v>
      </c>
      <c r="C646" s="1" t="n">
        <v>46092</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36635-2023</t>
        </is>
      </c>
      <c r="B647" s="1" t="n">
        <v>45153</v>
      </c>
      <c r="C647" s="1" t="n">
        <v>46092</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681-2024</t>
        </is>
      </c>
      <c r="B648" s="1" t="n">
        <v>45300</v>
      </c>
      <c r="C648" s="1" t="n">
        <v>46092</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21097-2025</t>
        </is>
      </c>
      <c r="B649" s="1" t="n">
        <v>45777.63863425926</v>
      </c>
      <c r="C649" s="1" t="n">
        <v>46092</v>
      </c>
      <c r="D649" t="inlineStr">
        <is>
          <t>ÖREBRO LÄN</t>
        </is>
      </c>
      <c r="E649" t="inlineStr">
        <is>
          <t>ÖREBRO</t>
        </is>
      </c>
      <c r="G649" t="n">
        <v>2.1</v>
      </c>
      <c r="H649" t="n">
        <v>0</v>
      </c>
      <c r="I649" t="n">
        <v>0</v>
      </c>
      <c r="J649" t="n">
        <v>0</v>
      </c>
      <c r="K649" t="n">
        <v>0</v>
      </c>
      <c r="L649" t="n">
        <v>0</v>
      </c>
      <c r="M649" t="n">
        <v>0</v>
      </c>
      <c r="N649" t="n">
        <v>0</v>
      </c>
      <c r="O649" t="n">
        <v>0</v>
      </c>
      <c r="P649" t="n">
        <v>0</v>
      </c>
      <c r="Q649" t="n">
        <v>0</v>
      </c>
      <c r="R649" s="2" t="inlineStr"/>
    </row>
    <row r="650">
      <c r="A650" t="inlineStr">
        <is>
          <t>A 35819-2024</t>
        </is>
      </c>
      <c r="B650" s="1" t="n">
        <v>45532</v>
      </c>
      <c r="C650" s="1" t="n">
        <v>46092</v>
      </c>
      <c r="D650" t="inlineStr">
        <is>
          <t>ÖREBRO LÄN</t>
        </is>
      </c>
      <c r="E650" t="inlineStr">
        <is>
          <t>ÖREBRO</t>
        </is>
      </c>
      <c r="G650" t="n">
        <v>6.4</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2026-03-11T11:21:05Z</dcterms:created>
  <dcterms:modified xmlns:dcterms="http://purl.org/dc/terms/" xmlns:xsi="http://www.w3.org/2001/XMLSchema-instance" xsi:type="dcterms:W3CDTF">2026-03-11T11:21:06Z</dcterms:modified>
</cp:coreProperties>
</file>