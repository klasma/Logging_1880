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45940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45940</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45940</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45940</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45940</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45940</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45940</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45940</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45940</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45940</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45940</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51530-2024</t>
        </is>
      </c>
      <c r="B13" s="1" t="n">
        <v>45604</v>
      </c>
      <c r="C13" s="1" t="n">
        <v>45940</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12974-2022</t>
        </is>
      </c>
      <c r="B14" s="1" t="n">
        <v>44643.38490740741</v>
      </c>
      <c r="C14" s="1" t="n">
        <v>45940</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33069-2025</t>
        </is>
      </c>
      <c r="B15" s="1" t="n">
        <v>45840</v>
      </c>
      <c r="C15" s="1" t="n">
        <v>45940</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45940</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45940</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45940</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575-2024</t>
        </is>
      </c>
      <c r="B19" s="1" t="n">
        <v>45299</v>
      </c>
      <c r="C19" s="1" t="n">
        <v>45940</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17074-2024</t>
        </is>
      </c>
      <c r="B20" s="1" t="n">
        <v>45412</v>
      </c>
      <c r="C20" s="1" t="n">
        <v>45940</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45940</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13627-2025</t>
        </is>
      </c>
      <c r="B22" s="1" t="n">
        <v>45736</v>
      </c>
      <c r="C22" s="1" t="n">
        <v>45940</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29478-2022</t>
        </is>
      </c>
      <c r="B23" s="1" t="n">
        <v>44753</v>
      </c>
      <c r="C23" s="1" t="n">
        <v>45940</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45940</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45940</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45940</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14956-2025</t>
        </is>
      </c>
      <c r="B27" s="1" t="n">
        <v>45743.58409722222</v>
      </c>
      <c r="C27" s="1" t="n">
        <v>45940</v>
      </c>
      <c r="D27" t="inlineStr">
        <is>
          <t>ÖREBRO LÄN</t>
        </is>
      </c>
      <c r="E27" t="inlineStr">
        <is>
          <t>ÖREBRO</t>
        </is>
      </c>
      <c r="G27" t="n">
        <v>5.2</v>
      </c>
      <c r="H27" t="n">
        <v>1</v>
      </c>
      <c r="I27" t="n">
        <v>2</v>
      </c>
      <c r="J27" t="n">
        <v>0</v>
      </c>
      <c r="K27" t="n">
        <v>0</v>
      </c>
      <c r="L27" t="n">
        <v>0</v>
      </c>
      <c r="M27" t="n">
        <v>0</v>
      </c>
      <c r="N27" t="n">
        <v>0</v>
      </c>
      <c r="O27" t="n">
        <v>0</v>
      </c>
      <c r="P27" t="n">
        <v>0</v>
      </c>
      <c r="Q27" t="n">
        <v>2</v>
      </c>
      <c r="R27" s="2" t="inlineStr">
        <is>
          <t>Kalktallört
Skogsknipprot</t>
        </is>
      </c>
      <c r="S27">
        <f>HYPERLINK("https://klasma.github.io/Logging_1880/artfynd/A 14956-2025 artfynd.xlsx", "A 14956-2025")</f>
        <v/>
      </c>
      <c r="T27">
        <f>HYPERLINK("https://klasma.github.io/Logging_1880/kartor/A 14956-2025 karta.png", "A 14956-2025")</f>
        <v/>
      </c>
      <c r="V27">
        <f>HYPERLINK("https://klasma.github.io/Logging_1880/klagomål/A 14956-2025 FSC-klagomål.docx", "A 14956-2025")</f>
        <v/>
      </c>
      <c r="W27">
        <f>HYPERLINK("https://klasma.github.io/Logging_1880/klagomålsmail/A 14956-2025 FSC-klagomål mail.docx", "A 14956-2025")</f>
        <v/>
      </c>
      <c r="X27">
        <f>HYPERLINK("https://klasma.github.io/Logging_1880/tillsyn/A 14956-2025 tillsynsbegäran.docx", "A 14956-2025")</f>
        <v/>
      </c>
      <c r="Y27">
        <f>HYPERLINK("https://klasma.github.io/Logging_1880/tillsynsmail/A 14956-2025 tillsynsbegäran mail.docx", "A 14956-2025")</f>
        <v/>
      </c>
    </row>
    <row r="28" ht="15" customHeight="1">
      <c r="A28" t="inlineStr">
        <is>
          <t>A 13395-2024</t>
        </is>
      </c>
      <c r="B28" s="1" t="n">
        <v>45387.42296296296</v>
      </c>
      <c r="C28" s="1" t="n">
        <v>45940</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30409-2025</t>
        </is>
      </c>
      <c r="B29" s="1" t="n">
        <v>45827.59738425926</v>
      </c>
      <c r="C29" s="1" t="n">
        <v>45940</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52400-2024</t>
        </is>
      </c>
      <c r="B30" s="1" t="n">
        <v>45609.44461805555</v>
      </c>
      <c r="C30" s="1" t="n">
        <v>45940</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13458-2024</t>
        </is>
      </c>
      <c r="B31" s="1" t="n">
        <v>45387.54642361111</v>
      </c>
      <c r="C31" s="1" t="n">
        <v>45940</v>
      </c>
      <c r="D31" t="inlineStr">
        <is>
          <t>ÖREBRO LÄN</t>
        </is>
      </c>
      <c r="E31" t="inlineStr">
        <is>
          <t>ÖREBRO</t>
        </is>
      </c>
      <c r="G31" t="n">
        <v>1.8</v>
      </c>
      <c r="H31" t="n">
        <v>2</v>
      </c>
      <c r="I31" t="n">
        <v>0</v>
      </c>
      <c r="J31" t="n">
        <v>1</v>
      </c>
      <c r="K31" t="n">
        <v>0</v>
      </c>
      <c r="L31" t="n">
        <v>0</v>
      </c>
      <c r="M31" t="n">
        <v>0</v>
      </c>
      <c r="N31" t="n">
        <v>0</v>
      </c>
      <c r="O31" t="n">
        <v>1</v>
      </c>
      <c r="P31" t="n">
        <v>0</v>
      </c>
      <c r="Q31" t="n">
        <v>2</v>
      </c>
      <c r="R31" s="2" t="inlineStr">
        <is>
          <t>Havsörn
Göktyta</t>
        </is>
      </c>
      <c r="S31">
        <f>HYPERLINK("https://klasma.github.io/Logging_1880/artfynd/A 13458-2024 artfynd.xlsx", "A 13458-2024")</f>
        <v/>
      </c>
      <c r="T31">
        <f>HYPERLINK("https://klasma.github.io/Logging_1880/kartor/A 13458-2024 karta.png", "A 13458-2024")</f>
        <v/>
      </c>
      <c r="V31">
        <f>HYPERLINK("https://klasma.github.io/Logging_1880/klagomål/A 13458-2024 FSC-klagomål.docx", "A 13458-2024")</f>
        <v/>
      </c>
      <c r="W31">
        <f>HYPERLINK("https://klasma.github.io/Logging_1880/klagomålsmail/A 13458-2024 FSC-klagomål mail.docx", "A 13458-2024")</f>
        <v/>
      </c>
      <c r="X31">
        <f>HYPERLINK("https://klasma.github.io/Logging_1880/tillsyn/A 13458-2024 tillsynsbegäran.docx", "A 13458-2024")</f>
        <v/>
      </c>
      <c r="Y31">
        <f>HYPERLINK("https://klasma.github.io/Logging_1880/tillsynsmail/A 13458-2024 tillsynsbegäran mail.docx", "A 13458-2024")</f>
        <v/>
      </c>
      <c r="Z31">
        <f>HYPERLINK("https://klasma.github.io/Logging_1880/fåglar/A 13458-2024 prioriterade fågelarter.docx", "A 13458-2024")</f>
        <v/>
      </c>
    </row>
    <row r="32" ht="15" customHeight="1">
      <c r="A32" t="inlineStr">
        <is>
          <t>A 7608-2024</t>
        </is>
      </c>
      <c r="B32" s="1" t="n">
        <v>45348</v>
      </c>
      <c r="C32" s="1" t="n">
        <v>45940</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37019-2024</t>
        </is>
      </c>
      <c r="B33" s="1" t="n">
        <v>45539.37905092593</v>
      </c>
      <c r="C33" s="1" t="n">
        <v>45940</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8267-2021</t>
        </is>
      </c>
      <c r="B34" s="1" t="n">
        <v>44244</v>
      </c>
      <c r="C34" s="1" t="n">
        <v>45940</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22577-2024</t>
        </is>
      </c>
      <c r="B35" s="1" t="n">
        <v>45447</v>
      </c>
      <c r="C35" s="1" t="n">
        <v>45940</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29704-2022</t>
        </is>
      </c>
      <c r="B36" s="1" t="n">
        <v>44755</v>
      </c>
      <c r="C36" s="1" t="n">
        <v>45940</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45940</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45940</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4014-2021</t>
        </is>
      </c>
      <c r="B39" s="1" t="n">
        <v>44218</v>
      </c>
      <c r="C39" s="1" t="n">
        <v>45940</v>
      </c>
      <c r="D39" t="inlineStr">
        <is>
          <t>ÖREBRO LÄN</t>
        </is>
      </c>
      <c r="E39" t="inlineStr">
        <is>
          <t>ÖREBRO</t>
        </is>
      </c>
      <c r="G39" t="n">
        <v>10.5</v>
      </c>
      <c r="H39" t="n">
        <v>0</v>
      </c>
      <c r="I39" t="n">
        <v>1</v>
      </c>
      <c r="J39" t="n">
        <v>0</v>
      </c>
      <c r="K39" t="n">
        <v>0</v>
      </c>
      <c r="L39" t="n">
        <v>0</v>
      </c>
      <c r="M39" t="n">
        <v>0</v>
      </c>
      <c r="N39" t="n">
        <v>0</v>
      </c>
      <c r="O39" t="n">
        <v>0</v>
      </c>
      <c r="P39" t="n">
        <v>0</v>
      </c>
      <c r="Q39" t="n">
        <v>1</v>
      </c>
      <c r="R39" s="2" t="inlineStr">
        <is>
          <t>Springkorn</t>
        </is>
      </c>
      <c r="S39">
        <f>HYPERLINK("https://klasma.github.io/Logging_1880/artfynd/A 4014-2021 artfynd.xlsx", "A 4014-2021")</f>
        <v/>
      </c>
      <c r="T39">
        <f>HYPERLINK("https://klasma.github.io/Logging_1880/kartor/A 4014-2021 karta.png", "A 4014-2021")</f>
        <v/>
      </c>
      <c r="V39">
        <f>HYPERLINK("https://klasma.github.io/Logging_1880/klagomål/A 4014-2021 FSC-klagomål.docx", "A 4014-2021")</f>
        <v/>
      </c>
      <c r="W39">
        <f>HYPERLINK("https://klasma.github.io/Logging_1880/klagomålsmail/A 4014-2021 FSC-klagomål mail.docx", "A 4014-2021")</f>
        <v/>
      </c>
      <c r="X39">
        <f>HYPERLINK("https://klasma.github.io/Logging_1880/tillsyn/A 4014-2021 tillsynsbegäran.docx", "A 4014-2021")</f>
        <v/>
      </c>
      <c r="Y39">
        <f>HYPERLINK("https://klasma.github.io/Logging_1880/tillsynsmail/A 4014-2021 tillsynsbegäran mail.docx", "A 4014-2021")</f>
        <v/>
      </c>
    </row>
    <row r="40" ht="15" customHeight="1">
      <c r="A40" t="inlineStr">
        <is>
          <t>A 2077-2023</t>
        </is>
      </c>
      <c r="B40" s="1" t="n">
        <v>44939</v>
      </c>
      <c r="C40" s="1" t="n">
        <v>45940</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44744-2024</t>
        </is>
      </c>
      <c r="B41" s="1" t="n">
        <v>45574.59789351852</v>
      </c>
      <c r="C41" s="1" t="n">
        <v>45940</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42636-2023</t>
        </is>
      </c>
      <c r="B42" s="1" t="n">
        <v>45181.49559027778</v>
      </c>
      <c r="C42" s="1" t="n">
        <v>45940</v>
      </c>
      <c r="D42" t="inlineStr">
        <is>
          <t>ÖREBRO LÄN</t>
        </is>
      </c>
      <c r="E42" t="inlineStr">
        <is>
          <t>ÖREBRO</t>
        </is>
      </c>
      <c r="G42" t="n">
        <v>1.7</v>
      </c>
      <c r="H42" t="n">
        <v>0</v>
      </c>
      <c r="I42" t="n">
        <v>0</v>
      </c>
      <c r="J42" t="n">
        <v>1</v>
      </c>
      <c r="K42" t="n">
        <v>0</v>
      </c>
      <c r="L42" t="n">
        <v>0</v>
      </c>
      <c r="M42" t="n">
        <v>0</v>
      </c>
      <c r="N42" t="n">
        <v>0</v>
      </c>
      <c r="O42" t="n">
        <v>1</v>
      </c>
      <c r="P42" t="n">
        <v>0</v>
      </c>
      <c r="Q42" t="n">
        <v>1</v>
      </c>
      <c r="R42" s="2" t="inlineStr">
        <is>
          <t>Igelkott</t>
        </is>
      </c>
      <c r="S42">
        <f>HYPERLINK("https://klasma.github.io/Logging_1880/artfynd/A 42636-2023 artfynd.xlsx", "A 42636-2023")</f>
        <v/>
      </c>
      <c r="T42">
        <f>HYPERLINK("https://klasma.github.io/Logging_1880/kartor/A 42636-2023 karta.png", "A 42636-2023")</f>
        <v/>
      </c>
      <c r="V42">
        <f>HYPERLINK("https://klasma.github.io/Logging_1880/klagomål/A 42636-2023 FSC-klagomål.docx", "A 42636-2023")</f>
        <v/>
      </c>
      <c r="W42">
        <f>HYPERLINK("https://klasma.github.io/Logging_1880/klagomålsmail/A 42636-2023 FSC-klagomål mail.docx", "A 42636-2023")</f>
        <v/>
      </c>
      <c r="X42">
        <f>HYPERLINK("https://klasma.github.io/Logging_1880/tillsyn/A 42636-2023 tillsynsbegäran.docx", "A 42636-2023")</f>
        <v/>
      </c>
      <c r="Y42">
        <f>HYPERLINK("https://klasma.github.io/Logging_1880/tillsynsmail/A 42636-2023 tillsynsbegäran mail.docx", "A 42636-2023")</f>
        <v/>
      </c>
    </row>
    <row r="43" ht="15" customHeight="1">
      <c r="A43" t="inlineStr">
        <is>
          <t>A 20032-2023</t>
        </is>
      </c>
      <c r="B43" s="1" t="n">
        <v>45054</v>
      </c>
      <c r="C43" s="1" t="n">
        <v>45940</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55904-2024</t>
        </is>
      </c>
      <c r="B44" s="1" t="n">
        <v>45623.58190972222</v>
      </c>
      <c r="C44" s="1" t="n">
        <v>45940</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30725-2023</t>
        </is>
      </c>
      <c r="B45" s="1" t="n">
        <v>45112.61451388889</v>
      </c>
      <c r="C45" s="1" t="n">
        <v>45940</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15621-2021</t>
        </is>
      </c>
      <c r="B46" s="1" t="n">
        <v>44285</v>
      </c>
      <c r="C46" s="1" t="n">
        <v>45940</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28936-2025</t>
        </is>
      </c>
      <c r="B47" s="1" t="n">
        <v>45820.69287037037</v>
      </c>
      <c r="C47" s="1" t="n">
        <v>45940</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26890-2022</t>
        </is>
      </c>
      <c r="B48" s="1" t="n">
        <v>44740</v>
      </c>
      <c r="C48" s="1" t="n">
        <v>45940</v>
      </c>
      <c r="D48" t="inlineStr">
        <is>
          <t>ÖREBRO LÄN</t>
        </is>
      </c>
      <c r="E48" t="inlineStr">
        <is>
          <t>ÖREBRO</t>
        </is>
      </c>
      <c r="G48" t="n">
        <v>4.2</v>
      </c>
      <c r="H48" t="n">
        <v>1</v>
      </c>
      <c r="I48" t="n">
        <v>0</v>
      </c>
      <c r="J48" t="n">
        <v>0</v>
      </c>
      <c r="K48" t="n">
        <v>1</v>
      </c>
      <c r="L48" t="n">
        <v>0</v>
      </c>
      <c r="M48" t="n">
        <v>0</v>
      </c>
      <c r="N48" t="n">
        <v>0</v>
      </c>
      <c r="O48" t="n">
        <v>1</v>
      </c>
      <c r="P48" t="n">
        <v>1</v>
      </c>
      <c r="Q48" t="n">
        <v>1</v>
      </c>
      <c r="R48" s="2" t="inlineStr">
        <is>
          <t>Hällebräcka</t>
        </is>
      </c>
      <c r="S48">
        <f>HYPERLINK("https://klasma.github.io/Logging_1880/artfynd/A 26890-2022 artfynd.xlsx", "A 26890-2022")</f>
        <v/>
      </c>
      <c r="T48">
        <f>HYPERLINK("https://klasma.github.io/Logging_1880/kartor/A 26890-2022 karta.png", "A 26890-2022")</f>
        <v/>
      </c>
      <c r="V48">
        <f>HYPERLINK("https://klasma.github.io/Logging_1880/klagomål/A 26890-2022 FSC-klagomål.docx", "A 26890-2022")</f>
        <v/>
      </c>
      <c r="W48">
        <f>HYPERLINK("https://klasma.github.io/Logging_1880/klagomålsmail/A 26890-2022 FSC-klagomål mail.docx", "A 26890-2022")</f>
        <v/>
      </c>
      <c r="X48">
        <f>HYPERLINK("https://klasma.github.io/Logging_1880/tillsyn/A 26890-2022 tillsynsbegäran.docx", "A 26890-2022")</f>
        <v/>
      </c>
      <c r="Y48">
        <f>HYPERLINK("https://klasma.github.io/Logging_1880/tillsynsmail/A 26890-2022 tillsynsbegäran mail.docx", "A 26890-2022")</f>
        <v/>
      </c>
    </row>
    <row r="49" ht="15" customHeight="1">
      <c r="A49" t="inlineStr">
        <is>
          <t>A 43332-2022</t>
        </is>
      </c>
      <c r="B49" s="1" t="n">
        <v>44834</v>
      </c>
      <c r="C49" s="1" t="n">
        <v>45940</v>
      </c>
      <c r="D49" t="inlineStr">
        <is>
          <t>ÖREBRO LÄN</t>
        </is>
      </c>
      <c r="E49" t="inlineStr">
        <is>
          <t>ÖREBRO</t>
        </is>
      </c>
      <c r="G49" t="n">
        <v>2.3</v>
      </c>
      <c r="H49" t="n">
        <v>1</v>
      </c>
      <c r="I49" t="n">
        <v>0</v>
      </c>
      <c r="J49" t="n">
        <v>1</v>
      </c>
      <c r="K49" t="n">
        <v>0</v>
      </c>
      <c r="L49" t="n">
        <v>0</v>
      </c>
      <c r="M49" t="n">
        <v>0</v>
      </c>
      <c r="N49" t="n">
        <v>0</v>
      </c>
      <c r="O49" t="n">
        <v>1</v>
      </c>
      <c r="P49" t="n">
        <v>0</v>
      </c>
      <c r="Q49" t="n">
        <v>1</v>
      </c>
      <c r="R49" s="2" t="inlineStr">
        <is>
          <t>Spillkråka</t>
        </is>
      </c>
      <c r="S49">
        <f>HYPERLINK("https://klasma.github.io/Logging_1880/artfynd/A 43332-2022 artfynd.xlsx", "A 43332-2022")</f>
        <v/>
      </c>
      <c r="T49">
        <f>HYPERLINK("https://klasma.github.io/Logging_1880/kartor/A 43332-2022 karta.png", "A 43332-2022")</f>
        <v/>
      </c>
      <c r="V49">
        <f>HYPERLINK("https://klasma.github.io/Logging_1880/klagomål/A 43332-2022 FSC-klagomål.docx", "A 43332-2022")</f>
        <v/>
      </c>
      <c r="W49">
        <f>HYPERLINK("https://klasma.github.io/Logging_1880/klagomålsmail/A 43332-2022 FSC-klagomål mail.docx", "A 43332-2022")</f>
        <v/>
      </c>
      <c r="X49">
        <f>HYPERLINK("https://klasma.github.io/Logging_1880/tillsyn/A 43332-2022 tillsynsbegäran.docx", "A 43332-2022")</f>
        <v/>
      </c>
      <c r="Y49">
        <f>HYPERLINK("https://klasma.github.io/Logging_1880/tillsynsmail/A 43332-2022 tillsynsbegäran mail.docx", "A 43332-2022")</f>
        <v/>
      </c>
      <c r="Z49">
        <f>HYPERLINK("https://klasma.github.io/Logging_1880/fåglar/A 43332-2022 prioriterade fågelarter.docx", "A 43332-2022")</f>
        <v/>
      </c>
    </row>
    <row r="50" ht="15" customHeight="1">
      <c r="A50" t="inlineStr">
        <is>
          <t>A 32204-2025</t>
        </is>
      </c>
      <c r="B50" s="1" t="n">
        <v>45835.58074074074</v>
      </c>
      <c r="C50" s="1" t="n">
        <v>45940</v>
      </c>
      <c r="D50" t="inlineStr">
        <is>
          <t>ÖREBRO LÄN</t>
        </is>
      </c>
      <c r="E50" t="inlineStr">
        <is>
          <t>ÖREBRO</t>
        </is>
      </c>
      <c r="G50" t="n">
        <v>3.4</v>
      </c>
      <c r="H50" t="n">
        <v>1</v>
      </c>
      <c r="I50" t="n">
        <v>0</v>
      </c>
      <c r="J50" t="n">
        <v>0</v>
      </c>
      <c r="K50" t="n">
        <v>0</v>
      </c>
      <c r="L50" t="n">
        <v>0</v>
      </c>
      <c r="M50" t="n">
        <v>0</v>
      </c>
      <c r="N50" t="n">
        <v>0</v>
      </c>
      <c r="O50" t="n">
        <v>0</v>
      </c>
      <c r="P50" t="n">
        <v>0</v>
      </c>
      <c r="Q50" t="n">
        <v>1</v>
      </c>
      <c r="R50" s="2" t="inlineStr">
        <is>
          <t>Tjäder</t>
        </is>
      </c>
      <c r="S50">
        <f>HYPERLINK("https://klasma.github.io/Logging_1880/artfynd/A 32204-2025 artfynd.xlsx", "A 32204-2025")</f>
        <v/>
      </c>
      <c r="T50">
        <f>HYPERLINK("https://klasma.github.io/Logging_1880/kartor/A 32204-2025 karta.png", "A 32204-2025")</f>
        <v/>
      </c>
      <c r="V50">
        <f>HYPERLINK("https://klasma.github.io/Logging_1880/klagomål/A 32204-2025 FSC-klagomål.docx", "A 32204-2025")</f>
        <v/>
      </c>
      <c r="W50">
        <f>HYPERLINK("https://klasma.github.io/Logging_1880/klagomålsmail/A 32204-2025 FSC-klagomål mail.docx", "A 32204-2025")</f>
        <v/>
      </c>
      <c r="X50">
        <f>HYPERLINK("https://klasma.github.io/Logging_1880/tillsyn/A 32204-2025 tillsynsbegäran.docx", "A 32204-2025")</f>
        <v/>
      </c>
      <c r="Y50">
        <f>HYPERLINK("https://klasma.github.io/Logging_1880/tillsynsmail/A 32204-2025 tillsynsbegäran mail.docx", "A 32204-2025")</f>
        <v/>
      </c>
      <c r="Z50">
        <f>HYPERLINK("https://klasma.github.io/Logging_1880/fåglar/A 32204-2025 prioriterade fågelarter.docx", "A 32204-2025")</f>
        <v/>
      </c>
    </row>
    <row r="51" ht="15" customHeight="1">
      <c r="A51" t="inlineStr">
        <is>
          <t>A 32226-2025</t>
        </is>
      </c>
      <c r="B51" s="1" t="n">
        <v>45835.59478009259</v>
      </c>
      <c r="C51" s="1" t="n">
        <v>45940</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31695-2024</t>
        </is>
      </c>
      <c r="B52" s="1" t="n">
        <v>45508</v>
      </c>
      <c r="C52" s="1" t="n">
        <v>45940</v>
      </c>
      <c r="D52" t="inlineStr">
        <is>
          <t>ÖREBRO LÄN</t>
        </is>
      </c>
      <c r="E52" t="inlineStr">
        <is>
          <t>ÖREBRO</t>
        </is>
      </c>
      <c r="G52" t="n">
        <v>1.3</v>
      </c>
      <c r="H52" t="n">
        <v>1</v>
      </c>
      <c r="I52" t="n">
        <v>1</v>
      </c>
      <c r="J52" t="n">
        <v>0</v>
      </c>
      <c r="K52" t="n">
        <v>0</v>
      </c>
      <c r="L52" t="n">
        <v>0</v>
      </c>
      <c r="M52" t="n">
        <v>0</v>
      </c>
      <c r="N52" t="n">
        <v>0</v>
      </c>
      <c r="O52" t="n">
        <v>0</v>
      </c>
      <c r="P52" t="n">
        <v>0</v>
      </c>
      <c r="Q52" t="n">
        <v>1</v>
      </c>
      <c r="R52" s="2" t="inlineStr">
        <is>
          <t>Skogsknipprot</t>
        </is>
      </c>
      <c r="S52">
        <f>HYPERLINK("https://klasma.github.io/Logging_1880/artfynd/A 31695-2024 artfynd.xlsx", "A 31695-2024")</f>
        <v/>
      </c>
      <c r="T52">
        <f>HYPERLINK("https://klasma.github.io/Logging_1880/kartor/A 31695-2024 karta.png", "A 31695-2024")</f>
        <v/>
      </c>
      <c r="V52">
        <f>HYPERLINK("https://klasma.github.io/Logging_1880/klagomål/A 31695-2024 FSC-klagomål.docx", "A 31695-2024")</f>
        <v/>
      </c>
      <c r="W52">
        <f>HYPERLINK("https://klasma.github.io/Logging_1880/klagomålsmail/A 31695-2024 FSC-klagomål mail.docx", "A 31695-2024")</f>
        <v/>
      </c>
      <c r="X52">
        <f>HYPERLINK("https://klasma.github.io/Logging_1880/tillsyn/A 31695-2024 tillsynsbegäran.docx", "A 31695-2024")</f>
        <v/>
      </c>
      <c r="Y52">
        <f>HYPERLINK("https://klasma.github.io/Logging_1880/tillsynsmail/A 31695-2024 tillsynsbegäran mail.docx", "A 31695-2024")</f>
        <v/>
      </c>
    </row>
    <row r="53" ht="15" customHeight="1">
      <c r="A53" t="inlineStr">
        <is>
          <t>A 5097-2023</t>
        </is>
      </c>
      <c r="B53" s="1" t="n">
        <v>44958</v>
      </c>
      <c r="C53" s="1" t="n">
        <v>45940</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23998-2025</t>
        </is>
      </c>
      <c r="B54" s="1" t="n">
        <v>45796.42209490741</v>
      </c>
      <c r="C54" s="1" t="n">
        <v>45940</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32105-2023</t>
        </is>
      </c>
      <c r="B55" s="1" t="n">
        <v>45119</v>
      </c>
      <c r="C55" s="1" t="n">
        <v>45940</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44389-2021</t>
        </is>
      </c>
      <c r="B56" s="1" t="n">
        <v>44435</v>
      </c>
      <c r="C56" s="1" t="n">
        <v>45940</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20247-2023</t>
        </is>
      </c>
      <c r="B57" s="1" t="n">
        <v>45055</v>
      </c>
      <c r="C57" s="1" t="n">
        <v>45940</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22604-2024</t>
        </is>
      </c>
      <c r="B58" s="1" t="n">
        <v>45447</v>
      </c>
      <c r="C58" s="1" t="n">
        <v>45940</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11501-2025</t>
        </is>
      </c>
      <c r="B59" s="1" t="n">
        <v>45726</v>
      </c>
      <c r="C59" s="1" t="n">
        <v>45940</v>
      </c>
      <c r="D59" t="inlineStr">
        <is>
          <t>ÖREBRO LÄN</t>
        </is>
      </c>
      <c r="E59" t="inlineStr">
        <is>
          <t>ÖREBRO</t>
        </is>
      </c>
      <c r="G59" t="n">
        <v>0.8</v>
      </c>
      <c r="H59" t="n">
        <v>1</v>
      </c>
      <c r="I59" t="n">
        <v>0</v>
      </c>
      <c r="J59" t="n">
        <v>0</v>
      </c>
      <c r="K59" t="n">
        <v>0</v>
      </c>
      <c r="L59" t="n">
        <v>0</v>
      </c>
      <c r="M59" t="n">
        <v>0</v>
      </c>
      <c r="N59" t="n">
        <v>0</v>
      </c>
      <c r="O59" t="n">
        <v>0</v>
      </c>
      <c r="P59" t="n">
        <v>0</v>
      </c>
      <c r="Q59" t="n">
        <v>1</v>
      </c>
      <c r="R59" s="2" t="inlineStr">
        <is>
          <t>Kopparödla</t>
        </is>
      </c>
      <c r="S59">
        <f>HYPERLINK("https://klasma.github.io/Logging_1880/artfynd/A 11501-2025 artfynd.xlsx", "A 11501-2025")</f>
        <v/>
      </c>
      <c r="T59">
        <f>HYPERLINK("https://klasma.github.io/Logging_1880/kartor/A 11501-2025 karta.png", "A 11501-2025")</f>
        <v/>
      </c>
      <c r="V59">
        <f>HYPERLINK("https://klasma.github.io/Logging_1880/klagomål/A 11501-2025 FSC-klagomål.docx", "A 11501-2025")</f>
        <v/>
      </c>
      <c r="W59">
        <f>HYPERLINK("https://klasma.github.io/Logging_1880/klagomålsmail/A 11501-2025 FSC-klagomål mail.docx", "A 11501-2025")</f>
        <v/>
      </c>
      <c r="X59">
        <f>HYPERLINK("https://klasma.github.io/Logging_1880/tillsyn/A 11501-2025 tillsynsbegäran.docx", "A 11501-2025")</f>
        <v/>
      </c>
      <c r="Y59">
        <f>HYPERLINK("https://klasma.github.io/Logging_1880/tillsynsmail/A 11501-2025 tillsynsbegäran mail.docx", "A 11501-2025")</f>
        <v/>
      </c>
    </row>
    <row r="60" ht="15" customHeight="1">
      <c r="A60" t="inlineStr">
        <is>
          <t>A 58966-2020</t>
        </is>
      </c>
      <c r="B60" s="1" t="n">
        <v>44146</v>
      </c>
      <c r="C60" s="1" t="n">
        <v>45940</v>
      </c>
      <c r="D60" t="inlineStr">
        <is>
          <t>ÖREBRO LÄN</t>
        </is>
      </c>
      <c r="E60" t="inlineStr">
        <is>
          <t>ÖREBRO</t>
        </is>
      </c>
      <c r="F60" t="inlineStr">
        <is>
          <t>Övriga Aktiebolag</t>
        </is>
      </c>
      <c r="G60" t="n">
        <v>1.2</v>
      </c>
      <c r="H60" t="n">
        <v>1</v>
      </c>
      <c r="I60" t="n">
        <v>0</v>
      </c>
      <c r="J60" t="n">
        <v>1</v>
      </c>
      <c r="K60" t="n">
        <v>0</v>
      </c>
      <c r="L60" t="n">
        <v>0</v>
      </c>
      <c r="M60" t="n">
        <v>0</v>
      </c>
      <c r="N60" t="n">
        <v>0</v>
      </c>
      <c r="O60" t="n">
        <v>1</v>
      </c>
      <c r="P60" t="n">
        <v>0</v>
      </c>
      <c r="Q60" t="n">
        <v>1</v>
      </c>
      <c r="R60" s="2" t="inlineStr">
        <is>
          <t>Kråka</t>
        </is>
      </c>
      <c r="S60">
        <f>HYPERLINK("https://klasma.github.io/Logging_1880/artfynd/A 58966-2020 artfynd.xlsx", "A 58966-2020")</f>
        <v/>
      </c>
      <c r="T60">
        <f>HYPERLINK("https://klasma.github.io/Logging_1880/kartor/A 58966-2020 karta.png", "A 58966-2020")</f>
        <v/>
      </c>
      <c r="V60">
        <f>HYPERLINK("https://klasma.github.io/Logging_1880/klagomål/A 58966-2020 FSC-klagomål.docx", "A 58966-2020")</f>
        <v/>
      </c>
      <c r="W60">
        <f>HYPERLINK("https://klasma.github.io/Logging_1880/klagomålsmail/A 58966-2020 FSC-klagomål mail.docx", "A 58966-2020")</f>
        <v/>
      </c>
      <c r="X60">
        <f>HYPERLINK("https://klasma.github.io/Logging_1880/tillsyn/A 58966-2020 tillsynsbegäran.docx", "A 58966-2020")</f>
        <v/>
      </c>
      <c r="Y60">
        <f>HYPERLINK("https://klasma.github.io/Logging_1880/tillsynsmail/A 58966-2020 tillsynsbegäran mail.docx", "A 58966-2020")</f>
        <v/>
      </c>
      <c r="Z60">
        <f>HYPERLINK("https://klasma.github.io/Logging_1880/fåglar/A 58966-2020 prioriterade fågelarter.docx", "A 58966-2020")</f>
        <v/>
      </c>
    </row>
    <row r="61" ht="15" customHeight="1">
      <c r="A61" t="inlineStr">
        <is>
          <t>A 57920-2024</t>
        </is>
      </c>
      <c r="B61" s="1" t="n">
        <v>45631.50894675926</v>
      </c>
      <c r="C61" s="1" t="n">
        <v>45940</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45940</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45940</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45940</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45940</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45940</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45940</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45940</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45940</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45940</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45940</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45940</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45940</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45940</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45940</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45940</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45940</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45940</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45940</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45940</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45940</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45940</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45940</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45940</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45940</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45940</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45940</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45940</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45940</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45940</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45940</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45940</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45940</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45940</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45940</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45940</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45940</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45940</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45940</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45940</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45940</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45940</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45940</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4021-2021</t>
        </is>
      </c>
      <c r="B104" s="1" t="n">
        <v>44218</v>
      </c>
      <c r="C104" s="1" t="n">
        <v>45940</v>
      </c>
      <c r="D104" t="inlineStr">
        <is>
          <t>ÖREBRO LÄN</t>
        </is>
      </c>
      <c r="E104" t="inlineStr">
        <is>
          <t>ÖREBRO</t>
        </is>
      </c>
      <c r="G104" t="n">
        <v>5.3</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45940</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45940</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45940</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45940</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45940</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45940</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45940</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45940</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45940</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45940</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45940</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45940</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45940</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57343-2021</t>
        </is>
      </c>
      <c r="B118" s="1" t="n">
        <v>44482</v>
      </c>
      <c r="C118" s="1" t="n">
        <v>45940</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56138-2020</t>
        </is>
      </c>
      <c r="B119" s="1" t="n">
        <v>44133</v>
      </c>
      <c r="C119" s="1" t="n">
        <v>45940</v>
      </c>
      <c r="D119" t="inlineStr">
        <is>
          <t>ÖREBRO LÄN</t>
        </is>
      </c>
      <c r="E119" t="inlineStr">
        <is>
          <t>ÖREBRO</t>
        </is>
      </c>
      <c r="F119" t="inlineStr">
        <is>
          <t>Allmännings- och besparingsskogar</t>
        </is>
      </c>
      <c r="G119" t="n">
        <v>4.9</v>
      </c>
      <c r="H119" t="n">
        <v>0</v>
      </c>
      <c r="I119" t="n">
        <v>0</v>
      </c>
      <c r="J119" t="n">
        <v>0</v>
      </c>
      <c r="K119" t="n">
        <v>0</v>
      </c>
      <c r="L119" t="n">
        <v>0</v>
      </c>
      <c r="M119" t="n">
        <v>0</v>
      </c>
      <c r="N119" t="n">
        <v>0</v>
      </c>
      <c r="O119" t="n">
        <v>0</v>
      </c>
      <c r="P119" t="n">
        <v>0</v>
      </c>
      <c r="Q119" t="n">
        <v>0</v>
      </c>
      <c r="R119" s="2" t="inlineStr"/>
    </row>
    <row r="120" ht="15" customHeight="1">
      <c r="A120" t="inlineStr">
        <is>
          <t>A 3087-2021</t>
        </is>
      </c>
      <c r="B120" s="1" t="n">
        <v>44216</v>
      </c>
      <c r="C120" s="1" t="n">
        <v>45940</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26118-2021</t>
        </is>
      </c>
      <c r="B121" s="1" t="n">
        <v>44345</v>
      </c>
      <c r="C121" s="1" t="n">
        <v>45940</v>
      </c>
      <c r="D121" t="inlineStr">
        <is>
          <t>ÖREBRO LÄN</t>
        </is>
      </c>
      <c r="E121" t="inlineStr">
        <is>
          <t>ÖREBRO</t>
        </is>
      </c>
      <c r="G121" t="n">
        <v>2.2</v>
      </c>
      <c r="H121" t="n">
        <v>0</v>
      </c>
      <c r="I121" t="n">
        <v>0</v>
      </c>
      <c r="J121" t="n">
        <v>0</v>
      </c>
      <c r="K121" t="n">
        <v>0</v>
      </c>
      <c r="L121" t="n">
        <v>0</v>
      </c>
      <c r="M121" t="n">
        <v>0</v>
      </c>
      <c r="N121" t="n">
        <v>0</v>
      </c>
      <c r="O121" t="n">
        <v>0</v>
      </c>
      <c r="P121" t="n">
        <v>0</v>
      </c>
      <c r="Q121" t="n">
        <v>0</v>
      </c>
      <c r="R121" s="2" t="inlineStr"/>
    </row>
    <row r="122" ht="15" customHeight="1">
      <c r="A122" t="inlineStr">
        <is>
          <t>A 26119-2021</t>
        </is>
      </c>
      <c r="B122" s="1" t="n">
        <v>44345.33282407407</v>
      </c>
      <c r="C122" s="1" t="n">
        <v>45940</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10019-2022</t>
        </is>
      </c>
      <c r="B123" s="1" t="n">
        <v>44621</v>
      </c>
      <c r="C123" s="1" t="n">
        <v>45940</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45940</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45940</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45940</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21567-2022</t>
        </is>
      </c>
      <c r="B127" s="1" t="n">
        <v>44706</v>
      </c>
      <c r="C127" s="1" t="n">
        <v>45940</v>
      </c>
      <c r="D127" t="inlineStr">
        <is>
          <t>ÖREBRO LÄN</t>
        </is>
      </c>
      <c r="E127" t="inlineStr">
        <is>
          <t>ÖREBRO</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45940</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45940</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69613-2020</t>
        </is>
      </c>
      <c r="B130" s="1" t="n">
        <v>44195</v>
      </c>
      <c r="C130" s="1" t="n">
        <v>45940</v>
      </c>
      <c r="D130" t="inlineStr">
        <is>
          <t>ÖREBRO LÄN</t>
        </is>
      </c>
      <c r="E130" t="inlineStr">
        <is>
          <t>ÖREBRO</t>
        </is>
      </c>
      <c r="G130" t="n">
        <v>4.7</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45940</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6638-2022</t>
        </is>
      </c>
      <c r="B132" s="1" t="n">
        <v>44601</v>
      </c>
      <c r="C132" s="1" t="n">
        <v>45940</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58138-2021</t>
        </is>
      </c>
      <c r="B133" s="1" t="n">
        <v>44487</v>
      </c>
      <c r="C133" s="1" t="n">
        <v>45940</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45940</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9362-2022</t>
        </is>
      </c>
      <c r="B135" s="1" t="n">
        <v>44616.59946759259</v>
      </c>
      <c r="C135" s="1" t="n">
        <v>45940</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45940</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44165-2022</t>
        </is>
      </c>
      <c r="B137" s="1" t="n">
        <v>44839</v>
      </c>
      <c r="C137" s="1" t="n">
        <v>45940</v>
      </c>
      <c r="D137" t="inlineStr">
        <is>
          <t>ÖREBRO LÄN</t>
        </is>
      </c>
      <c r="E137" t="inlineStr">
        <is>
          <t>ÖREBRO</t>
        </is>
      </c>
      <c r="G137" t="n">
        <v>0.5</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45940</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30760-2022</t>
        </is>
      </c>
      <c r="B139" s="1" t="n">
        <v>44764.51827546296</v>
      </c>
      <c r="C139" s="1" t="n">
        <v>45940</v>
      </c>
      <c r="D139" t="inlineStr">
        <is>
          <t>ÖREBRO LÄN</t>
        </is>
      </c>
      <c r="E139" t="inlineStr">
        <is>
          <t>ÖREBRO</t>
        </is>
      </c>
      <c r="G139" t="n">
        <v>4</v>
      </c>
      <c r="H139" t="n">
        <v>0</v>
      </c>
      <c r="I139" t="n">
        <v>0</v>
      </c>
      <c r="J139" t="n">
        <v>0</v>
      </c>
      <c r="K139" t="n">
        <v>0</v>
      </c>
      <c r="L139" t="n">
        <v>0</v>
      </c>
      <c r="M139" t="n">
        <v>0</v>
      </c>
      <c r="N139" t="n">
        <v>0</v>
      </c>
      <c r="O139" t="n">
        <v>0</v>
      </c>
      <c r="P139" t="n">
        <v>0</v>
      </c>
      <c r="Q139" t="n">
        <v>0</v>
      </c>
      <c r="R139" s="2" t="inlineStr"/>
    </row>
    <row r="140" ht="15" customHeight="1">
      <c r="A140" t="inlineStr">
        <is>
          <t>A 29490-2022</t>
        </is>
      </c>
      <c r="B140" s="1" t="n">
        <v>44753</v>
      </c>
      <c r="C140" s="1" t="n">
        <v>45940</v>
      </c>
      <c r="D140" t="inlineStr">
        <is>
          <t>ÖREBRO LÄN</t>
        </is>
      </c>
      <c r="E140" t="inlineStr">
        <is>
          <t>ÖREBRO</t>
        </is>
      </c>
      <c r="F140" t="inlineStr">
        <is>
          <t>Kommuner</t>
        </is>
      </c>
      <c r="G140" t="n">
        <v>0.3</v>
      </c>
      <c r="H140" t="n">
        <v>0</v>
      </c>
      <c r="I140" t="n">
        <v>0</v>
      </c>
      <c r="J140" t="n">
        <v>0</v>
      </c>
      <c r="K140" t="n">
        <v>0</v>
      </c>
      <c r="L140" t="n">
        <v>0</v>
      </c>
      <c r="M140" t="n">
        <v>0</v>
      </c>
      <c r="N140" t="n">
        <v>0</v>
      </c>
      <c r="O140" t="n">
        <v>0</v>
      </c>
      <c r="P140" t="n">
        <v>0</v>
      </c>
      <c r="Q140" t="n">
        <v>0</v>
      </c>
      <c r="R140" s="2" t="inlineStr"/>
    </row>
    <row r="141" ht="15" customHeight="1">
      <c r="A141" t="inlineStr">
        <is>
          <t>A 61232-2021</t>
        </is>
      </c>
      <c r="B141" s="1" t="n">
        <v>44498</v>
      </c>
      <c r="C141" s="1" t="n">
        <v>45940</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45940</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37395-2021</t>
        </is>
      </c>
      <c r="B143" s="1" t="n">
        <v>44398</v>
      </c>
      <c r="C143" s="1" t="n">
        <v>45940</v>
      </c>
      <c r="D143" t="inlineStr">
        <is>
          <t>ÖREBRO LÄN</t>
        </is>
      </c>
      <c r="E143" t="inlineStr">
        <is>
          <t>ÖREBRO</t>
        </is>
      </c>
      <c r="G143" t="n">
        <v>3</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45940</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66936-2021</t>
        </is>
      </c>
      <c r="B145" s="1" t="n">
        <v>44522.56349537037</v>
      </c>
      <c r="C145" s="1" t="n">
        <v>45940</v>
      </c>
      <c r="D145" t="inlineStr">
        <is>
          <t>ÖREBRO LÄN</t>
        </is>
      </c>
      <c r="E145" t="inlineStr">
        <is>
          <t>ÖREBRO</t>
        </is>
      </c>
      <c r="G145" t="n">
        <v>6.8</v>
      </c>
      <c r="H145" t="n">
        <v>0</v>
      </c>
      <c r="I145" t="n">
        <v>0</v>
      </c>
      <c r="J145" t="n">
        <v>0</v>
      </c>
      <c r="K145" t="n">
        <v>0</v>
      </c>
      <c r="L145" t="n">
        <v>0</v>
      </c>
      <c r="M145" t="n">
        <v>0</v>
      </c>
      <c r="N145" t="n">
        <v>0</v>
      </c>
      <c r="O145" t="n">
        <v>0</v>
      </c>
      <c r="P145" t="n">
        <v>0</v>
      </c>
      <c r="Q145" t="n">
        <v>0</v>
      </c>
      <c r="R145" s="2" t="inlineStr"/>
    </row>
    <row r="146" ht="15" customHeight="1">
      <c r="A146" t="inlineStr">
        <is>
          <t>A 44131-2022</t>
        </is>
      </c>
      <c r="B146" s="1" t="n">
        <v>44839</v>
      </c>
      <c r="C146" s="1" t="n">
        <v>45940</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62651-2020</t>
        </is>
      </c>
      <c r="B147" s="1" t="n">
        <v>44161</v>
      </c>
      <c r="C147" s="1" t="n">
        <v>45940</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18321-2022</t>
        </is>
      </c>
      <c r="B148" s="1" t="n">
        <v>44685</v>
      </c>
      <c r="C148" s="1" t="n">
        <v>45940</v>
      </c>
      <c r="D148" t="inlineStr">
        <is>
          <t>ÖREBRO LÄN</t>
        </is>
      </c>
      <c r="E148" t="inlineStr">
        <is>
          <t>ÖREBRO</t>
        </is>
      </c>
      <c r="G148" t="n">
        <v>2.1</v>
      </c>
      <c r="H148" t="n">
        <v>0</v>
      </c>
      <c r="I148" t="n">
        <v>0</v>
      </c>
      <c r="J148" t="n">
        <v>0</v>
      </c>
      <c r="K148" t="n">
        <v>0</v>
      </c>
      <c r="L148" t="n">
        <v>0</v>
      </c>
      <c r="M148" t="n">
        <v>0</v>
      </c>
      <c r="N148" t="n">
        <v>0</v>
      </c>
      <c r="O148" t="n">
        <v>0</v>
      </c>
      <c r="P148" t="n">
        <v>0</v>
      </c>
      <c r="Q148" t="n">
        <v>0</v>
      </c>
      <c r="R148" s="2" t="inlineStr"/>
    </row>
    <row r="149" ht="15" customHeight="1">
      <c r="A149" t="inlineStr">
        <is>
          <t>A 51268-2022</t>
        </is>
      </c>
      <c r="B149" s="1" t="n">
        <v>44868</v>
      </c>
      <c r="C149" s="1" t="n">
        <v>45940</v>
      </c>
      <c r="D149" t="inlineStr">
        <is>
          <t>ÖREBRO LÄN</t>
        </is>
      </c>
      <c r="E149" t="inlineStr">
        <is>
          <t>ÖREBRO</t>
        </is>
      </c>
      <c r="G149" t="n">
        <v>3.8</v>
      </c>
      <c r="H149" t="n">
        <v>0</v>
      </c>
      <c r="I149" t="n">
        <v>0</v>
      </c>
      <c r="J149" t="n">
        <v>0</v>
      </c>
      <c r="K149" t="n">
        <v>0</v>
      </c>
      <c r="L149" t="n">
        <v>0</v>
      </c>
      <c r="M149" t="n">
        <v>0</v>
      </c>
      <c r="N149" t="n">
        <v>0</v>
      </c>
      <c r="O149" t="n">
        <v>0</v>
      </c>
      <c r="P149" t="n">
        <v>0</v>
      </c>
      <c r="Q149" t="n">
        <v>0</v>
      </c>
      <c r="R149" s="2" t="inlineStr"/>
    </row>
    <row r="150" ht="15" customHeight="1">
      <c r="A150" t="inlineStr">
        <is>
          <t>A 51331-2023</t>
        </is>
      </c>
      <c r="B150" s="1" t="n">
        <v>45219</v>
      </c>
      <c r="C150" s="1" t="n">
        <v>45940</v>
      </c>
      <c r="D150" t="inlineStr">
        <is>
          <t>ÖREBRO LÄN</t>
        </is>
      </c>
      <c r="E150" t="inlineStr">
        <is>
          <t>ÖREBRO</t>
        </is>
      </c>
      <c r="F150" t="inlineStr">
        <is>
          <t>Kommuner</t>
        </is>
      </c>
      <c r="G150" t="n">
        <v>1.3</v>
      </c>
      <c r="H150" t="n">
        <v>0</v>
      </c>
      <c r="I150" t="n">
        <v>0</v>
      </c>
      <c r="J150" t="n">
        <v>0</v>
      </c>
      <c r="K150" t="n">
        <v>0</v>
      </c>
      <c r="L150" t="n">
        <v>0</v>
      </c>
      <c r="M150" t="n">
        <v>0</v>
      </c>
      <c r="N150" t="n">
        <v>0</v>
      </c>
      <c r="O150" t="n">
        <v>0</v>
      </c>
      <c r="P150" t="n">
        <v>0</v>
      </c>
      <c r="Q150" t="n">
        <v>0</v>
      </c>
      <c r="R150" s="2" t="inlineStr"/>
    </row>
    <row r="151" ht="15" customHeight="1">
      <c r="A151" t="inlineStr">
        <is>
          <t>A 34874-2022</t>
        </is>
      </c>
      <c r="B151" s="1" t="n">
        <v>44796</v>
      </c>
      <c r="C151" s="1" t="n">
        <v>45940</v>
      </c>
      <c r="D151" t="inlineStr">
        <is>
          <t>ÖREBRO LÄN</t>
        </is>
      </c>
      <c r="E151" t="inlineStr">
        <is>
          <t>ÖREBRO</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852-2025</t>
        </is>
      </c>
      <c r="B152" s="1" t="n">
        <v>45665.60148148148</v>
      </c>
      <c r="C152" s="1" t="n">
        <v>45940</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12871-2021</t>
        </is>
      </c>
      <c r="B153" s="1" t="n">
        <v>44271.42121527778</v>
      </c>
      <c r="C153" s="1" t="n">
        <v>45940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15424-2022</t>
        </is>
      </c>
      <c r="B154" s="1" t="n">
        <v>44659</v>
      </c>
      <c r="C154" s="1" t="n">
        <v>45940</v>
      </c>
      <c r="D154" t="inlineStr">
        <is>
          <t>ÖREBRO LÄN</t>
        </is>
      </c>
      <c r="E154" t="inlineStr">
        <is>
          <t>ÖREBRO</t>
        </is>
      </c>
      <c r="G154" t="n">
        <v>2.2</v>
      </c>
      <c r="H154" t="n">
        <v>0</v>
      </c>
      <c r="I154" t="n">
        <v>0</v>
      </c>
      <c r="J154" t="n">
        <v>0</v>
      </c>
      <c r="K154" t="n">
        <v>0</v>
      </c>
      <c r="L154" t="n">
        <v>0</v>
      </c>
      <c r="M154" t="n">
        <v>0</v>
      </c>
      <c r="N154" t="n">
        <v>0</v>
      </c>
      <c r="O154" t="n">
        <v>0</v>
      </c>
      <c r="P154" t="n">
        <v>0</v>
      </c>
      <c r="Q154" t="n">
        <v>0</v>
      </c>
      <c r="R154" s="2" t="inlineStr"/>
    </row>
    <row r="155" ht="15" customHeight="1">
      <c r="A155" t="inlineStr">
        <is>
          <t>A 15682-2023</t>
        </is>
      </c>
      <c r="B155" s="1" t="n">
        <v>45021</v>
      </c>
      <c r="C155" s="1" t="n">
        <v>45940</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18047-2022</t>
        </is>
      </c>
      <c r="B156" s="1" t="n">
        <v>44684</v>
      </c>
      <c r="C156" s="1" t="n">
        <v>45940</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12682-2023</t>
        </is>
      </c>
      <c r="B157" s="1" t="n">
        <v>45000.6115625</v>
      </c>
      <c r="C157" s="1" t="n">
        <v>45940</v>
      </c>
      <c r="D157" t="inlineStr">
        <is>
          <t>ÖREBRO LÄN</t>
        </is>
      </c>
      <c r="E157" t="inlineStr">
        <is>
          <t>ÖREBRO</t>
        </is>
      </c>
      <c r="F157" t="inlineStr">
        <is>
          <t>Övriga Aktiebolag</t>
        </is>
      </c>
      <c r="G157" t="n">
        <v>4.4</v>
      </c>
      <c r="H157" t="n">
        <v>0</v>
      </c>
      <c r="I157" t="n">
        <v>0</v>
      </c>
      <c r="J157" t="n">
        <v>0</v>
      </c>
      <c r="K157" t="n">
        <v>0</v>
      </c>
      <c r="L157" t="n">
        <v>0</v>
      </c>
      <c r="M157" t="n">
        <v>0</v>
      </c>
      <c r="N157" t="n">
        <v>0</v>
      </c>
      <c r="O157" t="n">
        <v>0</v>
      </c>
      <c r="P157" t="n">
        <v>0</v>
      </c>
      <c r="Q157" t="n">
        <v>0</v>
      </c>
      <c r="R157" s="2" t="inlineStr"/>
    </row>
    <row r="158" ht="15" customHeight="1">
      <c r="A158" t="inlineStr">
        <is>
          <t>A 57247-2022</t>
        </is>
      </c>
      <c r="B158" s="1" t="n">
        <v>44895.73065972222</v>
      </c>
      <c r="C158" s="1" t="n">
        <v>45940</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38583-2023</t>
        </is>
      </c>
      <c r="B159" s="1" t="n">
        <v>45162.62861111111</v>
      </c>
      <c r="C159" s="1" t="n">
        <v>45940</v>
      </c>
      <c r="D159" t="inlineStr">
        <is>
          <t>ÖREBRO LÄN</t>
        </is>
      </c>
      <c r="E159" t="inlineStr">
        <is>
          <t>ÖREBRO</t>
        </is>
      </c>
      <c r="G159" t="n">
        <v>5.7</v>
      </c>
      <c r="H159" t="n">
        <v>0</v>
      </c>
      <c r="I159" t="n">
        <v>0</v>
      </c>
      <c r="J159" t="n">
        <v>0</v>
      </c>
      <c r="K159" t="n">
        <v>0</v>
      </c>
      <c r="L159" t="n">
        <v>0</v>
      </c>
      <c r="M159" t="n">
        <v>0</v>
      </c>
      <c r="N159" t="n">
        <v>0</v>
      </c>
      <c r="O159" t="n">
        <v>0</v>
      </c>
      <c r="P159" t="n">
        <v>0</v>
      </c>
      <c r="Q159" t="n">
        <v>0</v>
      </c>
      <c r="R159" s="2" t="inlineStr"/>
    </row>
    <row r="160" ht="15" customHeight="1">
      <c r="A160" t="inlineStr">
        <is>
          <t>A 16258-2022</t>
        </is>
      </c>
      <c r="B160" s="1" t="n">
        <v>44670</v>
      </c>
      <c r="C160" s="1" t="n">
        <v>45940</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55745-2023</t>
        </is>
      </c>
      <c r="B161" s="1" t="n">
        <v>45239.44811342593</v>
      </c>
      <c r="C161" s="1" t="n">
        <v>45940</v>
      </c>
      <c r="D161" t="inlineStr">
        <is>
          <t>ÖREBRO LÄN</t>
        </is>
      </c>
      <c r="E161" t="inlineStr">
        <is>
          <t>ÖREBRO</t>
        </is>
      </c>
      <c r="G161" t="n">
        <v>13.3</v>
      </c>
      <c r="H161" t="n">
        <v>0</v>
      </c>
      <c r="I161" t="n">
        <v>0</v>
      </c>
      <c r="J161" t="n">
        <v>0</v>
      </c>
      <c r="K161" t="n">
        <v>0</v>
      </c>
      <c r="L161" t="n">
        <v>0</v>
      </c>
      <c r="M161" t="n">
        <v>0</v>
      </c>
      <c r="N161" t="n">
        <v>0</v>
      </c>
      <c r="O161" t="n">
        <v>0</v>
      </c>
      <c r="P161" t="n">
        <v>0</v>
      </c>
      <c r="Q161" t="n">
        <v>0</v>
      </c>
      <c r="R161" s="2" t="inlineStr"/>
    </row>
    <row r="162" ht="15" customHeight="1">
      <c r="A162" t="inlineStr">
        <is>
          <t>A 38573-2023</t>
        </is>
      </c>
      <c r="B162" s="1" t="n">
        <v>45162.61837962963</v>
      </c>
      <c r="C162" s="1" t="n">
        <v>45940</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7117-2021</t>
        </is>
      </c>
      <c r="B163" s="1" t="n">
        <v>44238</v>
      </c>
      <c r="C163" s="1" t="n">
        <v>45940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26509-2021</t>
        </is>
      </c>
      <c r="B164" s="1" t="n">
        <v>44348.45107638889</v>
      </c>
      <c r="C164" s="1" t="n">
        <v>45940</v>
      </c>
      <c r="D164" t="inlineStr">
        <is>
          <t>ÖREBRO LÄN</t>
        </is>
      </c>
      <c r="E164" t="inlineStr">
        <is>
          <t>ÖREBRO</t>
        </is>
      </c>
      <c r="G164" t="n">
        <v>2.5</v>
      </c>
      <c r="H164" t="n">
        <v>0</v>
      </c>
      <c r="I164" t="n">
        <v>0</v>
      </c>
      <c r="J164" t="n">
        <v>0</v>
      </c>
      <c r="K164" t="n">
        <v>0</v>
      </c>
      <c r="L164" t="n">
        <v>0</v>
      </c>
      <c r="M164" t="n">
        <v>0</v>
      </c>
      <c r="N164" t="n">
        <v>0</v>
      </c>
      <c r="O164" t="n">
        <v>0</v>
      </c>
      <c r="P164" t="n">
        <v>0</v>
      </c>
      <c r="Q164" t="n">
        <v>0</v>
      </c>
      <c r="R164" s="2" t="inlineStr"/>
    </row>
    <row r="165" ht="15" customHeight="1">
      <c r="A165" t="inlineStr">
        <is>
          <t>A 13856-2022</t>
        </is>
      </c>
      <c r="B165" s="1" t="n">
        <v>44649.6965162037</v>
      </c>
      <c r="C165" s="1" t="n">
        <v>45940</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52256-2023</t>
        </is>
      </c>
      <c r="B166" s="1" t="n">
        <v>45224.51471064815</v>
      </c>
      <c r="C166" s="1" t="n">
        <v>45940</v>
      </c>
      <c r="D166" t="inlineStr">
        <is>
          <t>ÖREBRO LÄN</t>
        </is>
      </c>
      <c r="E166" t="inlineStr">
        <is>
          <t>ÖREBRO</t>
        </is>
      </c>
      <c r="G166" t="n">
        <v>2.8</v>
      </c>
      <c r="H166" t="n">
        <v>0</v>
      </c>
      <c r="I166" t="n">
        <v>0</v>
      </c>
      <c r="J166" t="n">
        <v>0</v>
      </c>
      <c r="K166" t="n">
        <v>0</v>
      </c>
      <c r="L166" t="n">
        <v>0</v>
      </c>
      <c r="M166" t="n">
        <v>0</v>
      </c>
      <c r="N166" t="n">
        <v>0</v>
      </c>
      <c r="O166" t="n">
        <v>0</v>
      </c>
      <c r="P166" t="n">
        <v>0</v>
      </c>
      <c r="Q166" t="n">
        <v>0</v>
      </c>
      <c r="R166" s="2" t="inlineStr"/>
    </row>
    <row r="167" ht="15" customHeight="1">
      <c r="A167" t="inlineStr">
        <is>
          <t>A 4766-2022</t>
        </is>
      </c>
      <c r="B167" s="1" t="n">
        <v>44592</v>
      </c>
      <c r="C167" s="1" t="n">
        <v>45940</v>
      </c>
      <c r="D167" t="inlineStr">
        <is>
          <t>ÖREBRO LÄN</t>
        </is>
      </c>
      <c r="E167" t="inlineStr">
        <is>
          <t>ÖREBRO</t>
        </is>
      </c>
      <c r="G167" t="n">
        <v>2.9</v>
      </c>
      <c r="H167" t="n">
        <v>0</v>
      </c>
      <c r="I167" t="n">
        <v>0</v>
      </c>
      <c r="J167" t="n">
        <v>0</v>
      </c>
      <c r="K167" t="n">
        <v>0</v>
      </c>
      <c r="L167" t="n">
        <v>0</v>
      </c>
      <c r="M167" t="n">
        <v>0</v>
      </c>
      <c r="N167" t="n">
        <v>0</v>
      </c>
      <c r="O167" t="n">
        <v>0</v>
      </c>
      <c r="P167" t="n">
        <v>0</v>
      </c>
      <c r="Q167" t="n">
        <v>0</v>
      </c>
      <c r="R167" s="2" t="inlineStr"/>
    </row>
    <row r="168" ht="15" customHeight="1">
      <c r="A168" t="inlineStr">
        <is>
          <t>A 58606-2024</t>
        </is>
      </c>
      <c r="B168" s="1" t="n">
        <v>45635.54747685185</v>
      </c>
      <c r="C168" s="1" t="n">
        <v>45940</v>
      </c>
      <c r="D168" t="inlineStr">
        <is>
          <t>ÖREBRO LÄN</t>
        </is>
      </c>
      <c r="E168" t="inlineStr">
        <is>
          <t>ÖREBRO</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17465-2023</t>
        </is>
      </c>
      <c r="B169" s="1" t="n">
        <v>45036</v>
      </c>
      <c r="C169" s="1" t="n">
        <v>45940</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123-2025</t>
        </is>
      </c>
      <c r="B170" s="1" t="n">
        <v>45659.54851851852</v>
      </c>
      <c r="C170" s="1" t="n">
        <v>45940</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60289-2023</t>
        </is>
      </c>
      <c r="B171" s="1" t="n">
        <v>45257</v>
      </c>
      <c r="C171" s="1" t="n">
        <v>45940</v>
      </c>
      <c r="D171" t="inlineStr">
        <is>
          <t>ÖREBRO LÄN</t>
        </is>
      </c>
      <c r="E171" t="inlineStr">
        <is>
          <t>ÖREBRO</t>
        </is>
      </c>
      <c r="G171" t="n">
        <v>10.9</v>
      </c>
      <c r="H171" t="n">
        <v>0</v>
      </c>
      <c r="I171" t="n">
        <v>0</v>
      </c>
      <c r="J171" t="n">
        <v>0</v>
      </c>
      <c r="K171" t="n">
        <v>0</v>
      </c>
      <c r="L171" t="n">
        <v>0</v>
      </c>
      <c r="M171" t="n">
        <v>0</v>
      </c>
      <c r="N171" t="n">
        <v>0</v>
      </c>
      <c r="O171" t="n">
        <v>0</v>
      </c>
      <c r="P171" t="n">
        <v>0</v>
      </c>
      <c r="Q171" t="n">
        <v>0</v>
      </c>
      <c r="R171" s="2" t="inlineStr"/>
    </row>
    <row r="172" ht="15" customHeight="1">
      <c r="A172" t="inlineStr">
        <is>
          <t>A 12017-2024</t>
        </is>
      </c>
      <c r="B172" s="1" t="n">
        <v>45377</v>
      </c>
      <c r="C172" s="1" t="n">
        <v>45940</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54678-2023</t>
        </is>
      </c>
      <c r="B173" s="1" t="n">
        <v>45235</v>
      </c>
      <c r="C173" s="1" t="n">
        <v>45940</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40312-2021</t>
        </is>
      </c>
      <c r="B174" s="1" t="n">
        <v>44419</v>
      </c>
      <c r="C174" s="1" t="n">
        <v>45940</v>
      </c>
      <c r="D174" t="inlineStr">
        <is>
          <t>ÖREBRO LÄN</t>
        </is>
      </c>
      <c r="E174" t="inlineStr">
        <is>
          <t>ÖREBRO</t>
        </is>
      </c>
      <c r="F174" t="inlineStr">
        <is>
          <t>Övriga Aktiebolag</t>
        </is>
      </c>
      <c r="G174" t="n">
        <v>2.6</v>
      </c>
      <c r="H174" t="n">
        <v>0</v>
      </c>
      <c r="I174" t="n">
        <v>0</v>
      </c>
      <c r="J174" t="n">
        <v>0</v>
      </c>
      <c r="K174" t="n">
        <v>0</v>
      </c>
      <c r="L174" t="n">
        <v>0</v>
      </c>
      <c r="M174" t="n">
        <v>0</v>
      </c>
      <c r="N174" t="n">
        <v>0</v>
      </c>
      <c r="O174" t="n">
        <v>0</v>
      </c>
      <c r="P174" t="n">
        <v>0</v>
      </c>
      <c r="Q174" t="n">
        <v>0</v>
      </c>
      <c r="R174" s="2" t="inlineStr"/>
    </row>
    <row r="175" ht="15" customHeight="1">
      <c r="A175" t="inlineStr">
        <is>
          <t>A 36635-2023</t>
        </is>
      </c>
      <c r="B175" s="1" t="n">
        <v>45153</v>
      </c>
      <c r="C175" s="1" t="n">
        <v>45940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37012-2024</t>
        </is>
      </c>
      <c r="B176" s="1" t="n">
        <v>45539</v>
      </c>
      <c r="C176" s="1" t="n">
        <v>45940</v>
      </c>
      <c r="D176" t="inlineStr">
        <is>
          <t>ÖREBRO LÄN</t>
        </is>
      </c>
      <c r="E176" t="inlineStr">
        <is>
          <t>ÖREBRO</t>
        </is>
      </c>
      <c r="G176" t="n">
        <v>4.1</v>
      </c>
      <c r="H176" t="n">
        <v>0</v>
      </c>
      <c r="I176" t="n">
        <v>0</v>
      </c>
      <c r="J176" t="n">
        <v>0</v>
      </c>
      <c r="K176" t="n">
        <v>0</v>
      </c>
      <c r="L176" t="n">
        <v>0</v>
      </c>
      <c r="M176" t="n">
        <v>0</v>
      </c>
      <c r="N176" t="n">
        <v>0</v>
      </c>
      <c r="O176" t="n">
        <v>0</v>
      </c>
      <c r="P176" t="n">
        <v>0</v>
      </c>
      <c r="Q176" t="n">
        <v>0</v>
      </c>
      <c r="R176" s="2" t="inlineStr"/>
    </row>
    <row r="177" ht="15" customHeight="1">
      <c r="A177" t="inlineStr">
        <is>
          <t>A 37020-2024</t>
        </is>
      </c>
      <c r="B177" s="1" t="n">
        <v>45539.38059027777</v>
      </c>
      <c r="C177" s="1" t="n">
        <v>45940</v>
      </c>
      <c r="D177" t="inlineStr">
        <is>
          <t>ÖREBRO LÄN</t>
        </is>
      </c>
      <c r="E177" t="inlineStr">
        <is>
          <t>ÖREBRO</t>
        </is>
      </c>
      <c r="F177" t="inlineStr">
        <is>
          <t>Sveaskog</t>
        </is>
      </c>
      <c r="G177" t="n">
        <v>3.1</v>
      </c>
      <c r="H177" t="n">
        <v>0</v>
      </c>
      <c r="I177" t="n">
        <v>0</v>
      </c>
      <c r="J177" t="n">
        <v>0</v>
      </c>
      <c r="K177" t="n">
        <v>0</v>
      </c>
      <c r="L177" t="n">
        <v>0</v>
      </c>
      <c r="M177" t="n">
        <v>0</v>
      </c>
      <c r="N177" t="n">
        <v>0</v>
      </c>
      <c r="O177" t="n">
        <v>0</v>
      </c>
      <c r="P177" t="n">
        <v>0</v>
      </c>
      <c r="Q177" t="n">
        <v>0</v>
      </c>
      <c r="R177" s="2" t="inlineStr"/>
    </row>
    <row r="178" ht="15" customHeight="1">
      <c r="A178" t="inlineStr">
        <is>
          <t>A 190-2024</t>
        </is>
      </c>
      <c r="B178" s="1" t="n">
        <v>45294.61858796296</v>
      </c>
      <c r="C178" s="1" t="n">
        <v>45940</v>
      </c>
      <c r="D178" t="inlineStr">
        <is>
          <t>ÖREBRO LÄN</t>
        </is>
      </c>
      <c r="E178" t="inlineStr">
        <is>
          <t>ÖREBRO</t>
        </is>
      </c>
      <c r="G178" t="n">
        <v>2.4</v>
      </c>
      <c r="H178" t="n">
        <v>0</v>
      </c>
      <c r="I178" t="n">
        <v>0</v>
      </c>
      <c r="J178" t="n">
        <v>0</v>
      </c>
      <c r="K178" t="n">
        <v>0</v>
      </c>
      <c r="L178" t="n">
        <v>0</v>
      </c>
      <c r="M178" t="n">
        <v>0</v>
      </c>
      <c r="N178" t="n">
        <v>0</v>
      </c>
      <c r="O178" t="n">
        <v>0</v>
      </c>
      <c r="P178" t="n">
        <v>0</v>
      </c>
      <c r="Q178" t="n">
        <v>0</v>
      </c>
      <c r="R178" s="2" t="inlineStr"/>
    </row>
    <row r="179" ht="15" customHeight="1">
      <c r="A179" t="inlineStr">
        <is>
          <t>A 681-2024</t>
        </is>
      </c>
      <c r="B179" s="1" t="n">
        <v>45300</v>
      </c>
      <c r="C179" s="1" t="n">
        <v>45940</v>
      </c>
      <c r="D179" t="inlineStr">
        <is>
          <t>ÖREBRO LÄN</t>
        </is>
      </c>
      <c r="E179" t="inlineStr">
        <is>
          <t>ÖREBRO</t>
        </is>
      </c>
      <c r="G179" t="n">
        <v>3.3</v>
      </c>
      <c r="H179" t="n">
        <v>0</v>
      </c>
      <c r="I179" t="n">
        <v>0</v>
      </c>
      <c r="J179" t="n">
        <v>0</v>
      </c>
      <c r="K179" t="n">
        <v>0</v>
      </c>
      <c r="L179" t="n">
        <v>0</v>
      </c>
      <c r="M179" t="n">
        <v>0</v>
      </c>
      <c r="N179" t="n">
        <v>0</v>
      </c>
      <c r="O179" t="n">
        <v>0</v>
      </c>
      <c r="P179" t="n">
        <v>0</v>
      </c>
      <c r="Q179" t="n">
        <v>0</v>
      </c>
      <c r="R179" s="2" t="inlineStr"/>
    </row>
    <row r="180" ht="15" customHeight="1">
      <c r="A180" t="inlineStr">
        <is>
          <t>A 12478-2022</t>
        </is>
      </c>
      <c r="B180" s="1" t="n">
        <v>44638</v>
      </c>
      <c r="C180" s="1" t="n">
        <v>45940</v>
      </c>
      <c r="D180" t="inlineStr">
        <is>
          <t>ÖREBRO LÄN</t>
        </is>
      </c>
      <c r="E180" t="inlineStr">
        <is>
          <t>ÖREBRO</t>
        </is>
      </c>
      <c r="F180" t="inlineStr">
        <is>
          <t>Kyrkan</t>
        </is>
      </c>
      <c r="G180" t="n">
        <v>1.4</v>
      </c>
      <c r="H180" t="n">
        <v>0</v>
      </c>
      <c r="I180" t="n">
        <v>0</v>
      </c>
      <c r="J180" t="n">
        <v>0</v>
      </c>
      <c r="K180" t="n">
        <v>0</v>
      </c>
      <c r="L180" t="n">
        <v>0</v>
      </c>
      <c r="M180" t="n">
        <v>0</v>
      </c>
      <c r="N180" t="n">
        <v>0</v>
      </c>
      <c r="O180" t="n">
        <v>0</v>
      </c>
      <c r="P180" t="n">
        <v>0</v>
      </c>
      <c r="Q180" t="n">
        <v>0</v>
      </c>
      <c r="R180" s="2" t="inlineStr"/>
    </row>
    <row r="181" ht="15" customHeight="1">
      <c r="A181" t="inlineStr">
        <is>
          <t>A 44511-2023</t>
        </is>
      </c>
      <c r="B181" s="1" t="n">
        <v>45189</v>
      </c>
      <c r="C181" s="1" t="n">
        <v>45940</v>
      </c>
      <c r="D181" t="inlineStr">
        <is>
          <t>ÖREBRO LÄN</t>
        </is>
      </c>
      <c r="E181" t="inlineStr">
        <is>
          <t>ÖREBRO</t>
        </is>
      </c>
      <c r="F181" t="inlineStr">
        <is>
          <t>Allmännings- och besparingsskogar</t>
        </is>
      </c>
      <c r="G181" t="n">
        <v>2.7</v>
      </c>
      <c r="H181" t="n">
        <v>0</v>
      </c>
      <c r="I181" t="n">
        <v>0</v>
      </c>
      <c r="J181" t="n">
        <v>0</v>
      </c>
      <c r="K181" t="n">
        <v>0</v>
      </c>
      <c r="L181" t="n">
        <v>0</v>
      </c>
      <c r="M181" t="n">
        <v>0</v>
      </c>
      <c r="N181" t="n">
        <v>0</v>
      </c>
      <c r="O181" t="n">
        <v>0</v>
      </c>
      <c r="P181" t="n">
        <v>0</v>
      </c>
      <c r="Q181" t="n">
        <v>0</v>
      </c>
      <c r="R181" s="2" t="inlineStr"/>
    </row>
    <row r="182" ht="15" customHeight="1">
      <c r="A182" t="inlineStr">
        <is>
          <t>A 5401-2022</t>
        </is>
      </c>
      <c r="B182" s="1" t="n">
        <v>44595</v>
      </c>
      <c r="C182" s="1" t="n">
        <v>45940</v>
      </c>
      <c r="D182" t="inlineStr">
        <is>
          <t>ÖREBRO LÄN</t>
        </is>
      </c>
      <c r="E182" t="inlineStr">
        <is>
          <t>ÖREBRO</t>
        </is>
      </c>
      <c r="G182" t="n">
        <v>2.3</v>
      </c>
      <c r="H182" t="n">
        <v>0</v>
      </c>
      <c r="I182" t="n">
        <v>0</v>
      </c>
      <c r="J182" t="n">
        <v>0</v>
      </c>
      <c r="K182" t="n">
        <v>0</v>
      </c>
      <c r="L182" t="n">
        <v>0</v>
      </c>
      <c r="M182" t="n">
        <v>0</v>
      </c>
      <c r="N182" t="n">
        <v>0</v>
      </c>
      <c r="O182" t="n">
        <v>0</v>
      </c>
      <c r="P182" t="n">
        <v>0</v>
      </c>
      <c r="Q182" t="n">
        <v>0</v>
      </c>
      <c r="R182" s="2" t="inlineStr"/>
    </row>
    <row r="183" ht="15" customHeight="1">
      <c r="A183" t="inlineStr">
        <is>
          <t>A 60311-2020</t>
        </is>
      </c>
      <c r="B183" s="1" t="n">
        <v>44151</v>
      </c>
      <c r="C183" s="1" t="n">
        <v>45940</v>
      </c>
      <c r="D183" t="inlineStr">
        <is>
          <t>ÖREBRO LÄN</t>
        </is>
      </c>
      <c r="E183" t="inlineStr">
        <is>
          <t>ÖREBRO</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16958-2022</t>
        </is>
      </c>
      <c r="B184" s="1" t="n">
        <v>44676.50481481481</v>
      </c>
      <c r="C184" s="1" t="n">
        <v>45940</v>
      </c>
      <c r="D184" t="inlineStr">
        <is>
          <t>ÖREBRO LÄN</t>
        </is>
      </c>
      <c r="E184" t="inlineStr">
        <is>
          <t>ÖREBRO</t>
        </is>
      </c>
      <c r="G184" t="n">
        <v>3.1</v>
      </c>
      <c r="H184" t="n">
        <v>0</v>
      </c>
      <c r="I184" t="n">
        <v>0</v>
      </c>
      <c r="J184" t="n">
        <v>0</v>
      </c>
      <c r="K184" t="n">
        <v>0</v>
      </c>
      <c r="L184" t="n">
        <v>0</v>
      </c>
      <c r="M184" t="n">
        <v>0</v>
      </c>
      <c r="N184" t="n">
        <v>0</v>
      </c>
      <c r="O184" t="n">
        <v>0</v>
      </c>
      <c r="P184" t="n">
        <v>0</v>
      </c>
      <c r="Q184" t="n">
        <v>0</v>
      </c>
      <c r="R184" s="2" t="inlineStr"/>
    </row>
    <row r="185" ht="15" customHeight="1">
      <c r="A185" t="inlineStr">
        <is>
          <t>A 5338-2024</t>
        </is>
      </c>
      <c r="B185" s="1" t="n">
        <v>45331</v>
      </c>
      <c r="C185" s="1" t="n">
        <v>45940</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21097-2025</t>
        </is>
      </c>
      <c r="B186" s="1" t="n">
        <v>45777.63863425926</v>
      </c>
      <c r="C186" s="1" t="n">
        <v>45940</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23863-2023</t>
        </is>
      </c>
      <c r="B187" s="1" t="n">
        <v>45078.48994212963</v>
      </c>
      <c r="C187" s="1" t="n">
        <v>45940</v>
      </c>
      <c r="D187" t="inlineStr">
        <is>
          <t>ÖREBRO LÄN</t>
        </is>
      </c>
      <c r="E187" t="inlineStr">
        <is>
          <t>ÖREBRO</t>
        </is>
      </c>
      <c r="F187" t="inlineStr">
        <is>
          <t>Övriga Aktiebolag</t>
        </is>
      </c>
      <c r="G187" t="n">
        <v>5.9</v>
      </c>
      <c r="H187" t="n">
        <v>0</v>
      </c>
      <c r="I187" t="n">
        <v>0</v>
      </c>
      <c r="J187" t="n">
        <v>0</v>
      </c>
      <c r="K187" t="n">
        <v>0</v>
      </c>
      <c r="L187" t="n">
        <v>0</v>
      </c>
      <c r="M187" t="n">
        <v>0</v>
      </c>
      <c r="N187" t="n">
        <v>0</v>
      </c>
      <c r="O187" t="n">
        <v>0</v>
      </c>
      <c r="P187" t="n">
        <v>0</v>
      </c>
      <c r="Q187" t="n">
        <v>0</v>
      </c>
      <c r="R187" s="2" t="inlineStr"/>
    </row>
    <row r="188" ht="15" customHeight="1">
      <c r="A188" t="inlineStr">
        <is>
          <t>A 14053-2025</t>
        </is>
      </c>
      <c r="B188" s="1" t="n">
        <v>45739</v>
      </c>
      <c r="C188" s="1" t="n">
        <v>45940</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52447-2024</t>
        </is>
      </c>
      <c r="B189" s="1" t="n">
        <v>45609.49157407408</v>
      </c>
      <c r="C189" s="1" t="n">
        <v>45940</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4970-2022</t>
        </is>
      </c>
      <c r="B190" s="1" t="n">
        <v>44593.51175925926</v>
      </c>
      <c r="C190" s="1" t="n">
        <v>45940</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43803-2023</t>
        </is>
      </c>
      <c r="B191" s="1" t="n">
        <v>45187</v>
      </c>
      <c r="C191" s="1" t="n">
        <v>45940</v>
      </c>
      <c r="D191" t="inlineStr">
        <is>
          <t>ÖREBRO LÄN</t>
        </is>
      </c>
      <c r="E191" t="inlineStr">
        <is>
          <t>ÖREBRO</t>
        </is>
      </c>
      <c r="G191" t="n">
        <v>1.2</v>
      </c>
      <c r="H191" t="n">
        <v>0</v>
      </c>
      <c r="I191" t="n">
        <v>0</v>
      </c>
      <c r="J191" t="n">
        <v>0</v>
      </c>
      <c r="K191" t="n">
        <v>0</v>
      </c>
      <c r="L191" t="n">
        <v>0</v>
      </c>
      <c r="M191" t="n">
        <v>0</v>
      </c>
      <c r="N191" t="n">
        <v>0</v>
      </c>
      <c r="O191" t="n">
        <v>0</v>
      </c>
      <c r="P191" t="n">
        <v>0</v>
      </c>
      <c r="Q191" t="n">
        <v>0</v>
      </c>
      <c r="R191" s="2" t="inlineStr"/>
    </row>
    <row r="192" ht="15" customHeight="1">
      <c r="A192" t="inlineStr">
        <is>
          <t>A 10799-2024</t>
        </is>
      </c>
      <c r="B192" s="1" t="n">
        <v>45369</v>
      </c>
      <c r="C192" s="1" t="n">
        <v>45940</v>
      </c>
      <c r="D192" t="inlineStr">
        <is>
          <t>ÖREBRO LÄN</t>
        </is>
      </c>
      <c r="E192" t="inlineStr">
        <is>
          <t>ÖREBRO</t>
        </is>
      </c>
      <c r="G192" t="n">
        <v>5.8</v>
      </c>
      <c r="H192" t="n">
        <v>0</v>
      </c>
      <c r="I192" t="n">
        <v>0</v>
      </c>
      <c r="J192" t="n">
        <v>0</v>
      </c>
      <c r="K192" t="n">
        <v>0</v>
      </c>
      <c r="L192" t="n">
        <v>0</v>
      </c>
      <c r="M192" t="n">
        <v>0</v>
      </c>
      <c r="N192" t="n">
        <v>0</v>
      </c>
      <c r="O192" t="n">
        <v>0</v>
      </c>
      <c r="P192" t="n">
        <v>0</v>
      </c>
      <c r="Q192" t="n">
        <v>0</v>
      </c>
      <c r="R192" s="2" t="inlineStr"/>
    </row>
    <row r="193" ht="15" customHeight="1">
      <c r="A193" t="inlineStr">
        <is>
          <t>A 55943-2024</t>
        </is>
      </c>
      <c r="B193" s="1" t="n">
        <v>45623.61278935185</v>
      </c>
      <c r="C193" s="1" t="n">
        <v>45940</v>
      </c>
      <c r="D193" t="inlineStr">
        <is>
          <t>ÖREBRO LÄN</t>
        </is>
      </c>
      <c r="E193" t="inlineStr">
        <is>
          <t>ÖREBRO</t>
        </is>
      </c>
      <c r="G193" t="n">
        <v>4.8</v>
      </c>
      <c r="H193" t="n">
        <v>0</v>
      </c>
      <c r="I193" t="n">
        <v>0</v>
      </c>
      <c r="J193" t="n">
        <v>0</v>
      </c>
      <c r="K193" t="n">
        <v>0</v>
      </c>
      <c r="L193" t="n">
        <v>0</v>
      </c>
      <c r="M193" t="n">
        <v>0</v>
      </c>
      <c r="N193" t="n">
        <v>0</v>
      </c>
      <c r="O193" t="n">
        <v>0</v>
      </c>
      <c r="P193" t="n">
        <v>0</v>
      </c>
      <c r="Q193" t="n">
        <v>0</v>
      </c>
      <c r="R193" s="2" t="inlineStr"/>
    </row>
    <row r="194" ht="15" customHeight="1">
      <c r="A194" t="inlineStr">
        <is>
          <t>A 46757-2021</t>
        </is>
      </c>
      <c r="B194" s="1" t="n">
        <v>44445</v>
      </c>
      <c r="C194" s="1" t="n">
        <v>45940</v>
      </c>
      <c r="D194" t="inlineStr">
        <is>
          <t>ÖREBRO LÄN</t>
        </is>
      </c>
      <c r="E194" t="inlineStr">
        <is>
          <t>ÖREBRO</t>
        </is>
      </c>
      <c r="G194" t="n">
        <v>5.6</v>
      </c>
      <c r="H194" t="n">
        <v>0</v>
      </c>
      <c r="I194" t="n">
        <v>0</v>
      </c>
      <c r="J194" t="n">
        <v>0</v>
      </c>
      <c r="K194" t="n">
        <v>0</v>
      </c>
      <c r="L194" t="n">
        <v>0</v>
      </c>
      <c r="M194" t="n">
        <v>0</v>
      </c>
      <c r="N194" t="n">
        <v>0</v>
      </c>
      <c r="O194" t="n">
        <v>0</v>
      </c>
      <c r="P194" t="n">
        <v>0</v>
      </c>
      <c r="Q194" t="n">
        <v>0</v>
      </c>
      <c r="R194" s="2" t="inlineStr"/>
    </row>
    <row r="195" ht="15" customHeight="1">
      <c r="A195" t="inlineStr">
        <is>
          <t>A 9609-2023</t>
        </is>
      </c>
      <c r="B195" s="1" t="n">
        <v>44983.93344907407</v>
      </c>
      <c r="C195" s="1" t="n">
        <v>45940</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13657-2025</t>
        </is>
      </c>
      <c r="B196" s="1" t="n">
        <v>45736.7427662037</v>
      </c>
      <c r="C196" s="1" t="n">
        <v>45940</v>
      </c>
      <c r="D196" t="inlineStr">
        <is>
          <t>ÖREBRO LÄN</t>
        </is>
      </c>
      <c r="E196" t="inlineStr">
        <is>
          <t>ÖREBRO</t>
        </is>
      </c>
      <c r="G196" t="n">
        <v>3.8</v>
      </c>
      <c r="H196" t="n">
        <v>0</v>
      </c>
      <c r="I196" t="n">
        <v>0</v>
      </c>
      <c r="J196" t="n">
        <v>0</v>
      </c>
      <c r="K196" t="n">
        <v>0</v>
      </c>
      <c r="L196" t="n">
        <v>0</v>
      </c>
      <c r="M196" t="n">
        <v>0</v>
      </c>
      <c r="N196" t="n">
        <v>0</v>
      </c>
      <c r="O196" t="n">
        <v>0</v>
      </c>
      <c r="P196" t="n">
        <v>0</v>
      </c>
      <c r="Q196" t="n">
        <v>0</v>
      </c>
      <c r="R196" s="2" t="inlineStr"/>
    </row>
    <row r="197" ht="15" customHeight="1">
      <c r="A197" t="inlineStr">
        <is>
          <t>A 60028-2024</t>
        </is>
      </c>
      <c r="B197" s="1" t="n">
        <v>45642</v>
      </c>
      <c r="C197" s="1" t="n">
        <v>45940</v>
      </c>
      <c r="D197" t="inlineStr">
        <is>
          <t>ÖREBRO LÄN</t>
        </is>
      </c>
      <c r="E197" t="inlineStr">
        <is>
          <t>ÖREBRO</t>
        </is>
      </c>
      <c r="G197" t="n">
        <v>1.7</v>
      </c>
      <c r="H197" t="n">
        <v>0</v>
      </c>
      <c r="I197" t="n">
        <v>0</v>
      </c>
      <c r="J197" t="n">
        <v>0</v>
      </c>
      <c r="K197" t="n">
        <v>0</v>
      </c>
      <c r="L197" t="n">
        <v>0</v>
      </c>
      <c r="M197" t="n">
        <v>0</v>
      </c>
      <c r="N197" t="n">
        <v>0</v>
      </c>
      <c r="O197" t="n">
        <v>0</v>
      </c>
      <c r="P197" t="n">
        <v>0</v>
      </c>
      <c r="Q197" t="n">
        <v>0</v>
      </c>
      <c r="R197" s="2" t="inlineStr"/>
    </row>
    <row r="198" ht="15" customHeight="1">
      <c r="A198" t="inlineStr">
        <is>
          <t>A 9314-2023</t>
        </is>
      </c>
      <c r="B198" s="1" t="n">
        <v>44980.67747685185</v>
      </c>
      <c r="C198" s="1" t="n">
        <v>45940</v>
      </c>
      <c r="D198" t="inlineStr">
        <is>
          <t>ÖREBRO LÄN</t>
        </is>
      </c>
      <c r="E198" t="inlineStr">
        <is>
          <t>ÖREBRO</t>
        </is>
      </c>
      <c r="G198" t="n">
        <v>0.8</v>
      </c>
      <c r="H198" t="n">
        <v>0</v>
      </c>
      <c r="I198" t="n">
        <v>0</v>
      </c>
      <c r="J198" t="n">
        <v>0</v>
      </c>
      <c r="K198" t="n">
        <v>0</v>
      </c>
      <c r="L198" t="n">
        <v>0</v>
      </c>
      <c r="M198" t="n">
        <v>0</v>
      </c>
      <c r="N198" t="n">
        <v>0</v>
      </c>
      <c r="O198" t="n">
        <v>0</v>
      </c>
      <c r="P198" t="n">
        <v>0</v>
      </c>
      <c r="Q198" t="n">
        <v>0</v>
      </c>
      <c r="R198" s="2" t="inlineStr"/>
    </row>
    <row r="199" ht="15" customHeight="1">
      <c r="A199" t="inlineStr">
        <is>
          <t>A 35819-2024</t>
        </is>
      </c>
      <c r="B199" s="1" t="n">
        <v>45532</v>
      </c>
      <c r="C199" s="1" t="n">
        <v>45940</v>
      </c>
      <c r="D199" t="inlineStr">
        <is>
          <t>ÖREBRO LÄN</t>
        </is>
      </c>
      <c r="E199" t="inlineStr">
        <is>
          <t>ÖREBRO</t>
        </is>
      </c>
      <c r="G199" t="n">
        <v>6.4</v>
      </c>
      <c r="H199" t="n">
        <v>0</v>
      </c>
      <c r="I199" t="n">
        <v>0</v>
      </c>
      <c r="J199" t="n">
        <v>0</v>
      </c>
      <c r="K199" t="n">
        <v>0</v>
      </c>
      <c r="L199" t="n">
        <v>0</v>
      </c>
      <c r="M199" t="n">
        <v>0</v>
      </c>
      <c r="N199" t="n">
        <v>0</v>
      </c>
      <c r="O199" t="n">
        <v>0</v>
      </c>
      <c r="P199" t="n">
        <v>0</v>
      </c>
      <c r="Q199" t="n">
        <v>0</v>
      </c>
      <c r="R199" s="2" t="inlineStr"/>
    </row>
    <row r="200" ht="15" customHeight="1">
      <c r="A200" t="inlineStr">
        <is>
          <t>A 6794-2025</t>
        </is>
      </c>
      <c r="B200" s="1" t="n">
        <v>45700.66429398148</v>
      </c>
      <c r="C200" s="1" t="n">
        <v>45940</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6522-2023</t>
        </is>
      </c>
      <c r="B201" s="1" t="n">
        <v>44966</v>
      </c>
      <c r="C201" s="1" t="n">
        <v>45940</v>
      </c>
      <c r="D201" t="inlineStr">
        <is>
          <t>ÖREBRO LÄN</t>
        </is>
      </c>
      <c r="E201" t="inlineStr">
        <is>
          <t>ÖREBRO</t>
        </is>
      </c>
      <c r="G201" t="n">
        <v>4.4</v>
      </c>
      <c r="H201" t="n">
        <v>0</v>
      </c>
      <c r="I201" t="n">
        <v>0</v>
      </c>
      <c r="J201" t="n">
        <v>0</v>
      </c>
      <c r="K201" t="n">
        <v>0</v>
      </c>
      <c r="L201" t="n">
        <v>0</v>
      </c>
      <c r="M201" t="n">
        <v>0</v>
      </c>
      <c r="N201" t="n">
        <v>0</v>
      </c>
      <c r="O201" t="n">
        <v>0</v>
      </c>
      <c r="P201" t="n">
        <v>0</v>
      </c>
      <c r="Q201" t="n">
        <v>0</v>
      </c>
      <c r="R201" s="2" t="inlineStr"/>
    </row>
    <row r="202" ht="15" customHeight="1">
      <c r="A202" t="inlineStr">
        <is>
          <t>A 18449-2023</t>
        </is>
      </c>
      <c r="B202" s="1" t="n">
        <v>45042.5203125</v>
      </c>
      <c r="C202" s="1" t="n">
        <v>45940</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16736-2023</t>
        </is>
      </c>
      <c r="B203" s="1" t="n">
        <v>45030.72328703704</v>
      </c>
      <c r="C203" s="1" t="n">
        <v>45940</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2596-2022</t>
        </is>
      </c>
      <c r="B204" s="1" t="n">
        <v>44580</v>
      </c>
      <c r="C204" s="1" t="n">
        <v>45940</v>
      </c>
      <c r="D204" t="inlineStr">
        <is>
          <t>ÖREBRO LÄN</t>
        </is>
      </c>
      <c r="E204" t="inlineStr">
        <is>
          <t>ÖREBRO</t>
        </is>
      </c>
      <c r="G204" t="n">
        <v>4.3</v>
      </c>
      <c r="H204" t="n">
        <v>0</v>
      </c>
      <c r="I204" t="n">
        <v>0</v>
      </c>
      <c r="J204" t="n">
        <v>0</v>
      </c>
      <c r="K204" t="n">
        <v>0</v>
      </c>
      <c r="L204" t="n">
        <v>0</v>
      </c>
      <c r="M204" t="n">
        <v>0</v>
      </c>
      <c r="N204" t="n">
        <v>0</v>
      </c>
      <c r="O204" t="n">
        <v>0</v>
      </c>
      <c r="P204" t="n">
        <v>0</v>
      </c>
      <c r="Q204" t="n">
        <v>0</v>
      </c>
      <c r="R204" s="2" t="inlineStr"/>
    </row>
    <row r="205" ht="15" customHeight="1">
      <c r="A205" t="inlineStr">
        <is>
          <t>A 32076-2023</t>
        </is>
      </c>
      <c r="B205" s="1" t="n">
        <v>45119.58324074074</v>
      </c>
      <c r="C205" s="1" t="n">
        <v>45940</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50375-2024</t>
        </is>
      </c>
      <c r="B206" s="1" t="n">
        <v>45601.29311342593</v>
      </c>
      <c r="C206" s="1" t="n">
        <v>45940</v>
      </c>
      <c r="D206" t="inlineStr">
        <is>
          <t>ÖREBRO LÄN</t>
        </is>
      </c>
      <c r="E206" t="inlineStr">
        <is>
          <t>ÖREBRO</t>
        </is>
      </c>
      <c r="G206" t="n">
        <v>5</v>
      </c>
      <c r="H206" t="n">
        <v>0</v>
      </c>
      <c r="I206" t="n">
        <v>0</v>
      </c>
      <c r="J206" t="n">
        <v>0</v>
      </c>
      <c r="K206" t="n">
        <v>0</v>
      </c>
      <c r="L206" t="n">
        <v>0</v>
      </c>
      <c r="M206" t="n">
        <v>0</v>
      </c>
      <c r="N206" t="n">
        <v>0</v>
      </c>
      <c r="O206" t="n">
        <v>0</v>
      </c>
      <c r="P206" t="n">
        <v>0</v>
      </c>
      <c r="Q206" t="n">
        <v>0</v>
      </c>
      <c r="R206" s="2" t="inlineStr"/>
    </row>
    <row r="207" ht="15" customHeight="1">
      <c r="A207" t="inlineStr">
        <is>
          <t>A 5795-2024</t>
        </is>
      </c>
      <c r="B207" s="1" t="n">
        <v>45335.4531712963</v>
      </c>
      <c r="C207" s="1" t="n">
        <v>45940</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21338-2025</t>
        </is>
      </c>
      <c r="B208" s="1" t="n">
        <v>45780</v>
      </c>
      <c r="C208" s="1" t="n">
        <v>45940</v>
      </c>
      <c r="D208" t="inlineStr">
        <is>
          <t>ÖREBRO LÄN</t>
        </is>
      </c>
      <c r="E208" t="inlineStr">
        <is>
          <t>ÖREBRO</t>
        </is>
      </c>
      <c r="G208" t="n">
        <v>3.2</v>
      </c>
      <c r="H208" t="n">
        <v>0</v>
      </c>
      <c r="I208" t="n">
        <v>0</v>
      </c>
      <c r="J208" t="n">
        <v>0</v>
      </c>
      <c r="K208" t="n">
        <v>0</v>
      </c>
      <c r="L208" t="n">
        <v>0</v>
      </c>
      <c r="M208" t="n">
        <v>0</v>
      </c>
      <c r="N208" t="n">
        <v>0</v>
      </c>
      <c r="O208" t="n">
        <v>0</v>
      </c>
      <c r="P208" t="n">
        <v>0</v>
      </c>
      <c r="Q208" t="n">
        <v>0</v>
      </c>
      <c r="R208" s="2" t="inlineStr"/>
    </row>
    <row r="209" ht="15" customHeight="1">
      <c r="A209" t="inlineStr">
        <is>
          <t>A 13857-2022</t>
        </is>
      </c>
      <c r="B209" s="1" t="n">
        <v>44649</v>
      </c>
      <c r="C209" s="1" t="n">
        <v>45940</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55692-2023</t>
        </is>
      </c>
      <c r="B210" s="1" t="n">
        <v>45239</v>
      </c>
      <c r="C210" s="1" t="n">
        <v>45940</v>
      </c>
      <c r="D210" t="inlineStr">
        <is>
          <t>ÖREBRO LÄN</t>
        </is>
      </c>
      <c r="E210" t="inlineStr">
        <is>
          <t>ÖREBRO</t>
        </is>
      </c>
      <c r="F210" t="inlineStr">
        <is>
          <t>Övriga Aktiebolag</t>
        </is>
      </c>
      <c r="G210" t="n">
        <v>0.4</v>
      </c>
      <c r="H210" t="n">
        <v>0</v>
      </c>
      <c r="I210" t="n">
        <v>0</v>
      </c>
      <c r="J210" t="n">
        <v>0</v>
      </c>
      <c r="K210" t="n">
        <v>0</v>
      </c>
      <c r="L210" t="n">
        <v>0</v>
      </c>
      <c r="M210" t="n">
        <v>0</v>
      </c>
      <c r="N210" t="n">
        <v>0</v>
      </c>
      <c r="O210" t="n">
        <v>0</v>
      </c>
      <c r="P210" t="n">
        <v>0</v>
      </c>
      <c r="Q210" t="n">
        <v>0</v>
      </c>
      <c r="R210" s="2" t="inlineStr"/>
    </row>
    <row r="211" ht="15" customHeight="1">
      <c r="A211" t="inlineStr">
        <is>
          <t>A 22045-2024</t>
        </is>
      </c>
      <c r="B211" s="1" t="n">
        <v>45443.61171296296</v>
      </c>
      <c r="C211" s="1" t="n">
        <v>45940</v>
      </c>
      <c r="D211" t="inlineStr">
        <is>
          <t>ÖREBRO LÄN</t>
        </is>
      </c>
      <c r="E211" t="inlineStr">
        <is>
          <t>ÖREBRO</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3-2024</t>
        </is>
      </c>
      <c r="B212" s="1" t="n">
        <v>45292</v>
      </c>
      <c r="C212" s="1" t="n">
        <v>45940</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21306-2024</t>
        </is>
      </c>
      <c r="B213" s="1" t="n">
        <v>45440.67883101852</v>
      </c>
      <c r="C213" s="1" t="n">
        <v>45940</v>
      </c>
      <c r="D213" t="inlineStr">
        <is>
          <t>ÖREBRO LÄN</t>
        </is>
      </c>
      <c r="E213" t="inlineStr">
        <is>
          <t>ÖREBRO</t>
        </is>
      </c>
      <c r="F213" t="inlineStr">
        <is>
          <t>Övriga Aktiebolag</t>
        </is>
      </c>
      <c r="G213" t="n">
        <v>2</v>
      </c>
      <c r="H213" t="n">
        <v>0</v>
      </c>
      <c r="I213" t="n">
        <v>0</v>
      </c>
      <c r="J213" t="n">
        <v>0</v>
      </c>
      <c r="K213" t="n">
        <v>0</v>
      </c>
      <c r="L213" t="n">
        <v>0</v>
      </c>
      <c r="M213" t="n">
        <v>0</v>
      </c>
      <c r="N213" t="n">
        <v>0</v>
      </c>
      <c r="O213" t="n">
        <v>0</v>
      </c>
      <c r="P213" t="n">
        <v>0</v>
      </c>
      <c r="Q213" t="n">
        <v>0</v>
      </c>
      <c r="R213" s="2" t="inlineStr"/>
    </row>
    <row r="214" ht="15" customHeight="1">
      <c r="A214" t="inlineStr">
        <is>
          <t>A 1257-2022</t>
        </is>
      </c>
      <c r="B214" s="1" t="n">
        <v>44572</v>
      </c>
      <c r="C214" s="1" t="n">
        <v>45940</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64730-2023</t>
        </is>
      </c>
      <c r="B215" s="1" t="n">
        <v>45281</v>
      </c>
      <c r="C215" s="1" t="n">
        <v>45940</v>
      </c>
      <c r="D215" t="inlineStr">
        <is>
          <t>ÖREBRO LÄN</t>
        </is>
      </c>
      <c r="E215" t="inlineStr">
        <is>
          <t>ÖREBRO</t>
        </is>
      </c>
      <c r="G215" t="n">
        <v>1.3</v>
      </c>
      <c r="H215" t="n">
        <v>0</v>
      </c>
      <c r="I215" t="n">
        <v>0</v>
      </c>
      <c r="J215" t="n">
        <v>0</v>
      </c>
      <c r="K215" t="n">
        <v>0</v>
      </c>
      <c r="L215" t="n">
        <v>0</v>
      </c>
      <c r="M215" t="n">
        <v>0</v>
      </c>
      <c r="N215" t="n">
        <v>0</v>
      </c>
      <c r="O215" t="n">
        <v>0</v>
      </c>
      <c r="P215" t="n">
        <v>0</v>
      </c>
      <c r="Q215" t="n">
        <v>0</v>
      </c>
      <c r="R215" s="2" t="inlineStr"/>
    </row>
    <row r="216" ht="15" customHeight="1">
      <c r="A216" t="inlineStr">
        <is>
          <t>A 59736-2023</t>
        </is>
      </c>
      <c r="B216" s="1" t="n">
        <v>45257.374375</v>
      </c>
      <c r="C216" s="1" t="n">
        <v>45940</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6869-2025</t>
        </is>
      </c>
      <c r="B217" s="1" t="n">
        <v>45700</v>
      </c>
      <c r="C217" s="1" t="n">
        <v>45940</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2153-2023</t>
        </is>
      </c>
      <c r="B218" s="1" t="n">
        <v>44941</v>
      </c>
      <c r="C218" s="1" t="n">
        <v>45940</v>
      </c>
      <c r="D218" t="inlineStr">
        <is>
          <t>ÖREBRO LÄN</t>
        </is>
      </c>
      <c r="E218" t="inlineStr">
        <is>
          <t>ÖREBRO</t>
        </is>
      </c>
      <c r="G218" t="n">
        <v>6.3</v>
      </c>
      <c r="H218" t="n">
        <v>0</v>
      </c>
      <c r="I218" t="n">
        <v>0</v>
      </c>
      <c r="J218" t="n">
        <v>0</v>
      </c>
      <c r="K218" t="n">
        <v>0</v>
      </c>
      <c r="L218" t="n">
        <v>0</v>
      </c>
      <c r="M218" t="n">
        <v>0</v>
      </c>
      <c r="N218" t="n">
        <v>0</v>
      </c>
      <c r="O218" t="n">
        <v>0</v>
      </c>
      <c r="P218" t="n">
        <v>0</v>
      </c>
      <c r="Q218" t="n">
        <v>0</v>
      </c>
      <c r="R218" s="2" t="inlineStr"/>
    </row>
    <row r="219" ht="15" customHeight="1">
      <c r="A219" t="inlineStr">
        <is>
          <t>A 4416-2023</t>
        </is>
      </c>
      <c r="B219" s="1" t="n">
        <v>44956</v>
      </c>
      <c r="C219" s="1" t="n">
        <v>45940</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58644-2023</t>
        </is>
      </c>
      <c r="B220" s="1" t="n">
        <v>45251.58716435185</v>
      </c>
      <c r="C220" s="1" t="n">
        <v>45940</v>
      </c>
      <c r="D220" t="inlineStr">
        <is>
          <t>ÖREBRO LÄN</t>
        </is>
      </c>
      <c r="E220" t="inlineStr">
        <is>
          <t>ÖREBRO</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10829-2023</t>
        </is>
      </c>
      <c r="B221" s="1" t="n">
        <v>44990.88512731482</v>
      </c>
      <c r="C221" s="1" t="n">
        <v>45940</v>
      </c>
      <c r="D221" t="inlineStr">
        <is>
          <t>ÖREBRO LÄN</t>
        </is>
      </c>
      <c r="E221" t="inlineStr">
        <is>
          <t>ÖREBRO</t>
        </is>
      </c>
      <c r="G221" t="n">
        <v>4.4</v>
      </c>
      <c r="H221" t="n">
        <v>0</v>
      </c>
      <c r="I221" t="n">
        <v>0</v>
      </c>
      <c r="J221" t="n">
        <v>0</v>
      </c>
      <c r="K221" t="n">
        <v>0</v>
      </c>
      <c r="L221" t="n">
        <v>0</v>
      </c>
      <c r="M221" t="n">
        <v>0</v>
      </c>
      <c r="N221" t="n">
        <v>0</v>
      </c>
      <c r="O221" t="n">
        <v>0</v>
      </c>
      <c r="P221" t="n">
        <v>0</v>
      </c>
      <c r="Q221" t="n">
        <v>0</v>
      </c>
      <c r="R221" s="2" t="inlineStr"/>
    </row>
    <row r="222" ht="15" customHeight="1">
      <c r="A222" t="inlineStr">
        <is>
          <t>A 10831-2023</t>
        </is>
      </c>
      <c r="B222" s="1" t="n">
        <v>44990.90357638889</v>
      </c>
      <c r="C222" s="1" t="n">
        <v>45940</v>
      </c>
      <c r="D222" t="inlineStr">
        <is>
          <t>ÖREBRO LÄN</t>
        </is>
      </c>
      <c r="E222" t="inlineStr">
        <is>
          <t>ÖREBRO</t>
        </is>
      </c>
      <c r="G222" t="n">
        <v>1.9</v>
      </c>
      <c r="H222" t="n">
        <v>0</v>
      </c>
      <c r="I222" t="n">
        <v>0</v>
      </c>
      <c r="J222" t="n">
        <v>0</v>
      </c>
      <c r="K222" t="n">
        <v>0</v>
      </c>
      <c r="L222" t="n">
        <v>0</v>
      </c>
      <c r="M222" t="n">
        <v>0</v>
      </c>
      <c r="N222" t="n">
        <v>0</v>
      </c>
      <c r="O222" t="n">
        <v>0</v>
      </c>
      <c r="P222" t="n">
        <v>0</v>
      </c>
      <c r="Q222" t="n">
        <v>0</v>
      </c>
      <c r="R222" s="2" t="inlineStr"/>
    </row>
    <row r="223" ht="15" customHeight="1">
      <c r="A223" t="inlineStr">
        <is>
          <t>A 22719-2025</t>
        </is>
      </c>
      <c r="B223" s="1" t="n">
        <v>45789</v>
      </c>
      <c r="C223" s="1" t="n">
        <v>45940</v>
      </c>
      <c r="D223" t="inlineStr">
        <is>
          <t>ÖREBRO LÄN</t>
        </is>
      </c>
      <c r="E223" t="inlineStr">
        <is>
          <t>ÖREBRO</t>
        </is>
      </c>
      <c r="G223" t="n">
        <v>1.5</v>
      </c>
      <c r="H223" t="n">
        <v>0</v>
      </c>
      <c r="I223" t="n">
        <v>0</v>
      </c>
      <c r="J223" t="n">
        <v>0</v>
      </c>
      <c r="K223" t="n">
        <v>0</v>
      </c>
      <c r="L223" t="n">
        <v>0</v>
      </c>
      <c r="M223" t="n">
        <v>0</v>
      </c>
      <c r="N223" t="n">
        <v>0</v>
      </c>
      <c r="O223" t="n">
        <v>0</v>
      </c>
      <c r="P223" t="n">
        <v>0</v>
      </c>
      <c r="Q223" t="n">
        <v>0</v>
      </c>
      <c r="R223" s="2" t="inlineStr"/>
    </row>
    <row r="224" ht="15" customHeight="1">
      <c r="A224" t="inlineStr">
        <is>
          <t>A 15866-2022</t>
        </is>
      </c>
      <c r="B224" s="1" t="n">
        <v>44664</v>
      </c>
      <c r="C224" s="1" t="n">
        <v>45940</v>
      </c>
      <c r="D224" t="inlineStr">
        <is>
          <t>ÖREBRO LÄN</t>
        </is>
      </c>
      <c r="E224" t="inlineStr">
        <is>
          <t>ÖREBRO</t>
        </is>
      </c>
      <c r="G224" t="n">
        <v>4</v>
      </c>
      <c r="H224" t="n">
        <v>0</v>
      </c>
      <c r="I224" t="n">
        <v>0</v>
      </c>
      <c r="J224" t="n">
        <v>0</v>
      </c>
      <c r="K224" t="n">
        <v>0</v>
      </c>
      <c r="L224" t="n">
        <v>0</v>
      </c>
      <c r="M224" t="n">
        <v>0</v>
      </c>
      <c r="N224" t="n">
        <v>0</v>
      </c>
      <c r="O224" t="n">
        <v>0</v>
      </c>
      <c r="P224" t="n">
        <v>0</v>
      </c>
      <c r="Q224" t="n">
        <v>0</v>
      </c>
      <c r="R224" s="2" t="inlineStr"/>
    </row>
    <row r="225" ht="15" customHeight="1">
      <c r="A225" t="inlineStr">
        <is>
          <t>A 16961-2022</t>
        </is>
      </c>
      <c r="B225" s="1" t="n">
        <v>44676</v>
      </c>
      <c r="C225" s="1" t="n">
        <v>45940</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58539-2024</t>
        </is>
      </c>
      <c r="B226" s="1" t="n">
        <v>45635.45157407408</v>
      </c>
      <c r="C226" s="1" t="n">
        <v>45940</v>
      </c>
      <c r="D226" t="inlineStr">
        <is>
          <t>ÖREBRO LÄN</t>
        </is>
      </c>
      <c r="E226" t="inlineStr">
        <is>
          <t>ÖREBRO</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17983-2025</t>
        </is>
      </c>
      <c r="B227" s="1" t="n">
        <v>45761.38829861111</v>
      </c>
      <c r="C227" s="1" t="n">
        <v>45940</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58532-2024</t>
        </is>
      </c>
      <c r="B228" s="1" t="n">
        <v>45635.44899305556</v>
      </c>
      <c r="C228" s="1" t="n">
        <v>45940</v>
      </c>
      <c r="D228" t="inlineStr">
        <is>
          <t>ÖREBRO LÄN</t>
        </is>
      </c>
      <c r="E228" t="inlineStr">
        <is>
          <t>ÖREBRO</t>
        </is>
      </c>
      <c r="F228" t="inlineStr">
        <is>
          <t>Sveaskog</t>
        </is>
      </c>
      <c r="G228" t="n">
        <v>5.2</v>
      </c>
      <c r="H228" t="n">
        <v>0</v>
      </c>
      <c r="I228" t="n">
        <v>0</v>
      </c>
      <c r="J228" t="n">
        <v>0</v>
      </c>
      <c r="K228" t="n">
        <v>0</v>
      </c>
      <c r="L228" t="n">
        <v>0</v>
      </c>
      <c r="M228" t="n">
        <v>0</v>
      </c>
      <c r="N228" t="n">
        <v>0</v>
      </c>
      <c r="O228" t="n">
        <v>0</v>
      </c>
      <c r="P228" t="n">
        <v>0</v>
      </c>
      <c r="Q228" t="n">
        <v>0</v>
      </c>
      <c r="R228" s="2" t="inlineStr"/>
    </row>
    <row r="229" ht="15" customHeight="1">
      <c r="A229" t="inlineStr">
        <is>
          <t>A 764-2024</t>
        </is>
      </c>
      <c r="B229" s="1" t="n">
        <v>45300.51512731481</v>
      </c>
      <c r="C229" s="1" t="n">
        <v>45940</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22755-2025</t>
        </is>
      </c>
      <c r="B230" s="1" t="n">
        <v>45789.61872685186</v>
      </c>
      <c r="C230" s="1" t="n">
        <v>45940</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28054-2022</t>
        </is>
      </c>
      <c r="B231" s="1" t="n">
        <v>44746.41938657407</v>
      </c>
      <c r="C231" s="1" t="n">
        <v>45940</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34336-2024</t>
        </is>
      </c>
      <c r="B232" s="1" t="n">
        <v>45524.94774305556</v>
      </c>
      <c r="C232" s="1" t="n">
        <v>45940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187-2024</t>
        </is>
      </c>
      <c r="B233" s="1" t="n">
        <v>45294</v>
      </c>
      <c r="C233" s="1" t="n">
        <v>45940</v>
      </c>
      <c r="D233" t="inlineStr">
        <is>
          <t>ÖREBRO LÄN</t>
        </is>
      </c>
      <c r="E233" t="inlineStr">
        <is>
          <t>ÖREBRO</t>
        </is>
      </c>
      <c r="G233" t="n">
        <v>5.9</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45940</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15555-2025</t>
        </is>
      </c>
      <c r="B235" s="1" t="n">
        <v>45747.67768518518</v>
      </c>
      <c r="C235" s="1" t="n">
        <v>45940</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61279-2024</t>
        </is>
      </c>
      <c r="B236" s="1" t="n">
        <v>45645</v>
      </c>
      <c r="C236" s="1" t="n">
        <v>45940</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38790-2024</t>
        </is>
      </c>
      <c r="B237" s="1" t="n">
        <v>45547.48450231482</v>
      </c>
      <c r="C237" s="1" t="n">
        <v>45940</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71269-2021</t>
        </is>
      </c>
      <c r="B238" s="1" t="n">
        <v>44539</v>
      </c>
      <c r="C238" s="1" t="n">
        <v>45940</v>
      </c>
      <c r="D238" t="inlineStr">
        <is>
          <t>ÖREBRO LÄN</t>
        </is>
      </c>
      <c r="E238" t="inlineStr">
        <is>
          <t>ÖREBRO</t>
        </is>
      </c>
      <c r="G238" t="n">
        <v>1.4</v>
      </c>
      <c r="H238" t="n">
        <v>0</v>
      </c>
      <c r="I238" t="n">
        <v>0</v>
      </c>
      <c r="J238" t="n">
        <v>0</v>
      </c>
      <c r="K238" t="n">
        <v>0</v>
      </c>
      <c r="L238" t="n">
        <v>0</v>
      </c>
      <c r="M238" t="n">
        <v>0</v>
      </c>
      <c r="N238" t="n">
        <v>0</v>
      </c>
      <c r="O238" t="n">
        <v>0</v>
      </c>
      <c r="P238" t="n">
        <v>0</v>
      </c>
      <c r="Q238" t="n">
        <v>0</v>
      </c>
      <c r="R238" s="2" t="inlineStr"/>
    </row>
    <row r="239" ht="15" customHeight="1">
      <c r="A239" t="inlineStr">
        <is>
          <t>A 53143-2023</t>
        </is>
      </c>
      <c r="B239" s="1" t="n">
        <v>45229</v>
      </c>
      <c r="C239" s="1" t="n">
        <v>45940</v>
      </c>
      <c r="D239" t="inlineStr">
        <is>
          <t>ÖREBRO LÄN</t>
        </is>
      </c>
      <c r="E239" t="inlineStr">
        <is>
          <t>ÖREBRO</t>
        </is>
      </c>
      <c r="G239" t="n">
        <v>3.3</v>
      </c>
      <c r="H239" t="n">
        <v>0</v>
      </c>
      <c r="I239" t="n">
        <v>0</v>
      </c>
      <c r="J239" t="n">
        <v>0</v>
      </c>
      <c r="K239" t="n">
        <v>0</v>
      </c>
      <c r="L239" t="n">
        <v>0</v>
      </c>
      <c r="M239" t="n">
        <v>0</v>
      </c>
      <c r="N239" t="n">
        <v>0</v>
      </c>
      <c r="O239" t="n">
        <v>0</v>
      </c>
      <c r="P239" t="n">
        <v>0</v>
      </c>
      <c r="Q239" t="n">
        <v>0</v>
      </c>
      <c r="R239" s="2" t="inlineStr"/>
    </row>
    <row r="240" ht="15" customHeight="1">
      <c r="A240" t="inlineStr">
        <is>
          <t>A 25407-2021</t>
        </is>
      </c>
      <c r="B240" s="1" t="n">
        <v>44342</v>
      </c>
      <c r="C240" s="1" t="n">
        <v>45940</v>
      </c>
      <c r="D240" t="inlineStr">
        <is>
          <t>ÖREBRO LÄN</t>
        </is>
      </c>
      <c r="E240" t="inlineStr">
        <is>
          <t>ÖREBRO</t>
        </is>
      </c>
      <c r="F240" t="inlineStr">
        <is>
          <t>Kommuner</t>
        </is>
      </c>
      <c r="G240" t="n">
        <v>7.2</v>
      </c>
      <c r="H240" t="n">
        <v>0</v>
      </c>
      <c r="I240" t="n">
        <v>0</v>
      </c>
      <c r="J240" t="n">
        <v>0</v>
      </c>
      <c r="K240" t="n">
        <v>0</v>
      </c>
      <c r="L240" t="n">
        <v>0</v>
      </c>
      <c r="M240" t="n">
        <v>0</v>
      </c>
      <c r="N240" t="n">
        <v>0</v>
      </c>
      <c r="O240" t="n">
        <v>0</v>
      </c>
      <c r="P240" t="n">
        <v>0</v>
      </c>
      <c r="Q240" t="n">
        <v>0</v>
      </c>
      <c r="R240" s="2" t="inlineStr"/>
    </row>
    <row r="241" ht="15" customHeight="1">
      <c r="A241" t="inlineStr">
        <is>
          <t>A 23594-2023</t>
        </is>
      </c>
      <c r="B241" s="1" t="n">
        <v>45077</v>
      </c>
      <c r="C241" s="1" t="n">
        <v>45940</v>
      </c>
      <c r="D241" t="inlineStr">
        <is>
          <t>ÖREBRO LÄN</t>
        </is>
      </c>
      <c r="E241" t="inlineStr">
        <is>
          <t>ÖREBRO</t>
        </is>
      </c>
      <c r="G241" t="n">
        <v>9.9</v>
      </c>
      <c r="H241" t="n">
        <v>0</v>
      </c>
      <c r="I241" t="n">
        <v>0</v>
      </c>
      <c r="J241" t="n">
        <v>0</v>
      </c>
      <c r="K241" t="n">
        <v>0</v>
      </c>
      <c r="L241" t="n">
        <v>0</v>
      </c>
      <c r="M241" t="n">
        <v>0</v>
      </c>
      <c r="N241" t="n">
        <v>0</v>
      </c>
      <c r="O241" t="n">
        <v>0</v>
      </c>
      <c r="P241" t="n">
        <v>0</v>
      </c>
      <c r="Q241" t="n">
        <v>0</v>
      </c>
      <c r="R241" s="2" t="inlineStr"/>
    </row>
    <row r="242" ht="15" customHeight="1">
      <c r="A242" t="inlineStr">
        <is>
          <t>A 30316-2024</t>
        </is>
      </c>
      <c r="B242" s="1" t="n">
        <v>45490</v>
      </c>
      <c r="C242" s="1" t="n">
        <v>45940</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13762-2023</t>
        </is>
      </c>
      <c r="B243" s="1" t="n">
        <v>45007.43729166667</v>
      </c>
      <c r="C243" s="1" t="n">
        <v>45940</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60022-2024</t>
        </is>
      </c>
      <c r="B244" s="1" t="n">
        <v>45642</v>
      </c>
      <c r="C244" s="1" t="n">
        <v>45940</v>
      </c>
      <c r="D244" t="inlineStr">
        <is>
          <t>ÖREBRO LÄN</t>
        </is>
      </c>
      <c r="E244" t="inlineStr">
        <is>
          <t>ÖREBRO</t>
        </is>
      </c>
      <c r="G244" t="n">
        <v>1.7</v>
      </c>
      <c r="H244" t="n">
        <v>0</v>
      </c>
      <c r="I244" t="n">
        <v>0</v>
      </c>
      <c r="J244" t="n">
        <v>0</v>
      </c>
      <c r="K244" t="n">
        <v>0</v>
      </c>
      <c r="L244" t="n">
        <v>0</v>
      </c>
      <c r="M244" t="n">
        <v>0</v>
      </c>
      <c r="N244" t="n">
        <v>0</v>
      </c>
      <c r="O244" t="n">
        <v>0</v>
      </c>
      <c r="P244" t="n">
        <v>0</v>
      </c>
      <c r="Q244" t="n">
        <v>0</v>
      </c>
      <c r="R244" s="2" t="inlineStr"/>
    </row>
    <row r="245" ht="15" customHeight="1">
      <c r="A245" t="inlineStr">
        <is>
          <t>A 44199-2024</t>
        </is>
      </c>
      <c r="B245" s="1" t="n">
        <v>45573</v>
      </c>
      <c r="C245" s="1" t="n">
        <v>45940</v>
      </c>
      <c r="D245" t="inlineStr">
        <is>
          <t>ÖREBRO LÄN</t>
        </is>
      </c>
      <c r="E245" t="inlineStr">
        <is>
          <t>ÖREBRO</t>
        </is>
      </c>
      <c r="G245" t="n">
        <v>4.3</v>
      </c>
      <c r="H245" t="n">
        <v>0</v>
      </c>
      <c r="I245" t="n">
        <v>0</v>
      </c>
      <c r="J245" t="n">
        <v>0</v>
      </c>
      <c r="K245" t="n">
        <v>0</v>
      </c>
      <c r="L245" t="n">
        <v>0</v>
      </c>
      <c r="M245" t="n">
        <v>0</v>
      </c>
      <c r="N245" t="n">
        <v>0</v>
      </c>
      <c r="O245" t="n">
        <v>0</v>
      </c>
      <c r="P245" t="n">
        <v>0</v>
      </c>
      <c r="Q245" t="n">
        <v>0</v>
      </c>
      <c r="R245" s="2" t="inlineStr"/>
    </row>
    <row r="246" ht="15" customHeight="1">
      <c r="A246" t="inlineStr">
        <is>
          <t>A 4380-2025</t>
        </is>
      </c>
      <c r="B246" s="1" t="n">
        <v>45686.3959375</v>
      </c>
      <c r="C246" s="1" t="n">
        <v>45940</v>
      </c>
      <c r="D246" t="inlineStr">
        <is>
          <t>ÖREBRO LÄN</t>
        </is>
      </c>
      <c r="E246" t="inlineStr">
        <is>
          <t>ÖREBRO</t>
        </is>
      </c>
      <c r="G246" t="n">
        <v>3.2</v>
      </c>
      <c r="H246" t="n">
        <v>0</v>
      </c>
      <c r="I246" t="n">
        <v>0</v>
      </c>
      <c r="J246" t="n">
        <v>0</v>
      </c>
      <c r="K246" t="n">
        <v>0</v>
      </c>
      <c r="L246" t="n">
        <v>0</v>
      </c>
      <c r="M246" t="n">
        <v>0</v>
      </c>
      <c r="N246" t="n">
        <v>0</v>
      </c>
      <c r="O246" t="n">
        <v>0</v>
      </c>
      <c r="P246" t="n">
        <v>0</v>
      </c>
      <c r="Q246" t="n">
        <v>0</v>
      </c>
      <c r="R246" s="2" t="inlineStr"/>
    </row>
    <row r="247" ht="15" customHeight="1">
      <c r="A247" t="inlineStr">
        <is>
          <t>A 10470-2025</t>
        </is>
      </c>
      <c r="B247" s="1" t="n">
        <v>45720</v>
      </c>
      <c r="C247" s="1" t="n">
        <v>45940</v>
      </c>
      <c r="D247" t="inlineStr">
        <is>
          <t>ÖREBRO LÄN</t>
        </is>
      </c>
      <c r="E247" t="inlineStr">
        <is>
          <t>ÖREBRO</t>
        </is>
      </c>
      <c r="G247" t="n">
        <v>11.5</v>
      </c>
      <c r="H247" t="n">
        <v>0</v>
      </c>
      <c r="I247" t="n">
        <v>0</v>
      </c>
      <c r="J247" t="n">
        <v>0</v>
      </c>
      <c r="K247" t="n">
        <v>0</v>
      </c>
      <c r="L247" t="n">
        <v>0</v>
      </c>
      <c r="M247" t="n">
        <v>0</v>
      </c>
      <c r="N247" t="n">
        <v>0</v>
      </c>
      <c r="O247" t="n">
        <v>0</v>
      </c>
      <c r="P247" t="n">
        <v>0</v>
      </c>
      <c r="Q247" t="n">
        <v>0</v>
      </c>
      <c r="R247" s="2" t="inlineStr"/>
    </row>
    <row r="248" ht="15" customHeight="1">
      <c r="A248" t="inlineStr">
        <is>
          <t>A 52623-2024</t>
        </is>
      </c>
      <c r="B248" s="1" t="n">
        <v>45609</v>
      </c>
      <c r="C248" s="1" t="n">
        <v>45940</v>
      </c>
      <c r="D248" t="inlineStr">
        <is>
          <t>ÖREBRO LÄN</t>
        </is>
      </c>
      <c r="E248" t="inlineStr">
        <is>
          <t>ÖREBRO</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26443-2024</t>
        </is>
      </c>
      <c r="B249" s="1" t="n">
        <v>45469.49901620371</v>
      </c>
      <c r="C249" s="1" t="n">
        <v>45940</v>
      </c>
      <c r="D249" t="inlineStr">
        <is>
          <t>ÖREBRO LÄN</t>
        </is>
      </c>
      <c r="E249" t="inlineStr">
        <is>
          <t>ÖREBRO</t>
        </is>
      </c>
      <c r="G249" t="n">
        <v>5.7</v>
      </c>
      <c r="H249" t="n">
        <v>0</v>
      </c>
      <c r="I249" t="n">
        <v>0</v>
      </c>
      <c r="J249" t="n">
        <v>0</v>
      </c>
      <c r="K249" t="n">
        <v>0</v>
      </c>
      <c r="L249" t="n">
        <v>0</v>
      </c>
      <c r="M249" t="n">
        <v>0</v>
      </c>
      <c r="N249" t="n">
        <v>0</v>
      </c>
      <c r="O249" t="n">
        <v>0</v>
      </c>
      <c r="P249" t="n">
        <v>0</v>
      </c>
      <c r="Q249" t="n">
        <v>0</v>
      </c>
      <c r="R249" s="2" t="inlineStr"/>
    </row>
    <row r="250" ht="15" customHeight="1">
      <c r="A250" t="inlineStr">
        <is>
          <t>A 5136-2024</t>
        </is>
      </c>
      <c r="B250" s="1" t="n">
        <v>45330</v>
      </c>
      <c r="C250" s="1" t="n">
        <v>45940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52444-2024</t>
        </is>
      </c>
      <c r="B251" s="1" t="n">
        <v>45609.48894675926</v>
      </c>
      <c r="C251" s="1" t="n">
        <v>45940</v>
      </c>
      <c r="D251" t="inlineStr">
        <is>
          <t>ÖREBRO LÄN</t>
        </is>
      </c>
      <c r="E251" t="inlineStr">
        <is>
          <t>ÖREBRO</t>
        </is>
      </c>
      <c r="G251" t="n">
        <v>1.7</v>
      </c>
      <c r="H251" t="n">
        <v>0</v>
      </c>
      <c r="I251" t="n">
        <v>0</v>
      </c>
      <c r="J251" t="n">
        <v>0</v>
      </c>
      <c r="K251" t="n">
        <v>0</v>
      </c>
      <c r="L251" t="n">
        <v>0</v>
      </c>
      <c r="M251" t="n">
        <v>0</v>
      </c>
      <c r="N251" t="n">
        <v>0</v>
      </c>
      <c r="O251" t="n">
        <v>0</v>
      </c>
      <c r="P251" t="n">
        <v>0</v>
      </c>
      <c r="Q251" t="n">
        <v>0</v>
      </c>
      <c r="R251" s="2" t="inlineStr"/>
    </row>
    <row r="252" ht="15" customHeight="1">
      <c r="A252" t="inlineStr">
        <is>
          <t>A 35477-2024</t>
        </is>
      </c>
      <c r="B252" s="1" t="n">
        <v>45531</v>
      </c>
      <c r="C252" s="1" t="n">
        <v>45940</v>
      </c>
      <c r="D252" t="inlineStr">
        <is>
          <t>ÖREBRO LÄN</t>
        </is>
      </c>
      <c r="E252" t="inlineStr">
        <is>
          <t>ÖREBRO</t>
        </is>
      </c>
      <c r="G252" t="n">
        <v>2.4</v>
      </c>
      <c r="H252" t="n">
        <v>0</v>
      </c>
      <c r="I252" t="n">
        <v>0</v>
      </c>
      <c r="J252" t="n">
        <v>0</v>
      </c>
      <c r="K252" t="n">
        <v>0</v>
      </c>
      <c r="L252" t="n">
        <v>0</v>
      </c>
      <c r="M252" t="n">
        <v>0</v>
      </c>
      <c r="N252" t="n">
        <v>0</v>
      </c>
      <c r="O252" t="n">
        <v>0</v>
      </c>
      <c r="P252" t="n">
        <v>0</v>
      </c>
      <c r="Q252" t="n">
        <v>0</v>
      </c>
      <c r="R252" s="2" t="inlineStr"/>
    </row>
    <row r="253" ht="15" customHeight="1">
      <c r="A253" t="inlineStr">
        <is>
          <t>A 41995-2024</t>
        </is>
      </c>
      <c r="B253" s="1" t="n">
        <v>45561.6475462963</v>
      </c>
      <c r="C253" s="1" t="n">
        <v>45940</v>
      </c>
      <c r="D253" t="inlineStr">
        <is>
          <t>ÖREBRO LÄN</t>
        </is>
      </c>
      <c r="E253" t="inlineStr">
        <is>
          <t>ÖREBRO</t>
        </is>
      </c>
      <c r="G253" t="n">
        <v>1.3</v>
      </c>
      <c r="H253" t="n">
        <v>0</v>
      </c>
      <c r="I253" t="n">
        <v>0</v>
      </c>
      <c r="J253" t="n">
        <v>0</v>
      </c>
      <c r="K253" t="n">
        <v>0</v>
      </c>
      <c r="L253" t="n">
        <v>0</v>
      </c>
      <c r="M253" t="n">
        <v>0</v>
      </c>
      <c r="N253" t="n">
        <v>0</v>
      </c>
      <c r="O253" t="n">
        <v>0</v>
      </c>
      <c r="P253" t="n">
        <v>0</v>
      </c>
      <c r="Q253" t="n">
        <v>0</v>
      </c>
      <c r="R253" s="2" t="inlineStr"/>
    </row>
    <row r="254" ht="15" customHeight="1">
      <c r="A254" t="inlineStr">
        <is>
          <t>A 25996-2024</t>
        </is>
      </c>
      <c r="B254" s="1" t="n">
        <v>45467.89081018518</v>
      </c>
      <c r="C254" s="1" t="n">
        <v>45940</v>
      </c>
      <c r="D254" t="inlineStr">
        <is>
          <t>ÖREBRO LÄN</t>
        </is>
      </c>
      <c r="E254" t="inlineStr">
        <is>
          <t>ÖREBRO</t>
        </is>
      </c>
      <c r="G254" t="n">
        <v>4.7</v>
      </c>
      <c r="H254" t="n">
        <v>0</v>
      </c>
      <c r="I254" t="n">
        <v>0</v>
      </c>
      <c r="J254" t="n">
        <v>0</v>
      </c>
      <c r="K254" t="n">
        <v>0</v>
      </c>
      <c r="L254" t="n">
        <v>0</v>
      </c>
      <c r="M254" t="n">
        <v>0</v>
      </c>
      <c r="N254" t="n">
        <v>0</v>
      </c>
      <c r="O254" t="n">
        <v>0</v>
      </c>
      <c r="P254" t="n">
        <v>0</v>
      </c>
      <c r="Q254" t="n">
        <v>0</v>
      </c>
      <c r="R254" s="2" t="inlineStr"/>
    </row>
    <row r="255" ht="15" customHeight="1">
      <c r="A255" t="inlineStr">
        <is>
          <t>A 50026-2024</t>
        </is>
      </c>
      <c r="B255" s="1" t="n">
        <v>45599.60541666667</v>
      </c>
      <c r="C255" s="1" t="n">
        <v>45940</v>
      </c>
      <c r="D255" t="inlineStr">
        <is>
          <t>ÖREBRO LÄN</t>
        </is>
      </c>
      <c r="E255" t="inlineStr">
        <is>
          <t>ÖREBRO</t>
        </is>
      </c>
      <c r="G255" t="n">
        <v>2.2</v>
      </c>
      <c r="H255" t="n">
        <v>0</v>
      </c>
      <c r="I255" t="n">
        <v>0</v>
      </c>
      <c r="J255" t="n">
        <v>0</v>
      </c>
      <c r="K255" t="n">
        <v>0</v>
      </c>
      <c r="L255" t="n">
        <v>0</v>
      </c>
      <c r="M255" t="n">
        <v>0</v>
      </c>
      <c r="N255" t="n">
        <v>0</v>
      </c>
      <c r="O255" t="n">
        <v>0</v>
      </c>
      <c r="P255" t="n">
        <v>0</v>
      </c>
      <c r="Q255" t="n">
        <v>0</v>
      </c>
      <c r="R255" s="2" t="inlineStr"/>
    </row>
    <row r="256" ht="15" customHeight="1">
      <c r="A256" t="inlineStr">
        <is>
          <t>A 8571-2021</t>
        </is>
      </c>
      <c r="B256" s="1" t="n">
        <v>44245</v>
      </c>
      <c r="C256" s="1" t="n">
        <v>45940</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45027-2024</t>
        </is>
      </c>
      <c r="B257" s="1" t="n">
        <v>45575</v>
      </c>
      <c r="C257" s="1" t="n">
        <v>45940</v>
      </c>
      <c r="D257" t="inlineStr">
        <is>
          <t>ÖREBRO LÄN</t>
        </is>
      </c>
      <c r="E257" t="inlineStr">
        <is>
          <t>ÖREBRO</t>
        </is>
      </c>
      <c r="G257" t="n">
        <v>6.3</v>
      </c>
      <c r="H257" t="n">
        <v>0</v>
      </c>
      <c r="I257" t="n">
        <v>0</v>
      </c>
      <c r="J257" t="n">
        <v>0</v>
      </c>
      <c r="K257" t="n">
        <v>0</v>
      </c>
      <c r="L257" t="n">
        <v>0</v>
      </c>
      <c r="M257" t="n">
        <v>0</v>
      </c>
      <c r="N257" t="n">
        <v>0</v>
      </c>
      <c r="O257" t="n">
        <v>0</v>
      </c>
      <c r="P257" t="n">
        <v>0</v>
      </c>
      <c r="Q257" t="n">
        <v>0</v>
      </c>
      <c r="R257" s="2" t="inlineStr"/>
    </row>
    <row r="258" ht="15" customHeight="1">
      <c r="A258" t="inlineStr">
        <is>
          <t>A 16140-2023</t>
        </is>
      </c>
      <c r="B258" s="1" t="n">
        <v>45027.6433912037</v>
      </c>
      <c r="C258" s="1" t="n">
        <v>45940</v>
      </c>
      <c r="D258" t="inlineStr">
        <is>
          <t>ÖREBRO LÄN</t>
        </is>
      </c>
      <c r="E258" t="inlineStr">
        <is>
          <t>ÖREBRO</t>
        </is>
      </c>
      <c r="G258" t="n">
        <v>2</v>
      </c>
      <c r="H258" t="n">
        <v>0</v>
      </c>
      <c r="I258" t="n">
        <v>0</v>
      </c>
      <c r="J258" t="n">
        <v>0</v>
      </c>
      <c r="K258" t="n">
        <v>0</v>
      </c>
      <c r="L258" t="n">
        <v>0</v>
      </c>
      <c r="M258" t="n">
        <v>0</v>
      </c>
      <c r="N258" t="n">
        <v>0</v>
      </c>
      <c r="O258" t="n">
        <v>0</v>
      </c>
      <c r="P258" t="n">
        <v>0</v>
      </c>
      <c r="Q258" t="n">
        <v>0</v>
      </c>
      <c r="R258" s="2" t="inlineStr"/>
    </row>
    <row r="259" ht="15" customHeight="1">
      <c r="A259" t="inlineStr">
        <is>
          <t>A 62794-2021</t>
        </is>
      </c>
      <c r="B259" s="1" t="n">
        <v>44504</v>
      </c>
      <c r="C259" s="1" t="n">
        <v>45940</v>
      </c>
      <c r="D259" t="inlineStr">
        <is>
          <t>ÖREBRO LÄN</t>
        </is>
      </c>
      <c r="E259" t="inlineStr">
        <is>
          <t>ÖREBRO</t>
        </is>
      </c>
      <c r="G259" t="n">
        <v>3.3</v>
      </c>
      <c r="H259" t="n">
        <v>0</v>
      </c>
      <c r="I259" t="n">
        <v>0</v>
      </c>
      <c r="J259" t="n">
        <v>0</v>
      </c>
      <c r="K259" t="n">
        <v>0</v>
      </c>
      <c r="L259" t="n">
        <v>0</v>
      </c>
      <c r="M259" t="n">
        <v>0</v>
      </c>
      <c r="N259" t="n">
        <v>0</v>
      </c>
      <c r="O259" t="n">
        <v>0</v>
      </c>
      <c r="P259" t="n">
        <v>0</v>
      </c>
      <c r="Q259" t="n">
        <v>0</v>
      </c>
      <c r="R259" s="2" t="inlineStr"/>
    </row>
    <row r="260" ht="15" customHeight="1">
      <c r="A260" t="inlineStr">
        <is>
          <t>A 19180-2025</t>
        </is>
      </c>
      <c r="B260" s="1" t="n">
        <v>45769.40133101852</v>
      </c>
      <c r="C260" s="1" t="n">
        <v>45940</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7611-2024</t>
        </is>
      </c>
      <c r="B261" s="1" t="n">
        <v>45348.58864583333</v>
      </c>
      <c r="C261" s="1" t="n">
        <v>45940</v>
      </c>
      <c r="D261" t="inlineStr">
        <is>
          <t>ÖREBRO LÄN</t>
        </is>
      </c>
      <c r="E261" t="inlineStr">
        <is>
          <t>ÖREBRO</t>
        </is>
      </c>
      <c r="G261" t="n">
        <v>4.2</v>
      </c>
      <c r="H261" t="n">
        <v>0</v>
      </c>
      <c r="I261" t="n">
        <v>0</v>
      </c>
      <c r="J261" t="n">
        <v>0</v>
      </c>
      <c r="K261" t="n">
        <v>0</v>
      </c>
      <c r="L261" t="n">
        <v>0</v>
      </c>
      <c r="M261" t="n">
        <v>0</v>
      </c>
      <c r="N261" t="n">
        <v>0</v>
      </c>
      <c r="O261" t="n">
        <v>0</v>
      </c>
      <c r="P261" t="n">
        <v>0</v>
      </c>
      <c r="Q261" t="n">
        <v>0</v>
      </c>
      <c r="R261" s="2" t="inlineStr"/>
    </row>
    <row r="262" ht="15" customHeight="1">
      <c r="A262" t="inlineStr">
        <is>
          <t>A 5406-2025</t>
        </is>
      </c>
      <c r="B262" s="1" t="n">
        <v>45692.64821759259</v>
      </c>
      <c r="C262" s="1" t="n">
        <v>45940</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58684-2023</t>
        </is>
      </c>
      <c r="B263" s="1" t="n">
        <v>45251</v>
      </c>
      <c r="C263" s="1" t="n">
        <v>45940</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37771-2024</t>
        </is>
      </c>
      <c r="B264" s="1" t="n">
        <v>45542.31359953704</v>
      </c>
      <c r="C264" s="1" t="n">
        <v>45940</v>
      </c>
      <c r="D264" t="inlineStr">
        <is>
          <t>ÖREBRO LÄN</t>
        </is>
      </c>
      <c r="E264" t="inlineStr">
        <is>
          <t>ÖREBRO</t>
        </is>
      </c>
      <c r="G264" t="n">
        <v>1.8</v>
      </c>
      <c r="H264" t="n">
        <v>0</v>
      </c>
      <c r="I264" t="n">
        <v>0</v>
      </c>
      <c r="J264" t="n">
        <v>0</v>
      </c>
      <c r="K264" t="n">
        <v>0</v>
      </c>
      <c r="L264" t="n">
        <v>0</v>
      </c>
      <c r="M264" t="n">
        <v>0</v>
      </c>
      <c r="N264" t="n">
        <v>0</v>
      </c>
      <c r="O264" t="n">
        <v>0</v>
      </c>
      <c r="P264" t="n">
        <v>0</v>
      </c>
      <c r="Q264" t="n">
        <v>0</v>
      </c>
      <c r="R264" s="2" t="inlineStr"/>
    </row>
    <row r="265" ht="15" customHeight="1">
      <c r="A265" t="inlineStr">
        <is>
          <t>A 52018-2024</t>
        </is>
      </c>
      <c r="B265" s="1" t="n">
        <v>45607.82974537037</v>
      </c>
      <c r="C265" s="1" t="n">
        <v>45940</v>
      </c>
      <c r="D265" t="inlineStr">
        <is>
          <t>ÖREBRO LÄN</t>
        </is>
      </c>
      <c r="E265" t="inlineStr">
        <is>
          <t>ÖREBRO</t>
        </is>
      </c>
      <c r="G265" t="n">
        <v>4.3</v>
      </c>
      <c r="H265" t="n">
        <v>0</v>
      </c>
      <c r="I265" t="n">
        <v>0</v>
      </c>
      <c r="J265" t="n">
        <v>0</v>
      </c>
      <c r="K265" t="n">
        <v>0</v>
      </c>
      <c r="L265" t="n">
        <v>0</v>
      </c>
      <c r="M265" t="n">
        <v>0</v>
      </c>
      <c r="N265" t="n">
        <v>0</v>
      </c>
      <c r="O265" t="n">
        <v>0</v>
      </c>
      <c r="P265" t="n">
        <v>0</v>
      </c>
      <c r="Q265" t="n">
        <v>0</v>
      </c>
      <c r="R265" s="2" t="inlineStr"/>
    </row>
    <row r="266" ht="15" customHeight="1">
      <c r="A266" t="inlineStr">
        <is>
          <t>A 15789-2023</t>
        </is>
      </c>
      <c r="B266" s="1" t="n">
        <v>45021.71539351852</v>
      </c>
      <c r="C266" s="1" t="n">
        <v>45940</v>
      </c>
      <c r="D266" t="inlineStr">
        <is>
          <t>ÖREBRO LÄN</t>
        </is>
      </c>
      <c r="E266" t="inlineStr">
        <is>
          <t>ÖREBRO</t>
        </is>
      </c>
      <c r="F266" t="inlineStr">
        <is>
          <t>Övriga Aktiebolag</t>
        </is>
      </c>
      <c r="G266" t="n">
        <v>3.7</v>
      </c>
      <c r="H266" t="n">
        <v>0</v>
      </c>
      <c r="I266" t="n">
        <v>0</v>
      </c>
      <c r="J266" t="n">
        <v>0</v>
      </c>
      <c r="K266" t="n">
        <v>0</v>
      </c>
      <c r="L266" t="n">
        <v>0</v>
      </c>
      <c r="M266" t="n">
        <v>0</v>
      </c>
      <c r="N266" t="n">
        <v>0</v>
      </c>
      <c r="O266" t="n">
        <v>0</v>
      </c>
      <c r="P266" t="n">
        <v>0</v>
      </c>
      <c r="Q266" t="n">
        <v>0</v>
      </c>
      <c r="R266" s="2" t="inlineStr"/>
    </row>
    <row r="267" ht="15" customHeight="1">
      <c r="A267" t="inlineStr">
        <is>
          <t>A 34358-2022</t>
        </is>
      </c>
      <c r="B267" s="1" t="n">
        <v>44792.45494212963</v>
      </c>
      <c r="C267" s="1" t="n">
        <v>45940</v>
      </c>
      <c r="D267" t="inlineStr">
        <is>
          <t>ÖREBRO LÄN</t>
        </is>
      </c>
      <c r="E267" t="inlineStr">
        <is>
          <t>ÖREBRO</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52391-2024</t>
        </is>
      </c>
      <c r="B268" s="1" t="n">
        <v>45609.43180555556</v>
      </c>
      <c r="C268" s="1" t="n">
        <v>45940</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52401-2024</t>
        </is>
      </c>
      <c r="B269" s="1" t="n">
        <v>45609.44553240741</v>
      </c>
      <c r="C269" s="1" t="n">
        <v>45940</v>
      </c>
      <c r="D269" t="inlineStr">
        <is>
          <t>ÖREBRO LÄN</t>
        </is>
      </c>
      <c r="E269" t="inlineStr">
        <is>
          <t>ÖREBRO</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52612-2024</t>
        </is>
      </c>
      <c r="B270" s="1" t="n">
        <v>45609</v>
      </c>
      <c r="C270" s="1" t="n">
        <v>45940</v>
      </c>
      <c r="D270" t="inlineStr">
        <is>
          <t>ÖREBRO LÄN</t>
        </is>
      </c>
      <c r="E270" t="inlineStr">
        <is>
          <t>ÖREBRO</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37786-2024</t>
        </is>
      </c>
      <c r="B271" s="1" t="n">
        <v>45542.82987268519</v>
      </c>
      <c r="C271" s="1" t="n">
        <v>45940</v>
      </c>
      <c r="D271" t="inlineStr">
        <is>
          <t>ÖREBRO LÄN</t>
        </is>
      </c>
      <c r="E271" t="inlineStr">
        <is>
          <t>ÖREBRO</t>
        </is>
      </c>
      <c r="G271" t="n">
        <v>3.1</v>
      </c>
      <c r="H271" t="n">
        <v>0</v>
      </c>
      <c r="I271" t="n">
        <v>0</v>
      </c>
      <c r="J271" t="n">
        <v>0</v>
      </c>
      <c r="K271" t="n">
        <v>0</v>
      </c>
      <c r="L271" t="n">
        <v>0</v>
      </c>
      <c r="M271" t="n">
        <v>0</v>
      </c>
      <c r="N271" t="n">
        <v>0</v>
      </c>
      <c r="O271" t="n">
        <v>0</v>
      </c>
      <c r="P271" t="n">
        <v>0</v>
      </c>
      <c r="Q271" t="n">
        <v>0</v>
      </c>
      <c r="R271" s="2" t="inlineStr"/>
    </row>
    <row r="272" ht="15" customHeight="1">
      <c r="A272" t="inlineStr">
        <is>
          <t>A 71288-2021</t>
        </is>
      </c>
      <c r="B272" s="1" t="n">
        <v>44539.62481481482</v>
      </c>
      <c r="C272" s="1" t="n">
        <v>45940</v>
      </c>
      <c r="D272" t="inlineStr">
        <is>
          <t>ÖREBRO LÄN</t>
        </is>
      </c>
      <c r="E272" t="inlineStr">
        <is>
          <t>ÖREBRO</t>
        </is>
      </c>
      <c r="G272" t="n">
        <v>3.9</v>
      </c>
      <c r="H272" t="n">
        <v>0</v>
      </c>
      <c r="I272" t="n">
        <v>0</v>
      </c>
      <c r="J272" t="n">
        <v>0</v>
      </c>
      <c r="K272" t="n">
        <v>0</v>
      </c>
      <c r="L272" t="n">
        <v>0</v>
      </c>
      <c r="M272" t="n">
        <v>0</v>
      </c>
      <c r="N272" t="n">
        <v>0</v>
      </c>
      <c r="O272" t="n">
        <v>0</v>
      </c>
      <c r="P272" t="n">
        <v>0</v>
      </c>
      <c r="Q272" t="n">
        <v>0</v>
      </c>
      <c r="R272" s="2" t="inlineStr"/>
    </row>
    <row r="273" ht="15" customHeight="1">
      <c r="A273" t="inlineStr">
        <is>
          <t>A 22348-2024</t>
        </is>
      </c>
      <c r="B273" s="1" t="n">
        <v>45446.61256944444</v>
      </c>
      <c r="C273" s="1" t="n">
        <v>45940</v>
      </c>
      <c r="D273" t="inlineStr">
        <is>
          <t>ÖREBRO LÄN</t>
        </is>
      </c>
      <c r="E273" t="inlineStr">
        <is>
          <t>ÖREBRO</t>
        </is>
      </c>
      <c r="G273" t="n">
        <v>0.7</v>
      </c>
      <c r="H273" t="n">
        <v>0</v>
      </c>
      <c r="I273" t="n">
        <v>0</v>
      </c>
      <c r="J273" t="n">
        <v>0</v>
      </c>
      <c r="K273" t="n">
        <v>0</v>
      </c>
      <c r="L273" t="n">
        <v>0</v>
      </c>
      <c r="M273" t="n">
        <v>0</v>
      </c>
      <c r="N273" t="n">
        <v>0</v>
      </c>
      <c r="O273" t="n">
        <v>0</v>
      </c>
      <c r="P273" t="n">
        <v>0</v>
      </c>
      <c r="Q273" t="n">
        <v>0</v>
      </c>
      <c r="R273" s="2" t="inlineStr"/>
    </row>
    <row r="274" ht="15" customHeight="1">
      <c r="A274" t="inlineStr">
        <is>
          <t>A 26338-2021</t>
        </is>
      </c>
      <c r="B274" s="1" t="n">
        <v>44347</v>
      </c>
      <c r="C274" s="1" t="n">
        <v>45940</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45237-2023</t>
        </is>
      </c>
      <c r="B275" s="1" t="n">
        <v>45191</v>
      </c>
      <c r="C275" s="1" t="n">
        <v>45940</v>
      </c>
      <c r="D275" t="inlineStr">
        <is>
          <t>ÖREBRO LÄN</t>
        </is>
      </c>
      <c r="E275" t="inlineStr">
        <is>
          <t>ÖREBRO</t>
        </is>
      </c>
      <c r="G275" t="n">
        <v>1.3</v>
      </c>
      <c r="H275" t="n">
        <v>0</v>
      </c>
      <c r="I275" t="n">
        <v>0</v>
      </c>
      <c r="J275" t="n">
        <v>0</v>
      </c>
      <c r="K275" t="n">
        <v>0</v>
      </c>
      <c r="L275" t="n">
        <v>0</v>
      </c>
      <c r="M275" t="n">
        <v>0</v>
      </c>
      <c r="N275" t="n">
        <v>0</v>
      </c>
      <c r="O275" t="n">
        <v>0</v>
      </c>
      <c r="P275" t="n">
        <v>0</v>
      </c>
      <c r="Q275" t="n">
        <v>0</v>
      </c>
      <c r="R275" s="2" t="inlineStr"/>
    </row>
    <row r="276" ht="15" customHeight="1">
      <c r="A276" t="inlineStr">
        <is>
          <t>A 55875-2024</t>
        </is>
      </c>
      <c r="B276" s="1" t="n">
        <v>45623.55375</v>
      </c>
      <c r="C276" s="1" t="n">
        <v>45940</v>
      </c>
      <c r="D276" t="inlineStr">
        <is>
          <t>ÖREBRO LÄN</t>
        </is>
      </c>
      <c r="E276" t="inlineStr">
        <is>
          <t>ÖREBRO</t>
        </is>
      </c>
      <c r="G276" t="n">
        <v>3.5</v>
      </c>
      <c r="H276" t="n">
        <v>0</v>
      </c>
      <c r="I276" t="n">
        <v>0</v>
      </c>
      <c r="J276" t="n">
        <v>0</v>
      </c>
      <c r="K276" t="n">
        <v>0</v>
      </c>
      <c r="L276" t="n">
        <v>0</v>
      </c>
      <c r="M276" t="n">
        <v>0</v>
      </c>
      <c r="N276" t="n">
        <v>0</v>
      </c>
      <c r="O276" t="n">
        <v>0</v>
      </c>
      <c r="P276" t="n">
        <v>0</v>
      </c>
      <c r="Q276" t="n">
        <v>0</v>
      </c>
      <c r="R276" s="2" t="inlineStr"/>
    </row>
    <row r="277" ht="15" customHeight="1">
      <c r="A277" t="inlineStr">
        <is>
          <t>A 53234-2023</t>
        </is>
      </c>
      <c r="B277" s="1" t="n">
        <v>45229</v>
      </c>
      <c r="C277" s="1" t="n">
        <v>45940</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15695-2024</t>
        </is>
      </c>
      <c r="B278" s="1" t="n">
        <v>45404.45487268519</v>
      </c>
      <c r="C278" s="1" t="n">
        <v>45940</v>
      </c>
      <c r="D278" t="inlineStr">
        <is>
          <t>ÖREBRO LÄN</t>
        </is>
      </c>
      <c r="E278" t="inlineStr">
        <is>
          <t>ÖREBRO</t>
        </is>
      </c>
      <c r="G278" t="n">
        <v>2.7</v>
      </c>
      <c r="H278" t="n">
        <v>0</v>
      </c>
      <c r="I278" t="n">
        <v>0</v>
      </c>
      <c r="J278" t="n">
        <v>0</v>
      </c>
      <c r="K278" t="n">
        <v>0</v>
      </c>
      <c r="L278" t="n">
        <v>0</v>
      </c>
      <c r="M278" t="n">
        <v>0</v>
      </c>
      <c r="N278" t="n">
        <v>0</v>
      </c>
      <c r="O278" t="n">
        <v>0</v>
      </c>
      <c r="P278" t="n">
        <v>0</v>
      </c>
      <c r="Q278" t="n">
        <v>0</v>
      </c>
      <c r="R278" s="2" t="inlineStr"/>
    </row>
    <row r="279" ht="15" customHeight="1">
      <c r="A279" t="inlineStr">
        <is>
          <t>A 30089-2024</t>
        </is>
      </c>
      <c r="B279" s="1" t="n">
        <v>45485</v>
      </c>
      <c r="C279" s="1" t="n">
        <v>45940</v>
      </c>
      <c r="D279" t="inlineStr">
        <is>
          <t>ÖREBRO LÄN</t>
        </is>
      </c>
      <c r="E279" t="inlineStr">
        <is>
          <t>ÖREBRO</t>
        </is>
      </c>
      <c r="G279" t="n">
        <v>2.2</v>
      </c>
      <c r="H279" t="n">
        <v>0</v>
      </c>
      <c r="I279" t="n">
        <v>0</v>
      </c>
      <c r="J279" t="n">
        <v>0</v>
      </c>
      <c r="K279" t="n">
        <v>0</v>
      </c>
      <c r="L279" t="n">
        <v>0</v>
      </c>
      <c r="M279" t="n">
        <v>0</v>
      </c>
      <c r="N279" t="n">
        <v>0</v>
      </c>
      <c r="O279" t="n">
        <v>0</v>
      </c>
      <c r="P279" t="n">
        <v>0</v>
      </c>
      <c r="Q279" t="n">
        <v>0</v>
      </c>
      <c r="R279" s="2" t="inlineStr"/>
    </row>
    <row r="280" ht="15" customHeight="1">
      <c r="A280" t="inlineStr">
        <is>
          <t>A 59757-2023</t>
        </is>
      </c>
      <c r="B280" s="1" t="n">
        <v>45257.40833333333</v>
      </c>
      <c r="C280" s="1" t="n">
        <v>45940</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11067-2025</t>
        </is>
      </c>
      <c r="B281" s="1" t="n">
        <v>45723</v>
      </c>
      <c r="C281" s="1" t="n">
        <v>45940</v>
      </c>
      <c r="D281" t="inlineStr">
        <is>
          <t>ÖREBRO LÄN</t>
        </is>
      </c>
      <c r="E281" t="inlineStr">
        <is>
          <t>ÖREBRO</t>
        </is>
      </c>
      <c r="G281" t="n">
        <v>3.1</v>
      </c>
      <c r="H281" t="n">
        <v>0</v>
      </c>
      <c r="I281" t="n">
        <v>0</v>
      </c>
      <c r="J281" t="n">
        <v>0</v>
      </c>
      <c r="K281" t="n">
        <v>0</v>
      </c>
      <c r="L281" t="n">
        <v>0</v>
      </c>
      <c r="M281" t="n">
        <v>0</v>
      </c>
      <c r="N281" t="n">
        <v>0</v>
      </c>
      <c r="O281" t="n">
        <v>0</v>
      </c>
      <c r="P281" t="n">
        <v>0</v>
      </c>
      <c r="Q281" t="n">
        <v>0</v>
      </c>
      <c r="R281" s="2" t="inlineStr"/>
    </row>
    <row r="282" ht="15" customHeight="1">
      <c r="A282" t="inlineStr">
        <is>
          <t>A 3841-2023</t>
        </is>
      </c>
      <c r="B282" s="1" t="n">
        <v>44951</v>
      </c>
      <c r="C282" s="1" t="n">
        <v>45940</v>
      </c>
      <c r="D282" t="inlineStr">
        <is>
          <t>ÖREBRO LÄN</t>
        </is>
      </c>
      <c r="E282" t="inlineStr">
        <is>
          <t>ÖREBRO</t>
        </is>
      </c>
      <c r="G282" t="n">
        <v>4.3</v>
      </c>
      <c r="H282" t="n">
        <v>0</v>
      </c>
      <c r="I282" t="n">
        <v>0</v>
      </c>
      <c r="J282" t="n">
        <v>0</v>
      </c>
      <c r="K282" t="n">
        <v>0</v>
      </c>
      <c r="L282" t="n">
        <v>0</v>
      </c>
      <c r="M282" t="n">
        <v>0</v>
      </c>
      <c r="N282" t="n">
        <v>0</v>
      </c>
      <c r="O282" t="n">
        <v>0</v>
      </c>
      <c r="P282" t="n">
        <v>0</v>
      </c>
      <c r="Q282" t="n">
        <v>0</v>
      </c>
      <c r="R282" s="2" t="inlineStr"/>
    </row>
    <row r="283" ht="15" customHeight="1">
      <c r="A283" t="inlineStr">
        <is>
          <t>A 5643-2025</t>
        </is>
      </c>
      <c r="B283" s="1" t="n">
        <v>45693</v>
      </c>
      <c r="C283" s="1" t="n">
        <v>45940</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3659-2025</t>
        </is>
      </c>
      <c r="B284" s="1" t="n">
        <v>45681</v>
      </c>
      <c r="C284" s="1" t="n">
        <v>45940</v>
      </c>
      <c r="D284" t="inlineStr">
        <is>
          <t>ÖREBRO LÄN</t>
        </is>
      </c>
      <c r="E284" t="inlineStr">
        <is>
          <t>ÖREBRO</t>
        </is>
      </c>
      <c r="G284" t="n">
        <v>15.8</v>
      </c>
      <c r="H284" t="n">
        <v>0</v>
      </c>
      <c r="I284" t="n">
        <v>0</v>
      </c>
      <c r="J284" t="n">
        <v>0</v>
      </c>
      <c r="K284" t="n">
        <v>0</v>
      </c>
      <c r="L284" t="n">
        <v>0</v>
      </c>
      <c r="M284" t="n">
        <v>0</v>
      </c>
      <c r="N284" t="n">
        <v>0</v>
      </c>
      <c r="O284" t="n">
        <v>0</v>
      </c>
      <c r="P284" t="n">
        <v>0</v>
      </c>
      <c r="Q284" t="n">
        <v>0</v>
      </c>
      <c r="R284" s="2" t="inlineStr"/>
    </row>
    <row r="285" ht="15" customHeight="1">
      <c r="A285" t="inlineStr">
        <is>
          <t>A 13347-2023</t>
        </is>
      </c>
      <c r="B285" s="1" t="n">
        <v>45004</v>
      </c>
      <c r="C285" s="1" t="n">
        <v>45940</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6752-2022</t>
        </is>
      </c>
      <c r="B286" s="1" t="n">
        <v>44602.48082175926</v>
      </c>
      <c r="C286" s="1" t="n">
        <v>45940</v>
      </c>
      <c r="D286" t="inlineStr">
        <is>
          <t>ÖREBRO LÄN</t>
        </is>
      </c>
      <c r="E286" t="inlineStr">
        <is>
          <t>ÖREBRO</t>
        </is>
      </c>
      <c r="G286" t="n">
        <v>3.1</v>
      </c>
      <c r="H286" t="n">
        <v>0</v>
      </c>
      <c r="I286" t="n">
        <v>0</v>
      </c>
      <c r="J286" t="n">
        <v>0</v>
      </c>
      <c r="K286" t="n">
        <v>0</v>
      </c>
      <c r="L286" t="n">
        <v>0</v>
      </c>
      <c r="M286" t="n">
        <v>0</v>
      </c>
      <c r="N286" t="n">
        <v>0</v>
      </c>
      <c r="O286" t="n">
        <v>0</v>
      </c>
      <c r="P286" t="n">
        <v>0</v>
      </c>
      <c r="Q286" t="n">
        <v>0</v>
      </c>
      <c r="R286" s="2" t="inlineStr"/>
    </row>
    <row r="287" ht="15" customHeight="1">
      <c r="A287" t="inlineStr">
        <is>
          <t>A 46030-2024</t>
        </is>
      </c>
      <c r="B287" s="1" t="n">
        <v>45580.70377314815</v>
      </c>
      <c r="C287" s="1" t="n">
        <v>45940</v>
      </c>
      <c r="D287" t="inlineStr">
        <is>
          <t>ÖREBRO LÄN</t>
        </is>
      </c>
      <c r="E287" t="inlineStr">
        <is>
          <t>ÖREBRO</t>
        </is>
      </c>
      <c r="G287" t="n">
        <v>3.9</v>
      </c>
      <c r="H287" t="n">
        <v>0</v>
      </c>
      <c r="I287" t="n">
        <v>0</v>
      </c>
      <c r="J287" t="n">
        <v>0</v>
      </c>
      <c r="K287" t="n">
        <v>0</v>
      </c>
      <c r="L287" t="n">
        <v>0</v>
      </c>
      <c r="M287" t="n">
        <v>0</v>
      </c>
      <c r="N287" t="n">
        <v>0</v>
      </c>
      <c r="O287" t="n">
        <v>0</v>
      </c>
      <c r="P287" t="n">
        <v>0</v>
      </c>
      <c r="Q287" t="n">
        <v>0</v>
      </c>
      <c r="R287" s="2" t="inlineStr"/>
    </row>
    <row r="288" ht="15" customHeight="1">
      <c r="A288" t="inlineStr">
        <is>
          <t>A 49215-2023</t>
        </is>
      </c>
      <c r="B288" s="1" t="n">
        <v>45210.61050925926</v>
      </c>
      <c r="C288" s="1" t="n">
        <v>45940</v>
      </c>
      <c r="D288" t="inlineStr">
        <is>
          <t>ÖREBRO LÄN</t>
        </is>
      </c>
      <c r="E288" t="inlineStr">
        <is>
          <t>ÖREBRO</t>
        </is>
      </c>
      <c r="F288" t="inlineStr">
        <is>
          <t>Övriga Aktiebolag</t>
        </is>
      </c>
      <c r="G288" t="n">
        <v>4.2</v>
      </c>
      <c r="H288" t="n">
        <v>0</v>
      </c>
      <c r="I288" t="n">
        <v>0</v>
      </c>
      <c r="J288" t="n">
        <v>0</v>
      </c>
      <c r="K288" t="n">
        <v>0</v>
      </c>
      <c r="L288" t="n">
        <v>0</v>
      </c>
      <c r="M288" t="n">
        <v>0</v>
      </c>
      <c r="N288" t="n">
        <v>0</v>
      </c>
      <c r="O288" t="n">
        <v>0</v>
      </c>
      <c r="P288" t="n">
        <v>0</v>
      </c>
      <c r="Q288" t="n">
        <v>0</v>
      </c>
      <c r="R288" s="2" t="inlineStr"/>
    </row>
    <row r="289" ht="15" customHeight="1">
      <c r="A289" t="inlineStr">
        <is>
          <t>A 16739-2023</t>
        </is>
      </c>
      <c r="B289" s="1" t="n">
        <v>45030.72627314815</v>
      </c>
      <c r="C289" s="1" t="n">
        <v>45940</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5342-2024</t>
        </is>
      </c>
      <c r="B290" s="1" t="n">
        <v>45331.44145833333</v>
      </c>
      <c r="C290" s="1" t="n">
        <v>45940</v>
      </c>
      <c r="D290" t="inlineStr">
        <is>
          <t>ÖREBRO LÄN</t>
        </is>
      </c>
      <c r="E290" t="inlineStr">
        <is>
          <t>ÖREBRO</t>
        </is>
      </c>
      <c r="G290" t="n">
        <v>2.5</v>
      </c>
      <c r="H290" t="n">
        <v>0</v>
      </c>
      <c r="I290" t="n">
        <v>0</v>
      </c>
      <c r="J290" t="n">
        <v>0</v>
      </c>
      <c r="K290" t="n">
        <v>0</v>
      </c>
      <c r="L290" t="n">
        <v>0</v>
      </c>
      <c r="M290" t="n">
        <v>0</v>
      </c>
      <c r="N290" t="n">
        <v>0</v>
      </c>
      <c r="O290" t="n">
        <v>0</v>
      </c>
      <c r="P290" t="n">
        <v>0</v>
      </c>
      <c r="Q290" t="n">
        <v>0</v>
      </c>
      <c r="R290" s="2" t="inlineStr"/>
    </row>
    <row r="291" ht="15" customHeight="1">
      <c r="A291" t="inlineStr">
        <is>
          <t>A 71295-2021</t>
        </is>
      </c>
      <c r="B291" s="1" t="n">
        <v>44539.63009259259</v>
      </c>
      <c r="C291" s="1" t="n">
        <v>45940</v>
      </c>
      <c r="D291" t="inlineStr">
        <is>
          <t>ÖREBRO LÄN</t>
        </is>
      </c>
      <c r="E291" t="inlineStr">
        <is>
          <t>ÖREBRO</t>
        </is>
      </c>
      <c r="G291" t="n">
        <v>2.3</v>
      </c>
      <c r="H291" t="n">
        <v>0</v>
      </c>
      <c r="I291" t="n">
        <v>0</v>
      </c>
      <c r="J291" t="n">
        <v>0</v>
      </c>
      <c r="K291" t="n">
        <v>0</v>
      </c>
      <c r="L291" t="n">
        <v>0</v>
      </c>
      <c r="M291" t="n">
        <v>0</v>
      </c>
      <c r="N291" t="n">
        <v>0</v>
      </c>
      <c r="O291" t="n">
        <v>0</v>
      </c>
      <c r="P291" t="n">
        <v>0</v>
      </c>
      <c r="Q291" t="n">
        <v>0</v>
      </c>
      <c r="R291" s="2" t="inlineStr"/>
    </row>
    <row r="292" ht="15" customHeight="1">
      <c r="A292" t="inlineStr">
        <is>
          <t>A 57867-2024</t>
        </is>
      </c>
      <c r="B292" s="1" t="n">
        <v>45631.43864583333</v>
      </c>
      <c r="C292" s="1" t="n">
        <v>45940</v>
      </c>
      <c r="D292" t="inlineStr">
        <is>
          <t>ÖREBRO LÄN</t>
        </is>
      </c>
      <c r="E292" t="inlineStr">
        <is>
          <t>ÖREBRO</t>
        </is>
      </c>
      <c r="G292" t="n">
        <v>1.5</v>
      </c>
      <c r="H292" t="n">
        <v>0</v>
      </c>
      <c r="I292" t="n">
        <v>0</v>
      </c>
      <c r="J292" t="n">
        <v>0</v>
      </c>
      <c r="K292" t="n">
        <v>0</v>
      </c>
      <c r="L292" t="n">
        <v>0</v>
      </c>
      <c r="M292" t="n">
        <v>0</v>
      </c>
      <c r="N292" t="n">
        <v>0</v>
      </c>
      <c r="O292" t="n">
        <v>0</v>
      </c>
      <c r="P292" t="n">
        <v>0</v>
      </c>
      <c r="Q292" t="n">
        <v>0</v>
      </c>
      <c r="R292" s="2" t="inlineStr"/>
    </row>
    <row r="293" ht="15" customHeight="1">
      <c r="A293" t="inlineStr">
        <is>
          <t>A 11516-2024</t>
        </is>
      </c>
      <c r="B293" s="1" t="n">
        <v>45372</v>
      </c>
      <c r="C293" s="1" t="n">
        <v>45940</v>
      </c>
      <c r="D293" t="inlineStr">
        <is>
          <t>ÖREBRO LÄN</t>
        </is>
      </c>
      <c r="E293" t="inlineStr">
        <is>
          <t>ÖREBRO</t>
        </is>
      </c>
      <c r="G293" t="n">
        <v>10.7</v>
      </c>
      <c r="H293" t="n">
        <v>0</v>
      </c>
      <c r="I293" t="n">
        <v>0</v>
      </c>
      <c r="J293" t="n">
        <v>0</v>
      </c>
      <c r="K293" t="n">
        <v>0</v>
      </c>
      <c r="L293" t="n">
        <v>0</v>
      </c>
      <c r="M293" t="n">
        <v>0</v>
      </c>
      <c r="N293" t="n">
        <v>0</v>
      </c>
      <c r="O293" t="n">
        <v>0</v>
      </c>
      <c r="P293" t="n">
        <v>0</v>
      </c>
      <c r="Q293" t="n">
        <v>0</v>
      </c>
      <c r="R293" s="2" t="inlineStr"/>
    </row>
    <row r="294" ht="15" customHeight="1">
      <c r="A294" t="inlineStr">
        <is>
          <t>A 13355-2023</t>
        </is>
      </c>
      <c r="B294" s="1" t="n">
        <v>45004</v>
      </c>
      <c r="C294" s="1" t="n">
        <v>45940</v>
      </c>
      <c r="D294" t="inlineStr">
        <is>
          <t>ÖREBRO LÄN</t>
        </is>
      </c>
      <c r="E294" t="inlineStr">
        <is>
          <t>ÖREBRO</t>
        </is>
      </c>
      <c r="G294" t="n">
        <v>2.3</v>
      </c>
      <c r="H294" t="n">
        <v>0</v>
      </c>
      <c r="I294" t="n">
        <v>0</v>
      </c>
      <c r="J294" t="n">
        <v>0</v>
      </c>
      <c r="K294" t="n">
        <v>0</v>
      </c>
      <c r="L294" t="n">
        <v>0</v>
      </c>
      <c r="M294" t="n">
        <v>0</v>
      </c>
      <c r="N294" t="n">
        <v>0</v>
      </c>
      <c r="O294" t="n">
        <v>0</v>
      </c>
      <c r="P294" t="n">
        <v>0</v>
      </c>
      <c r="Q294" t="n">
        <v>0</v>
      </c>
      <c r="R294" s="2" t="inlineStr"/>
    </row>
    <row r="295" ht="15" customHeight="1">
      <c r="A295" t="inlineStr">
        <is>
          <t>A 14544-2023</t>
        </is>
      </c>
      <c r="B295" s="1" t="n">
        <v>45013</v>
      </c>
      <c r="C295" s="1" t="n">
        <v>45940</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71272-2021</t>
        </is>
      </c>
      <c r="B296" s="1" t="n">
        <v>44539.61571759259</v>
      </c>
      <c r="C296" s="1" t="n">
        <v>45940</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49465-2024</t>
        </is>
      </c>
      <c r="B297" s="1" t="n">
        <v>45596</v>
      </c>
      <c r="C297" s="1" t="n">
        <v>45940</v>
      </c>
      <c r="D297" t="inlineStr">
        <is>
          <t>ÖREBRO LÄN</t>
        </is>
      </c>
      <c r="E297" t="inlineStr">
        <is>
          <t>ÖREBRO</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43399-2022</t>
        </is>
      </c>
      <c r="B298" s="1" t="n">
        <v>44834</v>
      </c>
      <c r="C298" s="1" t="n">
        <v>45940</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38842-2022</t>
        </is>
      </c>
      <c r="B299" s="1" t="n">
        <v>44814</v>
      </c>
      <c r="C299" s="1" t="n">
        <v>45940</v>
      </c>
      <c r="D299" t="inlineStr">
        <is>
          <t>ÖREBRO LÄN</t>
        </is>
      </c>
      <c r="E299" t="inlineStr">
        <is>
          <t>ÖREBRO</t>
        </is>
      </c>
      <c r="G299" t="n">
        <v>5</v>
      </c>
      <c r="H299" t="n">
        <v>0</v>
      </c>
      <c r="I299" t="n">
        <v>0</v>
      </c>
      <c r="J299" t="n">
        <v>0</v>
      </c>
      <c r="K299" t="n">
        <v>0</v>
      </c>
      <c r="L299" t="n">
        <v>0</v>
      </c>
      <c r="M299" t="n">
        <v>0</v>
      </c>
      <c r="N299" t="n">
        <v>0</v>
      </c>
      <c r="O299" t="n">
        <v>0</v>
      </c>
      <c r="P299" t="n">
        <v>0</v>
      </c>
      <c r="Q299" t="n">
        <v>0</v>
      </c>
      <c r="R299" s="2" t="inlineStr"/>
    </row>
    <row r="300" ht="15" customHeight="1">
      <c r="A300" t="inlineStr">
        <is>
          <t>A 25578-2025</t>
        </is>
      </c>
      <c r="B300" s="1" t="n">
        <v>45803.47803240741</v>
      </c>
      <c r="C300" s="1" t="n">
        <v>45940</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37022-2024</t>
        </is>
      </c>
      <c r="B301" s="1" t="n">
        <v>45539.3822337963</v>
      </c>
      <c r="C301" s="1" t="n">
        <v>45940</v>
      </c>
      <c r="D301" t="inlineStr">
        <is>
          <t>ÖREBRO LÄN</t>
        </is>
      </c>
      <c r="E301" t="inlineStr">
        <is>
          <t>ÖREBRO</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37024-2024</t>
        </is>
      </c>
      <c r="B302" s="1" t="n">
        <v>45539.38329861111</v>
      </c>
      <c r="C302" s="1" t="n">
        <v>45940</v>
      </c>
      <c r="D302" t="inlineStr">
        <is>
          <t>ÖREBRO LÄN</t>
        </is>
      </c>
      <c r="E302" t="inlineStr">
        <is>
          <t>ÖREBRO</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45940</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19388-2024</t>
        </is>
      </c>
      <c r="B304" s="1" t="n">
        <v>45429.37775462963</v>
      </c>
      <c r="C304" s="1" t="n">
        <v>45940</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25519-2025</t>
        </is>
      </c>
      <c r="B305" s="1" t="n">
        <v>45803.38447916666</v>
      </c>
      <c r="C305" s="1" t="n">
        <v>45940</v>
      </c>
      <c r="D305" t="inlineStr">
        <is>
          <t>ÖREBRO LÄN</t>
        </is>
      </c>
      <c r="E305" t="inlineStr">
        <is>
          <t>ÖREBRO</t>
        </is>
      </c>
      <c r="G305" t="n">
        <v>7.4</v>
      </c>
      <c r="H305" t="n">
        <v>0</v>
      </c>
      <c r="I305" t="n">
        <v>0</v>
      </c>
      <c r="J305" t="n">
        <v>0</v>
      </c>
      <c r="K305" t="n">
        <v>0</v>
      </c>
      <c r="L305" t="n">
        <v>0</v>
      </c>
      <c r="M305" t="n">
        <v>0</v>
      </c>
      <c r="N305" t="n">
        <v>0</v>
      </c>
      <c r="O305" t="n">
        <v>0</v>
      </c>
      <c r="P305" t="n">
        <v>0</v>
      </c>
      <c r="Q305" t="n">
        <v>0</v>
      </c>
      <c r="R305" s="2" t="inlineStr"/>
    </row>
    <row r="306" ht="15" customHeight="1">
      <c r="A306" t="inlineStr">
        <is>
          <t>A 47047-2022</t>
        </is>
      </c>
      <c r="B306" s="1" t="n">
        <v>44852.39063657408</v>
      </c>
      <c r="C306" s="1" t="n">
        <v>45940</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19553-2023</t>
        </is>
      </c>
      <c r="B307" s="1" t="n">
        <v>45050</v>
      </c>
      <c r="C307" s="1" t="n">
        <v>45940</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40597-2021</t>
        </is>
      </c>
      <c r="B308" s="1" t="n">
        <v>44420</v>
      </c>
      <c r="C308" s="1" t="n">
        <v>45940</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2318-2023</t>
        </is>
      </c>
      <c r="B309" s="1" t="n">
        <v>44942</v>
      </c>
      <c r="C309" s="1" t="n">
        <v>45940</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14291-2023</t>
        </is>
      </c>
      <c r="B310" s="1" t="n">
        <v>45010</v>
      </c>
      <c r="C310" s="1" t="n">
        <v>45940</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58598-2022</t>
        </is>
      </c>
      <c r="B311" s="1" t="n">
        <v>44902</v>
      </c>
      <c r="C311" s="1" t="n">
        <v>45940</v>
      </c>
      <c r="D311" t="inlineStr">
        <is>
          <t>ÖREBRO LÄN</t>
        </is>
      </c>
      <c r="E311" t="inlineStr">
        <is>
          <t>ÖREBRO</t>
        </is>
      </c>
      <c r="G311" t="n">
        <v>0.4</v>
      </c>
      <c r="H311" t="n">
        <v>0</v>
      </c>
      <c r="I311" t="n">
        <v>0</v>
      </c>
      <c r="J311" t="n">
        <v>0</v>
      </c>
      <c r="K311" t="n">
        <v>0</v>
      </c>
      <c r="L311" t="n">
        <v>0</v>
      </c>
      <c r="M311" t="n">
        <v>0</v>
      </c>
      <c r="N311" t="n">
        <v>0</v>
      </c>
      <c r="O311" t="n">
        <v>0</v>
      </c>
      <c r="P311" t="n">
        <v>0</v>
      </c>
      <c r="Q311" t="n">
        <v>0</v>
      </c>
      <c r="R311" s="2" t="inlineStr"/>
    </row>
    <row r="312" ht="15" customHeight="1">
      <c r="A312" t="inlineStr">
        <is>
          <t>A 58527-2024</t>
        </is>
      </c>
      <c r="B312" s="1" t="n">
        <v>45635.44388888889</v>
      </c>
      <c r="C312" s="1" t="n">
        <v>45940</v>
      </c>
      <c r="D312" t="inlineStr">
        <is>
          <t>ÖREBRO LÄN</t>
        </is>
      </c>
      <c r="E312" t="inlineStr">
        <is>
          <t>ÖREBRO</t>
        </is>
      </c>
      <c r="F312" t="inlineStr">
        <is>
          <t>Sveaskog</t>
        </is>
      </c>
      <c r="G312" t="n">
        <v>6.4</v>
      </c>
      <c r="H312" t="n">
        <v>0</v>
      </c>
      <c r="I312" t="n">
        <v>0</v>
      </c>
      <c r="J312" t="n">
        <v>0</v>
      </c>
      <c r="K312" t="n">
        <v>0</v>
      </c>
      <c r="L312" t="n">
        <v>0</v>
      </c>
      <c r="M312" t="n">
        <v>0</v>
      </c>
      <c r="N312" t="n">
        <v>0</v>
      </c>
      <c r="O312" t="n">
        <v>0</v>
      </c>
      <c r="P312" t="n">
        <v>0</v>
      </c>
      <c r="Q312" t="n">
        <v>0</v>
      </c>
      <c r="R312" s="2" t="inlineStr"/>
    </row>
    <row r="313" ht="15" customHeight="1">
      <c r="A313" t="inlineStr">
        <is>
          <t>A 13158-2024</t>
        </is>
      </c>
      <c r="B313" s="1" t="n">
        <v>45386.38728009259</v>
      </c>
      <c r="C313" s="1" t="n">
        <v>45940</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20121-2024</t>
        </is>
      </c>
      <c r="B314" s="1" t="n">
        <v>45434</v>
      </c>
      <c r="C314" s="1" t="n">
        <v>45940</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20150-2024</t>
        </is>
      </c>
      <c r="B315" s="1" t="n">
        <v>45434.57969907407</v>
      </c>
      <c r="C315" s="1" t="n">
        <v>45940</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55593-2022</t>
        </is>
      </c>
      <c r="B316" s="1" t="n">
        <v>44888</v>
      </c>
      <c r="C316" s="1" t="n">
        <v>45940</v>
      </c>
      <c r="D316" t="inlineStr">
        <is>
          <t>ÖREBRO LÄN</t>
        </is>
      </c>
      <c r="E316" t="inlineStr">
        <is>
          <t>ÖREBRO</t>
        </is>
      </c>
      <c r="G316" t="n">
        <v>3.6</v>
      </c>
      <c r="H316" t="n">
        <v>0</v>
      </c>
      <c r="I316" t="n">
        <v>0</v>
      </c>
      <c r="J316" t="n">
        <v>0</v>
      </c>
      <c r="K316" t="n">
        <v>0</v>
      </c>
      <c r="L316" t="n">
        <v>0</v>
      </c>
      <c r="M316" t="n">
        <v>0</v>
      </c>
      <c r="N316" t="n">
        <v>0</v>
      </c>
      <c r="O316" t="n">
        <v>0</v>
      </c>
      <c r="P316" t="n">
        <v>0</v>
      </c>
      <c r="Q316" t="n">
        <v>0</v>
      </c>
      <c r="R316" s="2" t="inlineStr"/>
    </row>
    <row r="317" ht="15" customHeight="1">
      <c r="A317" t="inlineStr">
        <is>
          <t>A 767-2024</t>
        </is>
      </c>
      <c r="B317" s="1" t="n">
        <v>45300.51892361111</v>
      </c>
      <c r="C317" s="1" t="n">
        <v>45940</v>
      </c>
      <c r="D317" t="inlineStr">
        <is>
          <t>ÖREBRO LÄN</t>
        </is>
      </c>
      <c r="E317" t="inlineStr">
        <is>
          <t>ÖREBRO</t>
        </is>
      </c>
      <c r="G317" t="n">
        <v>2</v>
      </c>
      <c r="H317" t="n">
        <v>0</v>
      </c>
      <c r="I317" t="n">
        <v>0</v>
      </c>
      <c r="J317" t="n">
        <v>0</v>
      </c>
      <c r="K317" t="n">
        <v>0</v>
      </c>
      <c r="L317" t="n">
        <v>0</v>
      </c>
      <c r="M317" t="n">
        <v>0</v>
      </c>
      <c r="N317" t="n">
        <v>0</v>
      </c>
      <c r="O317" t="n">
        <v>0</v>
      </c>
      <c r="P317" t="n">
        <v>0</v>
      </c>
      <c r="Q317" t="n">
        <v>0</v>
      </c>
      <c r="R317" s="2" t="inlineStr"/>
    </row>
    <row r="318" ht="15" customHeight="1">
      <c r="A318" t="inlineStr">
        <is>
          <t>A 52441-2024</t>
        </is>
      </c>
      <c r="B318" s="1" t="n">
        <v>45609.48451388889</v>
      </c>
      <c r="C318" s="1" t="n">
        <v>45940</v>
      </c>
      <c r="D318" t="inlineStr">
        <is>
          <t>ÖREBRO LÄN</t>
        </is>
      </c>
      <c r="E318" t="inlineStr">
        <is>
          <t>ÖREBRO</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58611-2024</t>
        </is>
      </c>
      <c r="B319" s="1" t="n">
        <v>45635.55555555555</v>
      </c>
      <c r="C319" s="1" t="n">
        <v>45940</v>
      </c>
      <c r="D319" t="inlineStr">
        <is>
          <t>ÖREBRO LÄN</t>
        </is>
      </c>
      <c r="E319" t="inlineStr">
        <is>
          <t>ÖREBRO</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38075-2022</t>
        </is>
      </c>
      <c r="B320" s="1" t="n">
        <v>44811</v>
      </c>
      <c r="C320" s="1" t="n">
        <v>45940</v>
      </c>
      <c r="D320" t="inlineStr">
        <is>
          <t>ÖREBRO LÄN</t>
        </is>
      </c>
      <c r="E320" t="inlineStr">
        <is>
          <t>ÖREBRO</t>
        </is>
      </c>
      <c r="G320" t="n">
        <v>0.2</v>
      </c>
      <c r="H320" t="n">
        <v>0</v>
      </c>
      <c r="I320" t="n">
        <v>0</v>
      </c>
      <c r="J320" t="n">
        <v>0</v>
      </c>
      <c r="K320" t="n">
        <v>0</v>
      </c>
      <c r="L320" t="n">
        <v>0</v>
      </c>
      <c r="M320" t="n">
        <v>0</v>
      </c>
      <c r="N320" t="n">
        <v>0</v>
      </c>
      <c r="O320" t="n">
        <v>0</v>
      </c>
      <c r="P320" t="n">
        <v>0</v>
      </c>
      <c r="Q320" t="n">
        <v>0</v>
      </c>
      <c r="R320" s="2" t="inlineStr"/>
    </row>
    <row r="321" ht="15" customHeight="1">
      <c r="A321" t="inlineStr">
        <is>
          <t>A 19831-2021</t>
        </is>
      </c>
      <c r="B321" s="1" t="n">
        <v>44313</v>
      </c>
      <c r="C321" s="1" t="n">
        <v>45940</v>
      </c>
      <c r="D321" t="inlineStr">
        <is>
          <t>ÖREBRO LÄN</t>
        </is>
      </c>
      <c r="E321" t="inlineStr">
        <is>
          <t>ÖREBRO</t>
        </is>
      </c>
      <c r="G321" t="n">
        <v>3.2</v>
      </c>
      <c r="H321" t="n">
        <v>0</v>
      </c>
      <c r="I321" t="n">
        <v>0</v>
      </c>
      <c r="J321" t="n">
        <v>0</v>
      </c>
      <c r="K321" t="n">
        <v>0</v>
      </c>
      <c r="L321" t="n">
        <v>0</v>
      </c>
      <c r="M321" t="n">
        <v>0</v>
      </c>
      <c r="N321" t="n">
        <v>0</v>
      </c>
      <c r="O321" t="n">
        <v>0</v>
      </c>
      <c r="P321" t="n">
        <v>0</v>
      </c>
      <c r="Q321" t="n">
        <v>0</v>
      </c>
      <c r="R321" s="2" t="inlineStr"/>
    </row>
    <row r="322" ht="15" customHeight="1">
      <c r="A322" t="inlineStr">
        <is>
          <t>A 5133-2024</t>
        </is>
      </c>
      <c r="B322" s="1" t="n">
        <v>45330</v>
      </c>
      <c r="C322" s="1" t="n">
        <v>45940</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58219-2024</t>
        </is>
      </c>
      <c r="B323" s="1" t="n">
        <v>45632</v>
      </c>
      <c r="C323" s="1" t="n">
        <v>45940</v>
      </c>
      <c r="D323" t="inlineStr">
        <is>
          <t>ÖREBRO LÄN</t>
        </is>
      </c>
      <c r="E323" t="inlineStr">
        <is>
          <t>ÖREBRO</t>
        </is>
      </c>
      <c r="G323" t="n">
        <v>1.1</v>
      </c>
      <c r="H323" t="n">
        <v>0</v>
      </c>
      <c r="I323" t="n">
        <v>0</v>
      </c>
      <c r="J323" t="n">
        <v>0</v>
      </c>
      <c r="K323" t="n">
        <v>0</v>
      </c>
      <c r="L323" t="n">
        <v>0</v>
      </c>
      <c r="M323" t="n">
        <v>0</v>
      </c>
      <c r="N323" t="n">
        <v>0</v>
      </c>
      <c r="O323" t="n">
        <v>0</v>
      </c>
      <c r="P323" t="n">
        <v>0</v>
      </c>
      <c r="Q323" t="n">
        <v>0</v>
      </c>
      <c r="R323" s="2" t="inlineStr"/>
    </row>
    <row r="324" ht="15" customHeight="1">
      <c r="A324" t="inlineStr">
        <is>
          <t>A 63142-2023</t>
        </is>
      </c>
      <c r="B324" s="1" t="n">
        <v>45273</v>
      </c>
      <c r="C324" s="1" t="n">
        <v>45940</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23741-2022</t>
        </is>
      </c>
      <c r="B325" s="1" t="n">
        <v>44722</v>
      </c>
      <c r="C325" s="1" t="n">
        <v>45940</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59121-2024</t>
        </is>
      </c>
      <c r="B326" s="1" t="n">
        <v>45637.37755787037</v>
      </c>
      <c r="C326" s="1" t="n">
        <v>45940</v>
      </c>
      <c r="D326" t="inlineStr">
        <is>
          <t>ÖREBRO LÄN</t>
        </is>
      </c>
      <c r="E326" t="inlineStr">
        <is>
          <t>ÖREBRO</t>
        </is>
      </c>
      <c r="G326" t="n">
        <v>1</v>
      </c>
      <c r="H326" t="n">
        <v>0</v>
      </c>
      <c r="I326" t="n">
        <v>0</v>
      </c>
      <c r="J326" t="n">
        <v>0</v>
      </c>
      <c r="K326" t="n">
        <v>0</v>
      </c>
      <c r="L326" t="n">
        <v>0</v>
      </c>
      <c r="M326" t="n">
        <v>0</v>
      </c>
      <c r="N326" t="n">
        <v>0</v>
      </c>
      <c r="O326" t="n">
        <v>0</v>
      </c>
      <c r="P326" t="n">
        <v>0</v>
      </c>
      <c r="Q326" t="n">
        <v>0</v>
      </c>
      <c r="R326" s="2" t="inlineStr"/>
    </row>
    <row r="327" ht="15" customHeight="1">
      <c r="A327" t="inlineStr">
        <is>
          <t>A 52477-2024</t>
        </is>
      </c>
      <c r="B327" s="1" t="n">
        <v>45609</v>
      </c>
      <c r="C327" s="1" t="n">
        <v>45940</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9704-2023</t>
        </is>
      </c>
      <c r="B328" s="1" t="n">
        <v>44984</v>
      </c>
      <c r="C328" s="1" t="n">
        <v>45940</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10368-2021</t>
        </is>
      </c>
      <c r="B329" s="1" t="n">
        <v>44257</v>
      </c>
      <c r="C329" s="1" t="n">
        <v>45940</v>
      </c>
      <c r="D329" t="inlineStr">
        <is>
          <t>ÖREBRO LÄN</t>
        </is>
      </c>
      <c r="E329" t="inlineStr">
        <is>
          <t>ÖREBRO</t>
        </is>
      </c>
      <c r="G329" t="n">
        <v>1.2</v>
      </c>
      <c r="H329" t="n">
        <v>0</v>
      </c>
      <c r="I329" t="n">
        <v>0</v>
      </c>
      <c r="J329" t="n">
        <v>0</v>
      </c>
      <c r="K329" t="n">
        <v>0</v>
      </c>
      <c r="L329" t="n">
        <v>0</v>
      </c>
      <c r="M329" t="n">
        <v>0</v>
      </c>
      <c r="N329" t="n">
        <v>0</v>
      </c>
      <c r="O329" t="n">
        <v>0</v>
      </c>
      <c r="P329" t="n">
        <v>0</v>
      </c>
      <c r="Q329" t="n">
        <v>0</v>
      </c>
      <c r="R329" s="2" t="inlineStr"/>
    </row>
    <row r="330" ht="15" customHeight="1">
      <c r="A330" t="inlineStr">
        <is>
          <t>A 4284-2025</t>
        </is>
      </c>
      <c r="B330" s="1" t="n">
        <v>45685</v>
      </c>
      <c r="C330" s="1" t="n">
        <v>45940</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2771-2023</t>
        </is>
      </c>
      <c r="B331" s="1" t="n">
        <v>44944.64704861111</v>
      </c>
      <c r="C331" s="1" t="n">
        <v>45940</v>
      </c>
      <c r="D331" t="inlineStr">
        <is>
          <t>ÖREBRO LÄN</t>
        </is>
      </c>
      <c r="E331" t="inlineStr">
        <is>
          <t>ÖREBRO</t>
        </is>
      </c>
      <c r="G331" t="n">
        <v>15.4</v>
      </c>
      <c r="H331" t="n">
        <v>0</v>
      </c>
      <c r="I331" t="n">
        <v>0</v>
      </c>
      <c r="J331" t="n">
        <v>0</v>
      </c>
      <c r="K331" t="n">
        <v>0</v>
      </c>
      <c r="L331" t="n">
        <v>0</v>
      </c>
      <c r="M331" t="n">
        <v>0</v>
      </c>
      <c r="N331" t="n">
        <v>0</v>
      </c>
      <c r="O331" t="n">
        <v>0</v>
      </c>
      <c r="P331" t="n">
        <v>0</v>
      </c>
      <c r="Q331" t="n">
        <v>0</v>
      </c>
      <c r="R331" s="2" t="inlineStr"/>
    </row>
    <row r="332" ht="15" customHeight="1">
      <c r="A332" t="inlineStr">
        <is>
          <t>A 2076-2025</t>
        </is>
      </c>
      <c r="B332" s="1" t="n">
        <v>45672</v>
      </c>
      <c r="C332" s="1" t="n">
        <v>45940</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12099-2023</t>
        </is>
      </c>
      <c r="B333" s="1" t="n">
        <v>44998.37043981482</v>
      </c>
      <c r="C333" s="1" t="n">
        <v>45940</v>
      </c>
      <c r="D333" t="inlineStr">
        <is>
          <t>ÖREBRO LÄN</t>
        </is>
      </c>
      <c r="E333" t="inlineStr">
        <is>
          <t>ÖREBRO</t>
        </is>
      </c>
      <c r="G333" t="n">
        <v>0.9</v>
      </c>
      <c r="H333" t="n">
        <v>0</v>
      </c>
      <c r="I333" t="n">
        <v>0</v>
      </c>
      <c r="J333" t="n">
        <v>0</v>
      </c>
      <c r="K333" t="n">
        <v>0</v>
      </c>
      <c r="L333" t="n">
        <v>0</v>
      </c>
      <c r="M333" t="n">
        <v>0</v>
      </c>
      <c r="N333" t="n">
        <v>0</v>
      </c>
      <c r="O333" t="n">
        <v>0</v>
      </c>
      <c r="P333" t="n">
        <v>0</v>
      </c>
      <c r="Q333" t="n">
        <v>0</v>
      </c>
      <c r="R333" s="2" t="inlineStr"/>
    </row>
    <row r="334" ht="15" customHeight="1">
      <c r="A334" t="inlineStr">
        <is>
          <t>A 17869-2024</t>
        </is>
      </c>
      <c r="B334" s="1" t="n">
        <v>45419</v>
      </c>
      <c r="C334" s="1" t="n">
        <v>45940</v>
      </c>
      <c r="D334" t="inlineStr">
        <is>
          <t>ÖREBRO LÄN</t>
        </is>
      </c>
      <c r="E334" t="inlineStr">
        <is>
          <t>ÖREBRO</t>
        </is>
      </c>
      <c r="G334" t="n">
        <v>3.7</v>
      </c>
      <c r="H334" t="n">
        <v>0</v>
      </c>
      <c r="I334" t="n">
        <v>0</v>
      </c>
      <c r="J334" t="n">
        <v>0</v>
      </c>
      <c r="K334" t="n">
        <v>0</v>
      </c>
      <c r="L334" t="n">
        <v>0</v>
      </c>
      <c r="M334" t="n">
        <v>0</v>
      </c>
      <c r="N334" t="n">
        <v>0</v>
      </c>
      <c r="O334" t="n">
        <v>0</v>
      </c>
      <c r="P334" t="n">
        <v>0</v>
      </c>
      <c r="Q334" t="n">
        <v>0</v>
      </c>
      <c r="R334" s="2" t="inlineStr"/>
    </row>
    <row r="335" ht="15" customHeight="1">
      <c r="A335" t="inlineStr">
        <is>
          <t>A 5026-2022</t>
        </is>
      </c>
      <c r="B335" s="1" t="n">
        <v>44593.63974537037</v>
      </c>
      <c r="C335" s="1" t="n">
        <v>45940</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10832-2023</t>
        </is>
      </c>
      <c r="B336" s="1" t="n">
        <v>44990.91711805556</v>
      </c>
      <c r="C336" s="1" t="n">
        <v>45940</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58216-2024</t>
        </is>
      </c>
      <c r="B337" s="1" t="n">
        <v>45632</v>
      </c>
      <c r="C337" s="1" t="n">
        <v>45940</v>
      </c>
      <c r="D337" t="inlineStr">
        <is>
          <t>ÖREBRO LÄN</t>
        </is>
      </c>
      <c r="E337" t="inlineStr">
        <is>
          <t>ÖREBRO</t>
        </is>
      </c>
      <c r="G337" t="n">
        <v>1.9</v>
      </c>
      <c r="H337" t="n">
        <v>0</v>
      </c>
      <c r="I337" t="n">
        <v>0</v>
      </c>
      <c r="J337" t="n">
        <v>0</v>
      </c>
      <c r="K337" t="n">
        <v>0</v>
      </c>
      <c r="L337" t="n">
        <v>0</v>
      </c>
      <c r="M337" t="n">
        <v>0</v>
      </c>
      <c r="N337" t="n">
        <v>0</v>
      </c>
      <c r="O337" t="n">
        <v>0</v>
      </c>
      <c r="P337" t="n">
        <v>0</v>
      </c>
      <c r="Q337" t="n">
        <v>0</v>
      </c>
      <c r="R337" s="2" t="inlineStr"/>
    </row>
    <row r="338" ht="15" customHeight="1">
      <c r="A338" t="inlineStr">
        <is>
          <t>A 3763-2025</t>
        </is>
      </c>
      <c r="B338" s="1" t="n">
        <v>45681</v>
      </c>
      <c r="C338" s="1" t="n">
        <v>45940</v>
      </c>
      <c r="D338" t="inlineStr">
        <is>
          <t>ÖREBRO LÄN</t>
        </is>
      </c>
      <c r="E338" t="inlineStr">
        <is>
          <t>ÖREBRO</t>
        </is>
      </c>
      <c r="G338" t="n">
        <v>10.1</v>
      </c>
      <c r="H338" t="n">
        <v>0</v>
      </c>
      <c r="I338" t="n">
        <v>0</v>
      </c>
      <c r="J338" t="n">
        <v>0</v>
      </c>
      <c r="K338" t="n">
        <v>0</v>
      </c>
      <c r="L338" t="n">
        <v>0</v>
      </c>
      <c r="M338" t="n">
        <v>0</v>
      </c>
      <c r="N338" t="n">
        <v>0</v>
      </c>
      <c r="O338" t="n">
        <v>0</v>
      </c>
      <c r="P338" t="n">
        <v>0</v>
      </c>
      <c r="Q338" t="n">
        <v>0</v>
      </c>
      <c r="R338" s="2" t="inlineStr"/>
    </row>
    <row r="339" ht="15" customHeight="1">
      <c r="A339" t="inlineStr">
        <is>
          <t>A 27180-2025</t>
        </is>
      </c>
      <c r="B339" s="1" t="n">
        <v>45812.35736111111</v>
      </c>
      <c r="C339" s="1" t="n">
        <v>45940</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27215-2025</t>
        </is>
      </c>
      <c r="B340" s="1" t="n">
        <v>45812.41869212963</v>
      </c>
      <c r="C340" s="1" t="n">
        <v>45940</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27225-2025</t>
        </is>
      </c>
      <c r="B341" s="1" t="n">
        <v>45812.42856481481</v>
      </c>
      <c r="C341" s="1" t="n">
        <v>45940</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5324-2024</t>
        </is>
      </c>
      <c r="B342" s="1" t="n">
        <v>45331</v>
      </c>
      <c r="C342" s="1" t="n">
        <v>45940</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27220-2025</t>
        </is>
      </c>
      <c r="B343" s="1" t="n">
        <v>45812.42293981482</v>
      </c>
      <c r="C343" s="1" t="n">
        <v>45940</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18360-2024</t>
        </is>
      </c>
      <c r="B344" s="1" t="n">
        <v>45422</v>
      </c>
      <c r="C344" s="1" t="n">
        <v>45940</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16676-2025</t>
        </is>
      </c>
      <c r="B345" s="1" t="n">
        <v>45754.44658564815</v>
      </c>
      <c r="C345" s="1" t="n">
        <v>45940</v>
      </c>
      <c r="D345" t="inlineStr">
        <is>
          <t>ÖREBRO LÄN</t>
        </is>
      </c>
      <c r="E345" t="inlineStr">
        <is>
          <t>ÖREBRO</t>
        </is>
      </c>
      <c r="G345" t="n">
        <v>5.8</v>
      </c>
      <c r="H345" t="n">
        <v>0</v>
      </c>
      <c r="I345" t="n">
        <v>0</v>
      </c>
      <c r="J345" t="n">
        <v>0</v>
      </c>
      <c r="K345" t="n">
        <v>0</v>
      </c>
      <c r="L345" t="n">
        <v>0</v>
      </c>
      <c r="M345" t="n">
        <v>0</v>
      </c>
      <c r="N345" t="n">
        <v>0</v>
      </c>
      <c r="O345" t="n">
        <v>0</v>
      </c>
      <c r="P345" t="n">
        <v>0</v>
      </c>
      <c r="Q345" t="n">
        <v>0</v>
      </c>
      <c r="R345" s="2" t="inlineStr"/>
    </row>
    <row r="346" ht="15" customHeight="1">
      <c r="A346" t="inlineStr">
        <is>
          <t>A 5357-2024</t>
        </is>
      </c>
      <c r="B346" s="1" t="n">
        <v>45331</v>
      </c>
      <c r="C346" s="1" t="n">
        <v>45940</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57243-2022</t>
        </is>
      </c>
      <c r="B347" s="1" t="n">
        <v>44895.71835648148</v>
      </c>
      <c r="C347" s="1" t="n">
        <v>45940</v>
      </c>
      <c r="D347" t="inlineStr">
        <is>
          <t>ÖREBRO LÄN</t>
        </is>
      </c>
      <c r="E347" t="inlineStr">
        <is>
          <t>ÖREBRO</t>
        </is>
      </c>
      <c r="G347" t="n">
        <v>6</v>
      </c>
      <c r="H347" t="n">
        <v>0</v>
      </c>
      <c r="I347" t="n">
        <v>0</v>
      </c>
      <c r="J347" t="n">
        <v>0</v>
      </c>
      <c r="K347" t="n">
        <v>0</v>
      </c>
      <c r="L347" t="n">
        <v>0</v>
      </c>
      <c r="M347" t="n">
        <v>0</v>
      </c>
      <c r="N347" t="n">
        <v>0</v>
      </c>
      <c r="O347" t="n">
        <v>0</v>
      </c>
      <c r="P347" t="n">
        <v>0</v>
      </c>
      <c r="Q347" t="n">
        <v>0</v>
      </c>
      <c r="R347" s="2" t="inlineStr"/>
    </row>
    <row r="348" ht="15" customHeight="1">
      <c r="A348" t="inlineStr">
        <is>
          <t>A 48581-2024</t>
        </is>
      </c>
      <c r="B348" s="1" t="n">
        <v>45593.41642361111</v>
      </c>
      <c r="C348" s="1" t="n">
        <v>45940</v>
      </c>
      <c r="D348" t="inlineStr">
        <is>
          <t>ÖREBRO LÄN</t>
        </is>
      </c>
      <c r="E348" t="inlineStr">
        <is>
          <t>ÖREBRO</t>
        </is>
      </c>
      <c r="G348" t="n">
        <v>0.7</v>
      </c>
      <c r="H348" t="n">
        <v>0</v>
      </c>
      <c r="I348" t="n">
        <v>0</v>
      </c>
      <c r="J348" t="n">
        <v>0</v>
      </c>
      <c r="K348" t="n">
        <v>0</v>
      </c>
      <c r="L348" t="n">
        <v>0</v>
      </c>
      <c r="M348" t="n">
        <v>0</v>
      </c>
      <c r="N348" t="n">
        <v>0</v>
      </c>
      <c r="O348" t="n">
        <v>0</v>
      </c>
      <c r="P348" t="n">
        <v>0</v>
      </c>
      <c r="Q348" t="n">
        <v>0</v>
      </c>
      <c r="R348" s="2" t="inlineStr"/>
    </row>
    <row r="349" ht="15" customHeight="1">
      <c r="A349" t="inlineStr">
        <is>
          <t>A 40051-2024</t>
        </is>
      </c>
      <c r="B349" s="1" t="n">
        <v>45553</v>
      </c>
      <c r="C349" s="1" t="n">
        <v>45940</v>
      </c>
      <c r="D349" t="inlineStr">
        <is>
          <t>ÖREBRO LÄN</t>
        </is>
      </c>
      <c r="E349" t="inlineStr">
        <is>
          <t>ÖREBRO</t>
        </is>
      </c>
      <c r="G349" t="n">
        <v>3.5</v>
      </c>
      <c r="H349" t="n">
        <v>0</v>
      </c>
      <c r="I349" t="n">
        <v>0</v>
      </c>
      <c r="J349" t="n">
        <v>0</v>
      </c>
      <c r="K349" t="n">
        <v>0</v>
      </c>
      <c r="L349" t="n">
        <v>0</v>
      </c>
      <c r="M349" t="n">
        <v>0</v>
      </c>
      <c r="N349" t="n">
        <v>0</v>
      </c>
      <c r="O349" t="n">
        <v>0</v>
      </c>
      <c r="P349" t="n">
        <v>0</v>
      </c>
      <c r="Q349" t="n">
        <v>0</v>
      </c>
      <c r="R349" s="2" t="inlineStr"/>
    </row>
    <row r="350" ht="15" customHeight="1">
      <c r="A350" t="inlineStr">
        <is>
          <t>A 40231-2022</t>
        </is>
      </c>
      <c r="B350" s="1" t="n">
        <v>44820</v>
      </c>
      <c r="C350" s="1" t="n">
        <v>45940</v>
      </c>
      <c r="D350" t="inlineStr">
        <is>
          <t>ÖREBRO LÄN</t>
        </is>
      </c>
      <c r="E350" t="inlineStr">
        <is>
          <t>ÖREBRO</t>
        </is>
      </c>
      <c r="F350" t="inlineStr">
        <is>
          <t>Allmännings- och besparingsskogar</t>
        </is>
      </c>
      <c r="G350" t="n">
        <v>2.2</v>
      </c>
      <c r="H350" t="n">
        <v>0</v>
      </c>
      <c r="I350" t="n">
        <v>0</v>
      </c>
      <c r="J350" t="n">
        <v>0</v>
      </c>
      <c r="K350" t="n">
        <v>0</v>
      </c>
      <c r="L350" t="n">
        <v>0</v>
      </c>
      <c r="M350" t="n">
        <v>0</v>
      </c>
      <c r="N350" t="n">
        <v>0</v>
      </c>
      <c r="O350" t="n">
        <v>0</v>
      </c>
      <c r="P350" t="n">
        <v>0</v>
      </c>
      <c r="Q350" t="n">
        <v>0</v>
      </c>
      <c r="R350" s="2" t="inlineStr"/>
    </row>
    <row r="351" ht="15" customHeight="1">
      <c r="A351" t="inlineStr">
        <is>
          <t>A 50446-2023</t>
        </is>
      </c>
      <c r="B351" s="1" t="n">
        <v>45216</v>
      </c>
      <c r="C351" s="1" t="n">
        <v>45940</v>
      </c>
      <c r="D351" t="inlineStr">
        <is>
          <t>ÖREBRO LÄN</t>
        </is>
      </c>
      <c r="E351" t="inlineStr">
        <is>
          <t>ÖREBRO</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50450-2023</t>
        </is>
      </c>
      <c r="B352" s="1" t="n">
        <v>45216.73533564815</v>
      </c>
      <c r="C352" s="1" t="n">
        <v>45940</v>
      </c>
      <c r="D352" t="inlineStr">
        <is>
          <t>ÖREBRO LÄN</t>
        </is>
      </c>
      <c r="E352" t="inlineStr">
        <is>
          <t>ÖREBRO</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26117-2021</t>
        </is>
      </c>
      <c r="B353" s="1" t="n">
        <v>44345</v>
      </c>
      <c r="C353" s="1" t="n">
        <v>45940</v>
      </c>
      <c r="D353" t="inlineStr">
        <is>
          <t>ÖREBRO LÄN</t>
        </is>
      </c>
      <c r="E353" t="inlineStr">
        <is>
          <t>ÖREBRO</t>
        </is>
      </c>
      <c r="G353" t="n">
        <v>8.1</v>
      </c>
      <c r="H353" t="n">
        <v>0</v>
      </c>
      <c r="I353" t="n">
        <v>0</v>
      </c>
      <c r="J353" t="n">
        <v>0</v>
      </c>
      <c r="K353" t="n">
        <v>0</v>
      </c>
      <c r="L353" t="n">
        <v>0</v>
      </c>
      <c r="M353" t="n">
        <v>0</v>
      </c>
      <c r="N353" t="n">
        <v>0</v>
      </c>
      <c r="O353" t="n">
        <v>0</v>
      </c>
      <c r="P353" t="n">
        <v>0</v>
      </c>
      <c r="Q353" t="n">
        <v>0</v>
      </c>
      <c r="R353" s="2" t="inlineStr"/>
    </row>
    <row r="354" ht="15" customHeight="1">
      <c r="A354" t="inlineStr">
        <is>
          <t>A 28120-2025</t>
        </is>
      </c>
      <c r="B354" s="1" t="n">
        <v>45818.30459490741</v>
      </c>
      <c r="C354" s="1" t="n">
        <v>45940</v>
      </c>
      <c r="D354" t="inlineStr">
        <is>
          <t>ÖREBRO LÄN</t>
        </is>
      </c>
      <c r="E354" t="inlineStr">
        <is>
          <t>ÖREBRO</t>
        </is>
      </c>
      <c r="G354" t="n">
        <v>1.5</v>
      </c>
      <c r="H354" t="n">
        <v>0</v>
      </c>
      <c r="I354" t="n">
        <v>0</v>
      </c>
      <c r="J354" t="n">
        <v>0</v>
      </c>
      <c r="K354" t="n">
        <v>0</v>
      </c>
      <c r="L354" t="n">
        <v>0</v>
      </c>
      <c r="M354" t="n">
        <v>0</v>
      </c>
      <c r="N354" t="n">
        <v>0</v>
      </c>
      <c r="O354" t="n">
        <v>0</v>
      </c>
      <c r="P354" t="n">
        <v>0</v>
      </c>
      <c r="Q354" t="n">
        <v>0</v>
      </c>
      <c r="R354" s="2" t="inlineStr"/>
    </row>
    <row r="355" ht="15" customHeight="1">
      <c r="A355" t="inlineStr">
        <is>
          <t>A 14963-2025</t>
        </is>
      </c>
      <c r="B355" s="1" t="n">
        <v>45743.58699074074</v>
      </c>
      <c r="C355" s="1" t="n">
        <v>45940</v>
      </c>
      <c r="D355" t="inlineStr">
        <is>
          <t>ÖREBRO LÄN</t>
        </is>
      </c>
      <c r="E355" t="inlineStr">
        <is>
          <t>ÖREBRO</t>
        </is>
      </c>
      <c r="G355" t="n">
        <v>9.1</v>
      </c>
      <c r="H355" t="n">
        <v>0</v>
      </c>
      <c r="I355" t="n">
        <v>0</v>
      </c>
      <c r="J355" t="n">
        <v>0</v>
      </c>
      <c r="K355" t="n">
        <v>0</v>
      </c>
      <c r="L355" t="n">
        <v>0</v>
      </c>
      <c r="M355" t="n">
        <v>0</v>
      </c>
      <c r="N355" t="n">
        <v>0</v>
      </c>
      <c r="O355" t="n">
        <v>0</v>
      </c>
      <c r="P355" t="n">
        <v>0</v>
      </c>
      <c r="Q355" t="n">
        <v>0</v>
      </c>
      <c r="R355" s="2" t="inlineStr"/>
    </row>
    <row r="356" ht="15" customHeight="1">
      <c r="A356" t="inlineStr">
        <is>
          <t>A 66799-2020</t>
        </is>
      </c>
      <c r="B356" s="1" t="n">
        <v>44179</v>
      </c>
      <c r="C356" s="1" t="n">
        <v>45940</v>
      </c>
      <c r="D356" t="inlineStr">
        <is>
          <t>ÖREBRO LÄN</t>
        </is>
      </c>
      <c r="E356" t="inlineStr">
        <is>
          <t>ÖREBRO</t>
        </is>
      </c>
      <c r="G356" t="n">
        <v>5.2</v>
      </c>
      <c r="H356" t="n">
        <v>0</v>
      </c>
      <c r="I356" t="n">
        <v>0</v>
      </c>
      <c r="J356" t="n">
        <v>0</v>
      </c>
      <c r="K356" t="n">
        <v>0</v>
      </c>
      <c r="L356" t="n">
        <v>0</v>
      </c>
      <c r="M356" t="n">
        <v>0</v>
      </c>
      <c r="N356" t="n">
        <v>0</v>
      </c>
      <c r="O356" t="n">
        <v>0</v>
      </c>
      <c r="P356" t="n">
        <v>0</v>
      </c>
      <c r="Q356" t="n">
        <v>0</v>
      </c>
      <c r="R356" s="2" t="inlineStr"/>
    </row>
    <row r="357" ht="15" customHeight="1">
      <c r="A357" t="inlineStr">
        <is>
          <t>A 33455-2023</t>
        </is>
      </c>
      <c r="B357" s="1" t="n">
        <v>45130.98962962963</v>
      </c>
      <c r="C357" s="1" t="n">
        <v>45940</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2069-2025</t>
        </is>
      </c>
      <c r="B358" s="1" t="n">
        <v>45672.56614583333</v>
      </c>
      <c r="C358" s="1" t="n">
        <v>45940</v>
      </c>
      <c r="D358" t="inlineStr">
        <is>
          <t>ÖREBRO LÄN</t>
        </is>
      </c>
      <c r="E358" t="inlineStr">
        <is>
          <t>ÖREBRO</t>
        </is>
      </c>
      <c r="G358" t="n">
        <v>3.8</v>
      </c>
      <c r="H358" t="n">
        <v>0</v>
      </c>
      <c r="I358" t="n">
        <v>0</v>
      </c>
      <c r="J358" t="n">
        <v>0</v>
      </c>
      <c r="K358" t="n">
        <v>0</v>
      </c>
      <c r="L358" t="n">
        <v>0</v>
      </c>
      <c r="M358" t="n">
        <v>0</v>
      </c>
      <c r="N358" t="n">
        <v>0</v>
      </c>
      <c r="O358" t="n">
        <v>0</v>
      </c>
      <c r="P358" t="n">
        <v>0</v>
      </c>
      <c r="Q358" t="n">
        <v>0</v>
      </c>
      <c r="R358" s="2" t="inlineStr"/>
    </row>
    <row r="359" ht="15" customHeight="1">
      <c r="A359" t="inlineStr">
        <is>
          <t>A 6879-2024</t>
        </is>
      </c>
      <c r="B359" s="1" t="n">
        <v>45342.85280092592</v>
      </c>
      <c r="C359" s="1" t="n">
        <v>45940</v>
      </c>
      <c r="D359" t="inlineStr">
        <is>
          <t>ÖREBRO LÄN</t>
        </is>
      </c>
      <c r="E359" t="inlineStr">
        <is>
          <t>ÖREBRO</t>
        </is>
      </c>
      <c r="G359" t="n">
        <v>1.6</v>
      </c>
      <c r="H359" t="n">
        <v>0</v>
      </c>
      <c r="I359" t="n">
        <v>0</v>
      </c>
      <c r="J359" t="n">
        <v>0</v>
      </c>
      <c r="K359" t="n">
        <v>0</v>
      </c>
      <c r="L359" t="n">
        <v>0</v>
      </c>
      <c r="M359" t="n">
        <v>0</v>
      </c>
      <c r="N359" t="n">
        <v>0</v>
      </c>
      <c r="O359" t="n">
        <v>0</v>
      </c>
      <c r="P359" t="n">
        <v>0</v>
      </c>
      <c r="Q359" t="n">
        <v>0</v>
      </c>
      <c r="R359" s="2" t="inlineStr"/>
    </row>
    <row r="360" ht="15" customHeight="1">
      <c r="A360" t="inlineStr">
        <is>
          <t>A 58032-2023</t>
        </is>
      </c>
      <c r="B360" s="1" t="n">
        <v>45247</v>
      </c>
      <c r="C360" s="1" t="n">
        <v>45940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58035-2023</t>
        </is>
      </c>
      <c r="B361" s="1" t="n">
        <v>45247</v>
      </c>
      <c r="C361" s="1" t="n">
        <v>45940</v>
      </c>
      <c r="D361" t="inlineStr">
        <is>
          <t>ÖREBRO LÄN</t>
        </is>
      </c>
      <c r="E361" t="inlineStr">
        <is>
          <t>ÖREBRO</t>
        </is>
      </c>
      <c r="G361" t="n">
        <v>1.4</v>
      </c>
      <c r="H361" t="n">
        <v>0</v>
      </c>
      <c r="I361" t="n">
        <v>0</v>
      </c>
      <c r="J361" t="n">
        <v>0</v>
      </c>
      <c r="K361" t="n">
        <v>0</v>
      </c>
      <c r="L361" t="n">
        <v>0</v>
      </c>
      <c r="M361" t="n">
        <v>0</v>
      </c>
      <c r="N361" t="n">
        <v>0</v>
      </c>
      <c r="O361" t="n">
        <v>0</v>
      </c>
      <c r="P361" t="n">
        <v>0</v>
      </c>
      <c r="Q361" t="n">
        <v>0</v>
      </c>
      <c r="R361" s="2" t="inlineStr"/>
    </row>
    <row r="362" ht="15" customHeight="1">
      <c r="A362" t="inlineStr">
        <is>
          <t>A 58277-2022</t>
        </is>
      </c>
      <c r="B362" s="1" t="n">
        <v>44901.48108796297</v>
      </c>
      <c r="C362" s="1" t="n">
        <v>45940</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6387-2021</t>
        </is>
      </c>
      <c r="B363" s="1" t="n">
        <v>44235</v>
      </c>
      <c r="C363" s="1" t="n">
        <v>45940</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42518-2021</t>
        </is>
      </c>
      <c r="B364" s="1" t="n">
        <v>44427.81496527778</v>
      </c>
      <c r="C364" s="1" t="n">
        <v>45940</v>
      </c>
      <c r="D364" t="inlineStr">
        <is>
          <t>ÖREBRO LÄN</t>
        </is>
      </c>
      <c r="E364" t="inlineStr">
        <is>
          <t>ÖREBRO</t>
        </is>
      </c>
      <c r="G364" t="n">
        <v>4.5</v>
      </c>
      <c r="H364" t="n">
        <v>0</v>
      </c>
      <c r="I364" t="n">
        <v>0</v>
      </c>
      <c r="J364" t="n">
        <v>0</v>
      </c>
      <c r="K364" t="n">
        <v>0</v>
      </c>
      <c r="L364" t="n">
        <v>0</v>
      </c>
      <c r="M364" t="n">
        <v>0</v>
      </c>
      <c r="N364" t="n">
        <v>0</v>
      </c>
      <c r="O364" t="n">
        <v>0</v>
      </c>
      <c r="P364" t="n">
        <v>0</v>
      </c>
      <c r="Q364" t="n">
        <v>0</v>
      </c>
      <c r="R364" s="2" t="inlineStr"/>
    </row>
    <row r="365" ht="15" customHeight="1">
      <c r="A365" t="inlineStr">
        <is>
          <t>A 14524-2025</t>
        </is>
      </c>
      <c r="B365" s="1" t="n">
        <v>45741.64815972222</v>
      </c>
      <c r="C365" s="1" t="n">
        <v>45940</v>
      </c>
      <c r="D365" t="inlineStr">
        <is>
          <t>ÖREBRO LÄN</t>
        </is>
      </c>
      <c r="E365" t="inlineStr">
        <is>
          <t>ÖREBRO</t>
        </is>
      </c>
      <c r="G365" t="n">
        <v>2.8</v>
      </c>
      <c r="H365" t="n">
        <v>0</v>
      </c>
      <c r="I365" t="n">
        <v>0</v>
      </c>
      <c r="J365" t="n">
        <v>0</v>
      </c>
      <c r="K365" t="n">
        <v>0</v>
      </c>
      <c r="L365" t="n">
        <v>0</v>
      </c>
      <c r="M365" t="n">
        <v>0</v>
      </c>
      <c r="N365" t="n">
        <v>0</v>
      </c>
      <c r="O365" t="n">
        <v>0</v>
      </c>
      <c r="P365" t="n">
        <v>0</v>
      </c>
      <c r="Q365" t="n">
        <v>0</v>
      </c>
      <c r="R365" s="2" t="inlineStr"/>
    </row>
    <row r="366" ht="15" customHeight="1">
      <c r="A366" t="inlineStr">
        <is>
          <t>A 7506-2025</t>
        </is>
      </c>
      <c r="B366" s="1" t="n">
        <v>45705</v>
      </c>
      <c r="C366" s="1" t="n">
        <v>45940</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15354-2024</t>
        </is>
      </c>
      <c r="B367" s="1" t="n">
        <v>45400.85319444445</v>
      </c>
      <c r="C367" s="1" t="n">
        <v>45940</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41543-2024</t>
        </is>
      </c>
      <c r="B368" s="1" t="n">
        <v>45560</v>
      </c>
      <c r="C368" s="1" t="n">
        <v>45940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71275-2021</t>
        </is>
      </c>
      <c r="B369" s="1" t="n">
        <v>44539</v>
      </c>
      <c r="C369" s="1" t="n">
        <v>45940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71285-2021</t>
        </is>
      </c>
      <c r="B370" s="1" t="n">
        <v>44539.62236111111</v>
      </c>
      <c r="C370" s="1" t="n">
        <v>45940</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28938-2025</t>
        </is>
      </c>
      <c r="B371" s="1" t="n">
        <v>45820.70626157407</v>
      </c>
      <c r="C371" s="1" t="n">
        <v>45940</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2658-2023</t>
        </is>
      </c>
      <c r="B372" s="1" t="n">
        <v>44944</v>
      </c>
      <c r="C372" s="1" t="n">
        <v>45940</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31240-2023</t>
        </is>
      </c>
      <c r="B373" s="1" t="n">
        <v>45114</v>
      </c>
      <c r="C373" s="1" t="n">
        <v>45940</v>
      </c>
      <c r="D373" t="inlineStr">
        <is>
          <t>ÖREBRO LÄN</t>
        </is>
      </c>
      <c r="E373" t="inlineStr">
        <is>
          <t>ÖREBRO</t>
        </is>
      </c>
      <c r="F373" t="inlineStr">
        <is>
          <t>Allmännings- och besparingsskogar</t>
        </is>
      </c>
      <c r="G373" t="n">
        <v>6.2</v>
      </c>
      <c r="H373" t="n">
        <v>0</v>
      </c>
      <c r="I373" t="n">
        <v>0</v>
      </c>
      <c r="J373" t="n">
        <v>0</v>
      </c>
      <c r="K373" t="n">
        <v>0</v>
      </c>
      <c r="L373" t="n">
        <v>0</v>
      </c>
      <c r="M373" t="n">
        <v>0</v>
      </c>
      <c r="N373" t="n">
        <v>0</v>
      </c>
      <c r="O373" t="n">
        <v>0</v>
      </c>
      <c r="P373" t="n">
        <v>0</v>
      </c>
      <c r="Q373" t="n">
        <v>0</v>
      </c>
      <c r="R373" s="2" t="inlineStr"/>
    </row>
    <row r="374" ht="15" customHeight="1">
      <c r="A374" t="inlineStr">
        <is>
          <t>A 14717-2024</t>
        </is>
      </c>
      <c r="B374" s="1" t="n">
        <v>45397.55104166667</v>
      </c>
      <c r="C374" s="1" t="n">
        <v>45940</v>
      </c>
      <c r="D374" t="inlineStr">
        <is>
          <t>ÖREBRO LÄN</t>
        </is>
      </c>
      <c r="E374" t="inlineStr">
        <is>
          <t>ÖREBRO</t>
        </is>
      </c>
      <c r="G374" t="n">
        <v>0.7</v>
      </c>
      <c r="H374" t="n">
        <v>0</v>
      </c>
      <c r="I374" t="n">
        <v>0</v>
      </c>
      <c r="J374" t="n">
        <v>0</v>
      </c>
      <c r="K374" t="n">
        <v>0</v>
      </c>
      <c r="L374" t="n">
        <v>0</v>
      </c>
      <c r="M374" t="n">
        <v>0</v>
      </c>
      <c r="N374" t="n">
        <v>0</v>
      </c>
      <c r="O374" t="n">
        <v>0</v>
      </c>
      <c r="P374" t="n">
        <v>0</v>
      </c>
      <c r="Q374" t="n">
        <v>0</v>
      </c>
      <c r="R374" s="2" t="inlineStr"/>
    </row>
    <row r="375" ht="15" customHeight="1">
      <c r="A375" t="inlineStr">
        <is>
          <t>A 28920-2025</t>
        </is>
      </c>
      <c r="B375" s="1" t="n">
        <v>45820.66532407407</v>
      </c>
      <c r="C375" s="1" t="n">
        <v>45940</v>
      </c>
      <c r="D375" t="inlineStr">
        <is>
          <t>ÖREBRO LÄN</t>
        </is>
      </c>
      <c r="E375" t="inlineStr">
        <is>
          <t>ÖREBRO</t>
        </is>
      </c>
      <c r="G375" t="n">
        <v>3</v>
      </c>
      <c r="H375" t="n">
        <v>0</v>
      </c>
      <c r="I375" t="n">
        <v>0</v>
      </c>
      <c r="J375" t="n">
        <v>0</v>
      </c>
      <c r="K375" t="n">
        <v>0</v>
      </c>
      <c r="L375" t="n">
        <v>0</v>
      </c>
      <c r="M375" t="n">
        <v>0</v>
      </c>
      <c r="N375" t="n">
        <v>0</v>
      </c>
      <c r="O375" t="n">
        <v>0</v>
      </c>
      <c r="P375" t="n">
        <v>0</v>
      </c>
      <c r="Q375" t="n">
        <v>0</v>
      </c>
      <c r="R375" s="2" t="inlineStr"/>
    </row>
    <row r="376" ht="15" customHeight="1">
      <c r="A376" t="inlineStr">
        <is>
          <t>A 29339-2025</t>
        </is>
      </c>
      <c r="B376" s="1" t="n">
        <v>45824.5044212963</v>
      </c>
      <c r="C376" s="1" t="n">
        <v>45940</v>
      </c>
      <c r="D376" t="inlineStr">
        <is>
          <t>ÖREBRO LÄN</t>
        </is>
      </c>
      <c r="E376" t="inlineStr">
        <is>
          <t>ÖREBRO</t>
        </is>
      </c>
      <c r="G376" t="n">
        <v>4.3</v>
      </c>
      <c r="H376" t="n">
        <v>0</v>
      </c>
      <c r="I376" t="n">
        <v>0</v>
      </c>
      <c r="J376" t="n">
        <v>0</v>
      </c>
      <c r="K376" t="n">
        <v>0</v>
      </c>
      <c r="L376" t="n">
        <v>0</v>
      </c>
      <c r="M376" t="n">
        <v>0</v>
      </c>
      <c r="N376" t="n">
        <v>0</v>
      </c>
      <c r="O376" t="n">
        <v>0</v>
      </c>
      <c r="P376" t="n">
        <v>0</v>
      </c>
      <c r="Q376" t="n">
        <v>0</v>
      </c>
      <c r="R376" s="2" t="inlineStr"/>
    </row>
    <row r="377" ht="15" customHeight="1">
      <c r="A377" t="inlineStr">
        <is>
          <t>A 60059-2023</t>
        </is>
      </c>
      <c r="B377" s="1" t="n">
        <v>45258.38157407408</v>
      </c>
      <c r="C377" s="1" t="n">
        <v>45940</v>
      </c>
      <c r="D377" t="inlineStr">
        <is>
          <t>ÖREBRO LÄN</t>
        </is>
      </c>
      <c r="E377" t="inlineStr">
        <is>
          <t>ÖREBRO</t>
        </is>
      </c>
      <c r="G377" t="n">
        <v>4</v>
      </c>
      <c r="H377" t="n">
        <v>0</v>
      </c>
      <c r="I377" t="n">
        <v>0</v>
      </c>
      <c r="J377" t="n">
        <v>0</v>
      </c>
      <c r="K377" t="n">
        <v>0</v>
      </c>
      <c r="L377" t="n">
        <v>0</v>
      </c>
      <c r="M377" t="n">
        <v>0</v>
      </c>
      <c r="N377" t="n">
        <v>0</v>
      </c>
      <c r="O377" t="n">
        <v>0</v>
      </c>
      <c r="P377" t="n">
        <v>0</v>
      </c>
      <c r="Q377" t="n">
        <v>0</v>
      </c>
      <c r="R377" s="2" t="inlineStr"/>
    </row>
    <row r="378" ht="15" customHeight="1">
      <c r="A378" t="inlineStr">
        <is>
          <t>A 26858-2024</t>
        </is>
      </c>
      <c r="B378" s="1" t="n">
        <v>45470</v>
      </c>
      <c r="C378" s="1" t="n">
        <v>45940</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29701-2025</t>
        </is>
      </c>
      <c r="B379" s="1" t="n">
        <v>45825.55261574074</v>
      </c>
      <c r="C379" s="1" t="n">
        <v>45940</v>
      </c>
      <c r="D379" t="inlineStr">
        <is>
          <t>ÖREBRO LÄN</t>
        </is>
      </c>
      <c r="E379" t="inlineStr">
        <is>
          <t>ÖREBRO</t>
        </is>
      </c>
      <c r="G379" t="n">
        <v>5.8</v>
      </c>
      <c r="H379" t="n">
        <v>0</v>
      </c>
      <c r="I379" t="n">
        <v>0</v>
      </c>
      <c r="J379" t="n">
        <v>0</v>
      </c>
      <c r="K379" t="n">
        <v>0</v>
      </c>
      <c r="L379" t="n">
        <v>0</v>
      </c>
      <c r="M379" t="n">
        <v>0</v>
      </c>
      <c r="N379" t="n">
        <v>0</v>
      </c>
      <c r="O379" t="n">
        <v>0</v>
      </c>
      <c r="P379" t="n">
        <v>0</v>
      </c>
      <c r="Q379" t="n">
        <v>0</v>
      </c>
      <c r="R379" s="2" t="inlineStr"/>
    </row>
    <row r="380" ht="15" customHeight="1">
      <c r="A380" t="inlineStr">
        <is>
          <t>A 18550-2025</t>
        </is>
      </c>
      <c r="B380" s="1" t="n">
        <v>45763.43422453704</v>
      </c>
      <c r="C380" s="1" t="n">
        <v>45940</v>
      </c>
      <c r="D380" t="inlineStr">
        <is>
          <t>ÖREBRO LÄN</t>
        </is>
      </c>
      <c r="E380" t="inlineStr">
        <is>
          <t>ÖREBRO</t>
        </is>
      </c>
      <c r="G380" t="n">
        <v>11.5</v>
      </c>
      <c r="H380" t="n">
        <v>0</v>
      </c>
      <c r="I380" t="n">
        <v>0</v>
      </c>
      <c r="J380" t="n">
        <v>0</v>
      </c>
      <c r="K380" t="n">
        <v>0</v>
      </c>
      <c r="L380" t="n">
        <v>0</v>
      </c>
      <c r="M380" t="n">
        <v>0</v>
      </c>
      <c r="N380" t="n">
        <v>0</v>
      </c>
      <c r="O380" t="n">
        <v>0</v>
      </c>
      <c r="P380" t="n">
        <v>0</v>
      </c>
      <c r="Q380" t="n">
        <v>0</v>
      </c>
      <c r="R380" s="2" t="inlineStr"/>
    </row>
    <row r="381" ht="15" customHeight="1">
      <c r="A381" t="inlineStr">
        <is>
          <t>A 37968-2024</t>
        </is>
      </c>
      <c r="B381" s="1" t="n">
        <v>45544</v>
      </c>
      <c r="C381" s="1" t="n">
        <v>45940</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29286-2025</t>
        </is>
      </c>
      <c r="B382" s="1" t="n">
        <v>45824.43502314815</v>
      </c>
      <c r="C382" s="1" t="n">
        <v>45940</v>
      </c>
      <c r="D382" t="inlineStr">
        <is>
          <t>ÖREBRO LÄN</t>
        </is>
      </c>
      <c r="E382" t="inlineStr">
        <is>
          <t>ÖREBRO</t>
        </is>
      </c>
      <c r="G382" t="n">
        <v>1.2</v>
      </c>
      <c r="H382" t="n">
        <v>0</v>
      </c>
      <c r="I382" t="n">
        <v>0</v>
      </c>
      <c r="J382" t="n">
        <v>0</v>
      </c>
      <c r="K382" t="n">
        <v>0</v>
      </c>
      <c r="L382" t="n">
        <v>0</v>
      </c>
      <c r="M382" t="n">
        <v>0</v>
      </c>
      <c r="N382" t="n">
        <v>0</v>
      </c>
      <c r="O382" t="n">
        <v>0</v>
      </c>
      <c r="P382" t="n">
        <v>0</v>
      </c>
      <c r="Q382" t="n">
        <v>0</v>
      </c>
      <c r="R382" s="2" t="inlineStr"/>
    </row>
    <row r="383" ht="15" customHeight="1">
      <c r="A383" t="inlineStr">
        <is>
          <t>A 25443-2021</t>
        </is>
      </c>
      <c r="B383" s="1" t="n">
        <v>44342</v>
      </c>
      <c r="C383" s="1" t="n">
        <v>45940</v>
      </c>
      <c r="D383" t="inlineStr">
        <is>
          <t>ÖREBRO LÄN</t>
        </is>
      </c>
      <c r="E383" t="inlineStr">
        <is>
          <t>ÖREBRO</t>
        </is>
      </c>
      <c r="G383" t="n">
        <v>1</v>
      </c>
      <c r="H383" t="n">
        <v>0</v>
      </c>
      <c r="I383" t="n">
        <v>0</v>
      </c>
      <c r="J383" t="n">
        <v>0</v>
      </c>
      <c r="K383" t="n">
        <v>0</v>
      </c>
      <c r="L383" t="n">
        <v>0</v>
      </c>
      <c r="M383" t="n">
        <v>0</v>
      </c>
      <c r="N383" t="n">
        <v>0</v>
      </c>
      <c r="O383" t="n">
        <v>0</v>
      </c>
      <c r="P383" t="n">
        <v>0</v>
      </c>
      <c r="Q383" t="n">
        <v>0</v>
      </c>
      <c r="R383" s="2" t="inlineStr"/>
    </row>
    <row r="384" ht="15" customHeight="1">
      <c r="A384" t="inlineStr">
        <is>
          <t>A 13700-2024</t>
        </is>
      </c>
      <c r="B384" s="1" t="n">
        <v>45390.59277777778</v>
      </c>
      <c r="C384" s="1" t="n">
        <v>45940</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6213-2021</t>
        </is>
      </c>
      <c r="B385" s="1" t="n">
        <v>44232</v>
      </c>
      <c r="C385" s="1" t="n">
        <v>45940</v>
      </c>
      <c r="D385" t="inlineStr">
        <is>
          <t>ÖREBRO LÄN</t>
        </is>
      </c>
      <c r="E385" t="inlineStr">
        <is>
          <t>ÖREBRO</t>
        </is>
      </c>
      <c r="G385" t="n">
        <v>4</v>
      </c>
      <c r="H385" t="n">
        <v>0</v>
      </c>
      <c r="I385" t="n">
        <v>0</v>
      </c>
      <c r="J385" t="n">
        <v>0</v>
      </c>
      <c r="K385" t="n">
        <v>0</v>
      </c>
      <c r="L385" t="n">
        <v>0</v>
      </c>
      <c r="M385" t="n">
        <v>0</v>
      </c>
      <c r="N385" t="n">
        <v>0</v>
      </c>
      <c r="O385" t="n">
        <v>0</v>
      </c>
      <c r="P385" t="n">
        <v>0</v>
      </c>
      <c r="Q385" t="n">
        <v>0</v>
      </c>
      <c r="R385" s="2" t="inlineStr"/>
    </row>
    <row r="386" ht="15" customHeight="1">
      <c r="A386" t="inlineStr">
        <is>
          <t>A 11382-2023</t>
        </is>
      </c>
      <c r="B386" s="1" t="n">
        <v>44993.45635416666</v>
      </c>
      <c r="C386" s="1" t="n">
        <v>45940</v>
      </c>
      <c r="D386" t="inlineStr">
        <is>
          <t>ÖREBRO LÄN</t>
        </is>
      </c>
      <c r="E386" t="inlineStr">
        <is>
          <t>ÖREBRO</t>
        </is>
      </c>
      <c r="G386" t="n">
        <v>3.3</v>
      </c>
      <c r="H386" t="n">
        <v>0</v>
      </c>
      <c r="I386" t="n">
        <v>0</v>
      </c>
      <c r="J386" t="n">
        <v>0</v>
      </c>
      <c r="K386" t="n">
        <v>0</v>
      </c>
      <c r="L386" t="n">
        <v>0</v>
      </c>
      <c r="M386" t="n">
        <v>0</v>
      </c>
      <c r="N386" t="n">
        <v>0</v>
      </c>
      <c r="O386" t="n">
        <v>0</v>
      </c>
      <c r="P386" t="n">
        <v>0</v>
      </c>
      <c r="Q386" t="n">
        <v>0</v>
      </c>
      <c r="R386" s="2" t="inlineStr"/>
    </row>
    <row r="387" ht="15" customHeight="1">
      <c r="A387" t="inlineStr">
        <is>
          <t>A 52016-2024</t>
        </is>
      </c>
      <c r="B387" s="1" t="n">
        <v>45607.81917824074</v>
      </c>
      <c r="C387" s="1" t="n">
        <v>45940</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27112-2023</t>
        </is>
      </c>
      <c r="B388" s="1" t="n">
        <v>45096</v>
      </c>
      <c r="C388" s="1" t="n">
        <v>45940</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16739-2022</t>
        </is>
      </c>
      <c r="B389" s="1" t="n">
        <v>44673</v>
      </c>
      <c r="C389" s="1" t="n">
        <v>45940</v>
      </c>
      <c r="D389" t="inlineStr">
        <is>
          <t>ÖREBRO LÄN</t>
        </is>
      </c>
      <c r="E389" t="inlineStr">
        <is>
          <t>ÖREBRO</t>
        </is>
      </c>
      <c r="G389" t="n">
        <v>4.7</v>
      </c>
      <c r="H389" t="n">
        <v>0</v>
      </c>
      <c r="I389" t="n">
        <v>0</v>
      </c>
      <c r="J389" t="n">
        <v>0</v>
      </c>
      <c r="K389" t="n">
        <v>0</v>
      </c>
      <c r="L389" t="n">
        <v>0</v>
      </c>
      <c r="M389" t="n">
        <v>0</v>
      </c>
      <c r="N389" t="n">
        <v>0</v>
      </c>
      <c r="O389" t="n">
        <v>0</v>
      </c>
      <c r="P389" t="n">
        <v>0</v>
      </c>
      <c r="Q389" t="n">
        <v>0</v>
      </c>
      <c r="R389" s="2" t="inlineStr"/>
    </row>
    <row r="390" ht="15" customHeight="1">
      <c r="A390" t="inlineStr">
        <is>
          <t>A 8331-2021</t>
        </is>
      </c>
      <c r="B390" s="1" t="n">
        <v>44244</v>
      </c>
      <c r="C390" s="1" t="n">
        <v>45940</v>
      </c>
      <c r="D390" t="inlineStr">
        <is>
          <t>ÖREBRO LÄN</t>
        </is>
      </c>
      <c r="E390" t="inlineStr">
        <is>
          <t>ÖREBRO</t>
        </is>
      </c>
      <c r="G390" t="n">
        <v>9.1</v>
      </c>
      <c r="H390" t="n">
        <v>0</v>
      </c>
      <c r="I390" t="n">
        <v>0</v>
      </c>
      <c r="J390" t="n">
        <v>0</v>
      </c>
      <c r="K390" t="n">
        <v>0</v>
      </c>
      <c r="L390" t="n">
        <v>0</v>
      </c>
      <c r="M390" t="n">
        <v>0</v>
      </c>
      <c r="N390" t="n">
        <v>0</v>
      </c>
      <c r="O390" t="n">
        <v>0</v>
      </c>
      <c r="P390" t="n">
        <v>0</v>
      </c>
      <c r="Q390" t="n">
        <v>0</v>
      </c>
      <c r="R390" s="2" t="inlineStr"/>
    </row>
    <row r="391" ht="15" customHeight="1">
      <c r="A391" t="inlineStr">
        <is>
          <t>A 5398-2022</t>
        </is>
      </c>
      <c r="B391" s="1" t="n">
        <v>44595.3353587963</v>
      </c>
      <c r="C391" s="1" t="n">
        <v>45940</v>
      </c>
      <c r="D391" t="inlineStr">
        <is>
          <t>ÖREBRO LÄN</t>
        </is>
      </c>
      <c r="E391" t="inlineStr">
        <is>
          <t>ÖREBRO</t>
        </is>
      </c>
      <c r="G391" t="n">
        <v>2.1</v>
      </c>
      <c r="H391" t="n">
        <v>0</v>
      </c>
      <c r="I391" t="n">
        <v>0</v>
      </c>
      <c r="J391" t="n">
        <v>0</v>
      </c>
      <c r="K391" t="n">
        <v>0</v>
      </c>
      <c r="L391" t="n">
        <v>0</v>
      </c>
      <c r="M391" t="n">
        <v>0</v>
      </c>
      <c r="N391" t="n">
        <v>0</v>
      </c>
      <c r="O391" t="n">
        <v>0</v>
      </c>
      <c r="P391" t="n">
        <v>0</v>
      </c>
      <c r="Q391" t="n">
        <v>0</v>
      </c>
      <c r="R391" s="2" t="inlineStr"/>
    </row>
    <row r="392" ht="15" customHeight="1">
      <c r="A392" t="inlineStr">
        <is>
          <t>A 13592-2023</t>
        </is>
      </c>
      <c r="B392" s="1" t="n">
        <v>45006.56870370371</v>
      </c>
      <c r="C392" s="1" t="n">
        <v>45940</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40656-2023</t>
        </is>
      </c>
      <c r="B393" s="1" t="n">
        <v>45170</v>
      </c>
      <c r="C393" s="1" t="n">
        <v>45940</v>
      </c>
      <c r="D393" t="inlineStr">
        <is>
          <t>ÖREBRO LÄN</t>
        </is>
      </c>
      <c r="E393" t="inlineStr">
        <is>
          <t>ÖREBRO</t>
        </is>
      </c>
      <c r="F393" t="inlineStr">
        <is>
          <t>Övriga Aktiebolag</t>
        </is>
      </c>
      <c r="G393" t="n">
        <v>0.8</v>
      </c>
      <c r="H393" t="n">
        <v>0</v>
      </c>
      <c r="I393" t="n">
        <v>0</v>
      </c>
      <c r="J393" t="n">
        <v>0</v>
      </c>
      <c r="K393" t="n">
        <v>0</v>
      </c>
      <c r="L393" t="n">
        <v>0</v>
      </c>
      <c r="M393" t="n">
        <v>0</v>
      </c>
      <c r="N393" t="n">
        <v>0</v>
      </c>
      <c r="O393" t="n">
        <v>0</v>
      </c>
      <c r="P393" t="n">
        <v>0</v>
      </c>
      <c r="Q393" t="n">
        <v>0</v>
      </c>
      <c r="R393" s="2" t="inlineStr"/>
    </row>
    <row r="394" ht="15" customHeight="1">
      <c r="A394" t="inlineStr">
        <is>
          <t>A 12245-2023</t>
        </is>
      </c>
      <c r="B394" s="1" t="n">
        <v>44998.64402777778</v>
      </c>
      <c r="C394" s="1" t="n">
        <v>45940</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30550-2025</t>
        </is>
      </c>
      <c r="B395" s="1" t="n">
        <v>45831.38224537037</v>
      </c>
      <c r="C395" s="1" t="n">
        <v>45940</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38415-2023</t>
        </is>
      </c>
      <c r="B396" s="1" t="n">
        <v>45162.35502314815</v>
      </c>
      <c r="C396" s="1" t="n">
        <v>45940</v>
      </c>
      <c r="D396" t="inlineStr">
        <is>
          <t>ÖREBRO LÄN</t>
        </is>
      </c>
      <c r="E396" t="inlineStr">
        <is>
          <t>ÖREBRO</t>
        </is>
      </c>
      <c r="G396" t="n">
        <v>2.6</v>
      </c>
      <c r="H396" t="n">
        <v>0</v>
      </c>
      <c r="I396" t="n">
        <v>0</v>
      </c>
      <c r="J396" t="n">
        <v>0</v>
      </c>
      <c r="K396" t="n">
        <v>0</v>
      </c>
      <c r="L396" t="n">
        <v>0</v>
      </c>
      <c r="M396" t="n">
        <v>0</v>
      </c>
      <c r="N396" t="n">
        <v>0</v>
      </c>
      <c r="O396" t="n">
        <v>0</v>
      </c>
      <c r="P396" t="n">
        <v>0</v>
      </c>
      <c r="Q396" t="n">
        <v>0</v>
      </c>
      <c r="R396" s="2" t="inlineStr"/>
    </row>
    <row r="397" ht="15" customHeight="1">
      <c r="A397" t="inlineStr">
        <is>
          <t>A 41678-2024</t>
        </is>
      </c>
      <c r="B397" s="1" t="n">
        <v>45560</v>
      </c>
      <c r="C397" s="1" t="n">
        <v>45940</v>
      </c>
      <c r="D397" t="inlineStr">
        <is>
          <t>ÖREBRO LÄN</t>
        </is>
      </c>
      <c r="E397" t="inlineStr">
        <is>
          <t>ÖREBRO</t>
        </is>
      </c>
      <c r="G397" t="n">
        <v>11.3</v>
      </c>
      <c r="H397" t="n">
        <v>0</v>
      </c>
      <c r="I397" t="n">
        <v>0</v>
      </c>
      <c r="J397" t="n">
        <v>0</v>
      </c>
      <c r="K397" t="n">
        <v>0</v>
      </c>
      <c r="L397" t="n">
        <v>0</v>
      </c>
      <c r="M397" t="n">
        <v>0</v>
      </c>
      <c r="N397" t="n">
        <v>0</v>
      </c>
      <c r="O397" t="n">
        <v>0</v>
      </c>
      <c r="P397" t="n">
        <v>0</v>
      </c>
      <c r="Q397" t="n">
        <v>0</v>
      </c>
      <c r="R397" s="2" t="inlineStr"/>
    </row>
    <row r="398" ht="15" customHeight="1">
      <c r="A398" t="inlineStr">
        <is>
          <t>A 60128-2023</t>
        </is>
      </c>
      <c r="B398" s="1" t="n">
        <v>45258</v>
      </c>
      <c r="C398" s="1" t="n">
        <v>45940</v>
      </c>
      <c r="D398" t="inlineStr">
        <is>
          <t>ÖREBRO LÄN</t>
        </is>
      </c>
      <c r="E398" t="inlineStr">
        <is>
          <t>ÖREBRO</t>
        </is>
      </c>
      <c r="G398" t="n">
        <v>0.6</v>
      </c>
      <c r="H398" t="n">
        <v>0</v>
      </c>
      <c r="I398" t="n">
        <v>0</v>
      </c>
      <c r="J398" t="n">
        <v>0</v>
      </c>
      <c r="K398" t="n">
        <v>0</v>
      </c>
      <c r="L398" t="n">
        <v>0</v>
      </c>
      <c r="M398" t="n">
        <v>0</v>
      </c>
      <c r="N398" t="n">
        <v>0</v>
      </c>
      <c r="O398" t="n">
        <v>0</v>
      </c>
      <c r="P398" t="n">
        <v>0</v>
      </c>
      <c r="Q398" t="n">
        <v>0</v>
      </c>
      <c r="R398" s="2" t="inlineStr"/>
    </row>
    <row r="399" ht="15" customHeight="1">
      <c r="A399" t="inlineStr">
        <is>
          <t>A 30731-2025</t>
        </is>
      </c>
      <c r="B399" s="1" t="n">
        <v>45831.57280092593</v>
      </c>
      <c r="C399" s="1" t="n">
        <v>45940</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8008-2024</t>
        </is>
      </c>
      <c r="B400" s="1" t="n">
        <v>45350.6794212963</v>
      </c>
      <c r="C400" s="1" t="n">
        <v>45940</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18047-2023</t>
        </is>
      </c>
      <c r="B401" s="1" t="n">
        <v>45040</v>
      </c>
      <c r="C401" s="1" t="n">
        <v>45940</v>
      </c>
      <c r="D401" t="inlineStr">
        <is>
          <t>ÖREBRO LÄN</t>
        </is>
      </c>
      <c r="E401" t="inlineStr">
        <is>
          <t>ÖREBRO</t>
        </is>
      </c>
      <c r="G401" t="n">
        <v>3.9</v>
      </c>
      <c r="H401" t="n">
        <v>0</v>
      </c>
      <c r="I401" t="n">
        <v>0</v>
      </c>
      <c r="J401" t="n">
        <v>0</v>
      </c>
      <c r="K401" t="n">
        <v>0</v>
      </c>
      <c r="L401" t="n">
        <v>0</v>
      </c>
      <c r="M401" t="n">
        <v>0</v>
      </c>
      <c r="N401" t="n">
        <v>0</v>
      </c>
      <c r="O401" t="n">
        <v>0</v>
      </c>
      <c r="P401" t="n">
        <v>0</v>
      </c>
      <c r="Q401" t="n">
        <v>0</v>
      </c>
      <c r="R401" s="2" t="inlineStr"/>
    </row>
    <row r="402" ht="15" customHeight="1">
      <c r="A402" t="inlineStr">
        <is>
          <t>A 46834-2022</t>
        </is>
      </c>
      <c r="B402" s="1" t="n">
        <v>44851</v>
      </c>
      <c r="C402" s="1" t="n">
        <v>45940</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3789-2023</t>
        </is>
      </c>
      <c r="B403" s="1" t="n">
        <v>44951</v>
      </c>
      <c r="C403" s="1" t="n">
        <v>45940</v>
      </c>
      <c r="D403" t="inlineStr">
        <is>
          <t>ÖREBRO LÄN</t>
        </is>
      </c>
      <c r="E403" t="inlineStr">
        <is>
          <t>ÖREBRO</t>
        </is>
      </c>
      <c r="G403" t="n">
        <v>7.5</v>
      </c>
      <c r="H403" t="n">
        <v>0</v>
      </c>
      <c r="I403" t="n">
        <v>0</v>
      </c>
      <c r="J403" t="n">
        <v>0</v>
      </c>
      <c r="K403" t="n">
        <v>0</v>
      </c>
      <c r="L403" t="n">
        <v>0</v>
      </c>
      <c r="M403" t="n">
        <v>0</v>
      </c>
      <c r="N403" t="n">
        <v>0</v>
      </c>
      <c r="O403" t="n">
        <v>0</v>
      </c>
      <c r="P403" t="n">
        <v>0</v>
      </c>
      <c r="Q403" t="n">
        <v>0</v>
      </c>
      <c r="R403" s="2" t="inlineStr"/>
    </row>
    <row r="404" ht="15" customHeight="1">
      <c r="A404" t="inlineStr">
        <is>
          <t>A 13418-2024</t>
        </is>
      </c>
      <c r="B404" s="1" t="n">
        <v>45387.46482638889</v>
      </c>
      <c r="C404" s="1" t="n">
        <v>45940</v>
      </c>
      <c r="D404" t="inlineStr">
        <is>
          <t>ÖREBRO LÄN</t>
        </is>
      </c>
      <c r="E404" t="inlineStr">
        <is>
          <t>ÖREBRO</t>
        </is>
      </c>
      <c r="G404" t="n">
        <v>4.2</v>
      </c>
      <c r="H404" t="n">
        <v>0</v>
      </c>
      <c r="I404" t="n">
        <v>0</v>
      </c>
      <c r="J404" t="n">
        <v>0</v>
      </c>
      <c r="K404" t="n">
        <v>0</v>
      </c>
      <c r="L404" t="n">
        <v>0</v>
      </c>
      <c r="M404" t="n">
        <v>0</v>
      </c>
      <c r="N404" t="n">
        <v>0</v>
      </c>
      <c r="O404" t="n">
        <v>0</v>
      </c>
      <c r="P404" t="n">
        <v>0</v>
      </c>
      <c r="Q404" t="n">
        <v>0</v>
      </c>
      <c r="R404" s="2" t="inlineStr"/>
    </row>
    <row r="405" ht="15" customHeight="1">
      <c r="A405" t="inlineStr">
        <is>
          <t>A 49797-2024</t>
        </is>
      </c>
      <c r="B405" s="1" t="n">
        <v>45597.37265046296</v>
      </c>
      <c r="C405" s="1" t="n">
        <v>45940</v>
      </c>
      <c r="D405" t="inlineStr">
        <is>
          <t>ÖREBRO LÄN</t>
        </is>
      </c>
      <c r="E405" t="inlineStr">
        <is>
          <t>ÖREBRO</t>
        </is>
      </c>
      <c r="G405" t="n">
        <v>11.6</v>
      </c>
      <c r="H405" t="n">
        <v>0</v>
      </c>
      <c r="I405" t="n">
        <v>0</v>
      </c>
      <c r="J405" t="n">
        <v>0</v>
      </c>
      <c r="K405" t="n">
        <v>0</v>
      </c>
      <c r="L405" t="n">
        <v>0</v>
      </c>
      <c r="M405" t="n">
        <v>0</v>
      </c>
      <c r="N405" t="n">
        <v>0</v>
      </c>
      <c r="O405" t="n">
        <v>0</v>
      </c>
      <c r="P405" t="n">
        <v>0</v>
      </c>
      <c r="Q405" t="n">
        <v>0</v>
      </c>
      <c r="R405" s="2" t="inlineStr"/>
    </row>
    <row r="406" ht="15" customHeight="1">
      <c r="A406" t="inlineStr">
        <is>
          <t>A 31232-2025</t>
        </is>
      </c>
      <c r="B406" s="1" t="n">
        <v>45832.8252199074</v>
      </c>
      <c r="C406" s="1" t="n">
        <v>45940</v>
      </c>
      <c r="D406" t="inlineStr">
        <is>
          <t>ÖREBRO LÄN</t>
        </is>
      </c>
      <c r="E406" t="inlineStr">
        <is>
          <t>ÖREBRO</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30951-2025</t>
        </is>
      </c>
      <c r="B407" s="1" t="n">
        <v>45832.43225694444</v>
      </c>
      <c r="C407" s="1" t="n">
        <v>45940</v>
      </c>
      <c r="D407" t="inlineStr">
        <is>
          <t>ÖREBRO LÄN</t>
        </is>
      </c>
      <c r="E407" t="inlineStr">
        <is>
          <t>ÖREBRO</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57869-2024</t>
        </is>
      </c>
      <c r="B408" s="1" t="n">
        <v>45631.44207175926</v>
      </c>
      <c r="C408" s="1" t="n">
        <v>45940</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11565-2023</t>
        </is>
      </c>
      <c r="B409" s="1" t="n">
        <v>44994</v>
      </c>
      <c r="C409" s="1" t="n">
        <v>45940</v>
      </c>
      <c r="D409" t="inlineStr">
        <is>
          <t>ÖREBRO LÄN</t>
        </is>
      </c>
      <c r="E409" t="inlineStr">
        <is>
          <t>ÖREBRO</t>
        </is>
      </c>
      <c r="G409" t="n">
        <v>4.7</v>
      </c>
      <c r="H409" t="n">
        <v>0</v>
      </c>
      <c r="I409" t="n">
        <v>0</v>
      </c>
      <c r="J409" t="n">
        <v>0</v>
      </c>
      <c r="K409" t="n">
        <v>0</v>
      </c>
      <c r="L409" t="n">
        <v>0</v>
      </c>
      <c r="M409" t="n">
        <v>0</v>
      </c>
      <c r="N409" t="n">
        <v>0</v>
      </c>
      <c r="O409" t="n">
        <v>0</v>
      </c>
      <c r="P409" t="n">
        <v>0</v>
      </c>
      <c r="Q409" t="n">
        <v>0</v>
      </c>
      <c r="R409" s="2" t="inlineStr"/>
    </row>
    <row r="410" ht="15" customHeight="1">
      <c r="A410" t="inlineStr">
        <is>
          <t>A 31233-2025</t>
        </is>
      </c>
      <c r="B410" s="1" t="n">
        <v>45832.83341435185</v>
      </c>
      <c r="C410" s="1" t="n">
        <v>45940</v>
      </c>
      <c r="D410" t="inlineStr">
        <is>
          <t>ÖREBRO LÄN</t>
        </is>
      </c>
      <c r="E410" t="inlineStr">
        <is>
          <t>ÖREBRO</t>
        </is>
      </c>
      <c r="F410" t="inlineStr">
        <is>
          <t>Övriga Aktiebolag</t>
        </is>
      </c>
      <c r="G410" t="n">
        <v>2</v>
      </c>
      <c r="H410" t="n">
        <v>0</v>
      </c>
      <c r="I410" t="n">
        <v>0</v>
      </c>
      <c r="J410" t="n">
        <v>0</v>
      </c>
      <c r="K410" t="n">
        <v>0</v>
      </c>
      <c r="L410" t="n">
        <v>0</v>
      </c>
      <c r="M410" t="n">
        <v>0</v>
      </c>
      <c r="N410" t="n">
        <v>0</v>
      </c>
      <c r="O410" t="n">
        <v>0</v>
      </c>
      <c r="P410" t="n">
        <v>0</v>
      </c>
      <c r="Q410" t="n">
        <v>0</v>
      </c>
      <c r="R410" s="2" t="inlineStr"/>
    </row>
    <row r="411" ht="15" customHeight="1">
      <c r="A411" t="inlineStr">
        <is>
          <t>A 1647-2024</t>
        </is>
      </c>
      <c r="B411" s="1" t="n">
        <v>45306</v>
      </c>
      <c r="C411" s="1" t="n">
        <v>45940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31237-2025</t>
        </is>
      </c>
      <c r="B412" s="1" t="n">
        <v>45832.84313657408</v>
      </c>
      <c r="C412" s="1" t="n">
        <v>45940</v>
      </c>
      <c r="D412" t="inlineStr">
        <is>
          <t>ÖREBRO LÄN</t>
        </is>
      </c>
      <c r="E412" t="inlineStr">
        <is>
          <t>ÖREBRO</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31906-2023</t>
        </is>
      </c>
      <c r="B413" s="1" t="n">
        <v>45118.8353125</v>
      </c>
      <c r="C413" s="1" t="n">
        <v>45940</v>
      </c>
      <c r="D413" t="inlineStr">
        <is>
          <t>ÖREBRO LÄN</t>
        </is>
      </c>
      <c r="E413" t="inlineStr">
        <is>
          <t>ÖREBRO</t>
        </is>
      </c>
      <c r="G413" t="n">
        <v>9</v>
      </c>
      <c r="H413" t="n">
        <v>0</v>
      </c>
      <c r="I413" t="n">
        <v>0</v>
      </c>
      <c r="J413" t="n">
        <v>0</v>
      </c>
      <c r="K413" t="n">
        <v>0</v>
      </c>
      <c r="L413" t="n">
        <v>0</v>
      </c>
      <c r="M413" t="n">
        <v>0</v>
      </c>
      <c r="N413" t="n">
        <v>0</v>
      </c>
      <c r="O413" t="n">
        <v>0</v>
      </c>
      <c r="P413" t="n">
        <v>0</v>
      </c>
      <c r="Q413" t="n">
        <v>0</v>
      </c>
      <c r="R413" s="2" t="inlineStr"/>
    </row>
    <row r="414" ht="15" customHeight="1">
      <c r="A414" t="inlineStr">
        <is>
          <t>A 31066-2025</t>
        </is>
      </c>
      <c r="B414" s="1" t="n">
        <v>45832</v>
      </c>
      <c r="C414" s="1" t="n">
        <v>45940</v>
      </c>
      <c r="D414" t="inlineStr">
        <is>
          <t>ÖREBRO LÄN</t>
        </is>
      </c>
      <c r="E414" t="inlineStr">
        <is>
          <t>ÖREBRO</t>
        </is>
      </c>
      <c r="G414" t="n">
        <v>11.1</v>
      </c>
      <c r="H414" t="n">
        <v>0</v>
      </c>
      <c r="I414" t="n">
        <v>0</v>
      </c>
      <c r="J414" t="n">
        <v>0</v>
      </c>
      <c r="K414" t="n">
        <v>0</v>
      </c>
      <c r="L414" t="n">
        <v>0</v>
      </c>
      <c r="M414" t="n">
        <v>0</v>
      </c>
      <c r="N414" t="n">
        <v>0</v>
      </c>
      <c r="O414" t="n">
        <v>0</v>
      </c>
      <c r="P414" t="n">
        <v>0</v>
      </c>
      <c r="Q414" t="n">
        <v>0</v>
      </c>
      <c r="R414" s="2" t="inlineStr"/>
    </row>
    <row r="415" ht="15" customHeight="1">
      <c r="A415" t="inlineStr">
        <is>
          <t>A 8022-2022</t>
        </is>
      </c>
      <c r="B415" s="1" t="n">
        <v>44609</v>
      </c>
      <c r="C415" s="1" t="n">
        <v>45940</v>
      </c>
      <c r="D415" t="inlineStr">
        <is>
          <t>ÖREBRO LÄN</t>
        </is>
      </c>
      <c r="E415" t="inlineStr">
        <is>
          <t>ÖREBRO</t>
        </is>
      </c>
      <c r="G415" t="n">
        <v>5.6</v>
      </c>
      <c r="H415" t="n">
        <v>0</v>
      </c>
      <c r="I415" t="n">
        <v>0</v>
      </c>
      <c r="J415" t="n">
        <v>0</v>
      </c>
      <c r="K415" t="n">
        <v>0</v>
      </c>
      <c r="L415" t="n">
        <v>0</v>
      </c>
      <c r="M415" t="n">
        <v>0</v>
      </c>
      <c r="N415" t="n">
        <v>0</v>
      </c>
      <c r="O415" t="n">
        <v>0</v>
      </c>
      <c r="P415" t="n">
        <v>0</v>
      </c>
      <c r="Q415" t="n">
        <v>0</v>
      </c>
      <c r="R415" s="2" t="inlineStr"/>
    </row>
    <row r="416" ht="15" customHeight="1">
      <c r="A416" t="inlineStr">
        <is>
          <t>A 31326-2024</t>
        </is>
      </c>
      <c r="B416" s="1" t="n">
        <v>45504.5934375</v>
      </c>
      <c r="C416" s="1" t="n">
        <v>45940</v>
      </c>
      <c r="D416" t="inlineStr">
        <is>
          <t>ÖREBRO LÄN</t>
        </is>
      </c>
      <c r="E416" t="inlineStr">
        <is>
          <t>ÖREBRO</t>
        </is>
      </c>
      <c r="G416" t="n">
        <v>6.4</v>
      </c>
      <c r="H416" t="n">
        <v>0</v>
      </c>
      <c r="I416" t="n">
        <v>0</v>
      </c>
      <c r="J416" t="n">
        <v>0</v>
      </c>
      <c r="K416" t="n">
        <v>0</v>
      </c>
      <c r="L416" t="n">
        <v>0</v>
      </c>
      <c r="M416" t="n">
        <v>0</v>
      </c>
      <c r="N416" t="n">
        <v>0</v>
      </c>
      <c r="O416" t="n">
        <v>0</v>
      </c>
      <c r="P416" t="n">
        <v>0</v>
      </c>
      <c r="Q416" t="n">
        <v>0</v>
      </c>
      <c r="R416" s="2" t="inlineStr"/>
    </row>
    <row r="417" ht="15" customHeight="1">
      <c r="A417" t="inlineStr">
        <is>
          <t>A 29978-2024</t>
        </is>
      </c>
      <c r="B417" s="1" t="n">
        <v>45488.48340277778</v>
      </c>
      <c r="C417" s="1" t="n">
        <v>45940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70719-2021</t>
        </is>
      </c>
      <c r="B418" s="1" t="n">
        <v>44537</v>
      </c>
      <c r="C418" s="1" t="n">
        <v>45940</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19978-2025</t>
        </is>
      </c>
      <c r="B419" s="1" t="n">
        <v>45771.7062037037</v>
      </c>
      <c r="C419" s="1" t="n">
        <v>45940</v>
      </c>
      <c r="D419" t="inlineStr">
        <is>
          <t>ÖREBRO LÄN</t>
        </is>
      </c>
      <c r="E419" t="inlineStr">
        <is>
          <t>ÖREBRO</t>
        </is>
      </c>
      <c r="G419" t="n">
        <v>2</v>
      </c>
      <c r="H419" t="n">
        <v>0</v>
      </c>
      <c r="I419" t="n">
        <v>0</v>
      </c>
      <c r="J419" t="n">
        <v>0</v>
      </c>
      <c r="K419" t="n">
        <v>0</v>
      </c>
      <c r="L419" t="n">
        <v>0</v>
      </c>
      <c r="M419" t="n">
        <v>0</v>
      </c>
      <c r="N419" t="n">
        <v>0</v>
      </c>
      <c r="O419" t="n">
        <v>0</v>
      </c>
      <c r="P419" t="n">
        <v>0</v>
      </c>
      <c r="Q419" t="n">
        <v>0</v>
      </c>
      <c r="R419" s="2" t="inlineStr"/>
    </row>
    <row r="420" ht="15" customHeight="1">
      <c r="A420" t="inlineStr">
        <is>
          <t>A 32188-2025</t>
        </is>
      </c>
      <c r="B420" s="1" t="n">
        <v>45835.56965277778</v>
      </c>
      <c r="C420" s="1" t="n">
        <v>45940</v>
      </c>
      <c r="D420" t="inlineStr">
        <is>
          <t>ÖREBRO LÄN</t>
        </is>
      </c>
      <c r="E420" t="inlineStr">
        <is>
          <t>ÖREBRO</t>
        </is>
      </c>
      <c r="G420" t="n">
        <v>2.9</v>
      </c>
      <c r="H420" t="n">
        <v>0</v>
      </c>
      <c r="I420" t="n">
        <v>0</v>
      </c>
      <c r="J420" t="n">
        <v>0</v>
      </c>
      <c r="K420" t="n">
        <v>0</v>
      </c>
      <c r="L420" t="n">
        <v>0</v>
      </c>
      <c r="M420" t="n">
        <v>0</v>
      </c>
      <c r="N420" t="n">
        <v>0</v>
      </c>
      <c r="O420" t="n">
        <v>0</v>
      </c>
      <c r="P420" t="n">
        <v>0</v>
      </c>
      <c r="Q420" t="n">
        <v>0</v>
      </c>
      <c r="R420" s="2" t="inlineStr"/>
    </row>
    <row r="421" ht="15" customHeight="1">
      <c r="A421" t="inlineStr">
        <is>
          <t>A 32195-2025</t>
        </is>
      </c>
      <c r="B421" s="1" t="n">
        <v>45835.57407407407</v>
      </c>
      <c r="C421" s="1" t="n">
        <v>45940</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7134-2025</t>
        </is>
      </c>
      <c r="B422" s="1" t="n">
        <v>45702</v>
      </c>
      <c r="C422" s="1" t="n">
        <v>45940</v>
      </c>
      <c r="D422" t="inlineStr">
        <is>
          <t>ÖREBRO LÄN</t>
        </is>
      </c>
      <c r="E422" t="inlineStr">
        <is>
          <t>ÖREBRO</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16694-2025</t>
        </is>
      </c>
      <c r="B423" s="1" t="n">
        <v>45754.46480324074</v>
      </c>
      <c r="C423" s="1" t="n">
        <v>45940</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32218-2025</t>
        </is>
      </c>
      <c r="B424" s="1" t="n">
        <v>45835.58880787037</v>
      </c>
      <c r="C424" s="1" t="n">
        <v>45940</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30374-2023</t>
        </is>
      </c>
      <c r="B425" s="1" t="n">
        <v>45111</v>
      </c>
      <c r="C425" s="1" t="n">
        <v>45940</v>
      </c>
      <c r="D425" t="inlineStr">
        <is>
          <t>ÖREBRO LÄN</t>
        </is>
      </c>
      <c r="E425" t="inlineStr">
        <is>
          <t>ÖREBRO</t>
        </is>
      </c>
      <c r="F425" t="inlineStr">
        <is>
          <t>Övriga Aktiebolag</t>
        </is>
      </c>
      <c r="G425" t="n">
        <v>2.3</v>
      </c>
      <c r="H425" t="n">
        <v>0</v>
      </c>
      <c r="I425" t="n">
        <v>0</v>
      </c>
      <c r="J425" t="n">
        <v>0</v>
      </c>
      <c r="K425" t="n">
        <v>0</v>
      </c>
      <c r="L425" t="n">
        <v>0</v>
      </c>
      <c r="M425" t="n">
        <v>0</v>
      </c>
      <c r="N425" t="n">
        <v>0</v>
      </c>
      <c r="O425" t="n">
        <v>0</v>
      </c>
      <c r="P425" t="n">
        <v>0</v>
      </c>
      <c r="Q425" t="n">
        <v>0</v>
      </c>
      <c r="R425" s="2" t="inlineStr"/>
    </row>
    <row r="426" ht="15" customHeight="1">
      <c r="A426" t="inlineStr">
        <is>
          <t>A 38898-2023</t>
        </is>
      </c>
      <c r="B426" s="1" t="n">
        <v>45163</v>
      </c>
      <c r="C426" s="1" t="n">
        <v>45940</v>
      </c>
      <c r="D426" t="inlineStr">
        <is>
          <t>ÖREBRO LÄN</t>
        </is>
      </c>
      <c r="E426" t="inlineStr">
        <is>
          <t>ÖREBRO</t>
        </is>
      </c>
      <c r="G426" t="n">
        <v>5.1</v>
      </c>
      <c r="H426" t="n">
        <v>0</v>
      </c>
      <c r="I426" t="n">
        <v>0</v>
      </c>
      <c r="J426" t="n">
        <v>0</v>
      </c>
      <c r="K426" t="n">
        <v>0</v>
      </c>
      <c r="L426" t="n">
        <v>0</v>
      </c>
      <c r="M426" t="n">
        <v>0</v>
      </c>
      <c r="N426" t="n">
        <v>0</v>
      </c>
      <c r="O426" t="n">
        <v>0</v>
      </c>
      <c r="P426" t="n">
        <v>0</v>
      </c>
      <c r="Q426" t="n">
        <v>0</v>
      </c>
      <c r="R426" s="2" t="inlineStr"/>
    </row>
    <row r="427" ht="15" customHeight="1">
      <c r="A427" t="inlineStr">
        <is>
          <t>A 5764-2022</t>
        </is>
      </c>
      <c r="B427" s="1" t="n">
        <v>44596</v>
      </c>
      <c r="C427" s="1" t="n">
        <v>45940</v>
      </c>
      <c r="D427" t="inlineStr">
        <is>
          <t>ÖREBRO LÄN</t>
        </is>
      </c>
      <c r="E427" t="inlineStr">
        <is>
          <t>ÖREBRO</t>
        </is>
      </c>
      <c r="G427" t="n">
        <v>3.5</v>
      </c>
      <c r="H427" t="n">
        <v>0</v>
      </c>
      <c r="I427" t="n">
        <v>0</v>
      </c>
      <c r="J427" t="n">
        <v>0</v>
      </c>
      <c r="K427" t="n">
        <v>0</v>
      </c>
      <c r="L427" t="n">
        <v>0</v>
      </c>
      <c r="M427" t="n">
        <v>0</v>
      </c>
      <c r="N427" t="n">
        <v>0</v>
      </c>
      <c r="O427" t="n">
        <v>0</v>
      </c>
      <c r="P427" t="n">
        <v>0</v>
      </c>
      <c r="Q427" t="n">
        <v>0</v>
      </c>
      <c r="R427" s="2" t="inlineStr"/>
    </row>
    <row r="428" ht="15" customHeight="1">
      <c r="A428" t="inlineStr">
        <is>
          <t>A 21036-2024</t>
        </is>
      </c>
      <c r="B428" s="1" t="n">
        <v>45439.65954861111</v>
      </c>
      <c r="C428" s="1" t="n">
        <v>45940</v>
      </c>
      <c r="D428" t="inlineStr">
        <is>
          <t>ÖREBRO LÄN</t>
        </is>
      </c>
      <c r="E428" t="inlineStr">
        <is>
          <t>ÖREBRO</t>
        </is>
      </c>
      <c r="F428" t="inlineStr">
        <is>
          <t>Övriga Aktiebolag</t>
        </is>
      </c>
      <c r="G428" t="n">
        <v>5.7</v>
      </c>
      <c r="H428" t="n">
        <v>0</v>
      </c>
      <c r="I428" t="n">
        <v>0</v>
      </c>
      <c r="J428" t="n">
        <v>0</v>
      </c>
      <c r="K428" t="n">
        <v>0</v>
      </c>
      <c r="L428" t="n">
        <v>0</v>
      </c>
      <c r="M428" t="n">
        <v>0</v>
      </c>
      <c r="N428" t="n">
        <v>0</v>
      </c>
      <c r="O428" t="n">
        <v>0</v>
      </c>
      <c r="P428" t="n">
        <v>0</v>
      </c>
      <c r="Q428" t="n">
        <v>0</v>
      </c>
      <c r="R428" s="2" t="inlineStr"/>
    </row>
    <row r="429" ht="15" customHeight="1">
      <c r="A429" t="inlineStr">
        <is>
          <t>A 32904-2025</t>
        </is>
      </c>
      <c r="B429" s="1" t="n">
        <v>45839</v>
      </c>
      <c r="C429" s="1" t="n">
        <v>45940</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32426-2025</t>
        </is>
      </c>
      <c r="B430" s="1" t="n">
        <v>45838.36179398148</v>
      </c>
      <c r="C430" s="1" t="n">
        <v>45940</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16374-2022</t>
        </is>
      </c>
      <c r="B431" s="1" t="n">
        <v>44671</v>
      </c>
      <c r="C431" s="1" t="n">
        <v>45940</v>
      </c>
      <c r="D431" t="inlineStr">
        <is>
          <t>ÖREBRO LÄN</t>
        </is>
      </c>
      <c r="E431" t="inlineStr">
        <is>
          <t>ÖREBRO</t>
        </is>
      </c>
      <c r="F431" t="inlineStr">
        <is>
          <t>Övriga Aktiebolag</t>
        </is>
      </c>
      <c r="G431" t="n">
        <v>30.3</v>
      </c>
      <c r="H431" t="n">
        <v>0</v>
      </c>
      <c r="I431" t="n">
        <v>0</v>
      </c>
      <c r="J431" t="n">
        <v>0</v>
      </c>
      <c r="K431" t="n">
        <v>0</v>
      </c>
      <c r="L431" t="n">
        <v>0</v>
      </c>
      <c r="M431" t="n">
        <v>0</v>
      </c>
      <c r="N431" t="n">
        <v>0</v>
      </c>
      <c r="O431" t="n">
        <v>0</v>
      </c>
      <c r="P431" t="n">
        <v>0</v>
      </c>
      <c r="Q431" t="n">
        <v>0</v>
      </c>
      <c r="R431" s="2" t="inlineStr"/>
    </row>
    <row r="432" ht="15" customHeight="1">
      <c r="A432" t="inlineStr">
        <is>
          <t>A 27956-2023</t>
        </is>
      </c>
      <c r="B432" s="1" t="n">
        <v>45098</v>
      </c>
      <c r="C432" s="1" t="n">
        <v>45940</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33191-2025</t>
        </is>
      </c>
      <c r="B433" s="1" t="n">
        <v>45840.6003587963</v>
      </c>
      <c r="C433" s="1" t="n">
        <v>45940</v>
      </c>
      <c r="D433" t="inlineStr">
        <is>
          <t>ÖREBRO LÄN</t>
        </is>
      </c>
      <c r="E433" t="inlineStr">
        <is>
          <t>ÖREBRO</t>
        </is>
      </c>
      <c r="G433" t="n">
        <v>2.6</v>
      </c>
      <c r="H433" t="n">
        <v>0</v>
      </c>
      <c r="I433" t="n">
        <v>0</v>
      </c>
      <c r="J433" t="n">
        <v>0</v>
      </c>
      <c r="K433" t="n">
        <v>0</v>
      </c>
      <c r="L433" t="n">
        <v>0</v>
      </c>
      <c r="M433" t="n">
        <v>0</v>
      </c>
      <c r="N433" t="n">
        <v>0</v>
      </c>
      <c r="O433" t="n">
        <v>0</v>
      </c>
      <c r="P433" t="n">
        <v>0</v>
      </c>
      <c r="Q433" t="n">
        <v>0</v>
      </c>
      <c r="R433" s="2" t="inlineStr"/>
    </row>
    <row r="434" ht="15" customHeight="1">
      <c r="A434" t="inlineStr">
        <is>
          <t>A 13321-2024</t>
        </is>
      </c>
      <c r="B434" s="1" t="n">
        <v>45386.83142361111</v>
      </c>
      <c r="C434" s="1" t="n">
        <v>45940</v>
      </c>
      <c r="D434" t="inlineStr">
        <is>
          <t>ÖREBRO LÄN</t>
        </is>
      </c>
      <c r="E434" t="inlineStr">
        <is>
          <t>ÖREBRO</t>
        </is>
      </c>
      <c r="G434" t="n">
        <v>13.1</v>
      </c>
      <c r="H434" t="n">
        <v>0</v>
      </c>
      <c r="I434" t="n">
        <v>0</v>
      </c>
      <c r="J434" t="n">
        <v>0</v>
      </c>
      <c r="K434" t="n">
        <v>0</v>
      </c>
      <c r="L434" t="n">
        <v>0</v>
      </c>
      <c r="M434" t="n">
        <v>0</v>
      </c>
      <c r="N434" t="n">
        <v>0</v>
      </c>
      <c r="O434" t="n">
        <v>0</v>
      </c>
      <c r="P434" t="n">
        <v>0</v>
      </c>
      <c r="Q434" t="n">
        <v>0</v>
      </c>
      <c r="R434" s="2" t="inlineStr"/>
    </row>
    <row r="435" ht="15" customHeight="1">
      <c r="A435" t="inlineStr">
        <is>
          <t>A 33019-2025</t>
        </is>
      </c>
      <c r="B435" s="1" t="n">
        <v>45840</v>
      </c>
      <c r="C435" s="1" t="n">
        <v>45940</v>
      </c>
      <c r="D435" t="inlineStr">
        <is>
          <t>ÖREBRO LÄN</t>
        </is>
      </c>
      <c r="E435" t="inlineStr">
        <is>
          <t>ÖREBRO</t>
        </is>
      </c>
      <c r="G435" t="n">
        <v>4.2</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45940</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15652-2025</t>
        </is>
      </c>
      <c r="B437" s="1" t="n">
        <v>45748</v>
      </c>
      <c r="C437" s="1" t="n">
        <v>45940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1492-2022</t>
        </is>
      </c>
      <c r="B438" s="1" t="n">
        <v>44573</v>
      </c>
      <c r="C438" s="1" t="n">
        <v>45940</v>
      </c>
      <c r="D438" t="inlineStr">
        <is>
          <t>ÖREBRO LÄN</t>
        </is>
      </c>
      <c r="E438" t="inlineStr">
        <is>
          <t>ÖREBRO</t>
        </is>
      </c>
      <c r="G438" t="n">
        <v>1.3</v>
      </c>
      <c r="H438" t="n">
        <v>0</v>
      </c>
      <c r="I438" t="n">
        <v>0</v>
      </c>
      <c r="J438" t="n">
        <v>0</v>
      </c>
      <c r="K438" t="n">
        <v>0</v>
      </c>
      <c r="L438" t="n">
        <v>0</v>
      </c>
      <c r="M438" t="n">
        <v>0</v>
      </c>
      <c r="N438" t="n">
        <v>0</v>
      </c>
      <c r="O438" t="n">
        <v>0</v>
      </c>
      <c r="P438" t="n">
        <v>0</v>
      </c>
      <c r="Q438" t="n">
        <v>0</v>
      </c>
      <c r="R438" s="2" t="inlineStr"/>
    </row>
    <row r="439" ht="15" customHeight="1">
      <c r="A439" t="inlineStr">
        <is>
          <t>A 5946-2021</t>
        </is>
      </c>
      <c r="B439" s="1" t="n">
        <v>44230</v>
      </c>
      <c r="C439" s="1" t="n">
        <v>45940</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58615-2024</t>
        </is>
      </c>
      <c r="B440" s="1" t="n">
        <v>45635.5587037037</v>
      </c>
      <c r="C440" s="1" t="n">
        <v>45940</v>
      </c>
      <c r="D440" t="inlineStr">
        <is>
          <t>ÖREBRO LÄN</t>
        </is>
      </c>
      <c r="E440" t="inlineStr">
        <is>
          <t>ÖREBRO</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58620-2024</t>
        </is>
      </c>
      <c r="B441" s="1" t="n">
        <v>45635.56246527778</v>
      </c>
      <c r="C441" s="1" t="n">
        <v>45940</v>
      </c>
      <c r="D441" t="inlineStr">
        <is>
          <t>ÖREBRO LÄN</t>
        </is>
      </c>
      <c r="E441" t="inlineStr">
        <is>
          <t>ÖREBRO</t>
        </is>
      </c>
      <c r="F441" t="inlineStr">
        <is>
          <t>Sveaskog</t>
        </is>
      </c>
      <c r="G441" t="n">
        <v>4.5</v>
      </c>
      <c r="H441" t="n">
        <v>0</v>
      </c>
      <c r="I441" t="n">
        <v>0</v>
      </c>
      <c r="J441" t="n">
        <v>0</v>
      </c>
      <c r="K441" t="n">
        <v>0</v>
      </c>
      <c r="L441" t="n">
        <v>0</v>
      </c>
      <c r="M441" t="n">
        <v>0</v>
      </c>
      <c r="N441" t="n">
        <v>0</v>
      </c>
      <c r="O441" t="n">
        <v>0</v>
      </c>
      <c r="P441" t="n">
        <v>0</v>
      </c>
      <c r="Q441" t="n">
        <v>0</v>
      </c>
      <c r="R441" s="2" t="inlineStr"/>
    </row>
    <row r="442" ht="15" customHeight="1">
      <c r="A442" t="inlineStr">
        <is>
          <t>A 16737-2023</t>
        </is>
      </c>
      <c r="B442" s="1" t="n">
        <v>45030.72472222222</v>
      </c>
      <c r="C442" s="1" t="n">
        <v>45940</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1014-2024</t>
        </is>
      </c>
      <c r="B443" s="1" t="n">
        <v>45301</v>
      </c>
      <c r="C443" s="1" t="n">
        <v>45940</v>
      </c>
      <c r="D443" t="inlineStr">
        <is>
          <t>ÖREBRO LÄN</t>
        </is>
      </c>
      <c r="E443" t="inlineStr">
        <is>
          <t>ÖREBRO</t>
        </is>
      </c>
      <c r="G443" t="n">
        <v>1.4</v>
      </c>
      <c r="H443" t="n">
        <v>0</v>
      </c>
      <c r="I443" t="n">
        <v>0</v>
      </c>
      <c r="J443" t="n">
        <v>0</v>
      </c>
      <c r="K443" t="n">
        <v>0</v>
      </c>
      <c r="L443" t="n">
        <v>0</v>
      </c>
      <c r="M443" t="n">
        <v>0</v>
      </c>
      <c r="N443" t="n">
        <v>0</v>
      </c>
      <c r="O443" t="n">
        <v>0</v>
      </c>
      <c r="P443" t="n">
        <v>0</v>
      </c>
      <c r="Q443" t="n">
        <v>0</v>
      </c>
      <c r="R443" s="2" t="inlineStr"/>
    </row>
    <row r="444" ht="15" customHeight="1">
      <c r="A444" t="inlineStr">
        <is>
          <t>A 30472-2022</t>
        </is>
      </c>
      <c r="B444" s="1" t="n">
        <v>44761.70467592592</v>
      </c>
      <c r="C444" s="1" t="n">
        <v>45940</v>
      </c>
      <c r="D444" t="inlineStr">
        <is>
          <t>ÖREBRO LÄN</t>
        </is>
      </c>
      <c r="E444" t="inlineStr">
        <is>
          <t>ÖREBRO</t>
        </is>
      </c>
      <c r="F444" t="inlineStr">
        <is>
          <t>Övriga Aktiebolag</t>
        </is>
      </c>
      <c r="G444" t="n">
        <v>5.6</v>
      </c>
      <c r="H444" t="n">
        <v>0</v>
      </c>
      <c r="I444" t="n">
        <v>0</v>
      </c>
      <c r="J444" t="n">
        <v>0</v>
      </c>
      <c r="K444" t="n">
        <v>0</v>
      </c>
      <c r="L444" t="n">
        <v>0</v>
      </c>
      <c r="M444" t="n">
        <v>0</v>
      </c>
      <c r="N444" t="n">
        <v>0</v>
      </c>
      <c r="O444" t="n">
        <v>0</v>
      </c>
      <c r="P444" t="n">
        <v>0</v>
      </c>
      <c r="Q444" t="n">
        <v>0</v>
      </c>
      <c r="R444" s="2" t="inlineStr"/>
    </row>
    <row r="445" ht="15" customHeight="1">
      <c r="A445" t="inlineStr">
        <is>
          <t>A 34056-2023</t>
        </is>
      </c>
      <c r="B445" s="1" t="n">
        <v>45135</v>
      </c>
      <c r="C445" s="1" t="n">
        <v>45940</v>
      </c>
      <c r="D445" t="inlineStr">
        <is>
          <t>ÖREBRO LÄN</t>
        </is>
      </c>
      <c r="E445" t="inlineStr">
        <is>
          <t>ÖREBRO</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43612-2022</t>
        </is>
      </c>
      <c r="B446" s="1" t="n">
        <v>44837</v>
      </c>
      <c r="C446" s="1" t="n">
        <v>45940</v>
      </c>
      <c r="D446" t="inlineStr">
        <is>
          <t>ÖREBRO LÄN</t>
        </is>
      </c>
      <c r="E446" t="inlineStr">
        <is>
          <t>ÖREBRO</t>
        </is>
      </c>
      <c r="G446" t="n">
        <v>0.6</v>
      </c>
      <c r="H446" t="n">
        <v>0</v>
      </c>
      <c r="I446" t="n">
        <v>0</v>
      </c>
      <c r="J446" t="n">
        <v>0</v>
      </c>
      <c r="K446" t="n">
        <v>0</v>
      </c>
      <c r="L446" t="n">
        <v>0</v>
      </c>
      <c r="M446" t="n">
        <v>0</v>
      </c>
      <c r="N446" t="n">
        <v>0</v>
      </c>
      <c r="O446" t="n">
        <v>0</v>
      </c>
      <c r="P446" t="n">
        <v>0</v>
      </c>
      <c r="Q446" t="n">
        <v>0</v>
      </c>
      <c r="R446" s="2" t="inlineStr"/>
    </row>
    <row r="447" ht="15" customHeight="1">
      <c r="A447" t="inlineStr">
        <is>
          <t>A 51373-2023</t>
        </is>
      </c>
      <c r="B447" s="1" t="n">
        <v>45213</v>
      </c>
      <c r="C447" s="1" t="n">
        <v>45940</v>
      </c>
      <c r="D447" t="inlineStr">
        <is>
          <t>ÖREBRO LÄN</t>
        </is>
      </c>
      <c r="E447" t="inlineStr">
        <is>
          <t>ÖREBRO</t>
        </is>
      </c>
      <c r="G447" t="n">
        <v>5.9</v>
      </c>
      <c r="H447" t="n">
        <v>0</v>
      </c>
      <c r="I447" t="n">
        <v>0</v>
      </c>
      <c r="J447" t="n">
        <v>0</v>
      </c>
      <c r="K447" t="n">
        <v>0</v>
      </c>
      <c r="L447" t="n">
        <v>0</v>
      </c>
      <c r="M447" t="n">
        <v>0</v>
      </c>
      <c r="N447" t="n">
        <v>0</v>
      </c>
      <c r="O447" t="n">
        <v>0</v>
      </c>
      <c r="P447" t="n">
        <v>0</v>
      </c>
      <c r="Q447" t="n">
        <v>0</v>
      </c>
      <c r="R447" s="2" t="inlineStr"/>
    </row>
    <row r="448" ht="15" customHeight="1">
      <c r="A448" t="inlineStr">
        <is>
          <t>A 35843-2022</t>
        </is>
      </c>
      <c r="B448" s="1" t="n">
        <v>44802</v>
      </c>
      <c r="C448" s="1" t="n">
        <v>45940</v>
      </c>
      <c r="D448" t="inlineStr">
        <is>
          <t>ÖREBRO LÄN</t>
        </is>
      </c>
      <c r="E448" t="inlineStr">
        <is>
          <t>ÖREBRO</t>
        </is>
      </c>
      <c r="G448" t="n">
        <v>2.4</v>
      </c>
      <c r="H448" t="n">
        <v>0</v>
      </c>
      <c r="I448" t="n">
        <v>0</v>
      </c>
      <c r="J448" t="n">
        <v>0</v>
      </c>
      <c r="K448" t="n">
        <v>0</v>
      </c>
      <c r="L448" t="n">
        <v>0</v>
      </c>
      <c r="M448" t="n">
        <v>0</v>
      </c>
      <c r="N448" t="n">
        <v>0</v>
      </c>
      <c r="O448" t="n">
        <v>0</v>
      </c>
      <c r="P448" t="n">
        <v>0</v>
      </c>
      <c r="Q448" t="n">
        <v>0</v>
      </c>
      <c r="R448" s="2" t="inlineStr"/>
    </row>
    <row r="449" ht="15" customHeight="1">
      <c r="A449" t="inlineStr">
        <is>
          <t>A 13599-2025</t>
        </is>
      </c>
      <c r="B449" s="1" t="n">
        <v>45736.60597222222</v>
      </c>
      <c r="C449" s="1" t="n">
        <v>45940</v>
      </c>
      <c r="D449" t="inlineStr">
        <is>
          <t>ÖREBRO LÄN</t>
        </is>
      </c>
      <c r="E449" t="inlineStr">
        <is>
          <t>ÖREBRO</t>
        </is>
      </c>
      <c r="G449" t="n">
        <v>1.9</v>
      </c>
      <c r="H449" t="n">
        <v>0</v>
      </c>
      <c r="I449" t="n">
        <v>0</v>
      </c>
      <c r="J449" t="n">
        <v>0</v>
      </c>
      <c r="K449" t="n">
        <v>0</v>
      </c>
      <c r="L449" t="n">
        <v>0</v>
      </c>
      <c r="M449" t="n">
        <v>0</v>
      </c>
      <c r="N449" t="n">
        <v>0</v>
      </c>
      <c r="O449" t="n">
        <v>0</v>
      </c>
      <c r="P449" t="n">
        <v>0</v>
      </c>
      <c r="Q449" t="n">
        <v>0</v>
      </c>
      <c r="R449" s="2" t="inlineStr"/>
    </row>
    <row r="450" ht="15" customHeight="1">
      <c r="A450" t="inlineStr">
        <is>
          <t>A 5762-2025</t>
        </is>
      </c>
      <c r="B450" s="1" t="n">
        <v>45694.57181712963</v>
      </c>
      <c r="C450" s="1" t="n">
        <v>45940</v>
      </c>
      <c r="D450" t="inlineStr">
        <is>
          <t>ÖREBRO LÄN</t>
        </is>
      </c>
      <c r="E450" t="inlineStr">
        <is>
          <t>ÖREBRO</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51180-2023</t>
        </is>
      </c>
      <c r="B451" s="1" t="n">
        <v>45219</v>
      </c>
      <c r="C451" s="1" t="n">
        <v>45940</v>
      </c>
      <c r="D451" t="inlineStr">
        <is>
          <t>ÖREBRO LÄN</t>
        </is>
      </c>
      <c r="E451" t="inlineStr">
        <is>
          <t>ÖREBRO</t>
        </is>
      </c>
      <c r="G451" t="n">
        <v>6.5</v>
      </c>
      <c r="H451" t="n">
        <v>0</v>
      </c>
      <c r="I451" t="n">
        <v>0</v>
      </c>
      <c r="J451" t="n">
        <v>0</v>
      </c>
      <c r="K451" t="n">
        <v>0</v>
      </c>
      <c r="L451" t="n">
        <v>0</v>
      </c>
      <c r="M451" t="n">
        <v>0</v>
      </c>
      <c r="N451" t="n">
        <v>0</v>
      </c>
      <c r="O451" t="n">
        <v>0</v>
      </c>
      <c r="P451" t="n">
        <v>0</v>
      </c>
      <c r="Q451" t="n">
        <v>0</v>
      </c>
      <c r="R451" s="2" t="inlineStr"/>
    </row>
    <row r="452" ht="15" customHeight="1">
      <c r="A452" t="inlineStr">
        <is>
          <t>A 20146-2024</t>
        </is>
      </c>
      <c r="B452" s="1" t="n">
        <v>45434.57641203704</v>
      </c>
      <c r="C452" s="1" t="n">
        <v>45940</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58621-2024</t>
        </is>
      </c>
      <c r="B453" s="1" t="n">
        <v>45635.56321759259</v>
      </c>
      <c r="C453" s="1" t="n">
        <v>45940</v>
      </c>
      <c r="D453" t="inlineStr">
        <is>
          <t>ÖREBRO LÄN</t>
        </is>
      </c>
      <c r="E453" t="inlineStr">
        <is>
          <t>ÖREBRO</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10937-2024</t>
        </is>
      </c>
      <c r="B454" s="1" t="n">
        <v>45370.44461805555</v>
      </c>
      <c r="C454" s="1" t="n">
        <v>45940</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20115-2024</t>
        </is>
      </c>
      <c r="B455" s="1" t="n">
        <v>45434</v>
      </c>
      <c r="C455" s="1" t="n">
        <v>45940</v>
      </c>
      <c r="D455" t="inlineStr">
        <is>
          <t>ÖREBRO LÄN</t>
        </is>
      </c>
      <c r="E455" t="inlineStr">
        <is>
          <t>ÖREBRO</t>
        </is>
      </c>
      <c r="G455" t="n">
        <v>1.7</v>
      </c>
      <c r="H455" t="n">
        <v>0</v>
      </c>
      <c r="I455" t="n">
        <v>0</v>
      </c>
      <c r="J455" t="n">
        <v>0</v>
      </c>
      <c r="K455" t="n">
        <v>0</v>
      </c>
      <c r="L455" t="n">
        <v>0</v>
      </c>
      <c r="M455" t="n">
        <v>0</v>
      </c>
      <c r="N455" t="n">
        <v>0</v>
      </c>
      <c r="O455" t="n">
        <v>0</v>
      </c>
      <c r="P455" t="n">
        <v>0</v>
      </c>
      <c r="Q455" t="n">
        <v>0</v>
      </c>
      <c r="R455" s="2" t="inlineStr"/>
    </row>
    <row r="456" ht="15" customHeight="1">
      <c r="A456" t="inlineStr">
        <is>
          <t>A 16936-2023</t>
        </is>
      </c>
      <c r="B456" s="1" t="n">
        <v>45033.63005787037</v>
      </c>
      <c r="C456" s="1" t="n">
        <v>45940</v>
      </c>
      <c r="D456" t="inlineStr">
        <is>
          <t>ÖREBRO LÄN</t>
        </is>
      </c>
      <c r="E456" t="inlineStr">
        <is>
          <t>ÖREBRO</t>
        </is>
      </c>
      <c r="G456" t="n">
        <v>2</v>
      </c>
      <c r="H456" t="n">
        <v>0</v>
      </c>
      <c r="I456" t="n">
        <v>0</v>
      </c>
      <c r="J456" t="n">
        <v>0</v>
      </c>
      <c r="K456" t="n">
        <v>0</v>
      </c>
      <c r="L456" t="n">
        <v>0</v>
      </c>
      <c r="M456" t="n">
        <v>0</v>
      </c>
      <c r="N456" t="n">
        <v>0</v>
      </c>
      <c r="O456" t="n">
        <v>0</v>
      </c>
      <c r="P456" t="n">
        <v>0</v>
      </c>
      <c r="Q456" t="n">
        <v>0</v>
      </c>
      <c r="R456" s="2" t="inlineStr"/>
    </row>
    <row r="457" ht="15" customHeight="1">
      <c r="A457" t="inlineStr">
        <is>
          <t>A 40588-2021</t>
        </is>
      </c>
      <c r="B457" s="1" t="n">
        <v>44420</v>
      </c>
      <c r="C457" s="1" t="n">
        <v>45940</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8565-2021</t>
        </is>
      </c>
      <c r="B458" s="1" t="n">
        <v>44245</v>
      </c>
      <c r="C458" s="1" t="n">
        <v>45940</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8575-2021</t>
        </is>
      </c>
      <c r="B459" s="1" t="n">
        <v>44245</v>
      </c>
      <c r="C459" s="1" t="n">
        <v>45940</v>
      </c>
      <c r="D459" t="inlineStr">
        <is>
          <t>ÖREBRO LÄN</t>
        </is>
      </c>
      <c r="E459" t="inlineStr">
        <is>
          <t>ÖREBRO</t>
        </is>
      </c>
      <c r="G459" t="n">
        <v>3.4</v>
      </c>
      <c r="H459" t="n">
        <v>0</v>
      </c>
      <c r="I459" t="n">
        <v>0</v>
      </c>
      <c r="J459" t="n">
        <v>0</v>
      </c>
      <c r="K459" t="n">
        <v>0</v>
      </c>
      <c r="L459" t="n">
        <v>0</v>
      </c>
      <c r="M459" t="n">
        <v>0</v>
      </c>
      <c r="N459" t="n">
        <v>0</v>
      </c>
      <c r="O459" t="n">
        <v>0</v>
      </c>
      <c r="P459" t="n">
        <v>0</v>
      </c>
      <c r="Q459" t="n">
        <v>0</v>
      </c>
      <c r="R459" s="2" t="inlineStr"/>
    </row>
    <row r="460" ht="15" customHeight="1">
      <c r="A460" t="inlineStr">
        <is>
          <t>A 57485-2023</t>
        </is>
      </c>
      <c r="B460" s="1" t="n">
        <v>45246</v>
      </c>
      <c r="C460" s="1" t="n">
        <v>45940</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5578-2024</t>
        </is>
      </c>
      <c r="B461" s="1" t="n">
        <v>45334.49104166667</v>
      </c>
      <c r="C461" s="1" t="n">
        <v>45940</v>
      </c>
      <c r="D461" t="inlineStr">
        <is>
          <t>ÖREBRO LÄN</t>
        </is>
      </c>
      <c r="E461" t="inlineStr">
        <is>
          <t>ÖREBRO</t>
        </is>
      </c>
      <c r="G461" t="n">
        <v>2.4</v>
      </c>
      <c r="H461" t="n">
        <v>0</v>
      </c>
      <c r="I461" t="n">
        <v>0</v>
      </c>
      <c r="J461" t="n">
        <v>0</v>
      </c>
      <c r="K461" t="n">
        <v>0</v>
      </c>
      <c r="L461" t="n">
        <v>0</v>
      </c>
      <c r="M461" t="n">
        <v>0</v>
      </c>
      <c r="N461" t="n">
        <v>0</v>
      </c>
      <c r="O461" t="n">
        <v>0</v>
      </c>
      <c r="P461" t="n">
        <v>0</v>
      </c>
      <c r="Q461" t="n">
        <v>0</v>
      </c>
      <c r="R461" s="2" t="inlineStr"/>
    </row>
    <row r="462" ht="15" customHeight="1">
      <c r="A462" t="inlineStr">
        <is>
          <t>A 37025-2024</t>
        </is>
      </c>
      <c r="B462" s="1" t="n">
        <v>45539.3840162037</v>
      </c>
      <c r="C462" s="1" t="n">
        <v>45940</v>
      </c>
      <c r="D462" t="inlineStr">
        <is>
          <t>ÖREBRO LÄN</t>
        </is>
      </c>
      <c r="E462" t="inlineStr">
        <is>
          <t>ÖREBRO</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37027-2024</t>
        </is>
      </c>
      <c r="B463" s="1" t="n">
        <v>45539.38487268519</v>
      </c>
      <c r="C463" s="1" t="n">
        <v>45940</v>
      </c>
      <c r="D463" t="inlineStr">
        <is>
          <t>ÖREBRO LÄN</t>
        </is>
      </c>
      <c r="E463" t="inlineStr">
        <is>
          <t>ÖREBRO</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59265-2020</t>
        </is>
      </c>
      <c r="B464" s="1" t="n">
        <v>44147.67359953704</v>
      </c>
      <c r="C464" s="1" t="n">
        <v>45940</v>
      </c>
      <c r="D464" t="inlineStr">
        <is>
          <t>ÖREBRO LÄN</t>
        </is>
      </c>
      <c r="E464" t="inlineStr">
        <is>
          <t>ÖREBRO</t>
        </is>
      </c>
      <c r="G464" t="n">
        <v>2.4</v>
      </c>
      <c r="H464" t="n">
        <v>0</v>
      </c>
      <c r="I464" t="n">
        <v>0</v>
      </c>
      <c r="J464" t="n">
        <v>0</v>
      </c>
      <c r="K464" t="n">
        <v>0</v>
      </c>
      <c r="L464" t="n">
        <v>0</v>
      </c>
      <c r="M464" t="n">
        <v>0</v>
      </c>
      <c r="N464" t="n">
        <v>0</v>
      </c>
      <c r="O464" t="n">
        <v>0</v>
      </c>
      <c r="P464" t="n">
        <v>0</v>
      </c>
      <c r="Q464" t="n">
        <v>0</v>
      </c>
      <c r="R464" s="2" t="inlineStr"/>
    </row>
    <row r="465" ht="15" customHeight="1">
      <c r="A465" t="inlineStr">
        <is>
          <t>A 60506-2024</t>
        </is>
      </c>
      <c r="B465" s="1" t="n">
        <v>45643.66630787037</v>
      </c>
      <c r="C465" s="1" t="n">
        <v>45940</v>
      </c>
      <c r="D465" t="inlineStr">
        <is>
          <t>ÖREBRO LÄN</t>
        </is>
      </c>
      <c r="E465" t="inlineStr">
        <is>
          <t>ÖREBRO</t>
        </is>
      </c>
      <c r="G465" t="n">
        <v>5.8</v>
      </c>
      <c r="H465" t="n">
        <v>0</v>
      </c>
      <c r="I465" t="n">
        <v>0</v>
      </c>
      <c r="J465" t="n">
        <v>0</v>
      </c>
      <c r="K465" t="n">
        <v>0</v>
      </c>
      <c r="L465" t="n">
        <v>0</v>
      </c>
      <c r="M465" t="n">
        <v>0</v>
      </c>
      <c r="N465" t="n">
        <v>0</v>
      </c>
      <c r="O465" t="n">
        <v>0</v>
      </c>
      <c r="P465" t="n">
        <v>0</v>
      </c>
      <c r="Q465" t="n">
        <v>0</v>
      </c>
      <c r="R465" s="2" t="inlineStr"/>
    </row>
    <row r="466" ht="15" customHeight="1">
      <c r="A466" t="inlineStr">
        <is>
          <t>A 48687-2024</t>
        </is>
      </c>
      <c r="B466" s="1" t="n">
        <v>45593.49899305555</v>
      </c>
      <c r="C466" s="1" t="n">
        <v>45940</v>
      </c>
      <c r="D466" t="inlineStr">
        <is>
          <t>ÖREBRO LÄN</t>
        </is>
      </c>
      <c r="E466" t="inlineStr">
        <is>
          <t>ÖREBRO</t>
        </is>
      </c>
      <c r="F466" t="inlineStr">
        <is>
          <t>Övriga Aktiebolag</t>
        </is>
      </c>
      <c r="G466" t="n">
        <v>3.8</v>
      </c>
      <c r="H466" t="n">
        <v>0</v>
      </c>
      <c r="I466" t="n">
        <v>0</v>
      </c>
      <c r="J466" t="n">
        <v>0</v>
      </c>
      <c r="K466" t="n">
        <v>0</v>
      </c>
      <c r="L466" t="n">
        <v>0</v>
      </c>
      <c r="M466" t="n">
        <v>0</v>
      </c>
      <c r="N466" t="n">
        <v>0</v>
      </c>
      <c r="O466" t="n">
        <v>0</v>
      </c>
      <c r="P466" t="n">
        <v>0</v>
      </c>
      <c r="Q466" t="n">
        <v>0</v>
      </c>
      <c r="R466" s="2" t="inlineStr"/>
    </row>
    <row r="467" ht="15" customHeight="1">
      <c r="A467" t="inlineStr">
        <is>
          <t>A 32086-2023</t>
        </is>
      </c>
      <c r="B467" s="1" t="n">
        <v>45119.59789351852</v>
      </c>
      <c r="C467" s="1" t="n">
        <v>45940</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22079-2023</t>
        </is>
      </c>
      <c r="B468" s="1" t="n">
        <v>45069</v>
      </c>
      <c r="C468" s="1" t="n">
        <v>45940</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44284-2022</t>
        </is>
      </c>
      <c r="B469" s="1" t="n">
        <v>44839.59194444444</v>
      </c>
      <c r="C469" s="1" t="n">
        <v>45940</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35833-2024</t>
        </is>
      </c>
      <c r="B470" s="1" t="n">
        <v>45532.68699074074</v>
      </c>
      <c r="C470" s="1" t="n">
        <v>45940</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2630-2023</t>
        </is>
      </c>
      <c r="B471" s="1" t="n">
        <v>44944.39105324074</v>
      </c>
      <c r="C471" s="1" t="n">
        <v>45940</v>
      </c>
      <c r="D471" t="inlineStr">
        <is>
          <t>ÖREBRO LÄN</t>
        </is>
      </c>
      <c r="E471" t="inlineStr">
        <is>
          <t>ÖREBRO</t>
        </is>
      </c>
      <c r="G471" t="n">
        <v>6.1</v>
      </c>
      <c r="H471" t="n">
        <v>0</v>
      </c>
      <c r="I471" t="n">
        <v>0</v>
      </c>
      <c r="J471" t="n">
        <v>0</v>
      </c>
      <c r="K471" t="n">
        <v>0</v>
      </c>
      <c r="L471" t="n">
        <v>0</v>
      </c>
      <c r="M471" t="n">
        <v>0</v>
      </c>
      <c r="N471" t="n">
        <v>0</v>
      </c>
      <c r="O471" t="n">
        <v>0</v>
      </c>
      <c r="P471" t="n">
        <v>0</v>
      </c>
      <c r="Q471" t="n">
        <v>0</v>
      </c>
      <c r="R471" s="2" t="inlineStr"/>
    </row>
    <row r="472" ht="15" customHeight="1">
      <c r="A472" t="inlineStr">
        <is>
          <t>A 5330-2024</t>
        </is>
      </c>
      <c r="B472" s="1" t="n">
        <v>45331.4187962963</v>
      </c>
      <c r="C472" s="1" t="n">
        <v>45940</v>
      </c>
      <c r="D472" t="inlineStr">
        <is>
          <t>ÖREBRO LÄN</t>
        </is>
      </c>
      <c r="E472" t="inlineStr">
        <is>
          <t>ÖREBRO</t>
        </is>
      </c>
      <c r="G472" t="n">
        <v>1.4</v>
      </c>
      <c r="H472" t="n">
        <v>0</v>
      </c>
      <c r="I472" t="n">
        <v>0</v>
      </c>
      <c r="J472" t="n">
        <v>0</v>
      </c>
      <c r="K472" t="n">
        <v>0</v>
      </c>
      <c r="L472" t="n">
        <v>0</v>
      </c>
      <c r="M472" t="n">
        <v>0</v>
      </c>
      <c r="N472" t="n">
        <v>0</v>
      </c>
      <c r="O472" t="n">
        <v>0</v>
      </c>
      <c r="P472" t="n">
        <v>0</v>
      </c>
      <c r="Q472" t="n">
        <v>0</v>
      </c>
      <c r="R472" s="2" t="inlineStr"/>
    </row>
    <row r="473" ht="15" customHeight="1">
      <c r="A473" t="inlineStr">
        <is>
          <t>A 54925-2023</t>
        </is>
      </c>
      <c r="B473" s="1" t="n">
        <v>45229</v>
      </c>
      <c r="C473" s="1" t="n">
        <v>45940</v>
      </c>
      <c r="D473" t="inlineStr">
        <is>
          <t>ÖREBRO LÄN</t>
        </is>
      </c>
      <c r="E473" t="inlineStr">
        <is>
          <t>ÖREBRO</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10830-2023</t>
        </is>
      </c>
      <c r="B474" s="1" t="n">
        <v>44990.89752314815</v>
      </c>
      <c r="C474" s="1" t="n">
        <v>45940</v>
      </c>
      <c r="D474" t="inlineStr">
        <is>
          <t>ÖREBRO LÄN</t>
        </is>
      </c>
      <c r="E474" t="inlineStr">
        <is>
          <t>ÖREBRO</t>
        </is>
      </c>
      <c r="G474" t="n">
        <v>2</v>
      </c>
      <c r="H474" t="n">
        <v>0</v>
      </c>
      <c r="I474" t="n">
        <v>0</v>
      </c>
      <c r="J474" t="n">
        <v>0</v>
      </c>
      <c r="K474" t="n">
        <v>0</v>
      </c>
      <c r="L474" t="n">
        <v>0</v>
      </c>
      <c r="M474" t="n">
        <v>0</v>
      </c>
      <c r="N474" t="n">
        <v>0</v>
      </c>
      <c r="O474" t="n">
        <v>0</v>
      </c>
      <c r="P474" t="n">
        <v>0</v>
      </c>
      <c r="Q474" t="n">
        <v>0</v>
      </c>
      <c r="R474" s="2" t="inlineStr"/>
    </row>
    <row r="475" ht="15" customHeight="1">
      <c r="A475" t="inlineStr">
        <is>
          <t>A 11663-2024</t>
        </is>
      </c>
      <c r="B475" s="1" t="n">
        <v>45373</v>
      </c>
      <c r="C475" s="1" t="n">
        <v>45940</v>
      </c>
      <c r="D475" t="inlineStr">
        <is>
          <t>ÖREBRO LÄN</t>
        </is>
      </c>
      <c r="E475" t="inlineStr">
        <is>
          <t>ÖREBRO</t>
        </is>
      </c>
      <c r="G475" t="n">
        <v>1</v>
      </c>
      <c r="H475" t="n">
        <v>0</v>
      </c>
      <c r="I475" t="n">
        <v>0</v>
      </c>
      <c r="J475" t="n">
        <v>0</v>
      </c>
      <c r="K475" t="n">
        <v>0</v>
      </c>
      <c r="L475" t="n">
        <v>0</v>
      </c>
      <c r="M475" t="n">
        <v>0</v>
      </c>
      <c r="N475" t="n">
        <v>0</v>
      </c>
      <c r="O475" t="n">
        <v>0</v>
      </c>
      <c r="P475" t="n">
        <v>0</v>
      </c>
      <c r="Q475" t="n">
        <v>0</v>
      </c>
      <c r="R475" s="2" t="inlineStr"/>
    </row>
    <row r="476" ht="15" customHeight="1">
      <c r="A476" t="inlineStr">
        <is>
          <t>A 9585-2025</t>
        </is>
      </c>
      <c r="B476" s="1" t="n">
        <v>45715.63409722222</v>
      </c>
      <c r="C476" s="1" t="n">
        <v>45940</v>
      </c>
      <c r="D476" t="inlineStr">
        <is>
          <t>ÖREBRO LÄN</t>
        </is>
      </c>
      <c r="E476" t="inlineStr">
        <is>
          <t>ÖREBRO</t>
        </is>
      </c>
      <c r="G476" t="n">
        <v>3.4</v>
      </c>
      <c r="H476" t="n">
        <v>0</v>
      </c>
      <c r="I476" t="n">
        <v>0</v>
      </c>
      <c r="J476" t="n">
        <v>0</v>
      </c>
      <c r="K476" t="n">
        <v>0</v>
      </c>
      <c r="L476" t="n">
        <v>0</v>
      </c>
      <c r="M476" t="n">
        <v>0</v>
      </c>
      <c r="N476" t="n">
        <v>0</v>
      </c>
      <c r="O476" t="n">
        <v>0</v>
      </c>
      <c r="P476" t="n">
        <v>0</v>
      </c>
      <c r="Q476" t="n">
        <v>0</v>
      </c>
      <c r="R476" s="2" t="inlineStr"/>
    </row>
    <row r="477" ht="15" customHeight="1">
      <c r="A477" t="inlineStr">
        <is>
          <t>A 5125-2024</t>
        </is>
      </c>
      <c r="B477" s="1" t="n">
        <v>45330</v>
      </c>
      <c r="C477" s="1" t="n">
        <v>45940</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58608-2024</t>
        </is>
      </c>
      <c r="B478" s="1" t="n">
        <v>45635.55185185185</v>
      </c>
      <c r="C478" s="1" t="n">
        <v>45940</v>
      </c>
      <c r="D478" t="inlineStr">
        <is>
          <t>ÖREBRO LÄN</t>
        </is>
      </c>
      <c r="E478" t="inlineStr">
        <is>
          <t>ÖREBRO</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42138-2024</t>
        </is>
      </c>
      <c r="B479" s="1" t="n">
        <v>45562.41854166667</v>
      </c>
      <c r="C479" s="1" t="n">
        <v>45940</v>
      </c>
      <c r="D479" t="inlineStr">
        <is>
          <t>ÖREBRO LÄN</t>
        </is>
      </c>
      <c r="E479" t="inlineStr">
        <is>
          <t>ÖREBRO</t>
        </is>
      </c>
      <c r="G479" t="n">
        <v>1.4</v>
      </c>
      <c r="H479" t="n">
        <v>0</v>
      </c>
      <c r="I479" t="n">
        <v>0</v>
      </c>
      <c r="J479" t="n">
        <v>0</v>
      </c>
      <c r="K479" t="n">
        <v>0</v>
      </c>
      <c r="L479" t="n">
        <v>0</v>
      </c>
      <c r="M479" t="n">
        <v>0</v>
      </c>
      <c r="N479" t="n">
        <v>0</v>
      </c>
      <c r="O479" t="n">
        <v>0</v>
      </c>
      <c r="P479" t="n">
        <v>0</v>
      </c>
      <c r="Q479" t="n">
        <v>0</v>
      </c>
      <c r="R479" s="2" t="inlineStr"/>
    </row>
    <row r="480" ht="15" customHeight="1">
      <c r="A480" t="inlineStr">
        <is>
          <t>A 39003-2025</t>
        </is>
      </c>
      <c r="B480" s="1" t="n">
        <v>45888.34467592592</v>
      </c>
      <c r="C480" s="1" t="n">
        <v>45940</v>
      </c>
      <c r="D480" t="inlineStr">
        <is>
          <t>ÖREBRO LÄN</t>
        </is>
      </c>
      <c r="E480" t="inlineStr">
        <is>
          <t>ÖREBRO</t>
        </is>
      </c>
      <c r="G480" t="n">
        <v>3.7</v>
      </c>
      <c r="H480" t="n">
        <v>0</v>
      </c>
      <c r="I480" t="n">
        <v>0</v>
      </c>
      <c r="J480" t="n">
        <v>0</v>
      </c>
      <c r="K480" t="n">
        <v>0</v>
      </c>
      <c r="L480" t="n">
        <v>0</v>
      </c>
      <c r="M480" t="n">
        <v>0</v>
      </c>
      <c r="N480" t="n">
        <v>0</v>
      </c>
      <c r="O480" t="n">
        <v>0</v>
      </c>
      <c r="P480" t="n">
        <v>0</v>
      </c>
      <c r="Q480" t="n">
        <v>0</v>
      </c>
      <c r="R480" s="2" t="inlineStr"/>
    </row>
    <row r="481" ht="15" customHeight="1">
      <c r="A481" t="inlineStr">
        <is>
          <t>A 26101-2022</t>
        </is>
      </c>
      <c r="B481" s="1" t="n">
        <v>44734</v>
      </c>
      <c r="C481" s="1" t="n">
        <v>45940</v>
      </c>
      <c r="D481" t="inlineStr">
        <is>
          <t>ÖREBRO LÄN</t>
        </is>
      </c>
      <c r="E481" t="inlineStr">
        <is>
          <t>ÖREBRO</t>
        </is>
      </c>
      <c r="G481" t="n">
        <v>15.8</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44659.63753472222</v>
      </c>
      <c r="C482" s="1" t="n">
        <v>45940</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35062-2025</t>
        </is>
      </c>
      <c r="B483" s="1" t="n">
        <v>45852</v>
      </c>
      <c r="C483" s="1" t="n">
        <v>45940</v>
      </c>
      <c r="D483" t="inlineStr">
        <is>
          <t>ÖREBRO LÄN</t>
        </is>
      </c>
      <c r="E483" t="inlineStr">
        <is>
          <t>ÖREBRO</t>
        </is>
      </c>
      <c r="G483" t="n">
        <v>2.8</v>
      </c>
      <c r="H483" t="n">
        <v>0</v>
      </c>
      <c r="I483" t="n">
        <v>0</v>
      </c>
      <c r="J483" t="n">
        <v>0</v>
      </c>
      <c r="K483" t="n">
        <v>0</v>
      </c>
      <c r="L483" t="n">
        <v>0</v>
      </c>
      <c r="M483" t="n">
        <v>0</v>
      </c>
      <c r="N483" t="n">
        <v>0</v>
      </c>
      <c r="O483" t="n">
        <v>0</v>
      </c>
      <c r="P483" t="n">
        <v>0</v>
      </c>
      <c r="Q483" t="n">
        <v>0</v>
      </c>
      <c r="R483" s="2" t="inlineStr"/>
    </row>
    <row r="484" ht="15" customHeight="1">
      <c r="A484" t="inlineStr">
        <is>
          <t>A 2095-2025</t>
        </is>
      </c>
      <c r="B484" s="1" t="n">
        <v>45672</v>
      </c>
      <c r="C484" s="1" t="n">
        <v>45940</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71206-2021</t>
        </is>
      </c>
      <c r="B485" s="1" t="n">
        <v>44539</v>
      </c>
      <c r="C485" s="1" t="n">
        <v>45940</v>
      </c>
      <c r="D485" t="inlineStr">
        <is>
          <t>ÖREBRO LÄN</t>
        </is>
      </c>
      <c r="E485" t="inlineStr">
        <is>
          <t>ÖREBRO</t>
        </is>
      </c>
      <c r="G485" t="n">
        <v>2.5</v>
      </c>
      <c r="H485" t="n">
        <v>0</v>
      </c>
      <c r="I485" t="n">
        <v>0</v>
      </c>
      <c r="J485" t="n">
        <v>0</v>
      </c>
      <c r="K485" t="n">
        <v>0</v>
      </c>
      <c r="L485" t="n">
        <v>0</v>
      </c>
      <c r="M485" t="n">
        <v>0</v>
      </c>
      <c r="N485" t="n">
        <v>0</v>
      </c>
      <c r="O485" t="n">
        <v>0</v>
      </c>
      <c r="P485" t="n">
        <v>0</v>
      </c>
      <c r="Q485" t="n">
        <v>0</v>
      </c>
      <c r="R485" s="2" t="inlineStr"/>
    </row>
    <row r="486" ht="15" customHeight="1">
      <c r="A486" t="inlineStr">
        <is>
          <t>A 48140-2024</t>
        </is>
      </c>
      <c r="B486" s="1" t="n">
        <v>45589.66474537037</v>
      </c>
      <c r="C486" s="1" t="n">
        <v>45940</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38422-2023</t>
        </is>
      </c>
      <c r="B487" s="1" t="n">
        <v>45162.36422453704</v>
      </c>
      <c r="C487" s="1" t="n">
        <v>45940</v>
      </c>
      <c r="D487" t="inlineStr">
        <is>
          <t>ÖREBRO LÄN</t>
        </is>
      </c>
      <c r="E487" t="inlineStr">
        <is>
          <t>ÖREBRO</t>
        </is>
      </c>
      <c r="G487" t="n">
        <v>8</v>
      </c>
      <c r="H487" t="n">
        <v>0</v>
      </c>
      <c r="I487" t="n">
        <v>0</v>
      </c>
      <c r="J487" t="n">
        <v>0</v>
      </c>
      <c r="K487" t="n">
        <v>0</v>
      </c>
      <c r="L487" t="n">
        <v>0</v>
      </c>
      <c r="M487" t="n">
        <v>0</v>
      </c>
      <c r="N487" t="n">
        <v>0</v>
      </c>
      <c r="O487" t="n">
        <v>0</v>
      </c>
      <c r="P487" t="n">
        <v>0</v>
      </c>
      <c r="Q487" t="n">
        <v>0</v>
      </c>
      <c r="R487" s="2" t="inlineStr"/>
    </row>
    <row r="488" ht="15" customHeight="1">
      <c r="A488" t="inlineStr">
        <is>
          <t>A 41412-2025</t>
        </is>
      </c>
      <c r="B488" s="1" t="n">
        <v>45901.3549537037</v>
      </c>
      <c r="C488" s="1" t="n">
        <v>45940</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41703-2024</t>
        </is>
      </c>
      <c r="B489" s="1" t="n">
        <v>45560</v>
      </c>
      <c r="C489" s="1" t="n">
        <v>45940</v>
      </c>
      <c r="D489" t="inlineStr">
        <is>
          <t>ÖREBRO LÄN</t>
        </is>
      </c>
      <c r="E489" t="inlineStr">
        <is>
          <t>ÖREBRO</t>
        </is>
      </c>
      <c r="G489" t="n">
        <v>6.4</v>
      </c>
      <c r="H489" t="n">
        <v>0</v>
      </c>
      <c r="I489" t="n">
        <v>0</v>
      </c>
      <c r="J489" t="n">
        <v>0</v>
      </c>
      <c r="K489" t="n">
        <v>0</v>
      </c>
      <c r="L489" t="n">
        <v>0</v>
      </c>
      <c r="M489" t="n">
        <v>0</v>
      </c>
      <c r="N489" t="n">
        <v>0</v>
      </c>
      <c r="O489" t="n">
        <v>0</v>
      </c>
      <c r="P489" t="n">
        <v>0</v>
      </c>
      <c r="Q489" t="n">
        <v>0</v>
      </c>
      <c r="R489" s="2" t="inlineStr"/>
    </row>
    <row r="490" ht="15" customHeight="1">
      <c r="A490" t="inlineStr">
        <is>
          <t>A 39446-2025</t>
        </is>
      </c>
      <c r="B490" s="1" t="n">
        <v>45889.70388888889</v>
      </c>
      <c r="C490" s="1" t="n">
        <v>45940</v>
      </c>
      <c r="D490" t="inlineStr">
        <is>
          <t>ÖREBRO LÄN</t>
        </is>
      </c>
      <c r="E490" t="inlineStr">
        <is>
          <t>ÖREBRO</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56040-2024</t>
        </is>
      </c>
      <c r="B491" s="1" t="n">
        <v>45624.3344212963</v>
      </c>
      <c r="C491" s="1" t="n">
        <v>45940</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46323-2024</t>
        </is>
      </c>
      <c r="B492" s="1" t="n">
        <v>45581.84538194445</v>
      </c>
      <c r="C492" s="1" t="n">
        <v>45940</v>
      </c>
      <c r="D492" t="inlineStr">
        <is>
          <t>ÖREBRO LÄN</t>
        </is>
      </c>
      <c r="E492" t="inlineStr">
        <is>
          <t>ÖREBRO</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14487-2023</t>
        </is>
      </c>
      <c r="B493" s="1" t="n">
        <v>45012</v>
      </c>
      <c r="C493" s="1" t="n">
        <v>45940</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39479-2025</t>
        </is>
      </c>
      <c r="B494" s="1" t="n">
        <v>45890.34752314815</v>
      </c>
      <c r="C494" s="1" t="n">
        <v>45940</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28821-2025</t>
        </is>
      </c>
      <c r="B495" s="1" t="n">
        <v>45820</v>
      </c>
      <c r="C495" s="1" t="n">
        <v>45940</v>
      </c>
      <c r="D495" t="inlineStr">
        <is>
          <t>ÖREBRO LÄN</t>
        </is>
      </c>
      <c r="E495" t="inlineStr">
        <is>
          <t>ÖREBRO</t>
        </is>
      </c>
      <c r="G495" t="n">
        <v>12.6</v>
      </c>
      <c r="H495" t="n">
        <v>0</v>
      </c>
      <c r="I495" t="n">
        <v>0</v>
      </c>
      <c r="J495" t="n">
        <v>0</v>
      </c>
      <c r="K495" t="n">
        <v>0</v>
      </c>
      <c r="L495" t="n">
        <v>0</v>
      </c>
      <c r="M495" t="n">
        <v>0</v>
      </c>
      <c r="N495" t="n">
        <v>0</v>
      </c>
      <c r="O495" t="n">
        <v>0</v>
      </c>
      <c r="P495" t="n">
        <v>0</v>
      </c>
      <c r="Q495" t="n">
        <v>0</v>
      </c>
      <c r="R495" s="2" t="inlineStr"/>
    </row>
    <row r="496" ht="15" customHeight="1">
      <c r="A496" t="inlineStr">
        <is>
          <t>A 35637-2025</t>
        </is>
      </c>
      <c r="B496" s="1" t="n">
        <v>45859.46859953704</v>
      </c>
      <c r="C496" s="1" t="n">
        <v>45940</v>
      </c>
      <c r="D496" t="inlineStr">
        <is>
          <t>ÖREBRO LÄN</t>
        </is>
      </c>
      <c r="E496" t="inlineStr">
        <is>
          <t>ÖREBRO</t>
        </is>
      </c>
      <c r="G496" t="n">
        <v>2.1</v>
      </c>
      <c r="H496" t="n">
        <v>0</v>
      </c>
      <c r="I496" t="n">
        <v>0</v>
      </c>
      <c r="J496" t="n">
        <v>0</v>
      </c>
      <c r="K496" t="n">
        <v>0</v>
      </c>
      <c r="L496" t="n">
        <v>0</v>
      </c>
      <c r="M496" t="n">
        <v>0</v>
      </c>
      <c r="N496" t="n">
        <v>0</v>
      </c>
      <c r="O496" t="n">
        <v>0</v>
      </c>
      <c r="P496" t="n">
        <v>0</v>
      </c>
      <c r="Q496" t="n">
        <v>0</v>
      </c>
      <c r="R496" s="2" t="inlineStr"/>
    </row>
    <row r="497" ht="15" customHeight="1">
      <c r="A497" t="inlineStr">
        <is>
          <t>A 41669-2025</t>
        </is>
      </c>
      <c r="B497" s="1" t="n">
        <v>45902.36149305556</v>
      </c>
      <c r="C497" s="1" t="n">
        <v>45940</v>
      </c>
      <c r="D497" t="inlineStr">
        <is>
          <t>ÖREBRO LÄN</t>
        </is>
      </c>
      <c r="E497" t="inlineStr">
        <is>
          <t>ÖREBRO</t>
        </is>
      </c>
      <c r="G497" t="n">
        <v>2.8</v>
      </c>
      <c r="H497" t="n">
        <v>0</v>
      </c>
      <c r="I497" t="n">
        <v>0</v>
      </c>
      <c r="J497" t="n">
        <v>0</v>
      </c>
      <c r="K497" t="n">
        <v>0</v>
      </c>
      <c r="L497" t="n">
        <v>0</v>
      </c>
      <c r="M497" t="n">
        <v>0</v>
      </c>
      <c r="N497" t="n">
        <v>0</v>
      </c>
      <c r="O497" t="n">
        <v>0</v>
      </c>
      <c r="P497" t="n">
        <v>0</v>
      </c>
      <c r="Q497" t="n">
        <v>0</v>
      </c>
      <c r="R497" s="2" t="inlineStr"/>
    </row>
    <row r="498" ht="15" customHeight="1">
      <c r="A498" t="inlineStr">
        <is>
          <t>A 41722-2025</t>
        </is>
      </c>
      <c r="B498" s="1" t="n">
        <v>45902.44993055556</v>
      </c>
      <c r="C498" s="1" t="n">
        <v>45940</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33577-2023</t>
        </is>
      </c>
      <c r="B499" s="1" t="n">
        <v>45131</v>
      </c>
      <c r="C499" s="1" t="n">
        <v>45940</v>
      </c>
      <c r="D499" t="inlineStr">
        <is>
          <t>ÖREBRO LÄN</t>
        </is>
      </c>
      <c r="E499" t="inlineStr">
        <is>
          <t>ÖREBRO</t>
        </is>
      </c>
      <c r="G499" t="n">
        <v>2</v>
      </c>
      <c r="H499" t="n">
        <v>0</v>
      </c>
      <c r="I499" t="n">
        <v>0</v>
      </c>
      <c r="J499" t="n">
        <v>0</v>
      </c>
      <c r="K499" t="n">
        <v>0</v>
      </c>
      <c r="L499" t="n">
        <v>0</v>
      </c>
      <c r="M499" t="n">
        <v>0</v>
      </c>
      <c r="N499" t="n">
        <v>0</v>
      </c>
      <c r="O499" t="n">
        <v>0</v>
      </c>
      <c r="P499" t="n">
        <v>0</v>
      </c>
      <c r="Q499" t="n">
        <v>0</v>
      </c>
      <c r="R499" s="2" t="inlineStr"/>
    </row>
    <row r="500" ht="15" customHeight="1">
      <c r="A500" t="inlineStr">
        <is>
          <t>A 38489-2023</t>
        </is>
      </c>
      <c r="B500" s="1" t="n">
        <v>45162</v>
      </c>
      <c r="C500" s="1" t="n">
        <v>45940</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19763-2024</t>
        </is>
      </c>
      <c r="B501" s="1" t="n">
        <v>45432</v>
      </c>
      <c r="C501" s="1" t="n">
        <v>45940</v>
      </c>
      <c r="D501" t="inlineStr">
        <is>
          <t>ÖREBRO LÄN</t>
        </is>
      </c>
      <c r="E501" t="inlineStr">
        <is>
          <t>ÖREBRO</t>
        </is>
      </c>
      <c r="G501" t="n">
        <v>1.9</v>
      </c>
      <c r="H501" t="n">
        <v>0</v>
      </c>
      <c r="I501" t="n">
        <v>0</v>
      </c>
      <c r="J501" t="n">
        <v>0</v>
      </c>
      <c r="K501" t="n">
        <v>0</v>
      </c>
      <c r="L501" t="n">
        <v>0</v>
      </c>
      <c r="M501" t="n">
        <v>0</v>
      </c>
      <c r="N501" t="n">
        <v>0</v>
      </c>
      <c r="O501" t="n">
        <v>0</v>
      </c>
      <c r="P501" t="n">
        <v>0</v>
      </c>
      <c r="Q501" t="n">
        <v>0</v>
      </c>
      <c r="R501" s="2" t="inlineStr"/>
    </row>
    <row r="502" ht="15" customHeight="1">
      <c r="A502" t="inlineStr">
        <is>
          <t>A 14545-2023</t>
        </is>
      </c>
      <c r="B502" s="1" t="n">
        <v>45013.34895833334</v>
      </c>
      <c r="C502" s="1" t="n">
        <v>45940</v>
      </c>
      <c r="D502" t="inlineStr">
        <is>
          <t>ÖREBRO LÄN</t>
        </is>
      </c>
      <c r="E502" t="inlineStr">
        <is>
          <t>ÖREBRO</t>
        </is>
      </c>
      <c r="G502" t="n">
        <v>2.5</v>
      </c>
      <c r="H502" t="n">
        <v>0</v>
      </c>
      <c r="I502" t="n">
        <v>0</v>
      </c>
      <c r="J502" t="n">
        <v>0</v>
      </c>
      <c r="K502" t="n">
        <v>0</v>
      </c>
      <c r="L502" t="n">
        <v>0</v>
      </c>
      <c r="M502" t="n">
        <v>0</v>
      </c>
      <c r="N502" t="n">
        <v>0</v>
      </c>
      <c r="O502" t="n">
        <v>0</v>
      </c>
      <c r="P502" t="n">
        <v>0</v>
      </c>
      <c r="Q502" t="n">
        <v>0</v>
      </c>
      <c r="R502" s="2" t="inlineStr"/>
    </row>
    <row r="503" ht="15" customHeight="1">
      <c r="A503" t="inlineStr">
        <is>
          <t>A 54917-2023</t>
        </is>
      </c>
      <c r="B503" s="1" t="n">
        <v>45229</v>
      </c>
      <c r="C503" s="1" t="n">
        <v>45940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40330-2025</t>
        </is>
      </c>
      <c r="B504" s="1" t="n">
        <v>45895.4531712963</v>
      </c>
      <c r="C504" s="1" t="n">
        <v>45940</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40332-2025</t>
        </is>
      </c>
      <c r="B505" s="1" t="n">
        <v>45895.46060185185</v>
      </c>
      <c r="C505" s="1" t="n">
        <v>45940</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14432-2023</t>
        </is>
      </c>
      <c r="B506" s="1" t="n">
        <v>45012</v>
      </c>
      <c r="C506" s="1" t="n">
        <v>45940</v>
      </c>
      <c r="D506" t="inlineStr">
        <is>
          <t>ÖREBRO LÄN</t>
        </is>
      </c>
      <c r="E506" t="inlineStr">
        <is>
          <t>ÖREBRO</t>
        </is>
      </c>
      <c r="G506" t="n">
        <v>3.3</v>
      </c>
      <c r="H506" t="n">
        <v>0</v>
      </c>
      <c r="I506" t="n">
        <v>0</v>
      </c>
      <c r="J506" t="n">
        <v>0</v>
      </c>
      <c r="K506" t="n">
        <v>0</v>
      </c>
      <c r="L506" t="n">
        <v>0</v>
      </c>
      <c r="M506" t="n">
        <v>0</v>
      </c>
      <c r="N506" t="n">
        <v>0</v>
      </c>
      <c r="O506" t="n">
        <v>0</v>
      </c>
      <c r="P506" t="n">
        <v>0</v>
      </c>
      <c r="Q506" t="n">
        <v>0</v>
      </c>
      <c r="R506" s="2" t="inlineStr"/>
    </row>
    <row r="507" ht="15" customHeight="1">
      <c r="A507" t="inlineStr">
        <is>
          <t>A 3652-2022</t>
        </is>
      </c>
      <c r="B507" s="1" t="n">
        <v>44586.46921296296</v>
      </c>
      <c r="C507" s="1" t="n">
        <v>45940</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37021-2024</t>
        </is>
      </c>
      <c r="B508" s="1" t="n">
        <v>45539.38146990741</v>
      </c>
      <c r="C508" s="1" t="n">
        <v>45940</v>
      </c>
      <c r="D508" t="inlineStr">
        <is>
          <t>ÖREBRO LÄN</t>
        </is>
      </c>
      <c r="E508" t="inlineStr">
        <is>
          <t>ÖREBRO</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35928-2025</t>
        </is>
      </c>
      <c r="B509" s="1" t="n">
        <v>45862</v>
      </c>
      <c r="C509" s="1" t="n">
        <v>45940</v>
      </c>
      <c r="D509" t="inlineStr">
        <is>
          <t>ÖREBRO LÄN</t>
        </is>
      </c>
      <c r="E509" t="inlineStr">
        <is>
          <t>ÖREBRO</t>
        </is>
      </c>
      <c r="G509" t="n">
        <v>4.4</v>
      </c>
      <c r="H509" t="n">
        <v>0</v>
      </c>
      <c r="I509" t="n">
        <v>0</v>
      </c>
      <c r="J509" t="n">
        <v>0</v>
      </c>
      <c r="K509" t="n">
        <v>0</v>
      </c>
      <c r="L509" t="n">
        <v>0</v>
      </c>
      <c r="M509" t="n">
        <v>0</v>
      </c>
      <c r="N509" t="n">
        <v>0</v>
      </c>
      <c r="O509" t="n">
        <v>0</v>
      </c>
      <c r="P509" t="n">
        <v>0</v>
      </c>
      <c r="Q509" t="n">
        <v>0</v>
      </c>
      <c r="R509" s="2" t="inlineStr"/>
    </row>
    <row r="510" ht="15" customHeight="1">
      <c r="A510" t="inlineStr">
        <is>
          <t>A 40522-2024</t>
        </is>
      </c>
      <c r="B510" s="1" t="n">
        <v>45555.59717592593</v>
      </c>
      <c r="C510" s="1" t="n">
        <v>45940</v>
      </c>
      <c r="D510" t="inlineStr">
        <is>
          <t>ÖREBRO LÄN</t>
        </is>
      </c>
      <c r="E510" t="inlineStr">
        <is>
          <t>ÖREBRO</t>
        </is>
      </c>
      <c r="G510" t="n">
        <v>5.1</v>
      </c>
      <c r="H510" t="n">
        <v>0</v>
      </c>
      <c r="I510" t="n">
        <v>0</v>
      </c>
      <c r="J510" t="n">
        <v>0</v>
      </c>
      <c r="K510" t="n">
        <v>0</v>
      </c>
      <c r="L510" t="n">
        <v>0</v>
      </c>
      <c r="M510" t="n">
        <v>0</v>
      </c>
      <c r="N510" t="n">
        <v>0</v>
      </c>
      <c r="O510" t="n">
        <v>0</v>
      </c>
      <c r="P510" t="n">
        <v>0</v>
      </c>
      <c r="Q510" t="n">
        <v>0</v>
      </c>
      <c r="R510" s="2" t="inlineStr"/>
    </row>
    <row r="511" ht="15" customHeight="1">
      <c r="A511" t="inlineStr">
        <is>
          <t>A 49029-2024</t>
        </is>
      </c>
      <c r="B511" s="1" t="n">
        <v>45594</v>
      </c>
      <c r="C511" s="1" t="n">
        <v>45940</v>
      </c>
      <c r="D511" t="inlineStr">
        <is>
          <t>ÖREBRO LÄN</t>
        </is>
      </c>
      <c r="E511" t="inlineStr">
        <is>
          <t>ÖREBRO</t>
        </is>
      </c>
      <c r="G511" t="n">
        <v>3.7</v>
      </c>
      <c r="H511" t="n">
        <v>0</v>
      </c>
      <c r="I511" t="n">
        <v>0</v>
      </c>
      <c r="J511" t="n">
        <v>0</v>
      </c>
      <c r="K511" t="n">
        <v>0</v>
      </c>
      <c r="L511" t="n">
        <v>0</v>
      </c>
      <c r="M511" t="n">
        <v>0</v>
      </c>
      <c r="N511" t="n">
        <v>0</v>
      </c>
      <c r="O511" t="n">
        <v>0</v>
      </c>
      <c r="P511" t="n">
        <v>0</v>
      </c>
      <c r="Q511" t="n">
        <v>0</v>
      </c>
      <c r="R511" s="2" t="inlineStr"/>
    </row>
    <row r="512" ht="15" customHeight="1">
      <c r="A512" t="inlineStr">
        <is>
          <t>A 49062-2023</t>
        </is>
      </c>
      <c r="B512" s="1" t="n">
        <v>45210.35119212963</v>
      </c>
      <c r="C512" s="1" t="n">
        <v>45940</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35829-2024</t>
        </is>
      </c>
      <c r="B513" s="1" t="n">
        <v>45532</v>
      </c>
      <c r="C513" s="1" t="n">
        <v>45940</v>
      </c>
      <c r="D513" t="inlineStr">
        <is>
          <t>ÖREBRO LÄN</t>
        </is>
      </c>
      <c r="E513" t="inlineStr">
        <is>
          <t>ÖREBRO</t>
        </is>
      </c>
      <c r="G513" t="n">
        <v>4.6</v>
      </c>
      <c r="H513" t="n">
        <v>0</v>
      </c>
      <c r="I513" t="n">
        <v>0</v>
      </c>
      <c r="J513" t="n">
        <v>0</v>
      </c>
      <c r="K513" t="n">
        <v>0</v>
      </c>
      <c r="L513" t="n">
        <v>0</v>
      </c>
      <c r="M513" t="n">
        <v>0</v>
      </c>
      <c r="N513" t="n">
        <v>0</v>
      </c>
      <c r="O513" t="n">
        <v>0</v>
      </c>
      <c r="P513" t="n">
        <v>0</v>
      </c>
      <c r="Q513" t="n">
        <v>0</v>
      </c>
      <c r="R513" s="2" t="inlineStr"/>
    </row>
    <row r="514" ht="15" customHeight="1">
      <c r="A514" t="inlineStr">
        <is>
          <t>A 52499-2024</t>
        </is>
      </c>
      <c r="B514" s="1" t="n">
        <v>45609.58422453704</v>
      </c>
      <c r="C514" s="1" t="n">
        <v>45940</v>
      </c>
      <c r="D514" t="inlineStr">
        <is>
          <t>ÖREBRO LÄN</t>
        </is>
      </c>
      <c r="E514" t="inlineStr">
        <is>
          <t>ÖREBRO</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8374-2021</t>
        </is>
      </c>
      <c r="B515" s="1" t="n">
        <v>44244</v>
      </c>
      <c r="C515" s="1" t="n">
        <v>45940</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48454-2025</t>
        </is>
      </c>
      <c r="B516" s="1" t="n">
        <v>45935.80164351852</v>
      </c>
      <c r="C516" s="1" t="n">
        <v>45940</v>
      </c>
      <c r="D516" t="inlineStr">
        <is>
          <t>ÖREBRO LÄN</t>
        </is>
      </c>
      <c r="E516" t="inlineStr">
        <is>
          <t>ÖREBRO</t>
        </is>
      </c>
      <c r="F516" t="inlineStr">
        <is>
          <t>Övriga Aktiebolag</t>
        </is>
      </c>
      <c r="G516" t="n">
        <v>18.1</v>
      </c>
      <c r="H516" t="n">
        <v>0</v>
      </c>
      <c r="I516" t="n">
        <v>0</v>
      </c>
      <c r="J516" t="n">
        <v>0</v>
      </c>
      <c r="K516" t="n">
        <v>0</v>
      </c>
      <c r="L516" t="n">
        <v>0</v>
      </c>
      <c r="M516" t="n">
        <v>0</v>
      </c>
      <c r="N516" t="n">
        <v>0</v>
      </c>
      <c r="O516" t="n">
        <v>0</v>
      </c>
      <c r="P516" t="n">
        <v>0</v>
      </c>
      <c r="Q516" t="n">
        <v>0</v>
      </c>
      <c r="R516" s="2" t="inlineStr"/>
    </row>
    <row r="517" ht="15" customHeight="1">
      <c r="A517" t="inlineStr">
        <is>
          <t>A 14960-2025</t>
        </is>
      </c>
      <c r="B517" s="1" t="n">
        <v>45743.5853125</v>
      </c>
      <c r="C517" s="1" t="n">
        <v>45940</v>
      </c>
      <c r="D517" t="inlineStr">
        <is>
          <t>ÖREBRO LÄN</t>
        </is>
      </c>
      <c r="E517" t="inlineStr">
        <is>
          <t>ÖREBRO</t>
        </is>
      </c>
      <c r="G517" t="n">
        <v>1.6</v>
      </c>
      <c r="H517" t="n">
        <v>0</v>
      </c>
      <c r="I517" t="n">
        <v>0</v>
      </c>
      <c r="J517" t="n">
        <v>0</v>
      </c>
      <c r="K517" t="n">
        <v>0</v>
      </c>
      <c r="L517" t="n">
        <v>0</v>
      </c>
      <c r="M517" t="n">
        <v>0</v>
      </c>
      <c r="N517" t="n">
        <v>0</v>
      </c>
      <c r="O517" t="n">
        <v>0</v>
      </c>
      <c r="P517" t="n">
        <v>0</v>
      </c>
      <c r="Q517" t="n">
        <v>0</v>
      </c>
      <c r="R517" s="2" t="inlineStr"/>
    </row>
    <row r="518" ht="15" customHeight="1">
      <c r="A518" t="inlineStr">
        <is>
          <t>A 13623-2024</t>
        </is>
      </c>
      <c r="B518" s="1" t="n">
        <v>45390.38626157407</v>
      </c>
      <c r="C518" s="1" t="n">
        <v>45940</v>
      </c>
      <c r="D518" t="inlineStr">
        <is>
          <t>ÖREBRO LÄN</t>
        </is>
      </c>
      <c r="E518" t="inlineStr">
        <is>
          <t>ÖREBRO</t>
        </is>
      </c>
      <c r="G518" t="n">
        <v>1.1</v>
      </c>
      <c r="H518" t="n">
        <v>0</v>
      </c>
      <c r="I518" t="n">
        <v>0</v>
      </c>
      <c r="J518" t="n">
        <v>0</v>
      </c>
      <c r="K518" t="n">
        <v>0</v>
      </c>
      <c r="L518" t="n">
        <v>0</v>
      </c>
      <c r="M518" t="n">
        <v>0</v>
      </c>
      <c r="N518" t="n">
        <v>0</v>
      </c>
      <c r="O518" t="n">
        <v>0</v>
      </c>
      <c r="P518" t="n">
        <v>0</v>
      </c>
      <c r="Q518" t="n">
        <v>0</v>
      </c>
      <c r="R518" s="2" t="inlineStr"/>
    </row>
    <row r="519" ht="15" customHeight="1">
      <c r="A519" t="inlineStr">
        <is>
          <t>A 32025-2024</t>
        </is>
      </c>
      <c r="B519" s="1" t="n">
        <v>45510.65754629629</v>
      </c>
      <c r="C519" s="1" t="n">
        <v>45940</v>
      </c>
      <c r="D519" t="inlineStr">
        <is>
          <t>ÖREBRO LÄN</t>
        </is>
      </c>
      <c r="E519" t="inlineStr">
        <is>
          <t>ÖREBRO</t>
        </is>
      </c>
      <c r="G519" t="n">
        <v>4</v>
      </c>
      <c r="H519" t="n">
        <v>0</v>
      </c>
      <c r="I519" t="n">
        <v>0</v>
      </c>
      <c r="J519" t="n">
        <v>0</v>
      </c>
      <c r="K519" t="n">
        <v>0</v>
      </c>
      <c r="L519" t="n">
        <v>0</v>
      </c>
      <c r="M519" t="n">
        <v>0</v>
      </c>
      <c r="N519" t="n">
        <v>0</v>
      </c>
      <c r="O519" t="n">
        <v>0</v>
      </c>
      <c r="P519" t="n">
        <v>0</v>
      </c>
      <c r="Q519" t="n">
        <v>0</v>
      </c>
      <c r="R519" s="2" t="inlineStr"/>
    </row>
    <row r="520" ht="15" customHeight="1">
      <c r="A520" t="inlineStr">
        <is>
          <t>A 48644-2024</t>
        </is>
      </c>
      <c r="B520" s="1" t="n">
        <v>45593.47466435185</v>
      </c>
      <c r="C520" s="1" t="n">
        <v>45940</v>
      </c>
      <c r="D520" t="inlineStr">
        <is>
          <t>ÖREBRO LÄN</t>
        </is>
      </c>
      <c r="E520" t="inlineStr">
        <is>
          <t>ÖREBRO</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13181-2023</t>
        </is>
      </c>
      <c r="B521" s="1" t="n">
        <v>45002.60659722222</v>
      </c>
      <c r="C521" s="1" t="n">
        <v>45940</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61078-2024</t>
        </is>
      </c>
      <c r="B522" s="1" t="n">
        <v>45645.51034722223</v>
      </c>
      <c r="C522" s="1" t="n">
        <v>45940</v>
      </c>
      <c r="D522" t="inlineStr">
        <is>
          <t>ÖREBRO LÄN</t>
        </is>
      </c>
      <c r="E522" t="inlineStr">
        <is>
          <t>ÖREBRO</t>
        </is>
      </c>
      <c r="G522" t="n">
        <v>4.1</v>
      </c>
      <c r="H522" t="n">
        <v>0</v>
      </c>
      <c r="I522" t="n">
        <v>0</v>
      </c>
      <c r="J522" t="n">
        <v>0</v>
      </c>
      <c r="K522" t="n">
        <v>0</v>
      </c>
      <c r="L522" t="n">
        <v>0</v>
      </c>
      <c r="M522" t="n">
        <v>0</v>
      </c>
      <c r="N522" t="n">
        <v>0</v>
      </c>
      <c r="O522" t="n">
        <v>0</v>
      </c>
      <c r="P522" t="n">
        <v>0</v>
      </c>
      <c r="Q522" t="n">
        <v>0</v>
      </c>
      <c r="R522" s="2" t="inlineStr"/>
    </row>
    <row r="523" ht="15" customHeight="1">
      <c r="A523" t="inlineStr">
        <is>
          <t>A 55453-2024</t>
        </is>
      </c>
      <c r="B523" s="1" t="n">
        <v>45622.42097222222</v>
      </c>
      <c r="C523" s="1" t="n">
        <v>45940</v>
      </c>
      <c r="D523" t="inlineStr">
        <is>
          <t>ÖREBRO LÄN</t>
        </is>
      </c>
      <c r="E523" t="inlineStr">
        <is>
          <t>ÖREBRO</t>
        </is>
      </c>
      <c r="G523" t="n">
        <v>8.5</v>
      </c>
      <c r="H523" t="n">
        <v>0</v>
      </c>
      <c r="I523" t="n">
        <v>0</v>
      </c>
      <c r="J523" t="n">
        <v>0</v>
      </c>
      <c r="K523" t="n">
        <v>0</v>
      </c>
      <c r="L523" t="n">
        <v>0</v>
      </c>
      <c r="M523" t="n">
        <v>0</v>
      </c>
      <c r="N523" t="n">
        <v>0</v>
      </c>
      <c r="O523" t="n">
        <v>0</v>
      </c>
      <c r="P523" t="n">
        <v>0</v>
      </c>
      <c r="Q523" t="n">
        <v>0</v>
      </c>
      <c r="R523" s="2" t="inlineStr"/>
    </row>
    <row r="524" ht="15" customHeight="1">
      <c r="A524" t="inlineStr">
        <is>
          <t>A 5619-2023</t>
        </is>
      </c>
      <c r="B524" s="1" t="n">
        <v>44958</v>
      </c>
      <c r="C524" s="1" t="n">
        <v>45940</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37277-2022</t>
        </is>
      </c>
      <c r="B525" s="1" t="n">
        <v>44807.49150462963</v>
      </c>
      <c r="C525" s="1" t="n">
        <v>45940</v>
      </c>
      <c r="D525" t="inlineStr">
        <is>
          <t>ÖREBRO LÄN</t>
        </is>
      </c>
      <c r="E525" t="inlineStr">
        <is>
          <t>ÖREBRO</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62511-2023</t>
        </is>
      </c>
      <c r="B526" s="1" t="n">
        <v>45268.61855324074</v>
      </c>
      <c r="C526" s="1" t="n">
        <v>45940</v>
      </c>
      <c r="D526" t="inlineStr">
        <is>
          <t>ÖREBRO LÄN</t>
        </is>
      </c>
      <c r="E526" t="inlineStr">
        <is>
          <t>ÖREBRO</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36448-2025</t>
        </is>
      </c>
      <c r="B527" s="1" t="n">
        <v>45869.41929398148</v>
      </c>
      <c r="C527" s="1" t="n">
        <v>45940</v>
      </c>
      <c r="D527" t="inlineStr">
        <is>
          <t>ÖREBRO LÄN</t>
        </is>
      </c>
      <c r="E527" t="inlineStr">
        <is>
          <t>ÖREBRO</t>
        </is>
      </c>
      <c r="F527" t="inlineStr">
        <is>
          <t>Övriga Aktiebolag</t>
        </is>
      </c>
      <c r="G527" t="n">
        <v>4.3</v>
      </c>
      <c r="H527" t="n">
        <v>0</v>
      </c>
      <c r="I527" t="n">
        <v>0</v>
      </c>
      <c r="J527" t="n">
        <v>0</v>
      </c>
      <c r="K527" t="n">
        <v>0</v>
      </c>
      <c r="L527" t="n">
        <v>0</v>
      </c>
      <c r="M527" t="n">
        <v>0</v>
      </c>
      <c r="N527" t="n">
        <v>0</v>
      </c>
      <c r="O527" t="n">
        <v>0</v>
      </c>
      <c r="P527" t="n">
        <v>0</v>
      </c>
      <c r="Q527" t="n">
        <v>0</v>
      </c>
      <c r="R527" s="2" t="inlineStr"/>
    </row>
    <row r="528" ht="15" customHeight="1">
      <c r="A528" t="inlineStr">
        <is>
          <t>A 23573-2023</t>
        </is>
      </c>
      <c r="B528" s="1" t="n">
        <v>45077.41672453703</v>
      </c>
      <c r="C528" s="1" t="n">
        <v>45940</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36447-2025</t>
        </is>
      </c>
      <c r="B529" s="1" t="n">
        <v>45869.41387731482</v>
      </c>
      <c r="C529" s="1" t="n">
        <v>45940</v>
      </c>
      <c r="D529" t="inlineStr">
        <is>
          <t>ÖREBRO LÄN</t>
        </is>
      </c>
      <c r="E529" t="inlineStr">
        <is>
          <t>ÖREBRO</t>
        </is>
      </c>
      <c r="F529" t="inlineStr">
        <is>
          <t>Övriga Aktiebolag</t>
        </is>
      </c>
      <c r="G529" t="n">
        <v>12.6</v>
      </c>
      <c r="H529" t="n">
        <v>0</v>
      </c>
      <c r="I529" t="n">
        <v>0</v>
      </c>
      <c r="J529" t="n">
        <v>0</v>
      </c>
      <c r="K529" t="n">
        <v>0</v>
      </c>
      <c r="L529" t="n">
        <v>0</v>
      </c>
      <c r="M529" t="n">
        <v>0</v>
      </c>
      <c r="N529" t="n">
        <v>0</v>
      </c>
      <c r="O529" t="n">
        <v>0</v>
      </c>
      <c r="P529" t="n">
        <v>0</v>
      </c>
      <c r="Q529" t="n">
        <v>0</v>
      </c>
      <c r="R529" s="2" t="inlineStr"/>
    </row>
    <row r="530" ht="15" customHeight="1">
      <c r="A530" t="inlineStr">
        <is>
          <t>A 61593-2023</t>
        </is>
      </c>
      <c r="B530" s="1" t="n">
        <v>45265</v>
      </c>
      <c r="C530" s="1" t="n">
        <v>45940</v>
      </c>
      <c r="D530" t="inlineStr">
        <is>
          <t>ÖREBRO LÄN</t>
        </is>
      </c>
      <c r="E530" t="inlineStr">
        <is>
          <t>ÖREBRO</t>
        </is>
      </c>
      <c r="G530" t="n">
        <v>2.5</v>
      </c>
      <c r="H530" t="n">
        <v>0</v>
      </c>
      <c r="I530" t="n">
        <v>0</v>
      </c>
      <c r="J530" t="n">
        <v>0</v>
      </c>
      <c r="K530" t="n">
        <v>0</v>
      </c>
      <c r="L530" t="n">
        <v>0</v>
      </c>
      <c r="M530" t="n">
        <v>0</v>
      </c>
      <c r="N530" t="n">
        <v>0</v>
      </c>
      <c r="O530" t="n">
        <v>0</v>
      </c>
      <c r="P530" t="n">
        <v>0</v>
      </c>
      <c r="Q530" t="n">
        <v>0</v>
      </c>
      <c r="R530" s="2" t="inlineStr"/>
    </row>
    <row r="531" ht="15" customHeight="1">
      <c r="A531" t="inlineStr">
        <is>
          <t>A 59024-2024</t>
        </is>
      </c>
      <c r="B531" s="1" t="n">
        <v>45636.68505787037</v>
      </c>
      <c r="C531" s="1" t="n">
        <v>45940</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55472-2023</t>
        </is>
      </c>
      <c r="B532" s="1" t="n">
        <v>45238</v>
      </c>
      <c r="C532" s="1" t="n">
        <v>45940</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10339-2023</t>
        </is>
      </c>
      <c r="B533" s="1" t="n">
        <v>44987</v>
      </c>
      <c r="C533" s="1" t="n">
        <v>45940</v>
      </c>
      <c r="D533" t="inlineStr">
        <is>
          <t>ÖREBRO LÄN</t>
        </is>
      </c>
      <c r="E533" t="inlineStr">
        <is>
          <t>ÖREBRO</t>
        </is>
      </c>
      <c r="G533" t="n">
        <v>1</v>
      </c>
      <c r="H533" t="n">
        <v>0</v>
      </c>
      <c r="I533" t="n">
        <v>0</v>
      </c>
      <c r="J533" t="n">
        <v>0</v>
      </c>
      <c r="K533" t="n">
        <v>0</v>
      </c>
      <c r="L533" t="n">
        <v>0</v>
      </c>
      <c r="M533" t="n">
        <v>0</v>
      </c>
      <c r="N533" t="n">
        <v>0</v>
      </c>
      <c r="O533" t="n">
        <v>0</v>
      </c>
      <c r="P533" t="n">
        <v>0</v>
      </c>
      <c r="Q533" t="n">
        <v>0</v>
      </c>
      <c r="R533" s="2" t="inlineStr"/>
    </row>
    <row r="534" ht="15" customHeight="1">
      <c r="A534" t="inlineStr">
        <is>
          <t>A 31247-2023</t>
        </is>
      </c>
      <c r="B534" s="1" t="n">
        <v>45114</v>
      </c>
      <c r="C534" s="1" t="n">
        <v>45940</v>
      </c>
      <c r="D534" t="inlineStr">
        <is>
          <t>ÖREBRO LÄN</t>
        </is>
      </c>
      <c r="E534" t="inlineStr">
        <is>
          <t>ÖREBRO</t>
        </is>
      </c>
      <c r="F534" t="inlineStr">
        <is>
          <t>Allmännings- och besparingsskogar</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16165-2023</t>
        </is>
      </c>
      <c r="B535" s="1" t="n">
        <v>45027</v>
      </c>
      <c r="C535" s="1" t="n">
        <v>45940</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5129-2024</t>
        </is>
      </c>
      <c r="B536" s="1" t="n">
        <v>45330</v>
      </c>
      <c r="C536" s="1" t="n">
        <v>45940</v>
      </c>
      <c r="D536" t="inlineStr">
        <is>
          <t>ÖREBRO LÄN</t>
        </is>
      </c>
      <c r="E536" t="inlineStr">
        <is>
          <t>ÖREBRO</t>
        </is>
      </c>
      <c r="G536" t="n">
        <v>0.5</v>
      </c>
      <c r="H536" t="n">
        <v>0</v>
      </c>
      <c r="I536" t="n">
        <v>0</v>
      </c>
      <c r="J536" t="n">
        <v>0</v>
      </c>
      <c r="K536" t="n">
        <v>0</v>
      </c>
      <c r="L536" t="n">
        <v>0</v>
      </c>
      <c r="M536" t="n">
        <v>0</v>
      </c>
      <c r="N536" t="n">
        <v>0</v>
      </c>
      <c r="O536" t="n">
        <v>0</v>
      </c>
      <c r="P536" t="n">
        <v>0</v>
      </c>
      <c r="Q536" t="n">
        <v>0</v>
      </c>
      <c r="R536" s="2" t="inlineStr"/>
    </row>
    <row r="537" ht="15" customHeight="1">
      <c r="A537" t="inlineStr">
        <is>
          <t>A 58486-2024</t>
        </is>
      </c>
      <c r="B537" s="1" t="n">
        <v>45635</v>
      </c>
      <c r="C537" s="1" t="n">
        <v>45940</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39130-2023</t>
        </is>
      </c>
      <c r="B538" s="1" t="n">
        <v>45165</v>
      </c>
      <c r="C538" s="1" t="n">
        <v>45940</v>
      </c>
      <c r="D538" t="inlineStr">
        <is>
          <t>ÖREBRO LÄN</t>
        </is>
      </c>
      <c r="E538" t="inlineStr">
        <is>
          <t>ÖREBRO</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50398-2022</t>
        </is>
      </c>
      <c r="B539" s="1" t="n">
        <v>44861</v>
      </c>
      <c r="C539" s="1" t="n">
        <v>45940</v>
      </c>
      <c r="D539" t="inlineStr">
        <is>
          <t>ÖREBRO LÄN</t>
        </is>
      </c>
      <c r="E539" t="inlineStr">
        <is>
          <t>ÖREBRO</t>
        </is>
      </c>
      <c r="G539" t="n">
        <v>1.9</v>
      </c>
      <c r="H539" t="n">
        <v>0</v>
      </c>
      <c r="I539" t="n">
        <v>0</v>
      </c>
      <c r="J539" t="n">
        <v>0</v>
      </c>
      <c r="K539" t="n">
        <v>0</v>
      </c>
      <c r="L539" t="n">
        <v>0</v>
      </c>
      <c r="M539" t="n">
        <v>0</v>
      </c>
      <c r="N539" t="n">
        <v>0</v>
      </c>
      <c r="O539" t="n">
        <v>0</v>
      </c>
      <c r="P539" t="n">
        <v>0</v>
      </c>
      <c r="Q539" t="n">
        <v>0</v>
      </c>
      <c r="R539" s="2" t="inlineStr"/>
    </row>
    <row r="540" ht="15" customHeight="1">
      <c r="A540" t="inlineStr">
        <is>
          <t>A 9379-2024</t>
        </is>
      </c>
      <c r="B540" s="1" t="n">
        <v>45359.37298611111</v>
      </c>
      <c r="C540" s="1" t="n">
        <v>45940</v>
      </c>
      <c r="D540" t="inlineStr">
        <is>
          <t>ÖREBRO LÄN</t>
        </is>
      </c>
      <c r="E540" t="inlineStr">
        <is>
          <t>ÖREBRO</t>
        </is>
      </c>
      <c r="G540" t="n">
        <v>2.4</v>
      </c>
      <c r="H540" t="n">
        <v>0</v>
      </c>
      <c r="I540" t="n">
        <v>0</v>
      </c>
      <c r="J540" t="n">
        <v>0</v>
      </c>
      <c r="K540" t="n">
        <v>0</v>
      </c>
      <c r="L540" t="n">
        <v>0</v>
      </c>
      <c r="M540" t="n">
        <v>0</v>
      </c>
      <c r="N540" t="n">
        <v>0</v>
      </c>
      <c r="O540" t="n">
        <v>0</v>
      </c>
      <c r="P540" t="n">
        <v>0</v>
      </c>
      <c r="Q540" t="n">
        <v>0</v>
      </c>
      <c r="R540" s="2" t="inlineStr"/>
    </row>
    <row r="541" ht="15" customHeight="1">
      <c r="A541" t="inlineStr">
        <is>
          <t>A 30015-2023</t>
        </is>
      </c>
      <c r="B541" s="1" t="n">
        <v>45109</v>
      </c>
      <c r="C541" s="1" t="n">
        <v>45940</v>
      </c>
      <c r="D541" t="inlineStr">
        <is>
          <t>ÖREBRO LÄN</t>
        </is>
      </c>
      <c r="E541" t="inlineStr">
        <is>
          <t>ÖREBRO</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1013-2024</t>
        </is>
      </c>
      <c r="B542" s="1" t="n">
        <v>45301</v>
      </c>
      <c r="C542" s="1" t="n">
        <v>45940</v>
      </c>
      <c r="D542" t="inlineStr">
        <is>
          <t>ÖREBRO LÄN</t>
        </is>
      </c>
      <c r="E542" t="inlineStr">
        <is>
          <t>ÖREBRO</t>
        </is>
      </c>
      <c r="G542" t="n">
        <v>2.6</v>
      </c>
      <c r="H542" t="n">
        <v>0</v>
      </c>
      <c r="I542" t="n">
        <v>0</v>
      </c>
      <c r="J542" t="n">
        <v>0</v>
      </c>
      <c r="K542" t="n">
        <v>0</v>
      </c>
      <c r="L542" t="n">
        <v>0</v>
      </c>
      <c r="M542" t="n">
        <v>0</v>
      </c>
      <c r="N542" t="n">
        <v>0</v>
      </c>
      <c r="O542" t="n">
        <v>0</v>
      </c>
      <c r="P542" t="n">
        <v>0</v>
      </c>
      <c r="Q542" t="n">
        <v>0</v>
      </c>
      <c r="R542" s="2" t="inlineStr"/>
    </row>
    <row r="543" ht="15" customHeight="1">
      <c r="A543" t="inlineStr">
        <is>
          <t>A 8512-2025</t>
        </is>
      </c>
      <c r="B543" s="1" t="n">
        <v>45709.54873842592</v>
      </c>
      <c r="C543" s="1" t="n">
        <v>45940</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35345-2024</t>
        </is>
      </c>
      <c r="B544" s="1" t="n">
        <v>45530</v>
      </c>
      <c r="C544" s="1" t="n">
        <v>45940</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8568-2021</t>
        </is>
      </c>
      <c r="B545" s="1" t="n">
        <v>44245</v>
      </c>
      <c r="C545" s="1" t="n">
        <v>45940</v>
      </c>
      <c r="D545" t="inlineStr">
        <is>
          <t>ÖREBRO LÄN</t>
        </is>
      </c>
      <c r="E545" t="inlineStr">
        <is>
          <t>ÖREBRO</t>
        </is>
      </c>
      <c r="G545" t="n">
        <v>4.8</v>
      </c>
      <c r="H545" t="n">
        <v>0</v>
      </c>
      <c r="I545" t="n">
        <v>0</v>
      </c>
      <c r="J545" t="n">
        <v>0</v>
      </c>
      <c r="K545" t="n">
        <v>0</v>
      </c>
      <c r="L545" t="n">
        <v>0</v>
      </c>
      <c r="M545" t="n">
        <v>0</v>
      </c>
      <c r="N545" t="n">
        <v>0</v>
      </c>
      <c r="O545" t="n">
        <v>0</v>
      </c>
      <c r="P545" t="n">
        <v>0</v>
      </c>
      <c r="Q545" t="n">
        <v>0</v>
      </c>
      <c r="R545" s="2" t="inlineStr"/>
    </row>
    <row r="546" ht="15" customHeight="1">
      <c r="A546" t="inlineStr">
        <is>
          <t>A 45517-2023</t>
        </is>
      </c>
      <c r="B546" s="1" t="n">
        <v>45194.49594907407</v>
      </c>
      <c r="C546" s="1" t="n">
        <v>45940</v>
      </c>
      <c r="D546" t="inlineStr">
        <is>
          <t>ÖREBRO LÄN</t>
        </is>
      </c>
      <c r="E546" t="inlineStr">
        <is>
          <t>ÖREBRO</t>
        </is>
      </c>
      <c r="G546" t="n">
        <v>1.8</v>
      </c>
      <c r="H546" t="n">
        <v>0</v>
      </c>
      <c r="I546" t="n">
        <v>0</v>
      </c>
      <c r="J546" t="n">
        <v>0</v>
      </c>
      <c r="K546" t="n">
        <v>0</v>
      </c>
      <c r="L546" t="n">
        <v>0</v>
      </c>
      <c r="M546" t="n">
        <v>0</v>
      </c>
      <c r="N546" t="n">
        <v>0</v>
      </c>
      <c r="O546" t="n">
        <v>0</v>
      </c>
      <c r="P546" t="n">
        <v>0</v>
      </c>
      <c r="Q546" t="n">
        <v>0</v>
      </c>
      <c r="R546" s="2" t="inlineStr"/>
    </row>
    <row r="547" ht="15" customHeight="1">
      <c r="A547" t="inlineStr">
        <is>
          <t>A 29554-2025</t>
        </is>
      </c>
      <c r="B547" s="1" t="n">
        <v>45825</v>
      </c>
      <c r="C547" s="1" t="n">
        <v>45940</v>
      </c>
      <c r="D547" t="inlineStr">
        <is>
          <t>ÖREBRO LÄN</t>
        </is>
      </c>
      <c r="E547" t="inlineStr">
        <is>
          <t>ÖREBRO</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14715-2024</t>
        </is>
      </c>
      <c r="B548" s="1" t="n">
        <v>45397.5500462963</v>
      </c>
      <c r="C548" s="1" t="n">
        <v>45940</v>
      </c>
      <c r="D548" t="inlineStr">
        <is>
          <t>ÖREBRO LÄN</t>
        </is>
      </c>
      <c r="E548" t="inlineStr">
        <is>
          <t>ÖREBRO</t>
        </is>
      </c>
      <c r="G548" t="n">
        <v>1.2</v>
      </c>
      <c r="H548" t="n">
        <v>0</v>
      </c>
      <c r="I548" t="n">
        <v>0</v>
      </c>
      <c r="J548" t="n">
        <v>0</v>
      </c>
      <c r="K548" t="n">
        <v>0</v>
      </c>
      <c r="L548" t="n">
        <v>0</v>
      </c>
      <c r="M548" t="n">
        <v>0</v>
      </c>
      <c r="N548" t="n">
        <v>0</v>
      </c>
      <c r="O548" t="n">
        <v>0</v>
      </c>
      <c r="P548" t="n">
        <v>0</v>
      </c>
      <c r="Q548" t="n">
        <v>0</v>
      </c>
      <c r="R548" s="2" t="inlineStr"/>
    </row>
    <row r="549" ht="15" customHeight="1">
      <c r="A549" t="inlineStr">
        <is>
          <t>A 58145-2024</t>
        </is>
      </c>
      <c r="B549" s="1" t="n">
        <v>45632.43230324074</v>
      </c>
      <c r="C549" s="1" t="n">
        <v>45940</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44875-2025</t>
        </is>
      </c>
      <c r="B550" s="1" t="n">
        <v>45918.47043981482</v>
      </c>
      <c r="C550" s="1" t="n">
        <v>45940</v>
      </c>
      <c r="D550" t="inlineStr">
        <is>
          <t>ÖREBRO LÄN</t>
        </is>
      </c>
      <c r="E550" t="inlineStr">
        <is>
          <t>ÖREBRO</t>
        </is>
      </c>
      <c r="G550" t="n">
        <v>1.4</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45940</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45940</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29143-2022</t>
        </is>
      </c>
      <c r="B553" s="1" t="n">
        <v>44750</v>
      </c>
      <c r="C553" s="1" t="n">
        <v>45940</v>
      </c>
      <c r="D553" t="inlineStr">
        <is>
          <t>ÖREBRO LÄN</t>
        </is>
      </c>
      <c r="E553" t="inlineStr">
        <is>
          <t>ÖREBRO</t>
        </is>
      </c>
      <c r="G553" t="n">
        <v>5.6</v>
      </c>
      <c r="H553" t="n">
        <v>0</v>
      </c>
      <c r="I553" t="n">
        <v>0</v>
      </c>
      <c r="J553" t="n">
        <v>0</v>
      </c>
      <c r="K553" t="n">
        <v>0</v>
      </c>
      <c r="L553" t="n">
        <v>0</v>
      </c>
      <c r="M553" t="n">
        <v>0</v>
      </c>
      <c r="N553" t="n">
        <v>0</v>
      </c>
      <c r="O553" t="n">
        <v>0</v>
      </c>
      <c r="P553" t="n">
        <v>0</v>
      </c>
      <c r="Q553" t="n">
        <v>0</v>
      </c>
      <c r="R553" s="2" t="inlineStr"/>
    </row>
    <row r="554" ht="15" customHeight="1">
      <c r="A554" t="inlineStr">
        <is>
          <t>A 14234-2024</t>
        </is>
      </c>
      <c r="B554" s="1" t="n">
        <v>45393.46980324074</v>
      </c>
      <c r="C554" s="1" t="n">
        <v>45940</v>
      </c>
      <c r="D554" t="inlineStr">
        <is>
          <t>ÖREBRO LÄN</t>
        </is>
      </c>
      <c r="E554" t="inlineStr">
        <is>
          <t>ÖREBRO</t>
        </is>
      </c>
      <c r="G554" t="n">
        <v>1.6</v>
      </c>
      <c r="H554" t="n">
        <v>0</v>
      </c>
      <c r="I554" t="n">
        <v>0</v>
      </c>
      <c r="J554" t="n">
        <v>0</v>
      </c>
      <c r="K554" t="n">
        <v>0</v>
      </c>
      <c r="L554" t="n">
        <v>0</v>
      </c>
      <c r="M554" t="n">
        <v>0</v>
      </c>
      <c r="N554" t="n">
        <v>0</v>
      </c>
      <c r="O554" t="n">
        <v>0</v>
      </c>
      <c r="P554" t="n">
        <v>0</v>
      </c>
      <c r="Q554" t="n">
        <v>0</v>
      </c>
      <c r="R554" s="2" t="inlineStr"/>
    </row>
    <row r="555" ht="15" customHeight="1">
      <c r="A555" t="inlineStr">
        <is>
          <t>A 16300-2022</t>
        </is>
      </c>
      <c r="B555" s="1" t="n">
        <v>44670</v>
      </c>
      <c r="C555" s="1" t="n">
        <v>45940</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18181-2024</t>
        </is>
      </c>
      <c r="B556" s="1" t="n">
        <v>45420.64561342593</v>
      </c>
      <c r="C556" s="1" t="n">
        <v>45940</v>
      </c>
      <c r="D556" t="inlineStr">
        <is>
          <t>ÖREBRO LÄN</t>
        </is>
      </c>
      <c r="E556" t="inlineStr">
        <is>
          <t>ÖREBRO</t>
        </is>
      </c>
      <c r="G556" t="n">
        <v>7.6</v>
      </c>
      <c r="H556" t="n">
        <v>0</v>
      </c>
      <c r="I556" t="n">
        <v>0</v>
      </c>
      <c r="J556" t="n">
        <v>0</v>
      </c>
      <c r="K556" t="n">
        <v>0</v>
      </c>
      <c r="L556" t="n">
        <v>0</v>
      </c>
      <c r="M556" t="n">
        <v>0</v>
      </c>
      <c r="N556" t="n">
        <v>0</v>
      </c>
      <c r="O556" t="n">
        <v>0</v>
      </c>
      <c r="P556" t="n">
        <v>0</v>
      </c>
      <c r="Q556" t="n">
        <v>0</v>
      </c>
      <c r="R556" s="2" t="inlineStr"/>
    </row>
    <row r="557" ht="15" customHeight="1">
      <c r="A557" t="inlineStr">
        <is>
          <t>A 44960-2025</t>
        </is>
      </c>
      <c r="B557" s="1" t="n">
        <v>45918.61577546296</v>
      </c>
      <c r="C557" s="1" t="n">
        <v>45940</v>
      </c>
      <c r="D557" t="inlineStr">
        <is>
          <t>ÖREBRO LÄN</t>
        </is>
      </c>
      <c r="E557" t="inlineStr">
        <is>
          <t>ÖREBRO</t>
        </is>
      </c>
      <c r="G557" t="n">
        <v>1.5</v>
      </c>
      <c r="H557" t="n">
        <v>0</v>
      </c>
      <c r="I557" t="n">
        <v>0</v>
      </c>
      <c r="J557" t="n">
        <v>0</v>
      </c>
      <c r="K557" t="n">
        <v>0</v>
      </c>
      <c r="L557" t="n">
        <v>0</v>
      </c>
      <c r="M557" t="n">
        <v>0</v>
      </c>
      <c r="N557" t="n">
        <v>0</v>
      </c>
      <c r="O557" t="n">
        <v>0</v>
      </c>
      <c r="P557" t="n">
        <v>0</v>
      </c>
      <c r="Q557" t="n">
        <v>0</v>
      </c>
      <c r="R557" s="2" t="inlineStr"/>
    </row>
    <row r="558" ht="15" customHeight="1">
      <c r="A558" t="inlineStr">
        <is>
          <t>A 4557-2023</t>
        </is>
      </c>
      <c r="B558" s="1" t="n">
        <v>44956.6655787037</v>
      </c>
      <c r="C558" s="1" t="n">
        <v>45940</v>
      </c>
      <c r="D558" t="inlineStr">
        <is>
          <t>ÖREBRO LÄN</t>
        </is>
      </c>
      <c r="E558" t="inlineStr">
        <is>
          <t>ÖREBRO</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53558-2023</t>
        </is>
      </c>
      <c r="B559" s="1" t="n">
        <v>45230.47266203703</v>
      </c>
      <c r="C559" s="1" t="n">
        <v>45940</v>
      </c>
      <c r="D559" t="inlineStr">
        <is>
          <t>ÖREBRO LÄN</t>
        </is>
      </c>
      <c r="E559" t="inlineStr">
        <is>
          <t>ÖREBRO</t>
        </is>
      </c>
      <c r="F559" t="inlineStr">
        <is>
          <t>Övriga Aktiebolag</t>
        </is>
      </c>
      <c r="G559" t="n">
        <v>4.7</v>
      </c>
      <c r="H559" t="n">
        <v>0</v>
      </c>
      <c r="I559" t="n">
        <v>0</v>
      </c>
      <c r="J559" t="n">
        <v>0</v>
      </c>
      <c r="K559" t="n">
        <v>0</v>
      </c>
      <c r="L559" t="n">
        <v>0</v>
      </c>
      <c r="M559" t="n">
        <v>0</v>
      </c>
      <c r="N559" t="n">
        <v>0</v>
      </c>
      <c r="O559" t="n">
        <v>0</v>
      </c>
      <c r="P559" t="n">
        <v>0</v>
      </c>
      <c r="Q559" t="n">
        <v>0</v>
      </c>
      <c r="R559" s="2" t="inlineStr"/>
    </row>
    <row r="560" ht="15" customHeight="1">
      <c r="A560" t="inlineStr">
        <is>
          <t>A 46518-2023</t>
        </is>
      </c>
      <c r="B560" s="1" t="n">
        <v>45197.72777777778</v>
      </c>
      <c r="C560" s="1" t="n">
        <v>45940</v>
      </c>
      <c r="D560" t="inlineStr">
        <is>
          <t>ÖREBRO LÄN</t>
        </is>
      </c>
      <c r="E560" t="inlineStr">
        <is>
          <t>ÖREBRO</t>
        </is>
      </c>
      <c r="G560" t="n">
        <v>2.2</v>
      </c>
      <c r="H560" t="n">
        <v>0</v>
      </c>
      <c r="I560" t="n">
        <v>0</v>
      </c>
      <c r="J560" t="n">
        <v>0</v>
      </c>
      <c r="K560" t="n">
        <v>0</v>
      </c>
      <c r="L560" t="n">
        <v>0</v>
      </c>
      <c r="M560" t="n">
        <v>0</v>
      </c>
      <c r="N560" t="n">
        <v>0</v>
      </c>
      <c r="O560" t="n">
        <v>0</v>
      </c>
      <c r="P560" t="n">
        <v>0</v>
      </c>
      <c r="Q560" t="n">
        <v>0</v>
      </c>
      <c r="R560" s="2" t="inlineStr"/>
    </row>
    <row r="561" ht="15" customHeight="1">
      <c r="A561" t="inlineStr">
        <is>
          <t>A 7692-2023</t>
        </is>
      </c>
      <c r="B561" s="1" t="n">
        <v>44972.7762962963</v>
      </c>
      <c r="C561" s="1" t="n">
        <v>45940</v>
      </c>
      <c r="D561" t="inlineStr">
        <is>
          <t>ÖREBRO LÄN</t>
        </is>
      </c>
      <c r="E561" t="inlineStr">
        <is>
          <t>ÖREBRO</t>
        </is>
      </c>
      <c r="G561" t="n">
        <v>1.5</v>
      </c>
      <c r="H561" t="n">
        <v>0</v>
      </c>
      <c r="I561" t="n">
        <v>0</v>
      </c>
      <c r="J561" t="n">
        <v>0</v>
      </c>
      <c r="K561" t="n">
        <v>0</v>
      </c>
      <c r="L561" t="n">
        <v>0</v>
      </c>
      <c r="M561" t="n">
        <v>0</v>
      </c>
      <c r="N561" t="n">
        <v>0</v>
      </c>
      <c r="O561" t="n">
        <v>0</v>
      </c>
      <c r="P561" t="n">
        <v>0</v>
      </c>
      <c r="Q561" t="n">
        <v>0</v>
      </c>
      <c r="R561" s="2" t="inlineStr"/>
    </row>
    <row r="562" ht="15" customHeight="1">
      <c r="A562" t="inlineStr">
        <is>
          <t>A 70707-2021</t>
        </is>
      </c>
      <c r="B562" s="1" t="n">
        <v>44537</v>
      </c>
      <c r="C562" s="1" t="n">
        <v>45940</v>
      </c>
      <c r="D562" t="inlineStr">
        <is>
          <t>ÖREBRO LÄN</t>
        </is>
      </c>
      <c r="E562" t="inlineStr">
        <is>
          <t>ÖREBRO</t>
        </is>
      </c>
      <c r="G562" t="n">
        <v>13.2</v>
      </c>
      <c r="H562" t="n">
        <v>0</v>
      </c>
      <c r="I562" t="n">
        <v>0</v>
      </c>
      <c r="J562" t="n">
        <v>0</v>
      </c>
      <c r="K562" t="n">
        <v>0</v>
      </c>
      <c r="L562" t="n">
        <v>0</v>
      </c>
      <c r="M562" t="n">
        <v>0</v>
      </c>
      <c r="N562" t="n">
        <v>0</v>
      </c>
      <c r="O562" t="n">
        <v>0</v>
      </c>
      <c r="P562" t="n">
        <v>0</v>
      </c>
      <c r="Q562" t="n">
        <v>0</v>
      </c>
      <c r="R562" s="2" t="inlineStr"/>
    </row>
    <row r="563" ht="15" customHeight="1">
      <c r="A563" t="inlineStr">
        <is>
          <t>A 46056-2024</t>
        </is>
      </c>
      <c r="B563" s="1" t="n">
        <v>45580.91502314815</v>
      </c>
      <c r="C563" s="1" t="n">
        <v>45940</v>
      </c>
      <c r="D563" t="inlineStr">
        <is>
          <t>ÖREBRO LÄN</t>
        </is>
      </c>
      <c r="E563" t="inlineStr">
        <is>
          <t>ÖREBRO</t>
        </is>
      </c>
      <c r="F563" t="inlineStr">
        <is>
          <t>Övriga Aktiebolag</t>
        </is>
      </c>
      <c r="G563" t="n">
        <v>4.5</v>
      </c>
      <c r="H563" t="n">
        <v>0</v>
      </c>
      <c r="I563" t="n">
        <v>0</v>
      </c>
      <c r="J563" t="n">
        <v>0</v>
      </c>
      <c r="K563" t="n">
        <v>0</v>
      </c>
      <c r="L563" t="n">
        <v>0</v>
      </c>
      <c r="M563" t="n">
        <v>0</v>
      </c>
      <c r="N563" t="n">
        <v>0</v>
      </c>
      <c r="O563" t="n">
        <v>0</v>
      </c>
      <c r="P563" t="n">
        <v>0</v>
      </c>
      <c r="Q563" t="n">
        <v>0</v>
      </c>
      <c r="R563" s="2" t="inlineStr"/>
    </row>
    <row r="564" ht="15" customHeight="1">
      <c r="A564" t="inlineStr">
        <is>
          <t>A 60100-2022</t>
        </is>
      </c>
      <c r="B564" s="1" t="n">
        <v>44902</v>
      </c>
      <c r="C564" s="1" t="n">
        <v>45940</v>
      </c>
      <c r="D564" t="inlineStr">
        <is>
          <t>ÖREBRO LÄN</t>
        </is>
      </c>
      <c r="E564" t="inlineStr">
        <is>
          <t>ÖREBRO</t>
        </is>
      </c>
      <c r="G564" t="n">
        <v>1.4</v>
      </c>
      <c r="H564" t="n">
        <v>0</v>
      </c>
      <c r="I564" t="n">
        <v>0</v>
      </c>
      <c r="J564" t="n">
        <v>0</v>
      </c>
      <c r="K564" t="n">
        <v>0</v>
      </c>
      <c r="L564" t="n">
        <v>0</v>
      </c>
      <c r="M564" t="n">
        <v>0</v>
      </c>
      <c r="N564" t="n">
        <v>0</v>
      </c>
      <c r="O564" t="n">
        <v>0</v>
      </c>
      <c r="P564" t="n">
        <v>0</v>
      </c>
      <c r="Q564" t="n">
        <v>0</v>
      </c>
      <c r="R564" s="2" t="inlineStr"/>
    </row>
    <row r="565" ht="15" customHeight="1">
      <c r="A565" t="inlineStr">
        <is>
          <t>A 57638-2022</t>
        </is>
      </c>
      <c r="B565" s="1" t="n">
        <v>44897</v>
      </c>
      <c r="C565" s="1" t="n">
        <v>45940</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2152-2023</t>
        </is>
      </c>
      <c r="B566" s="1" t="n">
        <v>44941.55056712963</v>
      </c>
      <c r="C566" s="1" t="n">
        <v>45940</v>
      </c>
      <c r="D566" t="inlineStr">
        <is>
          <t>ÖREBRO LÄN</t>
        </is>
      </c>
      <c r="E566" t="inlineStr">
        <is>
          <t>ÖREBRO</t>
        </is>
      </c>
      <c r="G566" t="n">
        <v>8</v>
      </c>
      <c r="H566" t="n">
        <v>0</v>
      </c>
      <c r="I566" t="n">
        <v>0</v>
      </c>
      <c r="J566" t="n">
        <v>0</v>
      </c>
      <c r="K566" t="n">
        <v>0</v>
      </c>
      <c r="L566" t="n">
        <v>0</v>
      </c>
      <c r="M566" t="n">
        <v>0</v>
      </c>
      <c r="N566" t="n">
        <v>0</v>
      </c>
      <c r="O566" t="n">
        <v>0</v>
      </c>
      <c r="P566" t="n">
        <v>0</v>
      </c>
      <c r="Q566" t="n">
        <v>0</v>
      </c>
      <c r="R566" s="2" t="inlineStr"/>
    </row>
    <row r="567" ht="15" customHeight="1">
      <c r="A567" t="inlineStr">
        <is>
          <t>A 8656-2025</t>
        </is>
      </c>
      <c r="B567" s="1" t="n">
        <v>45712.38268518518</v>
      </c>
      <c r="C567" s="1" t="n">
        <v>45940</v>
      </c>
      <c r="D567" t="inlineStr">
        <is>
          <t>ÖREBRO LÄN</t>
        </is>
      </c>
      <c r="E567" t="inlineStr">
        <is>
          <t>ÖREBRO</t>
        </is>
      </c>
      <c r="G567" t="n">
        <v>2.7</v>
      </c>
      <c r="H567" t="n">
        <v>0</v>
      </c>
      <c r="I567" t="n">
        <v>0</v>
      </c>
      <c r="J567" t="n">
        <v>0</v>
      </c>
      <c r="K567" t="n">
        <v>0</v>
      </c>
      <c r="L567" t="n">
        <v>0</v>
      </c>
      <c r="M567" t="n">
        <v>0</v>
      </c>
      <c r="N567" t="n">
        <v>0</v>
      </c>
      <c r="O567" t="n">
        <v>0</v>
      </c>
      <c r="P567" t="n">
        <v>0</v>
      </c>
      <c r="Q567" t="n">
        <v>0</v>
      </c>
      <c r="R567" s="2" t="inlineStr"/>
    </row>
    <row r="568" ht="15" customHeight="1">
      <c r="A568" t="inlineStr">
        <is>
          <t>A 55353-2024</t>
        </is>
      </c>
      <c r="B568" s="1" t="n">
        <v>45621.79526620371</v>
      </c>
      <c r="C568" s="1" t="n">
        <v>45940</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55357-2024</t>
        </is>
      </c>
      <c r="B569" s="1" t="n">
        <v>45621.81126157408</v>
      </c>
      <c r="C569" s="1" t="n">
        <v>45940</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8274-2025</t>
        </is>
      </c>
      <c r="B570" s="1" t="n">
        <v>45708</v>
      </c>
      <c r="C570" s="1" t="n">
        <v>45940</v>
      </c>
      <c r="D570" t="inlineStr">
        <is>
          <t>ÖREBRO LÄN</t>
        </is>
      </c>
      <c r="E570" t="inlineStr">
        <is>
          <t>ÖREBRO</t>
        </is>
      </c>
      <c r="G570" t="n">
        <v>5.8</v>
      </c>
      <c r="H570" t="n">
        <v>0</v>
      </c>
      <c r="I570" t="n">
        <v>0</v>
      </c>
      <c r="J570" t="n">
        <v>0</v>
      </c>
      <c r="K570" t="n">
        <v>0</v>
      </c>
      <c r="L570" t="n">
        <v>0</v>
      </c>
      <c r="M570" t="n">
        <v>0</v>
      </c>
      <c r="N570" t="n">
        <v>0</v>
      </c>
      <c r="O570" t="n">
        <v>0</v>
      </c>
      <c r="P570" t="n">
        <v>0</v>
      </c>
      <c r="Q570" t="n">
        <v>0</v>
      </c>
      <c r="R570" s="2" t="inlineStr"/>
    </row>
    <row r="571" ht="15" customHeight="1">
      <c r="A571" t="inlineStr">
        <is>
          <t>A 7634-2024</t>
        </is>
      </c>
      <c r="B571" s="1" t="n">
        <v>45348</v>
      </c>
      <c r="C571" s="1" t="n">
        <v>45940</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42623-2022</t>
        </is>
      </c>
      <c r="B572" s="1" t="n">
        <v>44831</v>
      </c>
      <c r="C572" s="1" t="n">
        <v>45940</v>
      </c>
      <c r="D572" t="inlineStr">
        <is>
          <t>ÖREBRO LÄN</t>
        </is>
      </c>
      <c r="E572" t="inlineStr">
        <is>
          <t>ÖREBRO</t>
        </is>
      </c>
      <c r="G572" t="n">
        <v>3.6</v>
      </c>
      <c r="H572" t="n">
        <v>0</v>
      </c>
      <c r="I572" t="n">
        <v>0</v>
      </c>
      <c r="J572" t="n">
        <v>0</v>
      </c>
      <c r="K572" t="n">
        <v>0</v>
      </c>
      <c r="L572" t="n">
        <v>0</v>
      </c>
      <c r="M572" t="n">
        <v>0</v>
      </c>
      <c r="N572" t="n">
        <v>0</v>
      </c>
      <c r="O572" t="n">
        <v>0</v>
      </c>
      <c r="P572" t="n">
        <v>0</v>
      </c>
      <c r="Q572" t="n">
        <v>0</v>
      </c>
      <c r="R572" s="2" t="inlineStr"/>
    </row>
    <row r="573" ht="15" customHeight="1">
      <c r="A573" t="inlineStr">
        <is>
          <t>A 58208-2024</t>
        </is>
      </c>
      <c r="B573" s="1" t="n">
        <v>45632</v>
      </c>
      <c r="C573" s="1" t="n">
        <v>45940</v>
      </c>
      <c r="D573" t="inlineStr">
        <is>
          <t>ÖREBRO LÄN</t>
        </is>
      </c>
      <c r="E573" t="inlineStr">
        <is>
          <t>ÖREBRO</t>
        </is>
      </c>
      <c r="G573" t="n">
        <v>3.1</v>
      </c>
      <c r="H573" t="n">
        <v>0</v>
      </c>
      <c r="I573" t="n">
        <v>0</v>
      </c>
      <c r="J573" t="n">
        <v>0</v>
      </c>
      <c r="K573" t="n">
        <v>0</v>
      </c>
      <c r="L573" t="n">
        <v>0</v>
      </c>
      <c r="M573" t="n">
        <v>0</v>
      </c>
      <c r="N573" t="n">
        <v>0</v>
      </c>
      <c r="O573" t="n">
        <v>0</v>
      </c>
      <c r="P573" t="n">
        <v>0</v>
      </c>
      <c r="Q573" t="n">
        <v>0</v>
      </c>
      <c r="R573" s="2" t="inlineStr"/>
    </row>
    <row r="574" ht="15" customHeight="1">
      <c r="A574" t="inlineStr">
        <is>
          <t>A 72329-2021</t>
        </is>
      </c>
      <c r="B574" s="1" t="n">
        <v>44545.46072916667</v>
      </c>
      <c r="C574" s="1" t="n">
        <v>45940</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71266-2021</t>
        </is>
      </c>
      <c r="B575" s="1" t="n">
        <v>44539</v>
      </c>
      <c r="C575" s="1" t="n">
        <v>45940</v>
      </c>
      <c r="D575" t="inlineStr">
        <is>
          <t>ÖREBRO LÄN</t>
        </is>
      </c>
      <c r="E575" t="inlineStr">
        <is>
          <t>ÖREBRO</t>
        </is>
      </c>
      <c r="G575" t="n">
        <v>1.8</v>
      </c>
      <c r="H575" t="n">
        <v>0</v>
      </c>
      <c r="I575" t="n">
        <v>0</v>
      </c>
      <c r="J575" t="n">
        <v>0</v>
      </c>
      <c r="K575" t="n">
        <v>0</v>
      </c>
      <c r="L575" t="n">
        <v>0</v>
      </c>
      <c r="M575" t="n">
        <v>0</v>
      </c>
      <c r="N575" t="n">
        <v>0</v>
      </c>
      <c r="O575" t="n">
        <v>0</v>
      </c>
      <c r="P575" t="n">
        <v>0</v>
      </c>
      <c r="Q575" t="n">
        <v>0</v>
      </c>
      <c r="R575" s="2" t="inlineStr"/>
    </row>
    <row r="576" ht="15" customHeight="1">
      <c r="A576" t="inlineStr">
        <is>
          <t>A 71267-2021</t>
        </is>
      </c>
      <c r="B576" s="1" t="n">
        <v>44539</v>
      </c>
      <c r="C576" s="1" t="n">
        <v>45940</v>
      </c>
      <c r="D576" t="inlineStr">
        <is>
          <t>ÖREBRO LÄN</t>
        </is>
      </c>
      <c r="E576" t="inlineStr">
        <is>
          <t>ÖREBRO</t>
        </is>
      </c>
      <c r="G576" t="n">
        <v>1.7</v>
      </c>
      <c r="H576" t="n">
        <v>0</v>
      </c>
      <c r="I576" t="n">
        <v>0</v>
      </c>
      <c r="J576" t="n">
        <v>0</v>
      </c>
      <c r="K576" t="n">
        <v>0</v>
      </c>
      <c r="L576" t="n">
        <v>0</v>
      </c>
      <c r="M576" t="n">
        <v>0</v>
      </c>
      <c r="N576" t="n">
        <v>0</v>
      </c>
      <c r="O576" t="n">
        <v>0</v>
      </c>
      <c r="P576" t="n">
        <v>0</v>
      </c>
      <c r="Q576" t="n">
        <v>0</v>
      </c>
      <c r="R576" s="2" t="inlineStr"/>
    </row>
    <row r="577" ht="15" customHeight="1">
      <c r="A577" t="inlineStr">
        <is>
          <t>A 71280-2021</t>
        </is>
      </c>
      <c r="B577" s="1" t="n">
        <v>44539</v>
      </c>
      <c r="C577" s="1" t="n">
        <v>45940</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21983-2021</t>
        </is>
      </c>
      <c r="B578" s="1" t="n">
        <v>44323</v>
      </c>
      <c r="C578" s="1" t="n">
        <v>45940</v>
      </c>
      <c r="D578" t="inlineStr">
        <is>
          <t>ÖREBRO LÄN</t>
        </is>
      </c>
      <c r="E578" t="inlineStr">
        <is>
          <t>ÖREBRO</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38057-2025</t>
        </is>
      </c>
      <c r="B579" s="1" t="n">
        <v>45882.42570601852</v>
      </c>
      <c r="C579" s="1" t="n">
        <v>45940</v>
      </c>
      <c r="D579" t="inlineStr">
        <is>
          <t>ÖREBRO LÄN</t>
        </is>
      </c>
      <c r="E579" t="inlineStr">
        <is>
          <t>ÖREBRO</t>
        </is>
      </c>
      <c r="G579" t="n">
        <v>3</v>
      </c>
      <c r="H579" t="n">
        <v>0</v>
      </c>
      <c r="I579" t="n">
        <v>0</v>
      </c>
      <c r="J579" t="n">
        <v>0</v>
      </c>
      <c r="K579" t="n">
        <v>0</v>
      </c>
      <c r="L579" t="n">
        <v>0</v>
      </c>
      <c r="M579" t="n">
        <v>0</v>
      </c>
      <c r="N579" t="n">
        <v>0</v>
      </c>
      <c r="O579" t="n">
        <v>0</v>
      </c>
      <c r="P579" t="n">
        <v>0</v>
      </c>
      <c r="Q579" t="n">
        <v>0</v>
      </c>
      <c r="R579" s="2" t="inlineStr"/>
    </row>
    <row r="580" ht="15" customHeight="1">
      <c r="A580" t="inlineStr">
        <is>
          <t>A 62497-2023</t>
        </is>
      </c>
      <c r="B580" s="1" t="n">
        <v>45268.59935185185</v>
      </c>
      <c r="C580" s="1" t="n">
        <v>45940</v>
      </c>
      <c r="D580" t="inlineStr">
        <is>
          <t>ÖREBRO LÄN</t>
        </is>
      </c>
      <c r="E580" t="inlineStr">
        <is>
          <t>ÖREBRO</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33294-2023</t>
        </is>
      </c>
      <c r="B581" s="1" t="n">
        <v>45127</v>
      </c>
      <c r="C581" s="1" t="n">
        <v>45940</v>
      </c>
      <c r="D581" t="inlineStr">
        <is>
          <t>ÖREBRO LÄN</t>
        </is>
      </c>
      <c r="E581" t="inlineStr">
        <is>
          <t>ÖREBRO</t>
        </is>
      </c>
      <c r="F581" t="inlineStr">
        <is>
          <t>Övriga Aktiebolag</t>
        </is>
      </c>
      <c r="G581" t="n">
        <v>6.7</v>
      </c>
      <c r="H581" t="n">
        <v>0</v>
      </c>
      <c r="I581" t="n">
        <v>0</v>
      </c>
      <c r="J581" t="n">
        <v>0</v>
      </c>
      <c r="K581" t="n">
        <v>0</v>
      </c>
      <c r="L581" t="n">
        <v>0</v>
      </c>
      <c r="M581" t="n">
        <v>0</v>
      </c>
      <c r="N581" t="n">
        <v>0</v>
      </c>
      <c r="O581" t="n">
        <v>0</v>
      </c>
      <c r="P581" t="n">
        <v>0</v>
      </c>
      <c r="Q581" t="n">
        <v>0</v>
      </c>
      <c r="R581" s="2" t="inlineStr"/>
    </row>
    <row r="582" ht="15" customHeight="1">
      <c r="A582" t="inlineStr">
        <is>
          <t>A 4344-2025</t>
        </is>
      </c>
      <c r="B582" s="1" t="n">
        <v>45685</v>
      </c>
      <c r="C582" s="1" t="n">
        <v>45940</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46052-2024</t>
        </is>
      </c>
      <c r="B583" s="1" t="n">
        <v>45580.89116898148</v>
      </c>
      <c r="C583" s="1" t="n">
        <v>45940</v>
      </c>
      <c r="D583" t="inlineStr">
        <is>
          <t>ÖREBRO LÄN</t>
        </is>
      </c>
      <c r="E583" t="inlineStr">
        <is>
          <t>ÖREBRO</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54149-2024</t>
        </is>
      </c>
      <c r="B584" s="1" t="n">
        <v>45616</v>
      </c>
      <c r="C584" s="1" t="n">
        <v>45940</v>
      </c>
      <c r="D584" t="inlineStr">
        <is>
          <t>ÖREBRO LÄN</t>
        </is>
      </c>
      <c r="E584" t="inlineStr">
        <is>
          <t>ÖREBRO</t>
        </is>
      </c>
      <c r="G584" t="n">
        <v>2.7</v>
      </c>
      <c r="H584" t="n">
        <v>0</v>
      </c>
      <c r="I584" t="n">
        <v>0</v>
      </c>
      <c r="J584" t="n">
        <v>0</v>
      </c>
      <c r="K584" t="n">
        <v>0</v>
      </c>
      <c r="L584" t="n">
        <v>0</v>
      </c>
      <c r="M584" t="n">
        <v>0</v>
      </c>
      <c r="N584" t="n">
        <v>0</v>
      </c>
      <c r="O584" t="n">
        <v>0</v>
      </c>
      <c r="P584" t="n">
        <v>0</v>
      </c>
      <c r="Q584" t="n">
        <v>0</v>
      </c>
      <c r="R584" s="2" t="inlineStr"/>
    </row>
    <row r="585" ht="15" customHeight="1">
      <c r="A585" t="inlineStr">
        <is>
          <t>A 55355-2024</t>
        </is>
      </c>
      <c r="B585" s="1" t="n">
        <v>45621.80475694445</v>
      </c>
      <c r="C585" s="1" t="n">
        <v>45940</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56077-2022</t>
        </is>
      </c>
      <c r="B586" s="1" t="n">
        <v>44889.60872685185</v>
      </c>
      <c r="C586" s="1" t="n">
        <v>45940</v>
      </c>
      <c r="D586" t="inlineStr">
        <is>
          <t>ÖREBRO LÄN</t>
        </is>
      </c>
      <c r="E586" t="inlineStr">
        <is>
          <t>ÖREBRO</t>
        </is>
      </c>
      <c r="F586" t="inlineStr">
        <is>
          <t>Övriga Aktiebolag</t>
        </is>
      </c>
      <c r="G586" t="n">
        <v>2.5</v>
      </c>
      <c r="H586" t="n">
        <v>0</v>
      </c>
      <c r="I586" t="n">
        <v>0</v>
      </c>
      <c r="J586" t="n">
        <v>0</v>
      </c>
      <c r="K586" t="n">
        <v>0</v>
      </c>
      <c r="L586" t="n">
        <v>0</v>
      </c>
      <c r="M586" t="n">
        <v>0</v>
      </c>
      <c r="N586" t="n">
        <v>0</v>
      </c>
      <c r="O586" t="n">
        <v>0</v>
      </c>
      <c r="P586" t="n">
        <v>0</v>
      </c>
      <c r="Q586" t="n">
        <v>0</v>
      </c>
      <c r="R586" s="2" t="inlineStr"/>
    </row>
    <row r="587" ht="15" customHeight="1">
      <c r="A587" t="inlineStr">
        <is>
          <t>A 33457-2023</t>
        </is>
      </c>
      <c r="B587" s="1" t="n">
        <v>45131</v>
      </c>
      <c r="C587" s="1" t="n">
        <v>45940</v>
      </c>
      <c r="D587" t="inlineStr">
        <is>
          <t>ÖREBRO LÄN</t>
        </is>
      </c>
      <c r="E587" t="inlineStr">
        <is>
          <t>ÖREBRO</t>
        </is>
      </c>
      <c r="G587" t="n">
        <v>0.5</v>
      </c>
      <c r="H587" t="n">
        <v>0</v>
      </c>
      <c r="I587" t="n">
        <v>0</v>
      </c>
      <c r="J587" t="n">
        <v>0</v>
      </c>
      <c r="K587" t="n">
        <v>0</v>
      </c>
      <c r="L587" t="n">
        <v>0</v>
      </c>
      <c r="M587" t="n">
        <v>0</v>
      </c>
      <c r="N587" t="n">
        <v>0</v>
      </c>
      <c r="O587" t="n">
        <v>0</v>
      </c>
      <c r="P587" t="n">
        <v>0</v>
      </c>
      <c r="Q587" t="n">
        <v>0</v>
      </c>
      <c r="R587" s="2" t="inlineStr"/>
    </row>
    <row r="588" ht="15" customHeight="1">
      <c r="A588" t="inlineStr">
        <is>
          <t>A 7141-2025</t>
        </is>
      </c>
      <c r="B588" s="1" t="n">
        <v>45702</v>
      </c>
      <c r="C588" s="1" t="n">
        <v>45940</v>
      </c>
      <c r="D588" t="inlineStr">
        <is>
          <t>ÖREBRO LÄN</t>
        </is>
      </c>
      <c r="E588" t="inlineStr">
        <is>
          <t>ÖREBRO</t>
        </is>
      </c>
      <c r="G588" t="n">
        <v>2.9</v>
      </c>
      <c r="H588" t="n">
        <v>0</v>
      </c>
      <c r="I588" t="n">
        <v>0</v>
      </c>
      <c r="J588" t="n">
        <v>0</v>
      </c>
      <c r="K588" t="n">
        <v>0</v>
      </c>
      <c r="L588" t="n">
        <v>0</v>
      </c>
      <c r="M588" t="n">
        <v>0</v>
      </c>
      <c r="N588" t="n">
        <v>0</v>
      </c>
      <c r="O588" t="n">
        <v>0</v>
      </c>
      <c r="P588" t="n">
        <v>0</v>
      </c>
      <c r="Q588" t="n">
        <v>0</v>
      </c>
      <c r="R588" s="2" t="inlineStr"/>
    </row>
    <row r="589" ht="15" customHeight="1">
      <c r="A589" t="inlineStr">
        <is>
          <t>A 22677-2022</t>
        </is>
      </c>
      <c r="B589" s="1" t="n">
        <v>44714</v>
      </c>
      <c r="C589" s="1" t="n">
        <v>45940</v>
      </c>
      <c r="D589" t="inlineStr">
        <is>
          <t>ÖREBRO LÄN</t>
        </is>
      </c>
      <c r="E589" t="inlineStr">
        <is>
          <t>ÖREBRO</t>
        </is>
      </c>
      <c r="G589" t="n">
        <v>2.3</v>
      </c>
      <c r="H589" t="n">
        <v>0</v>
      </c>
      <c r="I589" t="n">
        <v>0</v>
      </c>
      <c r="J589" t="n">
        <v>0</v>
      </c>
      <c r="K589" t="n">
        <v>0</v>
      </c>
      <c r="L589" t="n">
        <v>0</v>
      </c>
      <c r="M589" t="n">
        <v>0</v>
      </c>
      <c r="N589" t="n">
        <v>0</v>
      </c>
      <c r="O589" t="n">
        <v>0</v>
      </c>
      <c r="P589" t="n">
        <v>0</v>
      </c>
      <c r="Q589" t="n">
        <v>0</v>
      </c>
      <c r="R589" s="2" t="inlineStr"/>
    </row>
    <row r="590" ht="15" customHeight="1">
      <c r="A590" t="inlineStr">
        <is>
          <t>A 13169-2024</t>
        </is>
      </c>
      <c r="B590" s="1" t="n">
        <v>45386.40489583334</v>
      </c>
      <c r="C590" s="1" t="n">
        <v>45940</v>
      </c>
      <c r="D590" t="inlineStr">
        <is>
          <t>ÖREBRO LÄN</t>
        </is>
      </c>
      <c r="E590" t="inlineStr">
        <is>
          <t>ÖREBRO</t>
        </is>
      </c>
      <c r="G590" t="n">
        <v>4.3</v>
      </c>
      <c r="H590" t="n">
        <v>0</v>
      </c>
      <c r="I590" t="n">
        <v>0</v>
      </c>
      <c r="J590" t="n">
        <v>0</v>
      </c>
      <c r="K590" t="n">
        <v>0</v>
      </c>
      <c r="L590" t="n">
        <v>0</v>
      </c>
      <c r="M590" t="n">
        <v>0</v>
      </c>
      <c r="N590" t="n">
        <v>0</v>
      </c>
      <c r="O590" t="n">
        <v>0</v>
      </c>
      <c r="P590" t="n">
        <v>0</v>
      </c>
      <c r="Q590" t="n">
        <v>0</v>
      </c>
      <c r="R590" s="2" t="inlineStr"/>
    </row>
    <row r="591" ht="15" customHeight="1">
      <c r="A591" t="inlineStr">
        <is>
          <t>A 23710-2022</t>
        </is>
      </c>
      <c r="B591" s="1" t="n">
        <v>44722</v>
      </c>
      <c r="C591" s="1" t="n">
        <v>45940</v>
      </c>
      <c r="D591" t="inlineStr">
        <is>
          <t>ÖREBRO LÄN</t>
        </is>
      </c>
      <c r="E591" t="inlineStr">
        <is>
          <t>ÖREBRO</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4757-2024</t>
        </is>
      </c>
      <c r="B592" s="1" t="n">
        <v>45328</v>
      </c>
      <c r="C592" s="1" t="n">
        <v>45940</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30903-2024</t>
        </is>
      </c>
      <c r="B593" s="1" t="n">
        <v>45498.49946759259</v>
      </c>
      <c r="C593" s="1" t="n">
        <v>45940</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47193-2023</t>
        </is>
      </c>
      <c r="B594" s="1" t="n">
        <v>45202.3074537037</v>
      </c>
      <c r="C594" s="1" t="n">
        <v>45940</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c r="A595" t="inlineStr">
        <is>
          <t>A 59026-2024</t>
        </is>
      </c>
      <c r="B595" s="1" t="n">
        <v>45636.6875</v>
      </c>
      <c r="C595" s="1" t="n">
        <v>45940</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2025-10-10T12:42:25Z</dcterms:created>
  <dcterms:modified xmlns:dcterms="http://purl.org/dc/terms/" xmlns:xsi="http://www.w3.org/2001/XMLSchema-instance" xsi:type="dcterms:W3CDTF">2025-10-10T12:42:25Z</dcterms:modified>
</cp:coreProperties>
</file>