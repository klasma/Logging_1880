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45908</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45908</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45908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45908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45908</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57553-2023</t>
        </is>
      </c>
      <c r="B11" s="1" t="n">
        <v>45246</v>
      </c>
      <c r="C11" s="1" t="n">
        <v>45908</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45908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45908</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45908</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45908</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45908</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45908</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575-2024</t>
        </is>
      </c>
      <c r="B18" s="1" t="n">
        <v>45299</v>
      </c>
      <c r="C18" s="1" t="n">
        <v>45908</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45908</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45908</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45908</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45908</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29478-2022</t>
        </is>
      </c>
      <c r="B23" s="1" t="n">
        <v>44753</v>
      </c>
      <c r="C23" s="1" t="n">
        <v>45908</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45908</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45908</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45908</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45908</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30409-2025</t>
        </is>
      </c>
      <c r="B28" s="1" t="n">
        <v>45827.59738425926</v>
      </c>
      <c r="C28" s="1" t="n">
        <v>45908</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14956-2025</t>
        </is>
      </c>
      <c r="B29" s="1" t="n">
        <v>45743.58409722222</v>
      </c>
      <c r="C29" s="1" t="n">
        <v>45908</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45908</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45908</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45908</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22577-2024</t>
        </is>
      </c>
      <c r="B33" s="1" t="n">
        <v>45447</v>
      </c>
      <c r="C33" s="1" t="n">
        <v>45908</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37019-2024</t>
        </is>
      </c>
      <c r="B34" s="1" t="n">
        <v>45539.37905092593</v>
      </c>
      <c r="C34" s="1" t="n">
        <v>45908</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8267-2021</t>
        </is>
      </c>
      <c r="B35" s="1" t="n">
        <v>44244</v>
      </c>
      <c r="C35" s="1" t="n">
        <v>45908</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45908</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45908</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45908</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45908</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2077-2023</t>
        </is>
      </c>
      <c r="B40" s="1" t="n">
        <v>44939</v>
      </c>
      <c r="C40" s="1" t="n">
        <v>45908</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55904-2024</t>
        </is>
      </c>
      <c r="B41" s="1" t="n">
        <v>45623.58190972222</v>
      </c>
      <c r="C41" s="1" t="n">
        <v>45908</v>
      </c>
      <c r="D41" t="inlineStr">
        <is>
          <t>ÖREBRO LÄN</t>
        </is>
      </c>
      <c r="E41" t="inlineStr">
        <is>
          <t>ÖREBRO</t>
        </is>
      </c>
      <c r="G41" t="n">
        <v>1.2</v>
      </c>
      <c r="H41" t="n">
        <v>1</v>
      </c>
      <c r="I41" t="n">
        <v>0</v>
      </c>
      <c r="J41" t="n">
        <v>0</v>
      </c>
      <c r="K41" t="n">
        <v>0</v>
      </c>
      <c r="L41" t="n">
        <v>0</v>
      </c>
      <c r="M41" t="n">
        <v>0</v>
      </c>
      <c r="N41" t="n">
        <v>0</v>
      </c>
      <c r="O41" t="n">
        <v>0</v>
      </c>
      <c r="P41" t="n">
        <v>0</v>
      </c>
      <c r="Q41" t="n">
        <v>1</v>
      </c>
      <c r="R41" s="2" t="inlineStr">
        <is>
          <t>Trana</t>
        </is>
      </c>
      <c r="S41">
        <f>HYPERLINK("https://klasma.github.io/Logging_1880/artfynd/A 55904-2024 artfynd.xlsx", "A 55904-2024")</f>
        <v/>
      </c>
      <c r="T41">
        <f>HYPERLINK("https://klasma.github.io/Logging_1880/kartor/A 55904-2024 karta.png", "A 55904-2024")</f>
        <v/>
      </c>
      <c r="V41">
        <f>HYPERLINK("https://klasma.github.io/Logging_1880/klagomål/A 55904-2024 FSC-klagomål.docx", "A 55904-2024")</f>
        <v/>
      </c>
      <c r="W41">
        <f>HYPERLINK("https://klasma.github.io/Logging_1880/klagomålsmail/A 55904-2024 FSC-klagomål mail.docx", "A 55904-2024")</f>
        <v/>
      </c>
      <c r="X41">
        <f>HYPERLINK("https://klasma.github.io/Logging_1880/tillsyn/A 55904-2024 tillsynsbegäran.docx", "A 55904-2024")</f>
        <v/>
      </c>
      <c r="Y41">
        <f>HYPERLINK("https://klasma.github.io/Logging_1880/tillsynsmail/A 55904-2024 tillsynsbegäran mail.docx", "A 55904-2024")</f>
        <v/>
      </c>
      <c r="Z41">
        <f>HYPERLINK("https://klasma.github.io/Logging_1880/fåglar/A 55904-2024 prioriterade fågelarter.docx", "A 55904-2024")</f>
        <v/>
      </c>
    </row>
    <row r="42" ht="15" customHeight="1">
      <c r="A42" t="inlineStr">
        <is>
          <t>A 23998-2025</t>
        </is>
      </c>
      <c r="B42" s="1" t="n">
        <v>45796.42209490741</v>
      </c>
      <c r="C42" s="1" t="n">
        <v>45908</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4014-2021</t>
        </is>
      </c>
      <c r="B43" s="1" t="n">
        <v>44218</v>
      </c>
      <c r="C43" s="1" t="n">
        <v>45908</v>
      </c>
      <c r="D43" t="inlineStr">
        <is>
          <t>ÖREBRO LÄN</t>
        </is>
      </c>
      <c r="E43" t="inlineStr">
        <is>
          <t>ÖREBRO</t>
        </is>
      </c>
      <c r="G43" t="n">
        <v>10.5</v>
      </c>
      <c r="H43" t="n">
        <v>0</v>
      </c>
      <c r="I43" t="n">
        <v>1</v>
      </c>
      <c r="J43" t="n">
        <v>0</v>
      </c>
      <c r="K43" t="n">
        <v>0</v>
      </c>
      <c r="L43" t="n">
        <v>0</v>
      </c>
      <c r="M43" t="n">
        <v>0</v>
      </c>
      <c r="N43" t="n">
        <v>0</v>
      </c>
      <c r="O43" t="n">
        <v>0</v>
      </c>
      <c r="P43" t="n">
        <v>0</v>
      </c>
      <c r="Q43" t="n">
        <v>1</v>
      </c>
      <c r="R43" s="2" t="inlineStr">
        <is>
          <t>Springkorn</t>
        </is>
      </c>
      <c r="S43">
        <f>HYPERLINK("https://klasma.github.io/Logging_1880/artfynd/A 4014-2021 artfynd.xlsx", "A 4014-2021")</f>
        <v/>
      </c>
      <c r="T43">
        <f>HYPERLINK("https://klasma.github.io/Logging_1880/kartor/A 4014-2021 karta.png", "A 4014-2021")</f>
        <v/>
      </c>
      <c r="V43">
        <f>HYPERLINK("https://klasma.github.io/Logging_1880/klagomål/A 4014-2021 FSC-klagomål.docx", "A 4014-2021")</f>
        <v/>
      </c>
      <c r="W43">
        <f>HYPERLINK("https://klasma.github.io/Logging_1880/klagomålsmail/A 4014-2021 FSC-klagomål mail.docx", "A 4014-2021")</f>
        <v/>
      </c>
      <c r="X43">
        <f>HYPERLINK("https://klasma.github.io/Logging_1880/tillsyn/A 4014-2021 tillsynsbegäran.docx", "A 4014-2021")</f>
        <v/>
      </c>
      <c r="Y43">
        <f>HYPERLINK("https://klasma.github.io/Logging_1880/tillsynsmail/A 4014-2021 tillsynsbegäran mail.docx", "A 4014-2021")</f>
        <v/>
      </c>
    </row>
    <row r="44" ht="15" customHeight="1">
      <c r="A44" t="inlineStr">
        <is>
          <t>A 44744-2024</t>
        </is>
      </c>
      <c r="B44" s="1" t="n">
        <v>45574.59789351852</v>
      </c>
      <c r="C44" s="1" t="n">
        <v>45908</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15621-2021</t>
        </is>
      </c>
      <c r="B45" s="1" t="n">
        <v>44285</v>
      </c>
      <c r="C45" s="1" t="n">
        <v>45908</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30725-2023</t>
        </is>
      </c>
      <c r="B46" s="1" t="n">
        <v>45112.61451388889</v>
      </c>
      <c r="C46" s="1" t="n">
        <v>45908</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28936-2025</t>
        </is>
      </c>
      <c r="B47" s="1" t="n">
        <v>45820.69287037037</v>
      </c>
      <c r="C47" s="1" t="n">
        <v>45908</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45908</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45908</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31695-2024</t>
        </is>
      </c>
      <c r="B50" s="1" t="n">
        <v>45508</v>
      </c>
      <c r="C50" s="1" t="n">
        <v>45908</v>
      </c>
      <c r="D50" t="inlineStr">
        <is>
          <t>ÖREBRO LÄN</t>
        </is>
      </c>
      <c r="E50" t="inlineStr">
        <is>
          <t>ÖREBRO</t>
        </is>
      </c>
      <c r="G50" t="n">
        <v>1.3</v>
      </c>
      <c r="H50" t="n">
        <v>1</v>
      </c>
      <c r="I50" t="n">
        <v>1</v>
      </c>
      <c r="J50" t="n">
        <v>0</v>
      </c>
      <c r="K50" t="n">
        <v>0</v>
      </c>
      <c r="L50" t="n">
        <v>0</v>
      </c>
      <c r="M50" t="n">
        <v>0</v>
      </c>
      <c r="N50" t="n">
        <v>0</v>
      </c>
      <c r="O50" t="n">
        <v>0</v>
      </c>
      <c r="P50" t="n">
        <v>0</v>
      </c>
      <c r="Q50" t="n">
        <v>1</v>
      </c>
      <c r="R50" s="2" t="inlineStr">
        <is>
          <t>Skogsknipprot</t>
        </is>
      </c>
      <c r="S50">
        <f>HYPERLINK("https://klasma.github.io/Logging_1880/artfynd/A 31695-2024 artfynd.xlsx", "A 31695-2024")</f>
        <v/>
      </c>
      <c r="T50">
        <f>HYPERLINK("https://klasma.github.io/Logging_1880/kartor/A 31695-2024 karta.png", "A 31695-2024")</f>
        <v/>
      </c>
      <c r="V50">
        <f>HYPERLINK("https://klasma.github.io/Logging_1880/klagomål/A 31695-2024 FSC-klagomål.docx", "A 31695-2024")</f>
        <v/>
      </c>
      <c r="W50">
        <f>HYPERLINK("https://klasma.github.io/Logging_1880/klagomålsmail/A 31695-2024 FSC-klagomål mail.docx", "A 31695-2024")</f>
        <v/>
      </c>
      <c r="X50">
        <f>HYPERLINK("https://klasma.github.io/Logging_1880/tillsyn/A 31695-2024 tillsynsbegäran.docx", "A 31695-2024")</f>
        <v/>
      </c>
      <c r="Y50">
        <f>HYPERLINK("https://klasma.github.io/Logging_1880/tillsynsmail/A 31695-2024 tillsynsbegäran mail.docx", "A 31695-2024")</f>
        <v/>
      </c>
    </row>
    <row r="51" ht="15" customHeight="1">
      <c r="A51" t="inlineStr">
        <is>
          <t>A 26890-2022</t>
        </is>
      </c>
      <c r="B51" s="1" t="n">
        <v>44740</v>
      </c>
      <c r="C51" s="1" t="n">
        <v>45908</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45908</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5097-2023</t>
        </is>
      </c>
      <c r="B53" s="1" t="n">
        <v>44958</v>
      </c>
      <c r="C53" s="1" t="n">
        <v>45908</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32105-2023</t>
        </is>
      </c>
      <c r="B54" s="1" t="n">
        <v>45119</v>
      </c>
      <c r="C54" s="1" t="n">
        <v>45908</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20247-2023</t>
        </is>
      </c>
      <c r="B55" s="1" t="n">
        <v>45055</v>
      </c>
      <c r="C55" s="1" t="n">
        <v>45908</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44389-2021</t>
        </is>
      </c>
      <c r="B56" s="1" t="n">
        <v>44435</v>
      </c>
      <c r="C56" s="1" t="n">
        <v>45908</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45908</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45908</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45908</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45908</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45908</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45908</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44966-2020</t>
        </is>
      </c>
      <c r="B63" s="1" t="n">
        <v>44088.40716435185</v>
      </c>
      <c r="C63" s="1" t="n">
        <v>45908</v>
      </c>
      <c r="D63" t="inlineStr">
        <is>
          <t>ÖREBRO LÄN</t>
        </is>
      </c>
      <c r="E63" t="inlineStr">
        <is>
          <t>ÖREBRO</t>
        </is>
      </c>
      <c r="G63" t="n">
        <v>1.5</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45908</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45908</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45908</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48109-2020</t>
        </is>
      </c>
      <c r="B67" s="1" t="n">
        <v>44101</v>
      </c>
      <c r="C67" s="1" t="n">
        <v>45908</v>
      </c>
      <c r="D67" t="inlineStr">
        <is>
          <t>ÖREBRO LÄN</t>
        </is>
      </c>
      <c r="E67" t="inlineStr">
        <is>
          <t>ÖREBRO</t>
        </is>
      </c>
      <c r="G67" t="n">
        <v>0.7</v>
      </c>
      <c r="H67" t="n">
        <v>0</v>
      </c>
      <c r="I67" t="n">
        <v>0</v>
      </c>
      <c r="J67" t="n">
        <v>0</v>
      </c>
      <c r="K67" t="n">
        <v>0</v>
      </c>
      <c r="L67" t="n">
        <v>0</v>
      </c>
      <c r="M67" t="n">
        <v>0</v>
      </c>
      <c r="N67" t="n">
        <v>0</v>
      </c>
      <c r="O67" t="n">
        <v>0</v>
      </c>
      <c r="P67" t="n">
        <v>0</v>
      </c>
      <c r="Q67" t="n">
        <v>0</v>
      </c>
      <c r="R67" s="2" t="inlineStr"/>
    </row>
    <row r="68" ht="15" customHeight="1">
      <c r="A68" t="inlineStr">
        <is>
          <t>A 46053-2020</t>
        </is>
      </c>
      <c r="B68" s="1" t="n">
        <v>44088</v>
      </c>
      <c r="C68" s="1" t="n">
        <v>45908</v>
      </c>
      <c r="D68" t="inlineStr">
        <is>
          <t>ÖREBRO LÄN</t>
        </is>
      </c>
      <c r="E68" t="inlineStr">
        <is>
          <t>ÖREBRO</t>
        </is>
      </c>
      <c r="G68" t="n">
        <v>0.9</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45908</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45908</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13760-2021</t>
        </is>
      </c>
      <c r="B71" s="1" t="n">
        <v>44274</v>
      </c>
      <c r="C71" s="1" t="n">
        <v>45908</v>
      </c>
      <c r="D71" t="inlineStr">
        <is>
          <t>ÖREBRO LÄN</t>
        </is>
      </c>
      <c r="E71" t="inlineStr">
        <is>
          <t>ÖREBRO</t>
        </is>
      </c>
      <c r="G71" t="n">
        <v>2.1</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45908</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45908</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45908</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45908</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45908</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45908</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66799-2020</t>
        </is>
      </c>
      <c r="B78" s="1" t="n">
        <v>44179</v>
      </c>
      <c r="C78" s="1" t="n">
        <v>45908</v>
      </c>
      <c r="D78" t="inlineStr">
        <is>
          <t>ÖREBRO LÄN</t>
        </is>
      </c>
      <c r="E78" t="inlineStr">
        <is>
          <t>ÖREBRO</t>
        </is>
      </c>
      <c r="G78" t="n">
        <v>5.2</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45908</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45908</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45908</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45908</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45908</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45908</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45908</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45908</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45908</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45908</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45908</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45908</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45908</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45908</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45908</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45908</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45908</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45908</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45908</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45908</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45908</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45908</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45908</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45908</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45908</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45908</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45908</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45908</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45908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45908</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45908</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45908</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45908</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45908</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45908</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45908</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45908</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45908</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45908</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45908</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45908</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45908</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45908</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45908</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45908</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45908</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45908</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45908</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46607-2020</t>
        </is>
      </c>
      <c r="B127" s="1" t="n">
        <v>44095</v>
      </c>
      <c r="C127" s="1" t="n">
        <v>45908</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45908</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45908</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45908</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45908</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45908</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45908</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66936-2021</t>
        </is>
      </c>
      <c r="B134" s="1" t="n">
        <v>44522.56349537037</v>
      </c>
      <c r="C134" s="1" t="n">
        <v>45908</v>
      </c>
      <c r="D134" t="inlineStr">
        <is>
          <t>ÖREBRO LÄN</t>
        </is>
      </c>
      <c r="E134" t="inlineStr">
        <is>
          <t>ÖREBRO</t>
        </is>
      </c>
      <c r="G134" t="n">
        <v>6.8</v>
      </c>
      <c r="H134" t="n">
        <v>0</v>
      </c>
      <c r="I134" t="n">
        <v>0</v>
      </c>
      <c r="J134" t="n">
        <v>0</v>
      </c>
      <c r="K134" t="n">
        <v>0</v>
      </c>
      <c r="L134" t="n">
        <v>0</v>
      </c>
      <c r="M134" t="n">
        <v>0</v>
      </c>
      <c r="N134" t="n">
        <v>0</v>
      </c>
      <c r="O134" t="n">
        <v>0</v>
      </c>
      <c r="P134" t="n">
        <v>0</v>
      </c>
      <c r="Q134" t="n">
        <v>0</v>
      </c>
      <c r="R134" s="2" t="inlineStr"/>
    </row>
    <row r="135" ht="15" customHeight="1">
      <c r="A135" t="inlineStr">
        <is>
          <t>A 44131-2022</t>
        </is>
      </c>
      <c r="B135" s="1" t="n">
        <v>44839</v>
      </c>
      <c r="C135" s="1" t="n">
        <v>45908</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45908</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45908</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16258-2022</t>
        </is>
      </c>
      <c r="B138" s="1" t="n">
        <v>44670</v>
      </c>
      <c r="C138" s="1" t="n">
        <v>45908</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15422-2022</t>
        </is>
      </c>
      <c r="B139" s="1" t="n">
        <v>44659.63753472222</v>
      </c>
      <c r="C139" s="1" t="n">
        <v>45908</v>
      </c>
      <c r="D139" t="inlineStr">
        <is>
          <t>ÖREBRO LÄN</t>
        </is>
      </c>
      <c r="E139" t="inlineStr">
        <is>
          <t>ÖREBRO</t>
        </is>
      </c>
      <c r="G139" t="n">
        <v>2</v>
      </c>
      <c r="H139" t="n">
        <v>0</v>
      </c>
      <c r="I139" t="n">
        <v>0</v>
      </c>
      <c r="J139" t="n">
        <v>0</v>
      </c>
      <c r="K139" t="n">
        <v>0</v>
      </c>
      <c r="L139" t="n">
        <v>0</v>
      </c>
      <c r="M139" t="n">
        <v>0</v>
      </c>
      <c r="N139" t="n">
        <v>0</v>
      </c>
      <c r="O139" t="n">
        <v>0</v>
      </c>
      <c r="P139" t="n">
        <v>0</v>
      </c>
      <c r="Q139" t="n">
        <v>0</v>
      </c>
      <c r="R139" s="2" t="inlineStr"/>
    </row>
    <row r="140" ht="15" customHeight="1">
      <c r="A140" t="inlineStr">
        <is>
          <t>A 7117-2021</t>
        </is>
      </c>
      <c r="B140" s="1" t="n">
        <v>44238</v>
      </c>
      <c r="C140" s="1" t="n">
        <v>45908</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62651-2020</t>
        </is>
      </c>
      <c r="B141" s="1" t="n">
        <v>44161</v>
      </c>
      <c r="C141" s="1" t="n">
        <v>45908</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45908</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57343-2021</t>
        </is>
      </c>
      <c r="B143" s="1" t="n">
        <v>44482</v>
      </c>
      <c r="C143" s="1" t="n">
        <v>45908</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46092-2020</t>
        </is>
      </c>
      <c r="B144" s="1" t="n">
        <v>44091</v>
      </c>
      <c r="C144" s="1" t="n">
        <v>45908</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56138-2020</t>
        </is>
      </c>
      <c r="B145" s="1" t="n">
        <v>44133</v>
      </c>
      <c r="C145" s="1" t="n">
        <v>45908</v>
      </c>
      <c r="D145" t="inlineStr">
        <is>
          <t>ÖREBRO LÄN</t>
        </is>
      </c>
      <c r="E145" t="inlineStr">
        <is>
          <t>ÖREBRO</t>
        </is>
      </c>
      <c r="F145" t="inlineStr">
        <is>
          <t>Allmännings- och besparingsskogar</t>
        </is>
      </c>
      <c r="G145" t="n">
        <v>4.9</v>
      </c>
      <c r="H145" t="n">
        <v>0</v>
      </c>
      <c r="I145" t="n">
        <v>0</v>
      </c>
      <c r="J145" t="n">
        <v>0</v>
      </c>
      <c r="K145" t="n">
        <v>0</v>
      </c>
      <c r="L145" t="n">
        <v>0</v>
      </c>
      <c r="M145" t="n">
        <v>0</v>
      </c>
      <c r="N145" t="n">
        <v>0</v>
      </c>
      <c r="O145" t="n">
        <v>0</v>
      </c>
      <c r="P145" t="n">
        <v>0</v>
      </c>
      <c r="Q145" t="n">
        <v>0</v>
      </c>
      <c r="R145" s="2" t="inlineStr"/>
    </row>
    <row r="146" ht="15" customHeight="1">
      <c r="A146" t="inlineStr">
        <is>
          <t>A 44514-2020</t>
        </is>
      </c>
      <c r="B146" s="1" t="n">
        <v>44085</v>
      </c>
      <c r="C146" s="1" t="n">
        <v>45908</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3087-2021</t>
        </is>
      </c>
      <c r="B147" s="1" t="n">
        <v>44216</v>
      </c>
      <c r="C147" s="1" t="n">
        <v>45908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26118-2021</t>
        </is>
      </c>
      <c r="B148" s="1" t="n">
        <v>44345</v>
      </c>
      <c r="C148" s="1" t="n">
        <v>45908</v>
      </c>
      <c r="D148" t="inlineStr">
        <is>
          <t>ÖREBRO LÄN</t>
        </is>
      </c>
      <c r="E148" t="inlineStr">
        <is>
          <t>ÖREBRO</t>
        </is>
      </c>
      <c r="G148" t="n">
        <v>2.2</v>
      </c>
      <c r="H148" t="n">
        <v>0</v>
      </c>
      <c r="I148" t="n">
        <v>0</v>
      </c>
      <c r="J148" t="n">
        <v>0</v>
      </c>
      <c r="K148" t="n">
        <v>0</v>
      </c>
      <c r="L148" t="n">
        <v>0</v>
      </c>
      <c r="M148" t="n">
        <v>0</v>
      </c>
      <c r="N148" t="n">
        <v>0</v>
      </c>
      <c r="O148" t="n">
        <v>0</v>
      </c>
      <c r="P148" t="n">
        <v>0</v>
      </c>
      <c r="Q148" t="n">
        <v>0</v>
      </c>
      <c r="R148" s="2" t="inlineStr"/>
    </row>
    <row r="149" ht="15" customHeight="1">
      <c r="A149" t="inlineStr">
        <is>
          <t>A 26119-2021</t>
        </is>
      </c>
      <c r="B149" s="1" t="n">
        <v>44345.33282407407</v>
      </c>
      <c r="C149" s="1" t="n">
        <v>45908</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45908</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45908</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45908</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45908</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41553-2022</t>
        </is>
      </c>
      <c r="B154" s="1" t="n">
        <v>44827.3940625</v>
      </c>
      <c r="C154" s="1" t="n">
        <v>45908</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14562-2022</t>
        </is>
      </c>
      <c r="B155" s="1" t="n">
        <v>44655</v>
      </c>
      <c r="C155" s="1" t="n">
        <v>45908</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69613-2020</t>
        </is>
      </c>
      <c r="B156" s="1" t="n">
        <v>44195</v>
      </c>
      <c r="C156" s="1" t="n">
        <v>45908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19468-2021</t>
        </is>
      </c>
      <c r="B157" s="1" t="n">
        <v>44311</v>
      </c>
      <c r="C157" s="1" t="n">
        <v>45908</v>
      </c>
      <c r="D157" t="inlineStr">
        <is>
          <t>ÖREBRO LÄN</t>
        </is>
      </c>
      <c r="E157" t="inlineStr">
        <is>
          <t>ÖREBRO</t>
        </is>
      </c>
      <c r="G157" t="n">
        <v>0.9</v>
      </c>
      <c r="H157" t="n">
        <v>0</v>
      </c>
      <c r="I157" t="n">
        <v>0</v>
      </c>
      <c r="J157" t="n">
        <v>0</v>
      </c>
      <c r="K157" t="n">
        <v>0</v>
      </c>
      <c r="L157" t="n">
        <v>0</v>
      </c>
      <c r="M157" t="n">
        <v>0</v>
      </c>
      <c r="N157" t="n">
        <v>0</v>
      </c>
      <c r="O157" t="n">
        <v>0</v>
      </c>
      <c r="P157" t="n">
        <v>0</v>
      </c>
      <c r="Q157" t="n">
        <v>0</v>
      </c>
      <c r="R157" s="2" t="inlineStr"/>
    </row>
    <row r="158" ht="15" customHeight="1">
      <c r="A158" t="inlineStr">
        <is>
          <t>A 40312-2021</t>
        </is>
      </c>
      <c r="B158" s="1" t="n">
        <v>44419</v>
      </c>
      <c r="C158" s="1" t="n">
        <v>45908</v>
      </c>
      <c r="D158" t="inlineStr">
        <is>
          <t>ÖREBRO LÄN</t>
        </is>
      </c>
      <c r="E158" t="inlineStr">
        <is>
          <t>ÖREBRO</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63247-2021</t>
        </is>
      </c>
      <c r="B159" s="1" t="n">
        <v>44505</v>
      </c>
      <c r="C159" s="1" t="n">
        <v>45908</v>
      </c>
      <c r="D159" t="inlineStr">
        <is>
          <t>ÖREBRO LÄN</t>
        </is>
      </c>
      <c r="E159" t="inlineStr">
        <is>
          <t>ÖREBRO</t>
        </is>
      </c>
      <c r="G159" t="n">
        <v>1.5</v>
      </c>
      <c r="H159" t="n">
        <v>0</v>
      </c>
      <c r="I159" t="n">
        <v>0</v>
      </c>
      <c r="J159" t="n">
        <v>0</v>
      </c>
      <c r="K159" t="n">
        <v>0</v>
      </c>
      <c r="L159" t="n">
        <v>0</v>
      </c>
      <c r="M159" t="n">
        <v>0</v>
      </c>
      <c r="N159" t="n">
        <v>0</v>
      </c>
      <c r="O159" t="n">
        <v>0</v>
      </c>
      <c r="P159" t="n">
        <v>0</v>
      </c>
      <c r="Q159" t="n">
        <v>0</v>
      </c>
      <c r="R159" s="2" t="inlineStr"/>
    </row>
    <row r="160" ht="15" customHeight="1">
      <c r="A160" t="inlineStr">
        <is>
          <t>A 19458-2022</t>
        </is>
      </c>
      <c r="B160" s="1" t="n">
        <v>44693</v>
      </c>
      <c r="C160" s="1" t="n">
        <v>45908</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9362-2022</t>
        </is>
      </c>
      <c r="B161" s="1" t="n">
        <v>44616.59946759259</v>
      </c>
      <c r="C161" s="1" t="n">
        <v>45908</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12478-2022</t>
        </is>
      </c>
      <c r="B162" s="1" t="n">
        <v>44638</v>
      </c>
      <c r="C162" s="1" t="n">
        <v>45908</v>
      </c>
      <c r="D162" t="inlineStr">
        <is>
          <t>ÖREBRO LÄN</t>
        </is>
      </c>
      <c r="E162" t="inlineStr">
        <is>
          <t>ÖREBRO</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16261-2022</t>
        </is>
      </c>
      <c r="B163" s="1" t="n">
        <v>44670</v>
      </c>
      <c r="C163" s="1" t="n">
        <v>45908</v>
      </c>
      <c r="D163" t="inlineStr">
        <is>
          <t>ÖREBRO LÄN</t>
        </is>
      </c>
      <c r="E163" t="inlineStr">
        <is>
          <t>ÖREBRO</t>
        </is>
      </c>
      <c r="G163" t="n">
        <v>1.2</v>
      </c>
      <c r="H163" t="n">
        <v>0</v>
      </c>
      <c r="I163" t="n">
        <v>0</v>
      </c>
      <c r="J163" t="n">
        <v>0</v>
      </c>
      <c r="K163" t="n">
        <v>0</v>
      </c>
      <c r="L163" t="n">
        <v>0</v>
      </c>
      <c r="M163" t="n">
        <v>0</v>
      </c>
      <c r="N163" t="n">
        <v>0</v>
      </c>
      <c r="O163" t="n">
        <v>0</v>
      </c>
      <c r="P163" t="n">
        <v>0</v>
      </c>
      <c r="Q163" t="n">
        <v>0</v>
      </c>
      <c r="R163" s="2" t="inlineStr"/>
    </row>
    <row r="164" ht="15" customHeight="1">
      <c r="A164" t="inlineStr">
        <is>
          <t>A 5401-2022</t>
        </is>
      </c>
      <c r="B164" s="1" t="n">
        <v>44595</v>
      </c>
      <c r="C164" s="1" t="n">
        <v>45908</v>
      </c>
      <c r="D164" t="inlineStr">
        <is>
          <t>ÖREBRO LÄN</t>
        </is>
      </c>
      <c r="E164" t="inlineStr">
        <is>
          <t>ÖREBRO</t>
        </is>
      </c>
      <c r="G164" t="n">
        <v>2.3</v>
      </c>
      <c r="H164" t="n">
        <v>0</v>
      </c>
      <c r="I164" t="n">
        <v>0</v>
      </c>
      <c r="J164" t="n">
        <v>0</v>
      </c>
      <c r="K164" t="n">
        <v>0</v>
      </c>
      <c r="L164" t="n">
        <v>0</v>
      </c>
      <c r="M164" t="n">
        <v>0</v>
      </c>
      <c r="N164" t="n">
        <v>0</v>
      </c>
      <c r="O164" t="n">
        <v>0</v>
      </c>
      <c r="P164" t="n">
        <v>0</v>
      </c>
      <c r="Q164" t="n">
        <v>0</v>
      </c>
      <c r="R164" s="2" t="inlineStr"/>
    </row>
    <row r="165" ht="15" customHeight="1">
      <c r="A165" t="inlineStr">
        <is>
          <t>A 60311-2020</t>
        </is>
      </c>
      <c r="B165" s="1" t="n">
        <v>44151</v>
      </c>
      <c r="C165" s="1" t="n">
        <v>45908</v>
      </c>
      <c r="D165" t="inlineStr">
        <is>
          <t>ÖREBRO LÄN</t>
        </is>
      </c>
      <c r="E165" t="inlineStr">
        <is>
          <t>ÖREBRO</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10829-2023</t>
        </is>
      </c>
      <c r="B166" s="1" t="n">
        <v>44990.88512731482</v>
      </c>
      <c r="C166" s="1" t="n">
        <v>45908</v>
      </c>
      <c r="D166" t="inlineStr">
        <is>
          <t>ÖREBRO LÄN</t>
        </is>
      </c>
      <c r="E166" t="inlineStr">
        <is>
          <t>ÖREBRO</t>
        </is>
      </c>
      <c r="G166" t="n">
        <v>4.4</v>
      </c>
      <c r="H166" t="n">
        <v>0</v>
      </c>
      <c r="I166" t="n">
        <v>0</v>
      </c>
      <c r="J166" t="n">
        <v>0</v>
      </c>
      <c r="K166" t="n">
        <v>0</v>
      </c>
      <c r="L166" t="n">
        <v>0</v>
      </c>
      <c r="M166" t="n">
        <v>0</v>
      </c>
      <c r="N166" t="n">
        <v>0</v>
      </c>
      <c r="O166" t="n">
        <v>0</v>
      </c>
      <c r="P166" t="n">
        <v>0</v>
      </c>
      <c r="Q166" t="n">
        <v>0</v>
      </c>
      <c r="R166" s="2" t="inlineStr"/>
    </row>
    <row r="167" ht="15" customHeight="1">
      <c r="A167" t="inlineStr">
        <is>
          <t>A 10831-2023</t>
        </is>
      </c>
      <c r="B167" s="1" t="n">
        <v>44990.90357638889</v>
      </c>
      <c r="C167" s="1" t="n">
        <v>45908</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44165-2022</t>
        </is>
      </c>
      <c r="B168" s="1" t="n">
        <v>44839</v>
      </c>
      <c r="C168" s="1" t="n">
        <v>45908</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58539-2024</t>
        </is>
      </c>
      <c r="B169" s="1" t="n">
        <v>45635.45157407408</v>
      </c>
      <c r="C169" s="1" t="n">
        <v>45908</v>
      </c>
      <c r="D169" t="inlineStr">
        <is>
          <t>ÖREBRO LÄN</t>
        </is>
      </c>
      <c r="E169" t="inlineStr">
        <is>
          <t>ÖREBRO</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23863-2023</t>
        </is>
      </c>
      <c r="B170" s="1" t="n">
        <v>45078.48994212963</v>
      </c>
      <c r="C170" s="1" t="n">
        <v>45908</v>
      </c>
      <c r="D170" t="inlineStr">
        <is>
          <t>ÖREBRO LÄN</t>
        </is>
      </c>
      <c r="E170" t="inlineStr">
        <is>
          <t>ÖREBRO</t>
        </is>
      </c>
      <c r="F170" t="inlineStr">
        <is>
          <t>Övriga Aktiebolag</t>
        </is>
      </c>
      <c r="G170" t="n">
        <v>5.9</v>
      </c>
      <c r="H170" t="n">
        <v>0</v>
      </c>
      <c r="I170" t="n">
        <v>0</v>
      </c>
      <c r="J170" t="n">
        <v>0</v>
      </c>
      <c r="K170" t="n">
        <v>0</v>
      </c>
      <c r="L170" t="n">
        <v>0</v>
      </c>
      <c r="M170" t="n">
        <v>0</v>
      </c>
      <c r="N170" t="n">
        <v>0</v>
      </c>
      <c r="O170" t="n">
        <v>0</v>
      </c>
      <c r="P170" t="n">
        <v>0</v>
      </c>
      <c r="Q170" t="n">
        <v>0</v>
      </c>
      <c r="R170" s="2" t="inlineStr"/>
    </row>
    <row r="171" ht="15" customHeight="1">
      <c r="A171" t="inlineStr">
        <is>
          <t>A 58532-2024</t>
        </is>
      </c>
      <c r="B171" s="1" t="n">
        <v>45635.44899305556</v>
      </c>
      <c r="C171" s="1" t="n">
        <v>45908</v>
      </c>
      <c r="D171" t="inlineStr">
        <is>
          <t>ÖREBRO LÄN</t>
        </is>
      </c>
      <c r="E171" t="inlineStr">
        <is>
          <t>ÖREBRO</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6638-2022</t>
        </is>
      </c>
      <c r="B172" s="1" t="n">
        <v>44601</v>
      </c>
      <c r="C172" s="1" t="n">
        <v>45908</v>
      </c>
      <c r="D172" t="inlineStr">
        <is>
          <t>ÖREBRO LÄN</t>
        </is>
      </c>
      <c r="E172" t="inlineStr">
        <is>
          <t>ÖREBRO</t>
        </is>
      </c>
      <c r="G172" t="n">
        <v>3.3</v>
      </c>
      <c r="H172" t="n">
        <v>0</v>
      </c>
      <c r="I172" t="n">
        <v>0</v>
      </c>
      <c r="J172" t="n">
        <v>0</v>
      </c>
      <c r="K172" t="n">
        <v>0</v>
      </c>
      <c r="L172" t="n">
        <v>0</v>
      </c>
      <c r="M172" t="n">
        <v>0</v>
      </c>
      <c r="N172" t="n">
        <v>0</v>
      </c>
      <c r="O172" t="n">
        <v>0</v>
      </c>
      <c r="P172" t="n">
        <v>0</v>
      </c>
      <c r="Q172" t="n">
        <v>0</v>
      </c>
      <c r="R172" s="2" t="inlineStr"/>
    </row>
    <row r="173" ht="15" customHeight="1">
      <c r="A173" t="inlineStr">
        <is>
          <t>A 61232-2021</t>
        </is>
      </c>
      <c r="B173" s="1" t="n">
        <v>44498</v>
      </c>
      <c r="C173" s="1" t="n">
        <v>45908</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14053-2025</t>
        </is>
      </c>
      <c r="B174" s="1" t="n">
        <v>45739</v>
      </c>
      <c r="C174" s="1" t="n">
        <v>45908</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10799-2024</t>
        </is>
      </c>
      <c r="B175" s="1" t="n">
        <v>45369</v>
      </c>
      <c r="C175" s="1" t="n">
        <v>45908</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187-2024</t>
        </is>
      </c>
      <c r="B176" s="1" t="n">
        <v>45294</v>
      </c>
      <c r="C176" s="1" t="n">
        <v>45908</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46757-2021</t>
        </is>
      </c>
      <c r="B177" s="1" t="n">
        <v>44445</v>
      </c>
      <c r="C177" s="1" t="n">
        <v>45908</v>
      </c>
      <c r="D177" t="inlineStr">
        <is>
          <t>ÖREBRO LÄN</t>
        </is>
      </c>
      <c r="E177" t="inlineStr">
        <is>
          <t>ÖREBRO</t>
        </is>
      </c>
      <c r="G177" t="n">
        <v>5.6</v>
      </c>
      <c r="H177" t="n">
        <v>0</v>
      </c>
      <c r="I177" t="n">
        <v>0</v>
      </c>
      <c r="J177" t="n">
        <v>0</v>
      </c>
      <c r="K177" t="n">
        <v>0</v>
      </c>
      <c r="L177" t="n">
        <v>0</v>
      </c>
      <c r="M177" t="n">
        <v>0</v>
      </c>
      <c r="N177" t="n">
        <v>0</v>
      </c>
      <c r="O177" t="n">
        <v>0</v>
      </c>
      <c r="P177" t="n">
        <v>0</v>
      </c>
      <c r="Q177" t="n">
        <v>0</v>
      </c>
      <c r="R177" s="2" t="inlineStr"/>
    </row>
    <row r="178" ht="15" customHeight="1">
      <c r="A178" t="inlineStr">
        <is>
          <t>A 9609-2023</t>
        </is>
      </c>
      <c r="B178" s="1" t="n">
        <v>44983.93344907407</v>
      </c>
      <c r="C178" s="1" t="n">
        <v>45908</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4557-2023</t>
        </is>
      </c>
      <c r="B179" s="1" t="n">
        <v>44956.6655787037</v>
      </c>
      <c r="C179" s="1" t="n">
        <v>45908</v>
      </c>
      <c r="D179" t="inlineStr">
        <is>
          <t>ÖREBRO LÄN</t>
        </is>
      </c>
      <c r="E179" t="inlineStr">
        <is>
          <t>ÖREBRO</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53558-2023</t>
        </is>
      </c>
      <c r="B180" s="1" t="n">
        <v>45230.47266203703</v>
      </c>
      <c r="C180" s="1" t="n">
        <v>45908</v>
      </c>
      <c r="D180" t="inlineStr">
        <is>
          <t>ÖREBRO LÄN</t>
        </is>
      </c>
      <c r="E180" t="inlineStr">
        <is>
          <t>ÖREBRO</t>
        </is>
      </c>
      <c r="F180" t="inlineStr">
        <is>
          <t>Övriga Aktiebolag</t>
        </is>
      </c>
      <c r="G180" t="n">
        <v>4.7</v>
      </c>
      <c r="H180" t="n">
        <v>0</v>
      </c>
      <c r="I180" t="n">
        <v>0</v>
      </c>
      <c r="J180" t="n">
        <v>0</v>
      </c>
      <c r="K180" t="n">
        <v>0</v>
      </c>
      <c r="L180" t="n">
        <v>0</v>
      </c>
      <c r="M180" t="n">
        <v>0</v>
      </c>
      <c r="N180" t="n">
        <v>0</v>
      </c>
      <c r="O180" t="n">
        <v>0</v>
      </c>
      <c r="P180" t="n">
        <v>0</v>
      </c>
      <c r="Q180" t="n">
        <v>0</v>
      </c>
      <c r="R180" s="2" t="inlineStr"/>
    </row>
    <row r="181" ht="15" customHeight="1">
      <c r="A181" t="inlineStr">
        <is>
          <t>A 46518-2023</t>
        </is>
      </c>
      <c r="B181" s="1" t="n">
        <v>45197.72777777778</v>
      </c>
      <c r="C181" s="1" t="n">
        <v>45908</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13762-2023</t>
        </is>
      </c>
      <c r="B182" s="1" t="n">
        <v>45007.43729166667</v>
      </c>
      <c r="C182" s="1" t="n">
        <v>45908</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7692-2023</t>
        </is>
      </c>
      <c r="B183" s="1" t="n">
        <v>44972.7762962963</v>
      </c>
      <c r="C183" s="1" t="n">
        <v>45908</v>
      </c>
      <c r="D183" t="inlineStr">
        <is>
          <t>ÖREBRO LÄN</t>
        </is>
      </c>
      <c r="E183" t="inlineStr">
        <is>
          <t>ÖREBRO</t>
        </is>
      </c>
      <c r="G183" t="n">
        <v>1.5</v>
      </c>
      <c r="H183" t="n">
        <v>0</v>
      </c>
      <c r="I183" t="n">
        <v>0</v>
      </c>
      <c r="J183" t="n">
        <v>0</v>
      </c>
      <c r="K183" t="n">
        <v>0</v>
      </c>
      <c r="L183" t="n">
        <v>0</v>
      </c>
      <c r="M183" t="n">
        <v>0</v>
      </c>
      <c r="N183" t="n">
        <v>0</v>
      </c>
      <c r="O183" t="n">
        <v>0</v>
      </c>
      <c r="P183" t="n">
        <v>0</v>
      </c>
      <c r="Q183" t="n">
        <v>0</v>
      </c>
      <c r="R183" s="2" t="inlineStr"/>
    </row>
    <row r="184" ht="15" customHeight="1">
      <c r="A184" t="inlineStr">
        <is>
          <t>A 17465-2023</t>
        </is>
      </c>
      <c r="B184" s="1" t="n">
        <v>45036</v>
      </c>
      <c r="C184" s="1" t="n">
        <v>45908</v>
      </c>
      <c r="D184" t="inlineStr">
        <is>
          <t>ÖREBRO LÄN</t>
        </is>
      </c>
      <c r="E184" t="inlineStr">
        <is>
          <t>ÖREBRO</t>
        </is>
      </c>
      <c r="G184" t="n">
        <v>0.8</v>
      </c>
      <c r="H184" t="n">
        <v>0</v>
      </c>
      <c r="I184" t="n">
        <v>0</v>
      </c>
      <c r="J184" t="n">
        <v>0</v>
      </c>
      <c r="K184" t="n">
        <v>0</v>
      </c>
      <c r="L184" t="n">
        <v>0</v>
      </c>
      <c r="M184" t="n">
        <v>0</v>
      </c>
      <c r="N184" t="n">
        <v>0</v>
      </c>
      <c r="O184" t="n">
        <v>0</v>
      </c>
      <c r="P184" t="n">
        <v>0</v>
      </c>
      <c r="Q184" t="n">
        <v>0</v>
      </c>
      <c r="R184" s="2" t="inlineStr"/>
    </row>
    <row r="185" ht="15" customHeight="1">
      <c r="A185" t="inlineStr">
        <is>
          <t>A 46050-2024</t>
        </is>
      </c>
      <c r="B185" s="1" t="n">
        <v>45580.88078703704</v>
      </c>
      <c r="C185" s="1" t="n">
        <v>45908</v>
      </c>
      <c r="D185" t="inlineStr">
        <is>
          <t>ÖREBRO LÄN</t>
        </is>
      </c>
      <c r="E185" t="inlineStr">
        <is>
          <t>ÖREBRO</t>
        </is>
      </c>
      <c r="F185" t="inlineStr">
        <is>
          <t>Övriga Aktiebolag</t>
        </is>
      </c>
      <c r="G185" t="n">
        <v>0.9</v>
      </c>
      <c r="H185" t="n">
        <v>0</v>
      </c>
      <c r="I185" t="n">
        <v>0</v>
      </c>
      <c r="J185" t="n">
        <v>0</v>
      </c>
      <c r="K185" t="n">
        <v>0</v>
      </c>
      <c r="L185" t="n">
        <v>0</v>
      </c>
      <c r="M185" t="n">
        <v>0</v>
      </c>
      <c r="N185" t="n">
        <v>0</v>
      </c>
      <c r="O185" t="n">
        <v>0</v>
      </c>
      <c r="P185" t="n">
        <v>0</v>
      </c>
      <c r="Q185" t="n">
        <v>0</v>
      </c>
      <c r="R185" s="2" t="inlineStr"/>
    </row>
    <row r="186" ht="15" customHeight="1">
      <c r="A186" t="inlineStr">
        <is>
          <t>A 46056-2024</t>
        </is>
      </c>
      <c r="B186" s="1" t="n">
        <v>45580.91502314815</v>
      </c>
      <c r="C186" s="1" t="n">
        <v>45908</v>
      </c>
      <c r="D186" t="inlineStr">
        <is>
          <t>ÖREBRO LÄN</t>
        </is>
      </c>
      <c r="E186" t="inlineStr">
        <is>
          <t>ÖREBRO</t>
        </is>
      </c>
      <c r="F186" t="inlineStr">
        <is>
          <t>Övriga Aktiebolag</t>
        </is>
      </c>
      <c r="G186" t="n">
        <v>4.5</v>
      </c>
      <c r="H186" t="n">
        <v>0</v>
      </c>
      <c r="I186" t="n">
        <v>0</v>
      </c>
      <c r="J186" t="n">
        <v>0</v>
      </c>
      <c r="K186" t="n">
        <v>0</v>
      </c>
      <c r="L186" t="n">
        <v>0</v>
      </c>
      <c r="M186" t="n">
        <v>0</v>
      </c>
      <c r="N186" t="n">
        <v>0</v>
      </c>
      <c r="O186" t="n">
        <v>0</v>
      </c>
      <c r="P186" t="n">
        <v>0</v>
      </c>
      <c r="Q186" t="n">
        <v>0</v>
      </c>
      <c r="R186" s="2" t="inlineStr"/>
    </row>
    <row r="187" ht="15" customHeight="1">
      <c r="A187" t="inlineStr">
        <is>
          <t>A 60022-2024</t>
        </is>
      </c>
      <c r="B187" s="1" t="n">
        <v>45642</v>
      </c>
      <c r="C187" s="1" t="n">
        <v>45908</v>
      </c>
      <c r="D187" t="inlineStr">
        <is>
          <t>ÖREBRO LÄN</t>
        </is>
      </c>
      <c r="E187" t="inlineStr">
        <is>
          <t>ÖREBRO</t>
        </is>
      </c>
      <c r="G187" t="n">
        <v>1.7</v>
      </c>
      <c r="H187" t="n">
        <v>0</v>
      </c>
      <c r="I187" t="n">
        <v>0</v>
      </c>
      <c r="J187" t="n">
        <v>0</v>
      </c>
      <c r="K187" t="n">
        <v>0</v>
      </c>
      <c r="L187" t="n">
        <v>0</v>
      </c>
      <c r="M187" t="n">
        <v>0</v>
      </c>
      <c r="N187" t="n">
        <v>0</v>
      </c>
      <c r="O187" t="n">
        <v>0</v>
      </c>
      <c r="P187" t="n">
        <v>0</v>
      </c>
      <c r="Q187" t="n">
        <v>0</v>
      </c>
      <c r="R187" s="2" t="inlineStr"/>
    </row>
    <row r="188" ht="15" customHeight="1">
      <c r="A188" t="inlineStr">
        <is>
          <t>A 36635-2023</t>
        </is>
      </c>
      <c r="B188" s="1" t="n">
        <v>45153</v>
      </c>
      <c r="C188" s="1" t="n">
        <v>45908</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681-2024</t>
        </is>
      </c>
      <c r="B189" s="1" t="n">
        <v>45300</v>
      </c>
      <c r="C189" s="1" t="n">
        <v>45908</v>
      </c>
      <c r="D189" t="inlineStr">
        <is>
          <t>ÖREBRO LÄN</t>
        </is>
      </c>
      <c r="E189" t="inlineStr">
        <is>
          <t>ÖREBRO</t>
        </is>
      </c>
      <c r="G189" t="n">
        <v>3.3</v>
      </c>
      <c r="H189" t="n">
        <v>0</v>
      </c>
      <c r="I189" t="n">
        <v>0</v>
      </c>
      <c r="J189" t="n">
        <v>0</v>
      </c>
      <c r="K189" t="n">
        <v>0</v>
      </c>
      <c r="L189" t="n">
        <v>0</v>
      </c>
      <c r="M189" t="n">
        <v>0</v>
      </c>
      <c r="N189" t="n">
        <v>0</v>
      </c>
      <c r="O189" t="n">
        <v>0</v>
      </c>
      <c r="P189" t="n">
        <v>0</v>
      </c>
      <c r="Q189" t="n">
        <v>0</v>
      </c>
      <c r="R189" s="2" t="inlineStr"/>
    </row>
    <row r="190" ht="15" customHeight="1">
      <c r="A190" t="inlineStr">
        <is>
          <t>A 10470-2025</t>
        </is>
      </c>
      <c r="B190" s="1" t="n">
        <v>45720</v>
      </c>
      <c r="C190" s="1" t="n">
        <v>45908</v>
      </c>
      <c r="D190" t="inlineStr">
        <is>
          <t>ÖREBRO LÄN</t>
        </is>
      </c>
      <c r="E190" t="inlineStr">
        <is>
          <t>ÖREBRO</t>
        </is>
      </c>
      <c r="G190" t="n">
        <v>11.5</v>
      </c>
      <c r="H190" t="n">
        <v>0</v>
      </c>
      <c r="I190" t="n">
        <v>0</v>
      </c>
      <c r="J190" t="n">
        <v>0</v>
      </c>
      <c r="K190" t="n">
        <v>0</v>
      </c>
      <c r="L190" t="n">
        <v>0</v>
      </c>
      <c r="M190" t="n">
        <v>0</v>
      </c>
      <c r="N190" t="n">
        <v>0</v>
      </c>
      <c r="O190" t="n">
        <v>0</v>
      </c>
      <c r="P190" t="n">
        <v>0</v>
      </c>
      <c r="Q190" t="n">
        <v>0</v>
      </c>
      <c r="R190" s="2" t="inlineStr"/>
    </row>
    <row r="191" ht="15" customHeight="1">
      <c r="A191" t="inlineStr">
        <is>
          <t>A 52623-2024</t>
        </is>
      </c>
      <c r="B191" s="1" t="n">
        <v>45609</v>
      </c>
      <c r="C191" s="1" t="n">
        <v>45908</v>
      </c>
      <c r="D191" t="inlineStr">
        <is>
          <t>ÖREBRO LÄN</t>
        </is>
      </c>
      <c r="E191" t="inlineStr">
        <is>
          <t>ÖREBRO</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21097-2025</t>
        </is>
      </c>
      <c r="B192" s="1" t="n">
        <v>45777.63863425926</v>
      </c>
      <c r="C192" s="1" t="n">
        <v>45908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57638-2022</t>
        </is>
      </c>
      <c r="B193" s="1" t="n">
        <v>44897</v>
      </c>
      <c r="C193" s="1" t="n">
        <v>45908</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50026-2024</t>
        </is>
      </c>
      <c r="B194" s="1" t="n">
        <v>45599.60541666667</v>
      </c>
      <c r="C194" s="1" t="n">
        <v>45908</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8274-2025</t>
        </is>
      </c>
      <c r="B195" s="1" t="n">
        <v>45708</v>
      </c>
      <c r="C195" s="1" t="n">
        <v>45908</v>
      </c>
      <c r="D195" t="inlineStr">
        <is>
          <t>ÖREBRO LÄN</t>
        </is>
      </c>
      <c r="E195" t="inlineStr">
        <is>
          <t>ÖREBRO</t>
        </is>
      </c>
      <c r="G195" t="n">
        <v>5.8</v>
      </c>
      <c r="H195" t="n">
        <v>0</v>
      </c>
      <c r="I195" t="n">
        <v>0</v>
      </c>
      <c r="J195" t="n">
        <v>0</v>
      </c>
      <c r="K195" t="n">
        <v>0</v>
      </c>
      <c r="L195" t="n">
        <v>0</v>
      </c>
      <c r="M195" t="n">
        <v>0</v>
      </c>
      <c r="N195" t="n">
        <v>0</v>
      </c>
      <c r="O195" t="n">
        <v>0</v>
      </c>
      <c r="P195" t="n">
        <v>0</v>
      </c>
      <c r="Q195" t="n">
        <v>0</v>
      </c>
      <c r="R195" s="2" t="inlineStr"/>
    </row>
    <row r="196" ht="15" customHeight="1">
      <c r="A196" t="inlineStr">
        <is>
          <t>A 21578-2025</t>
        </is>
      </c>
      <c r="B196" s="1" t="n">
        <v>45782.88587962963</v>
      </c>
      <c r="C196" s="1" t="n">
        <v>45908</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62794-2021</t>
        </is>
      </c>
      <c r="B197" s="1" t="n">
        <v>44504</v>
      </c>
      <c r="C197" s="1" t="n">
        <v>45908</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19180-2025</t>
        </is>
      </c>
      <c r="B198" s="1" t="n">
        <v>45769.40133101852</v>
      </c>
      <c r="C198" s="1" t="n">
        <v>45908</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58684-2023</t>
        </is>
      </c>
      <c r="B199" s="1" t="n">
        <v>45251</v>
      </c>
      <c r="C199" s="1" t="n">
        <v>45908</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37771-2024</t>
        </is>
      </c>
      <c r="B200" s="1" t="n">
        <v>45542.31359953704</v>
      </c>
      <c r="C200" s="1" t="n">
        <v>45908</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7634-2024</t>
        </is>
      </c>
      <c r="B201" s="1" t="n">
        <v>45348</v>
      </c>
      <c r="C201" s="1" t="n">
        <v>45908</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58208-2024</t>
        </is>
      </c>
      <c r="B202" s="1" t="n">
        <v>45632</v>
      </c>
      <c r="C202" s="1" t="n">
        <v>45908</v>
      </c>
      <c r="D202" t="inlineStr">
        <is>
          <t>ÖREBRO LÄN</t>
        </is>
      </c>
      <c r="E202" t="inlineStr">
        <is>
          <t>ÖREBRO</t>
        </is>
      </c>
      <c r="G202" t="n">
        <v>3.1</v>
      </c>
      <c r="H202" t="n">
        <v>0</v>
      </c>
      <c r="I202" t="n">
        <v>0</v>
      </c>
      <c r="J202" t="n">
        <v>0</v>
      </c>
      <c r="K202" t="n">
        <v>0</v>
      </c>
      <c r="L202" t="n">
        <v>0</v>
      </c>
      <c r="M202" t="n">
        <v>0</v>
      </c>
      <c r="N202" t="n">
        <v>0</v>
      </c>
      <c r="O202" t="n">
        <v>0</v>
      </c>
      <c r="P202" t="n">
        <v>0</v>
      </c>
      <c r="Q202" t="n">
        <v>0</v>
      </c>
      <c r="R202" s="2" t="inlineStr"/>
    </row>
    <row r="203" ht="15" customHeight="1">
      <c r="A203" t="inlineStr">
        <is>
          <t>A 35819-2024</t>
        </is>
      </c>
      <c r="B203" s="1" t="n">
        <v>45532</v>
      </c>
      <c r="C203" s="1" t="n">
        <v>45908</v>
      </c>
      <c r="D203" t="inlineStr">
        <is>
          <t>ÖREBRO LÄN</t>
        </is>
      </c>
      <c r="E203" t="inlineStr">
        <is>
          <t>ÖREBRO</t>
        </is>
      </c>
      <c r="G203" t="n">
        <v>6.4</v>
      </c>
      <c r="H203" t="n">
        <v>0</v>
      </c>
      <c r="I203" t="n">
        <v>0</v>
      </c>
      <c r="J203" t="n">
        <v>0</v>
      </c>
      <c r="K203" t="n">
        <v>0</v>
      </c>
      <c r="L203" t="n">
        <v>0</v>
      </c>
      <c r="M203" t="n">
        <v>0</v>
      </c>
      <c r="N203" t="n">
        <v>0</v>
      </c>
      <c r="O203" t="n">
        <v>0</v>
      </c>
      <c r="P203" t="n">
        <v>0</v>
      </c>
      <c r="Q203" t="n">
        <v>0</v>
      </c>
      <c r="R203" s="2" t="inlineStr"/>
    </row>
    <row r="204" ht="15" customHeight="1">
      <c r="A204" t="inlineStr">
        <is>
          <t>A 71266-2021</t>
        </is>
      </c>
      <c r="B204" s="1" t="n">
        <v>44539</v>
      </c>
      <c r="C204" s="1" t="n">
        <v>45908</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71267-2021</t>
        </is>
      </c>
      <c r="B205" s="1" t="n">
        <v>44539</v>
      </c>
      <c r="C205" s="1" t="n">
        <v>45908</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45908</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32025-2024</t>
        </is>
      </c>
      <c r="B207" s="1" t="n">
        <v>45510.65754629629</v>
      </c>
      <c r="C207" s="1" t="n">
        <v>45908</v>
      </c>
      <c r="D207" t="inlineStr">
        <is>
          <t>ÖREBRO LÄN</t>
        </is>
      </c>
      <c r="E207" t="inlineStr">
        <is>
          <t>ÖREBRO</t>
        </is>
      </c>
      <c r="G207" t="n">
        <v>4</v>
      </c>
      <c r="H207" t="n">
        <v>0</v>
      </c>
      <c r="I207" t="n">
        <v>0</v>
      </c>
      <c r="J207" t="n">
        <v>0</v>
      </c>
      <c r="K207" t="n">
        <v>0</v>
      </c>
      <c r="L207" t="n">
        <v>0</v>
      </c>
      <c r="M207" t="n">
        <v>0</v>
      </c>
      <c r="N207" t="n">
        <v>0</v>
      </c>
      <c r="O207" t="n">
        <v>0</v>
      </c>
      <c r="P207" t="n">
        <v>0</v>
      </c>
      <c r="Q207" t="n">
        <v>0</v>
      </c>
      <c r="R207" s="2" t="inlineStr"/>
    </row>
    <row r="208" ht="15" customHeight="1">
      <c r="A208" t="inlineStr">
        <is>
          <t>A 71288-2021</t>
        </is>
      </c>
      <c r="B208" s="1" t="n">
        <v>44539.62481481482</v>
      </c>
      <c r="C208" s="1" t="n">
        <v>45908</v>
      </c>
      <c r="D208" t="inlineStr">
        <is>
          <t>ÖREBRO LÄN</t>
        </is>
      </c>
      <c r="E208" t="inlineStr">
        <is>
          <t>ÖREBRO</t>
        </is>
      </c>
      <c r="G208" t="n">
        <v>3.9</v>
      </c>
      <c r="H208" t="n">
        <v>0</v>
      </c>
      <c r="I208" t="n">
        <v>0</v>
      </c>
      <c r="J208" t="n">
        <v>0</v>
      </c>
      <c r="K208" t="n">
        <v>0</v>
      </c>
      <c r="L208" t="n">
        <v>0</v>
      </c>
      <c r="M208" t="n">
        <v>0</v>
      </c>
      <c r="N208" t="n">
        <v>0</v>
      </c>
      <c r="O208" t="n">
        <v>0</v>
      </c>
      <c r="P208" t="n">
        <v>0</v>
      </c>
      <c r="Q208" t="n">
        <v>0</v>
      </c>
      <c r="R208" s="2" t="inlineStr"/>
    </row>
    <row r="209" ht="15" customHeight="1">
      <c r="A209" t="inlineStr">
        <is>
          <t>A 45237-2023</t>
        </is>
      </c>
      <c r="B209" s="1" t="n">
        <v>45191</v>
      </c>
      <c r="C209" s="1" t="n">
        <v>45908</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45908</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32076-2023</t>
        </is>
      </c>
      <c r="B211" s="1" t="n">
        <v>45119.58324074074</v>
      </c>
      <c r="C211" s="1" t="n">
        <v>45908</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62497-2023</t>
        </is>
      </c>
      <c r="B212" s="1" t="n">
        <v>45268.59935185185</v>
      </c>
      <c r="C212" s="1" t="n">
        <v>45908</v>
      </c>
      <c r="D212" t="inlineStr">
        <is>
          <t>ÖREBRO LÄN</t>
        </is>
      </c>
      <c r="E212" t="inlineStr">
        <is>
          <t>ÖREBRO</t>
        </is>
      </c>
      <c r="F212" t="inlineStr">
        <is>
          <t>Övriga Aktiebolag</t>
        </is>
      </c>
      <c r="G212" t="n">
        <v>3.2</v>
      </c>
      <c r="H212" t="n">
        <v>0</v>
      </c>
      <c r="I212" t="n">
        <v>0</v>
      </c>
      <c r="J212" t="n">
        <v>0</v>
      </c>
      <c r="K212" t="n">
        <v>0</v>
      </c>
      <c r="L212" t="n">
        <v>0</v>
      </c>
      <c r="M212" t="n">
        <v>0</v>
      </c>
      <c r="N212" t="n">
        <v>0</v>
      </c>
      <c r="O212" t="n">
        <v>0</v>
      </c>
      <c r="P212" t="n">
        <v>0</v>
      </c>
      <c r="Q212" t="n">
        <v>0</v>
      </c>
      <c r="R212" s="2" t="inlineStr"/>
    </row>
    <row r="213" ht="15" customHeight="1">
      <c r="A213" t="inlineStr">
        <is>
          <t>A 33294-2023</t>
        </is>
      </c>
      <c r="B213" s="1" t="n">
        <v>45127</v>
      </c>
      <c r="C213" s="1" t="n">
        <v>45908</v>
      </c>
      <c r="D213" t="inlineStr">
        <is>
          <t>ÖREBRO LÄN</t>
        </is>
      </c>
      <c r="E213" t="inlineStr">
        <is>
          <t>ÖREBRO</t>
        </is>
      </c>
      <c r="F213" t="inlineStr">
        <is>
          <t>Övriga Aktiebolag</t>
        </is>
      </c>
      <c r="G213" t="n">
        <v>6.7</v>
      </c>
      <c r="H213" t="n">
        <v>0</v>
      </c>
      <c r="I213" t="n">
        <v>0</v>
      </c>
      <c r="J213" t="n">
        <v>0</v>
      </c>
      <c r="K213" t="n">
        <v>0</v>
      </c>
      <c r="L213" t="n">
        <v>0</v>
      </c>
      <c r="M213" t="n">
        <v>0</v>
      </c>
      <c r="N213" t="n">
        <v>0</v>
      </c>
      <c r="O213" t="n">
        <v>0</v>
      </c>
      <c r="P213" t="n">
        <v>0</v>
      </c>
      <c r="Q213" t="n">
        <v>0</v>
      </c>
      <c r="R213" s="2" t="inlineStr"/>
    </row>
    <row r="214" ht="15" customHeight="1">
      <c r="A214" t="inlineStr">
        <is>
          <t>A 42636-2023</t>
        </is>
      </c>
      <c r="B214" s="1" t="n">
        <v>45181.49559027778</v>
      </c>
      <c r="C214" s="1" t="n">
        <v>45908</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21338-2025</t>
        </is>
      </c>
      <c r="B215" s="1" t="n">
        <v>45780</v>
      </c>
      <c r="C215" s="1" t="n">
        <v>45908</v>
      </c>
      <c r="D215" t="inlineStr">
        <is>
          <t>ÖREBRO LÄN</t>
        </is>
      </c>
      <c r="E215" t="inlineStr">
        <is>
          <t>ÖREBRO</t>
        </is>
      </c>
      <c r="G215" t="n">
        <v>3.2</v>
      </c>
      <c r="H215" t="n">
        <v>0</v>
      </c>
      <c r="I215" t="n">
        <v>0</v>
      </c>
      <c r="J215" t="n">
        <v>0</v>
      </c>
      <c r="K215" t="n">
        <v>0</v>
      </c>
      <c r="L215" t="n">
        <v>0</v>
      </c>
      <c r="M215" t="n">
        <v>0</v>
      </c>
      <c r="N215" t="n">
        <v>0</v>
      </c>
      <c r="O215" t="n">
        <v>0</v>
      </c>
      <c r="P215" t="n">
        <v>0</v>
      </c>
      <c r="Q215" t="n">
        <v>0</v>
      </c>
      <c r="R215" s="2" t="inlineStr"/>
    </row>
    <row r="216" ht="15" customHeight="1">
      <c r="A216" t="inlineStr">
        <is>
          <t>A 46052-2024</t>
        </is>
      </c>
      <c r="B216" s="1" t="n">
        <v>45580.89116898148</v>
      </c>
      <c r="C216" s="1" t="n">
        <v>45908</v>
      </c>
      <c r="D216" t="inlineStr">
        <is>
          <t>ÖREBRO LÄN</t>
        </is>
      </c>
      <c r="E216" t="inlineStr">
        <is>
          <t>ÖREBRO</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5795-2024</t>
        </is>
      </c>
      <c r="B217" s="1" t="n">
        <v>45335.4531712963</v>
      </c>
      <c r="C217" s="1" t="n">
        <v>45908</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54149-2024</t>
        </is>
      </c>
      <c r="B218" s="1" t="n">
        <v>45616</v>
      </c>
      <c r="C218" s="1" t="n">
        <v>45908</v>
      </c>
      <c r="D218" t="inlineStr">
        <is>
          <t>ÖREBRO LÄN</t>
        </is>
      </c>
      <c r="E218" t="inlineStr">
        <is>
          <t>ÖREBRO</t>
        </is>
      </c>
      <c r="G218" t="n">
        <v>2.7</v>
      </c>
      <c r="H218" t="n">
        <v>0</v>
      </c>
      <c r="I218" t="n">
        <v>0</v>
      </c>
      <c r="J218" t="n">
        <v>0</v>
      </c>
      <c r="K218" t="n">
        <v>0</v>
      </c>
      <c r="L218" t="n">
        <v>0</v>
      </c>
      <c r="M218" t="n">
        <v>0</v>
      </c>
      <c r="N218" t="n">
        <v>0</v>
      </c>
      <c r="O218" t="n">
        <v>0</v>
      </c>
      <c r="P218" t="n">
        <v>0</v>
      </c>
      <c r="Q218" t="n">
        <v>0</v>
      </c>
      <c r="R218" s="2" t="inlineStr"/>
    </row>
    <row r="219" ht="15" customHeight="1">
      <c r="A219" t="inlineStr">
        <is>
          <t>A 16739-2023</t>
        </is>
      </c>
      <c r="B219" s="1" t="n">
        <v>45030.72627314815</v>
      </c>
      <c r="C219" s="1" t="n">
        <v>45908</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12871-2021</t>
        </is>
      </c>
      <c r="B220" s="1" t="n">
        <v>44271.42121527778</v>
      </c>
      <c r="C220" s="1" t="n">
        <v>45908</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15424-2022</t>
        </is>
      </c>
      <c r="B221" s="1" t="n">
        <v>44659</v>
      </c>
      <c r="C221" s="1" t="n">
        <v>45908</v>
      </c>
      <c r="D221" t="inlineStr">
        <is>
          <t>ÖREBRO LÄN</t>
        </is>
      </c>
      <c r="E221" t="inlineStr">
        <is>
          <t>ÖREBRO</t>
        </is>
      </c>
      <c r="G221" t="n">
        <v>2.2</v>
      </c>
      <c r="H221" t="n">
        <v>0</v>
      </c>
      <c r="I221" t="n">
        <v>0</v>
      </c>
      <c r="J221" t="n">
        <v>0</v>
      </c>
      <c r="K221" t="n">
        <v>0</v>
      </c>
      <c r="L221" t="n">
        <v>0</v>
      </c>
      <c r="M221" t="n">
        <v>0</v>
      </c>
      <c r="N221" t="n">
        <v>0</v>
      </c>
      <c r="O221" t="n">
        <v>0</v>
      </c>
      <c r="P221" t="n">
        <v>0</v>
      </c>
      <c r="Q221" t="n">
        <v>0</v>
      </c>
      <c r="R221" s="2" t="inlineStr"/>
    </row>
    <row r="222" ht="15" customHeight="1">
      <c r="A222" t="inlineStr">
        <is>
          <t>A 15682-2023</t>
        </is>
      </c>
      <c r="B222" s="1" t="n">
        <v>45021</v>
      </c>
      <c r="C222" s="1" t="n">
        <v>45908</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58644-2023</t>
        </is>
      </c>
      <c r="B223" s="1" t="n">
        <v>45251.58716435185</v>
      </c>
      <c r="C223" s="1" t="n">
        <v>45908</v>
      </c>
      <c r="D223" t="inlineStr">
        <is>
          <t>ÖREBRO LÄN</t>
        </is>
      </c>
      <c r="E223" t="inlineStr">
        <is>
          <t>ÖREBRO</t>
        </is>
      </c>
      <c r="F223" t="inlineStr">
        <is>
          <t>Övriga Aktiebolag</t>
        </is>
      </c>
      <c r="G223" t="n">
        <v>1.9</v>
      </c>
      <c r="H223" t="n">
        <v>0</v>
      </c>
      <c r="I223" t="n">
        <v>0</v>
      </c>
      <c r="J223" t="n">
        <v>0</v>
      </c>
      <c r="K223" t="n">
        <v>0</v>
      </c>
      <c r="L223" t="n">
        <v>0</v>
      </c>
      <c r="M223" t="n">
        <v>0</v>
      </c>
      <c r="N223" t="n">
        <v>0</v>
      </c>
      <c r="O223" t="n">
        <v>0</v>
      </c>
      <c r="P223" t="n">
        <v>0</v>
      </c>
      <c r="Q223" t="n">
        <v>0</v>
      </c>
      <c r="R223" s="2" t="inlineStr"/>
    </row>
    <row r="224" ht="15" customHeight="1">
      <c r="A224" t="inlineStr">
        <is>
          <t>A 22719-2025</t>
        </is>
      </c>
      <c r="B224" s="1" t="n">
        <v>45789</v>
      </c>
      <c r="C224" s="1" t="n">
        <v>45908</v>
      </c>
      <c r="D224" t="inlineStr">
        <is>
          <t>ÖREBRO LÄN</t>
        </is>
      </c>
      <c r="E224" t="inlineStr">
        <is>
          <t>ÖREBRO</t>
        </is>
      </c>
      <c r="G224" t="n">
        <v>1.5</v>
      </c>
      <c r="H224" t="n">
        <v>0</v>
      </c>
      <c r="I224" t="n">
        <v>0</v>
      </c>
      <c r="J224" t="n">
        <v>0</v>
      </c>
      <c r="K224" t="n">
        <v>0</v>
      </c>
      <c r="L224" t="n">
        <v>0</v>
      </c>
      <c r="M224" t="n">
        <v>0</v>
      </c>
      <c r="N224" t="n">
        <v>0</v>
      </c>
      <c r="O224" t="n">
        <v>0</v>
      </c>
      <c r="P224" t="n">
        <v>0</v>
      </c>
      <c r="Q224" t="n">
        <v>0</v>
      </c>
      <c r="R224" s="2" t="inlineStr"/>
    </row>
    <row r="225" ht="15" customHeight="1">
      <c r="A225" t="inlineStr">
        <is>
          <t>A 12682-2023</t>
        </is>
      </c>
      <c r="B225" s="1" t="n">
        <v>45000.6115625</v>
      </c>
      <c r="C225" s="1" t="n">
        <v>45908</v>
      </c>
      <c r="D225" t="inlineStr">
        <is>
          <t>ÖREBRO LÄN</t>
        </is>
      </c>
      <c r="E225" t="inlineStr">
        <is>
          <t>ÖREBRO</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57247-2022</t>
        </is>
      </c>
      <c r="B226" s="1" t="n">
        <v>44895.73065972222</v>
      </c>
      <c r="C226" s="1" t="n">
        <v>45908</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764-2024</t>
        </is>
      </c>
      <c r="B227" s="1" t="n">
        <v>45300.51512731481</v>
      </c>
      <c r="C227" s="1" t="n">
        <v>45908</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22755-2025</t>
        </is>
      </c>
      <c r="B228" s="1" t="n">
        <v>45789.61872685186</v>
      </c>
      <c r="C228" s="1" t="n">
        <v>45908</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59736-2023</t>
        </is>
      </c>
      <c r="B229" s="1" t="n">
        <v>45257.374375</v>
      </c>
      <c r="C229" s="1" t="n">
        <v>45908</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45908</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34336-2024</t>
        </is>
      </c>
      <c r="B231" s="1" t="n">
        <v>45524.94774305556</v>
      </c>
      <c r="C231" s="1" t="n">
        <v>45908</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49465-2024</t>
        </is>
      </c>
      <c r="B232" s="1" t="n">
        <v>45596</v>
      </c>
      <c r="C232" s="1" t="n">
        <v>45908</v>
      </c>
      <c r="D232" t="inlineStr">
        <is>
          <t>ÖREBRO LÄN</t>
        </is>
      </c>
      <c r="E232" t="inlineStr">
        <is>
          <t>ÖREBRO</t>
        </is>
      </c>
      <c r="F232" t="inlineStr">
        <is>
          <t>Övriga Aktiebolag</t>
        </is>
      </c>
      <c r="G232" t="n">
        <v>21</v>
      </c>
      <c r="H232" t="n">
        <v>0</v>
      </c>
      <c r="I232" t="n">
        <v>0</v>
      </c>
      <c r="J232" t="n">
        <v>0</v>
      </c>
      <c r="K232" t="n">
        <v>0</v>
      </c>
      <c r="L232" t="n">
        <v>0</v>
      </c>
      <c r="M232" t="n">
        <v>0</v>
      </c>
      <c r="N232" t="n">
        <v>0</v>
      </c>
      <c r="O232" t="n">
        <v>0</v>
      </c>
      <c r="P232" t="n">
        <v>0</v>
      </c>
      <c r="Q232" t="n">
        <v>0</v>
      </c>
      <c r="R232" s="2" t="inlineStr"/>
    </row>
    <row r="233" ht="15" customHeight="1">
      <c r="A233" t="inlineStr">
        <is>
          <t>A 38842-2022</t>
        </is>
      </c>
      <c r="B233" s="1" t="n">
        <v>44814</v>
      </c>
      <c r="C233" s="1" t="n">
        <v>45908</v>
      </c>
      <c r="D233" t="inlineStr">
        <is>
          <t>ÖREBRO LÄN</t>
        </is>
      </c>
      <c r="E233" t="inlineStr">
        <is>
          <t>ÖREBRO</t>
        </is>
      </c>
      <c r="G233" t="n">
        <v>5</v>
      </c>
      <c r="H233" t="n">
        <v>0</v>
      </c>
      <c r="I233" t="n">
        <v>0</v>
      </c>
      <c r="J233" t="n">
        <v>0</v>
      </c>
      <c r="K233" t="n">
        <v>0</v>
      </c>
      <c r="L233" t="n">
        <v>0</v>
      </c>
      <c r="M233" t="n">
        <v>0</v>
      </c>
      <c r="N233" t="n">
        <v>0</v>
      </c>
      <c r="O233" t="n">
        <v>0</v>
      </c>
      <c r="P233" t="n">
        <v>0</v>
      </c>
      <c r="Q233" t="n">
        <v>0</v>
      </c>
      <c r="R233" s="2" t="inlineStr"/>
    </row>
    <row r="234" ht="15" customHeight="1">
      <c r="A234" t="inlineStr">
        <is>
          <t>A 37022-2024</t>
        </is>
      </c>
      <c r="B234" s="1" t="n">
        <v>45539.3822337963</v>
      </c>
      <c r="C234" s="1" t="n">
        <v>45908</v>
      </c>
      <c r="D234" t="inlineStr">
        <is>
          <t>ÖREBRO LÄN</t>
        </is>
      </c>
      <c r="E234" t="inlineStr">
        <is>
          <t>ÖREBRO</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37024-2024</t>
        </is>
      </c>
      <c r="B235" s="1" t="n">
        <v>45539.38329861111</v>
      </c>
      <c r="C235" s="1" t="n">
        <v>45908</v>
      </c>
      <c r="D235" t="inlineStr">
        <is>
          <t>ÖREBRO LÄN</t>
        </is>
      </c>
      <c r="E235" t="inlineStr">
        <is>
          <t>ÖREBRO</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15555-2025</t>
        </is>
      </c>
      <c r="B236" s="1" t="n">
        <v>45747.67768518518</v>
      </c>
      <c r="C236" s="1" t="n">
        <v>45908</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61279-2024</t>
        </is>
      </c>
      <c r="B237" s="1" t="n">
        <v>45645</v>
      </c>
      <c r="C237" s="1" t="n">
        <v>45908</v>
      </c>
      <c r="D237" t="inlineStr">
        <is>
          <t>ÖREBRO LÄN</t>
        </is>
      </c>
      <c r="E237" t="inlineStr">
        <is>
          <t>ÖREBRO</t>
        </is>
      </c>
      <c r="G237" t="n">
        <v>0.7</v>
      </c>
      <c r="H237" t="n">
        <v>0</v>
      </c>
      <c r="I237" t="n">
        <v>0</v>
      </c>
      <c r="J237" t="n">
        <v>0</v>
      </c>
      <c r="K237" t="n">
        <v>0</v>
      </c>
      <c r="L237" t="n">
        <v>0</v>
      </c>
      <c r="M237" t="n">
        <v>0</v>
      </c>
      <c r="N237" t="n">
        <v>0</v>
      </c>
      <c r="O237" t="n">
        <v>0</v>
      </c>
      <c r="P237" t="n">
        <v>0</v>
      </c>
      <c r="Q237" t="n">
        <v>0</v>
      </c>
      <c r="R237" s="2" t="inlineStr"/>
    </row>
    <row r="238" ht="15" customHeight="1">
      <c r="A238" t="inlineStr">
        <is>
          <t>A 38790-2024</t>
        </is>
      </c>
      <c r="B238" s="1" t="n">
        <v>45547.48450231482</v>
      </c>
      <c r="C238" s="1" t="n">
        <v>45908</v>
      </c>
      <c r="D238" t="inlineStr">
        <is>
          <t>ÖREBRO LÄN</t>
        </is>
      </c>
      <c r="E238" t="inlineStr">
        <is>
          <t>ÖREBRO</t>
        </is>
      </c>
      <c r="G238" t="n">
        <v>2</v>
      </c>
      <c r="H238" t="n">
        <v>0</v>
      </c>
      <c r="I238" t="n">
        <v>0</v>
      </c>
      <c r="J238" t="n">
        <v>0</v>
      </c>
      <c r="K238" t="n">
        <v>0</v>
      </c>
      <c r="L238" t="n">
        <v>0</v>
      </c>
      <c r="M238" t="n">
        <v>0</v>
      </c>
      <c r="N238" t="n">
        <v>0</v>
      </c>
      <c r="O238" t="n">
        <v>0</v>
      </c>
      <c r="P238" t="n">
        <v>0</v>
      </c>
      <c r="Q238" t="n">
        <v>0</v>
      </c>
      <c r="R238" s="2" t="inlineStr"/>
    </row>
    <row r="239" ht="15" customHeight="1">
      <c r="A239" t="inlineStr">
        <is>
          <t>A 71269-2021</t>
        </is>
      </c>
      <c r="B239" s="1" t="n">
        <v>44539</v>
      </c>
      <c r="C239" s="1" t="n">
        <v>45908</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58606-2024</t>
        </is>
      </c>
      <c r="B240" s="1" t="n">
        <v>45635.54747685185</v>
      </c>
      <c r="C240" s="1" t="n">
        <v>45908</v>
      </c>
      <c r="D240" t="inlineStr">
        <is>
          <t>ÖREBRO LÄN</t>
        </is>
      </c>
      <c r="E240" t="inlineStr">
        <is>
          <t>ÖREBRO</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123-2025</t>
        </is>
      </c>
      <c r="B241" s="1" t="n">
        <v>45659.54851851852</v>
      </c>
      <c r="C241" s="1" t="n">
        <v>45908</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30316-2024</t>
        </is>
      </c>
      <c r="B242" s="1" t="n">
        <v>45490</v>
      </c>
      <c r="C242" s="1" t="n">
        <v>45908</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47047-2022</t>
        </is>
      </c>
      <c r="B243" s="1" t="n">
        <v>44852.39063657408</v>
      </c>
      <c r="C243" s="1" t="n">
        <v>45908</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44199-2024</t>
        </is>
      </c>
      <c r="B244" s="1" t="n">
        <v>45573</v>
      </c>
      <c r="C244" s="1" t="n">
        <v>45908</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4380-2025</t>
        </is>
      </c>
      <c r="B245" s="1" t="n">
        <v>45686.3959375</v>
      </c>
      <c r="C245" s="1" t="n">
        <v>45908</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37012-2024</t>
        </is>
      </c>
      <c r="B246" s="1" t="n">
        <v>45539</v>
      </c>
      <c r="C246" s="1" t="n">
        <v>45908</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37020-2024</t>
        </is>
      </c>
      <c r="B247" s="1" t="n">
        <v>45539.38059027777</v>
      </c>
      <c r="C247" s="1" t="n">
        <v>45908</v>
      </c>
      <c r="D247" t="inlineStr">
        <is>
          <t>ÖREBRO LÄN</t>
        </is>
      </c>
      <c r="E247" t="inlineStr">
        <is>
          <t>ÖREBRO</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26443-2024</t>
        </is>
      </c>
      <c r="B248" s="1" t="n">
        <v>45469.49901620371</v>
      </c>
      <c r="C248" s="1" t="n">
        <v>45908</v>
      </c>
      <c r="D248" t="inlineStr">
        <is>
          <t>ÖREBRO LÄN</t>
        </is>
      </c>
      <c r="E248" t="inlineStr">
        <is>
          <t>ÖREBRO</t>
        </is>
      </c>
      <c r="G248" t="n">
        <v>5.7</v>
      </c>
      <c r="H248" t="n">
        <v>0</v>
      </c>
      <c r="I248" t="n">
        <v>0</v>
      </c>
      <c r="J248" t="n">
        <v>0</v>
      </c>
      <c r="K248" t="n">
        <v>0</v>
      </c>
      <c r="L248" t="n">
        <v>0</v>
      </c>
      <c r="M248" t="n">
        <v>0</v>
      </c>
      <c r="N248" t="n">
        <v>0</v>
      </c>
      <c r="O248" t="n">
        <v>0</v>
      </c>
      <c r="P248" t="n">
        <v>0</v>
      </c>
      <c r="Q248" t="n">
        <v>0</v>
      </c>
      <c r="R248" s="2" t="inlineStr"/>
    </row>
    <row r="249" ht="15" customHeight="1">
      <c r="A249" t="inlineStr">
        <is>
          <t>A 5136-2024</t>
        </is>
      </c>
      <c r="B249" s="1" t="n">
        <v>45330</v>
      </c>
      <c r="C249" s="1" t="n">
        <v>45908</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35477-2024</t>
        </is>
      </c>
      <c r="B250" s="1" t="n">
        <v>45531</v>
      </c>
      <c r="C250" s="1" t="n">
        <v>45908</v>
      </c>
      <c r="D250" t="inlineStr">
        <is>
          <t>ÖREBRO LÄN</t>
        </is>
      </c>
      <c r="E250" t="inlineStr">
        <is>
          <t>ÖREBRO</t>
        </is>
      </c>
      <c r="G250" t="n">
        <v>2.4</v>
      </c>
      <c r="H250" t="n">
        <v>0</v>
      </c>
      <c r="I250" t="n">
        <v>0</v>
      </c>
      <c r="J250" t="n">
        <v>0</v>
      </c>
      <c r="K250" t="n">
        <v>0</v>
      </c>
      <c r="L250" t="n">
        <v>0</v>
      </c>
      <c r="M250" t="n">
        <v>0</v>
      </c>
      <c r="N250" t="n">
        <v>0</v>
      </c>
      <c r="O250" t="n">
        <v>0</v>
      </c>
      <c r="P250" t="n">
        <v>0</v>
      </c>
      <c r="Q250" t="n">
        <v>0</v>
      </c>
      <c r="R250" s="2" t="inlineStr"/>
    </row>
    <row r="251" ht="15" customHeight="1">
      <c r="A251" t="inlineStr">
        <is>
          <t>A 16958-2022</t>
        </is>
      </c>
      <c r="B251" s="1" t="n">
        <v>44676.50481481481</v>
      </c>
      <c r="C251" s="1" t="n">
        <v>45908</v>
      </c>
      <c r="D251" t="inlineStr">
        <is>
          <t>ÖREBRO LÄN</t>
        </is>
      </c>
      <c r="E251" t="inlineStr">
        <is>
          <t>ÖREBRO</t>
        </is>
      </c>
      <c r="G251" t="n">
        <v>3.1</v>
      </c>
      <c r="H251" t="n">
        <v>0</v>
      </c>
      <c r="I251" t="n">
        <v>0</v>
      </c>
      <c r="J251" t="n">
        <v>0</v>
      </c>
      <c r="K251" t="n">
        <v>0</v>
      </c>
      <c r="L251" t="n">
        <v>0</v>
      </c>
      <c r="M251" t="n">
        <v>0</v>
      </c>
      <c r="N251" t="n">
        <v>0</v>
      </c>
      <c r="O251" t="n">
        <v>0</v>
      </c>
      <c r="P251" t="n">
        <v>0</v>
      </c>
      <c r="Q251" t="n">
        <v>0</v>
      </c>
      <c r="R251" s="2" t="inlineStr"/>
    </row>
    <row r="252" ht="15" customHeight="1">
      <c r="A252" t="inlineStr">
        <is>
          <t>A 5338-2024</t>
        </is>
      </c>
      <c r="B252" s="1" t="n">
        <v>45331</v>
      </c>
      <c r="C252" s="1" t="n">
        <v>45908</v>
      </c>
      <c r="D252" t="inlineStr">
        <is>
          <t>ÖREBRO LÄN</t>
        </is>
      </c>
      <c r="E252" t="inlineStr">
        <is>
          <t>ÖREBRO</t>
        </is>
      </c>
      <c r="G252" t="n">
        <v>0.6</v>
      </c>
      <c r="H252" t="n">
        <v>0</v>
      </c>
      <c r="I252" t="n">
        <v>0</v>
      </c>
      <c r="J252" t="n">
        <v>0</v>
      </c>
      <c r="K252" t="n">
        <v>0</v>
      </c>
      <c r="L252" t="n">
        <v>0</v>
      </c>
      <c r="M252" t="n">
        <v>0</v>
      </c>
      <c r="N252" t="n">
        <v>0</v>
      </c>
      <c r="O252" t="n">
        <v>0</v>
      </c>
      <c r="P252" t="n">
        <v>0</v>
      </c>
      <c r="Q252" t="n">
        <v>0</v>
      </c>
      <c r="R252" s="2" t="inlineStr"/>
    </row>
    <row r="253" ht="15" customHeight="1">
      <c r="A253" t="inlineStr">
        <is>
          <t>A 4970-2022</t>
        </is>
      </c>
      <c r="B253" s="1" t="n">
        <v>44593.51175925926</v>
      </c>
      <c r="C253" s="1" t="n">
        <v>45908</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58598-2022</t>
        </is>
      </c>
      <c r="B254" s="1" t="n">
        <v>44902</v>
      </c>
      <c r="C254" s="1" t="n">
        <v>45908</v>
      </c>
      <c r="D254" t="inlineStr">
        <is>
          <t>ÖREBRO LÄN</t>
        </is>
      </c>
      <c r="E254" t="inlineStr">
        <is>
          <t>ÖREBRO</t>
        </is>
      </c>
      <c r="G254" t="n">
        <v>0.4</v>
      </c>
      <c r="H254" t="n">
        <v>0</v>
      </c>
      <c r="I254" t="n">
        <v>0</v>
      </c>
      <c r="J254" t="n">
        <v>0</v>
      </c>
      <c r="K254" t="n">
        <v>0</v>
      </c>
      <c r="L254" t="n">
        <v>0</v>
      </c>
      <c r="M254" t="n">
        <v>0</v>
      </c>
      <c r="N254" t="n">
        <v>0</v>
      </c>
      <c r="O254" t="n">
        <v>0</v>
      </c>
      <c r="P254" t="n">
        <v>0</v>
      </c>
      <c r="Q254" t="n">
        <v>0</v>
      </c>
      <c r="R254" s="2" t="inlineStr"/>
    </row>
    <row r="255" ht="15" customHeight="1">
      <c r="A255" t="inlineStr">
        <is>
          <t>A 13158-2024</t>
        </is>
      </c>
      <c r="B255" s="1" t="n">
        <v>45386.38728009259</v>
      </c>
      <c r="C255" s="1" t="n">
        <v>45908</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13657-2025</t>
        </is>
      </c>
      <c r="B256" s="1" t="n">
        <v>45736.7427662037</v>
      </c>
      <c r="C256" s="1" t="n">
        <v>45908</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51331-2023</t>
        </is>
      </c>
      <c r="B257" s="1" t="n">
        <v>45219</v>
      </c>
      <c r="C257" s="1" t="n">
        <v>45908</v>
      </c>
      <c r="D257" t="inlineStr">
        <is>
          <t>ÖREBRO LÄN</t>
        </is>
      </c>
      <c r="E257" t="inlineStr">
        <is>
          <t>ÖREBRO</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9314-2023</t>
        </is>
      </c>
      <c r="B258" s="1" t="n">
        <v>44980.67747685185</v>
      </c>
      <c r="C258" s="1" t="n">
        <v>45908</v>
      </c>
      <c r="D258" t="inlineStr">
        <is>
          <t>ÖREBRO LÄN</t>
        </is>
      </c>
      <c r="E258" t="inlineStr">
        <is>
          <t>ÖREBRO</t>
        </is>
      </c>
      <c r="G258" t="n">
        <v>0.8</v>
      </c>
      <c r="H258" t="n">
        <v>0</v>
      </c>
      <c r="I258" t="n">
        <v>0</v>
      </c>
      <c r="J258" t="n">
        <v>0</v>
      </c>
      <c r="K258" t="n">
        <v>0</v>
      </c>
      <c r="L258" t="n">
        <v>0</v>
      </c>
      <c r="M258" t="n">
        <v>0</v>
      </c>
      <c r="N258" t="n">
        <v>0</v>
      </c>
      <c r="O258" t="n">
        <v>0</v>
      </c>
      <c r="P258" t="n">
        <v>0</v>
      </c>
      <c r="Q258" t="n">
        <v>0</v>
      </c>
      <c r="R258" s="2" t="inlineStr"/>
    </row>
    <row r="259" ht="15" customHeight="1">
      <c r="A259" t="inlineStr">
        <is>
          <t>A 5406-2025</t>
        </is>
      </c>
      <c r="B259" s="1" t="n">
        <v>45692.64821759259</v>
      </c>
      <c r="C259" s="1" t="n">
        <v>45908</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52018-2024</t>
        </is>
      </c>
      <c r="B260" s="1" t="n">
        <v>45607.82974537037</v>
      </c>
      <c r="C260" s="1" t="n">
        <v>45908</v>
      </c>
      <c r="D260" t="inlineStr">
        <is>
          <t>ÖREBRO LÄN</t>
        </is>
      </c>
      <c r="E260" t="inlineStr">
        <is>
          <t>ÖREBRO</t>
        </is>
      </c>
      <c r="G260" t="n">
        <v>4.3</v>
      </c>
      <c r="H260" t="n">
        <v>0</v>
      </c>
      <c r="I260" t="n">
        <v>0</v>
      </c>
      <c r="J260" t="n">
        <v>0</v>
      </c>
      <c r="K260" t="n">
        <v>0</v>
      </c>
      <c r="L260" t="n">
        <v>0</v>
      </c>
      <c r="M260" t="n">
        <v>0</v>
      </c>
      <c r="N260" t="n">
        <v>0</v>
      </c>
      <c r="O260" t="n">
        <v>0</v>
      </c>
      <c r="P260" t="n">
        <v>0</v>
      </c>
      <c r="Q260" t="n">
        <v>0</v>
      </c>
      <c r="R260" s="2" t="inlineStr"/>
    </row>
    <row r="261" ht="15" customHeight="1">
      <c r="A261" t="inlineStr">
        <is>
          <t>A 34358-2022</t>
        </is>
      </c>
      <c r="B261" s="1" t="n">
        <v>44792.45494212963</v>
      </c>
      <c r="C261" s="1" t="n">
        <v>45908</v>
      </c>
      <c r="D261" t="inlineStr">
        <is>
          <t>ÖREBRO LÄN</t>
        </is>
      </c>
      <c r="E261" t="inlineStr">
        <is>
          <t>ÖREBRO</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34874-2022</t>
        </is>
      </c>
      <c r="B262" s="1" t="n">
        <v>44796</v>
      </c>
      <c r="C262" s="1" t="n">
        <v>45908</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6522-2023</t>
        </is>
      </c>
      <c r="B263" s="1" t="n">
        <v>44966</v>
      </c>
      <c r="C263" s="1" t="n">
        <v>45908</v>
      </c>
      <c r="D263" t="inlineStr">
        <is>
          <t>ÖREBRO LÄN</t>
        </is>
      </c>
      <c r="E263" t="inlineStr">
        <is>
          <t>ÖREBRO</t>
        </is>
      </c>
      <c r="G263" t="n">
        <v>4.4</v>
      </c>
      <c r="H263" t="n">
        <v>0</v>
      </c>
      <c r="I263" t="n">
        <v>0</v>
      </c>
      <c r="J263" t="n">
        <v>0</v>
      </c>
      <c r="K263" t="n">
        <v>0</v>
      </c>
      <c r="L263" t="n">
        <v>0</v>
      </c>
      <c r="M263" t="n">
        <v>0</v>
      </c>
      <c r="N263" t="n">
        <v>0</v>
      </c>
      <c r="O263" t="n">
        <v>0</v>
      </c>
      <c r="P263" t="n">
        <v>0</v>
      </c>
      <c r="Q263" t="n">
        <v>0</v>
      </c>
      <c r="R263" s="2" t="inlineStr"/>
    </row>
    <row r="264" ht="15" customHeight="1">
      <c r="A264" t="inlineStr">
        <is>
          <t>A 18449-2023</t>
        </is>
      </c>
      <c r="B264" s="1" t="n">
        <v>45042.5203125</v>
      </c>
      <c r="C264" s="1" t="n">
        <v>45908</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16736-2023</t>
        </is>
      </c>
      <c r="B265" s="1" t="n">
        <v>45030.72328703704</v>
      </c>
      <c r="C265" s="1" t="n">
        <v>45908</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852-2025</t>
        </is>
      </c>
      <c r="B266" s="1" t="n">
        <v>45665.60148148148</v>
      </c>
      <c r="C266" s="1" t="n">
        <v>45908</v>
      </c>
      <c r="D266" t="inlineStr">
        <is>
          <t>ÖREBRO LÄN</t>
        </is>
      </c>
      <c r="E266" t="inlineStr">
        <is>
          <t>ÖREBRO</t>
        </is>
      </c>
      <c r="G266" t="n">
        <v>2.9</v>
      </c>
      <c r="H266" t="n">
        <v>0</v>
      </c>
      <c r="I266" t="n">
        <v>0</v>
      </c>
      <c r="J266" t="n">
        <v>0</v>
      </c>
      <c r="K266" t="n">
        <v>0</v>
      </c>
      <c r="L266" t="n">
        <v>0</v>
      </c>
      <c r="M266" t="n">
        <v>0</v>
      </c>
      <c r="N266" t="n">
        <v>0</v>
      </c>
      <c r="O266" t="n">
        <v>0</v>
      </c>
      <c r="P266" t="n">
        <v>0</v>
      </c>
      <c r="Q266" t="n">
        <v>0</v>
      </c>
      <c r="R266" s="2" t="inlineStr"/>
    </row>
    <row r="267" ht="15" customHeight="1">
      <c r="A267" t="inlineStr">
        <is>
          <t>A 22348-2024</t>
        </is>
      </c>
      <c r="B267" s="1" t="n">
        <v>45446.61256944444</v>
      </c>
      <c r="C267" s="1" t="n">
        <v>45908</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50375-2024</t>
        </is>
      </c>
      <c r="B268" s="1" t="n">
        <v>45601.29311342593</v>
      </c>
      <c r="C268" s="1" t="n">
        <v>45908</v>
      </c>
      <c r="D268" t="inlineStr">
        <is>
          <t>ÖREBRO LÄN</t>
        </is>
      </c>
      <c r="E268" t="inlineStr">
        <is>
          <t>ÖREBRO</t>
        </is>
      </c>
      <c r="G268" t="n">
        <v>5</v>
      </c>
      <c r="H268" t="n">
        <v>0</v>
      </c>
      <c r="I268" t="n">
        <v>0</v>
      </c>
      <c r="J268" t="n">
        <v>0</v>
      </c>
      <c r="K268" t="n">
        <v>0</v>
      </c>
      <c r="L268" t="n">
        <v>0</v>
      </c>
      <c r="M268" t="n">
        <v>0</v>
      </c>
      <c r="N268" t="n">
        <v>0</v>
      </c>
      <c r="O268" t="n">
        <v>0</v>
      </c>
      <c r="P268" t="n">
        <v>0</v>
      </c>
      <c r="Q268" t="n">
        <v>0</v>
      </c>
      <c r="R268" s="2" t="inlineStr"/>
    </row>
    <row r="269" ht="15" customHeight="1">
      <c r="A269" t="inlineStr">
        <is>
          <t>A 22045-2024</t>
        </is>
      </c>
      <c r="B269" s="1" t="n">
        <v>45443.61171296296</v>
      </c>
      <c r="C269" s="1" t="n">
        <v>45908</v>
      </c>
      <c r="D269" t="inlineStr">
        <is>
          <t>ÖREBRO LÄN</t>
        </is>
      </c>
      <c r="E269" t="inlineStr">
        <is>
          <t>ÖREBRO</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15695-2024</t>
        </is>
      </c>
      <c r="B270" s="1" t="n">
        <v>45404.45487268519</v>
      </c>
      <c r="C270" s="1" t="n">
        <v>45908</v>
      </c>
      <c r="D270" t="inlineStr">
        <is>
          <t>ÖREBRO LÄN</t>
        </is>
      </c>
      <c r="E270" t="inlineStr">
        <is>
          <t>ÖREBRO</t>
        </is>
      </c>
      <c r="G270" t="n">
        <v>2.7</v>
      </c>
      <c r="H270" t="n">
        <v>0</v>
      </c>
      <c r="I270" t="n">
        <v>0</v>
      </c>
      <c r="J270" t="n">
        <v>0</v>
      </c>
      <c r="K270" t="n">
        <v>0</v>
      </c>
      <c r="L270" t="n">
        <v>0</v>
      </c>
      <c r="M270" t="n">
        <v>0</v>
      </c>
      <c r="N270" t="n">
        <v>0</v>
      </c>
      <c r="O270" t="n">
        <v>0</v>
      </c>
      <c r="P270" t="n">
        <v>0</v>
      </c>
      <c r="Q270" t="n">
        <v>0</v>
      </c>
      <c r="R270" s="2" t="inlineStr"/>
    </row>
    <row r="271" ht="15" customHeight="1">
      <c r="A271" t="inlineStr">
        <is>
          <t>A 30089-2024</t>
        </is>
      </c>
      <c r="B271" s="1" t="n">
        <v>45485</v>
      </c>
      <c r="C271" s="1" t="n">
        <v>45908</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3-2024</t>
        </is>
      </c>
      <c r="B272" s="1" t="n">
        <v>45292</v>
      </c>
      <c r="C272" s="1" t="n">
        <v>45908</v>
      </c>
      <c r="D272" t="inlineStr">
        <is>
          <t>ÖREBRO LÄN</t>
        </is>
      </c>
      <c r="E272" t="inlineStr">
        <is>
          <t>ÖREBRO</t>
        </is>
      </c>
      <c r="G272" t="n">
        <v>2.7</v>
      </c>
      <c r="H272" t="n">
        <v>0</v>
      </c>
      <c r="I272" t="n">
        <v>0</v>
      </c>
      <c r="J272" t="n">
        <v>0</v>
      </c>
      <c r="K272" t="n">
        <v>0</v>
      </c>
      <c r="L272" t="n">
        <v>0</v>
      </c>
      <c r="M272" t="n">
        <v>0</v>
      </c>
      <c r="N272" t="n">
        <v>0</v>
      </c>
      <c r="O272" t="n">
        <v>0</v>
      </c>
      <c r="P272" t="n">
        <v>0</v>
      </c>
      <c r="Q272" t="n">
        <v>0</v>
      </c>
      <c r="R272" s="2" t="inlineStr"/>
    </row>
    <row r="273" ht="15" customHeight="1">
      <c r="A273" t="inlineStr">
        <is>
          <t>A 38583-2023</t>
        </is>
      </c>
      <c r="B273" s="1" t="n">
        <v>45162.62861111111</v>
      </c>
      <c r="C273" s="1" t="n">
        <v>45908</v>
      </c>
      <c r="D273" t="inlineStr">
        <is>
          <t>ÖREBRO LÄN</t>
        </is>
      </c>
      <c r="E273" t="inlineStr">
        <is>
          <t>ÖREBRO</t>
        </is>
      </c>
      <c r="G273" t="n">
        <v>5.7</v>
      </c>
      <c r="H273" t="n">
        <v>0</v>
      </c>
      <c r="I273" t="n">
        <v>0</v>
      </c>
      <c r="J273" t="n">
        <v>0</v>
      </c>
      <c r="K273" t="n">
        <v>0</v>
      </c>
      <c r="L273" t="n">
        <v>0</v>
      </c>
      <c r="M273" t="n">
        <v>0</v>
      </c>
      <c r="N273" t="n">
        <v>0</v>
      </c>
      <c r="O273" t="n">
        <v>0</v>
      </c>
      <c r="P273" t="n">
        <v>0</v>
      </c>
      <c r="Q273" t="n">
        <v>0</v>
      </c>
      <c r="R273" s="2" t="inlineStr"/>
    </row>
    <row r="274" ht="15" customHeight="1">
      <c r="A274" t="inlineStr">
        <is>
          <t>A 5643-2025</t>
        </is>
      </c>
      <c r="B274" s="1" t="n">
        <v>45693</v>
      </c>
      <c r="C274" s="1" t="n">
        <v>45908</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21306-2024</t>
        </is>
      </c>
      <c r="B275" s="1" t="n">
        <v>45440.67883101852</v>
      </c>
      <c r="C275" s="1" t="n">
        <v>45908</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1257-2022</t>
        </is>
      </c>
      <c r="B276" s="1" t="n">
        <v>44572</v>
      </c>
      <c r="C276" s="1" t="n">
        <v>45908</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46030-2024</t>
        </is>
      </c>
      <c r="B277" s="1" t="n">
        <v>45580.70377314815</v>
      </c>
      <c r="C277" s="1" t="n">
        <v>45908</v>
      </c>
      <c r="D277" t="inlineStr">
        <is>
          <t>ÖREBRO LÄN</t>
        </is>
      </c>
      <c r="E277" t="inlineStr">
        <is>
          <t>ÖREBRO</t>
        </is>
      </c>
      <c r="G277" t="n">
        <v>3.9</v>
      </c>
      <c r="H277" t="n">
        <v>0</v>
      </c>
      <c r="I277" t="n">
        <v>0</v>
      </c>
      <c r="J277" t="n">
        <v>0</v>
      </c>
      <c r="K277" t="n">
        <v>0</v>
      </c>
      <c r="L277" t="n">
        <v>0</v>
      </c>
      <c r="M277" t="n">
        <v>0</v>
      </c>
      <c r="N277" t="n">
        <v>0</v>
      </c>
      <c r="O277" t="n">
        <v>0</v>
      </c>
      <c r="P277" t="n">
        <v>0</v>
      </c>
      <c r="Q277" t="n">
        <v>0</v>
      </c>
      <c r="R277" s="2" t="inlineStr"/>
    </row>
    <row r="278" ht="15" customHeight="1">
      <c r="A278" t="inlineStr">
        <is>
          <t>A 55745-2023</t>
        </is>
      </c>
      <c r="B278" s="1" t="n">
        <v>45239.44811342593</v>
      </c>
      <c r="C278" s="1" t="n">
        <v>45908</v>
      </c>
      <c r="D278" t="inlineStr">
        <is>
          <t>ÖREBRO LÄN</t>
        </is>
      </c>
      <c r="E278" t="inlineStr">
        <is>
          <t>ÖREBRO</t>
        </is>
      </c>
      <c r="G278" t="n">
        <v>13.3</v>
      </c>
      <c r="H278" t="n">
        <v>0</v>
      </c>
      <c r="I278" t="n">
        <v>0</v>
      </c>
      <c r="J278" t="n">
        <v>0</v>
      </c>
      <c r="K278" t="n">
        <v>0</v>
      </c>
      <c r="L278" t="n">
        <v>0</v>
      </c>
      <c r="M278" t="n">
        <v>0</v>
      </c>
      <c r="N278" t="n">
        <v>0</v>
      </c>
      <c r="O278" t="n">
        <v>0</v>
      </c>
      <c r="P278" t="n">
        <v>0</v>
      </c>
      <c r="Q278" t="n">
        <v>0</v>
      </c>
      <c r="R278" s="2" t="inlineStr"/>
    </row>
    <row r="279" ht="15" customHeight="1">
      <c r="A279" t="inlineStr">
        <is>
          <t>A 38573-2023</t>
        </is>
      </c>
      <c r="B279" s="1" t="n">
        <v>45162.61837962963</v>
      </c>
      <c r="C279" s="1" t="n">
        <v>45908</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64730-2023</t>
        </is>
      </c>
      <c r="B280" s="1" t="n">
        <v>45281</v>
      </c>
      <c r="C280" s="1" t="n">
        <v>45908</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5342-2024</t>
        </is>
      </c>
      <c r="B281" s="1" t="n">
        <v>45331.44145833333</v>
      </c>
      <c r="C281" s="1" t="n">
        <v>45908</v>
      </c>
      <c r="D281" t="inlineStr">
        <is>
          <t>ÖREBRO LÄN</t>
        </is>
      </c>
      <c r="E281" t="inlineStr">
        <is>
          <t>ÖREBRO</t>
        </is>
      </c>
      <c r="G281" t="n">
        <v>2.5</v>
      </c>
      <c r="H281" t="n">
        <v>0</v>
      </c>
      <c r="I281" t="n">
        <v>0</v>
      </c>
      <c r="J281" t="n">
        <v>0</v>
      </c>
      <c r="K281" t="n">
        <v>0</v>
      </c>
      <c r="L281" t="n">
        <v>0</v>
      </c>
      <c r="M281" t="n">
        <v>0</v>
      </c>
      <c r="N281" t="n">
        <v>0</v>
      </c>
      <c r="O281" t="n">
        <v>0</v>
      </c>
      <c r="P281" t="n">
        <v>0</v>
      </c>
      <c r="Q281" t="n">
        <v>0</v>
      </c>
      <c r="R281" s="2" t="inlineStr"/>
    </row>
    <row r="282" ht="15" customHeight="1">
      <c r="A282" t="inlineStr">
        <is>
          <t>A 6869-2025</t>
        </is>
      </c>
      <c r="B282" s="1" t="n">
        <v>45700</v>
      </c>
      <c r="C282" s="1" t="n">
        <v>45908</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4416-2023</t>
        </is>
      </c>
      <c r="B283" s="1" t="n">
        <v>44956</v>
      </c>
      <c r="C283" s="1" t="n">
        <v>45908</v>
      </c>
      <c r="D283" t="inlineStr">
        <is>
          <t>ÖREBRO LÄN</t>
        </is>
      </c>
      <c r="E283" t="inlineStr">
        <is>
          <t>ÖREBRO</t>
        </is>
      </c>
      <c r="G283" t="n">
        <v>0.7</v>
      </c>
      <c r="H283" t="n">
        <v>0</v>
      </c>
      <c r="I283" t="n">
        <v>0</v>
      </c>
      <c r="J283" t="n">
        <v>0</v>
      </c>
      <c r="K283" t="n">
        <v>0</v>
      </c>
      <c r="L283" t="n">
        <v>0</v>
      </c>
      <c r="M283" t="n">
        <v>0</v>
      </c>
      <c r="N283" t="n">
        <v>0</v>
      </c>
      <c r="O283" t="n">
        <v>0</v>
      </c>
      <c r="P283" t="n">
        <v>0</v>
      </c>
      <c r="Q283" t="n">
        <v>0</v>
      </c>
      <c r="R283" s="2" t="inlineStr"/>
    </row>
    <row r="284" ht="15" customHeight="1">
      <c r="A284" t="inlineStr">
        <is>
          <t>A 71295-2021</t>
        </is>
      </c>
      <c r="B284" s="1" t="n">
        <v>44539.63009259259</v>
      </c>
      <c r="C284" s="1" t="n">
        <v>45908</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11516-2024</t>
        </is>
      </c>
      <c r="B285" s="1" t="n">
        <v>45372</v>
      </c>
      <c r="C285" s="1" t="n">
        <v>45908</v>
      </c>
      <c r="D285" t="inlineStr">
        <is>
          <t>ÖREBRO LÄN</t>
        </is>
      </c>
      <c r="E285" t="inlineStr">
        <is>
          <t>ÖREBRO</t>
        </is>
      </c>
      <c r="G285" t="n">
        <v>10.7</v>
      </c>
      <c r="H285" t="n">
        <v>0</v>
      </c>
      <c r="I285" t="n">
        <v>0</v>
      </c>
      <c r="J285" t="n">
        <v>0</v>
      </c>
      <c r="K285" t="n">
        <v>0</v>
      </c>
      <c r="L285" t="n">
        <v>0</v>
      </c>
      <c r="M285" t="n">
        <v>0</v>
      </c>
      <c r="N285" t="n">
        <v>0</v>
      </c>
      <c r="O285" t="n">
        <v>0</v>
      </c>
      <c r="P285" t="n">
        <v>0</v>
      </c>
      <c r="Q285" t="n">
        <v>0</v>
      </c>
      <c r="R285" s="2" t="inlineStr"/>
    </row>
    <row r="286" ht="15" customHeight="1">
      <c r="A286" t="inlineStr">
        <is>
          <t>A 13856-2022</t>
        </is>
      </c>
      <c r="B286" s="1" t="n">
        <v>44649.6965162037</v>
      </c>
      <c r="C286" s="1" t="n">
        <v>45908</v>
      </c>
      <c r="D286" t="inlineStr">
        <is>
          <t>ÖREBRO LÄN</t>
        </is>
      </c>
      <c r="E286" t="inlineStr">
        <is>
          <t>ÖREBRO</t>
        </is>
      </c>
      <c r="G286" t="n">
        <v>1.8</v>
      </c>
      <c r="H286" t="n">
        <v>0</v>
      </c>
      <c r="I286" t="n">
        <v>0</v>
      </c>
      <c r="J286" t="n">
        <v>0</v>
      </c>
      <c r="K286" t="n">
        <v>0</v>
      </c>
      <c r="L286" t="n">
        <v>0</v>
      </c>
      <c r="M286" t="n">
        <v>0</v>
      </c>
      <c r="N286" t="n">
        <v>0</v>
      </c>
      <c r="O286" t="n">
        <v>0</v>
      </c>
      <c r="P286" t="n">
        <v>0</v>
      </c>
      <c r="Q286" t="n">
        <v>0</v>
      </c>
      <c r="R286" s="2" t="inlineStr"/>
    </row>
    <row r="287" ht="15" customHeight="1">
      <c r="A287" t="inlineStr">
        <is>
          <t>A 16961-2022</t>
        </is>
      </c>
      <c r="B287" s="1" t="n">
        <v>44676</v>
      </c>
      <c r="C287" s="1" t="n">
        <v>45908</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52256-2023</t>
        </is>
      </c>
      <c r="B288" s="1" t="n">
        <v>45224.51471064815</v>
      </c>
      <c r="C288" s="1" t="n">
        <v>45908</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17983-2025</t>
        </is>
      </c>
      <c r="B289" s="1" t="n">
        <v>45761.38829861111</v>
      </c>
      <c r="C289" s="1" t="n">
        <v>45908</v>
      </c>
      <c r="D289" t="inlineStr">
        <is>
          <t>ÖREBRO LÄN</t>
        </is>
      </c>
      <c r="E289" t="inlineStr">
        <is>
          <t>ÖREBRO</t>
        </is>
      </c>
      <c r="G289" t="n">
        <v>0.8</v>
      </c>
      <c r="H289" t="n">
        <v>0</v>
      </c>
      <c r="I289" t="n">
        <v>0</v>
      </c>
      <c r="J289" t="n">
        <v>0</v>
      </c>
      <c r="K289" t="n">
        <v>0</v>
      </c>
      <c r="L289" t="n">
        <v>0</v>
      </c>
      <c r="M289" t="n">
        <v>0</v>
      </c>
      <c r="N289" t="n">
        <v>0</v>
      </c>
      <c r="O289" t="n">
        <v>0</v>
      </c>
      <c r="P289" t="n">
        <v>0</v>
      </c>
      <c r="Q289" t="n">
        <v>0</v>
      </c>
      <c r="R289" s="2" t="inlineStr"/>
    </row>
    <row r="290" ht="15" customHeight="1">
      <c r="A290" t="inlineStr">
        <is>
          <t>A 60289-2023</t>
        </is>
      </c>
      <c r="B290" s="1" t="n">
        <v>45257</v>
      </c>
      <c r="C290" s="1" t="n">
        <v>45908</v>
      </c>
      <c r="D290" t="inlineStr">
        <is>
          <t>ÖREBRO LÄN</t>
        </is>
      </c>
      <c r="E290" t="inlineStr">
        <is>
          <t>ÖREBRO</t>
        </is>
      </c>
      <c r="G290" t="n">
        <v>10.9</v>
      </c>
      <c r="H290" t="n">
        <v>0</v>
      </c>
      <c r="I290" t="n">
        <v>0</v>
      </c>
      <c r="J290" t="n">
        <v>0</v>
      </c>
      <c r="K290" t="n">
        <v>0</v>
      </c>
      <c r="L290" t="n">
        <v>0</v>
      </c>
      <c r="M290" t="n">
        <v>0</v>
      </c>
      <c r="N290" t="n">
        <v>0</v>
      </c>
      <c r="O290" t="n">
        <v>0</v>
      </c>
      <c r="P290" t="n">
        <v>0</v>
      </c>
      <c r="Q290" t="n">
        <v>0</v>
      </c>
      <c r="R290" s="2" t="inlineStr"/>
    </row>
    <row r="291" ht="15" customHeight="1">
      <c r="A291" t="inlineStr">
        <is>
          <t>A 12017-2024</t>
        </is>
      </c>
      <c r="B291" s="1" t="n">
        <v>45377</v>
      </c>
      <c r="C291" s="1" t="n">
        <v>45908</v>
      </c>
      <c r="D291" t="inlineStr">
        <is>
          <t>ÖREBRO LÄN</t>
        </is>
      </c>
      <c r="E291" t="inlineStr">
        <is>
          <t>ÖREBRO</t>
        </is>
      </c>
      <c r="G291" t="n">
        <v>1.8</v>
      </c>
      <c r="H291" t="n">
        <v>0</v>
      </c>
      <c r="I291" t="n">
        <v>0</v>
      </c>
      <c r="J291" t="n">
        <v>0</v>
      </c>
      <c r="K291" t="n">
        <v>0</v>
      </c>
      <c r="L291" t="n">
        <v>0</v>
      </c>
      <c r="M291" t="n">
        <v>0</v>
      </c>
      <c r="N291" t="n">
        <v>0</v>
      </c>
      <c r="O291" t="n">
        <v>0</v>
      </c>
      <c r="P291" t="n">
        <v>0</v>
      </c>
      <c r="Q291" t="n">
        <v>0</v>
      </c>
      <c r="R291" s="2" t="inlineStr"/>
    </row>
    <row r="292" ht="15" customHeight="1">
      <c r="A292" t="inlineStr">
        <is>
          <t>A 54678-2023</t>
        </is>
      </c>
      <c r="B292" s="1" t="n">
        <v>45235</v>
      </c>
      <c r="C292" s="1" t="n">
        <v>45908</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23594-2023</t>
        </is>
      </c>
      <c r="B293" s="1" t="n">
        <v>45077</v>
      </c>
      <c r="C293" s="1" t="n">
        <v>45908</v>
      </c>
      <c r="D293" t="inlineStr">
        <is>
          <t>ÖREBRO LÄN</t>
        </is>
      </c>
      <c r="E293" t="inlineStr">
        <is>
          <t>ÖREBRO</t>
        </is>
      </c>
      <c r="G293" t="n">
        <v>9.9</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45908</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190-2024</t>
        </is>
      </c>
      <c r="B295" s="1" t="n">
        <v>45294.61858796296</v>
      </c>
      <c r="C295" s="1" t="n">
        <v>45908</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52444-2024</t>
        </is>
      </c>
      <c r="B296" s="1" t="n">
        <v>45609.48894675926</v>
      </c>
      <c r="C296" s="1" t="n">
        <v>45908</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44511-2023</t>
        </is>
      </c>
      <c r="B297" s="1" t="n">
        <v>45189</v>
      </c>
      <c r="C297" s="1" t="n">
        <v>45908</v>
      </c>
      <c r="D297" t="inlineStr">
        <is>
          <t>ÖREBRO LÄN</t>
        </is>
      </c>
      <c r="E297" t="inlineStr">
        <is>
          <t>ÖREBRO</t>
        </is>
      </c>
      <c r="F297" t="inlineStr">
        <is>
          <t>Allmännings- och besparingsskogar</t>
        </is>
      </c>
      <c r="G297" t="n">
        <v>2.7</v>
      </c>
      <c r="H297" t="n">
        <v>0</v>
      </c>
      <c r="I297" t="n">
        <v>0</v>
      </c>
      <c r="J297" t="n">
        <v>0</v>
      </c>
      <c r="K297" t="n">
        <v>0</v>
      </c>
      <c r="L297" t="n">
        <v>0</v>
      </c>
      <c r="M297" t="n">
        <v>0</v>
      </c>
      <c r="N297" t="n">
        <v>0</v>
      </c>
      <c r="O297" t="n">
        <v>0</v>
      </c>
      <c r="P297" t="n">
        <v>0</v>
      </c>
      <c r="Q297" t="n">
        <v>0</v>
      </c>
      <c r="R297" s="2" t="inlineStr"/>
    </row>
    <row r="298" ht="15" customHeight="1">
      <c r="A298" t="inlineStr">
        <is>
          <t>A 41995-2024</t>
        </is>
      </c>
      <c r="B298" s="1" t="n">
        <v>45561.6475462963</v>
      </c>
      <c r="C298" s="1" t="n">
        <v>45908</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25996-2024</t>
        </is>
      </c>
      <c r="B299" s="1" t="n">
        <v>45467.89081018518</v>
      </c>
      <c r="C299" s="1" t="n">
        <v>45908</v>
      </c>
      <c r="D299" t="inlineStr">
        <is>
          <t>ÖREBRO LÄN</t>
        </is>
      </c>
      <c r="E299" t="inlineStr">
        <is>
          <t>ÖREBRO</t>
        </is>
      </c>
      <c r="G299" t="n">
        <v>4.7</v>
      </c>
      <c r="H299" t="n">
        <v>0</v>
      </c>
      <c r="I299" t="n">
        <v>0</v>
      </c>
      <c r="J299" t="n">
        <v>0</v>
      </c>
      <c r="K299" t="n">
        <v>0</v>
      </c>
      <c r="L299" t="n">
        <v>0</v>
      </c>
      <c r="M299" t="n">
        <v>0</v>
      </c>
      <c r="N299" t="n">
        <v>0</v>
      </c>
      <c r="O299" t="n">
        <v>0</v>
      </c>
      <c r="P299" t="n">
        <v>0</v>
      </c>
      <c r="Q299" t="n">
        <v>0</v>
      </c>
      <c r="R299" s="2" t="inlineStr"/>
    </row>
    <row r="300" ht="15" customHeight="1">
      <c r="A300" t="inlineStr">
        <is>
          <t>A 13418-2024</t>
        </is>
      </c>
      <c r="B300" s="1" t="n">
        <v>45387.46482638889</v>
      </c>
      <c r="C300" s="1" t="n">
        <v>45908</v>
      </c>
      <c r="D300" t="inlineStr">
        <is>
          <t>ÖREBRO LÄN</t>
        </is>
      </c>
      <c r="E300" t="inlineStr">
        <is>
          <t>ÖREBRO</t>
        </is>
      </c>
      <c r="G300" t="n">
        <v>4.2</v>
      </c>
      <c r="H300" t="n">
        <v>0</v>
      </c>
      <c r="I300" t="n">
        <v>0</v>
      </c>
      <c r="J300" t="n">
        <v>0</v>
      </c>
      <c r="K300" t="n">
        <v>0</v>
      </c>
      <c r="L300" t="n">
        <v>0</v>
      </c>
      <c r="M300" t="n">
        <v>0</v>
      </c>
      <c r="N300" t="n">
        <v>0</v>
      </c>
      <c r="O300" t="n">
        <v>0</v>
      </c>
      <c r="P300" t="n">
        <v>0</v>
      </c>
      <c r="Q300" t="n">
        <v>0</v>
      </c>
      <c r="R300" s="2" t="inlineStr"/>
    </row>
    <row r="301" ht="15" customHeight="1">
      <c r="A301" t="inlineStr">
        <is>
          <t>A 8571-2021</t>
        </is>
      </c>
      <c r="B301" s="1" t="n">
        <v>44245</v>
      </c>
      <c r="C301" s="1" t="n">
        <v>45908</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25519-2025</t>
        </is>
      </c>
      <c r="B302" s="1" t="n">
        <v>45803.38447916666</v>
      </c>
      <c r="C302" s="1" t="n">
        <v>45908</v>
      </c>
      <c r="D302" t="inlineStr">
        <is>
          <t>ÖREBRO LÄN</t>
        </is>
      </c>
      <c r="E302" t="inlineStr">
        <is>
          <t>ÖREBRO</t>
        </is>
      </c>
      <c r="G302" t="n">
        <v>7.4</v>
      </c>
      <c r="H302" t="n">
        <v>0</v>
      </c>
      <c r="I302" t="n">
        <v>0</v>
      </c>
      <c r="J302" t="n">
        <v>0</v>
      </c>
      <c r="K302" t="n">
        <v>0</v>
      </c>
      <c r="L302" t="n">
        <v>0</v>
      </c>
      <c r="M302" t="n">
        <v>0</v>
      </c>
      <c r="N302" t="n">
        <v>0</v>
      </c>
      <c r="O302" t="n">
        <v>0</v>
      </c>
      <c r="P302" t="n">
        <v>0</v>
      </c>
      <c r="Q302" t="n">
        <v>0</v>
      </c>
      <c r="R302" s="2" t="inlineStr"/>
    </row>
    <row r="303" ht="15" customHeight="1">
      <c r="A303" t="inlineStr">
        <is>
          <t>A 7611-2024</t>
        </is>
      </c>
      <c r="B303" s="1" t="n">
        <v>45348.58864583333</v>
      </c>
      <c r="C303" s="1" t="n">
        <v>45908</v>
      </c>
      <c r="D303" t="inlineStr">
        <is>
          <t>ÖREBRO LÄN</t>
        </is>
      </c>
      <c r="E303" t="inlineStr">
        <is>
          <t>ÖREBRO</t>
        </is>
      </c>
      <c r="G303" t="n">
        <v>4.2</v>
      </c>
      <c r="H303" t="n">
        <v>0</v>
      </c>
      <c r="I303" t="n">
        <v>0</v>
      </c>
      <c r="J303" t="n">
        <v>0</v>
      </c>
      <c r="K303" t="n">
        <v>0</v>
      </c>
      <c r="L303" t="n">
        <v>0</v>
      </c>
      <c r="M303" t="n">
        <v>0</v>
      </c>
      <c r="N303" t="n">
        <v>0</v>
      </c>
      <c r="O303" t="n">
        <v>0</v>
      </c>
      <c r="P303" t="n">
        <v>0</v>
      </c>
      <c r="Q303" t="n">
        <v>0</v>
      </c>
      <c r="R303" s="2" t="inlineStr"/>
    </row>
    <row r="304" ht="15" customHeight="1">
      <c r="A304" t="inlineStr">
        <is>
          <t>A 52447-2024</t>
        </is>
      </c>
      <c r="B304" s="1" t="n">
        <v>45609.49157407408</v>
      </c>
      <c r="C304" s="1" t="n">
        <v>45908</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43803-2023</t>
        </is>
      </c>
      <c r="B305" s="1" t="n">
        <v>45187</v>
      </c>
      <c r="C305" s="1" t="n">
        <v>45908</v>
      </c>
      <c r="D305" t="inlineStr">
        <is>
          <t>ÖREBRO LÄN</t>
        </is>
      </c>
      <c r="E305" t="inlineStr">
        <is>
          <t>ÖREBRO</t>
        </is>
      </c>
      <c r="G305" t="n">
        <v>1.2</v>
      </c>
      <c r="H305" t="n">
        <v>0</v>
      </c>
      <c r="I305" t="n">
        <v>0</v>
      </c>
      <c r="J305" t="n">
        <v>0</v>
      </c>
      <c r="K305" t="n">
        <v>0</v>
      </c>
      <c r="L305" t="n">
        <v>0</v>
      </c>
      <c r="M305" t="n">
        <v>0</v>
      </c>
      <c r="N305" t="n">
        <v>0</v>
      </c>
      <c r="O305" t="n">
        <v>0</v>
      </c>
      <c r="P305" t="n">
        <v>0</v>
      </c>
      <c r="Q305" t="n">
        <v>0</v>
      </c>
      <c r="R305" s="2" t="inlineStr"/>
    </row>
    <row r="306" ht="15" customHeight="1">
      <c r="A306" t="inlineStr">
        <is>
          <t>A 15789-2023</t>
        </is>
      </c>
      <c r="B306" s="1" t="n">
        <v>45021.71539351852</v>
      </c>
      <c r="C306" s="1" t="n">
        <v>45908</v>
      </c>
      <c r="D306" t="inlineStr">
        <is>
          <t>ÖREBRO LÄN</t>
        </is>
      </c>
      <c r="E306" t="inlineStr">
        <is>
          <t>ÖREBRO</t>
        </is>
      </c>
      <c r="F306" t="inlineStr">
        <is>
          <t>Övriga Aktiebolag</t>
        </is>
      </c>
      <c r="G306" t="n">
        <v>3.7</v>
      </c>
      <c r="H306" t="n">
        <v>0</v>
      </c>
      <c r="I306" t="n">
        <v>0</v>
      </c>
      <c r="J306" t="n">
        <v>0</v>
      </c>
      <c r="K306" t="n">
        <v>0</v>
      </c>
      <c r="L306" t="n">
        <v>0</v>
      </c>
      <c r="M306" t="n">
        <v>0</v>
      </c>
      <c r="N306" t="n">
        <v>0</v>
      </c>
      <c r="O306" t="n">
        <v>0</v>
      </c>
      <c r="P306" t="n">
        <v>0</v>
      </c>
      <c r="Q306" t="n">
        <v>0</v>
      </c>
      <c r="R306" s="2" t="inlineStr"/>
    </row>
    <row r="307" ht="15" customHeight="1">
      <c r="A307" t="inlineStr">
        <is>
          <t>A 55943-2024</t>
        </is>
      </c>
      <c r="B307" s="1" t="n">
        <v>45623.61278935185</v>
      </c>
      <c r="C307" s="1" t="n">
        <v>45908</v>
      </c>
      <c r="D307" t="inlineStr">
        <is>
          <t>ÖREBRO LÄN</t>
        </is>
      </c>
      <c r="E307" t="inlineStr">
        <is>
          <t>ÖREBRO</t>
        </is>
      </c>
      <c r="G307" t="n">
        <v>4.8</v>
      </c>
      <c r="H307" t="n">
        <v>0</v>
      </c>
      <c r="I307" t="n">
        <v>0</v>
      </c>
      <c r="J307" t="n">
        <v>0</v>
      </c>
      <c r="K307" t="n">
        <v>0</v>
      </c>
      <c r="L307" t="n">
        <v>0</v>
      </c>
      <c r="M307" t="n">
        <v>0</v>
      </c>
      <c r="N307" t="n">
        <v>0</v>
      </c>
      <c r="O307" t="n">
        <v>0</v>
      </c>
      <c r="P307" t="n">
        <v>0</v>
      </c>
      <c r="Q307" t="n">
        <v>0</v>
      </c>
      <c r="R307" s="2" t="inlineStr"/>
    </row>
    <row r="308" ht="15" customHeight="1">
      <c r="A308" t="inlineStr">
        <is>
          <t>A 52612-2024</t>
        </is>
      </c>
      <c r="B308" s="1" t="n">
        <v>45609</v>
      </c>
      <c r="C308" s="1" t="n">
        <v>45908</v>
      </c>
      <c r="D308" t="inlineStr">
        <is>
          <t>ÖREBRO LÄN</t>
        </is>
      </c>
      <c r="E308" t="inlineStr">
        <is>
          <t>ÖREBRO</t>
        </is>
      </c>
      <c r="F308" t="inlineStr">
        <is>
          <t>Kommuner</t>
        </is>
      </c>
      <c r="G308" t="n">
        <v>5.5</v>
      </c>
      <c r="H308" t="n">
        <v>0</v>
      </c>
      <c r="I308" t="n">
        <v>0</v>
      </c>
      <c r="J308" t="n">
        <v>0</v>
      </c>
      <c r="K308" t="n">
        <v>0</v>
      </c>
      <c r="L308" t="n">
        <v>0</v>
      </c>
      <c r="M308" t="n">
        <v>0</v>
      </c>
      <c r="N308" t="n">
        <v>0</v>
      </c>
      <c r="O308" t="n">
        <v>0</v>
      </c>
      <c r="P308" t="n">
        <v>0</v>
      </c>
      <c r="Q308" t="n">
        <v>0</v>
      </c>
      <c r="R308" s="2" t="inlineStr"/>
    </row>
    <row r="309" ht="15" customHeight="1">
      <c r="A309" t="inlineStr">
        <is>
          <t>A 37786-2024</t>
        </is>
      </c>
      <c r="B309" s="1" t="n">
        <v>45542.82987268519</v>
      </c>
      <c r="C309" s="1" t="n">
        <v>45908</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60028-2024</t>
        </is>
      </c>
      <c r="B310" s="1" t="n">
        <v>45642</v>
      </c>
      <c r="C310" s="1" t="n">
        <v>45908</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55875-2024</t>
        </is>
      </c>
      <c r="B311" s="1" t="n">
        <v>45623.55375</v>
      </c>
      <c r="C311" s="1" t="n">
        <v>45908</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3841-2023</t>
        </is>
      </c>
      <c r="B312" s="1" t="n">
        <v>44951</v>
      </c>
      <c r="C312" s="1" t="n">
        <v>45908</v>
      </c>
      <c r="D312" t="inlineStr">
        <is>
          <t>ÖREBRO LÄN</t>
        </is>
      </c>
      <c r="E312" t="inlineStr">
        <is>
          <t>ÖREBRO</t>
        </is>
      </c>
      <c r="G312" t="n">
        <v>4.3</v>
      </c>
      <c r="H312" t="n">
        <v>0</v>
      </c>
      <c r="I312" t="n">
        <v>0</v>
      </c>
      <c r="J312" t="n">
        <v>0</v>
      </c>
      <c r="K312" t="n">
        <v>0</v>
      </c>
      <c r="L312" t="n">
        <v>0</v>
      </c>
      <c r="M312" t="n">
        <v>0</v>
      </c>
      <c r="N312" t="n">
        <v>0</v>
      </c>
      <c r="O312" t="n">
        <v>0</v>
      </c>
      <c r="P312" t="n">
        <v>0</v>
      </c>
      <c r="Q312" t="n">
        <v>0</v>
      </c>
      <c r="R312" s="2" t="inlineStr"/>
    </row>
    <row r="313" ht="15" customHeight="1">
      <c r="A313" t="inlineStr">
        <is>
          <t>A 6794-2025</t>
        </is>
      </c>
      <c r="B313" s="1" t="n">
        <v>45700.66429398148</v>
      </c>
      <c r="C313" s="1" t="n">
        <v>45908</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49215-2023</t>
        </is>
      </c>
      <c r="B314" s="1" t="n">
        <v>45210.61050925926</v>
      </c>
      <c r="C314" s="1" t="n">
        <v>45908</v>
      </c>
      <c r="D314" t="inlineStr">
        <is>
          <t>ÖREBRO LÄN</t>
        </is>
      </c>
      <c r="E314" t="inlineStr">
        <is>
          <t>ÖREBRO</t>
        </is>
      </c>
      <c r="F314" t="inlineStr">
        <is>
          <t>Övriga Aktiebolag</t>
        </is>
      </c>
      <c r="G314" t="n">
        <v>4.2</v>
      </c>
      <c r="H314" t="n">
        <v>0</v>
      </c>
      <c r="I314" t="n">
        <v>0</v>
      </c>
      <c r="J314" t="n">
        <v>0</v>
      </c>
      <c r="K314" t="n">
        <v>0</v>
      </c>
      <c r="L314" t="n">
        <v>0</v>
      </c>
      <c r="M314" t="n">
        <v>0</v>
      </c>
      <c r="N314" t="n">
        <v>0</v>
      </c>
      <c r="O314" t="n">
        <v>0</v>
      </c>
      <c r="P314" t="n">
        <v>0</v>
      </c>
      <c r="Q314" t="n">
        <v>0</v>
      </c>
      <c r="R314" s="2" t="inlineStr"/>
    </row>
    <row r="315" ht="15" customHeight="1">
      <c r="A315" t="inlineStr">
        <is>
          <t>A 2596-2022</t>
        </is>
      </c>
      <c r="B315" s="1" t="n">
        <v>44580</v>
      </c>
      <c r="C315" s="1" t="n">
        <v>45908</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43399-2022</t>
        </is>
      </c>
      <c r="B316" s="1" t="n">
        <v>44834</v>
      </c>
      <c r="C316" s="1" t="n">
        <v>45908</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13857-2022</t>
        </is>
      </c>
      <c r="B317" s="1" t="n">
        <v>44649</v>
      </c>
      <c r="C317" s="1" t="n">
        <v>45908</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55692-2023</t>
        </is>
      </c>
      <c r="B318" s="1" t="n">
        <v>45239</v>
      </c>
      <c r="C318" s="1" t="n">
        <v>45908</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19553-2023</t>
        </is>
      </c>
      <c r="B319" s="1" t="n">
        <v>45050</v>
      </c>
      <c r="C319" s="1" t="n">
        <v>45908</v>
      </c>
      <c r="D319" t="inlineStr">
        <is>
          <t>ÖREBRO LÄN</t>
        </is>
      </c>
      <c r="E319" t="inlineStr">
        <is>
          <t>ÖREBRO</t>
        </is>
      </c>
      <c r="G319" t="n">
        <v>2.1</v>
      </c>
      <c r="H319" t="n">
        <v>0</v>
      </c>
      <c r="I319" t="n">
        <v>0</v>
      </c>
      <c r="J319" t="n">
        <v>0</v>
      </c>
      <c r="K319" t="n">
        <v>0</v>
      </c>
      <c r="L319" t="n">
        <v>0</v>
      </c>
      <c r="M319" t="n">
        <v>0</v>
      </c>
      <c r="N319" t="n">
        <v>0</v>
      </c>
      <c r="O319" t="n">
        <v>0</v>
      </c>
      <c r="P319" t="n">
        <v>0</v>
      </c>
      <c r="Q319" t="n">
        <v>0</v>
      </c>
      <c r="R319" s="2" t="inlineStr"/>
    </row>
    <row r="320" ht="15" customHeight="1">
      <c r="A320" t="inlineStr">
        <is>
          <t>A 48644-2024</t>
        </is>
      </c>
      <c r="B320" s="1" t="n">
        <v>45593.47466435185</v>
      </c>
      <c r="C320" s="1" t="n">
        <v>45908</v>
      </c>
      <c r="D320" t="inlineStr">
        <is>
          <t>ÖREBRO LÄN</t>
        </is>
      </c>
      <c r="E320" t="inlineStr">
        <is>
          <t>ÖREBRO</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14291-2023</t>
        </is>
      </c>
      <c r="B321" s="1" t="n">
        <v>45010</v>
      </c>
      <c r="C321" s="1" t="n">
        <v>45908</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58527-2024</t>
        </is>
      </c>
      <c r="B322" s="1" t="n">
        <v>45635.44388888889</v>
      </c>
      <c r="C322" s="1" t="n">
        <v>45908</v>
      </c>
      <c r="D322" t="inlineStr">
        <is>
          <t>ÖREBRO LÄN</t>
        </is>
      </c>
      <c r="E322" t="inlineStr">
        <is>
          <t>ÖREBRO</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55593-2022</t>
        </is>
      </c>
      <c r="B323" s="1" t="n">
        <v>44888</v>
      </c>
      <c r="C323" s="1" t="n">
        <v>45908</v>
      </c>
      <c r="D323" t="inlineStr">
        <is>
          <t>ÖREBRO LÄN</t>
        </is>
      </c>
      <c r="E323" t="inlineStr">
        <is>
          <t>ÖREBRO</t>
        </is>
      </c>
      <c r="G323" t="n">
        <v>3.6</v>
      </c>
      <c r="H323" t="n">
        <v>0</v>
      </c>
      <c r="I323" t="n">
        <v>0</v>
      </c>
      <c r="J323" t="n">
        <v>0</v>
      </c>
      <c r="K323" t="n">
        <v>0</v>
      </c>
      <c r="L323" t="n">
        <v>0</v>
      </c>
      <c r="M323" t="n">
        <v>0</v>
      </c>
      <c r="N323" t="n">
        <v>0</v>
      </c>
      <c r="O323" t="n">
        <v>0</v>
      </c>
      <c r="P323" t="n">
        <v>0</v>
      </c>
      <c r="Q323" t="n">
        <v>0</v>
      </c>
      <c r="R323" s="2" t="inlineStr"/>
    </row>
    <row r="324" ht="15" customHeight="1">
      <c r="A324" t="inlineStr">
        <is>
          <t>A 15866-2022</t>
        </is>
      </c>
      <c r="B324" s="1" t="n">
        <v>44664</v>
      </c>
      <c r="C324" s="1" t="n">
        <v>45908</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27180-2025</t>
        </is>
      </c>
      <c r="B325" s="1" t="n">
        <v>45812.35736111111</v>
      </c>
      <c r="C325" s="1" t="n">
        <v>45908</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27215-2025</t>
        </is>
      </c>
      <c r="B326" s="1" t="n">
        <v>45812.41869212963</v>
      </c>
      <c r="C326" s="1" t="n">
        <v>45908</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27225-2025</t>
        </is>
      </c>
      <c r="B327" s="1" t="n">
        <v>45812.42856481481</v>
      </c>
      <c r="C327" s="1" t="n">
        <v>45908</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28054-2022</t>
        </is>
      </c>
      <c r="B328" s="1" t="n">
        <v>44746.41938657407</v>
      </c>
      <c r="C328" s="1" t="n">
        <v>45908</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63142-2023</t>
        </is>
      </c>
      <c r="B329" s="1" t="n">
        <v>45273</v>
      </c>
      <c r="C329" s="1" t="n">
        <v>45908</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23741-2022</t>
        </is>
      </c>
      <c r="B330" s="1" t="n">
        <v>44722</v>
      </c>
      <c r="C330" s="1" t="n">
        <v>45908</v>
      </c>
      <c r="D330" t="inlineStr">
        <is>
          <t>ÖREBRO LÄN</t>
        </is>
      </c>
      <c r="E330" t="inlineStr">
        <is>
          <t>ÖREBRO</t>
        </is>
      </c>
      <c r="G330" t="n">
        <v>1.3</v>
      </c>
      <c r="H330" t="n">
        <v>0</v>
      </c>
      <c r="I330" t="n">
        <v>0</v>
      </c>
      <c r="J330" t="n">
        <v>0</v>
      </c>
      <c r="K330" t="n">
        <v>0</v>
      </c>
      <c r="L330" t="n">
        <v>0</v>
      </c>
      <c r="M330" t="n">
        <v>0</v>
      </c>
      <c r="N330" t="n">
        <v>0</v>
      </c>
      <c r="O330" t="n">
        <v>0</v>
      </c>
      <c r="P330" t="n">
        <v>0</v>
      </c>
      <c r="Q330" t="n">
        <v>0</v>
      </c>
      <c r="R330" s="2" t="inlineStr"/>
    </row>
    <row r="331" ht="15" customHeight="1">
      <c r="A331" t="inlineStr">
        <is>
          <t>A 27220-2025</t>
        </is>
      </c>
      <c r="B331" s="1" t="n">
        <v>45812.42293981482</v>
      </c>
      <c r="C331" s="1" t="n">
        <v>45908</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59121-2024</t>
        </is>
      </c>
      <c r="B332" s="1" t="n">
        <v>45637.37755787037</v>
      </c>
      <c r="C332" s="1" t="n">
        <v>45908</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9704-2023</t>
        </is>
      </c>
      <c r="B333" s="1" t="n">
        <v>44984</v>
      </c>
      <c r="C333" s="1" t="n">
        <v>45908</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541-2025</t>
        </is>
      </c>
      <c r="B334" s="1" t="n">
        <v>45664.52034722222</v>
      </c>
      <c r="C334" s="1" t="n">
        <v>45908</v>
      </c>
      <c r="D334" t="inlineStr">
        <is>
          <t>ÖREBRO LÄN</t>
        </is>
      </c>
      <c r="E334" t="inlineStr">
        <is>
          <t>ÖREBRO</t>
        </is>
      </c>
      <c r="G334" t="n">
        <v>2.2</v>
      </c>
      <c r="H334" t="n">
        <v>0</v>
      </c>
      <c r="I334" t="n">
        <v>0</v>
      </c>
      <c r="J334" t="n">
        <v>0</v>
      </c>
      <c r="K334" t="n">
        <v>0</v>
      </c>
      <c r="L334" t="n">
        <v>0</v>
      </c>
      <c r="M334" t="n">
        <v>0</v>
      </c>
      <c r="N334" t="n">
        <v>0</v>
      </c>
      <c r="O334" t="n">
        <v>0</v>
      </c>
      <c r="P334" t="n">
        <v>0</v>
      </c>
      <c r="Q334" t="n">
        <v>0</v>
      </c>
      <c r="R334" s="2" t="inlineStr"/>
    </row>
    <row r="335" ht="15" customHeight="1">
      <c r="A335" t="inlineStr">
        <is>
          <t>A 53143-2023</t>
        </is>
      </c>
      <c r="B335" s="1" t="n">
        <v>45229</v>
      </c>
      <c r="C335" s="1" t="n">
        <v>45908</v>
      </c>
      <c r="D335" t="inlineStr">
        <is>
          <t>ÖREBRO LÄN</t>
        </is>
      </c>
      <c r="E335" t="inlineStr">
        <is>
          <t>ÖREBRO</t>
        </is>
      </c>
      <c r="G335" t="n">
        <v>3.3</v>
      </c>
      <c r="H335" t="n">
        <v>0</v>
      </c>
      <c r="I335" t="n">
        <v>0</v>
      </c>
      <c r="J335" t="n">
        <v>0</v>
      </c>
      <c r="K335" t="n">
        <v>0</v>
      </c>
      <c r="L335" t="n">
        <v>0</v>
      </c>
      <c r="M335" t="n">
        <v>0</v>
      </c>
      <c r="N335" t="n">
        <v>0</v>
      </c>
      <c r="O335" t="n">
        <v>0</v>
      </c>
      <c r="P335" t="n">
        <v>0</v>
      </c>
      <c r="Q335" t="n">
        <v>0</v>
      </c>
      <c r="R335" s="2" t="inlineStr"/>
    </row>
    <row r="336" ht="15" customHeight="1">
      <c r="A336" t="inlineStr">
        <is>
          <t>A 25407-2021</t>
        </is>
      </c>
      <c r="B336" s="1" t="n">
        <v>44342</v>
      </c>
      <c r="C336" s="1" t="n">
        <v>45908</v>
      </c>
      <c r="D336" t="inlineStr">
        <is>
          <t>ÖREBRO LÄN</t>
        </is>
      </c>
      <c r="E336" t="inlineStr">
        <is>
          <t>ÖREBRO</t>
        </is>
      </c>
      <c r="F336" t="inlineStr">
        <is>
          <t>Kommuner</t>
        </is>
      </c>
      <c r="G336" t="n">
        <v>7.2</v>
      </c>
      <c r="H336" t="n">
        <v>0</v>
      </c>
      <c r="I336" t="n">
        <v>0</v>
      </c>
      <c r="J336" t="n">
        <v>0</v>
      </c>
      <c r="K336" t="n">
        <v>0</v>
      </c>
      <c r="L336" t="n">
        <v>0</v>
      </c>
      <c r="M336" t="n">
        <v>0</v>
      </c>
      <c r="N336" t="n">
        <v>0</v>
      </c>
      <c r="O336" t="n">
        <v>0</v>
      </c>
      <c r="P336" t="n">
        <v>0</v>
      </c>
      <c r="Q336" t="n">
        <v>0</v>
      </c>
      <c r="R336" s="2" t="inlineStr"/>
    </row>
    <row r="337" ht="15" customHeight="1">
      <c r="A337" t="inlineStr">
        <is>
          <t>A 12099-2023</t>
        </is>
      </c>
      <c r="B337" s="1" t="n">
        <v>44998.37043981482</v>
      </c>
      <c r="C337" s="1" t="n">
        <v>45908</v>
      </c>
      <c r="D337" t="inlineStr">
        <is>
          <t>ÖREBRO LÄN</t>
        </is>
      </c>
      <c r="E337" t="inlineStr">
        <is>
          <t>ÖREBRO</t>
        </is>
      </c>
      <c r="G337" t="n">
        <v>0.9</v>
      </c>
      <c r="H337" t="n">
        <v>0</v>
      </c>
      <c r="I337" t="n">
        <v>0</v>
      </c>
      <c r="J337" t="n">
        <v>0</v>
      </c>
      <c r="K337" t="n">
        <v>0</v>
      </c>
      <c r="L337" t="n">
        <v>0</v>
      </c>
      <c r="M337" t="n">
        <v>0</v>
      </c>
      <c r="N337" t="n">
        <v>0</v>
      </c>
      <c r="O337" t="n">
        <v>0</v>
      </c>
      <c r="P337" t="n">
        <v>0</v>
      </c>
      <c r="Q337" t="n">
        <v>0</v>
      </c>
      <c r="R337" s="2" t="inlineStr"/>
    </row>
    <row r="338" ht="15" customHeight="1">
      <c r="A338" t="inlineStr">
        <is>
          <t>A 28120-2025</t>
        </is>
      </c>
      <c r="B338" s="1" t="n">
        <v>45818.30459490741</v>
      </c>
      <c r="C338" s="1" t="n">
        <v>45908</v>
      </c>
      <c r="D338" t="inlineStr">
        <is>
          <t>ÖREBRO LÄN</t>
        </is>
      </c>
      <c r="E338" t="inlineStr">
        <is>
          <t>ÖREBRO</t>
        </is>
      </c>
      <c r="G338" t="n">
        <v>1.5</v>
      </c>
      <c r="H338" t="n">
        <v>0</v>
      </c>
      <c r="I338" t="n">
        <v>0</v>
      </c>
      <c r="J338" t="n">
        <v>0</v>
      </c>
      <c r="K338" t="n">
        <v>0</v>
      </c>
      <c r="L338" t="n">
        <v>0</v>
      </c>
      <c r="M338" t="n">
        <v>0</v>
      </c>
      <c r="N338" t="n">
        <v>0</v>
      </c>
      <c r="O338" t="n">
        <v>0</v>
      </c>
      <c r="P338" t="n">
        <v>0</v>
      </c>
      <c r="Q338" t="n">
        <v>0</v>
      </c>
      <c r="R338" s="2" t="inlineStr"/>
    </row>
    <row r="339" ht="15" customHeight="1">
      <c r="A339" t="inlineStr">
        <is>
          <t>A 17869-2024</t>
        </is>
      </c>
      <c r="B339" s="1" t="n">
        <v>45419</v>
      </c>
      <c r="C339" s="1" t="n">
        <v>45908</v>
      </c>
      <c r="D339" t="inlineStr">
        <is>
          <t>ÖREBRO LÄN</t>
        </is>
      </c>
      <c r="E339" t="inlineStr">
        <is>
          <t>ÖREBRO</t>
        </is>
      </c>
      <c r="G339" t="n">
        <v>3.7</v>
      </c>
      <c r="H339" t="n">
        <v>0</v>
      </c>
      <c r="I339" t="n">
        <v>0</v>
      </c>
      <c r="J339" t="n">
        <v>0</v>
      </c>
      <c r="K339" t="n">
        <v>0</v>
      </c>
      <c r="L339" t="n">
        <v>0</v>
      </c>
      <c r="M339" t="n">
        <v>0</v>
      </c>
      <c r="N339" t="n">
        <v>0</v>
      </c>
      <c r="O339" t="n">
        <v>0</v>
      </c>
      <c r="P339" t="n">
        <v>0</v>
      </c>
      <c r="Q339" t="n">
        <v>0</v>
      </c>
      <c r="R339" s="2" t="inlineStr"/>
    </row>
    <row r="340" ht="15" customHeight="1">
      <c r="A340" t="inlineStr">
        <is>
          <t>A 5026-2022</t>
        </is>
      </c>
      <c r="B340" s="1" t="n">
        <v>44593.63974537037</v>
      </c>
      <c r="C340" s="1" t="n">
        <v>45908</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10832-2023</t>
        </is>
      </c>
      <c r="B341" s="1" t="n">
        <v>44990.91711805556</v>
      </c>
      <c r="C341" s="1" t="n">
        <v>45908</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55453-2024</t>
        </is>
      </c>
      <c r="B342" s="1" t="n">
        <v>45622.42097222222</v>
      </c>
      <c r="C342" s="1" t="n">
        <v>45908</v>
      </c>
      <c r="D342" t="inlineStr">
        <is>
          <t>ÖREBRO LÄN</t>
        </is>
      </c>
      <c r="E342" t="inlineStr">
        <is>
          <t>ÖREBRO</t>
        </is>
      </c>
      <c r="G342" t="n">
        <v>8.5</v>
      </c>
      <c r="H342" t="n">
        <v>0</v>
      </c>
      <c r="I342" t="n">
        <v>0</v>
      </c>
      <c r="J342" t="n">
        <v>0</v>
      </c>
      <c r="K342" t="n">
        <v>0</v>
      </c>
      <c r="L342" t="n">
        <v>0</v>
      </c>
      <c r="M342" t="n">
        <v>0</v>
      </c>
      <c r="N342" t="n">
        <v>0</v>
      </c>
      <c r="O342" t="n">
        <v>0</v>
      </c>
      <c r="P342" t="n">
        <v>0</v>
      </c>
      <c r="Q342" t="n">
        <v>0</v>
      </c>
      <c r="R342" s="2" t="inlineStr"/>
    </row>
    <row r="343" ht="15" customHeight="1">
      <c r="A343" t="inlineStr">
        <is>
          <t>A 45027-2024</t>
        </is>
      </c>
      <c r="B343" s="1" t="n">
        <v>45575</v>
      </c>
      <c r="C343" s="1" t="n">
        <v>45908</v>
      </c>
      <c r="D343" t="inlineStr">
        <is>
          <t>ÖREBRO LÄN</t>
        </is>
      </c>
      <c r="E343" t="inlineStr">
        <is>
          <t>ÖREBRO</t>
        </is>
      </c>
      <c r="G343" t="n">
        <v>6.3</v>
      </c>
      <c r="H343" t="n">
        <v>0</v>
      </c>
      <c r="I343" t="n">
        <v>0</v>
      </c>
      <c r="J343" t="n">
        <v>0</v>
      </c>
      <c r="K343" t="n">
        <v>0</v>
      </c>
      <c r="L343" t="n">
        <v>0</v>
      </c>
      <c r="M343" t="n">
        <v>0</v>
      </c>
      <c r="N343" t="n">
        <v>0</v>
      </c>
      <c r="O343" t="n">
        <v>0</v>
      </c>
      <c r="P343" t="n">
        <v>0</v>
      </c>
      <c r="Q343" t="n">
        <v>0</v>
      </c>
      <c r="R343" s="2" t="inlineStr"/>
    </row>
    <row r="344" ht="15" customHeight="1">
      <c r="A344" t="inlineStr">
        <is>
          <t>A 28938-2025</t>
        </is>
      </c>
      <c r="B344" s="1" t="n">
        <v>45820.70626157407</v>
      </c>
      <c r="C344" s="1" t="n">
        <v>45908</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16140-2023</t>
        </is>
      </c>
      <c r="B345" s="1" t="n">
        <v>45027.6433912037</v>
      </c>
      <c r="C345" s="1" t="n">
        <v>45908</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28920-2025</t>
        </is>
      </c>
      <c r="B346" s="1" t="n">
        <v>45820.66532407407</v>
      </c>
      <c r="C346" s="1" t="n">
        <v>45908</v>
      </c>
      <c r="D346" t="inlineStr">
        <is>
          <t>ÖREBRO LÄN</t>
        </is>
      </c>
      <c r="E346" t="inlineStr">
        <is>
          <t>ÖREBRO</t>
        </is>
      </c>
      <c r="G346" t="n">
        <v>3</v>
      </c>
      <c r="H346" t="n">
        <v>0</v>
      </c>
      <c r="I346" t="n">
        <v>0</v>
      </c>
      <c r="J346" t="n">
        <v>0</v>
      </c>
      <c r="K346" t="n">
        <v>0</v>
      </c>
      <c r="L346" t="n">
        <v>0</v>
      </c>
      <c r="M346" t="n">
        <v>0</v>
      </c>
      <c r="N346" t="n">
        <v>0</v>
      </c>
      <c r="O346" t="n">
        <v>0</v>
      </c>
      <c r="P346" t="n">
        <v>0</v>
      </c>
      <c r="Q346" t="n">
        <v>0</v>
      </c>
      <c r="R346" s="2" t="inlineStr"/>
    </row>
    <row r="347" ht="15" customHeight="1">
      <c r="A347" t="inlineStr">
        <is>
          <t>A 29339-2025</t>
        </is>
      </c>
      <c r="B347" s="1" t="n">
        <v>45824.5044212963</v>
      </c>
      <c r="C347" s="1" t="n">
        <v>45908</v>
      </c>
      <c r="D347" t="inlineStr">
        <is>
          <t>ÖREBRO LÄN</t>
        </is>
      </c>
      <c r="E347" t="inlineStr">
        <is>
          <t>ÖREBRO</t>
        </is>
      </c>
      <c r="G347" t="n">
        <v>4.3</v>
      </c>
      <c r="H347" t="n">
        <v>0</v>
      </c>
      <c r="I347" t="n">
        <v>0</v>
      </c>
      <c r="J347" t="n">
        <v>0</v>
      </c>
      <c r="K347" t="n">
        <v>0</v>
      </c>
      <c r="L347" t="n">
        <v>0</v>
      </c>
      <c r="M347" t="n">
        <v>0</v>
      </c>
      <c r="N347" t="n">
        <v>0</v>
      </c>
      <c r="O347" t="n">
        <v>0</v>
      </c>
      <c r="P347" t="n">
        <v>0</v>
      </c>
      <c r="Q347" t="n">
        <v>0</v>
      </c>
      <c r="R347" s="2" t="inlineStr"/>
    </row>
    <row r="348" ht="15" customHeight="1">
      <c r="A348" t="inlineStr">
        <is>
          <t>A 60059-2023</t>
        </is>
      </c>
      <c r="B348" s="1" t="n">
        <v>45258.38157407408</v>
      </c>
      <c r="C348" s="1" t="n">
        <v>45908</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26858-2024</t>
        </is>
      </c>
      <c r="B349" s="1" t="n">
        <v>45470</v>
      </c>
      <c r="C349" s="1" t="n">
        <v>45908</v>
      </c>
      <c r="D349" t="inlineStr">
        <is>
          <t>ÖREBRO LÄN</t>
        </is>
      </c>
      <c r="E349" t="inlineStr">
        <is>
          <t>ÖREBRO</t>
        </is>
      </c>
      <c r="G349" t="n">
        <v>2.3</v>
      </c>
      <c r="H349" t="n">
        <v>0</v>
      </c>
      <c r="I349" t="n">
        <v>0</v>
      </c>
      <c r="J349" t="n">
        <v>0</v>
      </c>
      <c r="K349" t="n">
        <v>0</v>
      </c>
      <c r="L349" t="n">
        <v>0</v>
      </c>
      <c r="M349" t="n">
        <v>0</v>
      </c>
      <c r="N349" t="n">
        <v>0</v>
      </c>
      <c r="O349" t="n">
        <v>0</v>
      </c>
      <c r="P349" t="n">
        <v>0</v>
      </c>
      <c r="Q349" t="n">
        <v>0</v>
      </c>
      <c r="R349" s="2" t="inlineStr"/>
    </row>
    <row r="350" ht="15" customHeight="1">
      <c r="A350" t="inlineStr">
        <is>
          <t>A 29554-2025</t>
        </is>
      </c>
      <c r="B350" s="1" t="n">
        <v>45825</v>
      </c>
      <c r="C350" s="1" t="n">
        <v>45908</v>
      </c>
      <c r="D350" t="inlineStr">
        <is>
          <t>ÖREBRO LÄN</t>
        </is>
      </c>
      <c r="E350" t="inlineStr">
        <is>
          <t>ÖREBRO</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29701-2025</t>
        </is>
      </c>
      <c r="B351" s="1" t="n">
        <v>45825.55261574074</v>
      </c>
      <c r="C351" s="1" t="n">
        <v>45908</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48581-2024</t>
        </is>
      </c>
      <c r="B352" s="1" t="n">
        <v>45593.41642361111</v>
      </c>
      <c r="C352" s="1" t="n">
        <v>45908</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40231-2022</t>
        </is>
      </c>
      <c r="B353" s="1" t="n">
        <v>44820</v>
      </c>
      <c r="C353" s="1" t="n">
        <v>45908</v>
      </c>
      <c r="D353" t="inlineStr">
        <is>
          <t>ÖREBRO LÄN</t>
        </is>
      </c>
      <c r="E353" t="inlineStr">
        <is>
          <t>ÖREBRO</t>
        </is>
      </c>
      <c r="F353" t="inlineStr">
        <is>
          <t>Allmännings- och besparingsskogar</t>
        </is>
      </c>
      <c r="G353" t="n">
        <v>2.2</v>
      </c>
      <c r="H353" t="n">
        <v>0</v>
      </c>
      <c r="I353" t="n">
        <v>0</v>
      </c>
      <c r="J353" t="n">
        <v>0</v>
      </c>
      <c r="K353" t="n">
        <v>0</v>
      </c>
      <c r="L353" t="n">
        <v>0</v>
      </c>
      <c r="M353" t="n">
        <v>0</v>
      </c>
      <c r="N353" t="n">
        <v>0</v>
      </c>
      <c r="O353" t="n">
        <v>0</v>
      </c>
      <c r="P353" t="n">
        <v>0</v>
      </c>
      <c r="Q353" t="n">
        <v>0</v>
      </c>
      <c r="R353" s="2" t="inlineStr"/>
    </row>
    <row r="354" ht="15" customHeight="1">
      <c r="A354" t="inlineStr">
        <is>
          <t>A 29286-2025</t>
        </is>
      </c>
      <c r="B354" s="1" t="n">
        <v>45824.43502314815</v>
      </c>
      <c r="C354" s="1" t="n">
        <v>45908</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36447-2025</t>
        </is>
      </c>
      <c r="B355" s="1" t="n">
        <v>45869.41387731482</v>
      </c>
      <c r="C355" s="1" t="n">
        <v>45908</v>
      </c>
      <c r="D355" t="inlineStr">
        <is>
          <t>ÖREBRO LÄN</t>
        </is>
      </c>
      <c r="E355" t="inlineStr">
        <is>
          <t>ÖREBRO</t>
        </is>
      </c>
      <c r="F355" t="inlineStr">
        <is>
          <t>Övriga Aktiebolag</t>
        </is>
      </c>
      <c r="G355" t="n">
        <v>12.6</v>
      </c>
      <c r="H355" t="n">
        <v>0</v>
      </c>
      <c r="I355" t="n">
        <v>0</v>
      </c>
      <c r="J355" t="n">
        <v>0</v>
      </c>
      <c r="K355" t="n">
        <v>0</v>
      </c>
      <c r="L355" t="n">
        <v>0</v>
      </c>
      <c r="M355" t="n">
        <v>0</v>
      </c>
      <c r="N355" t="n">
        <v>0</v>
      </c>
      <c r="O355" t="n">
        <v>0</v>
      </c>
      <c r="P355" t="n">
        <v>0</v>
      </c>
      <c r="Q355" t="n">
        <v>0</v>
      </c>
      <c r="R355" s="2" t="inlineStr"/>
    </row>
    <row r="356" ht="15" customHeight="1">
      <c r="A356" t="inlineStr">
        <is>
          <t>A 36448-2025</t>
        </is>
      </c>
      <c r="B356" s="1" t="n">
        <v>45869.41929398148</v>
      </c>
      <c r="C356" s="1" t="n">
        <v>45908</v>
      </c>
      <c r="D356" t="inlineStr">
        <is>
          <t>ÖREBRO LÄN</t>
        </is>
      </c>
      <c r="E356" t="inlineStr">
        <is>
          <t>ÖREBRO</t>
        </is>
      </c>
      <c r="F356" t="inlineStr">
        <is>
          <t>Övriga Aktiebolag</t>
        </is>
      </c>
      <c r="G356" t="n">
        <v>4.3</v>
      </c>
      <c r="H356" t="n">
        <v>0</v>
      </c>
      <c r="I356" t="n">
        <v>0</v>
      </c>
      <c r="J356" t="n">
        <v>0</v>
      </c>
      <c r="K356" t="n">
        <v>0</v>
      </c>
      <c r="L356" t="n">
        <v>0</v>
      </c>
      <c r="M356" t="n">
        <v>0</v>
      </c>
      <c r="N356" t="n">
        <v>0</v>
      </c>
      <c r="O356" t="n">
        <v>0</v>
      </c>
      <c r="P356" t="n">
        <v>0</v>
      </c>
      <c r="Q356" t="n">
        <v>0</v>
      </c>
      <c r="R356" s="2" t="inlineStr"/>
    </row>
    <row r="357" ht="15" customHeight="1">
      <c r="A357" t="inlineStr">
        <is>
          <t>A 30550-2025</t>
        </is>
      </c>
      <c r="B357" s="1" t="n">
        <v>45831.38224537037</v>
      </c>
      <c r="C357" s="1" t="n">
        <v>45908</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18550-2025</t>
        </is>
      </c>
      <c r="B358" s="1" t="n">
        <v>45763.43422453704</v>
      </c>
      <c r="C358" s="1" t="n">
        <v>45908</v>
      </c>
      <c r="D358" t="inlineStr">
        <is>
          <t>ÖREBRO LÄN</t>
        </is>
      </c>
      <c r="E358" t="inlineStr">
        <is>
          <t>ÖREBRO</t>
        </is>
      </c>
      <c r="G358" t="n">
        <v>11.5</v>
      </c>
      <c r="H358" t="n">
        <v>0</v>
      </c>
      <c r="I358" t="n">
        <v>0</v>
      </c>
      <c r="J358" t="n">
        <v>0</v>
      </c>
      <c r="K358" t="n">
        <v>0</v>
      </c>
      <c r="L358" t="n">
        <v>0</v>
      </c>
      <c r="M358" t="n">
        <v>0</v>
      </c>
      <c r="N358" t="n">
        <v>0</v>
      </c>
      <c r="O358" t="n">
        <v>0</v>
      </c>
      <c r="P358" t="n">
        <v>0</v>
      </c>
      <c r="Q358" t="n">
        <v>0</v>
      </c>
      <c r="R358" s="2" t="inlineStr"/>
    </row>
    <row r="359" ht="15" customHeight="1">
      <c r="A359" t="inlineStr">
        <is>
          <t>A 30731-2025</t>
        </is>
      </c>
      <c r="B359" s="1" t="n">
        <v>45831.57280092593</v>
      </c>
      <c r="C359" s="1" t="n">
        <v>45908</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52391-2024</t>
        </is>
      </c>
      <c r="B360" s="1" t="n">
        <v>45609.43180555556</v>
      </c>
      <c r="C360" s="1" t="n">
        <v>45908</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52401-2024</t>
        </is>
      </c>
      <c r="B361" s="1" t="n">
        <v>45609.44553240741</v>
      </c>
      <c r="C361" s="1" t="n">
        <v>45908</v>
      </c>
      <c r="D361" t="inlineStr">
        <is>
          <t>ÖREBRO LÄN</t>
        </is>
      </c>
      <c r="E361" t="inlineStr">
        <is>
          <t>ÖREBRO</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31232-2025</t>
        </is>
      </c>
      <c r="B362" s="1" t="n">
        <v>45832.8252199074</v>
      </c>
      <c r="C362" s="1" t="n">
        <v>45908</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30951-2025</t>
        </is>
      </c>
      <c r="B363" s="1" t="n">
        <v>45832.43225694444</v>
      </c>
      <c r="C363" s="1" t="n">
        <v>45908</v>
      </c>
      <c r="D363" t="inlineStr">
        <is>
          <t>ÖREBRO LÄN</t>
        </is>
      </c>
      <c r="E363" t="inlineStr">
        <is>
          <t>ÖREBRO</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31233-2025</t>
        </is>
      </c>
      <c r="B364" s="1" t="n">
        <v>45832.83341435185</v>
      </c>
      <c r="C364" s="1" t="n">
        <v>45908</v>
      </c>
      <c r="D364" t="inlineStr">
        <is>
          <t>ÖREBRO LÄN</t>
        </is>
      </c>
      <c r="E364" t="inlineStr">
        <is>
          <t>ÖREBRO</t>
        </is>
      </c>
      <c r="F364" t="inlineStr">
        <is>
          <t>Övriga Aktiebolag</t>
        </is>
      </c>
      <c r="G364" t="n">
        <v>2</v>
      </c>
      <c r="H364" t="n">
        <v>0</v>
      </c>
      <c r="I364" t="n">
        <v>0</v>
      </c>
      <c r="J364" t="n">
        <v>0</v>
      </c>
      <c r="K364" t="n">
        <v>0</v>
      </c>
      <c r="L364" t="n">
        <v>0</v>
      </c>
      <c r="M364" t="n">
        <v>0</v>
      </c>
      <c r="N364" t="n">
        <v>0</v>
      </c>
      <c r="O364" t="n">
        <v>0</v>
      </c>
      <c r="P364" t="n">
        <v>0</v>
      </c>
      <c r="Q364" t="n">
        <v>0</v>
      </c>
      <c r="R364" s="2" t="inlineStr"/>
    </row>
    <row r="365" ht="15" customHeight="1">
      <c r="A365" t="inlineStr">
        <is>
          <t>A 14963-2025</t>
        </is>
      </c>
      <c r="B365" s="1" t="n">
        <v>45743.58699074074</v>
      </c>
      <c r="C365" s="1" t="n">
        <v>45908</v>
      </c>
      <c r="D365" t="inlineStr">
        <is>
          <t>ÖREBRO LÄN</t>
        </is>
      </c>
      <c r="E365" t="inlineStr">
        <is>
          <t>ÖREBRO</t>
        </is>
      </c>
      <c r="G365" t="n">
        <v>9.1</v>
      </c>
      <c r="H365" t="n">
        <v>0</v>
      </c>
      <c r="I365" t="n">
        <v>0</v>
      </c>
      <c r="J365" t="n">
        <v>0</v>
      </c>
      <c r="K365" t="n">
        <v>0</v>
      </c>
      <c r="L365" t="n">
        <v>0</v>
      </c>
      <c r="M365" t="n">
        <v>0</v>
      </c>
      <c r="N365" t="n">
        <v>0</v>
      </c>
      <c r="O365" t="n">
        <v>0</v>
      </c>
      <c r="P365" t="n">
        <v>0</v>
      </c>
      <c r="Q365" t="n">
        <v>0</v>
      </c>
      <c r="R365" s="2" t="inlineStr"/>
    </row>
    <row r="366" ht="15" customHeight="1">
      <c r="A366" t="inlineStr">
        <is>
          <t>A 31237-2025</t>
        </is>
      </c>
      <c r="B366" s="1" t="n">
        <v>45832.84313657408</v>
      </c>
      <c r="C366" s="1" t="n">
        <v>45908</v>
      </c>
      <c r="D366" t="inlineStr">
        <is>
          <t>ÖREBRO LÄN</t>
        </is>
      </c>
      <c r="E366" t="inlineStr">
        <is>
          <t>ÖREBRO</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31066-2025</t>
        </is>
      </c>
      <c r="B367" s="1" t="n">
        <v>45832</v>
      </c>
      <c r="C367" s="1" t="n">
        <v>45908</v>
      </c>
      <c r="D367" t="inlineStr">
        <is>
          <t>ÖREBRO LÄN</t>
        </is>
      </c>
      <c r="E367" t="inlineStr">
        <is>
          <t>ÖREBRO</t>
        </is>
      </c>
      <c r="G367" t="n">
        <v>11.1</v>
      </c>
      <c r="H367" t="n">
        <v>0</v>
      </c>
      <c r="I367" t="n">
        <v>0</v>
      </c>
      <c r="J367" t="n">
        <v>0</v>
      </c>
      <c r="K367" t="n">
        <v>0</v>
      </c>
      <c r="L367" t="n">
        <v>0</v>
      </c>
      <c r="M367" t="n">
        <v>0</v>
      </c>
      <c r="N367" t="n">
        <v>0</v>
      </c>
      <c r="O367" t="n">
        <v>0</v>
      </c>
      <c r="P367" t="n">
        <v>0</v>
      </c>
      <c r="Q367" t="n">
        <v>0</v>
      </c>
      <c r="R367" s="2" t="inlineStr"/>
    </row>
    <row r="368" ht="15" customHeight="1">
      <c r="A368" t="inlineStr">
        <is>
          <t>A 26338-2021</t>
        </is>
      </c>
      <c r="B368" s="1" t="n">
        <v>44347</v>
      </c>
      <c r="C368" s="1" t="n">
        <v>45908</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32188-2025</t>
        </is>
      </c>
      <c r="B369" s="1" t="n">
        <v>45835.56965277778</v>
      </c>
      <c r="C369" s="1" t="n">
        <v>45908</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32195-2025</t>
        </is>
      </c>
      <c r="B370" s="1" t="n">
        <v>45835.57407407407</v>
      </c>
      <c r="C370" s="1" t="n">
        <v>45908</v>
      </c>
      <c r="D370" t="inlineStr">
        <is>
          <t>ÖREBRO LÄN</t>
        </is>
      </c>
      <c r="E370" t="inlineStr">
        <is>
          <t>ÖREBRO</t>
        </is>
      </c>
      <c r="G370" t="n">
        <v>1.5</v>
      </c>
      <c r="H370" t="n">
        <v>0</v>
      </c>
      <c r="I370" t="n">
        <v>0</v>
      </c>
      <c r="J370" t="n">
        <v>0</v>
      </c>
      <c r="K370" t="n">
        <v>0</v>
      </c>
      <c r="L370" t="n">
        <v>0</v>
      </c>
      <c r="M370" t="n">
        <v>0</v>
      </c>
      <c r="N370" t="n">
        <v>0</v>
      </c>
      <c r="O370" t="n">
        <v>0</v>
      </c>
      <c r="P370" t="n">
        <v>0</v>
      </c>
      <c r="Q370" t="n">
        <v>0</v>
      </c>
      <c r="R370" s="2" t="inlineStr"/>
    </row>
    <row r="371" ht="15" customHeight="1">
      <c r="A371" t="inlineStr">
        <is>
          <t>A 32218-2025</t>
        </is>
      </c>
      <c r="B371" s="1" t="n">
        <v>45835.58880787037</v>
      </c>
      <c r="C371" s="1" t="n">
        <v>45908</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32904-2025</t>
        </is>
      </c>
      <c r="B372" s="1" t="n">
        <v>45839</v>
      </c>
      <c r="C372" s="1" t="n">
        <v>45908</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32426-2025</t>
        </is>
      </c>
      <c r="B373" s="1" t="n">
        <v>45838.36179398148</v>
      </c>
      <c r="C373" s="1" t="n">
        <v>45908</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33191-2025</t>
        </is>
      </c>
      <c r="B374" s="1" t="n">
        <v>45840.6003587963</v>
      </c>
      <c r="C374" s="1" t="n">
        <v>45908</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33019-2025</t>
        </is>
      </c>
      <c r="B375" s="1" t="n">
        <v>45840</v>
      </c>
      <c r="C375" s="1" t="n">
        <v>45908</v>
      </c>
      <c r="D375" t="inlineStr">
        <is>
          <t>ÖREBRO LÄN</t>
        </is>
      </c>
      <c r="E375" t="inlineStr">
        <is>
          <t>ÖREBRO</t>
        </is>
      </c>
      <c r="G375" t="n">
        <v>4.2</v>
      </c>
      <c r="H375" t="n">
        <v>0</v>
      </c>
      <c r="I375" t="n">
        <v>0</v>
      </c>
      <c r="J375" t="n">
        <v>0</v>
      </c>
      <c r="K375" t="n">
        <v>0</v>
      </c>
      <c r="L375" t="n">
        <v>0</v>
      </c>
      <c r="M375" t="n">
        <v>0</v>
      </c>
      <c r="N375" t="n">
        <v>0</v>
      </c>
      <c r="O375" t="n">
        <v>0</v>
      </c>
      <c r="P375" t="n">
        <v>0</v>
      </c>
      <c r="Q375" t="n">
        <v>0</v>
      </c>
      <c r="R375" s="2" t="inlineStr"/>
    </row>
    <row r="376" ht="15" customHeight="1">
      <c r="A376" t="inlineStr">
        <is>
          <t>A 53234-2023</t>
        </is>
      </c>
      <c r="B376" s="1" t="n">
        <v>45229</v>
      </c>
      <c r="C376" s="1" t="n">
        <v>45908</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38057-2025</t>
        </is>
      </c>
      <c r="B377" s="1" t="n">
        <v>45882.42570601852</v>
      </c>
      <c r="C377" s="1" t="n">
        <v>45908</v>
      </c>
      <c r="D377" t="inlineStr">
        <is>
          <t>ÖREBRO LÄN</t>
        </is>
      </c>
      <c r="E377" t="inlineStr">
        <is>
          <t>ÖREBRO</t>
        </is>
      </c>
      <c r="G377" t="n">
        <v>3</v>
      </c>
      <c r="H377" t="n">
        <v>0</v>
      </c>
      <c r="I377" t="n">
        <v>0</v>
      </c>
      <c r="J377" t="n">
        <v>0</v>
      </c>
      <c r="K377" t="n">
        <v>0</v>
      </c>
      <c r="L377" t="n">
        <v>0</v>
      </c>
      <c r="M377" t="n">
        <v>0</v>
      </c>
      <c r="N377" t="n">
        <v>0</v>
      </c>
      <c r="O377" t="n">
        <v>0</v>
      </c>
      <c r="P377" t="n">
        <v>0</v>
      </c>
      <c r="Q377" t="n">
        <v>0</v>
      </c>
      <c r="R377" s="2" t="inlineStr"/>
    </row>
    <row r="378" ht="15" customHeight="1">
      <c r="A378" t="inlineStr">
        <is>
          <t>A 59757-2023</t>
        </is>
      </c>
      <c r="B378" s="1" t="n">
        <v>45257.40833333333</v>
      </c>
      <c r="C378" s="1" t="n">
        <v>45908</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33455-2023</t>
        </is>
      </c>
      <c r="B379" s="1" t="n">
        <v>45130.98962962963</v>
      </c>
      <c r="C379" s="1" t="n">
        <v>45908</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11067-2025</t>
        </is>
      </c>
      <c r="B380" s="1" t="n">
        <v>45723</v>
      </c>
      <c r="C380" s="1" t="n">
        <v>45908</v>
      </c>
      <c r="D380" t="inlineStr">
        <is>
          <t>ÖREBRO LÄN</t>
        </is>
      </c>
      <c r="E380" t="inlineStr">
        <is>
          <t>ÖREBRO</t>
        </is>
      </c>
      <c r="G380" t="n">
        <v>3.1</v>
      </c>
      <c r="H380" t="n">
        <v>0</v>
      </c>
      <c r="I380" t="n">
        <v>0</v>
      </c>
      <c r="J380" t="n">
        <v>0</v>
      </c>
      <c r="K380" t="n">
        <v>0</v>
      </c>
      <c r="L380" t="n">
        <v>0</v>
      </c>
      <c r="M380" t="n">
        <v>0</v>
      </c>
      <c r="N380" t="n">
        <v>0</v>
      </c>
      <c r="O380" t="n">
        <v>0</v>
      </c>
      <c r="P380" t="n">
        <v>0</v>
      </c>
      <c r="Q380" t="n">
        <v>0</v>
      </c>
      <c r="R380" s="2" t="inlineStr"/>
    </row>
    <row r="381" ht="15" customHeight="1">
      <c r="A381" t="inlineStr">
        <is>
          <t>A 2069-2025</t>
        </is>
      </c>
      <c r="B381" s="1" t="n">
        <v>45672.56614583333</v>
      </c>
      <c r="C381" s="1" t="n">
        <v>45908</v>
      </c>
      <c r="D381" t="inlineStr">
        <is>
          <t>ÖREBRO LÄN</t>
        </is>
      </c>
      <c r="E381" t="inlineStr">
        <is>
          <t>ÖREBRO</t>
        </is>
      </c>
      <c r="G381" t="n">
        <v>3.8</v>
      </c>
      <c r="H381" t="n">
        <v>0</v>
      </c>
      <c r="I381" t="n">
        <v>0</v>
      </c>
      <c r="J381" t="n">
        <v>0</v>
      </c>
      <c r="K381" t="n">
        <v>0</v>
      </c>
      <c r="L381" t="n">
        <v>0</v>
      </c>
      <c r="M381" t="n">
        <v>0</v>
      </c>
      <c r="N381" t="n">
        <v>0</v>
      </c>
      <c r="O381" t="n">
        <v>0</v>
      </c>
      <c r="P381" t="n">
        <v>0</v>
      </c>
      <c r="Q381" t="n">
        <v>0</v>
      </c>
      <c r="R381" s="2" t="inlineStr"/>
    </row>
    <row r="382" ht="15" customHeight="1">
      <c r="A382" t="inlineStr">
        <is>
          <t>A 39003-2025</t>
        </is>
      </c>
      <c r="B382" s="1" t="n">
        <v>45888.34467592592</v>
      </c>
      <c r="C382" s="1" t="n">
        <v>45908</v>
      </c>
      <c r="D382" t="inlineStr">
        <is>
          <t>ÖREBRO LÄN</t>
        </is>
      </c>
      <c r="E382" t="inlineStr">
        <is>
          <t>ÖREBRO</t>
        </is>
      </c>
      <c r="G382" t="n">
        <v>3.7</v>
      </c>
      <c r="H382" t="n">
        <v>0</v>
      </c>
      <c r="I382" t="n">
        <v>0</v>
      </c>
      <c r="J382" t="n">
        <v>0</v>
      </c>
      <c r="K382" t="n">
        <v>0</v>
      </c>
      <c r="L382" t="n">
        <v>0</v>
      </c>
      <c r="M382" t="n">
        <v>0</v>
      </c>
      <c r="N382" t="n">
        <v>0</v>
      </c>
      <c r="O382" t="n">
        <v>0</v>
      </c>
      <c r="P382" t="n">
        <v>0</v>
      </c>
      <c r="Q382" t="n">
        <v>0</v>
      </c>
      <c r="R382" s="2" t="inlineStr"/>
    </row>
    <row r="383" ht="15" customHeight="1">
      <c r="A383" t="inlineStr">
        <is>
          <t>A 48687-2024</t>
        </is>
      </c>
      <c r="B383" s="1" t="n">
        <v>45593.49899305555</v>
      </c>
      <c r="C383" s="1" t="n">
        <v>45908</v>
      </c>
      <c r="D383" t="inlineStr">
        <is>
          <t>ÖREBRO LÄN</t>
        </is>
      </c>
      <c r="E383" t="inlineStr">
        <is>
          <t>ÖREBRO</t>
        </is>
      </c>
      <c r="F383" t="inlineStr">
        <is>
          <t>Övriga Aktiebolag</t>
        </is>
      </c>
      <c r="G383" t="n">
        <v>3.8</v>
      </c>
      <c r="H383" t="n">
        <v>0</v>
      </c>
      <c r="I383" t="n">
        <v>0</v>
      </c>
      <c r="J383" t="n">
        <v>0</v>
      </c>
      <c r="K383" t="n">
        <v>0</v>
      </c>
      <c r="L383" t="n">
        <v>0</v>
      </c>
      <c r="M383" t="n">
        <v>0</v>
      </c>
      <c r="N383" t="n">
        <v>0</v>
      </c>
      <c r="O383" t="n">
        <v>0</v>
      </c>
      <c r="P383" t="n">
        <v>0</v>
      </c>
      <c r="Q383" t="n">
        <v>0</v>
      </c>
      <c r="R383" s="2" t="inlineStr"/>
    </row>
    <row r="384" ht="15" customHeight="1">
      <c r="A384" t="inlineStr">
        <is>
          <t>A 39446-2025</t>
        </is>
      </c>
      <c r="B384" s="1" t="n">
        <v>45889.70388888889</v>
      </c>
      <c r="C384" s="1" t="n">
        <v>45908</v>
      </c>
      <c r="D384" t="inlineStr">
        <is>
          <t>ÖREBRO LÄN</t>
        </is>
      </c>
      <c r="E384" t="inlineStr">
        <is>
          <t>ÖREBRO</t>
        </is>
      </c>
      <c r="F384" t="inlineStr">
        <is>
          <t>Kyrkan</t>
        </is>
      </c>
      <c r="G384" t="n">
        <v>3.2</v>
      </c>
      <c r="H384" t="n">
        <v>0</v>
      </c>
      <c r="I384" t="n">
        <v>0</v>
      </c>
      <c r="J384" t="n">
        <v>0</v>
      </c>
      <c r="K384" t="n">
        <v>0</v>
      </c>
      <c r="L384" t="n">
        <v>0</v>
      </c>
      <c r="M384" t="n">
        <v>0</v>
      </c>
      <c r="N384" t="n">
        <v>0</v>
      </c>
      <c r="O384" t="n">
        <v>0</v>
      </c>
      <c r="P384" t="n">
        <v>0</v>
      </c>
      <c r="Q384" t="n">
        <v>0</v>
      </c>
      <c r="R384" s="2" t="inlineStr"/>
    </row>
    <row r="385" ht="15" customHeight="1">
      <c r="A385" t="inlineStr">
        <is>
          <t>A 3659-2025</t>
        </is>
      </c>
      <c r="B385" s="1" t="n">
        <v>45681</v>
      </c>
      <c r="C385" s="1" t="n">
        <v>45908</v>
      </c>
      <c r="D385" t="inlineStr">
        <is>
          <t>ÖREBRO LÄN</t>
        </is>
      </c>
      <c r="E385" t="inlineStr">
        <is>
          <t>ÖREBRO</t>
        </is>
      </c>
      <c r="G385" t="n">
        <v>15.8</v>
      </c>
      <c r="H385" t="n">
        <v>0</v>
      </c>
      <c r="I385" t="n">
        <v>0</v>
      </c>
      <c r="J385" t="n">
        <v>0</v>
      </c>
      <c r="K385" t="n">
        <v>0</v>
      </c>
      <c r="L385" t="n">
        <v>0</v>
      </c>
      <c r="M385" t="n">
        <v>0</v>
      </c>
      <c r="N385" t="n">
        <v>0</v>
      </c>
      <c r="O385" t="n">
        <v>0</v>
      </c>
      <c r="P385" t="n">
        <v>0</v>
      </c>
      <c r="Q385" t="n">
        <v>0</v>
      </c>
      <c r="R385" s="2" t="inlineStr"/>
    </row>
    <row r="386" ht="15" customHeight="1">
      <c r="A386" t="inlineStr">
        <is>
          <t>A 13347-2023</t>
        </is>
      </c>
      <c r="B386" s="1" t="n">
        <v>45004</v>
      </c>
      <c r="C386" s="1" t="n">
        <v>45908</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6752-2022</t>
        </is>
      </c>
      <c r="B387" s="1" t="n">
        <v>44602.48082175926</v>
      </c>
      <c r="C387" s="1" t="n">
        <v>45908</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58277-2022</t>
        </is>
      </c>
      <c r="B388" s="1" t="n">
        <v>44901.48108796297</v>
      </c>
      <c r="C388" s="1" t="n">
        <v>45908</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42518-2021</t>
        </is>
      </c>
      <c r="B389" s="1" t="n">
        <v>44427.81496527778</v>
      </c>
      <c r="C389" s="1" t="n">
        <v>45908</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39479-2025</t>
        </is>
      </c>
      <c r="B390" s="1" t="n">
        <v>45890.34752314815</v>
      </c>
      <c r="C390" s="1" t="n">
        <v>45908</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57867-2024</t>
        </is>
      </c>
      <c r="B391" s="1" t="n">
        <v>45631.43864583333</v>
      </c>
      <c r="C391" s="1" t="n">
        <v>45908</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40332-2025</t>
        </is>
      </c>
      <c r="B392" s="1" t="n">
        <v>45895.46060185185</v>
      </c>
      <c r="C392" s="1" t="n">
        <v>45908</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13355-2023</t>
        </is>
      </c>
      <c r="B393" s="1" t="n">
        <v>45004</v>
      </c>
      <c r="C393" s="1" t="n">
        <v>45908</v>
      </c>
      <c r="D393" t="inlineStr">
        <is>
          <t>ÖREBRO LÄN</t>
        </is>
      </c>
      <c r="E393" t="inlineStr">
        <is>
          <t>ÖREBRO</t>
        </is>
      </c>
      <c r="G393" t="n">
        <v>2.3</v>
      </c>
      <c r="H393" t="n">
        <v>0</v>
      </c>
      <c r="I393" t="n">
        <v>0</v>
      </c>
      <c r="J393" t="n">
        <v>0</v>
      </c>
      <c r="K393" t="n">
        <v>0</v>
      </c>
      <c r="L393" t="n">
        <v>0</v>
      </c>
      <c r="M393" t="n">
        <v>0</v>
      </c>
      <c r="N393" t="n">
        <v>0</v>
      </c>
      <c r="O393" t="n">
        <v>0</v>
      </c>
      <c r="P393" t="n">
        <v>0</v>
      </c>
      <c r="Q393" t="n">
        <v>0</v>
      </c>
      <c r="R393" s="2" t="inlineStr"/>
    </row>
    <row r="394" ht="15" customHeight="1">
      <c r="A394" t="inlineStr">
        <is>
          <t>A 35062-2025</t>
        </is>
      </c>
      <c r="B394" s="1" t="n">
        <v>45852</v>
      </c>
      <c r="C394" s="1" t="n">
        <v>45908</v>
      </c>
      <c r="D394" t="inlineStr">
        <is>
          <t>ÖREBRO LÄN</t>
        </is>
      </c>
      <c r="E394" t="inlineStr">
        <is>
          <t>ÖREBRO</t>
        </is>
      </c>
      <c r="G394" t="n">
        <v>2.8</v>
      </c>
      <c r="H394" t="n">
        <v>0</v>
      </c>
      <c r="I394" t="n">
        <v>0</v>
      </c>
      <c r="J394" t="n">
        <v>0</v>
      </c>
      <c r="K394" t="n">
        <v>0</v>
      </c>
      <c r="L394" t="n">
        <v>0</v>
      </c>
      <c r="M394" t="n">
        <v>0</v>
      </c>
      <c r="N394" t="n">
        <v>0</v>
      </c>
      <c r="O394" t="n">
        <v>0</v>
      </c>
      <c r="P394" t="n">
        <v>0</v>
      </c>
      <c r="Q394" t="n">
        <v>0</v>
      </c>
      <c r="R394" s="2" t="inlineStr"/>
    </row>
    <row r="395" ht="15" customHeight="1">
      <c r="A395" t="inlineStr">
        <is>
          <t>A 14524-2025</t>
        </is>
      </c>
      <c r="B395" s="1" t="n">
        <v>45741.64815972222</v>
      </c>
      <c r="C395" s="1" t="n">
        <v>45908</v>
      </c>
      <c r="D395" t="inlineStr">
        <is>
          <t>ÖREBRO LÄN</t>
        </is>
      </c>
      <c r="E395" t="inlineStr">
        <is>
          <t>ÖREBRO</t>
        </is>
      </c>
      <c r="G395" t="n">
        <v>2.8</v>
      </c>
      <c r="H395" t="n">
        <v>0</v>
      </c>
      <c r="I395" t="n">
        <v>0</v>
      </c>
      <c r="J395" t="n">
        <v>0</v>
      </c>
      <c r="K395" t="n">
        <v>0</v>
      </c>
      <c r="L395" t="n">
        <v>0</v>
      </c>
      <c r="M395" t="n">
        <v>0</v>
      </c>
      <c r="N395" t="n">
        <v>0</v>
      </c>
      <c r="O395" t="n">
        <v>0</v>
      </c>
      <c r="P395" t="n">
        <v>0</v>
      </c>
      <c r="Q395" t="n">
        <v>0</v>
      </c>
      <c r="R395" s="2" t="inlineStr"/>
    </row>
    <row r="396" ht="15" customHeight="1">
      <c r="A396" t="inlineStr">
        <is>
          <t>A 40330-2025</t>
        </is>
      </c>
      <c r="B396" s="1" t="n">
        <v>45895.4531712963</v>
      </c>
      <c r="C396" s="1" t="n">
        <v>45908</v>
      </c>
      <c r="D396" t="inlineStr">
        <is>
          <t>ÖREBRO LÄN</t>
        </is>
      </c>
      <c r="E396" t="inlineStr">
        <is>
          <t>ÖREBRO</t>
        </is>
      </c>
      <c r="G396" t="n">
        <v>0.9</v>
      </c>
      <c r="H396" t="n">
        <v>0</v>
      </c>
      <c r="I396" t="n">
        <v>0</v>
      </c>
      <c r="J396" t="n">
        <v>0</v>
      </c>
      <c r="K396" t="n">
        <v>0</v>
      </c>
      <c r="L396" t="n">
        <v>0</v>
      </c>
      <c r="M396" t="n">
        <v>0</v>
      </c>
      <c r="N396" t="n">
        <v>0</v>
      </c>
      <c r="O396" t="n">
        <v>0</v>
      </c>
      <c r="P396" t="n">
        <v>0</v>
      </c>
      <c r="Q396" t="n">
        <v>0</v>
      </c>
      <c r="R396" s="2" t="inlineStr"/>
    </row>
    <row r="397" ht="15" customHeight="1">
      <c r="A397" t="inlineStr">
        <is>
          <t>A 14544-2023</t>
        </is>
      </c>
      <c r="B397" s="1" t="n">
        <v>45013</v>
      </c>
      <c r="C397" s="1" t="n">
        <v>45908</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71272-2021</t>
        </is>
      </c>
      <c r="B398" s="1" t="n">
        <v>44539.61571759259</v>
      </c>
      <c r="C398" s="1" t="n">
        <v>45908</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41412-2025</t>
        </is>
      </c>
      <c r="B399" s="1" t="n">
        <v>45901.3549537037</v>
      </c>
      <c r="C399" s="1" t="n">
        <v>45908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15354-2024</t>
        </is>
      </c>
      <c r="B400" s="1" t="n">
        <v>45400.85319444445</v>
      </c>
      <c r="C400" s="1" t="n">
        <v>45908</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28821-2025</t>
        </is>
      </c>
      <c r="B401" s="1" t="n">
        <v>45820</v>
      </c>
      <c r="C401" s="1" t="n">
        <v>45908</v>
      </c>
      <c r="D401" t="inlineStr">
        <is>
          <t>ÖREBRO LÄN</t>
        </is>
      </c>
      <c r="E401" t="inlineStr">
        <is>
          <t>ÖREBRO</t>
        </is>
      </c>
      <c r="G401" t="n">
        <v>12.6</v>
      </c>
      <c r="H401" t="n">
        <v>0</v>
      </c>
      <c r="I401" t="n">
        <v>0</v>
      </c>
      <c r="J401" t="n">
        <v>0</v>
      </c>
      <c r="K401" t="n">
        <v>0</v>
      </c>
      <c r="L401" t="n">
        <v>0</v>
      </c>
      <c r="M401" t="n">
        <v>0</v>
      </c>
      <c r="N401" t="n">
        <v>0</v>
      </c>
      <c r="O401" t="n">
        <v>0</v>
      </c>
      <c r="P401" t="n">
        <v>0</v>
      </c>
      <c r="Q401" t="n">
        <v>0</v>
      </c>
      <c r="R401" s="2" t="inlineStr"/>
    </row>
    <row r="402" ht="15" customHeight="1">
      <c r="A402" t="inlineStr">
        <is>
          <t>A 41543-2024</t>
        </is>
      </c>
      <c r="B402" s="1" t="n">
        <v>45560</v>
      </c>
      <c r="C402" s="1" t="n">
        <v>45908</v>
      </c>
      <c r="D402" t="inlineStr">
        <is>
          <t>ÖREBRO LÄN</t>
        </is>
      </c>
      <c r="E402" t="inlineStr">
        <is>
          <t>ÖREBRO</t>
        </is>
      </c>
      <c r="G402" t="n">
        <v>2.8</v>
      </c>
      <c r="H402" t="n">
        <v>0</v>
      </c>
      <c r="I402" t="n">
        <v>0</v>
      </c>
      <c r="J402" t="n">
        <v>0</v>
      </c>
      <c r="K402" t="n">
        <v>0</v>
      </c>
      <c r="L402" t="n">
        <v>0</v>
      </c>
      <c r="M402" t="n">
        <v>0</v>
      </c>
      <c r="N402" t="n">
        <v>0</v>
      </c>
      <c r="O402" t="n">
        <v>0</v>
      </c>
      <c r="P402" t="n">
        <v>0</v>
      </c>
      <c r="Q402" t="n">
        <v>0</v>
      </c>
      <c r="R402" s="2" t="inlineStr"/>
    </row>
    <row r="403" ht="15" customHeight="1">
      <c r="A403" t="inlineStr">
        <is>
          <t>A 35637-2025</t>
        </is>
      </c>
      <c r="B403" s="1" t="n">
        <v>45859.46859953704</v>
      </c>
      <c r="C403" s="1" t="n">
        <v>45908</v>
      </c>
      <c r="D403" t="inlineStr">
        <is>
          <t>ÖREBRO LÄN</t>
        </is>
      </c>
      <c r="E403" t="inlineStr">
        <is>
          <t>ÖREBRO</t>
        </is>
      </c>
      <c r="G403" t="n">
        <v>2.1</v>
      </c>
      <c r="H403" t="n">
        <v>0</v>
      </c>
      <c r="I403" t="n">
        <v>0</v>
      </c>
      <c r="J403" t="n">
        <v>0</v>
      </c>
      <c r="K403" t="n">
        <v>0</v>
      </c>
      <c r="L403" t="n">
        <v>0</v>
      </c>
      <c r="M403" t="n">
        <v>0</v>
      </c>
      <c r="N403" t="n">
        <v>0</v>
      </c>
      <c r="O403" t="n">
        <v>0</v>
      </c>
      <c r="P403" t="n">
        <v>0</v>
      </c>
      <c r="Q403" t="n">
        <v>0</v>
      </c>
      <c r="R403" s="2" t="inlineStr"/>
    </row>
    <row r="404" ht="15" customHeight="1">
      <c r="A404" t="inlineStr">
        <is>
          <t>A 71275-2021</t>
        </is>
      </c>
      <c r="B404" s="1" t="n">
        <v>44539</v>
      </c>
      <c r="C404" s="1" t="n">
        <v>45908</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71285-2021</t>
        </is>
      </c>
      <c r="B405" s="1" t="n">
        <v>44539.62236111111</v>
      </c>
      <c r="C405" s="1" t="n">
        <v>45908</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3120-2022</t>
        </is>
      </c>
      <c r="B406" s="1" t="n">
        <v>44582</v>
      </c>
      <c r="C406" s="1" t="n">
        <v>45908</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2658-2023</t>
        </is>
      </c>
      <c r="B407" s="1" t="n">
        <v>44944</v>
      </c>
      <c r="C407" s="1" t="n">
        <v>45908</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19388-2024</t>
        </is>
      </c>
      <c r="B408" s="1" t="n">
        <v>45429.37775462963</v>
      </c>
      <c r="C408" s="1" t="n">
        <v>45908</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41669-2025</t>
        </is>
      </c>
      <c r="B409" s="1" t="n">
        <v>45902.36149305556</v>
      </c>
      <c r="C409" s="1" t="n">
        <v>45908</v>
      </c>
      <c r="D409" t="inlineStr">
        <is>
          <t>ÖREBRO LÄN</t>
        </is>
      </c>
      <c r="E409" t="inlineStr">
        <is>
          <t>ÖREBRO</t>
        </is>
      </c>
      <c r="G409" t="n">
        <v>2.8</v>
      </c>
      <c r="H409" t="n">
        <v>0</v>
      </c>
      <c r="I409" t="n">
        <v>0</v>
      </c>
      <c r="J409" t="n">
        <v>0</v>
      </c>
      <c r="K409" t="n">
        <v>0</v>
      </c>
      <c r="L409" t="n">
        <v>0</v>
      </c>
      <c r="M409" t="n">
        <v>0</v>
      </c>
      <c r="N409" t="n">
        <v>0</v>
      </c>
      <c r="O409" t="n">
        <v>0</v>
      </c>
      <c r="P409" t="n">
        <v>0</v>
      </c>
      <c r="Q409" t="n">
        <v>0</v>
      </c>
      <c r="R409" s="2" t="inlineStr"/>
    </row>
    <row r="410" ht="15" customHeight="1">
      <c r="A410" t="inlineStr">
        <is>
          <t>A 41722-2025</t>
        </is>
      </c>
      <c r="B410" s="1" t="n">
        <v>45902.44993055556</v>
      </c>
      <c r="C410" s="1" t="n">
        <v>45908</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40597-2021</t>
        </is>
      </c>
      <c r="B411" s="1" t="n">
        <v>44420</v>
      </c>
      <c r="C411" s="1" t="n">
        <v>45908</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2318-2023</t>
        </is>
      </c>
      <c r="B412" s="1" t="n">
        <v>44942</v>
      </c>
      <c r="C412" s="1" t="n">
        <v>45908</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20121-2024</t>
        </is>
      </c>
      <c r="B413" s="1" t="n">
        <v>45434</v>
      </c>
      <c r="C413" s="1" t="n">
        <v>45908</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20150-2024</t>
        </is>
      </c>
      <c r="B414" s="1" t="n">
        <v>45434.57969907407</v>
      </c>
      <c r="C414" s="1" t="n">
        <v>45908</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11382-2023</t>
        </is>
      </c>
      <c r="B415" s="1" t="n">
        <v>44993.45635416666</v>
      </c>
      <c r="C415" s="1" t="n">
        <v>45908</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52016-2024</t>
        </is>
      </c>
      <c r="B416" s="1" t="n">
        <v>45607.81917824074</v>
      </c>
      <c r="C416" s="1" t="n">
        <v>45908</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767-2024</t>
        </is>
      </c>
      <c r="B417" s="1" t="n">
        <v>45300.51892361111</v>
      </c>
      <c r="C417" s="1" t="n">
        <v>45908</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18661-2025</t>
        </is>
      </c>
      <c r="B418" s="1" t="n">
        <v>45763.58675925926</v>
      </c>
      <c r="C418" s="1" t="n">
        <v>45908</v>
      </c>
      <c r="D418" t="inlineStr">
        <is>
          <t>ÖREBRO LÄN</t>
        </is>
      </c>
      <c r="E418" t="inlineStr">
        <is>
          <t>ÖREBRO</t>
        </is>
      </c>
      <c r="G418" t="n">
        <v>3.7</v>
      </c>
      <c r="H418" t="n">
        <v>0</v>
      </c>
      <c r="I418" t="n">
        <v>0</v>
      </c>
      <c r="J418" t="n">
        <v>0</v>
      </c>
      <c r="K418" t="n">
        <v>0</v>
      </c>
      <c r="L418" t="n">
        <v>0</v>
      </c>
      <c r="M418" t="n">
        <v>0</v>
      </c>
      <c r="N418" t="n">
        <v>0</v>
      </c>
      <c r="O418" t="n">
        <v>0</v>
      </c>
      <c r="P418" t="n">
        <v>0</v>
      </c>
      <c r="Q418" t="n">
        <v>0</v>
      </c>
      <c r="R418" s="2" t="inlineStr"/>
    </row>
    <row r="419" ht="15" customHeight="1">
      <c r="A419" t="inlineStr">
        <is>
          <t>A 27112-2023</t>
        </is>
      </c>
      <c r="B419" s="1" t="n">
        <v>45096</v>
      </c>
      <c r="C419" s="1" t="n">
        <v>45908</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16739-2022</t>
        </is>
      </c>
      <c r="B420" s="1" t="n">
        <v>44673</v>
      </c>
      <c r="C420" s="1" t="n">
        <v>45908</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8331-2021</t>
        </is>
      </c>
      <c r="B421" s="1" t="n">
        <v>44244</v>
      </c>
      <c r="C421" s="1" t="n">
        <v>45908</v>
      </c>
      <c r="D421" t="inlineStr">
        <is>
          <t>ÖREBRO LÄN</t>
        </is>
      </c>
      <c r="E421" t="inlineStr">
        <is>
          <t>ÖREBRO</t>
        </is>
      </c>
      <c r="G421" t="n">
        <v>9.1</v>
      </c>
      <c r="H421" t="n">
        <v>0</v>
      </c>
      <c r="I421" t="n">
        <v>0</v>
      </c>
      <c r="J421" t="n">
        <v>0</v>
      </c>
      <c r="K421" t="n">
        <v>0</v>
      </c>
      <c r="L421" t="n">
        <v>0</v>
      </c>
      <c r="M421" t="n">
        <v>0</v>
      </c>
      <c r="N421" t="n">
        <v>0</v>
      </c>
      <c r="O421" t="n">
        <v>0</v>
      </c>
      <c r="P421" t="n">
        <v>0</v>
      </c>
      <c r="Q421" t="n">
        <v>0</v>
      </c>
      <c r="R421" s="2" t="inlineStr"/>
    </row>
    <row r="422" ht="15" customHeight="1">
      <c r="A422" t="inlineStr">
        <is>
          <t>A 13592-2023</t>
        </is>
      </c>
      <c r="B422" s="1" t="n">
        <v>45006.56870370371</v>
      </c>
      <c r="C422" s="1" t="n">
        <v>45908</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52441-2024</t>
        </is>
      </c>
      <c r="B423" s="1" t="n">
        <v>45609.48451388889</v>
      </c>
      <c r="C423" s="1" t="n">
        <v>45908</v>
      </c>
      <c r="D423" t="inlineStr">
        <is>
          <t>ÖREBRO LÄN</t>
        </is>
      </c>
      <c r="E423" t="inlineStr">
        <is>
          <t>ÖREBRO</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58611-2024</t>
        </is>
      </c>
      <c r="B424" s="1" t="n">
        <v>45635.55555555555</v>
      </c>
      <c r="C424" s="1" t="n">
        <v>45908</v>
      </c>
      <c r="D424" t="inlineStr">
        <is>
          <t>ÖREBRO LÄN</t>
        </is>
      </c>
      <c r="E424" t="inlineStr">
        <is>
          <t>ÖREBRO</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40656-2023</t>
        </is>
      </c>
      <c r="B425" s="1" t="n">
        <v>45170</v>
      </c>
      <c r="C425" s="1" t="n">
        <v>45908</v>
      </c>
      <c r="D425" t="inlineStr">
        <is>
          <t>ÖREBRO LÄN</t>
        </is>
      </c>
      <c r="E425" t="inlineStr">
        <is>
          <t>ÖREBRO</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35928-2025</t>
        </is>
      </c>
      <c r="B426" s="1" t="n">
        <v>45862</v>
      </c>
      <c r="C426" s="1" t="n">
        <v>45908</v>
      </c>
      <c r="D426" t="inlineStr">
        <is>
          <t>ÖREBRO LÄN</t>
        </is>
      </c>
      <c r="E426" t="inlineStr">
        <is>
          <t>ÖREBRO</t>
        </is>
      </c>
      <c r="G426" t="n">
        <v>4.4</v>
      </c>
      <c r="H426" t="n">
        <v>0</v>
      </c>
      <c r="I426" t="n">
        <v>0</v>
      </c>
      <c r="J426" t="n">
        <v>0</v>
      </c>
      <c r="K426" t="n">
        <v>0</v>
      </c>
      <c r="L426" t="n">
        <v>0</v>
      </c>
      <c r="M426" t="n">
        <v>0</v>
      </c>
      <c r="N426" t="n">
        <v>0</v>
      </c>
      <c r="O426" t="n">
        <v>0</v>
      </c>
      <c r="P426" t="n">
        <v>0</v>
      </c>
      <c r="Q426" t="n">
        <v>0</v>
      </c>
      <c r="R426" s="2" t="inlineStr"/>
    </row>
    <row r="427" ht="15" customHeight="1">
      <c r="A427" t="inlineStr">
        <is>
          <t>A 12245-2023</t>
        </is>
      </c>
      <c r="B427" s="1" t="n">
        <v>44998.64402777778</v>
      </c>
      <c r="C427" s="1" t="n">
        <v>45908</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38075-2022</t>
        </is>
      </c>
      <c r="B428" s="1" t="n">
        <v>44811</v>
      </c>
      <c r="C428" s="1" t="n">
        <v>45908</v>
      </c>
      <c r="D428" t="inlineStr">
        <is>
          <t>ÖREBRO LÄN</t>
        </is>
      </c>
      <c r="E428" t="inlineStr">
        <is>
          <t>ÖREBRO</t>
        </is>
      </c>
      <c r="G428" t="n">
        <v>0.2</v>
      </c>
      <c r="H428" t="n">
        <v>0</v>
      </c>
      <c r="I428" t="n">
        <v>0</v>
      </c>
      <c r="J428" t="n">
        <v>0</v>
      </c>
      <c r="K428" t="n">
        <v>0</v>
      </c>
      <c r="L428" t="n">
        <v>0</v>
      </c>
      <c r="M428" t="n">
        <v>0</v>
      </c>
      <c r="N428" t="n">
        <v>0</v>
      </c>
      <c r="O428" t="n">
        <v>0</v>
      </c>
      <c r="P428" t="n">
        <v>0</v>
      </c>
      <c r="Q428" t="n">
        <v>0</v>
      </c>
      <c r="R428" s="2" t="inlineStr"/>
    </row>
    <row r="429" ht="15" customHeight="1">
      <c r="A429" t="inlineStr">
        <is>
          <t>A 19831-2021</t>
        </is>
      </c>
      <c r="B429" s="1" t="n">
        <v>44313</v>
      </c>
      <c r="C429" s="1" t="n">
        <v>45908</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5133-2024</t>
        </is>
      </c>
      <c r="B430" s="1" t="n">
        <v>45330</v>
      </c>
      <c r="C430" s="1" t="n">
        <v>45908</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58219-2024</t>
        </is>
      </c>
      <c r="B431" s="1" t="n">
        <v>45632</v>
      </c>
      <c r="C431" s="1" t="n">
        <v>45908</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8008-2024</t>
        </is>
      </c>
      <c r="B432" s="1" t="n">
        <v>45350.6794212963</v>
      </c>
      <c r="C432" s="1" t="n">
        <v>45908</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46834-2022</t>
        </is>
      </c>
      <c r="B433" s="1" t="n">
        <v>44851</v>
      </c>
      <c r="C433" s="1" t="n">
        <v>45908</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52477-2024</t>
        </is>
      </c>
      <c r="B434" s="1" t="n">
        <v>45609</v>
      </c>
      <c r="C434" s="1" t="n">
        <v>45908</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3789-2023</t>
        </is>
      </c>
      <c r="B435" s="1" t="n">
        <v>44951</v>
      </c>
      <c r="C435" s="1" t="n">
        <v>45908</v>
      </c>
      <c r="D435" t="inlineStr">
        <is>
          <t>ÖREBRO LÄN</t>
        </is>
      </c>
      <c r="E435" t="inlineStr">
        <is>
          <t>ÖREBRO</t>
        </is>
      </c>
      <c r="G435" t="n">
        <v>7.5</v>
      </c>
      <c r="H435" t="n">
        <v>0</v>
      </c>
      <c r="I435" t="n">
        <v>0</v>
      </c>
      <c r="J435" t="n">
        <v>0</v>
      </c>
      <c r="K435" t="n">
        <v>0</v>
      </c>
      <c r="L435" t="n">
        <v>0</v>
      </c>
      <c r="M435" t="n">
        <v>0</v>
      </c>
      <c r="N435" t="n">
        <v>0</v>
      </c>
      <c r="O435" t="n">
        <v>0</v>
      </c>
      <c r="P435" t="n">
        <v>0</v>
      </c>
      <c r="Q435" t="n">
        <v>0</v>
      </c>
      <c r="R435" s="2" t="inlineStr"/>
    </row>
    <row r="436" ht="15" customHeight="1">
      <c r="A436" t="inlineStr">
        <is>
          <t>A 10368-2021</t>
        </is>
      </c>
      <c r="B436" s="1" t="n">
        <v>44257</v>
      </c>
      <c r="C436" s="1" t="n">
        <v>45908</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4284-2025</t>
        </is>
      </c>
      <c r="B437" s="1" t="n">
        <v>45685</v>
      </c>
      <c r="C437" s="1" t="n">
        <v>45908</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2771-2023</t>
        </is>
      </c>
      <c r="B438" s="1" t="n">
        <v>44944.64704861111</v>
      </c>
      <c r="C438" s="1" t="n">
        <v>45908</v>
      </c>
      <c r="D438" t="inlineStr">
        <is>
          <t>ÖREBRO LÄN</t>
        </is>
      </c>
      <c r="E438" t="inlineStr">
        <is>
          <t>ÖREBRO</t>
        </is>
      </c>
      <c r="G438" t="n">
        <v>15.4</v>
      </c>
      <c r="H438" t="n">
        <v>0</v>
      </c>
      <c r="I438" t="n">
        <v>0</v>
      </c>
      <c r="J438" t="n">
        <v>0</v>
      </c>
      <c r="K438" t="n">
        <v>0</v>
      </c>
      <c r="L438" t="n">
        <v>0</v>
      </c>
      <c r="M438" t="n">
        <v>0</v>
      </c>
      <c r="N438" t="n">
        <v>0</v>
      </c>
      <c r="O438" t="n">
        <v>0</v>
      </c>
      <c r="P438" t="n">
        <v>0</v>
      </c>
      <c r="Q438" t="n">
        <v>0</v>
      </c>
      <c r="R438" s="2" t="inlineStr"/>
    </row>
    <row r="439" ht="15" customHeight="1">
      <c r="A439" t="inlineStr">
        <is>
          <t>A 57869-2024</t>
        </is>
      </c>
      <c r="B439" s="1" t="n">
        <v>45631.44207175926</v>
      </c>
      <c r="C439" s="1" t="n">
        <v>45908</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2076-2025</t>
        </is>
      </c>
      <c r="B440" s="1" t="n">
        <v>45672</v>
      </c>
      <c r="C440" s="1" t="n">
        <v>45908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11565-2023</t>
        </is>
      </c>
      <c r="B441" s="1" t="n">
        <v>44994</v>
      </c>
      <c r="C441" s="1" t="n">
        <v>45908</v>
      </c>
      <c r="D441" t="inlineStr">
        <is>
          <t>ÖREBRO LÄN</t>
        </is>
      </c>
      <c r="E441" t="inlineStr">
        <is>
          <t>ÖREBRO</t>
        </is>
      </c>
      <c r="G441" t="n">
        <v>4.7</v>
      </c>
      <c r="H441" t="n">
        <v>0</v>
      </c>
      <c r="I441" t="n">
        <v>0</v>
      </c>
      <c r="J441" t="n">
        <v>0</v>
      </c>
      <c r="K441" t="n">
        <v>0</v>
      </c>
      <c r="L441" t="n">
        <v>0</v>
      </c>
      <c r="M441" t="n">
        <v>0</v>
      </c>
      <c r="N441" t="n">
        <v>0</v>
      </c>
      <c r="O441" t="n">
        <v>0</v>
      </c>
      <c r="P441" t="n">
        <v>0</v>
      </c>
      <c r="Q441" t="n">
        <v>0</v>
      </c>
      <c r="R441" s="2" t="inlineStr"/>
    </row>
    <row r="442" ht="15" customHeight="1">
      <c r="A442" t="inlineStr">
        <is>
          <t>A 65257-2023</t>
        </is>
      </c>
      <c r="B442" s="1" t="n">
        <v>45290</v>
      </c>
      <c r="C442" s="1" t="n">
        <v>45908</v>
      </c>
      <c r="D442" t="inlineStr">
        <is>
          <t>ÖREBRO LÄN</t>
        </is>
      </c>
      <c r="E442" t="inlineStr">
        <is>
          <t>ÖREBRO</t>
        </is>
      </c>
      <c r="F442" t="inlineStr">
        <is>
          <t>Övriga Aktiebolag</t>
        </is>
      </c>
      <c r="G442" t="n">
        <v>2.4</v>
      </c>
      <c r="H442" t="n">
        <v>0</v>
      </c>
      <c r="I442" t="n">
        <v>0</v>
      </c>
      <c r="J442" t="n">
        <v>0</v>
      </c>
      <c r="K442" t="n">
        <v>0</v>
      </c>
      <c r="L442" t="n">
        <v>0</v>
      </c>
      <c r="M442" t="n">
        <v>0</v>
      </c>
      <c r="N442" t="n">
        <v>0</v>
      </c>
      <c r="O442" t="n">
        <v>0</v>
      </c>
      <c r="P442" t="n">
        <v>0</v>
      </c>
      <c r="Q442" t="n">
        <v>0</v>
      </c>
      <c r="R442" s="2" t="inlineStr"/>
    </row>
    <row r="443" ht="15" customHeight="1">
      <c r="A443" t="inlineStr">
        <is>
          <t>A 1647-2024</t>
        </is>
      </c>
      <c r="B443" s="1" t="n">
        <v>45306</v>
      </c>
      <c r="C443" s="1" t="n">
        <v>45908</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31906-2023</t>
        </is>
      </c>
      <c r="B444" s="1" t="n">
        <v>45118.8353125</v>
      </c>
      <c r="C444" s="1" t="n">
        <v>45908</v>
      </c>
      <c r="D444" t="inlineStr">
        <is>
          <t>ÖREBRO LÄN</t>
        </is>
      </c>
      <c r="E444" t="inlineStr">
        <is>
          <t>ÖREBRO</t>
        </is>
      </c>
      <c r="G444" t="n">
        <v>9</v>
      </c>
      <c r="H444" t="n">
        <v>0</v>
      </c>
      <c r="I444" t="n">
        <v>0</v>
      </c>
      <c r="J444" t="n">
        <v>0</v>
      </c>
      <c r="K444" t="n">
        <v>0</v>
      </c>
      <c r="L444" t="n">
        <v>0</v>
      </c>
      <c r="M444" t="n">
        <v>0</v>
      </c>
      <c r="N444" t="n">
        <v>0</v>
      </c>
      <c r="O444" t="n">
        <v>0</v>
      </c>
      <c r="P444" t="n">
        <v>0</v>
      </c>
      <c r="Q444" t="n">
        <v>0</v>
      </c>
      <c r="R444" s="2" t="inlineStr"/>
    </row>
    <row r="445" ht="15" customHeight="1">
      <c r="A445" t="inlineStr">
        <is>
          <t>A 22510-2024</t>
        </is>
      </c>
      <c r="B445" s="1" t="n">
        <v>45447.37440972222</v>
      </c>
      <c r="C445" s="1" t="n">
        <v>45908</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31326-2024</t>
        </is>
      </c>
      <c r="B446" s="1" t="n">
        <v>45504.5934375</v>
      </c>
      <c r="C446" s="1" t="n">
        <v>45908</v>
      </c>
      <c r="D446" t="inlineStr">
        <is>
          <t>ÖREBRO LÄN</t>
        </is>
      </c>
      <c r="E446" t="inlineStr">
        <is>
          <t>ÖREBRO</t>
        </is>
      </c>
      <c r="G446" t="n">
        <v>6.4</v>
      </c>
      <c r="H446" t="n">
        <v>0</v>
      </c>
      <c r="I446" t="n">
        <v>0</v>
      </c>
      <c r="J446" t="n">
        <v>0</v>
      </c>
      <c r="K446" t="n">
        <v>0</v>
      </c>
      <c r="L446" t="n">
        <v>0</v>
      </c>
      <c r="M446" t="n">
        <v>0</v>
      </c>
      <c r="N446" t="n">
        <v>0</v>
      </c>
      <c r="O446" t="n">
        <v>0</v>
      </c>
      <c r="P446" t="n">
        <v>0</v>
      </c>
      <c r="Q446" t="n">
        <v>0</v>
      </c>
      <c r="R446" s="2" t="inlineStr"/>
    </row>
    <row r="447" ht="15" customHeight="1">
      <c r="A447" t="inlineStr">
        <is>
          <t>A 20589-2024</t>
        </is>
      </c>
      <c r="B447" s="1" t="n">
        <v>45436.42077546296</v>
      </c>
      <c r="C447" s="1" t="n">
        <v>45908</v>
      </c>
      <c r="D447" t="inlineStr">
        <is>
          <t>ÖREBRO LÄN</t>
        </is>
      </c>
      <c r="E447" t="inlineStr">
        <is>
          <t>ÖREBRO</t>
        </is>
      </c>
      <c r="G447" t="n">
        <v>3.7</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45908</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16694-2025</t>
        </is>
      </c>
      <c r="B449" s="1" t="n">
        <v>45754.46480324074</v>
      </c>
      <c r="C449" s="1" t="n">
        <v>45908</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58216-2024</t>
        </is>
      </c>
      <c r="B450" s="1" t="n">
        <v>45632</v>
      </c>
      <c r="C450" s="1" t="n">
        <v>45908</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30374-2023</t>
        </is>
      </c>
      <c r="B451" s="1" t="n">
        <v>45111</v>
      </c>
      <c r="C451" s="1" t="n">
        <v>45908</v>
      </c>
      <c r="D451" t="inlineStr">
        <is>
          <t>ÖREBRO LÄN</t>
        </is>
      </c>
      <c r="E451" t="inlineStr">
        <is>
          <t>ÖREBRO</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3763-2025</t>
        </is>
      </c>
      <c r="B452" s="1" t="n">
        <v>45681</v>
      </c>
      <c r="C452" s="1" t="n">
        <v>45908</v>
      </c>
      <c r="D452" t="inlineStr">
        <is>
          <t>ÖREBRO LÄN</t>
        </is>
      </c>
      <c r="E452" t="inlineStr">
        <is>
          <t>ÖREBRO</t>
        </is>
      </c>
      <c r="G452" t="n">
        <v>10.1</v>
      </c>
      <c r="H452" t="n">
        <v>0</v>
      </c>
      <c r="I452" t="n">
        <v>0</v>
      </c>
      <c r="J452" t="n">
        <v>0</v>
      </c>
      <c r="K452" t="n">
        <v>0</v>
      </c>
      <c r="L452" t="n">
        <v>0</v>
      </c>
      <c r="M452" t="n">
        <v>0</v>
      </c>
      <c r="N452" t="n">
        <v>0</v>
      </c>
      <c r="O452" t="n">
        <v>0</v>
      </c>
      <c r="P452" t="n">
        <v>0</v>
      </c>
      <c r="Q452" t="n">
        <v>0</v>
      </c>
      <c r="R452" s="2" t="inlineStr"/>
    </row>
    <row r="453" ht="15" customHeight="1">
      <c r="A453" t="inlineStr">
        <is>
          <t>A 38898-2023</t>
        </is>
      </c>
      <c r="B453" s="1" t="n">
        <v>45163</v>
      </c>
      <c r="C453" s="1" t="n">
        <v>45908</v>
      </c>
      <c r="D453" t="inlineStr">
        <is>
          <t>ÖREBRO LÄN</t>
        </is>
      </c>
      <c r="E453" t="inlineStr">
        <is>
          <t>ÖREBRO</t>
        </is>
      </c>
      <c r="G453" t="n">
        <v>5.1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45908</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21036-2024</t>
        </is>
      </c>
      <c r="B455" s="1" t="n">
        <v>45439.65954861111</v>
      </c>
      <c r="C455" s="1" t="n">
        <v>45908</v>
      </c>
      <c r="D455" t="inlineStr">
        <is>
          <t>ÖREBRO LÄN</t>
        </is>
      </c>
      <c r="E455" t="inlineStr">
        <is>
          <t>ÖREBRO</t>
        </is>
      </c>
      <c r="F455" t="inlineStr">
        <is>
          <t>Övriga Aktiebolag</t>
        </is>
      </c>
      <c r="G455" t="n">
        <v>5.7</v>
      </c>
      <c r="H455" t="n">
        <v>0</v>
      </c>
      <c r="I455" t="n">
        <v>0</v>
      </c>
      <c r="J455" t="n">
        <v>0</v>
      </c>
      <c r="K455" t="n">
        <v>0</v>
      </c>
      <c r="L455" t="n">
        <v>0</v>
      </c>
      <c r="M455" t="n">
        <v>0</v>
      </c>
      <c r="N455" t="n">
        <v>0</v>
      </c>
      <c r="O455" t="n">
        <v>0</v>
      </c>
      <c r="P455" t="n">
        <v>0</v>
      </c>
      <c r="Q455" t="n">
        <v>0</v>
      </c>
      <c r="R455" s="2" t="inlineStr"/>
    </row>
    <row r="456" ht="15" customHeight="1">
      <c r="A456" t="inlineStr">
        <is>
          <t>A 5324-2024</t>
        </is>
      </c>
      <c r="B456" s="1" t="n">
        <v>45331</v>
      </c>
      <c r="C456" s="1" t="n">
        <v>45908</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18360-2024</t>
        </is>
      </c>
      <c r="B457" s="1" t="n">
        <v>45422</v>
      </c>
      <c r="C457" s="1" t="n">
        <v>45908</v>
      </c>
      <c r="D457" t="inlineStr">
        <is>
          <t>ÖREBRO LÄN</t>
        </is>
      </c>
      <c r="E457" t="inlineStr">
        <is>
          <t>ÖREBRO</t>
        </is>
      </c>
      <c r="G457" t="n">
        <v>0.7</v>
      </c>
      <c r="H457" t="n">
        <v>0</v>
      </c>
      <c r="I457" t="n">
        <v>0</v>
      </c>
      <c r="J457" t="n">
        <v>0</v>
      </c>
      <c r="K457" t="n">
        <v>0</v>
      </c>
      <c r="L457" t="n">
        <v>0</v>
      </c>
      <c r="M457" t="n">
        <v>0</v>
      </c>
      <c r="N457" t="n">
        <v>0</v>
      </c>
      <c r="O457" t="n">
        <v>0</v>
      </c>
      <c r="P457" t="n">
        <v>0</v>
      </c>
      <c r="Q457" t="n">
        <v>0</v>
      </c>
      <c r="R457" s="2" t="inlineStr"/>
    </row>
    <row r="458" ht="15" customHeight="1">
      <c r="A458" t="inlineStr">
        <is>
          <t>A 16676-2025</t>
        </is>
      </c>
      <c r="B458" s="1" t="n">
        <v>45754.44658564815</v>
      </c>
      <c r="C458" s="1" t="n">
        <v>45908</v>
      </c>
      <c r="D458" t="inlineStr">
        <is>
          <t>ÖREBRO LÄN</t>
        </is>
      </c>
      <c r="E458" t="inlineStr">
        <is>
          <t>ÖREBRO</t>
        </is>
      </c>
      <c r="G458" t="n">
        <v>5.8</v>
      </c>
      <c r="H458" t="n">
        <v>0</v>
      </c>
      <c r="I458" t="n">
        <v>0</v>
      </c>
      <c r="J458" t="n">
        <v>0</v>
      </c>
      <c r="K458" t="n">
        <v>0</v>
      </c>
      <c r="L458" t="n">
        <v>0</v>
      </c>
      <c r="M458" t="n">
        <v>0</v>
      </c>
      <c r="N458" t="n">
        <v>0</v>
      </c>
      <c r="O458" t="n">
        <v>0</v>
      </c>
      <c r="P458" t="n">
        <v>0</v>
      </c>
      <c r="Q458" t="n">
        <v>0</v>
      </c>
      <c r="R458" s="2" t="inlineStr"/>
    </row>
    <row r="459" ht="15" customHeight="1">
      <c r="A459" t="inlineStr">
        <is>
          <t>A 5357-2024</t>
        </is>
      </c>
      <c r="B459" s="1" t="n">
        <v>45331</v>
      </c>
      <c r="C459" s="1" t="n">
        <v>45908</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57243-2022</t>
        </is>
      </c>
      <c r="B460" s="1" t="n">
        <v>44895.71835648148</v>
      </c>
      <c r="C460" s="1" t="n">
        <v>45908</v>
      </c>
      <c r="D460" t="inlineStr">
        <is>
          <t>ÖREBRO LÄN</t>
        </is>
      </c>
      <c r="E460" t="inlineStr">
        <is>
          <t>ÖREBRO</t>
        </is>
      </c>
      <c r="G460" t="n">
        <v>6</v>
      </c>
      <c r="H460" t="n">
        <v>0</v>
      </c>
      <c r="I460" t="n">
        <v>0</v>
      </c>
      <c r="J460" t="n">
        <v>0</v>
      </c>
      <c r="K460" t="n">
        <v>0</v>
      </c>
      <c r="L460" t="n">
        <v>0</v>
      </c>
      <c r="M460" t="n">
        <v>0</v>
      </c>
      <c r="N460" t="n">
        <v>0</v>
      </c>
      <c r="O460" t="n">
        <v>0</v>
      </c>
      <c r="P460" t="n">
        <v>0</v>
      </c>
      <c r="Q460" t="n">
        <v>0</v>
      </c>
      <c r="R460" s="2" t="inlineStr"/>
    </row>
    <row r="461" ht="15" customHeight="1">
      <c r="A461" t="inlineStr">
        <is>
          <t>A 40051-2024</t>
        </is>
      </c>
      <c r="B461" s="1" t="n">
        <v>45553</v>
      </c>
      <c r="C461" s="1" t="n">
        <v>45908</v>
      </c>
      <c r="D461" t="inlineStr">
        <is>
          <t>ÖREBRO LÄN</t>
        </is>
      </c>
      <c r="E461" t="inlineStr">
        <is>
          <t>ÖREBRO</t>
        </is>
      </c>
      <c r="G461" t="n">
        <v>3.5</v>
      </c>
      <c r="H461" t="n">
        <v>0</v>
      </c>
      <c r="I461" t="n">
        <v>0</v>
      </c>
      <c r="J461" t="n">
        <v>0</v>
      </c>
      <c r="K461" t="n">
        <v>0</v>
      </c>
      <c r="L461" t="n">
        <v>0</v>
      </c>
      <c r="M461" t="n">
        <v>0</v>
      </c>
      <c r="N461" t="n">
        <v>0</v>
      </c>
      <c r="O461" t="n">
        <v>0</v>
      </c>
      <c r="P461" t="n">
        <v>0</v>
      </c>
      <c r="Q461" t="n">
        <v>0</v>
      </c>
      <c r="R461" s="2" t="inlineStr"/>
    </row>
    <row r="462" ht="15" customHeight="1">
      <c r="A462" t="inlineStr">
        <is>
          <t>A 50446-2023</t>
        </is>
      </c>
      <c r="B462" s="1" t="n">
        <v>45216</v>
      </c>
      <c r="C462" s="1" t="n">
        <v>45908</v>
      </c>
      <c r="D462" t="inlineStr">
        <is>
          <t>ÖREBRO LÄN</t>
        </is>
      </c>
      <c r="E462" t="inlineStr">
        <is>
          <t>ÖREBRO</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50450-2023</t>
        </is>
      </c>
      <c r="B463" s="1" t="n">
        <v>45216.73533564815</v>
      </c>
      <c r="C463" s="1" t="n">
        <v>45908</v>
      </c>
      <c r="D463" t="inlineStr">
        <is>
          <t>ÖREBRO LÄN</t>
        </is>
      </c>
      <c r="E463" t="inlineStr">
        <is>
          <t>ÖREBRO</t>
        </is>
      </c>
      <c r="F463" t="inlineStr">
        <is>
          <t>Övriga Aktiebolag</t>
        </is>
      </c>
      <c r="G463" t="n">
        <v>0.8</v>
      </c>
      <c r="H463" t="n">
        <v>0</v>
      </c>
      <c r="I463" t="n">
        <v>0</v>
      </c>
      <c r="J463" t="n">
        <v>0</v>
      </c>
      <c r="K463" t="n">
        <v>0</v>
      </c>
      <c r="L463" t="n">
        <v>0</v>
      </c>
      <c r="M463" t="n">
        <v>0</v>
      </c>
      <c r="N463" t="n">
        <v>0</v>
      </c>
      <c r="O463" t="n">
        <v>0</v>
      </c>
      <c r="P463" t="n">
        <v>0</v>
      </c>
      <c r="Q463" t="n">
        <v>0</v>
      </c>
      <c r="R463" s="2" t="inlineStr"/>
    </row>
    <row r="464" ht="15" customHeight="1">
      <c r="A464" t="inlineStr">
        <is>
          <t>A 26117-2021</t>
        </is>
      </c>
      <c r="B464" s="1" t="n">
        <v>44345</v>
      </c>
      <c r="C464" s="1" t="n">
        <v>45908</v>
      </c>
      <c r="D464" t="inlineStr">
        <is>
          <t>ÖREBRO LÄN</t>
        </is>
      </c>
      <c r="E464" t="inlineStr">
        <is>
          <t>ÖREBRO</t>
        </is>
      </c>
      <c r="G464" t="n">
        <v>8.1</v>
      </c>
      <c r="H464" t="n">
        <v>0</v>
      </c>
      <c r="I464" t="n">
        <v>0</v>
      </c>
      <c r="J464" t="n">
        <v>0</v>
      </c>
      <c r="K464" t="n">
        <v>0</v>
      </c>
      <c r="L464" t="n">
        <v>0</v>
      </c>
      <c r="M464" t="n">
        <v>0</v>
      </c>
      <c r="N464" t="n">
        <v>0</v>
      </c>
      <c r="O464" t="n">
        <v>0</v>
      </c>
      <c r="P464" t="n">
        <v>0</v>
      </c>
      <c r="Q464" t="n">
        <v>0</v>
      </c>
      <c r="R464" s="2" t="inlineStr"/>
    </row>
    <row r="465" ht="15" customHeight="1">
      <c r="A465" t="inlineStr">
        <is>
          <t>A 6879-2024</t>
        </is>
      </c>
      <c r="B465" s="1" t="n">
        <v>45342.85280092592</v>
      </c>
      <c r="C465" s="1" t="n">
        <v>45908</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58032-2023</t>
        </is>
      </c>
      <c r="B466" s="1" t="n">
        <v>45247</v>
      </c>
      <c r="C466" s="1" t="n">
        <v>45908</v>
      </c>
      <c r="D466" t="inlineStr">
        <is>
          <t>ÖREBRO LÄN</t>
        </is>
      </c>
      <c r="E466" t="inlineStr">
        <is>
          <t>ÖREBRO</t>
        </is>
      </c>
      <c r="G466" t="n">
        <v>1.1</v>
      </c>
      <c r="H466" t="n">
        <v>0</v>
      </c>
      <c r="I466" t="n">
        <v>0</v>
      </c>
      <c r="J466" t="n">
        <v>0</v>
      </c>
      <c r="K466" t="n">
        <v>0</v>
      </c>
      <c r="L466" t="n">
        <v>0</v>
      </c>
      <c r="M466" t="n">
        <v>0</v>
      </c>
      <c r="N466" t="n">
        <v>0</v>
      </c>
      <c r="O466" t="n">
        <v>0</v>
      </c>
      <c r="P466" t="n">
        <v>0</v>
      </c>
      <c r="Q466" t="n">
        <v>0</v>
      </c>
      <c r="R466" s="2" t="inlineStr"/>
    </row>
    <row r="467" ht="15" customHeight="1">
      <c r="A467" t="inlineStr">
        <is>
          <t>A 58035-2023</t>
        </is>
      </c>
      <c r="B467" s="1" t="n">
        <v>45247</v>
      </c>
      <c r="C467" s="1" t="n">
        <v>45908</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6387-2021</t>
        </is>
      </c>
      <c r="B468" s="1" t="n">
        <v>44235</v>
      </c>
      <c r="C468" s="1" t="n">
        <v>45908</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8332-2021</t>
        </is>
      </c>
      <c r="B469" s="1" t="n">
        <v>44244</v>
      </c>
      <c r="C469" s="1" t="n">
        <v>45908</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7506-2025</t>
        </is>
      </c>
      <c r="B470" s="1" t="n">
        <v>45705</v>
      </c>
      <c r="C470" s="1" t="n">
        <v>45908</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45908</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5946-2021</t>
        </is>
      </c>
      <c r="B472" s="1" t="n">
        <v>44230</v>
      </c>
      <c r="C472" s="1" t="n">
        <v>45908</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58615-2024</t>
        </is>
      </c>
      <c r="B473" s="1" t="n">
        <v>45635.5587037037</v>
      </c>
      <c r="C473" s="1" t="n">
        <v>45908</v>
      </c>
      <c r="D473" t="inlineStr">
        <is>
          <t>ÖREBRO LÄN</t>
        </is>
      </c>
      <c r="E473" t="inlineStr">
        <is>
          <t>ÖREBRO</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58620-2024</t>
        </is>
      </c>
      <c r="B474" s="1" t="n">
        <v>45635.56246527778</v>
      </c>
      <c r="C474" s="1" t="n">
        <v>45908</v>
      </c>
      <c r="D474" t="inlineStr">
        <is>
          <t>ÖREBRO LÄN</t>
        </is>
      </c>
      <c r="E474" t="inlineStr">
        <is>
          <t>ÖREBRO</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1014-2024</t>
        </is>
      </c>
      <c r="B475" s="1" t="n">
        <v>45301</v>
      </c>
      <c r="C475" s="1" t="n">
        <v>45908</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30472-2022</t>
        </is>
      </c>
      <c r="B476" s="1" t="n">
        <v>44761.70467592592</v>
      </c>
      <c r="C476" s="1" t="n">
        <v>45908</v>
      </c>
      <c r="D476" t="inlineStr">
        <is>
          <t>ÖREBRO LÄN</t>
        </is>
      </c>
      <c r="E476" t="inlineStr">
        <is>
          <t>ÖREBRO</t>
        </is>
      </c>
      <c r="F476" t="inlineStr">
        <is>
          <t>Övriga Aktiebolag</t>
        </is>
      </c>
      <c r="G476" t="n">
        <v>5.6</v>
      </c>
      <c r="H476" t="n">
        <v>0</v>
      </c>
      <c r="I476" t="n">
        <v>0</v>
      </c>
      <c r="J476" t="n">
        <v>0</v>
      </c>
      <c r="K476" t="n">
        <v>0</v>
      </c>
      <c r="L476" t="n">
        <v>0</v>
      </c>
      <c r="M476" t="n">
        <v>0</v>
      </c>
      <c r="N476" t="n">
        <v>0</v>
      </c>
      <c r="O476" t="n">
        <v>0</v>
      </c>
      <c r="P476" t="n">
        <v>0</v>
      </c>
      <c r="Q476" t="n">
        <v>0</v>
      </c>
      <c r="R476" s="2" t="inlineStr"/>
    </row>
    <row r="477" ht="15" customHeight="1">
      <c r="A477" t="inlineStr">
        <is>
          <t>A 34056-2023</t>
        </is>
      </c>
      <c r="B477" s="1" t="n">
        <v>45135</v>
      </c>
      <c r="C477" s="1" t="n">
        <v>45908</v>
      </c>
      <c r="D477" t="inlineStr">
        <is>
          <t>ÖREBRO LÄN</t>
        </is>
      </c>
      <c r="E477" t="inlineStr">
        <is>
          <t>ÖREBRO</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43612-2022</t>
        </is>
      </c>
      <c r="B478" s="1" t="n">
        <v>44837</v>
      </c>
      <c r="C478" s="1" t="n">
        <v>45908</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51373-2023</t>
        </is>
      </c>
      <c r="B479" s="1" t="n">
        <v>45213</v>
      </c>
      <c r="C479" s="1" t="n">
        <v>45908</v>
      </c>
      <c r="D479" t="inlineStr">
        <is>
          <t>ÖREBRO LÄN</t>
        </is>
      </c>
      <c r="E479" t="inlineStr">
        <is>
          <t>ÖREBRO</t>
        </is>
      </c>
      <c r="G479" t="n">
        <v>5.9</v>
      </c>
      <c r="H479" t="n">
        <v>0</v>
      </c>
      <c r="I479" t="n">
        <v>0</v>
      </c>
      <c r="J479" t="n">
        <v>0</v>
      </c>
      <c r="K479" t="n">
        <v>0</v>
      </c>
      <c r="L479" t="n">
        <v>0</v>
      </c>
      <c r="M479" t="n">
        <v>0</v>
      </c>
      <c r="N479" t="n">
        <v>0</v>
      </c>
      <c r="O479" t="n">
        <v>0</v>
      </c>
      <c r="P479" t="n">
        <v>0</v>
      </c>
      <c r="Q479" t="n">
        <v>0</v>
      </c>
      <c r="R479" s="2" t="inlineStr"/>
    </row>
    <row r="480" ht="15" customHeight="1">
      <c r="A480" t="inlineStr">
        <is>
          <t>A 31240-2023</t>
        </is>
      </c>
      <c r="B480" s="1" t="n">
        <v>45114</v>
      </c>
      <c r="C480" s="1" t="n">
        <v>45908</v>
      </c>
      <c r="D480" t="inlineStr">
        <is>
          <t>ÖREBRO LÄN</t>
        </is>
      </c>
      <c r="E480" t="inlineStr">
        <is>
          <t>ÖREBRO</t>
        </is>
      </c>
      <c r="F480" t="inlineStr">
        <is>
          <t>Allmännings- och besparingsskogar</t>
        </is>
      </c>
      <c r="G480" t="n">
        <v>6.2</v>
      </c>
      <c r="H480" t="n">
        <v>0</v>
      </c>
      <c r="I480" t="n">
        <v>0</v>
      </c>
      <c r="J480" t="n">
        <v>0</v>
      </c>
      <c r="K480" t="n">
        <v>0</v>
      </c>
      <c r="L480" t="n">
        <v>0</v>
      </c>
      <c r="M480" t="n">
        <v>0</v>
      </c>
      <c r="N480" t="n">
        <v>0</v>
      </c>
      <c r="O480" t="n">
        <v>0</v>
      </c>
      <c r="P480" t="n">
        <v>0</v>
      </c>
      <c r="Q480" t="n">
        <v>0</v>
      </c>
      <c r="R480" s="2" t="inlineStr"/>
    </row>
    <row r="481" ht="15" customHeight="1">
      <c r="A481" t="inlineStr">
        <is>
          <t>A 14717-2024</t>
        </is>
      </c>
      <c r="B481" s="1" t="n">
        <v>45397.55104166667</v>
      </c>
      <c r="C481" s="1" t="n">
        <v>45908</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35843-2022</t>
        </is>
      </c>
      <c r="B482" s="1" t="n">
        <v>44802</v>
      </c>
      <c r="C482" s="1" t="n">
        <v>45908</v>
      </c>
      <c r="D482" t="inlineStr">
        <is>
          <t>ÖREBRO LÄN</t>
        </is>
      </c>
      <c r="E482" t="inlineStr">
        <is>
          <t>ÖREBRO</t>
        </is>
      </c>
      <c r="G482" t="n">
        <v>2.4</v>
      </c>
      <c r="H482" t="n">
        <v>0</v>
      </c>
      <c r="I482" t="n">
        <v>0</v>
      </c>
      <c r="J482" t="n">
        <v>0</v>
      </c>
      <c r="K482" t="n">
        <v>0</v>
      </c>
      <c r="L482" t="n">
        <v>0</v>
      </c>
      <c r="M482" t="n">
        <v>0</v>
      </c>
      <c r="N482" t="n">
        <v>0</v>
      </c>
      <c r="O482" t="n">
        <v>0</v>
      </c>
      <c r="P482" t="n">
        <v>0</v>
      </c>
      <c r="Q482" t="n">
        <v>0</v>
      </c>
      <c r="R482" s="2" t="inlineStr"/>
    </row>
    <row r="483" ht="15" customHeight="1">
      <c r="A483" t="inlineStr">
        <is>
          <t>A 13599-2025</t>
        </is>
      </c>
      <c r="B483" s="1" t="n">
        <v>45736.60597222222</v>
      </c>
      <c r="C483" s="1" t="n">
        <v>45908</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20146-2024</t>
        </is>
      </c>
      <c r="B484" s="1" t="n">
        <v>45434.57641203704</v>
      </c>
      <c r="C484" s="1" t="n">
        <v>45908</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10937-2024</t>
        </is>
      </c>
      <c r="B485" s="1" t="n">
        <v>45370.44461805555</v>
      </c>
      <c r="C485" s="1" t="n">
        <v>45908</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37968-2024</t>
        </is>
      </c>
      <c r="B486" s="1" t="n">
        <v>45544</v>
      </c>
      <c r="C486" s="1" t="n">
        <v>45908</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20115-2024</t>
        </is>
      </c>
      <c r="B487" s="1" t="n">
        <v>45434</v>
      </c>
      <c r="C487" s="1" t="n">
        <v>45908</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16936-2023</t>
        </is>
      </c>
      <c r="B488" s="1" t="n">
        <v>45033.63005787037</v>
      </c>
      <c r="C488" s="1" t="n">
        <v>45908</v>
      </c>
      <c r="D488" t="inlineStr">
        <is>
          <t>ÖREBRO LÄN</t>
        </is>
      </c>
      <c r="E488" t="inlineStr">
        <is>
          <t>ÖREBRO</t>
        </is>
      </c>
      <c r="G488" t="n">
        <v>2</v>
      </c>
      <c r="H488" t="n">
        <v>0</v>
      </c>
      <c r="I488" t="n">
        <v>0</v>
      </c>
      <c r="J488" t="n">
        <v>0</v>
      </c>
      <c r="K488" t="n">
        <v>0</v>
      </c>
      <c r="L488" t="n">
        <v>0</v>
      </c>
      <c r="M488" t="n">
        <v>0</v>
      </c>
      <c r="N488" t="n">
        <v>0</v>
      </c>
      <c r="O488" t="n">
        <v>0</v>
      </c>
      <c r="P488" t="n">
        <v>0</v>
      </c>
      <c r="Q488" t="n">
        <v>0</v>
      </c>
      <c r="R488" s="2" t="inlineStr"/>
    </row>
    <row r="489" ht="15" customHeight="1">
      <c r="A489" t="inlineStr">
        <is>
          <t>A 40588-2021</t>
        </is>
      </c>
      <c r="B489" s="1" t="n">
        <v>44420</v>
      </c>
      <c r="C489" s="1" t="n">
        <v>45908</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25443-2021</t>
        </is>
      </c>
      <c r="B490" s="1" t="n">
        <v>44342</v>
      </c>
      <c r="C490" s="1" t="n">
        <v>45908</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8565-2021</t>
        </is>
      </c>
      <c r="B491" s="1" t="n">
        <v>44245</v>
      </c>
      <c r="C491" s="1" t="n">
        <v>45908</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8575-2021</t>
        </is>
      </c>
      <c r="B492" s="1" t="n">
        <v>44245</v>
      </c>
      <c r="C492" s="1" t="n">
        <v>45908</v>
      </c>
      <c r="D492" t="inlineStr">
        <is>
          <t>ÖREBRO LÄN</t>
        </is>
      </c>
      <c r="E492" t="inlineStr">
        <is>
          <t>ÖREBRO</t>
        </is>
      </c>
      <c r="G492" t="n">
        <v>3.4</v>
      </c>
      <c r="H492" t="n">
        <v>0</v>
      </c>
      <c r="I492" t="n">
        <v>0</v>
      </c>
      <c r="J492" t="n">
        <v>0</v>
      </c>
      <c r="K492" t="n">
        <v>0</v>
      </c>
      <c r="L492" t="n">
        <v>0</v>
      </c>
      <c r="M492" t="n">
        <v>0</v>
      </c>
      <c r="N492" t="n">
        <v>0</v>
      </c>
      <c r="O492" t="n">
        <v>0</v>
      </c>
      <c r="P492" t="n">
        <v>0</v>
      </c>
      <c r="Q492" t="n">
        <v>0</v>
      </c>
      <c r="R492" s="2" t="inlineStr"/>
    </row>
    <row r="493" ht="15" customHeight="1">
      <c r="A493" t="inlineStr">
        <is>
          <t>A 13700-2024</t>
        </is>
      </c>
      <c r="B493" s="1" t="n">
        <v>45390.59277777778</v>
      </c>
      <c r="C493" s="1" t="n">
        <v>45908</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57485-2023</t>
        </is>
      </c>
      <c r="B494" s="1" t="n">
        <v>45246</v>
      </c>
      <c r="C494" s="1" t="n">
        <v>45908</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6213-2021</t>
        </is>
      </c>
      <c r="B495" s="1" t="n">
        <v>44232</v>
      </c>
      <c r="C495" s="1" t="n">
        <v>45908</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37025-2024</t>
        </is>
      </c>
      <c r="B496" s="1" t="n">
        <v>45539.3840162037</v>
      </c>
      <c r="C496" s="1" t="n">
        <v>45908</v>
      </c>
      <c r="D496" t="inlineStr">
        <is>
          <t>ÖREBRO LÄN</t>
        </is>
      </c>
      <c r="E496" t="inlineStr">
        <is>
          <t>ÖREBRO</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37027-2024</t>
        </is>
      </c>
      <c r="B497" s="1" t="n">
        <v>45539.38487268519</v>
      </c>
      <c r="C497" s="1" t="n">
        <v>45908</v>
      </c>
      <c r="D497" t="inlineStr">
        <is>
          <t>ÖREBRO LÄN</t>
        </is>
      </c>
      <c r="E497" t="inlineStr">
        <is>
          <t>ÖREBRO</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59265-2020</t>
        </is>
      </c>
      <c r="B498" s="1" t="n">
        <v>44147.67359953704</v>
      </c>
      <c r="C498" s="1" t="n">
        <v>45908</v>
      </c>
      <c r="D498" t="inlineStr">
        <is>
          <t>ÖREBRO LÄN</t>
        </is>
      </c>
      <c r="E498" t="inlineStr">
        <is>
          <t>ÖREBRO</t>
        </is>
      </c>
      <c r="G498" t="n">
        <v>2.4</v>
      </c>
      <c r="H498" t="n">
        <v>0</v>
      </c>
      <c r="I498" t="n">
        <v>0</v>
      </c>
      <c r="J498" t="n">
        <v>0</v>
      </c>
      <c r="K498" t="n">
        <v>0</v>
      </c>
      <c r="L498" t="n">
        <v>0</v>
      </c>
      <c r="M498" t="n">
        <v>0</v>
      </c>
      <c r="N498" t="n">
        <v>0</v>
      </c>
      <c r="O498" t="n">
        <v>0</v>
      </c>
      <c r="P498" t="n">
        <v>0</v>
      </c>
      <c r="Q498" t="n">
        <v>0</v>
      </c>
      <c r="R498" s="2" t="inlineStr"/>
    </row>
    <row r="499" ht="15" customHeight="1">
      <c r="A499" t="inlineStr">
        <is>
          <t>A 60506-2024</t>
        </is>
      </c>
      <c r="B499" s="1" t="n">
        <v>45643.66630787037</v>
      </c>
      <c r="C499" s="1" t="n">
        <v>45908</v>
      </c>
      <c r="D499" t="inlineStr">
        <is>
          <t>ÖREBRO LÄN</t>
        </is>
      </c>
      <c r="E499" t="inlineStr">
        <is>
          <t>ÖREBRO</t>
        </is>
      </c>
      <c r="G499" t="n">
        <v>5.8</v>
      </c>
      <c r="H499" t="n">
        <v>0</v>
      </c>
      <c r="I499" t="n">
        <v>0</v>
      </c>
      <c r="J499" t="n">
        <v>0</v>
      </c>
      <c r="K499" t="n">
        <v>0</v>
      </c>
      <c r="L499" t="n">
        <v>0</v>
      </c>
      <c r="M499" t="n">
        <v>0</v>
      </c>
      <c r="N499" t="n">
        <v>0</v>
      </c>
      <c r="O499" t="n">
        <v>0</v>
      </c>
      <c r="P499" t="n">
        <v>0</v>
      </c>
      <c r="Q499" t="n">
        <v>0</v>
      </c>
      <c r="R499" s="2" t="inlineStr"/>
    </row>
    <row r="500" ht="15" customHeight="1">
      <c r="A500" t="inlineStr">
        <is>
          <t>A 5398-2022</t>
        </is>
      </c>
      <c r="B500" s="1" t="n">
        <v>44595.3353587963</v>
      </c>
      <c r="C500" s="1" t="n">
        <v>45908</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44284-2022</t>
        </is>
      </c>
      <c r="B501" s="1" t="n">
        <v>44839.59194444444</v>
      </c>
      <c r="C501" s="1" t="n">
        <v>45908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45908</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38415-2023</t>
        </is>
      </c>
      <c r="B503" s="1" t="n">
        <v>45162.35502314815</v>
      </c>
      <c r="C503" s="1" t="n">
        <v>45908</v>
      </c>
      <c r="D503" t="inlineStr">
        <is>
          <t>ÖREBRO LÄN</t>
        </is>
      </c>
      <c r="E503" t="inlineStr">
        <is>
          <t>ÖREBRO</t>
        </is>
      </c>
      <c r="G503" t="n">
        <v>2.6</v>
      </c>
      <c r="H503" t="n">
        <v>0</v>
      </c>
      <c r="I503" t="n">
        <v>0</v>
      </c>
      <c r="J503" t="n">
        <v>0</v>
      </c>
      <c r="K503" t="n">
        <v>0</v>
      </c>
      <c r="L503" t="n">
        <v>0</v>
      </c>
      <c r="M503" t="n">
        <v>0</v>
      </c>
      <c r="N503" t="n">
        <v>0</v>
      </c>
      <c r="O503" t="n">
        <v>0</v>
      </c>
      <c r="P503" t="n">
        <v>0</v>
      </c>
      <c r="Q503" t="n">
        <v>0</v>
      </c>
      <c r="R503" s="2" t="inlineStr"/>
    </row>
    <row r="504" ht="15" customHeight="1">
      <c r="A504" t="inlineStr">
        <is>
          <t>A 11663-2024</t>
        </is>
      </c>
      <c r="B504" s="1" t="n">
        <v>45373</v>
      </c>
      <c r="C504" s="1" t="n">
        <v>45908</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60128-2023</t>
        </is>
      </c>
      <c r="B505" s="1" t="n">
        <v>45258</v>
      </c>
      <c r="C505" s="1" t="n">
        <v>45908</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58608-2024</t>
        </is>
      </c>
      <c r="B506" s="1" t="n">
        <v>45635.55185185185</v>
      </c>
      <c r="C506" s="1" t="n">
        <v>45908</v>
      </c>
      <c r="D506" t="inlineStr">
        <is>
          <t>ÖREBRO LÄN</t>
        </is>
      </c>
      <c r="E506" t="inlineStr">
        <is>
          <t>ÖREBRO</t>
        </is>
      </c>
      <c r="F506" t="inlineStr">
        <is>
          <t>Sveaskog</t>
        </is>
      </c>
      <c r="G506" t="n">
        <v>0.3</v>
      </c>
      <c r="H506" t="n">
        <v>0</v>
      </c>
      <c r="I506" t="n">
        <v>0</v>
      </c>
      <c r="J506" t="n">
        <v>0</v>
      </c>
      <c r="K506" t="n">
        <v>0</v>
      </c>
      <c r="L506" t="n">
        <v>0</v>
      </c>
      <c r="M506" t="n">
        <v>0</v>
      </c>
      <c r="N506" t="n">
        <v>0</v>
      </c>
      <c r="O506" t="n">
        <v>0</v>
      </c>
      <c r="P506" t="n">
        <v>0</v>
      </c>
      <c r="Q506" t="n">
        <v>0</v>
      </c>
      <c r="R506" s="2" t="inlineStr"/>
    </row>
    <row r="507" ht="15" customHeight="1">
      <c r="A507" t="inlineStr">
        <is>
          <t>A 18047-2023</t>
        </is>
      </c>
      <c r="B507" s="1" t="n">
        <v>45040</v>
      </c>
      <c r="C507" s="1" t="n">
        <v>45908</v>
      </c>
      <c r="D507" t="inlineStr">
        <is>
          <t>ÖREBRO LÄN</t>
        </is>
      </c>
      <c r="E507" t="inlineStr">
        <is>
          <t>ÖREBRO</t>
        </is>
      </c>
      <c r="G507" t="n">
        <v>3.9</v>
      </c>
      <c r="H507" t="n">
        <v>0</v>
      </c>
      <c r="I507" t="n">
        <v>0</v>
      </c>
      <c r="J507" t="n">
        <v>0</v>
      </c>
      <c r="K507" t="n">
        <v>0</v>
      </c>
      <c r="L507" t="n">
        <v>0</v>
      </c>
      <c r="M507" t="n">
        <v>0</v>
      </c>
      <c r="N507" t="n">
        <v>0</v>
      </c>
      <c r="O507" t="n">
        <v>0</v>
      </c>
      <c r="P507" t="n">
        <v>0</v>
      </c>
      <c r="Q507" t="n">
        <v>0</v>
      </c>
      <c r="R507" s="2" t="inlineStr"/>
    </row>
    <row r="508" ht="15" customHeight="1">
      <c r="A508" t="inlineStr">
        <is>
          <t>A 49797-2024</t>
        </is>
      </c>
      <c r="B508" s="1" t="n">
        <v>45597.37265046296</v>
      </c>
      <c r="C508" s="1" t="n">
        <v>45908</v>
      </c>
      <c r="D508" t="inlineStr">
        <is>
          <t>ÖREBRO LÄN</t>
        </is>
      </c>
      <c r="E508" t="inlineStr">
        <is>
          <t>ÖREBRO</t>
        </is>
      </c>
      <c r="G508" t="n">
        <v>11.6</v>
      </c>
      <c r="H508" t="n">
        <v>0</v>
      </c>
      <c r="I508" t="n">
        <v>0</v>
      </c>
      <c r="J508" t="n">
        <v>0</v>
      </c>
      <c r="K508" t="n">
        <v>0</v>
      </c>
      <c r="L508" t="n">
        <v>0</v>
      </c>
      <c r="M508" t="n">
        <v>0</v>
      </c>
      <c r="N508" t="n">
        <v>0</v>
      </c>
      <c r="O508" t="n">
        <v>0</v>
      </c>
      <c r="P508" t="n">
        <v>0</v>
      </c>
      <c r="Q508" t="n">
        <v>0</v>
      </c>
      <c r="R508" s="2" t="inlineStr"/>
    </row>
    <row r="509" ht="15" customHeight="1">
      <c r="A509" t="inlineStr">
        <is>
          <t>A 41678-2024</t>
        </is>
      </c>
      <c r="B509" s="1" t="n">
        <v>45560</v>
      </c>
      <c r="C509" s="1" t="n">
        <v>45908</v>
      </c>
      <c r="D509" t="inlineStr">
        <is>
          <t>ÖREBRO LÄN</t>
        </is>
      </c>
      <c r="E509" t="inlineStr">
        <is>
          <t>ÖREBRO</t>
        </is>
      </c>
      <c r="G509" t="n">
        <v>11.3</v>
      </c>
      <c r="H509" t="n">
        <v>0</v>
      </c>
      <c r="I509" t="n">
        <v>0</v>
      </c>
      <c r="J509" t="n">
        <v>0</v>
      </c>
      <c r="K509" t="n">
        <v>0</v>
      </c>
      <c r="L509" t="n">
        <v>0</v>
      </c>
      <c r="M509" t="n">
        <v>0</v>
      </c>
      <c r="N509" t="n">
        <v>0</v>
      </c>
      <c r="O509" t="n">
        <v>0</v>
      </c>
      <c r="P509" t="n">
        <v>0</v>
      </c>
      <c r="Q509" t="n">
        <v>0</v>
      </c>
      <c r="R509" s="2" t="inlineStr"/>
    </row>
    <row r="510" ht="15" customHeight="1">
      <c r="A510" t="inlineStr">
        <is>
          <t>A 38422-2023</t>
        </is>
      </c>
      <c r="B510" s="1" t="n">
        <v>45162.36422453704</v>
      </c>
      <c r="C510" s="1" t="n">
        <v>45908</v>
      </c>
      <c r="D510" t="inlineStr">
        <is>
          <t>ÖREBRO LÄN</t>
        </is>
      </c>
      <c r="E510" t="inlineStr">
        <is>
          <t>ÖREBRO</t>
        </is>
      </c>
      <c r="G510" t="n">
        <v>8</v>
      </c>
      <c r="H510" t="n">
        <v>0</v>
      </c>
      <c r="I510" t="n">
        <v>0</v>
      </c>
      <c r="J510" t="n">
        <v>0</v>
      </c>
      <c r="K510" t="n">
        <v>0</v>
      </c>
      <c r="L510" t="n">
        <v>0</v>
      </c>
      <c r="M510" t="n">
        <v>0</v>
      </c>
      <c r="N510" t="n">
        <v>0</v>
      </c>
      <c r="O510" t="n">
        <v>0</v>
      </c>
      <c r="P510" t="n">
        <v>0</v>
      </c>
      <c r="Q510" t="n">
        <v>0</v>
      </c>
      <c r="R510" s="2" t="inlineStr"/>
    </row>
    <row r="511" ht="15" customHeight="1">
      <c r="A511" t="inlineStr">
        <is>
          <t>A 56040-2024</t>
        </is>
      </c>
      <c r="B511" s="1" t="n">
        <v>45624.3344212963</v>
      </c>
      <c r="C511" s="1" t="n">
        <v>45908</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14487-2023</t>
        </is>
      </c>
      <c r="B512" s="1" t="n">
        <v>45012</v>
      </c>
      <c r="C512" s="1" t="n">
        <v>45908</v>
      </c>
      <c r="D512" t="inlineStr">
        <is>
          <t>ÖREBRO LÄN</t>
        </is>
      </c>
      <c r="E512" t="inlineStr">
        <is>
          <t>ÖREBRO</t>
        </is>
      </c>
      <c r="G512" t="n">
        <v>0.5</v>
      </c>
      <c r="H512" t="n">
        <v>0</v>
      </c>
      <c r="I512" t="n">
        <v>0</v>
      </c>
      <c r="J512" t="n">
        <v>0</v>
      </c>
      <c r="K512" t="n">
        <v>0</v>
      </c>
      <c r="L512" t="n">
        <v>0</v>
      </c>
      <c r="M512" t="n">
        <v>0</v>
      </c>
      <c r="N512" t="n">
        <v>0</v>
      </c>
      <c r="O512" t="n">
        <v>0</v>
      </c>
      <c r="P512" t="n">
        <v>0</v>
      </c>
      <c r="Q512" t="n">
        <v>0</v>
      </c>
      <c r="R512" s="2" t="inlineStr"/>
    </row>
    <row r="513" ht="15" customHeight="1">
      <c r="A513" t="inlineStr">
        <is>
          <t>A 8022-2022</t>
        </is>
      </c>
      <c r="B513" s="1" t="n">
        <v>44609</v>
      </c>
      <c r="C513" s="1" t="n">
        <v>45908</v>
      </c>
      <c r="D513" t="inlineStr">
        <is>
          <t>ÖREBRO LÄN</t>
        </is>
      </c>
      <c r="E513" t="inlineStr">
        <is>
          <t>ÖREBRO</t>
        </is>
      </c>
      <c r="G513" t="n">
        <v>5.6</v>
      </c>
      <c r="H513" t="n">
        <v>0</v>
      </c>
      <c r="I513" t="n">
        <v>0</v>
      </c>
      <c r="J513" t="n">
        <v>0</v>
      </c>
      <c r="K513" t="n">
        <v>0</v>
      </c>
      <c r="L513" t="n">
        <v>0</v>
      </c>
      <c r="M513" t="n">
        <v>0</v>
      </c>
      <c r="N513" t="n">
        <v>0</v>
      </c>
      <c r="O513" t="n">
        <v>0</v>
      </c>
      <c r="P513" t="n">
        <v>0</v>
      </c>
      <c r="Q513" t="n">
        <v>0</v>
      </c>
      <c r="R513" s="2" t="inlineStr"/>
    </row>
    <row r="514" ht="15" customHeight="1">
      <c r="A514" t="inlineStr">
        <is>
          <t>A 29978-2024</t>
        </is>
      </c>
      <c r="B514" s="1" t="n">
        <v>45488.48340277778</v>
      </c>
      <c r="C514" s="1" t="n">
        <v>45908</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19978-2025</t>
        </is>
      </c>
      <c r="B515" s="1" t="n">
        <v>45771.7062037037</v>
      </c>
      <c r="C515" s="1" t="n">
        <v>45908</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7134-2025</t>
        </is>
      </c>
      <c r="B516" s="1" t="n">
        <v>45702</v>
      </c>
      <c r="C516" s="1" t="n">
        <v>45908</v>
      </c>
      <c r="D516" t="inlineStr">
        <is>
          <t>ÖREBRO LÄN</t>
        </is>
      </c>
      <c r="E516" t="inlineStr">
        <is>
          <t>ÖREBRO</t>
        </is>
      </c>
      <c r="F516" t="inlineStr">
        <is>
          <t>Övriga Aktiebolag</t>
        </is>
      </c>
      <c r="G516" t="n">
        <v>2.1</v>
      </c>
      <c r="H516" t="n">
        <v>0</v>
      </c>
      <c r="I516" t="n">
        <v>0</v>
      </c>
      <c r="J516" t="n">
        <v>0</v>
      </c>
      <c r="K516" t="n">
        <v>0</v>
      </c>
      <c r="L516" t="n">
        <v>0</v>
      </c>
      <c r="M516" t="n">
        <v>0</v>
      </c>
      <c r="N516" t="n">
        <v>0</v>
      </c>
      <c r="O516" t="n">
        <v>0</v>
      </c>
      <c r="P516" t="n">
        <v>0</v>
      </c>
      <c r="Q516" t="n">
        <v>0</v>
      </c>
      <c r="R516" s="2" t="inlineStr"/>
    </row>
    <row r="517" ht="15" customHeight="1">
      <c r="A517" t="inlineStr">
        <is>
          <t>A 40522-2024</t>
        </is>
      </c>
      <c r="B517" s="1" t="n">
        <v>45555.59717592593</v>
      </c>
      <c r="C517" s="1" t="n">
        <v>45908</v>
      </c>
      <c r="D517" t="inlineStr">
        <is>
          <t>ÖREBRO LÄN</t>
        </is>
      </c>
      <c r="E517" t="inlineStr">
        <is>
          <t>ÖREBRO</t>
        </is>
      </c>
      <c r="G517" t="n">
        <v>5.1</v>
      </c>
      <c r="H517" t="n">
        <v>0</v>
      </c>
      <c r="I517" t="n">
        <v>0</v>
      </c>
      <c r="J517" t="n">
        <v>0</v>
      </c>
      <c r="K517" t="n">
        <v>0</v>
      </c>
      <c r="L517" t="n">
        <v>0</v>
      </c>
      <c r="M517" t="n">
        <v>0</v>
      </c>
      <c r="N517" t="n">
        <v>0</v>
      </c>
      <c r="O517" t="n">
        <v>0</v>
      </c>
      <c r="P517" t="n">
        <v>0</v>
      </c>
      <c r="Q517" t="n">
        <v>0</v>
      </c>
      <c r="R517" s="2" t="inlineStr"/>
    </row>
    <row r="518" ht="15" customHeight="1">
      <c r="A518" t="inlineStr">
        <is>
          <t>A 49029-2024</t>
        </is>
      </c>
      <c r="B518" s="1" t="n">
        <v>45594</v>
      </c>
      <c r="C518" s="1" t="n">
        <v>45908</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49062-2023</t>
        </is>
      </c>
      <c r="B519" s="1" t="n">
        <v>45210.35119212963</v>
      </c>
      <c r="C519" s="1" t="n">
        <v>45908</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45908</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27956-2023</t>
        </is>
      </c>
      <c r="B521" s="1" t="n">
        <v>45098</v>
      </c>
      <c r="C521" s="1" t="n">
        <v>45908</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13321-2024</t>
        </is>
      </c>
      <c r="B522" s="1" t="n">
        <v>45386.83142361111</v>
      </c>
      <c r="C522" s="1" t="n">
        <v>45908</v>
      </c>
      <c r="D522" t="inlineStr">
        <is>
          <t>ÖREBRO LÄN</t>
        </is>
      </c>
      <c r="E522" t="inlineStr">
        <is>
          <t>ÖREBRO</t>
        </is>
      </c>
      <c r="G522" t="n">
        <v>13.1</v>
      </c>
      <c r="H522" t="n">
        <v>0</v>
      </c>
      <c r="I522" t="n">
        <v>0</v>
      </c>
      <c r="J522" t="n">
        <v>0</v>
      </c>
      <c r="K522" t="n">
        <v>0</v>
      </c>
      <c r="L522" t="n">
        <v>0</v>
      </c>
      <c r="M522" t="n">
        <v>0</v>
      </c>
      <c r="N522" t="n">
        <v>0</v>
      </c>
      <c r="O522" t="n">
        <v>0</v>
      </c>
      <c r="P522" t="n">
        <v>0</v>
      </c>
      <c r="Q522" t="n">
        <v>0</v>
      </c>
      <c r="R522" s="2" t="inlineStr"/>
    </row>
    <row r="523" ht="15" customHeight="1">
      <c r="A523" t="inlineStr">
        <is>
          <t>A 35829-2024</t>
        </is>
      </c>
      <c r="B523" s="1" t="n">
        <v>45532</v>
      </c>
      <c r="C523" s="1" t="n">
        <v>45908</v>
      </c>
      <c r="D523" t="inlineStr">
        <is>
          <t>ÖREBRO LÄN</t>
        </is>
      </c>
      <c r="E523" t="inlineStr">
        <is>
          <t>ÖREBRO</t>
        </is>
      </c>
      <c r="G523" t="n">
        <v>4.6</v>
      </c>
      <c r="H523" t="n">
        <v>0</v>
      </c>
      <c r="I523" t="n">
        <v>0</v>
      </c>
      <c r="J523" t="n">
        <v>0</v>
      </c>
      <c r="K523" t="n">
        <v>0</v>
      </c>
      <c r="L523" t="n">
        <v>0</v>
      </c>
      <c r="M523" t="n">
        <v>0</v>
      </c>
      <c r="N523" t="n">
        <v>0</v>
      </c>
      <c r="O523" t="n">
        <v>0</v>
      </c>
      <c r="P523" t="n">
        <v>0</v>
      </c>
      <c r="Q523" t="n">
        <v>0</v>
      </c>
      <c r="R523" s="2" t="inlineStr"/>
    </row>
    <row r="524" ht="15" customHeight="1">
      <c r="A524" t="inlineStr">
        <is>
          <t>A 15652-2025</t>
        </is>
      </c>
      <c r="B524" s="1" t="n">
        <v>45748</v>
      </c>
      <c r="C524" s="1" t="n">
        <v>45908</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16737-2023</t>
        </is>
      </c>
      <c r="B525" s="1" t="n">
        <v>45030.72472222222</v>
      </c>
      <c r="C525" s="1" t="n">
        <v>45908</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13181-2023</t>
        </is>
      </c>
      <c r="B526" s="1" t="n">
        <v>45002.60659722222</v>
      </c>
      <c r="C526" s="1" t="n">
        <v>45908</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61078-2024</t>
        </is>
      </c>
      <c r="B527" s="1" t="n">
        <v>45645.51034722223</v>
      </c>
      <c r="C527" s="1" t="n">
        <v>45908</v>
      </c>
      <c r="D527" t="inlineStr">
        <is>
          <t>ÖREBRO LÄN</t>
        </is>
      </c>
      <c r="E527" t="inlineStr">
        <is>
          <t>ÖREBRO</t>
        </is>
      </c>
      <c r="G527" t="n">
        <v>4.1</v>
      </c>
      <c r="H527" t="n">
        <v>0</v>
      </c>
      <c r="I527" t="n">
        <v>0</v>
      </c>
      <c r="J527" t="n">
        <v>0</v>
      </c>
      <c r="K527" t="n">
        <v>0</v>
      </c>
      <c r="L527" t="n">
        <v>0</v>
      </c>
      <c r="M527" t="n">
        <v>0</v>
      </c>
      <c r="N527" t="n">
        <v>0</v>
      </c>
      <c r="O527" t="n">
        <v>0</v>
      </c>
      <c r="P527" t="n">
        <v>0</v>
      </c>
      <c r="Q527" t="n">
        <v>0</v>
      </c>
      <c r="R527" s="2" t="inlineStr"/>
    </row>
    <row r="528" ht="15" customHeight="1">
      <c r="A528" t="inlineStr">
        <is>
          <t>A 62511-2023</t>
        </is>
      </c>
      <c r="B528" s="1" t="n">
        <v>45268.61855324074</v>
      </c>
      <c r="C528" s="1" t="n">
        <v>45908</v>
      </c>
      <c r="D528" t="inlineStr">
        <is>
          <t>ÖREBRO LÄN</t>
        </is>
      </c>
      <c r="E528" t="inlineStr">
        <is>
          <t>ÖREBRO</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5762-2025</t>
        </is>
      </c>
      <c r="B529" s="1" t="n">
        <v>45694.57181712963</v>
      </c>
      <c r="C529" s="1" t="n">
        <v>45908</v>
      </c>
      <c r="D529" t="inlineStr">
        <is>
          <t>ÖREBRO LÄN</t>
        </is>
      </c>
      <c r="E529" t="inlineStr">
        <is>
          <t>ÖREBRO</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51180-2023</t>
        </is>
      </c>
      <c r="B530" s="1" t="n">
        <v>45219</v>
      </c>
      <c r="C530" s="1" t="n">
        <v>45908</v>
      </c>
      <c r="D530" t="inlineStr">
        <is>
          <t>ÖREBRO LÄN</t>
        </is>
      </c>
      <c r="E530" t="inlineStr">
        <is>
          <t>ÖREBRO</t>
        </is>
      </c>
      <c r="G530" t="n">
        <v>6.5</v>
      </c>
      <c r="H530" t="n">
        <v>0</v>
      </c>
      <c r="I530" t="n">
        <v>0</v>
      </c>
      <c r="J530" t="n">
        <v>0</v>
      </c>
      <c r="K530" t="n">
        <v>0</v>
      </c>
      <c r="L530" t="n">
        <v>0</v>
      </c>
      <c r="M530" t="n">
        <v>0</v>
      </c>
      <c r="N530" t="n">
        <v>0</v>
      </c>
      <c r="O530" t="n">
        <v>0</v>
      </c>
      <c r="P530" t="n">
        <v>0</v>
      </c>
      <c r="Q530" t="n">
        <v>0</v>
      </c>
      <c r="R530" s="2" t="inlineStr"/>
    </row>
    <row r="531" ht="15" customHeight="1">
      <c r="A531" t="inlineStr">
        <is>
          <t>A 58621-2024</t>
        </is>
      </c>
      <c r="B531" s="1" t="n">
        <v>45635.56321759259</v>
      </c>
      <c r="C531" s="1" t="n">
        <v>45908</v>
      </c>
      <c r="D531" t="inlineStr">
        <is>
          <t>ÖREBRO LÄN</t>
        </is>
      </c>
      <c r="E531" t="inlineStr">
        <is>
          <t>ÖREBRO</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55472-2023</t>
        </is>
      </c>
      <c r="B532" s="1" t="n">
        <v>45238</v>
      </c>
      <c r="C532" s="1" t="n">
        <v>45908</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5129-2024</t>
        </is>
      </c>
      <c r="B533" s="1" t="n">
        <v>45330</v>
      </c>
      <c r="C533" s="1" t="n">
        <v>45908</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58486-2024</t>
        </is>
      </c>
      <c r="B534" s="1" t="n">
        <v>45635</v>
      </c>
      <c r="C534" s="1" t="n">
        <v>45908</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5578-2024</t>
        </is>
      </c>
      <c r="B535" s="1" t="n">
        <v>45334.49104166667</v>
      </c>
      <c r="C535" s="1" t="n">
        <v>45908</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30015-2023</t>
        </is>
      </c>
      <c r="B536" s="1" t="n">
        <v>45109</v>
      </c>
      <c r="C536" s="1" t="n">
        <v>45908</v>
      </c>
      <c r="D536" t="inlineStr">
        <is>
          <t>ÖREBRO LÄN</t>
        </is>
      </c>
      <c r="E536" t="inlineStr">
        <is>
          <t>ÖREBRO</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32086-2023</t>
        </is>
      </c>
      <c r="B537" s="1" t="n">
        <v>45119.59789351852</v>
      </c>
      <c r="C537" s="1" t="n">
        <v>45908</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22079-2023</t>
        </is>
      </c>
      <c r="B538" s="1" t="n">
        <v>45069</v>
      </c>
      <c r="C538" s="1" t="n">
        <v>45908</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1013-2024</t>
        </is>
      </c>
      <c r="B539" s="1" t="n">
        <v>45301</v>
      </c>
      <c r="C539" s="1" t="n">
        <v>45908</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2630-2023</t>
        </is>
      </c>
      <c r="B540" s="1" t="n">
        <v>44944.39105324074</v>
      </c>
      <c r="C540" s="1" t="n">
        <v>45908</v>
      </c>
      <c r="D540" t="inlineStr">
        <is>
          <t>ÖREBRO LÄN</t>
        </is>
      </c>
      <c r="E540" t="inlineStr">
        <is>
          <t>ÖREBRO</t>
        </is>
      </c>
      <c r="G540" t="n">
        <v>6.1</v>
      </c>
      <c r="H540" t="n">
        <v>0</v>
      </c>
      <c r="I540" t="n">
        <v>0</v>
      </c>
      <c r="J540" t="n">
        <v>0</v>
      </c>
      <c r="K540" t="n">
        <v>0</v>
      </c>
      <c r="L540" t="n">
        <v>0</v>
      </c>
      <c r="M540" t="n">
        <v>0</v>
      </c>
      <c r="N540" t="n">
        <v>0</v>
      </c>
      <c r="O540" t="n">
        <v>0</v>
      </c>
      <c r="P540" t="n">
        <v>0</v>
      </c>
      <c r="Q540" t="n">
        <v>0</v>
      </c>
      <c r="R540" s="2" t="inlineStr"/>
    </row>
    <row r="541" ht="15" customHeight="1">
      <c r="A541" t="inlineStr">
        <is>
          <t>A 8512-2025</t>
        </is>
      </c>
      <c r="B541" s="1" t="n">
        <v>45709.54873842592</v>
      </c>
      <c r="C541" s="1" t="n">
        <v>45908</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5330-2024</t>
        </is>
      </c>
      <c r="B542" s="1" t="n">
        <v>45331.4187962963</v>
      </c>
      <c r="C542" s="1" t="n">
        <v>45908</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54925-2023</t>
        </is>
      </c>
      <c r="B543" s="1" t="n">
        <v>45229</v>
      </c>
      <c r="C543" s="1" t="n">
        <v>45908</v>
      </c>
      <c r="D543" t="inlineStr">
        <is>
          <t>ÖREBRO LÄN</t>
        </is>
      </c>
      <c r="E543" t="inlineStr">
        <is>
          <t>ÖREBRO</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10830-2023</t>
        </is>
      </c>
      <c r="B544" s="1" t="n">
        <v>44990.89752314815</v>
      </c>
      <c r="C544" s="1" t="n">
        <v>45908</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14715-2024</t>
        </is>
      </c>
      <c r="B545" s="1" t="n">
        <v>45397.5500462963</v>
      </c>
      <c r="C545" s="1" t="n">
        <v>45908</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9585-2025</t>
        </is>
      </c>
      <c r="B546" s="1" t="n">
        <v>45715.63409722222</v>
      </c>
      <c r="C546" s="1" t="n">
        <v>45908</v>
      </c>
      <c r="D546" t="inlineStr">
        <is>
          <t>ÖREBRO LÄN</t>
        </is>
      </c>
      <c r="E546" t="inlineStr">
        <is>
          <t>ÖREBRO</t>
        </is>
      </c>
      <c r="G546" t="n">
        <v>3.4</v>
      </c>
      <c r="H546" t="n">
        <v>0</v>
      </c>
      <c r="I546" t="n">
        <v>0</v>
      </c>
      <c r="J546" t="n">
        <v>0</v>
      </c>
      <c r="K546" t="n">
        <v>0</v>
      </c>
      <c r="L546" t="n">
        <v>0</v>
      </c>
      <c r="M546" t="n">
        <v>0</v>
      </c>
      <c r="N546" t="n">
        <v>0</v>
      </c>
      <c r="O546" t="n">
        <v>0</v>
      </c>
      <c r="P546" t="n">
        <v>0</v>
      </c>
      <c r="Q546" t="n">
        <v>0</v>
      </c>
      <c r="R546" s="2" t="inlineStr"/>
    </row>
    <row r="547" ht="15" customHeight="1">
      <c r="A547" t="inlineStr">
        <is>
          <t>A 58145-2024</t>
        </is>
      </c>
      <c r="B547" s="1" t="n">
        <v>45632.43230324074</v>
      </c>
      <c r="C547" s="1" t="n">
        <v>45908</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5125-2024</t>
        </is>
      </c>
      <c r="B548" s="1" t="n">
        <v>45330</v>
      </c>
      <c r="C548" s="1" t="n">
        <v>45908</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42138-2024</t>
        </is>
      </c>
      <c r="B549" s="1" t="n">
        <v>45562.41854166667</v>
      </c>
      <c r="C549" s="1" t="n">
        <v>45908</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26101-2022</t>
        </is>
      </c>
      <c r="B550" s="1" t="n">
        <v>44734</v>
      </c>
      <c r="C550" s="1" t="n">
        <v>45908</v>
      </c>
      <c r="D550" t="inlineStr">
        <is>
          <t>ÖREBRO LÄN</t>
        </is>
      </c>
      <c r="E550" t="inlineStr">
        <is>
          <t>ÖREBRO</t>
        </is>
      </c>
      <c r="G550" t="n">
        <v>15.8</v>
      </c>
      <c r="H550" t="n">
        <v>0</v>
      </c>
      <c r="I550" t="n">
        <v>0</v>
      </c>
      <c r="J550" t="n">
        <v>0</v>
      </c>
      <c r="K550" t="n">
        <v>0</v>
      </c>
      <c r="L550" t="n">
        <v>0</v>
      </c>
      <c r="M550" t="n">
        <v>0</v>
      </c>
      <c r="N550" t="n">
        <v>0</v>
      </c>
      <c r="O550" t="n">
        <v>0</v>
      </c>
      <c r="P550" t="n">
        <v>0</v>
      </c>
      <c r="Q550" t="n">
        <v>0</v>
      </c>
      <c r="R550" s="2" t="inlineStr"/>
    </row>
    <row r="551" ht="15" customHeight="1">
      <c r="A551" t="inlineStr">
        <is>
          <t>A 16300-2022</t>
        </is>
      </c>
      <c r="B551" s="1" t="n">
        <v>44670</v>
      </c>
      <c r="C551" s="1" t="n">
        <v>45908</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45029-2020</t>
        </is>
      </c>
      <c r="B552" s="1" t="n">
        <v>44088</v>
      </c>
      <c r="C552" s="1" t="n">
        <v>45908</v>
      </c>
      <c r="D552" t="inlineStr">
        <is>
          <t>ÖREBRO LÄN</t>
        </is>
      </c>
      <c r="E552" t="inlineStr">
        <is>
          <t>ÖREBRO</t>
        </is>
      </c>
      <c r="G552" t="n">
        <v>3.8</v>
      </c>
      <c r="H552" t="n">
        <v>0</v>
      </c>
      <c r="I552" t="n">
        <v>0</v>
      </c>
      <c r="J552" t="n">
        <v>0</v>
      </c>
      <c r="K552" t="n">
        <v>0</v>
      </c>
      <c r="L552" t="n">
        <v>0</v>
      </c>
      <c r="M552" t="n">
        <v>0</v>
      </c>
      <c r="N552" t="n">
        <v>0</v>
      </c>
      <c r="O552" t="n">
        <v>0</v>
      </c>
      <c r="P552" t="n">
        <v>0</v>
      </c>
      <c r="Q552" t="n">
        <v>0</v>
      </c>
      <c r="R552" s="2" t="inlineStr"/>
    </row>
    <row r="553" ht="15" customHeight="1">
      <c r="A553" t="inlineStr">
        <is>
          <t>A 2095-2025</t>
        </is>
      </c>
      <c r="B553" s="1" t="n">
        <v>45672</v>
      </c>
      <c r="C553" s="1" t="n">
        <v>45908</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18181-2024</t>
        </is>
      </c>
      <c r="B554" s="1" t="n">
        <v>45420.64561342593</v>
      </c>
      <c r="C554" s="1" t="n">
        <v>45908</v>
      </c>
      <c r="D554" t="inlineStr">
        <is>
          <t>ÖREBRO LÄN</t>
        </is>
      </c>
      <c r="E554" t="inlineStr">
        <is>
          <t>ÖREBRO</t>
        </is>
      </c>
      <c r="G554" t="n">
        <v>7.6</v>
      </c>
      <c r="H554" t="n">
        <v>0</v>
      </c>
      <c r="I554" t="n">
        <v>0</v>
      </c>
      <c r="J554" t="n">
        <v>0</v>
      </c>
      <c r="K554" t="n">
        <v>0</v>
      </c>
      <c r="L554" t="n">
        <v>0</v>
      </c>
      <c r="M554" t="n">
        <v>0</v>
      </c>
      <c r="N554" t="n">
        <v>0</v>
      </c>
      <c r="O554" t="n">
        <v>0</v>
      </c>
      <c r="P554" t="n">
        <v>0</v>
      </c>
      <c r="Q554" t="n">
        <v>0</v>
      </c>
      <c r="R554" s="2" t="inlineStr"/>
    </row>
    <row r="555" ht="15" customHeight="1">
      <c r="A555" t="inlineStr">
        <is>
          <t>A 71206-2021</t>
        </is>
      </c>
      <c r="B555" s="1" t="n">
        <v>44539</v>
      </c>
      <c r="C555" s="1" t="n">
        <v>45908</v>
      </c>
      <c r="D555" t="inlineStr">
        <is>
          <t>ÖREBRO LÄN</t>
        </is>
      </c>
      <c r="E555" t="inlineStr">
        <is>
          <t>ÖREBRO</t>
        </is>
      </c>
      <c r="G555" t="n">
        <v>2.5</v>
      </c>
      <c r="H555" t="n">
        <v>0</v>
      </c>
      <c r="I555" t="n">
        <v>0</v>
      </c>
      <c r="J555" t="n">
        <v>0</v>
      </c>
      <c r="K555" t="n">
        <v>0</v>
      </c>
      <c r="L555" t="n">
        <v>0</v>
      </c>
      <c r="M555" t="n">
        <v>0</v>
      </c>
      <c r="N555" t="n">
        <v>0</v>
      </c>
      <c r="O555" t="n">
        <v>0</v>
      </c>
      <c r="P555" t="n">
        <v>0</v>
      </c>
      <c r="Q555" t="n">
        <v>0</v>
      </c>
      <c r="R555" s="2" t="inlineStr"/>
    </row>
    <row r="556" ht="15" customHeight="1">
      <c r="A556" t="inlineStr">
        <is>
          <t>A 70707-2021</t>
        </is>
      </c>
      <c r="B556" s="1" t="n">
        <v>44537</v>
      </c>
      <c r="C556" s="1" t="n">
        <v>45908</v>
      </c>
      <c r="D556" t="inlineStr">
        <is>
          <t>ÖREBRO LÄN</t>
        </is>
      </c>
      <c r="E556" t="inlineStr">
        <is>
          <t>ÖREBRO</t>
        </is>
      </c>
      <c r="G556" t="n">
        <v>13.2</v>
      </c>
      <c r="H556" t="n">
        <v>0</v>
      </c>
      <c r="I556" t="n">
        <v>0</v>
      </c>
      <c r="J556" t="n">
        <v>0</v>
      </c>
      <c r="K556" t="n">
        <v>0</v>
      </c>
      <c r="L556" t="n">
        <v>0</v>
      </c>
      <c r="M556" t="n">
        <v>0</v>
      </c>
      <c r="N556" t="n">
        <v>0</v>
      </c>
      <c r="O556" t="n">
        <v>0</v>
      </c>
      <c r="P556" t="n">
        <v>0</v>
      </c>
      <c r="Q556" t="n">
        <v>0</v>
      </c>
      <c r="R556" s="2" t="inlineStr"/>
    </row>
    <row r="557" ht="15" customHeight="1">
      <c r="A557" t="inlineStr">
        <is>
          <t>A 48140-2024</t>
        </is>
      </c>
      <c r="B557" s="1" t="n">
        <v>45589.66474537037</v>
      </c>
      <c r="C557" s="1" t="n">
        <v>45908</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41703-2024</t>
        </is>
      </c>
      <c r="B558" s="1" t="n">
        <v>45560</v>
      </c>
      <c r="C558" s="1" t="n">
        <v>45908</v>
      </c>
      <c r="D558" t="inlineStr">
        <is>
          <t>ÖREBRO LÄN</t>
        </is>
      </c>
      <c r="E558" t="inlineStr">
        <is>
          <t>ÖREBRO</t>
        </is>
      </c>
      <c r="G558" t="n">
        <v>6.4</v>
      </c>
      <c r="H558" t="n">
        <v>0</v>
      </c>
      <c r="I558" t="n">
        <v>0</v>
      </c>
      <c r="J558" t="n">
        <v>0</v>
      </c>
      <c r="K558" t="n">
        <v>0</v>
      </c>
      <c r="L558" t="n">
        <v>0</v>
      </c>
      <c r="M558" t="n">
        <v>0</v>
      </c>
      <c r="N558" t="n">
        <v>0</v>
      </c>
      <c r="O558" t="n">
        <v>0</v>
      </c>
      <c r="P558" t="n">
        <v>0</v>
      </c>
      <c r="Q558" t="n">
        <v>0</v>
      </c>
      <c r="R558" s="2" t="inlineStr"/>
    </row>
    <row r="559" ht="15" customHeight="1">
      <c r="A559" t="inlineStr">
        <is>
          <t>A 60100-2022</t>
        </is>
      </c>
      <c r="B559" s="1" t="n">
        <v>44902</v>
      </c>
      <c r="C559" s="1" t="n">
        <v>45908</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2152-2023</t>
        </is>
      </c>
      <c r="B560" s="1" t="n">
        <v>44941.55056712963</v>
      </c>
      <c r="C560" s="1" t="n">
        <v>45908</v>
      </c>
      <c r="D560" t="inlineStr">
        <is>
          <t>ÖREBRO LÄN</t>
        </is>
      </c>
      <c r="E560" t="inlineStr">
        <is>
          <t>ÖREBRO</t>
        </is>
      </c>
      <c r="G560" t="n">
        <v>8</v>
      </c>
      <c r="H560" t="n">
        <v>0</v>
      </c>
      <c r="I560" t="n">
        <v>0</v>
      </c>
      <c r="J560" t="n">
        <v>0</v>
      </c>
      <c r="K560" t="n">
        <v>0</v>
      </c>
      <c r="L560" t="n">
        <v>0</v>
      </c>
      <c r="M560" t="n">
        <v>0</v>
      </c>
      <c r="N560" t="n">
        <v>0</v>
      </c>
      <c r="O560" t="n">
        <v>0</v>
      </c>
      <c r="P560" t="n">
        <v>0</v>
      </c>
      <c r="Q560" t="n">
        <v>0</v>
      </c>
      <c r="R560" s="2" t="inlineStr"/>
    </row>
    <row r="561" ht="15" customHeight="1">
      <c r="A561" t="inlineStr">
        <is>
          <t>A 46323-2024</t>
        </is>
      </c>
      <c r="B561" s="1" t="n">
        <v>45581.84538194445</v>
      </c>
      <c r="C561" s="1" t="n">
        <v>45908</v>
      </c>
      <c r="D561" t="inlineStr">
        <is>
          <t>ÖREBRO LÄN</t>
        </is>
      </c>
      <c r="E561" t="inlineStr">
        <is>
          <t>ÖREBRO</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8656-2025</t>
        </is>
      </c>
      <c r="B562" s="1" t="n">
        <v>45712.38268518518</v>
      </c>
      <c r="C562" s="1" t="n">
        <v>45908</v>
      </c>
      <c r="D562" t="inlineStr">
        <is>
          <t>ÖREBRO LÄN</t>
        </is>
      </c>
      <c r="E562" t="inlineStr">
        <is>
          <t>ÖREBRO</t>
        </is>
      </c>
      <c r="G562" t="n">
        <v>2.7</v>
      </c>
      <c r="H562" t="n">
        <v>0</v>
      </c>
      <c r="I562" t="n">
        <v>0</v>
      </c>
      <c r="J562" t="n">
        <v>0</v>
      </c>
      <c r="K562" t="n">
        <v>0</v>
      </c>
      <c r="L562" t="n">
        <v>0</v>
      </c>
      <c r="M562" t="n">
        <v>0</v>
      </c>
      <c r="N562" t="n">
        <v>0</v>
      </c>
      <c r="O562" t="n">
        <v>0</v>
      </c>
      <c r="P562" t="n">
        <v>0</v>
      </c>
      <c r="Q562" t="n">
        <v>0</v>
      </c>
      <c r="R562" s="2" t="inlineStr"/>
    </row>
    <row r="563" ht="15" customHeight="1">
      <c r="A563" t="inlineStr">
        <is>
          <t>A 55353-2024</t>
        </is>
      </c>
      <c r="B563" s="1" t="n">
        <v>45621.79526620371</v>
      </c>
      <c r="C563" s="1" t="n">
        <v>45908</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55357-2024</t>
        </is>
      </c>
      <c r="B564" s="1" t="n">
        <v>45621.81126157408</v>
      </c>
      <c r="C564" s="1" t="n">
        <v>45908</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45908</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72329-2021</t>
        </is>
      </c>
      <c r="B566" s="1" t="n">
        <v>44545.46072916667</v>
      </c>
      <c r="C566" s="1" t="n">
        <v>45908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33577-2023</t>
        </is>
      </c>
      <c r="B567" s="1" t="n">
        <v>45131</v>
      </c>
      <c r="C567" s="1" t="n">
        <v>45908</v>
      </c>
      <c r="D567" t="inlineStr">
        <is>
          <t>ÖREBRO LÄN</t>
        </is>
      </c>
      <c r="E567" t="inlineStr">
        <is>
          <t>ÖREBRO</t>
        </is>
      </c>
      <c r="G567" t="n">
        <v>2</v>
      </c>
      <c r="H567" t="n">
        <v>0</v>
      </c>
      <c r="I567" t="n">
        <v>0</v>
      </c>
      <c r="J567" t="n">
        <v>0</v>
      </c>
      <c r="K567" t="n">
        <v>0</v>
      </c>
      <c r="L567" t="n">
        <v>0</v>
      </c>
      <c r="M567" t="n">
        <v>0</v>
      </c>
      <c r="N567" t="n">
        <v>0</v>
      </c>
      <c r="O567" t="n">
        <v>0</v>
      </c>
      <c r="P567" t="n">
        <v>0</v>
      </c>
      <c r="Q567" t="n">
        <v>0</v>
      </c>
      <c r="R567" s="2" t="inlineStr"/>
    </row>
    <row r="568" ht="15" customHeight="1">
      <c r="A568" t="inlineStr">
        <is>
          <t>A 38489-2023</t>
        </is>
      </c>
      <c r="B568" s="1" t="n">
        <v>45162</v>
      </c>
      <c r="C568" s="1" t="n">
        <v>45908</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19763-2024</t>
        </is>
      </c>
      <c r="B569" s="1" t="n">
        <v>45432</v>
      </c>
      <c r="C569" s="1" t="n">
        <v>45908</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14545-2023</t>
        </is>
      </c>
      <c r="B570" s="1" t="n">
        <v>45013.34895833334</v>
      </c>
      <c r="C570" s="1" t="n">
        <v>45908</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54917-2023</t>
        </is>
      </c>
      <c r="B571" s="1" t="n">
        <v>45229</v>
      </c>
      <c r="C571" s="1" t="n">
        <v>45908</v>
      </c>
      <c r="D571" t="inlineStr">
        <is>
          <t>ÖREBRO LÄN</t>
        </is>
      </c>
      <c r="E571" t="inlineStr">
        <is>
          <t>ÖREBRO</t>
        </is>
      </c>
      <c r="G571" t="n">
        <v>3.1</v>
      </c>
      <c r="H571" t="n">
        <v>0</v>
      </c>
      <c r="I571" t="n">
        <v>0</v>
      </c>
      <c r="J571" t="n">
        <v>0</v>
      </c>
      <c r="K571" t="n">
        <v>0</v>
      </c>
      <c r="L571" t="n">
        <v>0</v>
      </c>
      <c r="M571" t="n">
        <v>0</v>
      </c>
      <c r="N571" t="n">
        <v>0</v>
      </c>
      <c r="O571" t="n">
        <v>0</v>
      </c>
      <c r="P571" t="n">
        <v>0</v>
      </c>
      <c r="Q571" t="n">
        <v>0</v>
      </c>
      <c r="R571" s="2" t="inlineStr"/>
    </row>
    <row r="572" ht="15" customHeight="1">
      <c r="A572" t="inlineStr">
        <is>
          <t>A 14432-2023</t>
        </is>
      </c>
      <c r="B572" s="1" t="n">
        <v>45012</v>
      </c>
      <c r="C572" s="1" t="n">
        <v>45908</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4344-2025</t>
        </is>
      </c>
      <c r="B573" s="1" t="n">
        <v>45685</v>
      </c>
      <c r="C573" s="1" t="n">
        <v>45908</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3652-2022</t>
        </is>
      </c>
      <c r="B574" s="1" t="n">
        <v>44586.46921296296</v>
      </c>
      <c r="C574" s="1" t="n">
        <v>45908</v>
      </c>
      <c r="D574" t="inlineStr">
        <is>
          <t>ÖREBRO LÄN</t>
        </is>
      </c>
      <c r="E574" t="inlineStr">
        <is>
          <t>ÖREBRO</t>
        </is>
      </c>
      <c r="G574" t="n">
        <v>1.6</v>
      </c>
      <c r="H574" t="n">
        <v>0</v>
      </c>
      <c r="I574" t="n">
        <v>0</v>
      </c>
      <c r="J574" t="n">
        <v>0</v>
      </c>
      <c r="K574" t="n">
        <v>0</v>
      </c>
      <c r="L574" t="n">
        <v>0</v>
      </c>
      <c r="M574" t="n">
        <v>0</v>
      </c>
      <c r="N574" t="n">
        <v>0</v>
      </c>
      <c r="O574" t="n">
        <v>0</v>
      </c>
      <c r="P574" t="n">
        <v>0</v>
      </c>
      <c r="Q574" t="n">
        <v>0</v>
      </c>
      <c r="R574" s="2" t="inlineStr"/>
    </row>
    <row r="575" ht="15" customHeight="1">
      <c r="A575" t="inlineStr">
        <is>
          <t>A 37021-2024</t>
        </is>
      </c>
      <c r="B575" s="1" t="n">
        <v>45539.38146990741</v>
      </c>
      <c r="C575" s="1" t="n">
        <v>45908</v>
      </c>
      <c r="D575" t="inlineStr">
        <is>
          <t>ÖREBRO LÄN</t>
        </is>
      </c>
      <c r="E575" t="inlineStr">
        <is>
          <t>ÖREBRO</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52499-2024</t>
        </is>
      </c>
      <c r="B576" s="1" t="n">
        <v>45609.58422453704</v>
      </c>
      <c r="C576" s="1" t="n">
        <v>45908</v>
      </c>
      <c r="D576" t="inlineStr">
        <is>
          <t>ÖREBRO LÄN</t>
        </is>
      </c>
      <c r="E576" t="inlineStr">
        <is>
          <t>ÖREBRO</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8374-2021</t>
        </is>
      </c>
      <c r="B577" s="1" t="n">
        <v>44244</v>
      </c>
      <c r="C577" s="1" t="n">
        <v>45908</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55355-2024</t>
        </is>
      </c>
      <c r="B578" s="1" t="n">
        <v>45621.80475694445</v>
      </c>
      <c r="C578" s="1" t="n">
        <v>45908</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14960-2025</t>
        </is>
      </c>
      <c r="B579" s="1" t="n">
        <v>45743.5853125</v>
      </c>
      <c r="C579" s="1" t="n">
        <v>45908</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13623-2024</t>
        </is>
      </c>
      <c r="B580" s="1" t="n">
        <v>45390.38626157407</v>
      </c>
      <c r="C580" s="1" t="n">
        <v>45908</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56077-2022</t>
        </is>
      </c>
      <c r="B581" s="1" t="n">
        <v>44889.60872685185</v>
      </c>
      <c r="C581" s="1" t="n">
        <v>45908</v>
      </c>
      <c r="D581" t="inlineStr">
        <is>
          <t>ÖREBRO LÄN</t>
        </is>
      </c>
      <c r="E581" t="inlineStr">
        <is>
          <t>ÖREBRO</t>
        </is>
      </c>
      <c r="F581" t="inlineStr">
        <is>
          <t>Övriga Aktiebolag</t>
        </is>
      </c>
      <c r="G581" t="n">
        <v>2.5</v>
      </c>
      <c r="H581" t="n">
        <v>0</v>
      </c>
      <c r="I581" t="n">
        <v>0</v>
      </c>
      <c r="J581" t="n">
        <v>0</v>
      </c>
      <c r="K581" t="n">
        <v>0</v>
      </c>
      <c r="L581" t="n">
        <v>0</v>
      </c>
      <c r="M581" t="n">
        <v>0</v>
      </c>
      <c r="N581" t="n">
        <v>0</v>
      </c>
      <c r="O581" t="n">
        <v>0</v>
      </c>
      <c r="P581" t="n">
        <v>0</v>
      </c>
      <c r="Q581" t="n">
        <v>0</v>
      </c>
      <c r="R581" s="2" t="inlineStr"/>
    </row>
    <row r="582" ht="15" customHeight="1">
      <c r="A582" t="inlineStr">
        <is>
          <t>A 5619-2023</t>
        </is>
      </c>
      <c r="B582" s="1" t="n">
        <v>44958</v>
      </c>
      <c r="C582" s="1" t="n">
        <v>45908</v>
      </c>
      <c r="D582" t="inlineStr">
        <is>
          <t>ÖREBRO LÄN</t>
        </is>
      </c>
      <c r="E582" t="inlineStr">
        <is>
          <t>ÖREBRO</t>
        </is>
      </c>
      <c r="G582" t="n">
        <v>27</v>
      </c>
      <c r="H582" t="n">
        <v>0</v>
      </c>
      <c r="I582" t="n">
        <v>0</v>
      </c>
      <c r="J582" t="n">
        <v>0</v>
      </c>
      <c r="K582" t="n">
        <v>0</v>
      </c>
      <c r="L582" t="n">
        <v>0</v>
      </c>
      <c r="M582" t="n">
        <v>0</v>
      </c>
      <c r="N582" t="n">
        <v>0</v>
      </c>
      <c r="O582" t="n">
        <v>0</v>
      </c>
      <c r="P582" t="n">
        <v>0</v>
      </c>
      <c r="Q582" t="n">
        <v>0</v>
      </c>
      <c r="R582" s="2" t="inlineStr"/>
    </row>
    <row r="583" ht="15" customHeight="1">
      <c r="A583" t="inlineStr">
        <is>
          <t>A 37277-2022</t>
        </is>
      </c>
      <c r="B583" s="1" t="n">
        <v>44807.49150462963</v>
      </c>
      <c r="C583" s="1" t="n">
        <v>45908</v>
      </c>
      <c r="D583" t="inlineStr">
        <is>
          <t>ÖREBRO LÄN</t>
        </is>
      </c>
      <c r="E583" t="inlineStr">
        <is>
          <t>ÖREBRO</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33457-2023</t>
        </is>
      </c>
      <c r="B584" s="1" t="n">
        <v>45131</v>
      </c>
      <c r="C584" s="1" t="n">
        <v>45908</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7141-2025</t>
        </is>
      </c>
      <c r="B585" s="1" t="n">
        <v>45702</v>
      </c>
      <c r="C585" s="1" t="n">
        <v>45908</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23573-2023</t>
        </is>
      </c>
      <c r="B586" s="1" t="n">
        <v>45077.41672453703</v>
      </c>
      <c r="C586" s="1" t="n">
        <v>45908</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22677-2022</t>
        </is>
      </c>
      <c r="B587" s="1" t="n">
        <v>44714</v>
      </c>
      <c r="C587" s="1" t="n">
        <v>45908</v>
      </c>
      <c r="D587" t="inlineStr">
        <is>
          <t>ÖREBRO LÄN</t>
        </is>
      </c>
      <c r="E587" t="inlineStr">
        <is>
          <t>ÖREBRO</t>
        </is>
      </c>
      <c r="G587" t="n">
        <v>2.3</v>
      </c>
      <c r="H587" t="n">
        <v>0</v>
      </c>
      <c r="I587" t="n">
        <v>0</v>
      </c>
      <c r="J587" t="n">
        <v>0</v>
      </c>
      <c r="K587" t="n">
        <v>0</v>
      </c>
      <c r="L587" t="n">
        <v>0</v>
      </c>
      <c r="M587" t="n">
        <v>0</v>
      </c>
      <c r="N587" t="n">
        <v>0</v>
      </c>
      <c r="O587" t="n">
        <v>0</v>
      </c>
      <c r="P587" t="n">
        <v>0</v>
      </c>
      <c r="Q587" t="n">
        <v>0</v>
      </c>
      <c r="R587" s="2" t="inlineStr"/>
    </row>
    <row r="588" ht="15" customHeight="1">
      <c r="A588" t="inlineStr">
        <is>
          <t>A 13169-2024</t>
        </is>
      </c>
      <c r="B588" s="1" t="n">
        <v>45386.40489583334</v>
      </c>
      <c r="C588" s="1" t="n">
        <v>45908</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23710-2022</t>
        </is>
      </c>
      <c r="B589" s="1" t="n">
        <v>44722</v>
      </c>
      <c r="C589" s="1" t="n">
        <v>45908</v>
      </c>
      <c r="D589" t="inlineStr">
        <is>
          <t>ÖREBRO LÄN</t>
        </is>
      </c>
      <c r="E589" t="inlineStr">
        <is>
          <t>ÖREBRO</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61593-2023</t>
        </is>
      </c>
      <c r="B590" s="1" t="n">
        <v>45265</v>
      </c>
      <c r="C590" s="1" t="n">
        <v>45908</v>
      </c>
      <c r="D590" t="inlineStr">
        <is>
          <t>ÖREBRO LÄN</t>
        </is>
      </c>
      <c r="E590" t="inlineStr">
        <is>
          <t>ÖREBRO</t>
        </is>
      </c>
      <c r="G590" t="n">
        <v>2.5</v>
      </c>
      <c r="H590" t="n">
        <v>0</v>
      </c>
      <c r="I590" t="n">
        <v>0</v>
      </c>
      <c r="J590" t="n">
        <v>0</v>
      </c>
      <c r="K590" t="n">
        <v>0</v>
      </c>
      <c r="L590" t="n">
        <v>0</v>
      </c>
      <c r="M590" t="n">
        <v>0</v>
      </c>
      <c r="N590" t="n">
        <v>0</v>
      </c>
      <c r="O590" t="n">
        <v>0</v>
      </c>
      <c r="P590" t="n">
        <v>0</v>
      </c>
      <c r="Q590" t="n">
        <v>0</v>
      </c>
      <c r="R590" s="2" t="inlineStr"/>
    </row>
    <row r="591" ht="15" customHeight="1">
      <c r="A591" t="inlineStr">
        <is>
          <t>A 4757-2024</t>
        </is>
      </c>
      <c r="B591" s="1" t="n">
        <v>45328</v>
      </c>
      <c r="C591" s="1" t="n">
        <v>45908</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30903-2024</t>
        </is>
      </c>
      <c r="B592" s="1" t="n">
        <v>45498.49946759259</v>
      </c>
      <c r="C592" s="1" t="n">
        <v>45908</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59024-2024</t>
        </is>
      </c>
      <c r="B593" s="1" t="n">
        <v>45636.68505787037</v>
      </c>
      <c r="C593" s="1" t="n">
        <v>45908</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47193-2023</t>
        </is>
      </c>
      <c r="B594" s="1" t="n">
        <v>45202.3074537037</v>
      </c>
      <c r="C594" s="1" t="n">
        <v>45908</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59026-2024</t>
        </is>
      </c>
      <c r="B595" s="1" t="n">
        <v>45636.6875</v>
      </c>
      <c r="C595" s="1" t="n">
        <v>45908</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10339-2023</t>
        </is>
      </c>
      <c r="B596" s="1" t="n">
        <v>44987</v>
      </c>
      <c r="C596" s="1" t="n">
        <v>45908</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31247-2023</t>
        </is>
      </c>
      <c r="B597" s="1" t="n">
        <v>45114</v>
      </c>
      <c r="C597" s="1" t="n">
        <v>45908</v>
      </c>
      <c r="D597" t="inlineStr">
        <is>
          <t>ÖREBRO LÄN</t>
        </is>
      </c>
      <c r="E597" t="inlineStr">
        <is>
          <t>ÖREBRO</t>
        </is>
      </c>
      <c r="F597" t="inlineStr">
        <is>
          <t>Allmännings- och besparingsskogar</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16165-2023</t>
        </is>
      </c>
      <c r="B598" s="1" t="n">
        <v>45027</v>
      </c>
      <c r="C598" s="1" t="n">
        <v>45908</v>
      </c>
      <c r="D598" t="inlineStr">
        <is>
          <t>ÖREBRO LÄN</t>
        </is>
      </c>
      <c r="E598" t="inlineStr">
        <is>
          <t>ÖREBRO</t>
        </is>
      </c>
      <c r="G598" t="n">
        <v>11</v>
      </c>
      <c r="H598" t="n">
        <v>0</v>
      </c>
      <c r="I598" t="n">
        <v>0</v>
      </c>
      <c r="J598" t="n">
        <v>0</v>
      </c>
      <c r="K598" t="n">
        <v>0</v>
      </c>
      <c r="L598" t="n">
        <v>0</v>
      </c>
      <c r="M598" t="n">
        <v>0</v>
      </c>
      <c r="N598" t="n">
        <v>0</v>
      </c>
      <c r="O598" t="n">
        <v>0</v>
      </c>
      <c r="P598" t="n">
        <v>0</v>
      </c>
      <c r="Q598" t="n">
        <v>0</v>
      </c>
      <c r="R598" s="2" t="inlineStr"/>
    </row>
    <row r="599" ht="15" customHeight="1">
      <c r="A599" t="inlineStr">
        <is>
          <t>A 39130-2023</t>
        </is>
      </c>
      <c r="B599" s="1" t="n">
        <v>45165</v>
      </c>
      <c r="C599" s="1" t="n">
        <v>45908</v>
      </c>
      <c r="D599" t="inlineStr">
        <is>
          <t>ÖREBRO LÄN</t>
        </is>
      </c>
      <c r="E599" t="inlineStr">
        <is>
          <t>ÖREBRO</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45908</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9379-2024</t>
        </is>
      </c>
      <c r="B601" s="1" t="n">
        <v>45359.37298611111</v>
      </c>
      <c r="C601" s="1" t="n">
        <v>45908</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35345-2024</t>
        </is>
      </c>
      <c r="B602" s="1" t="n">
        <v>45530</v>
      </c>
      <c r="C602" s="1" t="n">
        <v>45908</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8568-2021</t>
        </is>
      </c>
      <c r="B603" s="1" t="n">
        <v>44245</v>
      </c>
      <c r="C603" s="1" t="n">
        <v>45908</v>
      </c>
      <c r="D603" t="inlineStr">
        <is>
          <t>ÖREBRO LÄN</t>
        </is>
      </c>
      <c r="E603" t="inlineStr">
        <is>
          <t>ÖREBRO</t>
        </is>
      </c>
      <c r="G603" t="n">
        <v>4.8</v>
      </c>
      <c r="H603" t="n">
        <v>0</v>
      </c>
      <c r="I603" t="n">
        <v>0</v>
      </c>
      <c r="J603" t="n">
        <v>0</v>
      </c>
      <c r="K603" t="n">
        <v>0</v>
      </c>
      <c r="L603" t="n">
        <v>0</v>
      </c>
      <c r="M603" t="n">
        <v>0</v>
      </c>
      <c r="N603" t="n">
        <v>0</v>
      </c>
      <c r="O603" t="n">
        <v>0</v>
      </c>
      <c r="P603" t="n">
        <v>0</v>
      </c>
      <c r="Q603" t="n">
        <v>0</v>
      </c>
      <c r="R603" s="2" t="inlineStr"/>
    </row>
    <row r="604" ht="15" customHeight="1">
      <c r="A604" t="inlineStr">
        <is>
          <t>A 45517-2023</t>
        </is>
      </c>
      <c r="B604" s="1" t="n">
        <v>45194.49594907407</v>
      </c>
      <c r="C604" s="1" t="n">
        <v>45908</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32321-2023</t>
        </is>
      </c>
      <c r="B605" s="1" t="n">
        <v>45120</v>
      </c>
      <c r="C605" s="1" t="n">
        <v>45908</v>
      </c>
      <c r="D605" t="inlineStr">
        <is>
          <t>ÖREBRO LÄN</t>
        </is>
      </c>
      <c r="E605" t="inlineStr">
        <is>
          <t>ÖREBRO</t>
        </is>
      </c>
      <c r="G605" t="n">
        <v>3.4</v>
      </c>
      <c r="H605" t="n">
        <v>0</v>
      </c>
      <c r="I605" t="n">
        <v>0</v>
      </c>
      <c r="J605" t="n">
        <v>0</v>
      </c>
      <c r="K605" t="n">
        <v>0</v>
      </c>
      <c r="L605" t="n">
        <v>0</v>
      </c>
      <c r="M605" t="n">
        <v>0</v>
      </c>
      <c r="N605" t="n">
        <v>0</v>
      </c>
      <c r="O605" t="n">
        <v>0</v>
      </c>
      <c r="P605" t="n">
        <v>0</v>
      </c>
      <c r="Q605" t="n">
        <v>0</v>
      </c>
      <c r="R605" s="2" t="inlineStr"/>
    </row>
    <row r="606" ht="15" customHeight="1">
      <c r="A606" t="inlineStr">
        <is>
          <t>A 29138-2022</t>
        </is>
      </c>
      <c r="B606" s="1" t="n">
        <v>44750</v>
      </c>
      <c r="C606" s="1" t="n">
        <v>45908</v>
      </c>
      <c r="D606" t="inlineStr">
        <is>
          <t>ÖREBRO LÄN</t>
        </is>
      </c>
      <c r="E606" t="inlineStr">
        <is>
          <t>ÖREBRO</t>
        </is>
      </c>
      <c r="G606" t="n">
        <v>3.3</v>
      </c>
      <c r="H606" t="n">
        <v>0</v>
      </c>
      <c r="I606" t="n">
        <v>0</v>
      </c>
      <c r="J606" t="n">
        <v>0</v>
      </c>
      <c r="K606" t="n">
        <v>0</v>
      </c>
      <c r="L606" t="n">
        <v>0</v>
      </c>
      <c r="M606" t="n">
        <v>0</v>
      </c>
      <c r="N606" t="n">
        <v>0</v>
      </c>
      <c r="O606" t="n">
        <v>0</v>
      </c>
      <c r="P606" t="n">
        <v>0</v>
      </c>
      <c r="Q606" t="n">
        <v>0</v>
      </c>
      <c r="R606" s="2" t="inlineStr"/>
    </row>
    <row r="607" ht="15" customHeight="1">
      <c r="A607" t="inlineStr">
        <is>
          <t>A 29143-2022</t>
        </is>
      </c>
      <c r="B607" s="1" t="n">
        <v>44750</v>
      </c>
      <c r="C607" s="1" t="n">
        <v>45908</v>
      </c>
      <c r="D607" t="inlineStr">
        <is>
          <t>ÖREBRO LÄN</t>
        </is>
      </c>
      <c r="E607" t="inlineStr">
        <is>
          <t>ÖREBRO</t>
        </is>
      </c>
      <c r="G607" t="n">
        <v>5.6</v>
      </c>
      <c r="H607" t="n">
        <v>0</v>
      </c>
      <c r="I607" t="n">
        <v>0</v>
      </c>
      <c r="J607" t="n">
        <v>0</v>
      </c>
      <c r="K607" t="n">
        <v>0</v>
      </c>
      <c r="L607" t="n">
        <v>0</v>
      </c>
      <c r="M607" t="n">
        <v>0</v>
      </c>
      <c r="N607" t="n">
        <v>0</v>
      </c>
      <c r="O607" t="n">
        <v>0</v>
      </c>
      <c r="P607" t="n">
        <v>0</v>
      </c>
      <c r="Q607" t="n">
        <v>0</v>
      </c>
      <c r="R607" s="2" t="inlineStr"/>
    </row>
    <row r="608">
      <c r="A608" t="inlineStr">
        <is>
          <t>A 14234-2024</t>
        </is>
      </c>
      <c r="B608" s="1" t="n">
        <v>45393.46980324074</v>
      </c>
      <c r="C608" s="1" t="n">
        <v>45908</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2025-09-08T09:01:26Z</dcterms:created>
  <dcterms:modified xmlns:dcterms="http://purl.org/dc/terms/" xmlns:xsi="http://www.w3.org/2001/XMLSchema-instance" xsi:type="dcterms:W3CDTF">2025-09-08T09:01:26Z</dcterms:modified>
</cp:coreProperties>
</file>