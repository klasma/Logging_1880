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46100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46100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46100</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55197-2023</t>
        </is>
      </c>
      <c r="B9" s="1" t="n">
        <v>45237</v>
      </c>
      <c r="C9" s="1" t="n">
        <v>46100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46100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46100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46100</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46100</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51530-2024</t>
        </is>
      </c>
      <c r="B14" s="1" t="n">
        <v>45604</v>
      </c>
      <c r="C14" s="1" t="n">
        <v>46100</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Kötticka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46100</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46100</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46100</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46100</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29487-2022</t>
        </is>
      </c>
      <c r="B19" s="1" t="n">
        <v>44753</v>
      </c>
      <c r="C19" s="1" t="n">
        <v>46100</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32782-2022</t>
        </is>
      </c>
      <c r="B20" s="1" t="n">
        <v>44783</v>
      </c>
      <c r="C20" s="1" t="n">
        <v>46100</v>
      </c>
      <c r="D20" t="inlineStr">
        <is>
          <t>ÖREBRO LÄN</t>
        </is>
      </c>
      <c r="E20" t="inlineStr">
        <is>
          <t>ÖREBRO</t>
        </is>
      </c>
      <c r="G20" t="n">
        <v>2.8</v>
      </c>
      <c r="H20" t="n">
        <v>2</v>
      </c>
      <c r="I20" t="n">
        <v>0</v>
      </c>
      <c r="J20" t="n">
        <v>1</v>
      </c>
      <c r="K20" t="n">
        <v>0</v>
      </c>
      <c r="L20" t="n">
        <v>0</v>
      </c>
      <c r="M20" t="n">
        <v>0</v>
      </c>
      <c r="N20" t="n">
        <v>0</v>
      </c>
      <c r="O20" t="n">
        <v>1</v>
      </c>
      <c r="P20" t="n">
        <v>0</v>
      </c>
      <c r="Q20" t="n">
        <v>3</v>
      </c>
      <c r="R20" s="2" t="inlineStr">
        <is>
          <t>Loppstarr
Blåsippa
Lopplummer (aggregat)</t>
        </is>
      </c>
      <c r="S20">
        <f>HYPERLINK("https://klasma.github.io/Logging_1880/artfynd/A 32782-2022 artfynd.xlsx", "A 32782-2022")</f>
        <v/>
      </c>
      <c r="T20">
        <f>HYPERLINK("https://klasma.github.io/Logging_1880/kartor/A 32782-2022 karta.png", "A 32782-2022")</f>
        <v/>
      </c>
      <c r="V20">
        <f>HYPERLINK("https://klasma.github.io/Logging_1880/klagomål/A 32782-2022 FSC-klagomål.docx", "A 32782-2022")</f>
        <v/>
      </c>
      <c r="W20">
        <f>HYPERLINK("https://klasma.github.io/Logging_1880/klagomålsmail/A 32782-2022 FSC-klagomål mail.docx", "A 32782-2022")</f>
        <v/>
      </c>
      <c r="X20">
        <f>HYPERLINK("https://klasma.github.io/Logging_1880/tillsyn/A 32782-2022 tillsynsbegäran.docx", "A 32782-2022")</f>
        <v/>
      </c>
      <c r="Y20">
        <f>HYPERLINK("https://klasma.github.io/Logging_1880/tillsynsmail/A 32782-2022 tillsynsbegäran mail.docx", "A 32782-2022")</f>
        <v/>
      </c>
    </row>
    <row r="21" ht="15" customHeight="1">
      <c r="A21" t="inlineStr">
        <is>
          <t>A 20838-2021</t>
        </is>
      </c>
      <c r="B21" s="1" t="n">
        <v>44319</v>
      </c>
      <c r="C21" s="1" t="n">
        <v>46100</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46100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46100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46100</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17074-2024</t>
        </is>
      </c>
      <c r="B25" s="1" t="n">
        <v>45412</v>
      </c>
      <c r="C25" s="1" t="n">
        <v>46100</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46100</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46100</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46100</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46100</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46100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46100</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46100</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7608-2024</t>
        </is>
      </c>
      <c r="B33" s="1" t="n">
        <v>45348</v>
      </c>
      <c r="C33" s="1" t="n">
        <v>46100</v>
      </c>
      <c r="D33" t="inlineStr">
        <is>
          <t>ÖREBRO LÄN</t>
        </is>
      </c>
      <c r="E33" t="inlineStr">
        <is>
          <t>ÖREBRO</t>
        </is>
      </c>
      <c r="G33" t="n">
        <v>4.3</v>
      </c>
      <c r="H33" t="n">
        <v>2</v>
      </c>
      <c r="I33" t="n">
        <v>0</v>
      </c>
      <c r="J33" t="n">
        <v>1</v>
      </c>
      <c r="K33" t="n">
        <v>1</v>
      </c>
      <c r="L33" t="n">
        <v>0</v>
      </c>
      <c r="M33" t="n">
        <v>0</v>
      </c>
      <c r="N33" t="n">
        <v>0</v>
      </c>
      <c r="O33" t="n">
        <v>2</v>
      </c>
      <c r="P33" t="n">
        <v>1</v>
      </c>
      <c r="Q33" t="n">
        <v>2</v>
      </c>
      <c r="R33" s="2" t="inlineStr">
        <is>
          <t>Knärot
Spillkråka</t>
        </is>
      </c>
      <c r="S33">
        <f>HYPERLINK("https://klasma.github.io/Logging_1880/artfynd/A 7608-2024 artfynd.xlsx", "A 7608-2024")</f>
        <v/>
      </c>
      <c r="T33">
        <f>HYPERLINK("https://klasma.github.io/Logging_1880/kartor/A 7608-2024 karta.png", "A 7608-2024")</f>
        <v/>
      </c>
      <c r="U33">
        <f>HYPERLINK("https://klasma.github.io/Logging_1880/knärot/A 7608-2024 karta knärot.png", "A 7608-2024")</f>
        <v/>
      </c>
      <c r="V33">
        <f>HYPERLINK("https://klasma.github.io/Logging_1880/klagomål/A 7608-2024 FSC-klagomål.docx", "A 7608-2024")</f>
        <v/>
      </c>
      <c r="W33">
        <f>HYPERLINK("https://klasma.github.io/Logging_1880/klagomålsmail/A 7608-2024 FSC-klagomål mail.docx", "A 7608-2024")</f>
        <v/>
      </c>
      <c r="X33">
        <f>HYPERLINK("https://klasma.github.io/Logging_1880/tillsyn/A 7608-2024 tillsynsbegäran.docx", "A 7608-2024")</f>
        <v/>
      </c>
      <c r="Y33">
        <f>HYPERLINK("https://klasma.github.io/Logging_1880/tillsynsmail/A 7608-2024 tillsynsbegäran mail.docx", "A 7608-2024")</f>
        <v/>
      </c>
      <c r="Z33">
        <f>HYPERLINK("https://klasma.github.io/Logging_1880/fåglar/A 7608-2024 prioriterade fågelarter.docx", "A 7608-2024")</f>
        <v/>
      </c>
    </row>
    <row r="34" ht="15" customHeight="1">
      <c r="A34" t="inlineStr">
        <is>
          <t>A 52400-2024</t>
        </is>
      </c>
      <c r="B34" s="1" t="n">
        <v>45609.44461805555</v>
      </c>
      <c r="C34" s="1" t="n">
        <v>46100</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22577-2024</t>
        </is>
      </c>
      <c r="B35" s="1" t="n">
        <v>45447</v>
      </c>
      <c r="C35" s="1" t="n">
        <v>46100</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37019-2024</t>
        </is>
      </c>
      <c r="B36" s="1" t="n">
        <v>45539.37905092593</v>
      </c>
      <c r="C36" s="1" t="n">
        <v>46100</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14956-2025</t>
        </is>
      </c>
      <c r="B37" s="1" t="n">
        <v>45743.58409722222</v>
      </c>
      <c r="C37" s="1" t="n">
        <v>46100</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30409-2025</t>
        </is>
      </c>
      <c r="B38" s="1" t="n">
        <v>45827.59738425926</v>
      </c>
      <c r="C38" s="1" t="n">
        <v>46100</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51550-2025</t>
        </is>
      </c>
      <c r="B39" s="1" t="n">
        <v>45950.83359953704</v>
      </c>
      <c r="C39" s="1" t="n">
        <v>46100</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13395-2024</t>
        </is>
      </c>
      <c r="B40" s="1" t="n">
        <v>45387.42296296296</v>
      </c>
      <c r="C40" s="1" t="n">
        <v>46100</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46100</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60557-2025</t>
        </is>
      </c>
      <c r="B42" s="1" t="n">
        <v>45995.74444444444</v>
      </c>
      <c r="C42" s="1" t="n">
        <v>46100</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63196-2025</t>
        </is>
      </c>
      <c r="B43" s="1" t="n">
        <v>46010.45872685185</v>
      </c>
      <c r="C43" s="1" t="n">
        <v>46100</v>
      </c>
      <c r="D43" t="inlineStr">
        <is>
          <t>ÖREBRO LÄN</t>
        </is>
      </c>
      <c r="E43" t="inlineStr">
        <is>
          <t>ÖREBRO</t>
        </is>
      </c>
      <c r="F43" t="inlineStr">
        <is>
          <t>Sveaskog</t>
        </is>
      </c>
      <c r="G43" t="n">
        <v>1.4</v>
      </c>
      <c r="H43" t="n">
        <v>1</v>
      </c>
      <c r="I43" t="n">
        <v>1</v>
      </c>
      <c r="J43" t="n">
        <v>0</v>
      </c>
      <c r="K43" t="n">
        <v>0</v>
      </c>
      <c r="L43" t="n">
        <v>0</v>
      </c>
      <c r="M43" t="n">
        <v>0</v>
      </c>
      <c r="N43" t="n">
        <v>0</v>
      </c>
      <c r="O43" t="n">
        <v>0</v>
      </c>
      <c r="P43" t="n">
        <v>0</v>
      </c>
      <c r="Q43" t="n">
        <v>2</v>
      </c>
      <c r="R43" s="2" t="inlineStr">
        <is>
          <t>Tibast
Blåsippa</t>
        </is>
      </c>
      <c r="S43">
        <f>HYPERLINK("https://klasma.github.io/Logging_1880/artfynd/A 63196-2025 artfynd.xlsx", "A 63196-2025")</f>
        <v/>
      </c>
      <c r="T43">
        <f>HYPERLINK("https://klasma.github.io/Logging_1880/kartor/A 63196-2025 karta.png", "A 63196-2025")</f>
        <v/>
      </c>
      <c r="V43">
        <f>HYPERLINK("https://klasma.github.io/Logging_1880/klagomål/A 63196-2025 FSC-klagomål.docx", "A 63196-2025")</f>
        <v/>
      </c>
      <c r="W43">
        <f>HYPERLINK("https://klasma.github.io/Logging_1880/klagomålsmail/A 63196-2025 FSC-klagomål mail.docx", "A 63196-2025")</f>
        <v/>
      </c>
      <c r="X43">
        <f>HYPERLINK("https://klasma.github.io/Logging_1880/tillsyn/A 63196-2025 tillsynsbegäran.docx", "A 63196-2025")</f>
        <v/>
      </c>
      <c r="Y43">
        <f>HYPERLINK("https://klasma.github.io/Logging_1880/tillsynsmail/A 63196-2025 tillsynsbegäran mail.docx", "A 63196-2025")</f>
        <v/>
      </c>
    </row>
    <row r="44" ht="15" customHeight="1">
      <c r="A44" t="inlineStr">
        <is>
          <t>A 2998-2026</t>
        </is>
      </c>
      <c r="B44" s="1" t="n">
        <v>46038.64835648148</v>
      </c>
      <c r="C44" s="1" t="n">
        <v>46100</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29704-2022</t>
        </is>
      </c>
      <c r="B45" s="1" t="n">
        <v>44755</v>
      </c>
      <c r="C45" s="1" t="n">
        <v>46100</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46100</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20032-2023</t>
        </is>
      </c>
      <c r="B47" s="1" t="n">
        <v>45054</v>
      </c>
      <c r="C47" s="1" t="n">
        <v>46100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32105-2023</t>
        </is>
      </c>
      <c r="B48" s="1" t="n">
        <v>45119</v>
      </c>
      <c r="C48" s="1" t="n">
        <v>46100</v>
      </c>
      <c r="D48" t="inlineStr">
        <is>
          <t>ÖREBRO LÄN</t>
        </is>
      </c>
      <c r="E48" t="inlineStr">
        <is>
          <t>ÖREBRO</t>
        </is>
      </c>
      <c r="G48" t="n">
        <v>1.3</v>
      </c>
      <c r="H48" t="n">
        <v>1</v>
      </c>
      <c r="I48" t="n">
        <v>0</v>
      </c>
      <c r="J48" t="n">
        <v>1</v>
      </c>
      <c r="K48" t="n">
        <v>0</v>
      </c>
      <c r="L48" t="n">
        <v>0</v>
      </c>
      <c r="M48" t="n">
        <v>0</v>
      </c>
      <c r="N48" t="n">
        <v>0</v>
      </c>
      <c r="O48" t="n">
        <v>1</v>
      </c>
      <c r="P48" t="n">
        <v>0</v>
      </c>
      <c r="Q48" t="n">
        <v>1</v>
      </c>
      <c r="R48" s="2" t="inlineStr">
        <is>
          <t>Rödvingetrast</t>
        </is>
      </c>
      <c r="S48">
        <f>HYPERLINK("https://klasma.github.io/Logging_1880/artfynd/A 32105-2023 artfynd.xlsx", "A 32105-2023")</f>
        <v/>
      </c>
      <c r="T48">
        <f>HYPERLINK("https://klasma.github.io/Logging_1880/kartor/A 32105-2023 karta.png", "A 32105-2023")</f>
        <v/>
      </c>
      <c r="V48">
        <f>HYPERLINK("https://klasma.github.io/Logging_1880/klagomål/A 32105-2023 FSC-klagomål.docx", "A 32105-2023")</f>
        <v/>
      </c>
      <c r="W48">
        <f>HYPERLINK("https://klasma.github.io/Logging_1880/klagomålsmail/A 32105-2023 FSC-klagomål mail.docx", "A 32105-2023")</f>
        <v/>
      </c>
      <c r="X48">
        <f>HYPERLINK("https://klasma.github.io/Logging_1880/tillsyn/A 32105-2023 tillsynsbegäran.docx", "A 32105-2023")</f>
        <v/>
      </c>
      <c r="Y48">
        <f>HYPERLINK("https://klasma.github.io/Logging_1880/tillsynsmail/A 32105-2023 tillsynsbegäran mail.docx", "A 32105-2023")</f>
        <v/>
      </c>
      <c r="Z48">
        <f>HYPERLINK("https://klasma.github.io/Logging_1880/fåglar/A 32105-2023 prioriterade fågelarter.docx", "A 32105-2023")</f>
        <v/>
      </c>
    </row>
    <row r="49" ht="15" customHeight="1">
      <c r="A49" t="inlineStr">
        <is>
          <t>A 20247-2023</t>
        </is>
      </c>
      <c r="B49" s="1" t="n">
        <v>45055</v>
      </c>
      <c r="C49" s="1" t="n">
        <v>46100</v>
      </c>
      <c r="D49" t="inlineStr">
        <is>
          <t>ÖREBRO LÄN</t>
        </is>
      </c>
      <c r="E49" t="inlineStr">
        <is>
          <t>ÖREBRO</t>
        </is>
      </c>
      <c r="G49" t="n">
        <v>3</v>
      </c>
      <c r="H49" t="n">
        <v>1</v>
      </c>
      <c r="I49" t="n">
        <v>0</v>
      </c>
      <c r="J49" t="n">
        <v>0</v>
      </c>
      <c r="K49" t="n">
        <v>0</v>
      </c>
      <c r="L49" t="n">
        <v>0</v>
      </c>
      <c r="M49" t="n">
        <v>0</v>
      </c>
      <c r="N49" t="n">
        <v>0</v>
      </c>
      <c r="O49" t="n">
        <v>0</v>
      </c>
      <c r="P49" t="n">
        <v>0</v>
      </c>
      <c r="Q49" t="n">
        <v>1</v>
      </c>
      <c r="R49" s="2" t="inlineStr">
        <is>
          <t>Större vattensalamander</t>
        </is>
      </c>
      <c r="S49">
        <f>HYPERLINK("https://klasma.github.io/Logging_1880/artfynd/A 20247-2023 artfynd.xlsx", "A 20247-2023")</f>
        <v/>
      </c>
      <c r="T49">
        <f>HYPERLINK("https://klasma.github.io/Logging_1880/kartor/A 20247-2023 karta.png", "A 20247-2023")</f>
        <v/>
      </c>
      <c r="V49">
        <f>HYPERLINK("https://klasma.github.io/Logging_1880/klagomål/A 20247-2023 FSC-klagomål.docx", "A 20247-2023")</f>
        <v/>
      </c>
      <c r="W49">
        <f>HYPERLINK("https://klasma.github.io/Logging_1880/klagomålsmail/A 20247-2023 FSC-klagomål mail.docx", "A 20247-2023")</f>
        <v/>
      </c>
      <c r="X49">
        <f>HYPERLINK("https://klasma.github.io/Logging_1880/tillsyn/A 20247-2023 tillsynsbegäran.docx", "A 20247-2023")</f>
        <v/>
      </c>
      <c r="Y49">
        <f>HYPERLINK("https://klasma.github.io/Logging_1880/tillsynsmail/A 20247-2023 tillsynsbegäran mail.docx", "A 20247-2023")</f>
        <v/>
      </c>
    </row>
    <row r="50" ht="15" customHeight="1">
      <c r="A50" t="inlineStr">
        <is>
          <t>A 44389-2021</t>
        </is>
      </c>
      <c r="B50" s="1" t="n">
        <v>44435</v>
      </c>
      <c r="C50" s="1" t="n">
        <v>46100</v>
      </c>
      <c r="D50" t="inlineStr">
        <is>
          <t>ÖREBRO LÄN</t>
        </is>
      </c>
      <c r="E50" t="inlineStr">
        <is>
          <t>ÖREBRO</t>
        </is>
      </c>
      <c r="G50" t="n">
        <v>2.2</v>
      </c>
      <c r="H50" t="n">
        <v>1</v>
      </c>
      <c r="I50" t="n">
        <v>0</v>
      </c>
      <c r="J50" t="n">
        <v>0</v>
      </c>
      <c r="K50" t="n">
        <v>1</v>
      </c>
      <c r="L50" t="n">
        <v>0</v>
      </c>
      <c r="M50" t="n">
        <v>0</v>
      </c>
      <c r="N50" t="n">
        <v>0</v>
      </c>
      <c r="O50" t="n">
        <v>1</v>
      </c>
      <c r="P50" t="n">
        <v>1</v>
      </c>
      <c r="Q50" t="n">
        <v>1</v>
      </c>
      <c r="R50" s="2" t="inlineStr">
        <is>
          <t>Knärot</t>
        </is>
      </c>
      <c r="S50">
        <f>HYPERLINK("https://klasma.github.io/Logging_1880/artfynd/A 44389-2021 artfynd.xlsx", "A 44389-2021")</f>
        <v/>
      </c>
      <c r="T50">
        <f>HYPERLINK("https://klasma.github.io/Logging_1880/kartor/A 44389-2021 karta.png", "A 44389-2021")</f>
        <v/>
      </c>
      <c r="U50">
        <f>HYPERLINK("https://klasma.github.io/Logging_1880/knärot/A 44389-2021 karta knärot.png", "A 44389-2021")</f>
        <v/>
      </c>
      <c r="V50">
        <f>HYPERLINK("https://klasma.github.io/Logging_1880/klagomål/A 44389-2021 FSC-klagomål.docx", "A 44389-2021")</f>
        <v/>
      </c>
      <c r="W50">
        <f>HYPERLINK("https://klasma.github.io/Logging_1880/klagomålsmail/A 44389-2021 FSC-klagomål mail.docx", "A 44389-2021")</f>
        <v/>
      </c>
      <c r="X50">
        <f>HYPERLINK("https://klasma.github.io/Logging_1880/tillsyn/A 44389-2021 tillsynsbegäran.docx", "A 44389-2021")</f>
        <v/>
      </c>
      <c r="Y50">
        <f>HYPERLINK("https://klasma.github.io/Logging_1880/tillsynsmail/A 44389-2021 tillsynsbegäran mail.docx", "A 44389-2021")</f>
        <v/>
      </c>
    </row>
    <row r="51" ht="15" customHeight="1">
      <c r="A51" t="inlineStr">
        <is>
          <t>A 23998-2025</t>
        </is>
      </c>
      <c r="B51" s="1" t="n">
        <v>45796.42209490741</v>
      </c>
      <c r="C51" s="1" t="n">
        <v>46100</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22604-2024</t>
        </is>
      </c>
      <c r="B52" s="1" t="n">
        <v>45447</v>
      </c>
      <c r="C52" s="1" t="n">
        <v>46100</v>
      </c>
      <c r="D52" t="inlineStr">
        <is>
          <t>ÖREBRO LÄN</t>
        </is>
      </c>
      <c r="E52" t="inlineStr">
        <is>
          <t>ÖREBRO</t>
        </is>
      </c>
      <c r="G52" t="n">
        <v>4.4</v>
      </c>
      <c r="H52" t="n">
        <v>0</v>
      </c>
      <c r="I52" t="n">
        <v>0</v>
      </c>
      <c r="J52" t="n">
        <v>1</v>
      </c>
      <c r="K52" t="n">
        <v>0</v>
      </c>
      <c r="L52" t="n">
        <v>0</v>
      </c>
      <c r="M52" t="n">
        <v>0</v>
      </c>
      <c r="N52" t="n">
        <v>0</v>
      </c>
      <c r="O52" t="n">
        <v>1</v>
      </c>
      <c r="P52" t="n">
        <v>0</v>
      </c>
      <c r="Q52" t="n">
        <v>1</v>
      </c>
      <c r="R52" s="2" t="inlineStr">
        <is>
          <t>Månlåsbräken</t>
        </is>
      </c>
      <c r="S52">
        <f>HYPERLINK("https://klasma.github.io/Logging_1880/artfynd/A 22604-2024 artfynd.xlsx", "A 22604-2024")</f>
        <v/>
      </c>
      <c r="T52">
        <f>HYPERLINK("https://klasma.github.io/Logging_1880/kartor/A 22604-2024 karta.png", "A 22604-2024")</f>
        <v/>
      </c>
      <c r="V52">
        <f>HYPERLINK("https://klasma.github.io/Logging_1880/klagomål/A 22604-2024 FSC-klagomål.docx", "A 22604-2024")</f>
        <v/>
      </c>
      <c r="W52">
        <f>HYPERLINK("https://klasma.github.io/Logging_1880/klagomålsmail/A 22604-2024 FSC-klagomål mail.docx", "A 22604-2024")</f>
        <v/>
      </c>
      <c r="X52">
        <f>HYPERLINK("https://klasma.github.io/Logging_1880/tillsyn/A 22604-2024 tillsynsbegäran.docx", "A 22604-2024")</f>
        <v/>
      </c>
      <c r="Y52">
        <f>HYPERLINK("https://klasma.github.io/Logging_1880/tillsynsmail/A 22604-2024 tillsynsbegäran mail.docx", "A 22604-2024")</f>
        <v/>
      </c>
    </row>
    <row r="53" ht="15" customHeight="1">
      <c r="A53" t="inlineStr">
        <is>
          <t>A 44744-2024</t>
        </is>
      </c>
      <c r="B53" s="1" t="n">
        <v>45574.59789351852</v>
      </c>
      <c r="C53" s="1" t="n">
        <v>46100</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11501-2025</t>
        </is>
      </c>
      <c r="B54" s="1" t="n">
        <v>45726</v>
      </c>
      <c r="C54" s="1" t="n">
        <v>46100</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57920-2024</t>
        </is>
      </c>
      <c r="B55" s="1" t="n">
        <v>45631.50894675926</v>
      </c>
      <c r="C55" s="1" t="n">
        <v>46100</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42636-2023</t>
        </is>
      </c>
      <c r="B56" s="1" t="n">
        <v>45181.49559027778</v>
      </c>
      <c r="C56" s="1" t="n">
        <v>46100</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46100</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2077-2023</t>
        </is>
      </c>
      <c r="B58" s="1" t="n">
        <v>44939</v>
      </c>
      <c r="C58" s="1" t="n">
        <v>46100</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15621-2021</t>
        </is>
      </c>
      <c r="B59" s="1" t="n">
        <v>44285</v>
      </c>
      <c r="C59" s="1" t="n">
        <v>46100</v>
      </c>
      <c r="D59" t="inlineStr">
        <is>
          <t>ÖREBRO LÄN</t>
        </is>
      </c>
      <c r="E59" t="inlineStr">
        <is>
          <t>ÖREBRO</t>
        </is>
      </c>
      <c r="G59" t="n">
        <v>2.8</v>
      </c>
      <c r="H59" t="n">
        <v>1</v>
      </c>
      <c r="I59" t="n">
        <v>0</v>
      </c>
      <c r="J59" t="n">
        <v>0</v>
      </c>
      <c r="K59" t="n">
        <v>0</v>
      </c>
      <c r="L59" t="n">
        <v>0</v>
      </c>
      <c r="M59" t="n">
        <v>0</v>
      </c>
      <c r="N59" t="n">
        <v>0</v>
      </c>
      <c r="O59" t="n">
        <v>0</v>
      </c>
      <c r="P59" t="n">
        <v>0</v>
      </c>
      <c r="Q59" t="n">
        <v>1</v>
      </c>
      <c r="R59" s="2" t="inlineStr">
        <is>
          <t>Fläcknycklar</t>
        </is>
      </c>
      <c r="S59">
        <f>HYPERLINK("https://klasma.github.io/Logging_1880/artfynd/A 15621-2021 artfynd.xlsx", "A 15621-2021")</f>
        <v/>
      </c>
      <c r="T59">
        <f>HYPERLINK("https://klasma.github.io/Logging_1880/kartor/A 15621-2021 karta.png", "A 15621-2021")</f>
        <v/>
      </c>
      <c r="V59">
        <f>HYPERLINK("https://klasma.github.io/Logging_1880/klagomål/A 15621-2021 FSC-klagomål.docx", "A 15621-2021")</f>
        <v/>
      </c>
      <c r="W59">
        <f>HYPERLINK("https://klasma.github.io/Logging_1880/klagomålsmail/A 15621-2021 FSC-klagomål mail.docx", "A 15621-2021")</f>
        <v/>
      </c>
      <c r="X59">
        <f>HYPERLINK("https://klasma.github.io/Logging_1880/tillsyn/A 15621-2021 tillsynsbegäran.docx", "A 15621-2021")</f>
        <v/>
      </c>
      <c r="Y59">
        <f>HYPERLINK("https://klasma.github.io/Logging_1880/tillsynsmail/A 15621-2021 tillsynsbegäran mail.docx", "A 15621-2021")</f>
        <v/>
      </c>
    </row>
    <row r="60" ht="15" customHeight="1">
      <c r="A60" t="inlineStr">
        <is>
          <t>A 30725-2023</t>
        </is>
      </c>
      <c r="B60" s="1" t="n">
        <v>45112.61451388889</v>
      </c>
      <c r="C60" s="1" t="n">
        <v>46100</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28936-2025</t>
        </is>
      </c>
      <c r="B61" s="1" t="n">
        <v>45820.69287037037</v>
      </c>
      <c r="C61" s="1" t="n">
        <v>46100</v>
      </c>
      <c r="D61" t="inlineStr">
        <is>
          <t>ÖREBRO LÄN</t>
        </is>
      </c>
      <c r="E61" t="inlineStr">
        <is>
          <t>ÖREBRO</t>
        </is>
      </c>
      <c r="G61" t="n">
        <v>0.9</v>
      </c>
      <c r="H61" t="n">
        <v>1</v>
      </c>
      <c r="I61" t="n">
        <v>0</v>
      </c>
      <c r="J61" t="n">
        <v>0</v>
      </c>
      <c r="K61" t="n">
        <v>0</v>
      </c>
      <c r="L61" t="n">
        <v>0</v>
      </c>
      <c r="M61" t="n">
        <v>0</v>
      </c>
      <c r="N61" t="n">
        <v>0</v>
      </c>
      <c r="O61" t="n">
        <v>0</v>
      </c>
      <c r="P61" t="n">
        <v>0</v>
      </c>
      <c r="Q61" t="n">
        <v>1</v>
      </c>
      <c r="R61" s="2" t="inlineStr">
        <is>
          <t>Kungsfågel</t>
        </is>
      </c>
      <c r="S61">
        <f>HYPERLINK("https://klasma.github.io/Logging_1880/artfynd/A 28936-2025 artfynd.xlsx", "A 28936-2025")</f>
        <v/>
      </c>
      <c r="T61">
        <f>HYPERLINK("https://klasma.github.io/Logging_1880/kartor/A 28936-2025 karta.png", "A 28936-2025")</f>
        <v/>
      </c>
      <c r="V61">
        <f>HYPERLINK("https://klasma.github.io/Logging_1880/klagomål/A 28936-2025 FSC-klagomål.docx", "A 28936-2025")</f>
        <v/>
      </c>
      <c r="W61">
        <f>HYPERLINK("https://klasma.github.io/Logging_1880/klagomålsmail/A 28936-2025 FSC-klagomål mail.docx", "A 28936-2025")</f>
        <v/>
      </c>
      <c r="X61">
        <f>HYPERLINK("https://klasma.github.io/Logging_1880/tillsyn/A 28936-2025 tillsynsbegäran.docx", "A 28936-2025")</f>
        <v/>
      </c>
      <c r="Y61">
        <f>HYPERLINK("https://klasma.github.io/Logging_1880/tillsynsmail/A 28936-2025 tillsynsbegäran mail.docx", "A 28936-2025")</f>
        <v/>
      </c>
      <c r="Z61">
        <f>HYPERLINK("https://klasma.github.io/Logging_1880/fåglar/A 28936-2025 prioriterade fågelarter.docx", "A 28936-2025")</f>
        <v/>
      </c>
    </row>
    <row r="62" ht="15" customHeight="1">
      <c r="A62" t="inlineStr">
        <is>
          <t>A 26890-2022</t>
        </is>
      </c>
      <c r="B62" s="1" t="n">
        <v>44740</v>
      </c>
      <c r="C62" s="1" t="n">
        <v>46100</v>
      </c>
      <c r="D62" t="inlineStr">
        <is>
          <t>ÖREBRO LÄN</t>
        </is>
      </c>
      <c r="E62" t="inlineStr">
        <is>
          <t>ÖREBRO</t>
        </is>
      </c>
      <c r="G62" t="n">
        <v>4.2</v>
      </c>
      <c r="H62" t="n">
        <v>1</v>
      </c>
      <c r="I62" t="n">
        <v>0</v>
      </c>
      <c r="J62" t="n">
        <v>0</v>
      </c>
      <c r="K62" t="n">
        <v>1</v>
      </c>
      <c r="L62" t="n">
        <v>0</v>
      </c>
      <c r="M62" t="n">
        <v>0</v>
      </c>
      <c r="N62" t="n">
        <v>0</v>
      </c>
      <c r="O62" t="n">
        <v>1</v>
      </c>
      <c r="P62" t="n">
        <v>1</v>
      </c>
      <c r="Q62" t="n">
        <v>1</v>
      </c>
      <c r="R62" s="2" t="inlineStr">
        <is>
          <t>Hällebräcka</t>
        </is>
      </c>
      <c r="S62">
        <f>HYPERLINK("https://klasma.github.io/Logging_1880/artfynd/A 26890-2022 artfynd.xlsx", "A 26890-2022")</f>
        <v/>
      </c>
      <c r="T62">
        <f>HYPERLINK("https://klasma.github.io/Logging_1880/kartor/A 26890-2022 karta.png", "A 26890-2022")</f>
        <v/>
      </c>
      <c r="V62">
        <f>HYPERLINK("https://klasma.github.io/Logging_1880/klagomål/A 26890-2022 FSC-klagomål.docx", "A 26890-2022")</f>
        <v/>
      </c>
      <c r="W62">
        <f>HYPERLINK("https://klasma.github.io/Logging_1880/klagomålsmail/A 26890-2022 FSC-klagomål mail.docx", "A 26890-2022")</f>
        <v/>
      </c>
      <c r="X62">
        <f>HYPERLINK("https://klasma.github.io/Logging_1880/tillsyn/A 26890-2022 tillsynsbegäran.docx", "A 26890-2022")</f>
        <v/>
      </c>
      <c r="Y62">
        <f>HYPERLINK("https://klasma.github.io/Logging_1880/tillsynsmail/A 26890-2022 tillsynsbegäran mail.docx", "A 26890-2022")</f>
        <v/>
      </c>
    </row>
    <row r="63" ht="15" customHeight="1">
      <c r="A63" t="inlineStr">
        <is>
          <t>A 32204-2025</t>
        </is>
      </c>
      <c r="B63" s="1" t="n">
        <v>45835.58074074074</v>
      </c>
      <c r="C63" s="1" t="n">
        <v>46100</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32226-2025</t>
        </is>
      </c>
      <c r="B64" s="1" t="n">
        <v>45835.59478009259</v>
      </c>
      <c r="C64" s="1" t="n">
        <v>46100</v>
      </c>
      <c r="D64" t="inlineStr">
        <is>
          <t>ÖREBRO LÄN</t>
        </is>
      </c>
      <c r="E64" t="inlineStr">
        <is>
          <t>ÖREBRO</t>
        </is>
      </c>
      <c r="G64" t="n">
        <v>1.2</v>
      </c>
      <c r="H64" t="n">
        <v>0</v>
      </c>
      <c r="I64" t="n">
        <v>0</v>
      </c>
      <c r="J64" t="n">
        <v>1</v>
      </c>
      <c r="K64" t="n">
        <v>0</v>
      </c>
      <c r="L64" t="n">
        <v>0</v>
      </c>
      <c r="M64" t="n">
        <v>0</v>
      </c>
      <c r="N64" t="n">
        <v>0</v>
      </c>
      <c r="O64" t="n">
        <v>1</v>
      </c>
      <c r="P64" t="n">
        <v>0</v>
      </c>
      <c r="Q64" t="n">
        <v>1</v>
      </c>
      <c r="R64" s="2" t="inlineStr">
        <is>
          <t>Dofttaggsvamp</t>
        </is>
      </c>
      <c r="S64">
        <f>HYPERLINK("https://klasma.github.io/Logging_1880/artfynd/A 32226-2025 artfynd.xlsx", "A 32226-2025")</f>
        <v/>
      </c>
      <c r="T64">
        <f>HYPERLINK("https://klasma.github.io/Logging_1880/kartor/A 32226-2025 karta.png", "A 32226-2025")</f>
        <v/>
      </c>
      <c r="V64">
        <f>HYPERLINK("https://klasma.github.io/Logging_1880/klagomål/A 32226-2025 FSC-klagomål.docx", "A 32226-2025")</f>
        <v/>
      </c>
      <c r="W64">
        <f>HYPERLINK("https://klasma.github.io/Logging_1880/klagomålsmail/A 32226-2025 FSC-klagomål mail.docx", "A 32226-2025")</f>
        <v/>
      </c>
      <c r="X64">
        <f>HYPERLINK("https://klasma.github.io/Logging_1880/tillsyn/A 32226-2025 tillsynsbegäran.docx", "A 32226-2025")</f>
        <v/>
      </c>
      <c r="Y64">
        <f>HYPERLINK("https://klasma.github.io/Logging_1880/tillsynsmail/A 32226-2025 tillsynsbegäran mail.docx", "A 32226-2025")</f>
        <v/>
      </c>
    </row>
    <row r="65" ht="15" customHeight="1">
      <c r="A65" t="inlineStr">
        <is>
          <t>A 31695-2024</t>
        </is>
      </c>
      <c r="B65" s="1" t="n">
        <v>45508</v>
      </c>
      <c r="C65" s="1" t="n">
        <v>46100</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50499-2025</t>
        </is>
      </c>
      <c r="B66" s="1" t="n">
        <v>45945.41712962963</v>
      </c>
      <c r="C66" s="1" t="n">
        <v>46100</v>
      </c>
      <c r="D66" t="inlineStr">
        <is>
          <t>ÖREBRO LÄN</t>
        </is>
      </c>
      <c r="E66" t="inlineStr">
        <is>
          <t>ÖREBRO</t>
        </is>
      </c>
      <c r="G66" t="n">
        <v>6.7</v>
      </c>
      <c r="H66" t="n">
        <v>0</v>
      </c>
      <c r="I66" t="n">
        <v>0</v>
      </c>
      <c r="J66" t="n">
        <v>1</v>
      </c>
      <c r="K66" t="n">
        <v>0</v>
      </c>
      <c r="L66" t="n">
        <v>0</v>
      </c>
      <c r="M66" t="n">
        <v>0</v>
      </c>
      <c r="N66" t="n">
        <v>0</v>
      </c>
      <c r="O66" t="n">
        <v>1</v>
      </c>
      <c r="P66" t="n">
        <v>0</v>
      </c>
      <c r="Q66" t="n">
        <v>1</v>
      </c>
      <c r="R66" s="2" t="inlineStr">
        <is>
          <t>Gullklöver</t>
        </is>
      </c>
      <c r="S66">
        <f>HYPERLINK("https://klasma.github.io/Logging_1880/artfynd/A 50499-2025 artfynd.xlsx", "A 50499-2025")</f>
        <v/>
      </c>
      <c r="T66">
        <f>HYPERLINK("https://klasma.github.io/Logging_1880/kartor/A 50499-2025 karta.png", "A 50499-2025")</f>
        <v/>
      </c>
      <c r="V66">
        <f>HYPERLINK("https://klasma.github.io/Logging_1880/klagomål/A 50499-2025 FSC-klagomål.docx", "A 50499-2025")</f>
        <v/>
      </c>
      <c r="W66">
        <f>HYPERLINK("https://klasma.github.io/Logging_1880/klagomålsmail/A 50499-2025 FSC-klagomål mail.docx", "A 50499-2025")</f>
        <v/>
      </c>
      <c r="X66">
        <f>HYPERLINK("https://klasma.github.io/Logging_1880/tillsyn/A 50499-2025 tillsynsbegäran.docx", "A 50499-2025")</f>
        <v/>
      </c>
      <c r="Y66">
        <f>HYPERLINK("https://klasma.github.io/Logging_1880/tillsynsmail/A 50499-2025 tillsynsbegäran mail.docx", "A 50499-2025")</f>
        <v/>
      </c>
    </row>
    <row r="67" ht="15" customHeight="1">
      <c r="A67" t="inlineStr">
        <is>
          <t>A 58838-2025</t>
        </is>
      </c>
      <c r="B67" s="1" t="n">
        <v>45987.35973379629</v>
      </c>
      <c r="C67" s="1" t="n">
        <v>46100</v>
      </c>
      <c r="D67" t="inlineStr">
        <is>
          <t>ÖREBRO LÄN</t>
        </is>
      </c>
      <c r="E67" t="inlineStr">
        <is>
          <t>ÖREBRO</t>
        </is>
      </c>
      <c r="G67" t="n">
        <v>1.7</v>
      </c>
      <c r="H67" t="n">
        <v>0</v>
      </c>
      <c r="I67" t="n">
        <v>1</v>
      </c>
      <c r="J67" t="n">
        <v>0</v>
      </c>
      <c r="K67" t="n">
        <v>0</v>
      </c>
      <c r="L67" t="n">
        <v>0</v>
      </c>
      <c r="M67" t="n">
        <v>0</v>
      </c>
      <c r="N67" t="n">
        <v>0</v>
      </c>
      <c r="O67" t="n">
        <v>0</v>
      </c>
      <c r="P67" t="n">
        <v>0</v>
      </c>
      <c r="Q67" t="n">
        <v>1</v>
      </c>
      <c r="R67" s="2" t="inlineStr">
        <is>
          <t>Grönpyrola</t>
        </is>
      </c>
      <c r="S67">
        <f>HYPERLINK("https://klasma.github.io/Logging_1880/artfynd/A 58838-2025 artfynd.xlsx", "A 58838-2025")</f>
        <v/>
      </c>
      <c r="T67">
        <f>HYPERLINK("https://klasma.github.io/Logging_1880/kartor/A 58838-2025 karta.png", "A 58838-2025")</f>
        <v/>
      </c>
      <c r="V67">
        <f>HYPERLINK("https://klasma.github.io/Logging_1880/klagomål/A 58838-2025 FSC-klagomål.docx", "A 58838-2025")</f>
        <v/>
      </c>
      <c r="W67">
        <f>HYPERLINK("https://klasma.github.io/Logging_1880/klagomålsmail/A 58838-2025 FSC-klagomål mail.docx", "A 58838-2025")</f>
        <v/>
      </c>
      <c r="X67">
        <f>HYPERLINK("https://klasma.github.io/Logging_1880/tillsyn/A 58838-2025 tillsynsbegäran.docx", "A 58838-2025")</f>
        <v/>
      </c>
      <c r="Y67">
        <f>HYPERLINK("https://klasma.github.io/Logging_1880/tillsynsmail/A 58838-2025 tillsynsbegäran mail.docx", "A 58838-2025")</f>
        <v/>
      </c>
    </row>
    <row r="68" ht="15" customHeight="1">
      <c r="A68" t="inlineStr">
        <is>
          <t>A 5097-2023</t>
        </is>
      </c>
      <c r="B68" s="1" t="n">
        <v>44958</v>
      </c>
      <c r="C68" s="1" t="n">
        <v>46100</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63199-2025</t>
        </is>
      </c>
      <c r="B69" s="1" t="n">
        <v>46010.46091435185</v>
      </c>
      <c r="C69" s="1" t="n">
        <v>46100</v>
      </c>
      <c r="D69" t="inlineStr">
        <is>
          <t>ÖREBRO LÄN</t>
        </is>
      </c>
      <c r="E69" t="inlineStr">
        <is>
          <t>ÖREBRO</t>
        </is>
      </c>
      <c r="F69" t="inlineStr">
        <is>
          <t>Sveaskog</t>
        </is>
      </c>
      <c r="G69" t="n">
        <v>0.9</v>
      </c>
      <c r="H69" t="n">
        <v>1</v>
      </c>
      <c r="I69" t="n">
        <v>0</v>
      </c>
      <c r="J69" t="n">
        <v>0</v>
      </c>
      <c r="K69" t="n">
        <v>0</v>
      </c>
      <c r="L69" t="n">
        <v>0</v>
      </c>
      <c r="M69" t="n">
        <v>0</v>
      </c>
      <c r="N69" t="n">
        <v>0</v>
      </c>
      <c r="O69" t="n">
        <v>0</v>
      </c>
      <c r="P69" t="n">
        <v>0</v>
      </c>
      <c r="Q69" t="n">
        <v>1</v>
      </c>
      <c r="R69" s="2" t="inlineStr">
        <is>
          <t>Gullviva</t>
        </is>
      </c>
      <c r="S69">
        <f>HYPERLINK("https://klasma.github.io/Logging_1880/artfynd/A 63199-2025 artfynd.xlsx", "A 63199-2025")</f>
        <v/>
      </c>
      <c r="T69">
        <f>HYPERLINK("https://klasma.github.io/Logging_1880/kartor/A 63199-2025 karta.png", "A 63199-2025")</f>
        <v/>
      </c>
      <c r="V69">
        <f>HYPERLINK("https://klasma.github.io/Logging_1880/klagomål/A 63199-2025 FSC-klagomål.docx", "A 63199-2025")</f>
        <v/>
      </c>
      <c r="W69">
        <f>HYPERLINK("https://klasma.github.io/Logging_1880/klagomålsmail/A 63199-2025 FSC-klagomål mail.docx", "A 63199-2025")</f>
        <v/>
      </c>
      <c r="X69">
        <f>HYPERLINK("https://klasma.github.io/Logging_1880/tillsyn/A 63199-2025 tillsynsbegäran.docx", "A 63199-2025")</f>
        <v/>
      </c>
      <c r="Y69">
        <f>HYPERLINK("https://klasma.github.io/Logging_1880/tillsynsmail/A 63199-2025 tillsynsbegäran mail.docx", "A 63199-2025")</f>
        <v/>
      </c>
    </row>
    <row r="70" ht="15" customHeight="1">
      <c r="A70" t="inlineStr">
        <is>
          <t>A 59516-2025</t>
        </is>
      </c>
      <c r="B70" s="1" t="n">
        <v>45989.65396990741</v>
      </c>
      <c r="C70" s="1" t="n">
        <v>46100</v>
      </c>
      <c r="D70" t="inlineStr">
        <is>
          <t>ÖREBRO LÄN</t>
        </is>
      </c>
      <c r="E70" t="inlineStr">
        <is>
          <t>ÖREBRO</t>
        </is>
      </c>
      <c r="F70" t="inlineStr">
        <is>
          <t>Sveaskog</t>
        </is>
      </c>
      <c r="G70" t="n">
        <v>1.9</v>
      </c>
      <c r="H70" t="n">
        <v>0</v>
      </c>
      <c r="I70" t="n">
        <v>1</v>
      </c>
      <c r="J70" t="n">
        <v>0</v>
      </c>
      <c r="K70" t="n">
        <v>0</v>
      </c>
      <c r="L70" t="n">
        <v>0</v>
      </c>
      <c r="M70" t="n">
        <v>0</v>
      </c>
      <c r="N70" t="n">
        <v>0</v>
      </c>
      <c r="O70" t="n">
        <v>0</v>
      </c>
      <c r="P70" t="n">
        <v>0</v>
      </c>
      <c r="Q70" t="n">
        <v>1</v>
      </c>
      <c r="R70" s="2" t="inlineStr">
        <is>
          <t>Tibast</t>
        </is>
      </c>
      <c r="S70">
        <f>HYPERLINK("https://klasma.github.io/Logging_1880/artfynd/A 59516-2025 artfynd.xlsx", "A 59516-2025")</f>
        <v/>
      </c>
      <c r="T70">
        <f>HYPERLINK("https://klasma.github.io/Logging_1880/kartor/A 59516-2025 karta.png", "A 59516-2025")</f>
        <v/>
      </c>
      <c r="V70">
        <f>HYPERLINK("https://klasma.github.io/Logging_1880/klagomål/A 59516-2025 FSC-klagomål.docx", "A 59516-2025")</f>
        <v/>
      </c>
      <c r="W70">
        <f>HYPERLINK("https://klasma.github.io/Logging_1880/klagomålsmail/A 59516-2025 FSC-klagomål mail.docx", "A 59516-2025")</f>
        <v/>
      </c>
      <c r="X70">
        <f>HYPERLINK("https://klasma.github.io/Logging_1880/tillsyn/A 59516-2025 tillsynsbegäran.docx", "A 59516-2025")</f>
        <v/>
      </c>
      <c r="Y70">
        <f>HYPERLINK("https://klasma.github.io/Logging_1880/tillsynsmail/A 59516-2025 tillsynsbegäran mail.docx", "A 59516-2025")</f>
        <v/>
      </c>
    </row>
    <row r="71" ht="15" customHeight="1">
      <c r="A71" t="inlineStr">
        <is>
          <t>A 3006-2026</t>
        </is>
      </c>
      <c r="B71" s="1" t="n">
        <v>46038.65719907408</v>
      </c>
      <c r="C71" s="1" t="n">
        <v>46100</v>
      </c>
      <c r="D71" t="inlineStr">
        <is>
          <t>ÖREBRO LÄN</t>
        </is>
      </c>
      <c r="E71" t="inlineStr">
        <is>
          <t>ÖREBRO</t>
        </is>
      </c>
      <c r="F71" t="inlineStr">
        <is>
          <t>Övriga Aktiebolag</t>
        </is>
      </c>
      <c r="G71" t="n">
        <v>1</v>
      </c>
      <c r="H71" t="n">
        <v>1</v>
      </c>
      <c r="I71" t="n">
        <v>0</v>
      </c>
      <c r="J71" t="n">
        <v>1</v>
      </c>
      <c r="K71" t="n">
        <v>0</v>
      </c>
      <c r="L71" t="n">
        <v>0</v>
      </c>
      <c r="M71" t="n">
        <v>0</v>
      </c>
      <c r="N71" t="n">
        <v>0</v>
      </c>
      <c r="O71" t="n">
        <v>1</v>
      </c>
      <c r="P71" t="n">
        <v>0</v>
      </c>
      <c r="Q71" t="n">
        <v>1</v>
      </c>
      <c r="R71" s="2" t="inlineStr">
        <is>
          <t>Gulsparv</t>
        </is>
      </c>
      <c r="S71">
        <f>HYPERLINK("https://klasma.github.io/Logging_1880/artfynd/A 3006-2026 artfynd.xlsx", "A 3006-2026")</f>
        <v/>
      </c>
      <c r="T71">
        <f>HYPERLINK("https://klasma.github.io/Logging_1880/kartor/A 3006-2026 karta.png", "A 3006-2026")</f>
        <v/>
      </c>
      <c r="V71">
        <f>HYPERLINK("https://klasma.github.io/Logging_1880/klagomål/A 3006-2026 FSC-klagomål.docx", "A 3006-2026")</f>
        <v/>
      </c>
      <c r="W71">
        <f>HYPERLINK("https://klasma.github.io/Logging_1880/klagomålsmail/A 3006-2026 FSC-klagomål mail.docx", "A 3006-2026")</f>
        <v/>
      </c>
      <c r="X71">
        <f>HYPERLINK("https://klasma.github.io/Logging_1880/tillsyn/A 3006-2026 tillsynsbegäran.docx", "A 3006-2026")</f>
        <v/>
      </c>
      <c r="Y71">
        <f>HYPERLINK("https://klasma.github.io/Logging_1880/tillsynsmail/A 3006-2026 tillsynsbegäran mail.docx", "A 3006-2026")</f>
        <v/>
      </c>
      <c r="Z71">
        <f>HYPERLINK("https://klasma.github.io/Logging_1880/fåglar/A 3006-2026 prioriterade fågelarter.docx", "A 3006-2026")</f>
        <v/>
      </c>
    </row>
    <row r="72" ht="15" customHeight="1">
      <c r="A72" t="inlineStr">
        <is>
          <t>A 23606-2021</t>
        </is>
      </c>
      <c r="B72" s="1" t="n">
        <v>44334</v>
      </c>
      <c r="C72" s="1" t="n">
        <v>46100</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46100</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46100</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46100</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46100</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46100</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46100</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46100</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46100</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46100</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46100</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46100</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46100</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46100</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46100</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46100</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46100</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46100</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46100</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46100</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46100</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46100</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46100</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46100</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46100</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46100</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46100</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46100</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25660-2021</t>
        </is>
      </c>
      <c r="B100" s="1" t="n">
        <v>44343.5619212963</v>
      </c>
      <c r="C100" s="1" t="n">
        <v>46100</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46100</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46100</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46100</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46100</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46100</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46100</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46100</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46100</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46100</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46100</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26118-2021</t>
        </is>
      </c>
      <c r="B113" s="1" t="n">
        <v>44345</v>
      </c>
      <c r="C113" s="1" t="n">
        <v>46100</v>
      </c>
      <c r="D113" t="inlineStr">
        <is>
          <t>ÖREBRO LÄN</t>
        </is>
      </c>
      <c r="E113" t="inlineStr">
        <is>
          <t>ÖREBRO</t>
        </is>
      </c>
      <c r="G113" t="n">
        <v>2.2</v>
      </c>
      <c r="H113" t="n">
        <v>0</v>
      </c>
      <c r="I113" t="n">
        <v>0</v>
      </c>
      <c r="J113" t="n">
        <v>0</v>
      </c>
      <c r="K113" t="n">
        <v>0</v>
      </c>
      <c r="L113" t="n">
        <v>0</v>
      </c>
      <c r="M113" t="n">
        <v>0</v>
      </c>
      <c r="N113" t="n">
        <v>0</v>
      </c>
      <c r="O113" t="n">
        <v>0</v>
      </c>
      <c r="P113" t="n">
        <v>0</v>
      </c>
      <c r="Q113" t="n">
        <v>0</v>
      </c>
      <c r="R113" s="2" t="inlineStr"/>
    </row>
    <row r="114" ht="15" customHeight="1">
      <c r="A114" t="inlineStr">
        <is>
          <t>A 26119-2021</t>
        </is>
      </c>
      <c r="B114" s="1" t="n">
        <v>44345.33282407407</v>
      </c>
      <c r="C114" s="1" t="n">
        <v>46100</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19468-2021</t>
        </is>
      </c>
      <c r="B115" s="1" t="n">
        <v>44311</v>
      </c>
      <c r="C115" s="1" t="n">
        <v>46100</v>
      </c>
      <c r="D115" t="inlineStr">
        <is>
          <t>ÖREBRO LÄN</t>
        </is>
      </c>
      <c r="E115" t="inlineStr">
        <is>
          <t>ÖREBRO</t>
        </is>
      </c>
      <c r="G115" t="n">
        <v>0.9</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46100</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46100</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26509-2021</t>
        </is>
      </c>
      <c r="B118" s="1" t="n">
        <v>44348.45107638889</v>
      </c>
      <c r="C118" s="1" t="n">
        <v>46100</v>
      </c>
      <c r="D118" t="inlineStr">
        <is>
          <t>ÖREBRO LÄN</t>
        </is>
      </c>
      <c r="E118" t="inlineStr">
        <is>
          <t>ÖREBRO</t>
        </is>
      </c>
      <c r="G118" t="n">
        <v>2.5</v>
      </c>
      <c r="H118" t="n">
        <v>0</v>
      </c>
      <c r="I118" t="n">
        <v>0</v>
      </c>
      <c r="J118" t="n">
        <v>0</v>
      </c>
      <c r="K118" t="n">
        <v>0</v>
      </c>
      <c r="L118" t="n">
        <v>0</v>
      </c>
      <c r="M118" t="n">
        <v>0</v>
      </c>
      <c r="N118" t="n">
        <v>0</v>
      </c>
      <c r="O118" t="n">
        <v>0</v>
      </c>
      <c r="P118" t="n">
        <v>0</v>
      </c>
      <c r="Q118" t="n">
        <v>0</v>
      </c>
      <c r="R118" s="2" t="inlineStr"/>
    </row>
    <row r="119" ht="15" customHeight="1">
      <c r="A119" t="inlineStr">
        <is>
          <t>A 4766-2022</t>
        </is>
      </c>
      <c r="B119" s="1" t="n">
        <v>44592</v>
      </c>
      <c r="C119" s="1" t="n">
        <v>46100</v>
      </c>
      <c r="D119" t="inlineStr">
        <is>
          <t>ÖREBRO LÄN</t>
        </is>
      </c>
      <c r="E119" t="inlineStr">
        <is>
          <t>ÖREBRO</t>
        </is>
      </c>
      <c r="G119" t="n">
        <v>2.9</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46100</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46100</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40312-2021</t>
        </is>
      </c>
      <c r="B122" s="1" t="n">
        <v>44419</v>
      </c>
      <c r="C122" s="1" t="n">
        <v>46100</v>
      </c>
      <c r="D122" t="inlineStr">
        <is>
          <t>ÖREBRO LÄN</t>
        </is>
      </c>
      <c r="E122" t="inlineStr">
        <is>
          <t>ÖREBRO</t>
        </is>
      </c>
      <c r="F122" t="inlineStr">
        <is>
          <t>Övriga Aktiebolag</t>
        </is>
      </c>
      <c r="G122" t="n">
        <v>2.6</v>
      </c>
      <c r="H122" t="n">
        <v>0</v>
      </c>
      <c r="I122" t="n">
        <v>0</v>
      </c>
      <c r="J122" t="n">
        <v>0</v>
      </c>
      <c r="K122" t="n">
        <v>0</v>
      </c>
      <c r="L122" t="n">
        <v>0</v>
      </c>
      <c r="M122" t="n">
        <v>0</v>
      </c>
      <c r="N122" t="n">
        <v>0</v>
      </c>
      <c r="O122" t="n">
        <v>0</v>
      </c>
      <c r="P122" t="n">
        <v>0</v>
      </c>
      <c r="Q122" t="n">
        <v>0</v>
      </c>
      <c r="R122" s="2" t="inlineStr"/>
    </row>
    <row r="123" ht="15" customHeight="1">
      <c r="A123" t="inlineStr">
        <is>
          <t>A 19458-2022</t>
        </is>
      </c>
      <c r="B123" s="1" t="n">
        <v>44693</v>
      </c>
      <c r="C123" s="1" t="n">
        <v>46100</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12478-2022</t>
        </is>
      </c>
      <c r="B124" s="1" t="n">
        <v>44638</v>
      </c>
      <c r="C124" s="1" t="n">
        <v>46100</v>
      </c>
      <c r="D124" t="inlineStr">
        <is>
          <t>ÖREBRO LÄN</t>
        </is>
      </c>
      <c r="E124" t="inlineStr">
        <is>
          <t>ÖREBRO</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9362-2022</t>
        </is>
      </c>
      <c r="B125" s="1" t="n">
        <v>44616.59946759259</v>
      </c>
      <c r="C125" s="1" t="n">
        <v>46100</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5401-2022</t>
        </is>
      </c>
      <c r="B126" s="1" t="n">
        <v>44595</v>
      </c>
      <c r="C126" s="1" t="n">
        <v>46100</v>
      </c>
      <c r="D126" t="inlineStr">
        <is>
          <t>ÖREBRO LÄN</t>
        </is>
      </c>
      <c r="E126" t="inlineStr">
        <is>
          <t>ÖREBRO</t>
        </is>
      </c>
      <c r="G126" t="n">
        <v>2.3</v>
      </c>
      <c r="H126" t="n">
        <v>0</v>
      </c>
      <c r="I126" t="n">
        <v>0</v>
      </c>
      <c r="J126" t="n">
        <v>0</v>
      </c>
      <c r="K126" t="n">
        <v>0</v>
      </c>
      <c r="L126" t="n">
        <v>0</v>
      </c>
      <c r="M126" t="n">
        <v>0</v>
      </c>
      <c r="N126" t="n">
        <v>0</v>
      </c>
      <c r="O126" t="n">
        <v>0</v>
      </c>
      <c r="P126" t="n">
        <v>0</v>
      </c>
      <c r="Q126" t="n">
        <v>0</v>
      </c>
      <c r="R126" s="2" t="inlineStr"/>
    </row>
    <row r="127" ht="15" customHeight="1">
      <c r="A127" t="inlineStr">
        <is>
          <t>A 63247-2021</t>
        </is>
      </c>
      <c r="B127" s="1" t="n">
        <v>44505</v>
      </c>
      <c r="C127" s="1" t="n">
        <v>46100</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23863-2023</t>
        </is>
      </c>
      <c r="B128" s="1" t="n">
        <v>45078.48994212963</v>
      </c>
      <c r="C128" s="1" t="n">
        <v>46100</v>
      </c>
      <c r="D128" t="inlineStr">
        <is>
          <t>ÖREBRO LÄN</t>
        </is>
      </c>
      <c r="E128" t="inlineStr">
        <is>
          <t>ÖREBRO</t>
        </is>
      </c>
      <c r="F128" t="inlineStr">
        <is>
          <t>Övriga Aktiebolag</t>
        </is>
      </c>
      <c r="G128" t="n">
        <v>5.9</v>
      </c>
      <c r="H128" t="n">
        <v>0</v>
      </c>
      <c r="I128" t="n">
        <v>0</v>
      </c>
      <c r="J128" t="n">
        <v>0</v>
      </c>
      <c r="K128" t="n">
        <v>0</v>
      </c>
      <c r="L128" t="n">
        <v>0</v>
      </c>
      <c r="M128" t="n">
        <v>0</v>
      </c>
      <c r="N128" t="n">
        <v>0</v>
      </c>
      <c r="O128" t="n">
        <v>0</v>
      </c>
      <c r="P128" t="n">
        <v>0</v>
      </c>
      <c r="Q128" t="n">
        <v>0</v>
      </c>
      <c r="R128" s="2" t="inlineStr"/>
    </row>
    <row r="129" ht="15" customHeight="1">
      <c r="A129" t="inlineStr">
        <is>
          <t>A 14053-2025</t>
        </is>
      </c>
      <c r="B129" s="1" t="n">
        <v>45739</v>
      </c>
      <c r="C129" s="1" t="n">
        <v>46100</v>
      </c>
      <c r="D129" t="inlineStr">
        <is>
          <t>ÖREBRO LÄN</t>
        </is>
      </c>
      <c r="E129" t="inlineStr">
        <is>
          <t>ÖREBRO</t>
        </is>
      </c>
      <c r="G129" t="n">
        <v>3.5</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46100</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10799-2024</t>
        </is>
      </c>
      <c r="B131" s="1" t="n">
        <v>45369</v>
      </c>
      <c r="C131" s="1" t="n">
        <v>46100</v>
      </c>
      <c r="D131" t="inlineStr">
        <is>
          <t>ÖREBRO LÄN</t>
        </is>
      </c>
      <c r="E131" t="inlineStr">
        <is>
          <t>ÖREBRO</t>
        </is>
      </c>
      <c r="G131" t="n">
        <v>5.8</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46100</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46757-2021</t>
        </is>
      </c>
      <c r="B133" s="1" t="n">
        <v>44445</v>
      </c>
      <c r="C133" s="1" t="n">
        <v>46100</v>
      </c>
      <c r="D133" t="inlineStr">
        <is>
          <t>ÖREBRO LÄN</t>
        </is>
      </c>
      <c r="E133" t="inlineStr">
        <is>
          <t>ÖREBRO</t>
        </is>
      </c>
      <c r="G133" t="n">
        <v>5.6</v>
      </c>
      <c r="H133" t="n">
        <v>0</v>
      </c>
      <c r="I133" t="n">
        <v>0</v>
      </c>
      <c r="J133" t="n">
        <v>0</v>
      </c>
      <c r="K133" t="n">
        <v>0</v>
      </c>
      <c r="L133" t="n">
        <v>0</v>
      </c>
      <c r="M133" t="n">
        <v>0</v>
      </c>
      <c r="N133" t="n">
        <v>0</v>
      </c>
      <c r="O133" t="n">
        <v>0</v>
      </c>
      <c r="P133" t="n">
        <v>0</v>
      </c>
      <c r="Q133" t="n">
        <v>0</v>
      </c>
      <c r="R133" s="2" t="inlineStr"/>
    </row>
    <row r="134" ht="15" customHeight="1">
      <c r="A134" t="inlineStr">
        <is>
          <t>A 9609-2023</t>
        </is>
      </c>
      <c r="B134" s="1" t="n">
        <v>44983.93344907407</v>
      </c>
      <c r="C134" s="1" t="n">
        <v>46100</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46100</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46100</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6638-2022</t>
        </is>
      </c>
      <c r="B137" s="1" t="n">
        <v>44601</v>
      </c>
      <c r="C137" s="1" t="n">
        <v>46100</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46100</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46100</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5398-2022</t>
        </is>
      </c>
      <c r="B140" s="1" t="n">
        <v>44595.3353587963</v>
      </c>
      <c r="C140" s="1" t="n">
        <v>46100</v>
      </c>
      <c r="D140" t="inlineStr">
        <is>
          <t>ÖREBRO LÄN</t>
        </is>
      </c>
      <c r="E140" t="inlineStr">
        <is>
          <t>ÖREBRO</t>
        </is>
      </c>
      <c r="G140" t="n">
        <v>2.1</v>
      </c>
      <c r="H140" t="n">
        <v>0</v>
      </c>
      <c r="I140" t="n">
        <v>0</v>
      </c>
      <c r="J140" t="n">
        <v>0</v>
      </c>
      <c r="K140" t="n">
        <v>0</v>
      </c>
      <c r="L140" t="n">
        <v>0</v>
      </c>
      <c r="M140" t="n">
        <v>0</v>
      </c>
      <c r="N140" t="n">
        <v>0</v>
      </c>
      <c r="O140" t="n">
        <v>0</v>
      </c>
      <c r="P140" t="n">
        <v>0</v>
      </c>
      <c r="Q140" t="n">
        <v>0</v>
      </c>
      <c r="R140" s="2" t="inlineStr"/>
    </row>
    <row r="141" ht="15" customHeight="1">
      <c r="A141" t="inlineStr">
        <is>
          <t>A 30760-2022</t>
        </is>
      </c>
      <c r="B141" s="1" t="n">
        <v>44764.51827546296</v>
      </c>
      <c r="C141" s="1" t="n">
        <v>46100</v>
      </c>
      <c r="D141" t="inlineStr">
        <is>
          <t>ÖREBRO LÄN</t>
        </is>
      </c>
      <c r="E141" t="inlineStr">
        <is>
          <t>ÖREBRO</t>
        </is>
      </c>
      <c r="G141" t="n">
        <v>4</v>
      </c>
      <c r="H141" t="n">
        <v>0</v>
      </c>
      <c r="I141" t="n">
        <v>0</v>
      </c>
      <c r="J141" t="n">
        <v>0</v>
      </c>
      <c r="K141" t="n">
        <v>0</v>
      </c>
      <c r="L141" t="n">
        <v>0</v>
      </c>
      <c r="M141" t="n">
        <v>0</v>
      </c>
      <c r="N141" t="n">
        <v>0</v>
      </c>
      <c r="O141" t="n">
        <v>0</v>
      </c>
      <c r="P141" t="n">
        <v>0</v>
      </c>
      <c r="Q141" t="n">
        <v>0</v>
      </c>
      <c r="R141" s="2" t="inlineStr"/>
    </row>
    <row r="142" ht="15" customHeight="1">
      <c r="A142" t="inlineStr">
        <is>
          <t>A 29490-2022</t>
        </is>
      </c>
      <c r="B142" s="1" t="n">
        <v>44753</v>
      </c>
      <c r="C142" s="1" t="n">
        <v>46100</v>
      </c>
      <c r="D142" t="inlineStr">
        <is>
          <t>ÖREBRO LÄN</t>
        </is>
      </c>
      <c r="E142" t="inlineStr">
        <is>
          <t>ÖREBRO</t>
        </is>
      </c>
      <c r="F142" t="inlineStr">
        <is>
          <t>Kommuner</t>
        </is>
      </c>
      <c r="G142" t="n">
        <v>0.3</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46100</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5795-2024</t>
        </is>
      </c>
      <c r="B144" s="1" t="n">
        <v>45335.4531712963</v>
      </c>
      <c r="C144" s="1" t="n">
        <v>46100</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38415-2023</t>
        </is>
      </c>
      <c r="B145" s="1" t="n">
        <v>45162.35502314815</v>
      </c>
      <c r="C145" s="1" t="n">
        <v>46100</v>
      </c>
      <c r="D145" t="inlineStr">
        <is>
          <t>ÖREBRO LÄN</t>
        </is>
      </c>
      <c r="E145" t="inlineStr">
        <is>
          <t>ÖREBRO</t>
        </is>
      </c>
      <c r="G145" t="n">
        <v>2.6</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46100</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66936-2021</t>
        </is>
      </c>
      <c r="B147" s="1" t="n">
        <v>44522.56349537037</v>
      </c>
      <c r="C147" s="1" t="n">
        <v>46100</v>
      </c>
      <c r="D147" t="inlineStr">
        <is>
          <t>ÖREBRO LÄN</t>
        </is>
      </c>
      <c r="E147" t="inlineStr">
        <is>
          <t>ÖREBRO</t>
        </is>
      </c>
      <c r="G147" t="n">
        <v>6.8</v>
      </c>
      <c r="H147" t="n">
        <v>0</v>
      </c>
      <c r="I147" t="n">
        <v>0</v>
      </c>
      <c r="J147" t="n">
        <v>0</v>
      </c>
      <c r="K147" t="n">
        <v>0</v>
      </c>
      <c r="L147" t="n">
        <v>0</v>
      </c>
      <c r="M147" t="n">
        <v>0</v>
      </c>
      <c r="N147" t="n">
        <v>0</v>
      </c>
      <c r="O147" t="n">
        <v>0</v>
      </c>
      <c r="P147" t="n">
        <v>0</v>
      </c>
      <c r="Q147" t="n">
        <v>0</v>
      </c>
      <c r="R147" s="2" t="inlineStr"/>
    </row>
    <row r="148" ht="15" customHeight="1">
      <c r="A148" t="inlineStr">
        <is>
          <t>A 44131-2022</t>
        </is>
      </c>
      <c r="B148" s="1" t="n">
        <v>44839</v>
      </c>
      <c r="C148" s="1" t="n">
        <v>46100</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60128-2023</t>
        </is>
      </c>
      <c r="B149" s="1" t="n">
        <v>45258</v>
      </c>
      <c r="C149" s="1" t="n">
        <v>46100</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18321-2022</t>
        </is>
      </c>
      <c r="B150" s="1" t="n">
        <v>44685</v>
      </c>
      <c r="C150" s="1" t="n">
        <v>46100</v>
      </c>
      <c r="D150" t="inlineStr">
        <is>
          <t>ÖREBRO LÄN</t>
        </is>
      </c>
      <c r="E150" t="inlineStr">
        <is>
          <t>ÖREBRO</t>
        </is>
      </c>
      <c r="G150" t="n">
        <v>2.1</v>
      </c>
      <c r="H150" t="n">
        <v>0</v>
      </c>
      <c r="I150" t="n">
        <v>0</v>
      </c>
      <c r="J150" t="n">
        <v>0</v>
      </c>
      <c r="K150" t="n">
        <v>0</v>
      </c>
      <c r="L150" t="n">
        <v>0</v>
      </c>
      <c r="M150" t="n">
        <v>0</v>
      </c>
      <c r="N150" t="n">
        <v>0</v>
      </c>
      <c r="O150" t="n">
        <v>0</v>
      </c>
      <c r="P150" t="n">
        <v>0</v>
      </c>
      <c r="Q150" t="n">
        <v>0</v>
      </c>
      <c r="R150" s="2" t="inlineStr"/>
    </row>
    <row r="151" ht="15" customHeight="1">
      <c r="A151" t="inlineStr">
        <is>
          <t>A 18047-2023</t>
        </is>
      </c>
      <c r="B151" s="1" t="n">
        <v>45040</v>
      </c>
      <c r="C151" s="1" t="n">
        <v>46100</v>
      </c>
      <c r="D151" t="inlineStr">
        <is>
          <t>ÖREBRO LÄN</t>
        </is>
      </c>
      <c r="E151" t="inlineStr">
        <is>
          <t>ÖREBRO</t>
        </is>
      </c>
      <c r="G151" t="n">
        <v>3.9</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46100</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49797-2024</t>
        </is>
      </c>
      <c r="B153" s="1" t="n">
        <v>45597.37265046296</v>
      </c>
      <c r="C153" s="1" t="n">
        <v>46100</v>
      </c>
      <c r="D153" t="inlineStr">
        <is>
          <t>ÖREBRO LÄN</t>
        </is>
      </c>
      <c r="E153" t="inlineStr">
        <is>
          <t>ÖREBRO</t>
        </is>
      </c>
      <c r="G153" t="n">
        <v>11.6</v>
      </c>
      <c r="H153" t="n">
        <v>0</v>
      </c>
      <c r="I153" t="n">
        <v>0</v>
      </c>
      <c r="J153" t="n">
        <v>0</v>
      </c>
      <c r="K153" t="n">
        <v>0</v>
      </c>
      <c r="L153" t="n">
        <v>0</v>
      </c>
      <c r="M153" t="n">
        <v>0</v>
      </c>
      <c r="N153" t="n">
        <v>0</v>
      </c>
      <c r="O153" t="n">
        <v>0</v>
      </c>
      <c r="P153" t="n">
        <v>0</v>
      </c>
      <c r="Q153" t="n">
        <v>0</v>
      </c>
      <c r="R153" s="2" t="inlineStr"/>
    </row>
    <row r="154" ht="15" customHeight="1">
      <c r="A154" t="inlineStr">
        <is>
          <t>A 2153-2023</t>
        </is>
      </c>
      <c r="B154" s="1" t="n">
        <v>44941</v>
      </c>
      <c r="C154" s="1" t="n">
        <v>46100</v>
      </c>
      <c r="D154" t="inlineStr">
        <is>
          <t>ÖREBRO LÄN</t>
        </is>
      </c>
      <c r="E154" t="inlineStr">
        <is>
          <t>ÖREBRO</t>
        </is>
      </c>
      <c r="G154" t="n">
        <v>6.3</v>
      </c>
      <c r="H154" t="n">
        <v>0</v>
      </c>
      <c r="I154" t="n">
        <v>0</v>
      </c>
      <c r="J154" t="n">
        <v>0</v>
      </c>
      <c r="K154" t="n">
        <v>0</v>
      </c>
      <c r="L154" t="n">
        <v>0</v>
      </c>
      <c r="M154" t="n">
        <v>0</v>
      </c>
      <c r="N154" t="n">
        <v>0</v>
      </c>
      <c r="O154" t="n">
        <v>0</v>
      </c>
      <c r="P154" t="n">
        <v>0</v>
      </c>
      <c r="Q154" t="n">
        <v>0</v>
      </c>
      <c r="R154" s="2" t="inlineStr"/>
    </row>
    <row r="155" ht="15" customHeight="1">
      <c r="A155" t="inlineStr">
        <is>
          <t>A 51268-2022</t>
        </is>
      </c>
      <c r="B155" s="1" t="n">
        <v>44868</v>
      </c>
      <c r="C155" s="1" t="n">
        <v>46100</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38422-2023</t>
        </is>
      </c>
      <c r="B156" s="1" t="n">
        <v>45162.36422453704</v>
      </c>
      <c r="C156" s="1" t="n">
        <v>46100</v>
      </c>
      <c r="D156" t="inlineStr">
        <is>
          <t>ÖREBRO LÄN</t>
        </is>
      </c>
      <c r="E156" t="inlineStr">
        <is>
          <t>ÖREBRO</t>
        </is>
      </c>
      <c r="G156" t="n">
        <v>8</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46100</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46100</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56040-2024</t>
        </is>
      </c>
      <c r="B159" s="1" t="n">
        <v>45624.3344212963</v>
      </c>
      <c r="C159" s="1" t="n">
        <v>46100</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14487-2023</t>
        </is>
      </c>
      <c r="B160" s="1" t="n">
        <v>45012</v>
      </c>
      <c r="C160" s="1" t="n">
        <v>46100</v>
      </c>
      <c r="D160" t="inlineStr">
        <is>
          <t>ÖREBRO LÄN</t>
        </is>
      </c>
      <c r="E160" t="inlineStr">
        <is>
          <t>ÖREBRO</t>
        </is>
      </c>
      <c r="G160" t="n">
        <v>0.5</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46100</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58539-2024</t>
        </is>
      </c>
      <c r="B162" s="1" t="n">
        <v>45635.45157407408</v>
      </c>
      <c r="C162" s="1" t="n">
        <v>46100</v>
      </c>
      <c r="D162" t="inlineStr">
        <is>
          <t>ÖREBRO LÄN</t>
        </is>
      </c>
      <c r="E162" t="inlineStr">
        <is>
          <t>ÖREBRO</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8022-2022</t>
        </is>
      </c>
      <c r="B163" s="1" t="n">
        <v>44609</v>
      </c>
      <c r="C163" s="1" t="n">
        <v>46100</v>
      </c>
      <c r="D163" t="inlineStr">
        <is>
          <t>ÖREBRO LÄN</t>
        </is>
      </c>
      <c r="E163" t="inlineStr">
        <is>
          <t>ÖREBRO</t>
        </is>
      </c>
      <c r="G163" t="n">
        <v>5.6</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45635.44899305556</v>
      </c>
      <c r="C164" s="1" t="n">
        <v>46100</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29978-2024</t>
        </is>
      </c>
      <c r="B165" s="1" t="n">
        <v>45488.48340277778</v>
      </c>
      <c r="C165" s="1" t="n">
        <v>46100</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19978-2025</t>
        </is>
      </c>
      <c r="B166" s="1" t="n">
        <v>45771.7062037037</v>
      </c>
      <c r="C166" s="1" t="n">
        <v>46100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187-2024</t>
        </is>
      </c>
      <c r="B167" s="1" t="n">
        <v>45294</v>
      </c>
      <c r="C167" s="1" t="n">
        <v>46100</v>
      </c>
      <c r="D167" t="inlineStr">
        <is>
          <t>ÖREBRO LÄN</t>
        </is>
      </c>
      <c r="E167" t="inlineStr">
        <is>
          <t>ÖREBRO</t>
        </is>
      </c>
      <c r="G167" t="n">
        <v>5.9</v>
      </c>
      <c r="H167" t="n">
        <v>0</v>
      </c>
      <c r="I167" t="n">
        <v>0</v>
      </c>
      <c r="J167" t="n">
        <v>0</v>
      </c>
      <c r="K167" t="n">
        <v>0</v>
      </c>
      <c r="L167" t="n">
        <v>0</v>
      </c>
      <c r="M167" t="n">
        <v>0</v>
      </c>
      <c r="N167" t="n">
        <v>0</v>
      </c>
      <c r="O167" t="n">
        <v>0</v>
      </c>
      <c r="P167" t="n">
        <v>0</v>
      </c>
      <c r="Q167" t="n">
        <v>0</v>
      </c>
      <c r="R167" s="2" t="inlineStr"/>
    </row>
    <row r="168" ht="15" customHeight="1">
      <c r="A168" t="inlineStr">
        <is>
          <t>A 7134-2025</t>
        </is>
      </c>
      <c r="B168" s="1" t="n">
        <v>45702</v>
      </c>
      <c r="C168" s="1" t="n">
        <v>46100</v>
      </c>
      <c r="D168" t="inlineStr">
        <is>
          <t>ÖREBRO LÄN</t>
        </is>
      </c>
      <c r="E168" t="inlineStr">
        <is>
          <t>ÖREBRO</t>
        </is>
      </c>
      <c r="F168" t="inlineStr">
        <is>
          <t>Övriga Aktiebolag</t>
        </is>
      </c>
      <c r="G168" t="n">
        <v>2.1</v>
      </c>
      <c r="H168" t="n">
        <v>0</v>
      </c>
      <c r="I168" t="n">
        <v>0</v>
      </c>
      <c r="J168" t="n">
        <v>0</v>
      </c>
      <c r="K168" t="n">
        <v>0</v>
      </c>
      <c r="L168" t="n">
        <v>0</v>
      </c>
      <c r="M168" t="n">
        <v>0</v>
      </c>
      <c r="N168" t="n">
        <v>0</v>
      </c>
      <c r="O168" t="n">
        <v>0</v>
      </c>
      <c r="P168" t="n">
        <v>0</v>
      </c>
      <c r="Q168" t="n">
        <v>0</v>
      </c>
      <c r="R168" s="2" t="inlineStr"/>
    </row>
    <row r="169" ht="15" customHeight="1">
      <c r="A169" t="inlineStr">
        <is>
          <t>A 13762-2023</t>
        </is>
      </c>
      <c r="B169" s="1" t="n">
        <v>45007.43729166667</v>
      </c>
      <c r="C169" s="1" t="n">
        <v>46100</v>
      </c>
      <c r="D169" t="inlineStr">
        <is>
          <t>ÖREBRO LÄN</t>
        </is>
      </c>
      <c r="E169" t="inlineStr">
        <is>
          <t>ÖREBRO</t>
        </is>
      </c>
      <c r="G169" t="n">
        <v>1.3</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46100</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16374-2022</t>
        </is>
      </c>
      <c r="B171" s="1" t="n">
        <v>44671</v>
      </c>
      <c r="C171" s="1" t="n">
        <v>46100</v>
      </c>
      <c r="D171" t="inlineStr">
        <is>
          <t>ÖREBRO LÄN</t>
        </is>
      </c>
      <c r="E171" t="inlineStr">
        <is>
          <t>ÖREBRO</t>
        </is>
      </c>
      <c r="F171" t="inlineStr">
        <is>
          <t>Övriga Aktiebolag</t>
        </is>
      </c>
      <c r="G171" t="n">
        <v>30.3</v>
      </c>
      <c r="H171" t="n">
        <v>0</v>
      </c>
      <c r="I171" t="n">
        <v>0</v>
      </c>
      <c r="J171" t="n">
        <v>0</v>
      </c>
      <c r="K171" t="n">
        <v>0</v>
      </c>
      <c r="L171" t="n">
        <v>0</v>
      </c>
      <c r="M171" t="n">
        <v>0</v>
      </c>
      <c r="N171" t="n">
        <v>0</v>
      </c>
      <c r="O171" t="n">
        <v>0</v>
      </c>
      <c r="P171" t="n">
        <v>0</v>
      </c>
      <c r="Q171" t="n">
        <v>0</v>
      </c>
      <c r="R171" s="2" t="inlineStr"/>
    </row>
    <row r="172" ht="15" customHeight="1">
      <c r="A172" t="inlineStr">
        <is>
          <t>A 10470-2025</t>
        </is>
      </c>
      <c r="B172" s="1" t="n">
        <v>45720</v>
      </c>
      <c r="C172" s="1" t="n">
        <v>46100</v>
      </c>
      <c r="D172" t="inlineStr">
        <is>
          <t>ÖREBRO LÄN</t>
        </is>
      </c>
      <c r="E172" t="inlineStr">
        <is>
          <t>ÖREBRO</t>
        </is>
      </c>
      <c r="G172" t="n">
        <v>11.5</v>
      </c>
      <c r="H172" t="n">
        <v>0</v>
      </c>
      <c r="I172" t="n">
        <v>0</v>
      </c>
      <c r="J172" t="n">
        <v>0</v>
      </c>
      <c r="K172" t="n">
        <v>0</v>
      </c>
      <c r="L172" t="n">
        <v>0</v>
      </c>
      <c r="M172" t="n">
        <v>0</v>
      </c>
      <c r="N172" t="n">
        <v>0</v>
      </c>
      <c r="O172" t="n">
        <v>0</v>
      </c>
      <c r="P172" t="n">
        <v>0</v>
      </c>
      <c r="Q172" t="n">
        <v>0</v>
      </c>
      <c r="R172" s="2" t="inlineStr"/>
    </row>
    <row r="173" ht="15" customHeight="1">
      <c r="A173" t="inlineStr">
        <is>
          <t>A 52623-2024</t>
        </is>
      </c>
      <c r="B173" s="1" t="n">
        <v>45609</v>
      </c>
      <c r="C173" s="1" t="n">
        <v>46100</v>
      </c>
      <c r="D173" t="inlineStr">
        <is>
          <t>ÖREBRO LÄN</t>
        </is>
      </c>
      <c r="E173" t="inlineStr">
        <is>
          <t>ÖREBRO</t>
        </is>
      </c>
      <c r="F173" t="inlineStr">
        <is>
          <t>Kommuner</t>
        </is>
      </c>
      <c r="G173" t="n">
        <v>1.7</v>
      </c>
      <c r="H173" t="n">
        <v>0</v>
      </c>
      <c r="I173" t="n">
        <v>0</v>
      </c>
      <c r="J173" t="n">
        <v>0</v>
      </c>
      <c r="K173" t="n">
        <v>0</v>
      </c>
      <c r="L173" t="n">
        <v>0</v>
      </c>
      <c r="M173" t="n">
        <v>0</v>
      </c>
      <c r="N173" t="n">
        <v>0</v>
      </c>
      <c r="O173" t="n">
        <v>0</v>
      </c>
      <c r="P173" t="n">
        <v>0</v>
      </c>
      <c r="Q173" t="n">
        <v>0</v>
      </c>
      <c r="R173" s="2" t="inlineStr"/>
    </row>
    <row r="174" ht="15" customHeight="1">
      <c r="A174" t="inlineStr">
        <is>
          <t>A 27956-2023</t>
        </is>
      </c>
      <c r="B174" s="1" t="n">
        <v>45098</v>
      </c>
      <c r="C174" s="1" t="n">
        <v>46100</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40522-2024</t>
        </is>
      </c>
      <c r="B175" s="1" t="n">
        <v>45555.59717592593</v>
      </c>
      <c r="C175" s="1" t="n">
        <v>46100</v>
      </c>
      <c r="D175" t="inlineStr">
        <is>
          <t>ÖREBRO LÄN</t>
        </is>
      </c>
      <c r="E175" t="inlineStr">
        <is>
          <t>ÖREBRO</t>
        </is>
      </c>
      <c r="G175" t="n">
        <v>5.1</v>
      </c>
      <c r="H175" t="n">
        <v>0</v>
      </c>
      <c r="I175" t="n">
        <v>0</v>
      </c>
      <c r="J175" t="n">
        <v>0</v>
      </c>
      <c r="K175" t="n">
        <v>0</v>
      </c>
      <c r="L175" t="n">
        <v>0</v>
      </c>
      <c r="M175" t="n">
        <v>0</v>
      </c>
      <c r="N175" t="n">
        <v>0</v>
      </c>
      <c r="O175" t="n">
        <v>0</v>
      </c>
      <c r="P175" t="n">
        <v>0</v>
      </c>
      <c r="Q175" t="n">
        <v>0</v>
      </c>
      <c r="R175" s="2" t="inlineStr"/>
    </row>
    <row r="176" ht="15" customHeight="1">
      <c r="A176" t="inlineStr">
        <is>
          <t>A 13321-2024</t>
        </is>
      </c>
      <c r="B176" s="1" t="n">
        <v>45386.83142361111</v>
      </c>
      <c r="C176" s="1" t="n">
        <v>46100</v>
      </c>
      <c r="D176" t="inlineStr">
        <is>
          <t>ÖREBRO LÄN</t>
        </is>
      </c>
      <c r="E176" t="inlineStr">
        <is>
          <t>ÖREBRO</t>
        </is>
      </c>
      <c r="G176" t="n">
        <v>13.1</v>
      </c>
      <c r="H176" t="n">
        <v>0</v>
      </c>
      <c r="I176" t="n">
        <v>0</v>
      </c>
      <c r="J176" t="n">
        <v>0</v>
      </c>
      <c r="K176" t="n">
        <v>0</v>
      </c>
      <c r="L176" t="n">
        <v>0</v>
      </c>
      <c r="M176" t="n">
        <v>0</v>
      </c>
      <c r="N176" t="n">
        <v>0</v>
      </c>
      <c r="O176" t="n">
        <v>0</v>
      </c>
      <c r="P176" t="n">
        <v>0</v>
      </c>
      <c r="Q176" t="n">
        <v>0</v>
      </c>
      <c r="R176" s="2" t="inlineStr"/>
    </row>
    <row r="177" ht="15" customHeight="1">
      <c r="A177" t="inlineStr">
        <is>
          <t>A 50026-2024</t>
        </is>
      </c>
      <c r="B177" s="1" t="n">
        <v>45599.60541666667</v>
      </c>
      <c r="C177" s="1" t="n">
        <v>46100</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62794-2021</t>
        </is>
      </c>
      <c r="B178" s="1" t="n">
        <v>44504</v>
      </c>
      <c r="C178" s="1" t="n">
        <v>46100</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19180-2025</t>
        </is>
      </c>
      <c r="B179" s="1" t="n">
        <v>45769.40133101852</v>
      </c>
      <c r="C179" s="1" t="n">
        <v>46100</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49029-2024</t>
        </is>
      </c>
      <c r="B180" s="1" t="n">
        <v>45594</v>
      </c>
      <c r="C180" s="1" t="n">
        <v>46100</v>
      </c>
      <c r="D180" t="inlineStr">
        <is>
          <t>ÖREBRO LÄN</t>
        </is>
      </c>
      <c r="E180" t="inlineStr">
        <is>
          <t>ÖREBRO</t>
        </is>
      </c>
      <c r="G180" t="n">
        <v>3.7</v>
      </c>
      <c r="H180" t="n">
        <v>0</v>
      </c>
      <c r="I180" t="n">
        <v>0</v>
      </c>
      <c r="J180" t="n">
        <v>0</v>
      </c>
      <c r="K180" t="n">
        <v>0</v>
      </c>
      <c r="L180" t="n">
        <v>0</v>
      </c>
      <c r="M180" t="n">
        <v>0</v>
      </c>
      <c r="N180" t="n">
        <v>0</v>
      </c>
      <c r="O180" t="n">
        <v>0</v>
      </c>
      <c r="P180" t="n">
        <v>0</v>
      </c>
      <c r="Q180" t="n">
        <v>0</v>
      </c>
      <c r="R180" s="2" t="inlineStr"/>
    </row>
    <row r="181" ht="15" customHeight="1">
      <c r="A181" t="inlineStr">
        <is>
          <t>A 49062-2023</t>
        </is>
      </c>
      <c r="B181" s="1" t="n">
        <v>45210.35119212963</v>
      </c>
      <c r="C181" s="1" t="n">
        <v>46100</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58684-2023</t>
        </is>
      </c>
      <c r="B182" s="1" t="n">
        <v>45251</v>
      </c>
      <c r="C182" s="1" t="n">
        <v>46100</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37771-2024</t>
        </is>
      </c>
      <c r="B183" s="1" t="n">
        <v>45542.31359953704</v>
      </c>
      <c r="C183" s="1" t="n">
        <v>46100</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35829-2024</t>
        </is>
      </c>
      <c r="B184" s="1" t="n">
        <v>45532</v>
      </c>
      <c r="C184" s="1" t="n">
        <v>46100</v>
      </c>
      <c r="D184" t="inlineStr">
        <is>
          <t>ÖREBRO LÄN</t>
        </is>
      </c>
      <c r="E184" t="inlineStr">
        <is>
          <t>ÖREBRO</t>
        </is>
      </c>
      <c r="G184" t="n">
        <v>4.6</v>
      </c>
      <c r="H184" t="n">
        <v>0</v>
      </c>
      <c r="I184" t="n">
        <v>0</v>
      </c>
      <c r="J184" t="n">
        <v>0</v>
      </c>
      <c r="K184" t="n">
        <v>0</v>
      </c>
      <c r="L184" t="n">
        <v>0</v>
      </c>
      <c r="M184" t="n">
        <v>0</v>
      </c>
      <c r="N184" t="n">
        <v>0</v>
      </c>
      <c r="O184" t="n">
        <v>0</v>
      </c>
      <c r="P184" t="n">
        <v>0</v>
      </c>
      <c r="Q184" t="n">
        <v>0</v>
      </c>
      <c r="R184" s="2" t="inlineStr"/>
    </row>
    <row r="185" ht="15" customHeight="1">
      <c r="A185" t="inlineStr">
        <is>
          <t>A 41678-2024</t>
        </is>
      </c>
      <c r="B185" s="1" t="n">
        <v>45560</v>
      </c>
      <c r="C185" s="1" t="n">
        <v>46100</v>
      </c>
      <c r="D185" t="inlineStr">
        <is>
          <t>ÖREBRO LÄN</t>
        </is>
      </c>
      <c r="E185" t="inlineStr">
        <is>
          <t>ÖREBRO</t>
        </is>
      </c>
      <c r="G185" t="n">
        <v>11.3</v>
      </c>
      <c r="H185" t="n">
        <v>0</v>
      </c>
      <c r="I185" t="n">
        <v>0</v>
      </c>
      <c r="J185" t="n">
        <v>0</v>
      </c>
      <c r="K185" t="n">
        <v>0</v>
      </c>
      <c r="L185" t="n">
        <v>0</v>
      </c>
      <c r="M185" t="n">
        <v>0</v>
      </c>
      <c r="N185" t="n">
        <v>0</v>
      </c>
      <c r="O185" t="n">
        <v>0</v>
      </c>
      <c r="P185" t="n">
        <v>0</v>
      </c>
      <c r="Q185" t="n">
        <v>0</v>
      </c>
      <c r="R185" s="2" t="inlineStr"/>
    </row>
    <row r="186" ht="15" customHeight="1">
      <c r="A186" t="inlineStr">
        <is>
          <t>A 15652-2025</t>
        </is>
      </c>
      <c r="B186" s="1" t="n">
        <v>45748</v>
      </c>
      <c r="C186" s="1" t="n">
        <v>46100</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16737-2023</t>
        </is>
      </c>
      <c r="B187" s="1" t="n">
        <v>45030.72472222222</v>
      </c>
      <c r="C187" s="1" t="n">
        <v>46100</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13418-2024</t>
        </is>
      </c>
      <c r="B188" s="1" t="n">
        <v>45387.46482638889</v>
      </c>
      <c r="C188" s="1" t="n">
        <v>46100</v>
      </c>
      <c r="D188" t="inlineStr">
        <is>
          <t>ÖREBRO LÄN</t>
        </is>
      </c>
      <c r="E188" t="inlineStr">
        <is>
          <t>ÖREBRO</t>
        </is>
      </c>
      <c r="G188" t="n">
        <v>4.2</v>
      </c>
      <c r="H188" t="n">
        <v>0</v>
      </c>
      <c r="I188" t="n">
        <v>0</v>
      </c>
      <c r="J188" t="n">
        <v>0</v>
      </c>
      <c r="K188" t="n">
        <v>0</v>
      </c>
      <c r="L188" t="n">
        <v>0</v>
      </c>
      <c r="M188" t="n">
        <v>0</v>
      </c>
      <c r="N188" t="n">
        <v>0</v>
      </c>
      <c r="O188" t="n">
        <v>0</v>
      </c>
      <c r="P188" t="n">
        <v>0</v>
      </c>
      <c r="Q188" t="n">
        <v>0</v>
      </c>
      <c r="R188" s="2" t="inlineStr"/>
    </row>
    <row r="189" ht="15" customHeight="1">
      <c r="A189" t="inlineStr">
        <is>
          <t>A 5762-2025</t>
        </is>
      </c>
      <c r="B189" s="1" t="n">
        <v>45694.57181712963</v>
      </c>
      <c r="C189" s="1" t="n">
        <v>46100</v>
      </c>
      <c r="D189" t="inlineStr">
        <is>
          <t>ÖREBRO LÄN</t>
        </is>
      </c>
      <c r="E189" t="inlineStr">
        <is>
          <t>ÖREBRO</t>
        </is>
      </c>
      <c r="F189" t="inlineStr">
        <is>
          <t>Övriga Aktiebolag</t>
        </is>
      </c>
      <c r="G189" t="n">
        <v>1.5</v>
      </c>
      <c r="H189" t="n">
        <v>0</v>
      </c>
      <c r="I189" t="n">
        <v>0</v>
      </c>
      <c r="J189" t="n">
        <v>0</v>
      </c>
      <c r="K189" t="n">
        <v>0</v>
      </c>
      <c r="L189" t="n">
        <v>0</v>
      </c>
      <c r="M189" t="n">
        <v>0</v>
      </c>
      <c r="N189" t="n">
        <v>0</v>
      </c>
      <c r="O189" t="n">
        <v>0</v>
      </c>
      <c r="P189" t="n">
        <v>0</v>
      </c>
      <c r="Q189" t="n">
        <v>0</v>
      </c>
      <c r="R189" s="2" t="inlineStr"/>
    </row>
    <row r="190" ht="15" customHeight="1">
      <c r="A190" t="inlineStr">
        <is>
          <t>A 51180-2023</t>
        </is>
      </c>
      <c r="B190" s="1" t="n">
        <v>45219</v>
      </c>
      <c r="C190" s="1" t="n">
        <v>46100</v>
      </c>
      <c r="D190" t="inlineStr">
        <is>
          <t>ÖREBRO LÄN</t>
        </is>
      </c>
      <c r="E190" t="inlineStr">
        <is>
          <t>ÖREBRO</t>
        </is>
      </c>
      <c r="G190" t="n">
        <v>6.5</v>
      </c>
      <c r="H190" t="n">
        <v>0</v>
      </c>
      <c r="I190" t="n">
        <v>0</v>
      </c>
      <c r="J190" t="n">
        <v>0</v>
      </c>
      <c r="K190" t="n">
        <v>0</v>
      </c>
      <c r="L190" t="n">
        <v>0</v>
      </c>
      <c r="M190" t="n">
        <v>0</v>
      </c>
      <c r="N190" t="n">
        <v>0</v>
      </c>
      <c r="O190" t="n">
        <v>0</v>
      </c>
      <c r="P190" t="n">
        <v>0</v>
      </c>
      <c r="Q190" t="n">
        <v>0</v>
      </c>
      <c r="R190" s="2" t="inlineStr"/>
    </row>
    <row r="191" ht="15" customHeight="1">
      <c r="A191" t="inlineStr">
        <is>
          <t>A 58621-2024</t>
        </is>
      </c>
      <c r="B191" s="1" t="n">
        <v>45635.56321759259</v>
      </c>
      <c r="C191" s="1" t="n">
        <v>46100</v>
      </c>
      <c r="D191" t="inlineStr">
        <is>
          <t>ÖREBRO LÄN</t>
        </is>
      </c>
      <c r="E191" t="inlineStr">
        <is>
          <t>ÖREBRO</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71288-2021</t>
        </is>
      </c>
      <c r="B192" s="1" t="n">
        <v>44539.62481481482</v>
      </c>
      <c r="C192" s="1" t="n">
        <v>46100</v>
      </c>
      <c r="D192" t="inlineStr">
        <is>
          <t>ÖREBRO LÄN</t>
        </is>
      </c>
      <c r="E192" t="inlineStr">
        <is>
          <t>ÖREBRO</t>
        </is>
      </c>
      <c r="G192" t="n">
        <v>3.9</v>
      </c>
      <c r="H192" t="n">
        <v>0</v>
      </c>
      <c r="I192" t="n">
        <v>0</v>
      </c>
      <c r="J192" t="n">
        <v>0</v>
      </c>
      <c r="K192" t="n">
        <v>0</v>
      </c>
      <c r="L192" t="n">
        <v>0</v>
      </c>
      <c r="M192" t="n">
        <v>0</v>
      </c>
      <c r="N192" t="n">
        <v>0</v>
      </c>
      <c r="O192" t="n">
        <v>0</v>
      </c>
      <c r="P192" t="n">
        <v>0</v>
      </c>
      <c r="Q192" t="n">
        <v>0</v>
      </c>
      <c r="R192" s="2" t="inlineStr"/>
    </row>
    <row r="193" ht="15" customHeight="1">
      <c r="A193" t="inlineStr">
        <is>
          <t>A 13181-2023</t>
        </is>
      </c>
      <c r="B193" s="1" t="n">
        <v>45002.60659722222</v>
      </c>
      <c r="C193" s="1" t="n">
        <v>46100</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61078-2024</t>
        </is>
      </c>
      <c r="B194" s="1" t="n">
        <v>45645.51034722223</v>
      </c>
      <c r="C194" s="1" t="n">
        <v>46100</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45237-2023</t>
        </is>
      </c>
      <c r="B195" s="1" t="n">
        <v>45191</v>
      </c>
      <c r="C195" s="1" t="n">
        <v>46100</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62511-2023</t>
        </is>
      </c>
      <c r="B196" s="1" t="n">
        <v>45268.61855324074</v>
      </c>
      <c r="C196" s="1" t="n">
        <v>46100</v>
      </c>
      <c r="D196" t="inlineStr">
        <is>
          <t>ÖREBRO LÄN</t>
        </is>
      </c>
      <c r="E196" t="inlineStr">
        <is>
          <t>ÖREBRO</t>
        </is>
      </c>
      <c r="F196" t="inlineStr">
        <is>
          <t>Övriga Aktiebolag</t>
        </is>
      </c>
      <c r="G196" t="n">
        <v>3.6</v>
      </c>
      <c r="H196" t="n">
        <v>0</v>
      </c>
      <c r="I196" t="n">
        <v>0</v>
      </c>
      <c r="J196" t="n">
        <v>0</v>
      </c>
      <c r="K196" t="n">
        <v>0</v>
      </c>
      <c r="L196" t="n">
        <v>0</v>
      </c>
      <c r="M196" t="n">
        <v>0</v>
      </c>
      <c r="N196" t="n">
        <v>0</v>
      </c>
      <c r="O196" t="n">
        <v>0</v>
      </c>
      <c r="P196" t="n">
        <v>0</v>
      </c>
      <c r="Q196" t="n">
        <v>0</v>
      </c>
      <c r="R196" s="2" t="inlineStr"/>
    </row>
    <row r="197" ht="15" customHeight="1">
      <c r="A197" t="inlineStr">
        <is>
          <t>A 5578-2024</t>
        </is>
      </c>
      <c r="B197" s="1" t="n">
        <v>45334.49104166667</v>
      </c>
      <c r="C197" s="1" t="n">
        <v>46100</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32086-2023</t>
        </is>
      </c>
      <c r="B198" s="1" t="n">
        <v>45119.59789351852</v>
      </c>
      <c r="C198" s="1" t="n">
        <v>46100</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22079-2023</t>
        </is>
      </c>
      <c r="B199" s="1" t="n">
        <v>45069</v>
      </c>
      <c r="C199" s="1" t="n">
        <v>46100</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55472-2023</t>
        </is>
      </c>
      <c r="B200" s="1" t="n">
        <v>45238</v>
      </c>
      <c r="C200" s="1" t="n">
        <v>46100</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2630-2023</t>
        </is>
      </c>
      <c r="B201" s="1" t="n">
        <v>44944.39105324074</v>
      </c>
      <c r="C201" s="1" t="n">
        <v>46100</v>
      </c>
      <c r="D201" t="inlineStr">
        <is>
          <t>ÖREBRO LÄN</t>
        </is>
      </c>
      <c r="E201" t="inlineStr">
        <is>
          <t>ÖREBRO</t>
        </is>
      </c>
      <c r="G201" t="n">
        <v>6.1</v>
      </c>
      <c r="H201" t="n">
        <v>0</v>
      </c>
      <c r="I201" t="n">
        <v>0</v>
      </c>
      <c r="J201" t="n">
        <v>0</v>
      </c>
      <c r="K201" t="n">
        <v>0</v>
      </c>
      <c r="L201" t="n">
        <v>0</v>
      </c>
      <c r="M201" t="n">
        <v>0</v>
      </c>
      <c r="N201" t="n">
        <v>0</v>
      </c>
      <c r="O201" t="n">
        <v>0</v>
      </c>
      <c r="P201" t="n">
        <v>0</v>
      </c>
      <c r="Q201" t="n">
        <v>0</v>
      </c>
      <c r="R201" s="2" t="inlineStr"/>
    </row>
    <row r="202" ht="15" customHeight="1">
      <c r="A202" t="inlineStr">
        <is>
          <t>A 16739-2023</t>
        </is>
      </c>
      <c r="B202" s="1" t="n">
        <v>45030.72627314815</v>
      </c>
      <c r="C202" s="1" t="n">
        <v>46100</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5129-2024</t>
        </is>
      </c>
      <c r="B203" s="1" t="n">
        <v>45330</v>
      </c>
      <c r="C203" s="1" t="n">
        <v>46100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58486-2024</t>
        </is>
      </c>
      <c r="B204" s="1" t="n">
        <v>45635</v>
      </c>
      <c r="C204" s="1" t="n">
        <v>46100</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5330-2024</t>
        </is>
      </c>
      <c r="B205" s="1" t="n">
        <v>45331.4187962963</v>
      </c>
      <c r="C205" s="1" t="n">
        <v>46100</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54925-2023</t>
        </is>
      </c>
      <c r="B206" s="1" t="n">
        <v>45229</v>
      </c>
      <c r="C206" s="1" t="n">
        <v>46100</v>
      </c>
      <c r="D206" t="inlineStr">
        <is>
          <t>ÖREBRO LÄN</t>
        </is>
      </c>
      <c r="E206" t="inlineStr">
        <is>
          <t>ÖREBRO</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10830-2023</t>
        </is>
      </c>
      <c r="B207" s="1" t="n">
        <v>44990.89752314815</v>
      </c>
      <c r="C207" s="1" t="n">
        <v>46100</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9585-2025</t>
        </is>
      </c>
      <c r="B208" s="1" t="n">
        <v>45715.63409722222</v>
      </c>
      <c r="C208" s="1" t="n">
        <v>46100</v>
      </c>
      <c r="D208" t="inlineStr">
        <is>
          <t>ÖREBRO LÄN</t>
        </is>
      </c>
      <c r="E208" t="inlineStr">
        <is>
          <t>ÖREBRO</t>
        </is>
      </c>
      <c r="G208" t="n">
        <v>3.4</v>
      </c>
      <c r="H208" t="n">
        <v>0</v>
      </c>
      <c r="I208" t="n">
        <v>0</v>
      </c>
      <c r="J208" t="n">
        <v>0</v>
      </c>
      <c r="K208" t="n">
        <v>0</v>
      </c>
      <c r="L208" t="n">
        <v>0</v>
      </c>
      <c r="M208" t="n">
        <v>0</v>
      </c>
      <c r="N208" t="n">
        <v>0</v>
      </c>
      <c r="O208" t="n">
        <v>0</v>
      </c>
      <c r="P208" t="n">
        <v>0</v>
      </c>
      <c r="Q208" t="n">
        <v>0</v>
      </c>
      <c r="R208" s="2" t="inlineStr"/>
    </row>
    <row r="209" ht="15" customHeight="1">
      <c r="A209" t="inlineStr">
        <is>
          <t>A 30015-2023</t>
        </is>
      </c>
      <c r="B209" s="1" t="n">
        <v>45109</v>
      </c>
      <c r="C209" s="1" t="n">
        <v>46100</v>
      </c>
      <c r="D209" t="inlineStr">
        <is>
          <t>ÖREBRO LÄN</t>
        </is>
      </c>
      <c r="E209" t="inlineStr">
        <is>
          <t>ÖREBRO</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5125-2024</t>
        </is>
      </c>
      <c r="B210" s="1" t="n">
        <v>45330</v>
      </c>
      <c r="C210" s="1" t="n">
        <v>46100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1013-2024</t>
        </is>
      </c>
      <c r="B211" s="1" t="n">
        <v>45301</v>
      </c>
      <c r="C211" s="1" t="n">
        <v>46100</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49465-2024</t>
        </is>
      </c>
      <c r="B212" s="1" t="n">
        <v>45596</v>
      </c>
      <c r="C212" s="1" t="n">
        <v>46100</v>
      </c>
      <c r="D212" t="inlineStr">
        <is>
          <t>ÖREBRO LÄN</t>
        </is>
      </c>
      <c r="E212" t="inlineStr">
        <is>
          <t>ÖREBRO</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42138-2024</t>
        </is>
      </c>
      <c r="B213" s="1" t="n">
        <v>45562.41854166667</v>
      </c>
      <c r="C213" s="1" t="n">
        <v>46100</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38842-2022</t>
        </is>
      </c>
      <c r="B214" s="1" t="n">
        <v>44814</v>
      </c>
      <c r="C214" s="1" t="n">
        <v>46100</v>
      </c>
      <c r="D214" t="inlineStr">
        <is>
          <t>ÖREBRO LÄN</t>
        </is>
      </c>
      <c r="E214" t="inlineStr">
        <is>
          <t>ÖREBRO</t>
        </is>
      </c>
      <c r="G214" t="n">
        <v>5</v>
      </c>
      <c r="H214" t="n">
        <v>0</v>
      </c>
      <c r="I214" t="n">
        <v>0</v>
      </c>
      <c r="J214" t="n">
        <v>0</v>
      </c>
      <c r="K214" t="n">
        <v>0</v>
      </c>
      <c r="L214" t="n">
        <v>0</v>
      </c>
      <c r="M214" t="n">
        <v>0</v>
      </c>
      <c r="N214" t="n">
        <v>0</v>
      </c>
      <c r="O214" t="n">
        <v>0</v>
      </c>
      <c r="P214" t="n">
        <v>0</v>
      </c>
      <c r="Q214" t="n">
        <v>0</v>
      </c>
      <c r="R214" s="2" t="inlineStr"/>
    </row>
    <row r="215" ht="15" customHeight="1">
      <c r="A215" t="inlineStr">
        <is>
          <t>A 26101-2022</t>
        </is>
      </c>
      <c r="B215" s="1" t="n">
        <v>44734</v>
      </c>
      <c r="C215" s="1" t="n">
        <v>46100</v>
      </c>
      <c r="D215" t="inlineStr">
        <is>
          <t>ÖREBRO LÄN</t>
        </is>
      </c>
      <c r="E215" t="inlineStr">
        <is>
          <t>ÖREBRO</t>
        </is>
      </c>
      <c r="G215" t="n">
        <v>15.8</v>
      </c>
      <c r="H215" t="n">
        <v>0</v>
      </c>
      <c r="I215" t="n">
        <v>0</v>
      </c>
      <c r="J215" t="n">
        <v>0</v>
      </c>
      <c r="K215" t="n">
        <v>0</v>
      </c>
      <c r="L215" t="n">
        <v>0</v>
      </c>
      <c r="M215" t="n">
        <v>0</v>
      </c>
      <c r="N215" t="n">
        <v>0</v>
      </c>
      <c r="O215" t="n">
        <v>0</v>
      </c>
      <c r="P215" t="n">
        <v>0</v>
      </c>
      <c r="Q215" t="n">
        <v>0</v>
      </c>
      <c r="R215" s="2" t="inlineStr"/>
    </row>
    <row r="216" ht="15" customHeight="1">
      <c r="A216" t="inlineStr">
        <is>
          <t>A 37022-2024</t>
        </is>
      </c>
      <c r="B216" s="1" t="n">
        <v>45539.3822337963</v>
      </c>
      <c r="C216" s="1" t="n">
        <v>46100</v>
      </c>
      <c r="D216" t="inlineStr">
        <is>
          <t>ÖREBRO LÄN</t>
        </is>
      </c>
      <c r="E216" t="inlineStr">
        <is>
          <t>ÖREBRO</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37024-2024</t>
        </is>
      </c>
      <c r="B217" s="1" t="n">
        <v>45539.38329861111</v>
      </c>
      <c r="C217" s="1" t="n">
        <v>46100</v>
      </c>
      <c r="D217" t="inlineStr">
        <is>
          <t>ÖREBRO LÄN</t>
        </is>
      </c>
      <c r="E217" t="inlineStr">
        <is>
          <t>ÖREBRO</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2095-2025</t>
        </is>
      </c>
      <c r="B218" s="1" t="n">
        <v>45672</v>
      </c>
      <c r="C218" s="1" t="n">
        <v>46100</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8512-2025</t>
        </is>
      </c>
      <c r="B219" s="1" t="n">
        <v>45709.54873842592</v>
      </c>
      <c r="C219" s="1" t="n">
        <v>46100</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71206-2021</t>
        </is>
      </c>
      <c r="B220" s="1" t="n">
        <v>44539</v>
      </c>
      <c r="C220" s="1" t="n">
        <v>46100</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47047-2022</t>
        </is>
      </c>
      <c r="B221" s="1" t="n">
        <v>44852.39063657408</v>
      </c>
      <c r="C221" s="1" t="n">
        <v>46100</v>
      </c>
      <c r="D221" t="inlineStr">
        <is>
          <t>ÖREBRO LÄN</t>
        </is>
      </c>
      <c r="E221" t="inlineStr">
        <is>
          <t>ÖREBRO</t>
        </is>
      </c>
      <c r="G221" t="n">
        <v>1.6</v>
      </c>
      <c r="H221" t="n">
        <v>0</v>
      </c>
      <c r="I221" t="n">
        <v>0</v>
      </c>
      <c r="J221" t="n">
        <v>0</v>
      </c>
      <c r="K221" t="n">
        <v>0</v>
      </c>
      <c r="L221" t="n">
        <v>0</v>
      </c>
      <c r="M221" t="n">
        <v>0</v>
      </c>
      <c r="N221" t="n">
        <v>0</v>
      </c>
      <c r="O221" t="n">
        <v>0</v>
      </c>
      <c r="P221" t="n">
        <v>0</v>
      </c>
      <c r="Q221" t="n">
        <v>0</v>
      </c>
      <c r="R221" s="2" t="inlineStr"/>
    </row>
    <row r="222" ht="15" customHeight="1">
      <c r="A222" t="inlineStr">
        <is>
          <t>A 14715-2024</t>
        </is>
      </c>
      <c r="B222" s="1" t="n">
        <v>45397.5500462963</v>
      </c>
      <c r="C222" s="1" t="n">
        <v>46100</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48140-2024</t>
        </is>
      </c>
      <c r="B223" s="1" t="n">
        <v>45589.66474537037</v>
      </c>
      <c r="C223" s="1" t="n">
        <v>46100</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58145-2024</t>
        </is>
      </c>
      <c r="B224" s="1" t="n">
        <v>45632.43230324074</v>
      </c>
      <c r="C224" s="1" t="n">
        <v>46100</v>
      </c>
      <c r="D224" t="inlineStr">
        <is>
          <t>ÖREBRO LÄN</t>
        </is>
      </c>
      <c r="E224" t="inlineStr">
        <is>
          <t>ÖREBRO</t>
        </is>
      </c>
      <c r="G224" t="n">
        <v>2.1</v>
      </c>
      <c r="H224" t="n">
        <v>0</v>
      </c>
      <c r="I224" t="n">
        <v>0</v>
      </c>
      <c r="J224" t="n">
        <v>0</v>
      </c>
      <c r="K224" t="n">
        <v>0</v>
      </c>
      <c r="L224" t="n">
        <v>0</v>
      </c>
      <c r="M224" t="n">
        <v>0</v>
      </c>
      <c r="N224" t="n">
        <v>0</v>
      </c>
      <c r="O224" t="n">
        <v>0</v>
      </c>
      <c r="P224" t="n">
        <v>0</v>
      </c>
      <c r="Q224" t="n">
        <v>0</v>
      </c>
      <c r="R224" s="2" t="inlineStr"/>
    </row>
    <row r="225" ht="15" customHeight="1">
      <c r="A225" t="inlineStr">
        <is>
          <t>A 41703-2024</t>
        </is>
      </c>
      <c r="B225" s="1" t="n">
        <v>45560</v>
      </c>
      <c r="C225" s="1" t="n">
        <v>46100</v>
      </c>
      <c r="D225" t="inlineStr">
        <is>
          <t>ÖREBRO LÄN</t>
        </is>
      </c>
      <c r="E225" t="inlineStr">
        <is>
          <t>ÖREBRO</t>
        </is>
      </c>
      <c r="G225" t="n">
        <v>6.4</v>
      </c>
      <c r="H225" t="n">
        <v>0</v>
      </c>
      <c r="I225" t="n">
        <v>0</v>
      </c>
      <c r="J225" t="n">
        <v>0</v>
      </c>
      <c r="K225" t="n">
        <v>0</v>
      </c>
      <c r="L225" t="n">
        <v>0</v>
      </c>
      <c r="M225" t="n">
        <v>0</v>
      </c>
      <c r="N225" t="n">
        <v>0</v>
      </c>
      <c r="O225" t="n">
        <v>0</v>
      </c>
      <c r="P225" t="n">
        <v>0</v>
      </c>
      <c r="Q225" t="n">
        <v>0</v>
      </c>
      <c r="R225" s="2" t="inlineStr"/>
    </row>
    <row r="226" ht="15" customHeight="1">
      <c r="A226" t="inlineStr">
        <is>
          <t>A 16300-2022</t>
        </is>
      </c>
      <c r="B226" s="1" t="n">
        <v>44670</v>
      </c>
      <c r="C226" s="1" t="n">
        <v>46100</v>
      </c>
      <c r="D226" t="inlineStr">
        <is>
          <t>ÖREBRO LÄN</t>
        </is>
      </c>
      <c r="E226" t="inlineStr">
        <is>
          <t>ÖREBRO</t>
        </is>
      </c>
      <c r="G226" t="n">
        <v>0.8</v>
      </c>
      <c r="H226" t="n">
        <v>0</v>
      </c>
      <c r="I226" t="n">
        <v>0</v>
      </c>
      <c r="J226" t="n">
        <v>0</v>
      </c>
      <c r="K226" t="n">
        <v>0</v>
      </c>
      <c r="L226" t="n">
        <v>0</v>
      </c>
      <c r="M226" t="n">
        <v>0</v>
      </c>
      <c r="N226" t="n">
        <v>0</v>
      </c>
      <c r="O226" t="n">
        <v>0</v>
      </c>
      <c r="P226" t="n">
        <v>0</v>
      </c>
      <c r="Q226" t="n">
        <v>0</v>
      </c>
      <c r="R226" s="2" t="inlineStr"/>
    </row>
    <row r="227" ht="15" customHeight="1">
      <c r="A227" t="inlineStr">
        <is>
          <t>A 18181-2024</t>
        </is>
      </c>
      <c r="B227" s="1" t="n">
        <v>45420.64561342593</v>
      </c>
      <c r="C227" s="1" t="n">
        <v>46100</v>
      </c>
      <c r="D227" t="inlineStr">
        <is>
          <t>ÖREBRO LÄN</t>
        </is>
      </c>
      <c r="E227" t="inlineStr">
        <is>
          <t>ÖREBRO</t>
        </is>
      </c>
      <c r="G227" t="n">
        <v>7.6</v>
      </c>
      <c r="H227" t="n">
        <v>0</v>
      </c>
      <c r="I227" t="n">
        <v>0</v>
      </c>
      <c r="J227" t="n">
        <v>0</v>
      </c>
      <c r="K227" t="n">
        <v>0</v>
      </c>
      <c r="L227" t="n">
        <v>0</v>
      </c>
      <c r="M227" t="n">
        <v>0</v>
      </c>
      <c r="N227" t="n">
        <v>0</v>
      </c>
      <c r="O227" t="n">
        <v>0</v>
      </c>
      <c r="P227" t="n">
        <v>0</v>
      </c>
      <c r="Q227" t="n">
        <v>0</v>
      </c>
      <c r="R227" s="2" t="inlineStr"/>
    </row>
    <row r="228" ht="15" customHeight="1">
      <c r="A228" t="inlineStr">
        <is>
          <t>A 58598-2022</t>
        </is>
      </c>
      <c r="B228" s="1" t="n">
        <v>44902</v>
      </c>
      <c r="C228" s="1" t="n">
        <v>46100</v>
      </c>
      <c r="D228" t="inlineStr">
        <is>
          <t>ÖREBRO LÄN</t>
        </is>
      </c>
      <c r="E228" t="inlineStr">
        <is>
          <t>ÖREBRO</t>
        </is>
      </c>
      <c r="G228" t="n">
        <v>0.4</v>
      </c>
      <c r="H228" t="n">
        <v>0</v>
      </c>
      <c r="I228" t="n">
        <v>0</v>
      </c>
      <c r="J228" t="n">
        <v>0</v>
      </c>
      <c r="K228" t="n">
        <v>0</v>
      </c>
      <c r="L228" t="n">
        <v>0</v>
      </c>
      <c r="M228" t="n">
        <v>0</v>
      </c>
      <c r="N228" t="n">
        <v>0</v>
      </c>
      <c r="O228" t="n">
        <v>0</v>
      </c>
      <c r="P228" t="n">
        <v>0</v>
      </c>
      <c r="Q228" t="n">
        <v>0</v>
      </c>
      <c r="R228" s="2" t="inlineStr"/>
    </row>
    <row r="229" ht="15" customHeight="1">
      <c r="A229" t="inlineStr">
        <is>
          <t>A 70707-2021</t>
        </is>
      </c>
      <c r="B229" s="1" t="n">
        <v>44537</v>
      </c>
      <c r="C229" s="1" t="n">
        <v>46100</v>
      </c>
      <c r="D229" t="inlineStr">
        <is>
          <t>ÖREBRO LÄN</t>
        </is>
      </c>
      <c r="E229" t="inlineStr">
        <is>
          <t>ÖREBRO</t>
        </is>
      </c>
      <c r="G229" t="n">
        <v>13.2</v>
      </c>
      <c r="H229" t="n">
        <v>0</v>
      </c>
      <c r="I229" t="n">
        <v>0</v>
      </c>
      <c r="J229" t="n">
        <v>0</v>
      </c>
      <c r="K229" t="n">
        <v>0</v>
      </c>
      <c r="L229" t="n">
        <v>0</v>
      </c>
      <c r="M229" t="n">
        <v>0</v>
      </c>
      <c r="N229" t="n">
        <v>0</v>
      </c>
      <c r="O229" t="n">
        <v>0</v>
      </c>
      <c r="P229" t="n">
        <v>0</v>
      </c>
      <c r="Q229" t="n">
        <v>0</v>
      </c>
      <c r="R229" s="2" t="inlineStr"/>
    </row>
    <row r="230" ht="15" customHeight="1">
      <c r="A230" t="inlineStr">
        <is>
          <t>A 13158-2024</t>
        </is>
      </c>
      <c r="B230" s="1" t="n">
        <v>45386.38728009259</v>
      </c>
      <c r="C230" s="1" t="n">
        <v>46100</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51331-2023</t>
        </is>
      </c>
      <c r="B231" s="1" t="n">
        <v>45219</v>
      </c>
      <c r="C231" s="1" t="n">
        <v>46100</v>
      </c>
      <c r="D231" t="inlineStr">
        <is>
          <t>ÖREBRO LÄN</t>
        </is>
      </c>
      <c r="E231" t="inlineStr">
        <is>
          <t>ÖREBRO</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33577-2023</t>
        </is>
      </c>
      <c r="B232" s="1" t="n">
        <v>45131</v>
      </c>
      <c r="C232" s="1" t="n">
        <v>46100</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60100-2022</t>
        </is>
      </c>
      <c r="B233" s="1" t="n">
        <v>44902</v>
      </c>
      <c r="C233" s="1" t="n">
        <v>46100</v>
      </c>
      <c r="D233" t="inlineStr">
        <is>
          <t>ÖREBRO LÄN</t>
        </is>
      </c>
      <c r="E233" t="inlineStr">
        <is>
          <t>ÖREBRO</t>
        </is>
      </c>
      <c r="G233" t="n">
        <v>1.4</v>
      </c>
      <c r="H233" t="n">
        <v>0</v>
      </c>
      <c r="I233" t="n">
        <v>0</v>
      </c>
      <c r="J233" t="n">
        <v>0</v>
      </c>
      <c r="K233" t="n">
        <v>0</v>
      </c>
      <c r="L233" t="n">
        <v>0</v>
      </c>
      <c r="M233" t="n">
        <v>0</v>
      </c>
      <c r="N233" t="n">
        <v>0</v>
      </c>
      <c r="O233" t="n">
        <v>0</v>
      </c>
      <c r="P233" t="n">
        <v>0</v>
      </c>
      <c r="Q233" t="n">
        <v>0</v>
      </c>
      <c r="R233" s="2" t="inlineStr"/>
    </row>
    <row r="234" ht="15" customHeight="1">
      <c r="A234" t="inlineStr">
        <is>
          <t>A 38489-2023</t>
        </is>
      </c>
      <c r="B234" s="1" t="n">
        <v>45162</v>
      </c>
      <c r="C234" s="1" t="n">
        <v>46100</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2152-2023</t>
        </is>
      </c>
      <c r="B235" s="1" t="n">
        <v>44941.55056712963</v>
      </c>
      <c r="C235" s="1" t="n">
        <v>46100</v>
      </c>
      <c r="D235" t="inlineStr">
        <is>
          <t>ÖREBRO LÄN</t>
        </is>
      </c>
      <c r="E235" t="inlineStr">
        <is>
          <t>ÖREBRO</t>
        </is>
      </c>
      <c r="G235" t="n">
        <v>8</v>
      </c>
      <c r="H235" t="n">
        <v>0</v>
      </c>
      <c r="I235" t="n">
        <v>0</v>
      </c>
      <c r="J235" t="n">
        <v>0</v>
      </c>
      <c r="K235" t="n">
        <v>0</v>
      </c>
      <c r="L235" t="n">
        <v>0</v>
      </c>
      <c r="M235" t="n">
        <v>0</v>
      </c>
      <c r="N235" t="n">
        <v>0</v>
      </c>
      <c r="O235" t="n">
        <v>0</v>
      </c>
      <c r="P235" t="n">
        <v>0</v>
      </c>
      <c r="Q235" t="n">
        <v>0</v>
      </c>
      <c r="R235" s="2" t="inlineStr"/>
    </row>
    <row r="236" ht="15" customHeight="1">
      <c r="A236" t="inlineStr">
        <is>
          <t>A 8656-2025</t>
        </is>
      </c>
      <c r="B236" s="1" t="n">
        <v>45712.38268518518</v>
      </c>
      <c r="C236" s="1" t="n">
        <v>46100</v>
      </c>
      <c r="D236" t="inlineStr">
        <is>
          <t>ÖREBRO LÄN</t>
        </is>
      </c>
      <c r="E236" t="inlineStr">
        <is>
          <t>ÖREBRO</t>
        </is>
      </c>
      <c r="G236" t="n">
        <v>2.7</v>
      </c>
      <c r="H236" t="n">
        <v>0</v>
      </c>
      <c r="I236" t="n">
        <v>0</v>
      </c>
      <c r="J236" t="n">
        <v>0</v>
      </c>
      <c r="K236" t="n">
        <v>0</v>
      </c>
      <c r="L236" t="n">
        <v>0</v>
      </c>
      <c r="M236" t="n">
        <v>0</v>
      </c>
      <c r="N236" t="n">
        <v>0</v>
      </c>
      <c r="O236" t="n">
        <v>0</v>
      </c>
      <c r="P236" t="n">
        <v>0</v>
      </c>
      <c r="Q236" t="n">
        <v>0</v>
      </c>
      <c r="R236" s="2" t="inlineStr"/>
    </row>
    <row r="237" ht="15" customHeight="1">
      <c r="A237" t="inlineStr">
        <is>
          <t>A 19763-2024</t>
        </is>
      </c>
      <c r="B237" s="1" t="n">
        <v>45432</v>
      </c>
      <c r="C237" s="1" t="n">
        <v>46100</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14545-2023</t>
        </is>
      </c>
      <c r="B238" s="1" t="n">
        <v>45013.34895833334</v>
      </c>
      <c r="C238" s="1" t="n">
        <v>46100</v>
      </c>
      <c r="D238" t="inlineStr">
        <is>
          <t>ÖREBRO LÄN</t>
        </is>
      </c>
      <c r="E238" t="inlineStr">
        <is>
          <t>ÖREBRO</t>
        </is>
      </c>
      <c r="G238" t="n">
        <v>2.5</v>
      </c>
      <c r="H238" t="n">
        <v>0</v>
      </c>
      <c r="I238" t="n">
        <v>0</v>
      </c>
      <c r="J238" t="n">
        <v>0</v>
      </c>
      <c r="K238" t="n">
        <v>0</v>
      </c>
      <c r="L238" t="n">
        <v>0</v>
      </c>
      <c r="M238" t="n">
        <v>0</v>
      </c>
      <c r="N238" t="n">
        <v>0</v>
      </c>
      <c r="O238" t="n">
        <v>0</v>
      </c>
      <c r="P238" t="n">
        <v>0</v>
      </c>
      <c r="Q238" t="n">
        <v>0</v>
      </c>
      <c r="R238" s="2" t="inlineStr"/>
    </row>
    <row r="239" ht="15" customHeight="1">
      <c r="A239" t="inlineStr">
        <is>
          <t>A 55353-2024</t>
        </is>
      </c>
      <c r="B239" s="1" t="n">
        <v>45621.79526620371</v>
      </c>
      <c r="C239" s="1" t="n">
        <v>46100</v>
      </c>
      <c r="D239" t="inlineStr">
        <is>
          <t>ÖREBRO LÄN</t>
        </is>
      </c>
      <c r="E239" t="inlineStr">
        <is>
          <t>ÖREBRO</t>
        </is>
      </c>
      <c r="G239" t="n">
        <v>0.5</v>
      </c>
      <c r="H239" t="n">
        <v>0</v>
      </c>
      <c r="I239" t="n">
        <v>0</v>
      </c>
      <c r="J239" t="n">
        <v>0</v>
      </c>
      <c r="K239" t="n">
        <v>0</v>
      </c>
      <c r="L239" t="n">
        <v>0</v>
      </c>
      <c r="M239" t="n">
        <v>0</v>
      </c>
      <c r="N239" t="n">
        <v>0</v>
      </c>
      <c r="O239" t="n">
        <v>0</v>
      </c>
      <c r="P239" t="n">
        <v>0</v>
      </c>
      <c r="Q239" t="n">
        <v>0</v>
      </c>
      <c r="R239" s="2" t="inlineStr"/>
    </row>
    <row r="240" ht="15" customHeight="1">
      <c r="A240" t="inlineStr">
        <is>
          <t>A 55357-2024</t>
        </is>
      </c>
      <c r="B240" s="1" t="n">
        <v>45621.81126157408</v>
      </c>
      <c r="C240" s="1" t="n">
        <v>46100</v>
      </c>
      <c r="D240" t="inlineStr">
        <is>
          <t>ÖREBRO LÄN</t>
        </is>
      </c>
      <c r="E240" t="inlineStr">
        <is>
          <t>ÖREBRO</t>
        </is>
      </c>
      <c r="G240" t="n">
        <v>0.6</v>
      </c>
      <c r="H240" t="n">
        <v>0</v>
      </c>
      <c r="I240" t="n">
        <v>0</v>
      </c>
      <c r="J240" t="n">
        <v>0</v>
      </c>
      <c r="K240" t="n">
        <v>0</v>
      </c>
      <c r="L240" t="n">
        <v>0</v>
      </c>
      <c r="M240" t="n">
        <v>0</v>
      </c>
      <c r="N240" t="n">
        <v>0</v>
      </c>
      <c r="O240" t="n">
        <v>0</v>
      </c>
      <c r="P240" t="n">
        <v>0</v>
      </c>
      <c r="Q240" t="n">
        <v>0</v>
      </c>
      <c r="R240" s="2" t="inlineStr"/>
    </row>
    <row r="241" ht="15" customHeight="1">
      <c r="A241" t="inlineStr">
        <is>
          <t>A 54917-2023</t>
        </is>
      </c>
      <c r="B241" s="1" t="n">
        <v>45229</v>
      </c>
      <c r="C241" s="1" t="n">
        <v>46100</v>
      </c>
      <c r="D241" t="inlineStr">
        <is>
          <t>ÖREBRO LÄN</t>
        </is>
      </c>
      <c r="E241" t="inlineStr">
        <is>
          <t>ÖREBRO</t>
        </is>
      </c>
      <c r="G241" t="n">
        <v>3.1</v>
      </c>
      <c r="H241" t="n">
        <v>0</v>
      </c>
      <c r="I241" t="n">
        <v>0</v>
      </c>
      <c r="J241" t="n">
        <v>0</v>
      </c>
      <c r="K241" t="n">
        <v>0</v>
      </c>
      <c r="L241" t="n">
        <v>0</v>
      </c>
      <c r="M241" t="n">
        <v>0</v>
      </c>
      <c r="N241" t="n">
        <v>0</v>
      </c>
      <c r="O241" t="n">
        <v>0</v>
      </c>
      <c r="P241" t="n">
        <v>0</v>
      </c>
      <c r="Q241" t="n">
        <v>0</v>
      </c>
      <c r="R241" s="2" t="inlineStr"/>
    </row>
    <row r="242" ht="15" customHeight="1">
      <c r="A242" t="inlineStr">
        <is>
          <t>A 14432-2023</t>
        </is>
      </c>
      <c r="B242" s="1" t="n">
        <v>45012</v>
      </c>
      <c r="C242" s="1" t="n">
        <v>46100</v>
      </c>
      <c r="D242" t="inlineStr">
        <is>
          <t>ÖREBRO LÄN</t>
        </is>
      </c>
      <c r="E242" t="inlineStr">
        <is>
          <t>ÖREBRO</t>
        </is>
      </c>
      <c r="G242" t="n">
        <v>3.3</v>
      </c>
      <c r="H242" t="n">
        <v>0</v>
      </c>
      <c r="I242" t="n">
        <v>0</v>
      </c>
      <c r="J242" t="n">
        <v>0</v>
      </c>
      <c r="K242" t="n">
        <v>0</v>
      </c>
      <c r="L242" t="n">
        <v>0</v>
      </c>
      <c r="M242" t="n">
        <v>0</v>
      </c>
      <c r="N242" t="n">
        <v>0</v>
      </c>
      <c r="O242" t="n">
        <v>0</v>
      </c>
      <c r="P242" t="n">
        <v>0</v>
      </c>
      <c r="Q242" t="n">
        <v>0</v>
      </c>
      <c r="R242" s="2" t="inlineStr"/>
    </row>
    <row r="243" ht="15" customHeight="1">
      <c r="A243" t="inlineStr">
        <is>
          <t>A 42623-2022</t>
        </is>
      </c>
      <c r="B243" s="1" t="n">
        <v>44831</v>
      </c>
      <c r="C243" s="1" t="n">
        <v>46100</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34874-2022</t>
        </is>
      </c>
      <c r="B244" s="1" t="n">
        <v>44796</v>
      </c>
      <c r="C244" s="1" t="n">
        <v>46100</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72329-2021</t>
        </is>
      </c>
      <c r="B245" s="1" t="n">
        <v>44545.46072916667</v>
      </c>
      <c r="C245" s="1" t="n">
        <v>46100</v>
      </c>
      <c r="D245" t="inlineStr">
        <is>
          <t>ÖREBRO LÄN</t>
        </is>
      </c>
      <c r="E245" t="inlineStr">
        <is>
          <t>ÖREBRO</t>
        </is>
      </c>
      <c r="G245" t="n">
        <v>0.5</v>
      </c>
      <c r="H245" t="n">
        <v>0</v>
      </c>
      <c r="I245" t="n">
        <v>0</v>
      </c>
      <c r="J245" t="n">
        <v>0</v>
      </c>
      <c r="K245" t="n">
        <v>0</v>
      </c>
      <c r="L245" t="n">
        <v>0</v>
      </c>
      <c r="M245" t="n">
        <v>0</v>
      </c>
      <c r="N245" t="n">
        <v>0</v>
      </c>
      <c r="O245" t="n">
        <v>0</v>
      </c>
      <c r="P245" t="n">
        <v>0</v>
      </c>
      <c r="Q245" t="n">
        <v>0</v>
      </c>
      <c r="R245" s="2" t="inlineStr"/>
    </row>
    <row r="246" ht="15" customHeight="1">
      <c r="A246" t="inlineStr">
        <is>
          <t>A 3652-2022</t>
        </is>
      </c>
      <c r="B246" s="1" t="n">
        <v>44586.46921296296</v>
      </c>
      <c r="C246" s="1" t="n">
        <v>46100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37021-2024</t>
        </is>
      </c>
      <c r="B247" s="1" t="n">
        <v>45539.38146990741</v>
      </c>
      <c r="C247" s="1" t="n">
        <v>46100</v>
      </c>
      <c r="D247" t="inlineStr">
        <is>
          <t>ÖREBRO LÄN</t>
        </is>
      </c>
      <c r="E247" t="inlineStr">
        <is>
          <t>ÖREBRO</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39003-2025</t>
        </is>
      </c>
      <c r="B248" s="1" t="n">
        <v>45888.34467592592</v>
      </c>
      <c r="C248" s="1" t="n">
        <v>46100</v>
      </c>
      <c r="D248" t="inlineStr">
        <is>
          <t>ÖREBRO LÄN</t>
        </is>
      </c>
      <c r="E248" t="inlineStr">
        <is>
          <t>ÖREBRO</t>
        </is>
      </c>
      <c r="G248" t="n">
        <v>3.7</v>
      </c>
      <c r="H248" t="n">
        <v>0</v>
      </c>
      <c r="I248" t="n">
        <v>0</v>
      </c>
      <c r="J248" t="n">
        <v>0</v>
      </c>
      <c r="K248" t="n">
        <v>0</v>
      </c>
      <c r="L248" t="n">
        <v>0</v>
      </c>
      <c r="M248" t="n">
        <v>0</v>
      </c>
      <c r="N248" t="n">
        <v>0</v>
      </c>
      <c r="O248" t="n">
        <v>0</v>
      </c>
      <c r="P248" t="n">
        <v>0</v>
      </c>
      <c r="Q248" t="n">
        <v>0</v>
      </c>
      <c r="R248" s="2" t="inlineStr"/>
    </row>
    <row r="249" ht="15" customHeight="1">
      <c r="A249" t="inlineStr">
        <is>
          <t>A 852-2025</t>
        </is>
      </c>
      <c r="B249" s="1" t="n">
        <v>45665.60148148148</v>
      </c>
      <c r="C249" s="1" t="n">
        <v>46100</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15422-2022</t>
        </is>
      </c>
      <c r="B250" s="1" t="n">
        <v>44659.63753472222</v>
      </c>
      <c r="C250" s="1" t="n">
        <v>46100</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39446-2025</t>
        </is>
      </c>
      <c r="B251" s="1" t="n">
        <v>45889.70388888889</v>
      </c>
      <c r="C251" s="1" t="n">
        <v>46100</v>
      </c>
      <c r="D251" t="inlineStr">
        <is>
          <t>ÖREBRO LÄN</t>
        </is>
      </c>
      <c r="E251" t="inlineStr">
        <is>
          <t>ÖREBRO</t>
        </is>
      </c>
      <c r="F251" t="inlineStr">
        <is>
          <t>Kyrkan</t>
        </is>
      </c>
      <c r="G251" t="n">
        <v>3.2</v>
      </c>
      <c r="H251" t="n">
        <v>0</v>
      </c>
      <c r="I251" t="n">
        <v>0</v>
      </c>
      <c r="J251" t="n">
        <v>0</v>
      </c>
      <c r="K251" t="n">
        <v>0</v>
      </c>
      <c r="L251" t="n">
        <v>0</v>
      </c>
      <c r="M251" t="n">
        <v>0</v>
      </c>
      <c r="N251" t="n">
        <v>0</v>
      </c>
      <c r="O251" t="n">
        <v>0</v>
      </c>
      <c r="P251" t="n">
        <v>0</v>
      </c>
      <c r="Q251" t="n">
        <v>0</v>
      </c>
      <c r="R251" s="2" t="inlineStr"/>
    </row>
    <row r="252" ht="15" customHeight="1">
      <c r="A252" t="inlineStr">
        <is>
          <t>A 46323-2024</t>
        </is>
      </c>
      <c r="B252" s="1" t="n">
        <v>45581.84538194445</v>
      </c>
      <c r="C252" s="1" t="n">
        <v>46100</v>
      </c>
      <c r="D252" t="inlineStr">
        <is>
          <t>ÖREBRO LÄN</t>
        </is>
      </c>
      <c r="E252" t="inlineStr">
        <is>
          <t>ÖREBRO</t>
        </is>
      </c>
      <c r="F252" t="inlineStr">
        <is>
          <t>Övriga Aktiebolag</t>
        </is>
      </c>
      <c r="G252" t="n">
        <v>1.4</v>
      </c>
      <c r="H252" t="n">
        <v>0</v>
      </c>
      <c r="I252" t="n">
        <v>0</v>
      </c>
      <c r="J252" t="n">
        <v>0</v>
      </c>
      <c r="K252" t="n">
        <v>0</v>
      </c>
      <c r="L252" t="n">
        <v>0</v>
      </c>
      <c r="M252" t="n">
        <v>0</v>
      </c>
      <c r="N252" t="n">
        <v>0</v>
      </c>
      <c r="O252" t="n">
        <v>0</v>
      </c>
      <c r="P252" t="n">
        <v>0</v>
      </c>
      <c r="Q252" t="n">
        <v>0</v>
      </c>
      <c r="R252" s="2" t="inlineStr"/>
    </row>
    <row r="253" ht="15" customHeight="1">
      <c r="A253" t="inlineStr">
        <is>
          <t>A 4344-2025</t>
        </is>
      </c>
      <c r="B253" s="1" t="n">
        <v>45685</v>
      </c>
      <c r="C253" s="1" t="n">
        <v>46100</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52499-2024</t>
        </is>
      </c>
      <c r="B254" s="1" t="n">
        <v>45609.58422453704</v>
      </c>
      <c r="C254" s="1" t="n">
        <v>46100</v>
      </c>
      <c r="D254" t="inlineStr">
        <is>
          <t>ÖREBRO LÄN</t>
        </is>
      </c>
      <c r="E254" t="inlineStr">
        <is>
          <t>ÖREBRO</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14960-2025</t>
        </is>
      </c>
      <c r="B255" s="1" t="n">
        <v>45743.5853125</v>
      </c>
      <c r="C255" s="1" t="n">
        <v>46100</v>
      </c>
      <c r="D255" t="inlineStr">
        <is>
          <t>ÖREBRO LÄN</t>
        </is>
      </c>
      <c r="E255" t="inlineStr">
        <is>
          <t>ÖREBRO</t>
        </is>
      </c>
      <c r="G255" t="n">
        <v>1.6</v>
      </c>
      <c r="H255" t="n">
        <v>0</v>
      </c>
      <c r="I255" t="n">
        <v>0</v>
      </c>
      <c r="J255" t="n">
        <v>0</v>
      </c>
      <c r="K255" t="n">
        <v>0</v>
      </c>
      <c r="L255" t="n">
        <v>0</v>
      </c>
      <c r="M255" t="n">
        <v>0</v>
      </c>
      <c r="N255" t="n">
        <v>0</v>
      </c>
      <c r="O255" t="n">
        <v>0</v>
      </c>
      <c r="P255" t="n">
        <v>0</v>
      </c>
      <c r="Q255" t="n">
        <v>0</v>
      </c>
      <c r="R255" s="2" t="inlineStr"/>
    </row>
    <row r="256" ht="15" customHeight="1">
      <c r="A256" t="inlineStr">
        <is>
          <t>A 13623-2024</t>
        </is>
      </c>
      <c r="B256" s="1" t="n">
        <v>45390.38626157407</v>
      </c>
      <c r="C256" s="1" t="n">
        <v>46100</v>
      </c>
      <c r="D256" t="inlineStr">
        <is>
          <t>ÖREBRO LÄN</t>
        </is>
      </c>
      <c r="E256" t="inlineStr">
        <is>
          <t>ÖREBRO</t>
        </is>
      </c>
      <c r="G256" t="n">
        <v>1.1</v>
      </c>
      <c r="H256" t="n">
        <v>0</v>
      </c>
      <c r="I256" t="n">
        <v>0</v>
      </c>
      <c r="J256" t="n">
        <v>0</v>
      </c>
      <c r="K256" t="n">
        <v>0</v>
      </c>
      <c r="L256" t="n">
        <v>0</v>
      </c>
      <c r="M256" t="n">
        <v>0</v>
      </c>
      <c r="N256" t="n">
        <v>0</v>
      </c>
      <c r="O256" t="n">
        <v>0</v>
      </c>
      <c r="P256" t="n">
        <v>0</v>
      </c>
      <c r="Q256" t="n">
        <v>0</v>
      </c>
      <c r="R256" s="2" t="inlineStr"/>
    </row>
    <row r="257" ht="15" customHeight="1">
      <c r="A257" t="inlineStr">
        <is>
          <t>A 38583-2023</t>
        </is>
      </c>
      <c r="B257" s="1" t="n">
        <v>45162.62861111111</v>
      </c>
      <c r="C257" s="1" t="n">
        <v>46100</v>
      </c>
      <c r="D257" t="inlineStr">
        <is>
          <t>ÖREBRO LÄN</t>
        </is>
      </c>
      <c r="E257" t="inlineStr">
        <is>
          <t>ÖREBRO</t>
        </is>
      </c>
      <c r="G257" t="n">
        <v>5.7</v>
      </c>
      <c r="H257" t="n">
        <v>0</v>
      </c>
      <c r="I257" t="n">
        <v>0</v>
      </c>
      <c r="J257" t="n">
        <v>0</v>
      </c>
      <c r="K257" t="n">
        <v>0</v>
      </c>
      <c r="L257" t="n">
        <v>0</v>
      </c>
      <c r="M257" t="n">
        <v>0</v>
      </c>
      <c r="N257" t="n">
        <v>0</v>
      </c>
      <c r="O257" t="n">
        <v>0</v>
      </c>
      <c r="P257" t="n">
        <v>0</v>
      </c>
      <c r="Q257" t="n">
        <v>0</v>
      </c>
      <c r="R257" s="2" t="inlineStr"/>
    </row>
    <row r="258" ht="15" customHeight="1">
      <c r="A258" t="inlineStr">
        <is>
          <t>A 39479-2025</t>
        </is>
      </c>
      <c r="B258" s="1" t="n">
        <v>45890.34752314815</v>
      </c>
      <c r="C258" s="1" t="n">
        <v>46100</v>
      </c>
      <c r="D258" t="inlineStr">
        <is>
          <t>ÖREBRO LÄN</t>
        </is>
      </c>
      <c r="E258" t="inlineStr">
        <is>
          <t>ÖREBRO</t>
        </is>
      </c>
      <c r="G258" t="n">
        <v>0.7</v>
      </c>
      <c r="H258" t="n">
        <v>0</v>
      </c>
      <c r="I258" t="n">
        <v>0</v>
      </c>
      <c r="J258" t="n">
        <v>0</v>
      </c>
      <c r="K258" t="n">
        <v>0</v>
      </c>
      <c r="L258" t="n">
        <v>0</v>
      </c>
      <c r="M258" t="n">
        <v>0</v>
      </c>
      <c r="N258" t="n">
        <v>0</v>
      </c>
      <c r="O258" t="n">
        <v>0</v>
      </c>
      <c r="P258" t="n">
        <v>0</v>
      </c>
      <c r="Q258" t="n">
        <v>0</v>
      </c>
      <c r="R258" s="2" t="inlineStr"/>
    </row>
    <row r="259" ht="15" customHeight="1">
      <c r="A259" t="inlineStr">
        <is>
          <t>A 55355-2024</t>
        </is>
      </c>
      <c r="B259" s="1" t="n">
        <v>45621.80475694445</v>
      </c>
      <c r="C259" s="1" t="n">
        <v>46100</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55745-2023</t>
        </is>
      </c>
      <c r="B260" s="1" t="n">
        <v>45239.44811342593</v>
      </c>
      <c r="C260" s="1" t="n">
        <v>46100</v>
      </c>
      <c r="D260" t="inlineStr">
        <is>
          <t>ÖREBRO LÄN</t>
        </is>
      </c>
      <c r="E260" t="inlineStr">
        <is>
          <t>ÖREBRO</t>
        </is>
      </c>
      <c r="G260" t="n">
        <v>13.3</v>
      </c>
      <c r="H260" t="n">
        <v>0</v>
      </c>
      <c r="I260" t="n">
        <v>0</v>
      </c>
      <c r="J260" t="n">
        <v>0</v>
      </c>
      <c r="K260" t="n">
        <v>0</v>
      </c>
      <c r="L260" t="n">
        <v>0</v>
      </c>
      <c r="M260" t="n">
        <v>0</v>
      </c>
      <c r="N260" t="n">
        <v>0</v>
      </c>
      <c r="O260" t="n">
        <v>0</v>
      </c>
      <c r="P260" t="n">
        <v>0</v>
      </c>
      <c r="Q260" t="n">
        <v>0</v>
      </c>
      <c r="R260" s="2" t="inlineStr"/>
    </row>
    <row r="261" ht="15" customHeight="1">
      <c r="A261" t="inlineStr">
        <is>
          <t>A 38573-2023</t>
        </is>
      </c>
      <c r="B261" s="1" t="n">
        <v>45162.61837962963</v>
      </c>
      <c r="C261" s="1" t="n">
        <v>46100</v>
      </c>
      <c r="D261" t="inlineStr">
        <is>
          <t>ÖREBRO LÄN</t>
        </is>
      </c>
      <c r="E261" t="inlineStr">
        <is>
          <t>ÖREBRO</t>
        </is>
      </c>
      <c r="G261" t="n">
        <v>2.2</v>
      </c>
      <c r="H261" t="n">
        <v>0</v>
      </c>
      <c r="I261" t="n">
        <v>0</v>
      </c>
      <c r="J261" t="n">
        <v>0</v>
      </c>
      <c r="K261" t="n">
        <v>0</v>
      </c>
      <c r="L261" t="n">
        <v>0</v>
      </c>
      <c r="M261" t="n">
        <v>0</v>
      </c>
      <c r="N261" t="n">
        <v>0</v>
      </c>
      <c r="O261" t="n">
        <v>0</v>
      </c>
      <c r="P261" t="n">
        <v>0</v>
      </c>
      <c r="Q261" t="n">
        <v>0</v>
      </c>
      <c r="R261" s="2" t="inlineStr"/>
    </row>
    <row r="262" ht="15" customHeight="1">
      <c r="A262" t="inlineStr">
        <is>
          <t>A 5619-2023</t>
        </is>
      </c>
      <c r="B262" s="1" t="n">
        <v>44958</v>
      </c>
      <c r="C262" s="1" t="n">
        <v>46100</v>
      </c>
      <c r="D262" t="inlineStr">
        <is>
          <t>ÖREBRO LÄN</t>
        </is>
      </c>
      <c r="E262" t="inlineStr">
        <is>
          <t>ÖREBRO</t>
        </is>
      </c>
      <c r="G262" t="n">
        <v>27</v>
      </c>
      <c r="H262" t="n">
        <v>0</v>
      </c>
      <c r="I262" t="n">
        <v>0</v>
      </c>
      <c r="J262" t="n">
        <v>0</v>
      </c>
      <c r="K262" t="n">
        <v>0</v>
      </c>
      <c r="L262" t="n">
        <v>0</v>
      </c>
      <c r="M262" t="n">
        <v>0</v>
      </c>
      <c r="N262" t="n">
        <v>0</v>
      </c>
      <c r="O262" t="n">
        <v>0</v>
      </c>
      <c r="P262" t="n">
        <v>0</v>
      </c>
      <c r="Q262" t="n">
        <v>0</v>
      </c>
      <c r="R262" s="2" t="inlineStr"/>
    </row>
    <row r="263" ht="15" customHeight="1">
      <c r="A263" t="inlineStr">
        <is>
          <t>A 37277-2022</t>
        </is>
      </c>
      <c r="B263" s="1" t="n">
        <v>44807.49150462963</v>
      </c>
      <c r="C263" s="1" t="n">
        <v>46100</v>
      </c>
      <c r="D263" t="inlineStr">
        <is>
          <t>ÖREBRO LÄN</t>
        </is>
      </c>
      <c r="E263" t="inlineStr">
        <is>
          <t>ÖREBRO</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56077-2022</t>
        </is>
      </c>
      <c r="B264" s="1" t="n">
        <v>44889.60872685185</v>
      </c>
      <c r="C264" s="1" t="n">
        <v>46100</v>
      </c>
      <c r="D264" t="inlineStr">
        <is>
          <t>ÖREBRO LÄN</t>
        </is>
      </c>
      <c r="E264" t="inlineStr">
        <is>
          <t>ÖREBRO</t>
        </is>
      </c>
      <c r="F264" t="inlineStr">
        <is>
          <t>Övriga Aktiebolag</t>
        </is>
      </c>
      <c r="G264" t="n">
        <v>2.5</v>
      </c>
      <c r="H264" t="n">
        <v>0</v>
      </c>
      <c r="I264" t="n">
        <v>0</v>
      </c>
      <c r="J264" t="n">
        <v>0</v>
      </c>
      <c r="K264" t="n">
        <v>0</v>
      </c>
      <c r="L264" t="n">
        <v>0</v>
      </c>
      <c r="M264" t="n">
        <v>0</v>
      </c>
      <c r="N264" t="n">
        <v>0</v>
      </c>
      <c r="O264" t="n">
        <v>0</v>
      </c>
      <c r="P264" t="n">
        <v>0</v>
      </c>
      <c r="Q264" t="n">
        <v>0</v>
      </c>
      <c r="R264" s="2" t="inlineStr"/>
    </row>
    <row r="265" ht="15" customHeight="1">
      <c r="A265" t="inlineStr">
        <is>
          <t>A 23573-2023</t>
        </is>
      </c>
      <c r="B265" s="1" t="n">
        <v>45077.41672453703</v>
      </c>
      <c r="C265" s="1" t="n">
        <v>46100</v>
      </c>
      <c r="D265" t="inlineStr">
        <is>
          <t>ÖREBRO LÄN</t>
        </is>
      </c>
      <c r="E265" t="inlineStr">
        <is>
          <t>ÖREBRO</t>
        </is>
      </c>
      <c r="G265" t="n">
        <v>2.9</v>
      </c>
      <c r="H265" t="n">
        <v>0</v>
      </c>
      <c r="I265" t="n">
        <v>0</v>
      </c>
      <c r="J265" t="n">
        <v>0</v>
      </c>
      <c r="K265" t="n">
        <v>0</v>
      </c>
      <c r="L265" t="n">
        <v>0</v>
      </c>
      <c r="M265" t="n">
        <v>0</v>
      </c>
      <c r="N265" t="n">
        <v>0</v>
      </c>
      <c r="O265" t="n">
        <v>0</v>
      </c>
      <c r="P265" t="n">
        <v>0</v>
      </c>
      <c r="Q265" t="n">
        <v>0</v>
      </c>
      <c r="R265" s="2" t="inlineStr"/>
    </row>
    <row r="266" ht="15" customHeight="1">
      <c r="A266" t="inlineStr">
        <is>
          <t>A 40330-2025</t>
        </is>
      </c>
      <c r="B266" s="1" t="n">
        <v>45895.4531712963</v>
      </c>
      <c r="C266" s="1" t="n">
        <v>46100</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40332-2025</t>
        </is>
      </c>
      <c r="B267" s="1" t="n">
        <v>45895.46060185185</v>
      </c>
      <c r="C267" s="1" t="n">
        <v>46100</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13856-2022</t>
        </is>
      </c>
      <c r="B268" s="1" t="n">
        <v>44649.6965162037</v>
      </c>
      <c r="C268" s="1" t="n">
        <v>46100</v>
      </c>
      <c r="D268" t="inlineStr">
        <is>
          <t>ÖREBRO LÄN</t>
        </is>
      </c>
      <c r="E268" t="inlineStr">
        <is>
          <t>ÖREBRO</t>
        </is>
      </c>
      <c r="G268" t="n">
        <v>1.8</v>
      </c>
      <c r="H268" t="n">
        <v>0</v>
      </c>
      <c r="I268" t="n">
        <v>0</v>
      </c>
      <c r="J268" t="n">
        <v>0</v>
      </c>
      <c r="K268" t="n">
        <v>0</v>
      </c>
      <c r="L268" t="n">
        <v>0</v>
      </c>
      <c r="M268" t="n">
        <v>0</v>
      </c>
      <c r="N268" t="n">
        <v>0</v>
      </c>
      <c r="O268" t="n">
        <v>0</v>
      </c>
      <c r="P268" t="n">
        <v>0</v>
      </c>
      <c r="Q268" t="n">
        <v>0</v>
      </c>
      <c r="R268" s="2" t="inlineStr"/>
    </row>
    <row r="269" ht="15" customHeight="1">
      <c r="A269" t="inlineStr">
        <is>
          <t>A 52256-2023</t>
        </is>
      </c>
      <c r="B269" s="1" t="n">
        <v>45224.51471064815</v>
      </c>
      <c r="C269" s="1" t="n">
        <v>46100</v>
      </c>
      <c r="D269" t="inlineStr">
        <is>
          <t>ÖREBRO LÄN</t>
        </is>
      </c>
      <c r="E269" t="inlineStr">
        <is>
          <t>ÖREBRO</t>
        </is>
      </c>
      <c r="G269" t="n">
        <v>2.8</v>
      </c>
      <c r="H269" t="n">
        <v>0</v>
      </c>
      <c r="I269" t="n">
        <v>0</v>
      </c>
      <c r="J269" t="n">
        <v>0</v>
      </c>
      <c r="K269" t="n">
        <v>0</v>
      </c>
      <c r="L269" t="n">
        <v>0</v>
      </c>
      <c r="M269" t="n">
        <v>0</v>
      </c>
      <c r="N269" t="n">
        <v>0</v>
      </c>
      <c r="O269" t="n">
        <v>0</v>
      </c>
      <c r="P269" t="n">
        <v>0</v>
      </c>
      <c r="Q269" t="n">
        <v>0</v>
      </c>
      <c r="R269" s="2" t="inlineStr"/>
    </row>
    <row r="270" ht="15" customHeight="1">
      <c r="A270" t="inlineStr">
        <is>
          <t>A 61593-2023</t>
        </is>
      </c>
      <c r="B270" s="1" t="n">
        <v>45265</v>
      </c>
      <c r="C270" s="1" t="n">
        <v>46100</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33457-2023</t>
        </is>
      </c>
      <c r="B271" s="1" t="n">
        <v>45131</v>
      </c>
      <c r="C271" s="1" t="n">
        <v>46100</v>
      </c>
      <c r="D271" t="inlineStr">
        <is>
          <t>ÖREBRO LÄN</t>
        </is>
      </c>
      <c r="E271" t="inlineStr">
        <is>
          <t>ÖREBRO</t>
        </is>
      </c>
      <c r="G271" t="n">
        <v>0.5</v>
      </c>
      <c r="H271" t="n">
        <v>0</v>
      </c>
      <c r="I271" t="n">
        <v>0</v>
      </c>
      <c r="J271" t="n">
        <v>0</v>
      </c>
      <c r="K271" t="n">
        <v>0</v>
      </c>
      <c r="L271" t="n">
        <v>0</v>
      </c>
      <c r="M271" t="n">
        <v>0</v>
      </c>
      <c r="N271" t="n">
        <v>0</v>
      </c>
      <c r="O271" t="n">
        <v>0</v>
      </c>
      <c r="P271" t="n">
        <v>0</v>
      </c>
      <c r="Q271" t="n">
        <v>0</v>
      </c>
      <c r="R271" s="2" t="inlineStr"/>
    </row>
    <row r="272" ht="15" customHeight="1">
      <c r="A272" t="inlineStr">
        <is>
          <t>A 7141-2025</t>
        </is>
      </c>
      <c r="B272" s="1" t="n">
        <v>45702</v>
      </c>
      <c r="C272" s="1" t="n">
        <v>46100</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59024-2024</t>
        </is>
      </c>
      <c r="B273" s="1" t="n">
        <v>45636.68505787037</v>
      </c>
      <c r="C273" s="1" t="n">
        <v>46100</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22677-2022</t>
        </is>
      </c>
      <c r="B274" s="1" t="n">
        <v>44714</v>
      </c>
      <c r="C274" s="1" t="n">
        <v>46100</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60289-2023</t>
        </is>
      </c>
      <c r="B275" s="1" t="n">
        <v>45257</v>
      </c>
      <c r="C275" s="1" t="n">
        <v>46100</v>
      </c>
      <c r="D275" t="inlineStr">
        <is>
          <t>ÖREBRO LÄN</t>
        </is>
      </c>
      <c r="E275" t="inlineStr">
        <is>
          <t>ÖREBRO</t>
        </is>
      </c>
      <c r="G275" t="n">
        <v>10.9</v>
      </c>
      <c r="H275" t="n">
        <v>0</v>
      </c>
      <c r="I275" t="n">
        <v>0</v>
      </c>
      <c r="J275" t="n">
        <v>0</v>
      </c>
      <c r="K275" t="n">
        <v>0</v>
      </c>
      <c r="L275" t="n">
        <v>0</v>
      </c>
      <c r="M275" t="n">
        <v>0</v>
      </c>
      <c r="N275" t="n">
        <v>0</v>
      </c>
      <c r="O275" t="n">
        <v>0</v>
      </c>
      <c r="P275" t="n">
        <v>0</v>
      </c>
      <c r="Q275" t="n">
        <v>0</v>
      </c>
      <c r="R275" s="2" t="inlineStr"/>
    </row>
    <row r="276" ht="15" customHeight="1">
      <c r="A276" t="inlineStr">
        <is>
          <t>A 12017-2024</t>
        </is>
      </c>
      <c r="B276" s="1" t="n">
        <v>45377</v>
      </c>
      <c r="C276" s="1" t="n">
        <v>46100</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13169-2024</t>
        </is>
      </c>
      <c r="B277" s="1" t="n">
        <v>45386.40489583334</v>
      </c>
      <c r="C277" s="1" t="n">
        <v>46100</v>
      </c>
      <c r="D277" t="inlineStr">
        <is>
          <t>ÖREBRO LÄN</t>
        </is>
      </c>
      <c r="E277" t="inlineStr">
        <is>
          <t>ÖREBRO</t>
        </is>
      </c>
      <c r="G277" t="n">
        <v>4.3</v>
      </c>
      <c r="H277" t="n">
        <v>0</v>
      </c>
      <c r="I277" t="n">
        <v>0</v>
      </c>
      <c r="J277" t="n">
        <v>0</v>
      </c>
      <c r="K277" t="n">
        <v>0</v>
      </c>
      <c r="L277" t="n">
        <v>0</v>
      </c>
      <c r="M277" t="n">
        <v>0</v>
      </c>
      <c r="N277" t="n">
        <v>0</v>
      </c>
      <c r="O277" t="n">
        <v>0</v>
      </c>
      <c r="P277" t="n">
        <v>0</v>
      </c>
      <c r="Q277" t="n">
        <v>0</v>
      </c>
      <c r="R277" s="2" t="inlineStr"/>
    </row>
    <row r="278" ht="15" customHeight="1">
      <c r="A278" t="inlineStr">
        <is>
          <t>A 54678-2023</t>
        </is>
      </c>
      <c r="B278" s="1" t="n">
        <v>45235</v>
      </c>
      <c r="C278" s="1" t="n">
        <v>46100</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48644-2024</t>
        </is>
      </c>
      <c r="B279" s="1" t="n">
        <v>45593.47466435185</v>
      </c>
      <c r="C279" s="1" t="n">
        <v>46100</v>
      </c>
      <c r="D279" t="inlineStr">
        <is>
          <t>ÖREBRO LÄN</t>
        </is>
      </c>
      <c r="E279" t="inlineStr">
        <is>
          <t>ÖREBRO</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10339-2023</t>
        </is>
      </c>
      <c r="B280" s="1" t="n">
        <v>44987</v>
      </c>
      <c r="C280" s="1" t="n">
        <v>46100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31247-2023</t>
        </is>
      </c>
      <c r="B281" s="1" t="n">
        <v>45114</v>
      </c>
      <c r="C281" s="1" t="n">
        <v>46100</v>
      </c>
      <c r="D281" t="inlineStr">
        <is>
          <t>ÖREBRO LÄN</t>
        </is>
      </c>
      <c r="E281" t="inlineStr">
        <is>
          <t>ÖREBRO</t>
        </is>
      </c>
      <c r="F281" t="inlineStr">
        <is>
          <t>Allmännings- och besparingsskogar</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16165-2023</t>
        </is>
      </c>
      <c r="B282" s="1" t="n">
        <v>45027</v>
      </c>
      <c r="C282" s="1" t="n">
        <v>46100</v>
      </c>
      <c r="D282" t="inlineStr">
        <is>
          <t>ÖREBRO LÄN</t>
        </is>
      </c>
      <c r="E282" t="inlineStr">
        <is>
          <t>ÖREBRO</t>
        </is>
      </c>
      <c r="G282" t="n">
        <v>11</v>
      </c>
      <c r="H282" t="n">
        <v>0</v>
      </c>
      <c r="I282" t="n">
        <v>0</v>
      </c>
      <c r="J282" t="n">
        <v>0</v>
      </c>
      <c r="K282" t="n">
        <v>0</v>
      </c>
      <c r="L282" t="n">
        <v>0</v>
      </c>
      <c r="M282" t="n">
        <v>0</v>
      </c>
      <c r="N282" t="n">
        <v>0</v>
      </c>
      <c r="O282" t="n">
        <v>0</v>
      </c>
      <c r="P282" t="n">
        <v>0</v>
      </c>
      <c r="Q282" t="n">
        <v>0</v>
      </c>
      <c r="R282" s="2" t="inlineStr"/>
    </row>
    <row r="283" ht="15" customHeight="1">
      <c r="A283" t="inlineStr">
        <is>
          <t>A 23710-2022</t>
        </is>
      </c>
      <c r="B283" s="1" t="n">
        <v>44722</v>
      </c>
      <c r="C283" s="1" t="n">
        <v>46100</v>
      </c>
      <c r="D283" t="inlineStr">
        <is>
          <t>ÖREBRO LÄN</t>
        </is>
      </c>
      <c r="E283" t="inlineStr">
        <is>
          <t>ÖREBRO</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4757-2024</t>
        </is>
      </c>
      <c r="B284" s="1" t="n">
        <v>45328</v>
      </c>
      <c r="C284" s="1" t="n">
        <v>46100</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190-2024</t>
        </is>
      </c>
      <c r="B285" s="1" t="n">
        <v>45294.61858796296</v>
      </c>
      <c r="C285" s="1" t="n">
        <v>46100</v>
      </c>
      <c r="D285" t="inlineStr">
        <is>
          <t>ÖREBRO LÄN</t>
        </is>
      </c>
      <c r="E285" t="inlineStr">
        <is>
          <t>ÖREBRO</t>
        </is>
      </c>
      <c r="G285" t="n">
        <v>2.4</v>
      </c>
      <c r="H285" t="n">
        <v>0</v>
      </c>
      <c r="I285" t="n">
        <v>0</v>
      </c>
      <c r="J285" t="n">
        <v>0</v>
      </c>
      <c r="K285" t="n">
        <v>0</v>
      </c>
      <c r="L285" t="n">
        <v>0</v>
      </c>
      <c r="M285" t="n">
        <v>0</v>
      </c>
      <c r="N285" t="n">
        <v>0</v>
      </c>
      <c r="O285" t="n">
        <v>0</v>
      </c>
      <c r="P285" t="n">
        <v>0</v>
      </c>
      <c r="Q285" t="n">
        <v>0</v>
      </c>
      <c r="R285" s="2" t="inlineStr"/>
    </row>
    <row r="286" ht="15" customHeight="1">
      <c r="A286" t="inlineStr">
        <is>
          <t>A 30903-2024</t>
        </is>
      </c>
      <c r="B286" s="1" t="n">
        <v>45498.49946759259</v>
      </c>
      <c r="C286" s="1" t="n">
        <v>46100</v>
      </c>
      <c r="D286" t="inlineStr">
        <is>
          <t>ÖREBRO LÄN</t>
        </is>
      </c>
      <c r="E286" t="inlineStr">
        <is>
          <t>ÖREBRO</t>
        </is>
      </c>
      <c r="G286" t="n">
        <v>1.1</v>
      </c>
      <c r="H286" t="n">
        <v>0</v>
      </c>
      <c r="I286" t="n">
        <v>0</v>
      </c>
      <c r="J286" t="n">
        <v>0</v>
      </c>
      <c r="K286" t="n">
        <v>0</v>
      </c>
      <c r="L286" t="n">
        <v>0</v>
      </c>
      <c r="M286" t="n">
        <v>0</v>
      </c>
      <c r="N286" t="n">
        <v>0</v>
      </c>
      <c r="O286" t="n">
        <v>0</v>
      </c>
      <c r="P286" t="n">
        <v>0</v>
      </c>
      <c r="Q286" t="n">
        <v>0</v>
      </c>
      <c r="R286" s="2" t="inlineStr"/>
    </row>
    <row r="287" ht="15" customHeight="1">
      <c r="A287" t="inlineStr">
        <is>
          <t>A 44511-2023</t>
        </is>
      </c>
      <c r="B287" s="1" t="n">
        <v>45189</v>
      </c>
      <c r="C287" s="1" t="n">
        <v>46100</v>
      </c>
      <c r="D287" t="inlineStr">
        <is>
          <t>ÖREBRO LÄN</t>
        </is>
      </c>
      <c r="E287" t="inlineStr">
        <is>
          <t>ÖREBRO</t>
        </is>
      </c>
      <c r="F287" t="inlineStr">
        <is>
          <t>Allmännings- och besparingsskogar</t>
        </is>
      </c>
      <c r="G287" t="n">
        <v>2.7</v>
      </c>
      <c r="H287" t="n">
        <v>0</v>
      </c>
      <c r="I287" t="n">
        <v>0</v>
      </c>
      <c r="J287" t="n">
        <v>0</v>
      </c>
      <c r="K287" t="n">
        <v>0</v>
      </c>
      <c r="L287" t="n">
        <v>0</v>
      </c>
      <c r="M287" t="n">
        <v>0</v>
      </c>
      <c r="N287" t="n">
        <v>0</v>
      </c>
      <c r="O287" t="n">
        <v>0</v>
      </c>
      <c r="P287" t="n">
        <v>0</v>
      </c>
      <c r="Q287" t="n">
        <v>0</v>
      </c>
      <c r="R287" s="2" t="inlineStr"/>
    </row>
    <row r="288" ht="15" customHeight="1">
      <c r="A288" t="inlineStr">
        <is>
          <t>A 39130-2023</t>
        </is>
      </c>
      <c r="B288" s="1" t="n">
        <v>45165</v>
      </c>
      <c r="C288" s="1" t="n">
        <v>46100</v>
      </c>
      <c r="D288" t="inlineStr">
        <is>
          <t>ÖREBRO LÄN</t>
        </is>
      </c>
      <c r="E288" t="inlineStr">
        <is>
          <t>ÖREBRO</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50398-2022</t>
        </is>
      </c>
      <c r="B289" s="1" t="n">
        <v>44861</v>
      </c>
      <c r="C289" s="1" t="n">
        <v>46100</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47193-2023</t>
        </is>
      </c>
      <c r="B290" s="1" t="n">
        <v>45202.3074537037</v>
      </c>
      <c r="C290" s="1" t="n">
        <v>46100</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59026-2024</t>
        </is>
      </c>
      <c r="B291" s="1" t="n">
        <v>45636.6875</v>
      </c>
      <c r="C291" s="1" t="n">
        <v>46100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9379-2024</t>
        </is>
      </c>
      <c r="B292" s="1" t="n">
        <v>45359.37298611111</v>
      </c>
      <c r="C292" s="1" t="n">
        <v>46100</v>
      </c>
      <c r="D292" t="inlineStr">
        <is>
          <t>ÖREBRO LÄN</t>
        </is>
      </c>
      <c r="E292" t="inlineStr">
        <is>
          <t>ÖREBRO</t>
        </is>
      </c>
      <c r="G292" t="n">
        <v>2.4</v>
      </c>
      <c r="H292" t="n">
        <v>0</v>
      </c>
      <c r="I292" t="n">
        <v>0</v>
      </c>
      <c r="J292" t="n">
        <v>0</v>
      </c>
      <c r="K292" t="n">
        <v>0</v>
      </c>
      <c r="L292" t="n">
        <v>0</v>
      </c>
      <c r="M292" t="n">
        <v>0</v>
      </c>
      <c r="N292" t="n">
        <v>0</v>
      </c>
      <c r="O292" t="n">
        <v>0</v>
      </c>
      <c r="P292" t="n">
        <v>0</v>
      </c>
      <c r="Q292" t="n">
        <v>0</v>
      </c>
      <c r="R292" s="2" t="inlineStr"/>
    </row>
    <row r="293" ht="15" customHeight="1">
      <c r="A293" t="inlineStr">
        <is>
          <t>A 17465-2023</t>
        </is>
      </c>
      <c r="B293" s="1" t="n">
        <v>45036</v>
      </c>
      <c r="C293" s="1" t="n">
        <v>46100</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52447-2024</t>
        </is>
      </c>
      <c r="B294" s="1" t="n">
        <v>45609.49157407408</v>
      </c>
      <c r="C294" s="1" t="n">
        <v>46100</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43803-2023</t>
        </is>
      </c>
      <c r="B295" s="1" t="n">
        <v>45187</v>
      </c>
      <c r="C295" s="1" t="n">
        <v>46100</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36635-2023</t>
        </is>
      </c>
      <c r="B296" s="1" t="n">
        <v>45153</v>
      </c>
      <c r="C296" s="1" t="n">
        <v>46100</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55943-2024</t>
        </is>
      </c>
      <c r="B297" s="1" t="n">
        <v>45623.61278935185</v>
      </c>
      <c r="C297" s="1" t="n">
        <v>46100</v>
      </c>
      <c r="D297" t="inlineStr">
        <is>
          <t>ÖREBRO LÄN</t>
        </is>
      </c>
      <c r="E297" t="inlineStr">
        <is>
          <t>ÖREBRO</t>
        </is>
      </c>
      <c r="G297" t="n">
        <v>4.8</v>
      </c>
      <c r="H297" t="n">
        <v>0</v>
      </c>
      <c r="I297" t="n">
        <v>0</v>
      </c>
      <c r="J297" t="n">
        <v>0</v>
      </c>
      <c r="K297" t="n">
        <v>0</v>
      </c>
      <c r="L297" t="n">
        <v>0</v>
      </c>
      <c r="M297" t="n">
        <v>0</v>
      </c>
      <c r="N297" t="n">
        <v>0</v>
      </c>
      <c r="O297" t="n">
        <v>0</v>
      </c>
      <c r="P297" t="n">
        <v>0</v>
      </c>
      <c r="Q297" t="n">
        <v>0</v>
      </c>
      <c r="R297" s="2" t="inlineStr"/>
    </row>
    <row r="298" ht="15" customHeight="1">
      <c r="A298" t="inlineStr">
        <is>
          <t>A 35345-2024</t>
        </is>
      </c>
      <c r="B298" s="1" t="n">
        <v>45530</v>
      </c>
      <c r="C298" s="1" t="n">
        <v>46100</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681-2024</t>
        </is>
      </c>
      <c r="B299" s="1" t="n">
        <v>45300</v>
      </c>
      <c r="C299" s="1" t="n">
        <v>46100</v>
      </c>
      <c r="D299" t="inlineStr">
        <is>
          <t>ÖREBRO LÄN</t>
        </is>
      </c>
      <c r="E299" t="inlineStr">
        <is>
          <t>ÖREBRO</t>
        </is>
      </c>
      <c r="G299" t="n">
        <v>3.3</v>
      </c>
      <c r="H299" t="n">
        <v>0</v>
      </c>
      <c r="I299" t="n">
        <v>0</v>
      </c>
      <c r="J299" t="n">
        <v>0</v>
      </c>
      <c r="K299" t="n">
        <v>0</v>
      </c>
      <c r="L299" t="n">
        <v>0</v>
      </c>
      <c r="M299" t="n">
        <v>0</v>
      </c>
      <c r="N299" t="n">
        <v>0</v>
      </c>
      <c r="O299" t="n">
        <v>0</v>
      </c>
      <c r="P299" t="n">
        <v>0</v>
      </c>
      <c r="Q299" t="n">
        <v>0</v>
      </c>
      <c r="R299" s="2" t="inlineStr"/>
    </row>
    <row r="300" ht="15" customHeight="1">
      <c r="A300" t="inlineStr">
        <is>
          <t>A 45517-2023</t>
        </is>
      </c>
      <c r="B300" s="1" t="n">
        <v>45194.49594907407</v>
      </c>
      <c r="C300" s="1" t="n">
        <v>46100</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60028-2024</t>
        </is>
      </c>
      <c r="B301" s="1" t="n">
        <v>45642</v>
      </c>
      <c r="C301" s="1" t="n">
        <v>46100</v>
      </c>
      <c r="D301" t="inlineStr">
        <is>
          <t>ÖREBRO LÄN</t>
        </is>
      </c>
      <c r="E301" t="inlineStr">
        <is>
          <t>ÖREBRO</t>
        </is>
      </c>
      <c r="G301" t="n">
        <v>1.7</v>
      </c>
      <c r="H301" t="n">
        <v>0</v>
      </c>
      <c r="I301" t="n">
        <v>0</v>
      </c>
      <c r="J301" t="n">
        <v>0</v>
      </c>
      <c r="K301" t="n">
        <v>0</v>
      </c>
      <c r="L301" t="n">
        <v>0</v>
      </c>
      <c r="M301" t="n">
        <v>0</v>
      </c>
      <c r="N301" t="n">
        <v>0</v>
      </c>
      <c r="O301" t="n">
        <v>0</v>
      </c>
      <c r="P301" t="n">
        <v>0</v>
      </c>
      <c r="Q301" t="n">
        <v>0</v>
      </c>
      <c r="R301" s="2" t="inlineStr"/>
    </row>
    <row r="302" ht="15" customHeight="1">
      <c r="A302" t="inlineStr">
        <is>
          <t>A 32321-2023</t>
        </is>
      </c>
      <c r="B302" s="1" t="n">
        <v>45120</v>
      </c>
      <c r="C302" s="1" t="n">
        <v>46100</v>
      </c>
      <c r="D302" t="inlineStr">
        <is>
          <t>ÖREBRO LÄN</t>
        </is>
      </c>
      <c r="E302" t="inlineStr">
        <is>
          <t>ÖREBRO</t>
        </is>
      </c>
      <c r="G302" t="n">
        <v>3.4</v>
      </c>
      <c r="H302" t="n">
        <v>0</v>
      </c>
      <c r="I302" t="n">
        <v>0</v>
      </c>
      <c r="J302" t="n">
        <v>0</v>
      </c>
      <c r="K302" t="n">
        <v>0</v>
      </c>
      <c r="L302" t="n">
        <v>0</v>
      </c>
      <c r="M302" t="n">
        <v>0</v>
      </c>
      <c r="N302" t="n">
        <v>0</v>
      </c>
      <c r="O302" t="n">
        <v>0</v>
      </c>
      <c r="P302" t="n">
        <v>0</v>
      </c>
      <c r="Q302" t="n">
        <v>0</v>
      </c>
      <c r="R302" s="2" t="inlineStr"/>
    </row>
    <row r="303" ht="15" customHeight="1">
      <c r="A303" t="inlineStr">
        <is>
          <t>A 21097-2025</t>
        </is>
      </c>
      <c r="B303" s="1" t="n">
        <v>45777.63863425926</v>
      </c>
      <c r="C303" s="1" t="n">
        <v>46100</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29138-2022</t>
        </is>
      </c>
      <c r="B304" s="1" t="n">
        <v>44750</v>
      </c>
      <c r="C304" s="1" t="n">
        <v>46100</v>
      </c>
      <c r="D304" t="inlineStr">
        <is>
          <t>ÖREBRO LÄN</t>
        </is>
      </c>
      <c r="E304" t="inlineStr">
        <is>
          <t>ÖREBRO</t>
        </is>
      </c>
      <c r="G304" t="n">
        <v>3.3</v>
      </c>
      <c r="H304" t="n">
        <v>0</v>
      </c>
      <c r="I304" t="n">
        <v>0</v>
      </c>
      <c r="J304" t="n">
        <v>0</v>
      </c>
      <c r="K304" t="n">
        <v>0</v>
      </c>
      <c r="L304" t="n">
        <v>0</v>
      </c>
      <c r="M304" t="n">
        <v>0</v>
      </c>
      <c r="N304" t="n">
        <v>0</v>
      </c>
      <c r="O304" t="n">
        <v>0</v>
      </c>
      <c r="P304" t="n">
        <v>0</v>
      </c>
      <c r="Q304" t="n">
        <v>0</v>
      </c>
      <c r="R304" s="2" t="inlineStr"/>
    </row>
    <row r="305" ht="15" customHeight="1">
      <c r="A305" t="inlineStr">
        <is>
          <t>A 29143-2022</t>
        </is>
      </c>
      <c r="B305" s="1" t="n">
        <v>44750</v>
      </c>
      <c r="C305" s="1" t="n">
        <v>46100</v>
      </c>
      <c r="D305" t="inlineStr">
        <is>
          <t>ÖREBRO LÄN</t>
        </is>
      </c>
      <c r="E305" t="inlineStr">
        <is>
          <t>ÖREBRO</t>
        </is>
      </c>
      <c r="G305" t="n">
        <v>5.6</v>
      </c>
      <c r="H305" t="n">
        <v>0</v>
      </c>
      <c r="I305" t="n">
        <v>0</v>
      </c>
      <c r="J305" t="n">
        <v>0</v>
      </c>
      <c r="K305" t="n">
        <v>0</v>
      </c>
      <c r="L305" t="n">
        <v>0</v>
      </c>
      <c r="M305" t="n">
        <v>0</v>
      </c>
      <c r="N305" t="n">
        <v>0</v>
      </c>
      <c r="O305" t="n">
        <v>0</v>
      </c>
      <c r="P305" t="n">
        <v>0</v>
      </c>
      <c r="Q305" t="n">
        <v>0</v>
      </c>
      <c r="R305" s="2" t="inlineStr"/>
    </row>
    <row r="306" ht="15" customHeight="1">
      <c r="A306" t="inlineStr">
        <is>
          <t>A 14234-2024</t>
        </is>
      </c>
      <c r="B306" s="1" t="n">
        <v>45393.46980324074</v>
      </c>
      <c r="C306" s="1" t="n">
        <v>46100</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6794-2025</t>
        </is>
      </c>
      <c r="B307" s="1" t="n">
        <v>45700.66429398148</v>
      </c>
      <c r="C307" s="1" t="n">
        <v>46100</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4557-2023</t>
        </is>
      </c>
      <c r="B308" s="1" t="n">
        <v>44956.6655787037</v>
      </c>
      <c r="C308" s="1" t="n">
        <v>46100</v>
      </c>
      <c r="D308" t="inlineStr">
        <is>
          <t>ÖREBRO LÄN</t>
        </is>
      </c>
      <c r="E308" t="inlineStr">
        <is>
          <t>ÖREBRO</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53558-2023</t>
        </is>
      </c>
      <c r="B309" s="1" t="n">
        <v>45230.47266203703</v>
      </c>
      <c r="C309" s="1" t="n">
        <v>46100</v>
      </c>
      <c r="D309" t="inlineStr">
        <is>
          <t>ÖREBRO LÄN</t>
        </is>
      </c>
      <c r="E309" t="inlineStr">
        <is>
          <t>ÖREBRO</t>
        </is>
      </c>
      <c r="F309" t="inlineStr">
        <is>
          <t>Övriga Aktiebolag</t>
        </is>
      </c>
      <c r="G309" t="n">
        <v>4.7</v>
      </c>
      <c r="H309" t="n">
        <v>0</v>
      </c>
      <c r="I309" t="n">
        <v>0</v>
      </c>
      <c r="J309" t="n">
        <v>0</v>
      </c>
      <c r="K309" t="n">
        <v>0</v>
      </c>
      <c r="L309" t="n">
        <v>0</v>
      </c>
      <c r="M309" t="n">
        <v>0</v>
      </c>
      <c r="N309" t="n">
        <v>0</v>
      </c>
      <c r="O309" t="n">
        <v>0</v>
      </c>
      <c r="P309" t="n">
        <v>0</v>
      </c>
      <c r="Q309" t="n">
        <v>0</v>
      </c>
      <c r="R309" s="2" t="inlineStr"/>
    </row>
    <row r="310" ht="15" customHeight="1">
      <c r="A310" t="inlineStr">
        <is>
          <t>A 46518-2023</t>
        </is>
      </c>
      <c r="B310" s="1" t="n">
        <v>45197.72777777778</v>
      </c>
      <c r="C310" s="1" t="n">
        <v>46100</v>
      </c>
      <c r="D310" t="inlineStr">
        <is>
          <t>ÖREBRO LÄN</t>
        </is>
      </c>
      <c r="E310" t="inlineStr">
        <is>
          <t>ÖREBRO</t>
        </is>
      </c>
      <c r="G310" t="n">
        <v>2.2</v>
      </c>
      <c r="H310" t="n">
        <v>0</v>
      </c>
      <c r="I310" t="n">
        <v>0</v>
      </c>
      <c r="J310" t="n">
        <v>0</v>
      </c>
      <c r="K310" t="n">
        <v>0</v>
      </c>
      <c r="L310" t="n">
        <v>0</v>
      </c>
      <c r="M310" t="n">
        <v>0</v>
      </c>
      <c r="N310" t="n">
        <v>0</v>
      </c>
      <c r="O310" t="n">
        <v>0</v>
      </c>
      <c r="P310" t="n">
        <v>0</v>
      </c>
      <c r="Q310" t="n">
        <v>0</v>
      </c>
      <c r="R310" s="2" t="inlineStr"/>
    </row>
    <row r="311" ht="15" customHeight="1">
      <c r="A311" t="inlineStr">
        <is>
          <t>A 7692-2023</t>
        </is>
      </c>
      <c r="B311" s="1" t="n">
        <v>44972.7762962963</v>
      </c>
      <c r="C311" s="1" t="n">
        <v>46100</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2596-2022</t>
        </is>
      </c>
      <c r="B312" s="1" t="n">
        <v>44580</v>
      </c>
      <c r="C312" s="1" t="n">
        <v>46100</v>
      </c>
      <c r="D312" t="inlineStr">
        <is>
          <t>ÖREBRO LÄN</t>
        </is>
      </c>
      <c r="E312" t="inlineStr">
        <is>
          <t>ÖREBRO</t>
        </is>
      </c>
      <c r="G312" t="n">
        <v>4.3</v>
      </c>
      <c r="H312" t="n">
        <v>0</v>
      </c>
      <c r="I312" t="n">
        <v>0</v>
      </c>
      <c r="J312" t="n">
        <v>0</v>
      </c>
      <c r="K312" t="n">
        <v>0</v>
      </c>
      <c r="L312" t="n">
        <v>0</v>
      </c>
      <c r="M312" t="n">
        <v>0</v>
      </c>
      <c r="N312" t="n">
        <v>0</v>
      </c>
      <c r="O312" t="n">
        <v>0</v>
      </c>
      <c r="P312" t="n">
        <v>0</v>
      </c>
      <c r="Q312" t="n">
        <v>0</v>
      </c>
      <c r="R312" s="2" t="inlineStr"/>
    </row>
    <row r="313" ht="15" customHeight="1">
      <c r="A313" t="inlineStr">
        <is>
          <t>A 46056-2024</t>
        </is>
      </c>
      <c r="B313" s="1" t="n">
        <v>45580.91502314815</v>
      </c>
      <c r="C313" s="1" t="n">
        <v>46100</v>
      </c>
      <c r="D313" t="inlineStr">
        <is>
          <t>ÖREBRO LÄN</t>
        </is>
      </c>
      <c r="E313" t="inlineStr">
        <is>
          <t>ÖREBRO</t>
        </is>
      </c>
      <c r="F313" t="inlineStr">
        <is>
          <t>Övriga Aktiebolag</t>
        </is>
      </c>
      <c r="G313" t="n">
        <v>4.5</v>
      </c>
      <c r="H313" t="n">
        <v>0</v>
      </c>
      <c r="I313" t="n">
        <v>0</v>
      </c>
      <c r="J313" t="n">
        <v>0</v>
      </c>
      <c r="K313" t="n">
        <v>0</v>
      </c>
      <c r="L313" t="n">
        <v>0</v>
      </c>
      <c r="M313" t="n">
        <v>0</v>
      </c>
      <c r="N313" t="n">
        <v>0</v>
      </c>
      <c r="O313" t="n">
        <v>0</v>
      </c>
      <c r="P313" t="n">
        <v>0</v>
      </c>
      <c r="Q313" t="n">
        <v>0</v>
      </c>
      <c r="R313" s="2" t="inlineStr"/>
    </row>
    <row r="314" ht="15" customHeight="1">
      <c r="A314" t="inlineStr">
        <is>
          <t>A 57638-2022</t>
        </is>
      </c>
      <c r="B314" s="1" t="n">
        <v>44897</v>
      </c>
      <c r="C314" s="1" t="n">
        <v>46100</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13857-2022</t>
        </is>
      </c>
      <c r="B315" s="1" t="n">
        <v>44649</v>
      </c>
      <c r="C315" s="1" t="n">
        <v>46100</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35819-2024</t>
        </is>
      </c>
      <c r="B316" s="1" t="n">
        <v>45532</v>
      </c>
      <c r="C316" s="1" t="n">
        <v>46100</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55692-2023</t>
        </is>
      </c>
      <c r="B317" s="1" t="n">
        <v>45239</v>
      </c>
      <c r="C317" s="1" t="n">
        <v>46100</v>
      </c>
      <c r="D317" t="inlineStr">
        <is>
          <t>ÖREBRO LÄN</t>
        </is>
      </c>
      <c r="E317" t="inlineStr">
        <is>
          <t>ÖREBRO</t>
        </is>
      </c>
      <c r="F317" t="inlineStr">
        <is>
          <t>Övriga Aktiebolag</t>
        </is>
      </c>
      <c r="G317" t="n">
        <v>0.4</v>
      </c>
      <c r="H317" t="n">
        <v>0</v>
      </c>
      <c r="I317" t="n">
        <v>0</v>
      </c>
      <c r="J317" t="n">
        <v>0</v>
      </c>
      <c r="K317" t="n">
        <v>0</v>
      </c>
      <c r="L317" t="n">
        <v>0</v>
      </c>
      <c r="M317" t="n">
        <v>0</v>
      </c>
      <c r="N317" t="n">
        <v>0</v>
      </c>
      <c r="O317" t="n">
        <v>0</v>
      </c>
      <c r="P317" t="n">
        <v>0</v>
      </c>
      <c r="Q317" t="n">
        <v>0</v>
      </c>
      <c r="R317" s="2" t="inlineStr"/>
    </row>
    <row r="318" ht="15" customHeight="1">
      <c r="A318" t="inlineStr">
        <is>
          <t>A 8274-2025</t>
        </is>
      </c>
      <c r="B318" s="1" t="n">
        <v>45708</v>
      </c>
      <c r="C318" s="1" t="n">
        <v>46100</v>
      </c>
      <c r="D318" t="inlineStr">
        <is>
          <t>ÖREBRO LÄN</t>
        </is>
      </c>
      <c r="E318" t="inlineStr">
        <is>
          <t>ÖREBRO</t>
        </is>
      </c>
      <c r="G318" t="n">
        <v>5.8</v>
      </c>
      <c r="H318" t="n">
        <v>0</v>
      </c>
      <c r="I318" t="n">
        <v>0</v>
      </c>
      <c r="J318" t="n">
        <v>0</v>
      </c>
      <c r="K318" t="n">
        <v>0</v>
      </c>
      <c r="L318" t="n">
        <v>0</v>
      </c>
      <c r="M318" t="n">
        <v>0</v>
      </c>
      <c r="N318" t="n">
        <v>0</v>
      </c>
      <c r="O318" t="n">
        <v>0</v>
      </c>
      <c r="P318" t="n">
        <v>0</v>
      </c>
      <c r="Q318" t="n">
        <v>0</v>
      </c>
      <c r="R318" s="2" t="inlineStr"/>
    </row>
    <row r="319" ht="15" customHeight="1">
      <c r="A319" t="inlineStr">
        <is>
          <t>A 7634-2024</t>
        </is>
      </c>
      <c r="B319" s="1" t="n">
        <v>45348</v>
      </c>
      <c r="C319" s="1" t="n">
        <v>46100</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58208-2024</t>
        </is>
      </c>
      <c r="B320" s="1" t="n">
        <v>45632</v>
      </c>
      <c r="C320" s="1" t="n">
        <v>46100</v>
      </c>
      <c r="D320" t="inlineStr">
        <is>
          <t>ÖREBRO LÄN</t>
        </is>
      </c>
      <c r="E320" t="inlineStr">
        <is>
          <t>ÖREBRO</t>
        </is>
      </c>
      <c r="G320" t="n">
        <v>3.1</v>
      </c>
      <c r="H320" t="n">
        <v>0</v>
      </c>
      <c r="I320" t="n">
        <v>0</v>
      </c>
      <c r="J320" t="n">
        <v>0</v>
      </c>
      <c r="K320" t="n">
        <v>0</v>
      </c>
      <c r="L320" t="n">
        <v>0</v>
      </c>
      <c r="M320" t="n">
        <v>0</v>
      </c>
      <c r="N320" t="n">
        <v>0</v>
      </c>
      <c r="O320" t="n">
        <v>0</v>
      </c>
      <c r="P320" t="n">
        <v>0</v>
      </c>
      <c r="Q320" t="n">
        <v>0</v>
      </c>
      <c r="R320" s="2" t="inlineStr"/>
    </row>
    <row r="321" ht="15" customHeight="1">
      <c r="A321" t="inlineStr">
        <is>
          <t>A 32076-2023</t>
        </is>
      </c>
      <c r="B321" s="1" t="n">
        <v>45119.58324074074</v>
      </c>
      <c r="C321" s="1" t="n">
        <v>46100</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21338-2025</t>
        </is>
      </c>
      <c r="B322" s="1" t="n">
        <v>45780</v>
      </c>
      <c r="C322" s="1" t="n">
        <v>46100</v>
      </c>
      <c r="D322" t="inlineStr">
        <is>
          <t>ÖREBRO LÄN</t>
        </is>
      </c>
      <c r="E322" t="inlineStr">
        <is>
          <t>ÖREBRO</t>
        </is>
      </c>
      <c r="G322" t="n">
        <v>3.2</v>
      </c>
      <c r="H322" t="n">
        <v>0</v>
      </c>
      <c r="I322" t="n">
        <v>0</v>
      </c>
      <c r="J322" t="n">
        <v>0</v>
      </c>
      <c r="K322" t="n">
        <v>0</v>
      </c>
      <c r="L322" t="n">
        <v>0</v>
      </c>
      <c r="M322" t="n">
        <v>0</v>
      </c>
      <c r="N322" t="n">
        <v>0</v>
      </c>
      <c r="O322" t="n">
        <v>0</v>
      </c>
      <c r="P322" t="n">
        <v>0</v>
      </c>
      <c r="Q322" t="n">
        <v>0</v>
      </c>
      <c r="R322" s="2" t="inlineStr"/>
    </row>
    <row r="323" ht="15" customHeight="1">
      <c r="A323" t="inlineStr">
        <is>
          <t>A 71266-2021</t>
        </is>
      </c>
      <c r="B323" s="1" t="n">
        <v>44539</v>
      </c>
      <c r="C323" s="1" t="n">
        <v>46100</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71267-2021</t>
        </is>
      </c>
      <c r="B324" s="1" t="n">
        <v>44539</v>
      </c>
      <c r="C324" s="1" t="n">
        <v>46100</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71280-2021</t>
        </is>
      </c>
      <c r="B325" s="1" t="n">
        <v>44539</v>
      </c>
      <c r="C325" s="1" t="n">
        <v>46100</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46100</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21983-2021</t>
        </is>
      </c>
      <c r="B327" s="1" t="n">
        <v>44323</v>
      </c>
      <c r="C327" s="1" t="n">
        <v>46100</v>
      </c>
      <c r="D327" t="inlineStr">
        <is>
          <t>ÖREBRO LÄN</t>
        </is>
      </c>
      <c r="E327" t="inlineStr">
        <is>
          <t>ÖREBRO</t>
        </is>
      </c>
      <c r="F327" t="inlineStr">
        <is>
          <t>Övriga Aktiebolag</t>
        </is>
      </c>
      <c r="G327" t="n">
        <v>0.7</v>
      </c>
      <c r="H327" t="n">
        <v>0</v>
      </c>
      <c r="I327" t="n">
        <v>0</v>
      </c>
      <c r="J327" t="n">
        <v>0</v>
      </c>
      <c r="K327" t="n">
        <v>0</v>
      </c>
      <c r="L327" t="n">
        <v>0</v>
      </c>
      <c r="M327" t="n">
        <v>0</v>
      </c>
      <c r="N327" t="n">
        <v>0</v>
      </c>
      <c r="O327" t="n">
        <v>0</v>
      </c>
      <c r="P327" t="n">
        <v>0</v>
      </c>
      <c r="Q327" t="n">
        <v>0</v>
      </c>
      <c r="R327" s="2" t="inlineStr"/>
    </row>
    <row r="328" ht="15" customHeight="1">
      <c r="A328" t="inlineStr">
        <is>
          <t>A 62497-2023</t>
        </is>
      </c>
      <c r="B328" s="1" t="n">
        <v>45268.59935185185</v>
      </c>
      <c r="C328" s="1" t="n">
        <v>46100</v>
      </c>
      <c r="D328" t="inlineStr">
        <is>
          <t>ÖREBRO LÄN</t>
        </is>
      </c>
      <c r="E328" t="inlineStr">
        <is>
          <t>ÖREBRO</t>
        </is>
      </c>
      <c r="F328" t="inlineStr">
        <is>
          <t>Övriga Aktiebolag</t>
        </is>
      </c>
      <c r="G328" t="n">
        <v>3.2</v>
      </c>
      <c r="H328" t="n">
        <v>0</v>
      </c>
      <c r="I328" t="n">
        <v>0</v>
      </c>
      <c r="J328" t="n">
        <v>0</v>
      </c>
      <c r="K328" t="n">
        <v>0</v>
      </c>
      <c r="L328" t="n">
        <v>0</v>
      </c>
      <c r="M328" t="n">
        <v>0</v>
      </c>
      <c r="N328" t="n">
        <v>0</v>
      </c>
      <c r="O328" t="n">
        <v>0</v>
      </c>
      <c r="P328" t="n">
        <v>0</v>
      </c>
      <c r="Q328" t="n">
        <v>0</v>
      </c>
      <c r="R328" s="2" t="inlineStr"/>
    </row>
    <row r="329" ht="15" customHeight="1">
      <c r="A329" t="inlineStr">
        <is>
          <t>A 33294-2023</t>
        </is>
      </c>
      <c r="B329" s="1" t="n">
        <v>45127</v>
      </c>
      <c r="C329" s="1" t="n">
        <v>46100</v>
      </c>
      <c r="D329" t="inlineStr">
        <is>
          <t>ÖREBRO LÄN</t>
        </is>
      </c>
      <c r="E329" t="inlineStr">
        <is>
          <t>ÖREBRO</t>
        </is>
      </c>
      <c r="F329" t="inlineStr">
        <is>
          <t>Övriga Aktiebolag</t>
        </is>
      </c>
      <c r="G329" t="n">
        <v>6.7</v>
      </c>
      <c r="H329" t="n">
        <v>0</v>
      </c>
      <c r="I329" t="n">
        <v>0</v>
      </c>
      <c r="J329" t="n">
        <v>0</v>
      </c>
      <c r="K329" t="n">
        <v>0</v>
      </c>
      <c r="L329" t="n">
        <v>0</v>
      </c>
      <c r="M329" t="n">
        <v>0</v>
      </c>
      <c r="N329" t="n">
        <v>0</v>
      </c>
      <c r="O329" t="n">
        <v>0</v>
      </c>
      <c r="P329" t="n">
        <v>0</v>
      </c>
      <c r="Q329" t="n">
        <v>0</v>
      </c>
      <c r="R329" s="2" t="inlineStr"/>
    </row>
    <row r="330" ht="15" customHeight="1">
      <c r="A330" t="inlineStr">
        <is>
          <t>A 58644-2023</t>
        </is>
      </c>
      <c r="B330" s="1" t="n">
        <v>45251.58716435185</v>
      </c>
      <c r="C330" s="1" t="n">
        <v>46100</v>
      </c>
      <c r="D330" t="inlineStr">
        <is>
          <t>ÖREBRO LÄN</t>
        </is>
      </c>
      <c r="E330" t="inlineStr">
        <is>
          <t>ÖREBRO</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46052-2024</t>
        </is>
      </c>
      <c r="B331" s="1" t="n">
        <v>45580.89116898148</v>
      </c>
      <c r="C331" s="1" t="n">
        <v>46100</v>
      </c>
      <c r="D331" t="inlineStr">
        <is>
          <t>ÖREBRO LÄN</t>
        </is>
      </c>
      <c r="E331" t="inlineStr">
        <is>
          <t>ÖREBRO</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22719-2025</t>
        </is>
      </c>
      <c r="B332" s="1" t="n">
        <v>45789</v>
      </c>
      <c r="C332" s="1" t="n">
        <v>46100</v>
      </c>
      <c r="D332" t="inlineStr">
        <is>
          <t>ÖREBRO LÄN</t>
        </is>
      </c>
      <c r="E332" t="inlineStr">
        <is>
          <t>ÖREBRO</t>
        </is>
      </c>
      <c r="G332" t="n">
        <v>1.5</v>
      </c>
      <c r="H332" t="n">
        <v>0</v>
      </c>
      <c r="I332" t="n">
        <v>0</v>
      </c>
      <c r="J332" t="n">
        <v>0</v>
      </c>
      <c r="K332" t="n">
        <v>0</v>
      </c>
      <c r="L332" t="n">
        <v>0</v>
      </c>
      <c r="M332" t="n">
        <v>0</v>
      </c>
      <c r="N332" t="n">
        <v>0</v>
      </c>
      <c r="O332" t="n">
        <v>0</v>
      </c>
      <c r="P332" t="n">
        <v>0</v>
      </c>
      <c r="Q332" t="n">
        <v>0</v>
      </c>
      <c r="R332" s="2" t="inlineStr"/>
    </row>
    <row r="333" ht="15" customHeight="1">
      <c r="A333" t="inlineStr">
        <is>
          <t>A 28054-2022</t>
        </is>
      </c>
      <c r="B333" s="1" t="n">
        <v>44746.41938657407</v>
      </c>
      <c r="C333" s="1" t="n">
        <v>46100</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764-2024</t>
        </is>
      </c>
      <c r="B334" s="1" t="n">
        <v>45300.51512731481</v>
      </c>
      <c r="C334" s="1" t="n">
        <v>46100</v>
      </c>
      <c r="D334" t="inlineStr">
        <is>
          <t>ÖREBRO LÄN</t>
        </is>
      </c>
      <c r="E334" t="inlineStr">
        <is>
          <t>ÖREBRO</t>
        </is>
      </c>
      <c r="G334" t="n">
        <v>2</v>
      </c>
      <c r="H334" t="n">
        <v>0</v>
      </c>
      <c r="I334" t="n">
        <v>0</v>
      </c>
      <c r="J334" t="n">
        <v>0</v>
      </c>
      <c r="K334" t="n">
        <v>0</v>
      </c>
      <c r="L334" t="n">
        <v>0</v>
      </c>
      <c r="M334" t="n">
        <v>0</v>
      </c>
      <c r="N334" t="n">
        <v>0</v>
      </c>
      <c r="O334" t="n">
        <v>0</v>
      </c>
      <c r="P334" t="n">
        <v>0</v>
      </c>
      <c r="Q334" t="n">
        <v>0</v>
      </c>
      <c r="R334" s="2" t="inlineStr"/>
    </row>
    <row r="335" ht="15" customHeight="1">
      <c r="A335" t="inlineStr">
        <is>
          <t>A 541-2025</t>
        </is>
      </c>
      <c r="B335" s="1" t="n">
        <v>45664.52034722222</v>
      </c>
      <c r="C335" s="1" t="n">
        <v>46100</v>
      </c>
      <c r="D335" t="inlineStr">
        <is>
          <t>ÖREBRO LÄN</t>
        </is>
      </c>
      <c r="E335" t="inlineStr">
        <is>
          <t>ÖREBRO</t>
        </is>
      </c>
      <c r="G335" t="n">
        <v>2.2</v>
      </c>
      <c r="H335" t="n">
        <v>0</v>
      </c>
      <c r="I335" t="n">
        <v>0</v>
      </c>
      <c r="J335" t="n">
        <v>0</v>
      </c>
      <c r="K335" t="n">
        <v>0</v>
      </c>
      <c r="L335" t="n">
        <v>0</v>
      </c>
      <c r="M335" t="n">
        <v>0</v>
      </c>
      <c r="N335" t="n">
        <v>0</v>
      </c>
      <c r="O335" t="n">
        <v>0</v>
      </c>
      <c r="P335" t="n">
        <v>0</v>
      </c>
      <c r="Q335" t="n">
        <v>0</v>
      </c>
      <c r="R335" s="2" t="inlineStr"/>
    </row>
    <row r="336" ht="15" customHeight="1">
      <c r="A336" t="inlineStr">
        <is>
          <t>A 22755-2025</t>
        </is>
      </c>
      <c r="B336" s="1" t="n">
        <v>45789.61872685186</v>
      </c>
      <c r="C336" s="1" t="n">
        <v>46100</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54149-2024</t>
        </is>
      </c>
      <c r="B337" s="1" t="n">
        <v>45616</v>
      </c>
      <c r="C337" s="1" t="n">
        <v>46100</v>
      </c>
      <c r="D337" t="inlineStr">
        <is>
          <t>ÖREBRO LÄN</t>
        </is>
      </c>
      <c r="E337" t="inlineStr">
        <is>
          <t>ÖREBRO</t>
        </is>
      </c>
      <c r="G337" t="n">
        <v>2.7</v>
      </c>
      <c r="H337" t="n">
        <v>0</v>
      </c>
      <c r="I337" t="n">
        <v>0</v>
      </c>
      <c r="J337" t="n">
        <v>0</v>
      </c>
      <c r="K337" t="n">
        <v>0</v>
      </c>
      <c r="L337" t="n">
        <v>0</v>
      </c>
      <c r="M337" t="n">
        <v>0</v>
      </c>
      <c r="N337" t="n">
        <v>0</v>
      </c>
      <c r="O337" t="n">
        <v>0</v>
      </c>
      <c r="P337" t="n">
        <v>0</v>
      </c>
      <c r="Q337" t="n">
        <v>0</v>
      </c>
      <c r="R337" s="2" t="inlineStr"/>
    </row>
    <row r="338" ht="15" customHeight="1">
      <c r="A338" t="inlineStr">
        <is>
          <t>A 53143-2023</t>
        </is>
      </c>
      <c r="B338" s="1" t="n">
        <v>45229</v>
      </c>
      <c r="C338" s="1" t="n">
        <v>46100</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25407-2021</t>
        </is>
      </c>
      <c r="B339" s="1" t="n">
        <v>44342</v>
      </c>
      <c r="C339" s="1" t="n">
        <v>46100</v>
      </c>
      <c r="D339" t="inlineStr">
        <is>
          <t>ÖREBRO LÄN</t>
        </is>
      </c>
      <c r="E339" t="inlineStr">
        <is>
          <t>ÖREBRO</t>
        </is>
      </c>
      <c r="F339" t="inlineStr">
        <is>
          <t>Kommuner</t>
        </is>
      </c>
      <c r="G339" t="n">
        <v>7.2</v>
      </c>
      <c r="H339" t="n">
        <v>0</v>
      </c>
      <c r="I339" t="n">
        <v>0</v>
      </c>
      <c r="J339" t="n">
        <v>0</v>
      </c>
      <c r="K339" t="n">
        <v>0</v>
      </c>
      <c r="L339" t="n">
        <v>0</v>
      </c>
      <c r="M339" t="n">
        <v>0</v>
      </c>
      <c r="N339" t="n">
        <v>0</v>
      </c>
      <c r="O339" t="n">
        <v>0</v>
      </c>
      <c r="P339" t="n">
        <v>0</v>
      </c>
      <c r="Q339" t="n">
        <v>0</v>
      </c>
      <c r="R339" s="2" t="inlineStr"/>
    </row>
    <row r="340" ht="15" customHeight="1">
      <c r="A340" t="inlineStr">
        <is>
          <t>A 34336-2024</t>
        </is>
      </c>
      <c r="B340" s="1" t="n">
        <v>45524.94774305556</v>
      </c>
      <c r="C340" s="1" t="n">
        <v>46100</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15424-2022</t>
        </is>
      </c>
      <c r="B341" s="1" t="n">
        <v>44659</v>
      </c>
      <c r="C341" s="1" t="n">
        <v>46100</v>
      </c>
      <c r="D341" t="inlineStr">
        <is>
          <t>ÖREBRO LÄN</t>
        </is>
      </c>
      <c r="E341" t="inlineStr">
        <is>
          <t>ÖREBRO</t>
        </is>
      </c>
      <c r="G341" t="n">
        <v>2.2</v>
      </c>
      <c r="H341" t="n">
        <v>0</v>
      </c>
      <c r="I341" t="n">
        <v>0</v>
      </c>
      <c r="J341" t="n">
        <v>0</v>
      </c>
      <c r="K341" t="n">
        <v>0</v>
      </c>
      <c r="L341" t="n">
        <v>0</v>
      </c>
      <c r="M341" t="n">
        <v>0</v>
      </c>
      <c r="N341" t="n">
        <v>0</v>
      </c>
      <c r="O341" t="n">
        <v>0</v>
      </c>
      <c r="P341" t="n">
        <v>0</v>
      </c>
      <c r="Q341" t="n">
        <v>0</v>
      </c>
      <c r="R341" s="2" t="inlineStr"/>
    </row>
    <row r="342" ht="15" customHeight="1">
      <c r="A342" t="inlineStr">
        <is>
          <t>A 15555-2025</t>
        </is>
      </c>
      <c r="B342" s="1" t="n">
        <v>45747.67768518518</v>
      </c>
      <c r="C342" s="1" t="n">
        <v>46100</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61279-2024</t>
        </is>
      </c>
      <c r="B343" s="1" t="n">
        <v>45645</v>
      </c>
      <c r="C343" s="1" t="n">
        <v>46100</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38790-2024</t>
        </is>
      </c>
      <c r="B344" s="1" t="n">
        <v>45547.48450231482</v>
      </c>
      <c r="C344" s="1" t="n">
        <v>46100</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15682-2023</t>
        </is>
      </c>
      <c r="B345" s="1" t="n">
        <v>45021</v>
      </c>
      <c r="C345" s="1" t="n">
        <v>46100</v>
      </c>
      <c r="D345" t="inlineStr">
        <is>
          <t>ÖREBRO LÄN</t>
        </is>
      </c>
      <c r="E345" t="inlineStr">
        <is>
          <t>ÖREBRO</t>
        </is>
      </c>
      <c r="G345" t="n">
        <v>1.3</v>
      </c>
      <c r="H345" t="n">
        <v>0</v>
      </c>
      <c r="I345" t="n">
        <v>0</v>
      </c>
      <c r="J345" t="n">
        <v>0</v>
      </c>
      <c r="K345" t="n">
        <v>0</v>
      </c>
      <c r="L345" t="n">
        <v>0</v>
      </c>
      <c r="M345" t="n">
        <v>0</v>
      </c>
      <c r="N345" t="n">
        <v>0</v>
      </c>
      <c r="O345" t="n">
        <v>0</v>
      </c>
      <c r="P345" t="n">
        <v>0</v>
      </c>
      <c r="Q345" t="n">
        <v>0</v>
      </c>
      <c r="R345" s="2" t="inlineStr"/>
    </row>
    <row r="346" ht="15" customHeight="1">
      <c r="A346" t="inlineStr">
        <is>
          <t>A 71269-2021</t>
        </is>
      </c>
      <c r="B346" s="1" t="n">
        <v>44539</v>
      </c>
      <c r="C346" s="1" t="n">
        <v>46100</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30316-2024</t>
        </is>
      </c>
      <c r="B347" s="1" t="n">
        <v>45490</v>
      </c>
      <c r="C347" s="1" t="n">
        <v>46100</v>
      </c>
      <c r="D347" t="inlineStr">
        <is>
          <t>ÖREBRO LÄN</t>
        </is>
      </c>
      <c r="E347" t="inlineStr">
        <is>
          <t>ÖREBRO</t>
        </is>
      </c>
      <c r="G347" t="n">
        <v>5.5</v>
      </c>
      <c r="H347" t="n">
        <v>0</v>
      </c>
      <c r="I347" t="n">
        <v>0</v>
      </c>
      <c r="J347" t="n">
        <v>0</v>
      </c>
      <c r="K347" t="n">
        <v>0</v>
      </c>
      <c r="L347" t="n">
        <v>0</v>
      </c>
      <c r="M347" t="n">
        <v>0</v>
      </c>
      <c r="N347" t="n">
        <v>0</v>
      </c>
      <c r="O347" t="n">
        <v>0</v>
      </c>
      <c r="P347" t="n">
        <v>0</v>
      </c>
      <c r="Q347" t="n">
        <v>0</v>
      </c>
      <c r="R347" s="2" t="inlineStr"/>
    </row>
    <row r="348" ht="15" customHeight="1">
      <c r="A348" t="inlineStr">
        <is>
          <t>A 12682-2023</t>
        </is>
      </c>
      <c r="B348" s="1" t="n">
        <v>45000.6115625</v>
      </c>
      <c r="C348" s="1" t="n">
        <v>46100</v>
      </c>
      <c r="D348" t="inlineStr">
        <is>
          <t>ÖREBRO LÄN</t>
        </is>
      </c>
      <c r="E348" t="inlineStr">
        <is>
          <t>ÖREBRO</t>
        </is>
      </c>
      <c r="F348" t="inlineStr">
        <is>
          <t>Övriga Aktiebolag</t>
        </is>
      </c>
      <c r="G348" t="n">
        <v>4.4</v>
      </c>
      <c r="H348" t="n">
        <v>0</v>
      </c>
      <c r="I348" t="n">
        <v>0</v>
      </c>
      <c r="J348" t="n">
        <v>0</v>
      </c>
      <c r="K348" t="n">
        <v>0</v>
      </c>
      <c r="L348" t="n">
        <v>0</v>
      </c>
      <c r="M348" t="n">
        <v>0</v>
      </c>
      <c r="N348" t="n">
        <v>0</v>
      </c>
      <c r="O348" t="n">
        <v>0</v>
      </c>
      <c r="P348" t="n">
        <v>0</v>
      </c>
      <c r="Q348" t="n">
        <v>0</v>
      </c>
      <c r="R348" s="2" t="inlineStr"/>
    </row>
    <row r="349" ht="15" customHeight="1">
      <c r="A349" t="inlineStr">
        <is>
          <t>A 57247-2022</t>
        </is>
      </c>
      <c r="B349" s="1" t="n">
        <v>44895.73065972222</v>
      </c>
      <c r="C349" s="1" t="n">
        <v>46100</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45027-2024</t>
        </is>
      </c>
      <c r="B350" s="1" t="n">
        <v>45575</v>
      </c>
      <c r="C350" s="1" t="n">
        <v>46100</v>
      </c>
      <c r="D350" t="inlineStr">
        <is>
          <t>ÖREBRO LÄN</t>
        </is>
      </c>
      <c r="E350" t="inlineStr">
        <is>
          <t>ÖREBRO</t>
        </is>
      </c>
      <c r="G350" t="n">
        <v>6.3</v>
      </c>
      <c r="H350" t="n">
        <v>0</v>
      </c>
      <c r="I350" t="n">
        <v>0</v>
      </c>
      <c r="J350" t="n">
        <v>0</v>
      </c>
      <c r="K350" t="n">
        <v>0</v>
      </c>
      <c r="L350" t="n">
        <v>0</v>
      </c>
      <c r="M350" t="n">
        <v>0</v>
      </c>
      <c r="N350" t="n">
        <v>0</v>
      </c>
      <c r="O350" t="n">
        <v>0</v>
      </c>
      <c r="P350" t="n">
        <v>0</v>
      </c>
      <c r="Q350" t="n">
        <v>0</v>
      </c>
      <c r="R350" s="2" t="inlineStr"/>
    </row>
    <row r="351" ht="15" customHeight="1">
      <c r="A351" t="inlineStr">
        <is>
          <t>A 44199-2024</t>
        </is>
      </c>
      <c r="B351" s="1" t="n">
        <v>45573</v>
      </c>
      <c r="C351" s="1" t="n">
        <v>46100</v>
      </c>
      <c r="D351" t="inlineStr">
        <is>
          <t>ÖREBRO LÄN</t>
        </is>
      </c>
      <c r="E351" t="inlineStr">
        <is>
          <t>ÖREBRO</t>
        </is>
      </c>
      <c r="G351" t="n">
        <v>4.3</v>
      </c>
      <c r="H351" t="n">
        <v>0</v>
      </c>
      <c r="I351" t="n">
        <v>0</v>
      </c>
      <c r="J351" t="n">
        <v>0</v>
      </c>
      <c r="K351" t="n">
        <v>0</v>
      </c>
      <c r="L351" t="n">
        <v>0</v>
      </c>
      <c r="M351" t="n">
        <v>0</v>
      </c>
      <c r="N351" t="n">
        <v>0</v>
      </c>
      <c r="O351" t="n">
        <v>0</v>
      </c>
      <c r="P351" t="n">
        <v>0</v>
      </c>
      <c r="Q351" t="n">
        <v>0</v>
      </c>
      <c r="R351" s="2" t="inlineStr"/>
    </row>
    <row r="352" ht="15" customHeight="1">
      <c r="A352" t="inlineStr">
        <is>
          <t>A 4380-2025</t>
        </is>
      </c>
      <c r="B352" s="1" t="n">
        <v>45686.3959375</v>
      </c>
      <c r="C352" s="1" t="n">
        <v>46100</v>
      </c>
      <c r="D352" t="inlineStr">
        <is>
          <t>ÖREBRO LÄN</t>
        </is>
      </c>
      <c r="E352" t="inlineStr">
        <is>
          <t>ÖREBRO</t>
        </is>
      </c>
      <c r="G352" t="n">
        <v>3.2</v>
      </c>
      <c r="H352" t="n">
        <v>0</v>
      </c>
      <c r="I352" t="n">
        <v>0</v>
      </c>
      <c r="J352" t="n">
        <v>0</v>
      </c>
      <c r="K352" t="n">
        <v>0</v>
      </c>
      <c r="L352" t="n">
        <v>0</v>
      </c>
      <c r="M352" t="n">
        <v>0</v>
      </c>
      <c r="N352" t="n">
        <v>0</v>
      </c>
      <c r="O352" t="n">
        <v>0</v>
      </c>
      <c r="P352" t="n">
        <v>0</v>
      </c>
      <c r="Q352" t="n">
        <v>0</v>
      </c>
      <c r="R352" s="2" t="inlineStr"/>
    </row>
    <row r="353" ht="15" customHeight="1">
      <c r="A353" t="inlineStr">
        <is>
          <t>A 16140-2023</t>
        </is>
      </c>
      <c r="B353" s="1" t="n">
        <v>45027.6433912037</v>
      </c>
      <c r="C353" s="1" t="n">
        <v>46100</v>
      </c>
      <c r="D353" t="inlineStr">
        <is>
          <t>ÖREBRO LÄN</t>
        </is>
      </c>
      <c r="E353" t="inlineStr">
        <is>
          <t>ÖREBRO</t>
        </is>
      </c>
      <c r="G353" t="n">
        <v>2</v>
      </c>
      <c r="H353" t="n">
        <v>0</v>
      </c>
      <c r="I353" t="n">
        <v>0</v>
      </c>
      <c r="J353" t="n">
        <v>0</v>
      </c>
      <c r="K353" t="n">
        <v>0</v>
      </c>
      <c r="L353" t="n">
        <v>0</v>
      </c>
      <c r="M353" t="n">
        <v>0</v>
      </c>
      <c r="N353" t="n">
        <v>0</v>
      </c>
      <c r="O353" t="n">
        <v>0</v>
      </c>
      <c r="P353" t="n">
        <v>0</v>
      </c>
      <c r="Q353" t="n">
        <v>0</v>
      </c>
      <c r="R353" s="2" t="inlineStr"/>
    </row>
    <row r="354" ht="15" customHeight="1">
      <c r="A354" t="inlineStr">
        <is>
          <t>A 26443-2024</t>
        </is>
      </c>
      <c r="B354" s="1" t="n">
        <v>45469.49901620371</v>
      </c>
      <c r="C354" s="1" t="n">
        <v>46100</v>
      </c>
      <c r="D354" t="inlineStr">
        <is>
          <t>ÖREBRO LÄN</t>
        </is>
      </c>
      <c r="E354" t="inlineStr">
        <is>
          <t>ÖREBRO</t>
        </is>
      </c>
      <c r="G354" t="n">
        <v>5.7</v>
      </c>
      <c r="H354" t="n">
        <v>0</v>
      </c>
      <c r="I354" t="n">
        <v>0</v>
      </c>
      <c r="J354" t="n">
        <v>0</v>
      </c>
      <c r="K354" t="n">
        <v>0</v>
      </c>
      <c r="L354" t="n">
        <v>0</v>
      </c>
      <c r="M354" t="n">
        <v>0</v>
      </c>
      <c r="N354" t="n">
        <v>0</v>
      </c>
      <c r="O354" t="n">
        <v>0</v>
      </c>
      <c r="P354" t="n">
        <v>0</v>
      </c>
      <c r="Q354" t="n">
        <v>0</v>
      </c>
      <c r="R354" s="2" t="inlineStr"/>
    </row>
    <row r="355" ht="15" customHeight="1">
      <c r="A355" t="inlineStr">
        <is>
          <t>A 5136-2024</t>
        </is>
      </c>
      <c r="B355" s="1" t="n">
        <v>45330</v>
      </c>
      <c r="C355" s="1" t="n">
        <v>46100</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35477-2024</t>
        </is>
      </c>
      <c r="B356" s="1" t="n">
        <v>45531</v>
      </c>
      <c r="C356" s="1" t="n">
        <v>46100</v>
      </c>
      <c r="D356" t="inlineStr">
        <is>
          <t>ÖREBRO LÄN</t>
        </is>
      </c>
      <c r="E356" t="inlineStr">
        <is>
          <t>ÖREBRO</t>
        </is>
      </c>
      <c r="G356" t="n">
        <v>2.4</v>
      </c>
      <c r="H356" t="n">
        <v>0</v>
      </c>
      <c r="I356" t="n">
        <v>0</v>
      </c>
      <c r="J356" t="n">
        <v>0</v>
      </c>
      <c r="K356" t="n">
        <v>0</v>
      </c>
      <c r="L356" t="n">
        <v>0</v>
      </c>
      <c r="M356" t="n">
        <v>0</v>
      </c>
      <c r="N356" t="n">
        <v>0</v>
      </c>
      <c r="O356" t="n">
        <v>0</v>
      </c>
      <c r="P356" t="n">
        <v>0</v>
      </c>
      <c r="Q356" t="n">
        <v>0</v>
      </c>
      <c r="R356" s="2" t="inlineStr"/>
    </row>
    <row r="357" ht="15" customHeight="1">
      <c r="A357" t="inlineStr">
        <is>
          <t>A 58606-2024</t>
        </is>
      </c>
      <c r="B357" s="1" t="n">
        <v>45635.54747685185</v>
      </c>
      <c r="C357" s="1" t="n">
        <v>46100</v>
      </c>
      <c r="D357" t="inlineStr">
        <is>
          <t>ÖREBRO LÄN</t>
        </is>
      </c>
      <c r="E357" t="inlineStr">
        <is>
          <t>ÖREBRO</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123-2025</t>
        </is>
      </c>
      <c r="B358" s="1" t="n">
        <v>45659.54851851852</v>
      </c>
      <c r="C358" s="1" t="n">
        <v>46100</v>
      </c>
      <c r="D358" t="inlineStr">
        <is>
          <t>ÖREBRO LÄN</t>
        </is>
      </c>
      <c r="E358" t="inlineStr">
        <is>
          <t>ÖREBRO</t>
        </is>
      </c>
      <c r="G358" t="n">
        <v>1.6</v>
      </c>
      <c r="H358" t="n">
        <v>0</v>
      </c>
      <c r="I358" t="n">
        <v>0</v>
      </c>
      <c r="J358" t="n">
        <v>0</v>
      </c>
      <c r="K358" t="n">
        <v>0</v>
      </c>
      <c r="L358" t="n">
        <v>0</v>
      </c>
      <c r="M358" t="n">
        <v>0</v>
      </c>
      <c r="N358" t="n">
        <v>0</v>
      </c>
      <c r="O358" t="n">
        <v>0</v>
      </c>
      <c r="P358" t="n">
        <v>0</v>
      </c>
      <c r="Q358" t="n">
        <v>0</v>
      </c>
      <c r="R358" s="2" t="inlineStr"/>
    </row>
    <row r="359" ht="15" customHeight="1">
      <c r="A359" t="inlineStr">
        <is>
          <t>A 52391-2024</t>
        </is>
      </c>
      <c r="B359" s="1" t="n">
        <v>45609.43180555556</v>
      </c>
      <c r="C359" s="1" t="n">
        <v>46100</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52401-2024</t>
        </is>
      </c>
      <c r="B360" s="1" t="n">
        <v>45609.44553240741</v>
      </c>
      <c r="C360" s="1" t="n">
        <v>46100</v>
      </c>
      <c r="D360" t="inlineStr">
        <is>
          <t>ÖREBRO LÄN</t>
        </is>
      </c>
      <c r="E360" t="inlineStr">
        <is>
          <t>ÖREBRO</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5406-2025</t>
        </is>
      </c>
      <c r="B361" s="1" t="n">
        <v>45692.64821759259</v>
      </c>
      <c r="C361" s="1" t="n">
        <v>46100</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37012-2024</t>
        </is>
      </c>
      <c r="B362" s="1" t="n">
        <v>45539</v>
      </c>
      <c r="C362" s="1" t="n">
        <v>46100</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37020-2024</t>
        </is>
      </c>
      <c r="B363" s="1" t="n">
        <v>45539.38059027777</v>
      </c>
      <c r="C363" s="1" t="n">
        <v>46100</v>
      </c>
      <c r="D363" t="inlineStr">
        <is>
          <t>ÖREBRO LÄN</t>
        </is>
      </c>
      <c r="E363" t="inlineStr">
        <is>
          <t>ÖREBRO</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52018-2024</t>
        </is>
      </c>
      <c r="B364" s="1" t="n">
        <v>45607.82974537037</v>
      </c>
      <c r="C364" s="1" t="n">
        <v>46100</v>
      </c>
      <c r="D364" t="inlineStr">
        <is>
          <t>ÖREBRO LÄN</t>
        </is>
      </c>
      <c r="E364" t="inlineStr">
        <is>
          <t>ÖREBRO</t>
        </is>
      </c>
      <c r="G364" t="n">
        <v>4.3</v>
      </c>
      <c r="H364" t="n">
        <v>0</v>
      </c>
      <c r="I364" t="n">
        <v>0</v>
      </c>
      <c r="J364" t="n">
        <v>0</v>
      </c>
      <c r="K364" t="n">
        <v>0</v>
      </c>
      <c r="L364" t="n">
        <v>0</v>
      </c>
      <c r="M364" t="n">
        <v>0</v>
      </c>
      <c r="N364" t="n">
        <v>0</v>
      </c>
      <c r="O364" t="n">
        <v>0</v>
      </c>
      <c r="P364" t="n">
        <v>0</v>
      </c>
      <c r="Q364" t="n">
        <v>0</v>
      </c>
      <c r="R364" s="2" t="inlineStr"/>
    </row>
    <row r="365" ht="15" customHeight="1">
      <c r="A365" t="inlineStr">
        <is>
          <t>A 26338-2021</t>
        </is>
      </c>
      <c r="B365" s="1" t="n">
        <v>44347</v>
      </c>
      <c r="C365" s="1" t="n">
        <v>46100</v>
      </c>
      <c r="D365" t="inlineStr">
        <is>
          <t>ÖREBRO LÄN</t>
        </is>
      </c>
      <c r="E365" t="inlineStr">
        <is>
          <t>ÖREBRO</t>
        </is>
      </c>
      <c r="G365" t="n">
        <v>0.5</v>
      </c>
      <c r="H365" t="n">
        <v>0</v>
      </c>
      <c r="I365" t="n">
        <v>0</v>
      </c>
      <c r="J365" t="n">
        <v>0</v>
      </c>
      <c r="K365" t="n">
        <v>0</v>
      </c>
      <c r="L365" t="n">
        <v>0</v>
      </c>
      <c r="M365" t="n">
        <v>0</v>
      </c>
      <c r="N365" t="n">
        <v>0</v>
      </c>
      <c r="O365" t="n">
        <v>0</v>
      </c>
      <c r="P365" t="n">
        <v>0</v>
      </c>
      <c r="Q365" t="n">
        <v>0</v>
      </c>
      <c r="R365" s="2" t="inlineStr"/>
    </row>
    <row r="366" ht="15" customHeight="1">
      <c r="A366" t="inlineStr">
        <is>
          <t>A 34358-2022</t>
        </is>
      </c>
      <c r="B366" s="1" t="n">
        <v>44792.45494212963</v>
      </c>
      <c r="C366" s="1" t="n">
        <v>46100</v>
      </c>
      <c r="D366" t="inlineStr">
        <is>
          <t>ÖREBRO LÄN</t>
        </is>
      </c>
      <c r="E366" t="inlineStr">
        <is>
          <t>ÖREBRO</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16958-2022</t>
        </is>
      </c>
      <c r="B367" s="1" t="n">
        <v>44676.50481481481</v>
      </c>
      <c r="C367" s="1" t="n">
        <v>46100</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41412-2025</t>
        </is>
      </c>
      <c r="B368" s="1" t="n">
        <v>45901.3549537037</v>
      </c>
      <c r="C368" s="1" t="n">
        <v>46100</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5338-2024</t>
        </is>
      </c>
      <c r="B369" s="1" t="n">
        <v>45331</v>
      </c>
      <c r="C369" s="1" t="n">
        <v>46100</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53234-2023</t>
        </is>
      </c>
      <c r="B370" s="1" t="n">
        <v>45229</v>
      </c>
      <c r="C370" s="1" t="n">
        <v>46100</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4970-2022</t>
        </is>
      </c>
      <c r="B371" s="1" t="n">
        <v>44593.51175925926</v>
      </c>
      <c r="C371" s="1" t="n">
        <v>46100</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59757-2023</t>
        </is>
      </c>
      <c r="B372" s="1" t="n">
        <v>45257.40833333333</v>
      </c>
      <c r="C372" s="1" t="n">
        <v>46100</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22348-2024</t>
        </is>
      </c>
      <c r="B373" s="1" t="n">
        <v>45446.61256944444</v>
      </c>
      <c r="C373" s="1" t="n">
        <v>46100</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11067-2025</t>
        </is>
      </c>
      <c r="B374" s="1" t="n">
        <v>45723</v>
      </c>
      <c r="C374" s="1" t="n">
        <v>46100</v>
      </c>
      <c r="D374" t="inlineStr">
        <is>
          <t>ÖREBRO LÄN</t>
        </is>
      </c>
      <c r="E374" t="inlineStr">
        <is>
          <t>ÖREBRO</t>
        </is>
      </c>
      <c r="G374" t="n">
        <v>3.1</v>
      </c>
      <c r="H374" t="n">
        <v>0</v>
      </c>
      <c r="I374" t="n">
        <v>0</v>
      </c>
      <c r="J374" t="n">
        <v>0</v>
      </c>
      <c r="K374" t="n">
        <v>0</v>
      </c>
      <c r="L374" t="n">
        <v>0</v>
      </c>
      <c r="M374" t="n">
        <v>0</v>
      </c>
      <c r="N374" t="n">
        <v>0</v>
      </c>
      <c r="O374" t="n">
        <v>0</v>
      </c>
      <c r="P374" t="n">
        <v>0</v>
      </c>
      <c r="Q374" t="n">
        <v>0</v>
      </c>
      <c r="R374" s="2" t="inlineStr"/>
    </row>
    <row r="375" ht="15" customHeight="1">
      <c r="A375" t="inlineStr">
        <is>
          <t>A 13657-2025</t>
        </is>
      </c>
      <c r="B375" s="1" t="n">
        <v>45736.7427662037</v>
      </c>
      <c r="C375" s="1" t="n">
        <v>46100</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3659-2025</t>
        </is>
      </c>
      <c r="B376" s="1" t="n">
        <v>45681</v>
      </c>
      <c r="C376" s="1" t="n">
        <v>46100</v>
      </c>
      <c r="D376" t="inlineStr">
        <is>
          <t>ÖREBRO LÄN</t>
        </is>
      </c>
      <c r="E376" t="inlineStr">
        <is>
          <t>ÖREBRO</t>
        </is>
      </c>
      <c r="G376" t="n">
        <v>15.8</v>
      </c>
      <c r="H376" t="n">
        <v>0</v>
      </c>
      <c r="I376" t="n">
        <v>0</v>
      </c>
      <c r="J376" t="n">
        <v>0</v>
      </c>
      <c r="K376" t="n">
        <v>0</v>
      </c>
      <c r="L376" t="n">
        <v>0</v>
      </c>
      <c r="M376" t="n">
        <v>0</v>
      </c>
      <c r="N376" t="n">
        <v>0</v>
      </c>
      <c r="O376" t="n">
        <v>0</v>
      </c>
      <c r="P376" t="n">
        <v>0</v>
      </c>
      <c r="Q376" t="n">
        <v>0</v>
      </c>
      <c r="R376" s="2" t="inlineStr"/>
    </row>
    <row r="377" ht="15" customHeight="1">
      <c r="A377" t="inlineStr">
        <is>
          <t>A 13347-2023</t>
        </is>
      </c>
      <c r="B377" s="1" t="n">
        <v>45004</v>
      </c>
      <c r="C377" s="1" t="n">
        <v>46100</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6752-2022</t>
        </is>
      </c>
      <c r="B378" s="1" t="n">
        <v>44602.48082175926</v>
      </c>
      <c r="C378" s="1" t="n">
        <v>46100</v>
      </c>
      <c r="D378" t="inlineStr">
        <is>
          <t>ÖREBRO LÄN</t>
        </is>
      </c>
      <c r="E378" t="inlineStr">
        <is>
          <t>ÖREBRO</t>
        </is>
      </c>
      <c r="G378" t="n">
        <v>3.1</v>
      </c>
      <c r="H378" t="n">
        <v>0</v>
      </c>
      <c r="I378" t="n">
        <v>0</v>
      </c>
      <c r="J378" t="n">
        <v>0</v>
      </c>
      <c r="K378" t="n">
        <v>0</v>
      </c>
      <c r="L378" t="n">
        <v>0</v>
      </c>
      <c r="M378" t="n">
        <v>0</v>
      </c>
      <c r="N378" t="n">
        <v>0</v>
      </c>
      <c r="O378" t="n">
        <v>0</v>
      </c>
      <c r="P378" t="n">
        <v>0</v>
      </c>
      <c r="Q378" t="n">
        <v>0</v>
      </c>
      <c r="R378" s="2" t="inlineStr"/>
    </row>
    <row r="379" ht="15" customHeight="1">
      <c r="A379" t="inlineStr">
        <is>
          <t>A 9314-2023</t>
        </is>
      </c>
      <c r="B379" s="1" t="n">
        <v>44980.67747685185</v>
      </c>
      <c r="C379" s="1" t="n">
        <v>46100</v>
      </c>
      <c r="D379" t="inlineStr">
        <is>
          <t>ÖREBRO LÄN</t>
        </is>
      </c>
      <c r="E379" t="inlineStr">
        <is>
          <t>ÖREBRO</t>
        </is>
      </c>
      <c r="G379" t="n">
        <v>0.8</v>
      </c>
      <c r="H379" t="n">
        <v>0</v>
      </c>
      <c r="I379" t="n">
        <v>0</v>
      </c>
      <c r="J379" t="n">
        <v>0</v>
      </c>
      <c r="K379" t="n">
        <v>0</v>
      </c>
      <c r="L379" t="n">
        <v>0</v>
      </c>
      <c r="M379" t="n">
        <v>0</v>
      </c>
      <c r="N379" t="n">
        <v>0</v>
      </c>
      <c r="O379" t="n">
        <v>0</v>
      </c>
      <c r="P379" t="n">
        <v>0</v>
      </c>
      <c r="Q379" t="n">
        <v>0</v>
      </c>
      <c r="R379" s="2" t="inlineStr"/>
    </row>
    <row r="380" ht="15" customHeight="1">
      <c r="A380" t="inlineStr">
        <is>
          <t>A 15695-2024</t>
        </is>
      </c>
      <c r="B380" s="1" t="n">
        <v>45404.45487268519</v>
      </c>
      <c r="C380" s="1" t="n">
        <v>46100</v>
      </c>
      <c r="D380" t="inlineStr">
        <is>
          <t>ÖREBRO LÄN</t>
        </is>
      </c>
      <c r="E380" t="inlineStr">
        <is>
          <t>ÖREBRO</t>
        </is>
      </c>
      <c r="G380" t="n">
        <v>2.7</v>
      </c>
      <c r="H380" t="n">
        <v>0</v>
      </c>
      <c r="I380" t="n">
        <v>0</v>
      </c>
      <c r="J380" t="n">
        <v>0</v>
      </c>
      <c r="K380" t="n">
        <v>0</v>
      </c>
      <c r="L380" t="n">
        <v>0</v>
      </c>
      <c r="M380" t="n">
        <v>0</v>
      </c>
      <c r="N380" t="n">
        <v>0</v>
      </c>
      <c r="O380" t="n">
        <v>0</v>
      </c>
      <c r="P380" t="n">
        <v>0</v>
      </c>
      <c r="Q380" t="n">
        <v>0</v>
      </c>
      <c r="R380" s="2" t="inlineStr"/>
    </row>
    <row r="381" ht="15" customHeight="1">
      <c r="A381" t="inlineStr">
        <is>
          <t>A 30089-2024</t>
        </is>
      </c>
      <c r="B381" s="1" t="n">
        <v>45485</v>
      </c>
      <c r="C381" s="1" t="n">
        <v>46100</v>
      </c>
      <c r="D381" t="inlineStr">
        <is>
          <t>ÖREBRO LÄN</t>
        </is>
      </c>
      <c r="E381" t="inlineStr">
        <is>
          <t>ÖREBRO</t>
        </is>
      </c>
      <c r="G381" t="n">
        <v>2.2</v>
      </c>
      <c r="H381" t="n">
        <v>0</v>
      </c>
      <c r="I381" t="n">
        <v>0</v>
      </c>
      <c r="J381" t="n">
        <v>0</v>
      </c>
      <c r="K381" t="n">
        <v>0</v>
      </c>
      <c r="L381" t="n">
        <v>0</v>
      </c>
      <c r="M381" t="n">
        <v>0</v>
      </c>
      <c r="N381" t="n">
        <v>0</v>
      </c>
      <c r="O381" t="n">
        <v>0</v>
      </c>
      <c r="P381" t="n">
        <v>0</v>
      </c>
      <c r="Q381" t="n">
        <v>0</v>
      </c>
      <c r="R381" s="2" t="inlineStr"/>
    </row>
    <row r="382" ht="15" customHeight="1">
      <c r="A382" t="inlineStr">
        <is>
          <t>A 5643-2025</t>
        </is>
      </c>
      <c r="B382" s="1" t="n">
        <v>45693</v>
      </c>
      <c r="C382" s="1" t="n">
        <v>46100</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57867-2024</t>
        </is>
      </c>
      <c r="B383" s="1" t="n">
        <v>45631.43864583333</v>
      </c>
      <c r="C383" s="1" t="n">
        <v>46100</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46030-2024</t>
        </is>
      </c>
      <c r="B384" s="1" t="n">
        <v>45580.70377314815</v>
      </c>
      <c r="C384" s="1" t="n">
        <v>46100</v>
      </c>
      <c r="D384" t="inlineStr">
        <is>
          <t>ÖREBRO LÄN</t>
        </is>
      </c>
      <c r="E384" t="inlineStr">
        <is>
          <t>ÖREBRO</t>
        </is>
      </c>
      <c r="G384" t="n">
        <v>3.9</v>
      </c>
      <c r="H384" t="n">
        <v>0</v>
      </c>
      <c r="I384" t="n">
        <v>0</v>
      </c>
      <c r="J384" t="n">
        <v>0</v>
      </c>
      <c r="K384" t="n">
        <v>0</v>
      </c>
      <c r="L384" t="n">
        <v>0</v>
      </c>
      <c r="M384" t="n">
        <v>0</v>
      </c>
      <c r="N384" t="n">
        <v>0</v>
      </c>
      <c r="O384" t="n">
        <v>0</v>
      </c>
      <c r="P384" t="n">
        <v>0</v>
      </c>
      <c r="Q384" t="n">
        <v>0</v>
      </c>
      <c r="R384" s="2" t="inlineStr"/>
    </row>
    <row r="385" ht="15" customHeight="1">
      <c r="A385" t="inlineStr">
        <is>
          <t>A 13355-2023</t>
        </is>
      </c>
      <c r="B385" s="1" t="n">
        <v>45004</v>
      </c>
      <c r="C385" s="1" t="n">
        <v>46100</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14544-2023</t>
        </is>
      </c>
      <c r="B386" s="1" t="n">
        <v>45013</v>
      </c>
      <c r="C386" s="1" t="n">
        <v>46100</v>
      </c>
      <c r="D386" t="inlineStr">
        <is>
          <t>ÖREBRO LÄN</t>
        </is>
      </c>
      <c r="E386" t="inlineStr">
        <is>
          <t>ÖREBRO</t>
        </is>
      </c>
      <c r="G386" t="n">
        <v>0.5</v>
      </c>
      <c r="H386" t="n">
        <v>0</v>
      </c>
      <c r="I386" t="n">
        <v>0</v>
      </c>
      <c r="J386" t="n">
        <v>0</v>
      </c>
      <c r="K386" t="n">
        <v>0</v>
      </c>
      <c r="L386" t="n">
        <v>0</v>
      </c>
      <c r="M386" t="n">
        <v>0</v>
      </c>
      <c r="N386" t="n">
        <v>0</v>
      </c>
      <c r="O386" t="n">
        <v>0</v>
      </c>
      <c r="P386" t="n">
        <v>0</v>
      </c>
      <c r="Q386" t="n">
        <v>0</v>
      </c>
      <c r="R386" s="2" t="inlineStr"/>
    </row>
    <row r="387" ht="15" customHeight="1">
      <c r="A387" t="inlineStr">
        <is>
          <t>A 5342-2024</t>
        </is>
      </c>
      <c r="B387" s="1" t="n">
        <v>45331.44145833333</v>
      </c>
      <c r="C387" s="1" t="n">
        <v>46100</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71272-2021</t>
        </is>
      </c>
      <c r="B388" s="1" t="n">
        <v>44539.61571759259</v>
      </c>
      <c r="C388" s="1" t="n">
        <v>46100</v>
      </c>
      <c r="D388" t="inlineStr">
        <is>
          <t>ÖREBRO LÄN</t>
        </is>
      </c>
      <c r="E388" t="inlineStr">
        <is>
          <t>ÖREBRO</t>
        </is>
      </c>
      <c r="G388" t="n">
        <v>0.9</v>
      </c>
      <c r="H388" t="n">
        <v>0</v>
      </c>
      <c r="I388" t="n">
        <v>0</v>
      </c>
      <c r="J388" t="n">
        <v>0</v>
      </c>
      <c r="K388" t="n">
        <v>0</v>
      </c>
      <c r="L388" t="n">
        <v>0</v>
      </c>
      <c r="M388" t="n">
        <v>0</v>
      </c>
      <c r="N388" t="n">
        <v>0</v>
      </c>
      <c r="O388" t="n">
        <v>0</v>
      </c>
      <c r="P388" t="n">
        <v>0</v>
      </c>
      <c r="Q388" t="n">
        <v>0</v>
      </c>
      <c r="R388" s="2" t="inlineStr"/>
    </row>
    <row r="389" ht="15" customHeight="1">
      <c r="A389" t="inlineStr">
        <is>
          <t>A 6522-2023</t>
        </is>
      </c>
      <c r="B389" s="1" t="n">
        <v>44966</v>
      </c>
      <c r="C389" s="1" t="n">
        <v>46100</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71295-2021</t>
        </is>
      </c>
      <c r="B390" s="1" t="n">
        <v>44539.63009259259</v>
      </c>
      <c r="C390" s="1" t="n">
        <v>46100</v>
      </c>
      <c r="D390" t="inlineStr">
        <is>
          <t>ÖREBRO LÄN</t>
        </is>
      </c>
      <c r="E390" t="inlineStr">
        <is>
          <t>ÖREBRO</t>
        </is>
      </c>
      <c r="G390" t="n">
        <v>2.3</v>
      </c>
      <c r="H390" t="n">
        <v>0</v>
      </c>
      <c r="I390" t="n">
        <v>0</v>
      </c>
      <c r="J390" t="n">
        <v>0</v>
      </c>
      <c r="K390" t="n">
        <v>0</v>
      </c>
      <c r="L390" t="n">
        <v>0</v>
      </c>
      <c r="M390" t="n">
        <v>0</v>
      </c>
      <c r="N390" t="n">
        <v>0</v>
      </c>
      <c r="O390" t="n">
        <v>0</v>
      </c>
      <c r="P390" t="n">
        <v>0</v>
      </c>
      <c r="Q390" t="n">
        <v>0</v>
      </c>
      <c r="R390" s="2" t="inlineStr"/>
    </row>
    <row r="391" ht="15" customHeight="1">
      <c r="A391" t="inlineStr">
        <is>
          <t>A 18449-2023</t>
        </is>
      </c>
      <c r="B391" s="1" t="n">
        <v>45042.5203125</v>
      </c>
      <c r="C391" s="1" t="n">
        <v>46100</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11516-2024</t>
        </is>
      </c>
      <c r="B392" s="1" t="n">
        <v>45372</v>
      </c>
      <c r="C392" s="1" t="n">
        <v>46100</v>
      </c>
      <c r="D392" t="inlineStr">
        <is>
          <t>ÖREBRO LÄN</t>
        </is>
      </c>
      <c r="E392" t="inlineStr">
        <is>
          <t>ÖREBRO</t>
        </is>
      </c>
      <c r="G392" t="n">
        <v>10.7</v>
      </c>
      <c r="H392" t="n">
        <v>0</v>
      </c>
      <c r="I392" t="n">
        <v>0</v>
      </c>
      <c r="J392" t="n">
        <v>0</v>
      </c>
      <c r="K392" t="n">
        <v>0</v>
      </c>
      <c r="L392" t="n">
        <v>0</v>
      </c>
      <c r="M392" t="n">
        <v>0</v>
      </c>
      <c r="N392" t="n">
        <v>0</v>
      </c>
      <c r="O392" t="n">
        <v>0</v>
      </c>
      <c r="P392" t="n">
        <v>0</v>
      </c>
      <c r="Q392" t="n">
        <v>0</v>
      </c>
      <c r="R392" s="2" t="inlineStr"/>
    </row>
    <row r="393" ht="15" customHeight="1">
      <c r="A393" t="inlineStr">
        <is>
          <t>A 16736-2023</t>
        </is>
      </c>
      <c r="B393" s="1" t="n">
        <v>45030.72328703704</v>
      </c>
      <c r="C393" s="1" t="n">
        <v>46100</v>
      </c>
      <c r="D393" t="inlineStr">
        <is>
          <t>ÖREBRO LÄN</t>
        </is>
      </c>
      <c r="E393" t="inlineStr">
        <is>
          <t>ÖREBRO</t>
        </is>
      </c>
      <c r="G393" t="n">
        <v>4</v>
      </c>
      <c r="H393" t="n">
        <v>0</v>
      </c>
      <c r="I393" t="n">
        <v>0</v>
      </c>
      <c r="J393" t="n">
        <v>0</v>
      </c>
      <c r="K393" t="n">
        <v>0</v>
      </c>
      <c r="L393" t="n">
        <v>0</v>
      </c>
      <c r="M393" t="n">
        <v>0</v>
      </c>
      <c r="N393" t="n">
        <v>0</v>
      </c>
      <c r="O393" t="n">
        <v>0</v>
      </c>
      <c r="P393" t="n">
        <v>0</v>
      </c>
      <c r="Q393" t="n">
        <v>0</v>
      </c>
      <c r="R393" s="2" t="inlineStr"/>
    </row>
    <row r="394" ht="15" customHeight="1">
      <c r="A394" t="inlineStr">
        <is>
          <t>A 3120-2022</t>
        </is>
      </c>
      <c r="B394" s="1" t="n">
        <v>44582</v>
      </c>
      <c r="C394" s="1" t="n">
        <v>46100</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50375-2024</t>
        </is>
      </c>
      <c r="B395" s="1" t="n">
        <v>45601.29311342593</v>
      </c>
      <c r="C395" s="1" t="n">
        <v>46100</v>
      </c>
      <c r="D395" t="inlineStr">
        <is>
          <t>ÖREBRO LÄN</t>
        </is>
      </c>
      <c r="E395" t="inlineStr">
        <is>
          <t>ÖREBRO</t>
        </is>
      </c>
      <c r="G395" t="n">
        <v>5</v>
      </c>
      <c r="H395" t="n">
        <v>0</v>
      </c>
      <c r="I395" t="n">
        <v>0</v>
      </c>
      <c r="J395" t="n">
        <v>0</v>
      </c>
      <c r="K395" t="n">
        <v>0</v>
      </c>
      <c r="L395" t="n">
        <v>0</v>
      </c>
      <c r="M395" t="n">
        <v>0</v>
      </c>
      <c r="N395" t="n">
        <v>0</v>
      </c>
      <c r="O395" t="n">
        <v>0</v>
      </c>
      <c r="P395" t="n">
        <v>0</v>
      </c>
      <c r="Q395" t="n">
        <v>0</v>
      </c>
      <c r="R395" s="2" t="inlineStr"/>
    </row>
    <row r="396" ht="15" customHeight="1">
      <c r="A396" t="inlineStr">
        <is>
          <t>A 19388-2024</t>
        </is>
      </c>
      <c r="B396" s="1" t="n">
        <v>45429.37775462963</v>
      </c>
      <c r="C396" s="1" t="n">
        <v>46100</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22045-2024</t>
        </is>
      </c>
      <c r="B397" s="1" t="n">
        <v>45443.61171296296</v>
      </c>
      <c r="C397" s="1" t="n">
        <v>46100</v>
      </c>
      <c r="D397" t="inlineStr">
        <is>
          <t>ÖREBRO LÄN</t>
        </is>
      </c>
      <c r="E397" t="inlineStr">
        <is>
          <t>ÖREBRO</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41669-2025</t>
        </is>
      </c>
      <c r="B398" s="1" t="n">
        <v>45902.36149305556</v>
      </c>
      <c r="C398" s="1" t="n">
        <v>46100</v>
      </c>
      <c r="D398" t="inlineStr">
        <is>
          <t>ÖREBRO LÄN</t>
        </is>
      </c>
      <c r="E398" t="inlineStr">
        <is>
          <t>ÖREBRO</t>
        </is>
      </c>
      <c r="G398" t="n">
        <v>2.8</v>
      </c>
      <c r="H398" t="n">
        <v>0</v>
      </c>
      <c r="I398" t="n">
        <v>0</v>
      </c>
      <c r="J398" t="n">
        <v>0</v>
      </c>
      <c r="K398" t="n">
        <v>0</v>
      </c>
      <c r="L398" t="n">
        <v>0</v>
      </c>
      <c r="M398" t="n">
        <v>0</v>
      </c>
      <c r="N398" t="n">
        <v>0</v>
      </c>
      <c r="O398" t="n">
        <v>0</v>
      </c>
      <c r="P398" t="n">
        <v>0</v>
      </c>
      <c r="Q398" t="n">
        <v>0</v>
      </c>
      <c r="R398" s="2" t="inlineStr"/>
    </row>
    <row r="399" ht="15" customHeight="1">
      <c r="A399" t="inlineStr">
        <is>
          <t>A 40597-2021</t>
        </is>
      </c>
      <c r="B399" s="1" t="n">
        <v>44420</v>
      </c>
      <c r="C399" s="1" t="n">
        <v>46100</v>
      </c>
      <c r="D399" t="inlineStr">
        <is>
          <t>ÖREBRO LÄN</t>
        </is>
      </c>
      <c r="E399" t="inlineStr">
        <is>
          <t>ÖREBRO</t>
        </is>
      </c>
      <c r="G399" t="n">
        <v>2.1</v>
      </c>
      <c r="H399" t="n">
        <v>0</v>
      </c>
      <c r="I399" t="n">
        <v>0</v>
      </c>
      <c r="J399" t="n">
        <v>0</v>
      </c>
      <c r="K399" t="n">
        <v>0</v>
      </c>
      <c r="L399" t="n">
        <v>0</v>
      </c>
      <c r="M399" t="n">
        <v>0</v>
      </c>
      <c r="N399" t="n">
        <v>0</v>
      </c>
      <c r="O399" t="n">
        <v>0</v>
      </c>
      <c r="P399" t="n">
        <v>0</v>
      </c>
      <c r="Q399" t="n">
        <v>0</v>
      </c>
      <c r="R399" s="2" t="inlineStr"/>
    </row>
    <row r="400" ht="15" customHeight="1">
      <c r="A400" t="inlineStr">
        <is>
          <t>A 3-2024</t>
        </is>
      </c>
      <c r="B400" s="1" t="n">
        <v>45292</v>
      </c>
      <c r="C400" s="1" t="n">
        <v>46100</v>
      </c>
      <c r="D400" t="inlineStr">
        <is>
          <t>ÖREBRO LÄN</t>
        </is>
      </c>
      <c r="E400" t="inlineStr">
        <is>
          <t>ÖREBRO</t>
        </is>
      </c>
      <c r="G400" t="n">
        <v>2.7</v>
      </c>
      <c r="H400" t="n">
        <v>0</v>
      </c>
      <c r="I400" t="n">
        <v>0</v>
      </c>
      <c r="J400" t="n">
        <v>0</v>
      </c>
      <c r="K400" t="n">
        <v>0</v>
      </c>
      <c r="L400" t="n">
        <v>0</v>
      </c>
      <c r="M400" t="n">
        <v>0</v>
      </c>
      <c r="N400" t="n">
        <v>0</v>
      </c>
      <c r="O400" t="n">
        <v>0</v>
      </c>
      <c r="P400" t="n">
        <v>0</v>
      </c>
      <c r="Q400" t="n">
        <v>0</v>
      </c>
      <c r="R400" s="2" t="inlineStr"/>
    </row>
    <row r="401" ht="15" customHeight="1">
      <c r="A401" t="inlineStr">
        <is>
          <t>A 21306-2024</t>
        </is>
      </c>
      <c r="B401" s="1" t="n">
        <v>45440.67883101852</v>
      </c>
      <c r="C401" s="1" t="n">
        <v>46100</v>
      </c>
      <c r="D401" t="inlineStr">
        <is>
          <t>ÖREBRO LÄN</t>
        </is>
      </c>
      <c r="E401" t="inlineStr">
        <is>
          <t>ÖREBRO</t>
        </is>
      </c>
      <c r="F401" t="inlineStr">
        <is>
          <t>Övriga Aktiebolag</t>
        </is>
      </c>
      <c r="G401" t="n">
        <v>2</v>
      </c>
      <c r="H401" t="n">
        <v>0</v>
      </c>
      <c r="I401" t="n">
        <v>0</v>
      </c>
      <c r="J401" t="n">
        <v>0</v>
      </c>
      <c r="K401" t="n">
        <v>0</v>
      </c>
      <c r="L401" t="n">
        <v>0</v>
      </c>
      <c r="M401" t="n">
        <v>0</v>
      </c>
      <c r="N401" t="n">
        <v>0</v>
      </c>
      <c r="O401" t="n">
        <v>0</v>
      </c>
      <c r="P401" t="n">
        <v>0</v>
      </c>
      <c r="Q401" t="n">
        <v>0</v>
      </c>
      <c r="R401" s="2" t="inlineStr"/>
    </row>
    <row r="402" ht="15" customHeight="1">
      <c r="A402" t="inlineStr">
        <is>
          <t>A 25578-2025</t>
        </is>
      </c>
      <c r="B402" s="1" t="n">
        <v>45803.47803240741</v>
      </c>
      <c r="C402" s="1" t="n">
        <v>46100</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1257-2022</t>
        </is>
      </c>
      <c r="B403" s="1" t="n">
        <v>44572</v>
      </c>
      <c r="C403" s="1" t="n">
        <v>46100</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2318-2023</t>
        </is>
      </c>
      <c r="B404" s="1" t="n">
        <v>44942</v>
      </c>
      <c r="C404" s="1" t="n">
        <v>46100</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20121-2024</t>
        </is>
      </c>
      <c r="B405" s="1" t="n">
        <v>45434</v>
      </c>
      <c r="C405" s="1" t="n">
        <v>46100</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20150-2024</t>
        </is>
      </c>
      <c r="B406" s="1" t="n">
        <v>45434.57969907407</v>
      </c>
      <c r="C406" s="1" t="n">
        <v>46100</v>
      </c>
      <c r="D406" t="inlineStr">
        <is>
          <t>ÖREBRO LÄN</t>
        </is>
      </c>
      <c r="E406" t="inlineStr">
        <is>
          <t>ÖREBRO</t>
        </is>
      </c>
      <c r="G406" t="n">
        <v>0.5</v>
      </c>
      <c r="H406" t="n">
        <v>0</v>
      </c>
      <c r="I406" t="n">
        <v>0</v>
      </c>
      <c r="J406" t="n">
        <v>0</v>
      </c>
      <c r="K406" t="n">
        <v>0</v>
      </c>
      <c r="L406" t="n">
        <v>0</v>
      </c>
      <c r="M406" t="n">
        <v>0</v>
      </c>
      <c r="N406" t="n">
        <v>0</v>
      </c>
      <c r="O406" t="n">
        <v>0</v>
      </c>
      <c r="P406" t="n">
        <v>0</v>
      </c>
      <c r="Q406" t="n">
        <v>0</v>
      </c>
      <c r="R406" s="2" t="inlineStr"/>
    </row>
    <row r="407" ht="15" customHeight="1">
      <c r="A407" t="inlineStr">
        <is>
          <t>A 25519-2025</t>
        </is>
      </c>
      <c r="B407" s="1" t="n">
        <v>45803.38447916666</v>
      </c>
      <c r="C407" s="1" t="n">
        <v>46100</v>
      </c>
      <c r="D407" t="inlineStr">
        <is>
          <t>ÖREBRO LÄN</t>
        </is>
      </c>
      <c r="E407" t="inlineStr">
        <is>
          <t>ÖREBRO</t>
        </is>
      </c>
      <c r="G407" t="n">
        <v>7.4</v>
      </c>
      <c r="H407" t="n">
        <v>0</v>
      </c>
      <c r="I407" t="n">
        <v>0</v>
      </c>
      <c r="J407" t="n">
        <v>0</v>
      </c>
      <c r="K407" t="n">
        <v>0</v>
      </c>
      <c r="L407" t="n">
        <v>0</v>
      </c>
      <c r="M407" t="n">
        <v>0</v>
      </c>
      <c r="N407" t="n">
        <v>0</v>
      </c>
      <c r="O407" t="n">
        <v>0</v>
      </c>
      <c r="P407" t="n">
        <v>0</v>
      </c>
      <c r="Q407" t="n">
        <v>0</v>
      </c>
      <c r="R407" s="2" t="inlineStr"/>
    </row>
    <row r="408" ht="15" customHeight="1">
      <c r="A408" t="inlineStr">
        <is>
          <t>A 64730-2023</t>
        </is>
      </c>
      <c r="B408" s="1" t="n">
        <v>45281</v>
      </c>
      <c r="C408" s="1" t="n">
        <v>46100</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767-2024</t>
        </is>
      </c>
      <c r="B409" s="1" t="n">
        <v>45300.51892361111</v>
      </c>
      <c r="C409" s="1" t="n">
        <v>46100</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6869-2025</t>
        </is>
      </c>
      <c r="B410" s="1" t="n">
        <v>45700</v>
      </c>
      <c r="C410" s="1" t="n">
        <v>46100</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4416-2023</t>
        </is>
      </c>
      <c r="B411" s="1" t="n">
        <v>44956</v>
      </c>
      <c r="C411" s="1" t="n">
        <v>46100</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52441-2024</t>
        </is>
      </c>
      <c r="B412" s="1" t="n">
        <v>45609.48451388889</v>
      </c>
      <c r="C412" s="1" t="n">
        <v>46100</v>
      </c>
      <c r="D412" t="inlineStr">
        <is>
          <t>ÖREBRO LÄN</t>
        </is>
      </c>
      <c r="E412" t="inlineStr">
        <is>
          <t>ÖREBRO</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58611-2024</t>
        </is>
      </c>
      <c r="B413" s="1" t="n">
        <v>45635.55555555555</v>
      </c>
      <c r="C413" s="1" t="n">
        <v>46100</v>
      </c>
      <c r="D413" t="inlineStr">
        <is>
          <t>ÖREBRO LÄN</t>
        </is>
      </c>
      <c r="E413" t="inlineStr">
        <is>
          <t>ÖREBRO</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16961-2022</t>
        </is>
      </c>
      <c r="B414" s="1" t="n">
        <v>44676</v>
      </c>
      <c r="C414" s="1" t="n">
        <v>46100</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17983-2025</t>
        </is>
      </c>
      <c r="B415" s="1" t="n">
        <v>45761.38829861111</v>
      </c>
      <c r="C415" s="1" t="n">
        <v>46100</v>
      </c>
      <c r="D415" t="inlineStr">
        <is>
          <t>ÖREBRO LÄN</t>
        </is>
      </c>
      <c r="E415" t="inlineStr">
        <is>
          <t>ÖREBRO</t>
        </is>
      </c>
      <c r="G415" t="n">
        <v>0.8</v>
      </c>
      <c r="H415" t="n">
        <v>0</v>
      </c>
      <c r="I415" t="n">
        <v>0</v>
      </c>
      <c r="J415" t="n">
        <v>0</v>
      </c>
      <c r="K415" t="n">
        <v>0</v>
      </c>
      <c r="L415" t="n">
        <v>0</v>
      </c>
      <c r="M415" t="n">
        <v>0</v>
      </c>
      <c r="N415" t="n">
        <v>0</v>
      </c>
      <c r="O415" t="n">
        <v>0</v>
      </c>
      <c r="P415" t="n">
        <v>0</v>
      </c>
      <c r="Q415" t="n">
        <v>0</v>
      </c>
      <c r="R415" s="2" t="inlineStr"/>
    </row>
    <row r="416" ht="15" customHeight="1">
      <c r="A416" t="inlineStr">
        <is>
          <t>A 38075-2022</t>
        </is>
      </c>
      <c r="B416" s="1" t="n">
        <v>44811</v>
      </c>
      <c r="C416" s="1" t="n">
        <v>46100</v>
      </c>
      <c r="D416" t="inlineStr">
        <is>
          <t>ÖREBRO LÄN</t>
        </is>
      </c>
      <c r="E416" t="inlineStr">
        <is>
          <t>ÖREBRO</t>
        </is>
      </c>
      <c r="G416" t="n">
        <v>0.2</v>
      </c>
      <c r="H416" t="n">
        <v>0</v>
      </c>
      <c r="I416" t="n">
        <v>0</v>
      </c>
      <c r="J416" t="n">
        <v>0</v>
      </c>
      <c r="K416" t="n">
        <v>0</v>
      </c>
      <c r="L416" t="n">
        <v>0</v>
      </c>
      <c r="M416" t="n">
        <v>0</v>
      </c>
      <c r="N416" t="n">
        <v>0</v>
      </c>
      <c r="O416" t="n">
        <v>0</v>
      </c>
      <c r="P416" t="n">
        <v>0</v>
      </c>
      <c r="Q416" t="n">
        <v>0</v>
      </c>
      <c r="R416" s="2" t="inlineStr"/>
    </row>
    <row r="417" ht="15" customHeight="1">
      <c r="A417" t="inlineStr">
        <is>
          <t>A 19831-2021</t>
        </is>
      </c>
      <c r="B417" s="1" t="n">
        <v>44313</v>
      </c>
      <c r="C417" s="1" t="n">
        <v>46100</v>
      </c>
      <c r="D417" t="inlineStr">
        <is>
          <t>ÖREBRO LÄN</t>
        </is>
      </c>
      <c r="E417" t="inlineStr">
        <is>
          <t>ÖREBRO</t>
        </is>
      </c>
      <c r="G417" t="n">
        <v>3.2</v>
      </c>
      <c r="H417" t="n">
        <v>0</v>
      </c>
      <c r="I417" t="n">
        <v>0</v>
      </c>
      <c r="J417" t="n">
        <v>0</v>
      </c>
      <c r="K417" t="n">
        <v>0</v>
      </c>
      <c r="L417" t="n">
        <v>0</v>
      </c>
      <c r="M417" t="n">
        <v>0</v>
      </c>
      <c r="N417" t="n">
        <v>0</v>
      </c>
      <c r="O417" t="n">
        <v>0</v>
      </c>
      <c r="P417" t="n">
        <v>0</v>
      </c>
      <c r="Q417" t="n">
        <v>0</v>
      </c>
      <c r="R417" s="2" t="inlineStr"/>
    </row>
    <row r="418" ht="15" customHeight="1">
      <c r="A418" t="inlineStr">
        <is>
          <t>A 5133-2024</t>
        </is>
      </c>
      <c r="B418" s="1" t="n">
        <v>45330</v>
      </c>
      <c r="C418" s="1" t="n">
        <v>46100</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58219-2024</t>
        </is>
      </c>
      <c r="B419" s="1" t="n">
        <v>45632</v>
      </c>
      <c r="C419" s="1" t="n">
        <v>46100</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23594-2023</t>
        </is>
      </c>
      <c r="B420" s="1" t="n">
        <v>45077</v>
      </c>
      <c r="C420" s="1" t="n">
        <v>46100</v>
      </c>
      <c r="D420" t="inlineStr">
        <is>
          <t>ÖREBRO LÄN</t>
        </is>
      </c>
      <c r="E420" t="inlineStr">
        <is>
          <t>ÖREBRO</t>
        </is>
      </c>
      <c r="G420" t="n">
        <v>9.9</v>
      </c>
      <c r="H420" t="n">
        <v>0</v>
      </c>
      <c r="I420" t="n">
        <v>0</v>
      </c>
      <c r="J420" t="n">
        <v>0</v>
      </c>
      <c r="K420" t="n">
        <v>0</v>
      </c>
      <c r="L420" t="n">
        <v>0</v>
      </c>
      <c r="M420" t="n">
        <v>0</v>
      </c>
      <c r="N420" t="n">
        <v>0</v>
      </c>
      <c r="O420" t="n">
        <v>0</v>
      </c>
      <c r="P420" t="n">
        <v>0</v>
      </c>
      <c r="Q420" t="n">
        <v>0</v>
      </c>
      <c r="R420" s="2" t="inlineStr"/>
    </row>
    <row r="421" ht="15" customHeight="1">
      <c r="A421" t="inlineStr">
        <is>
          <t>A 52444-2024</t>
        </is>
      </c>
      <c r="B421" s="1" t="n">
        <v>45609.48894675926</v>
      </c>
      <c r="C421" s="1" t="n">
        <v>46100</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52477-2024</t>
        </is>
      </c>
      <c r="B422" s="1" t="n">
        <v>45609</v>
      </c>
      <c r="C422" s="1" t="n">
        <v>46100</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41995-2024</t>
        </is>
      </c>
      <c r="B423" s="1" t="n">
        <v>45561.6475462963</v>
      </c>
      <c r="C423" s="1" t="n">
        <v>46100</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25996-2024</t>
        </is>
      </c>
      <c r="B424" s="1" t="n">
        <v>45467.89081018518</v>
      </c>
      <c r="C424" s="1" t="n">
        <v>46100</v>
      </c>
      <c r="D424" t="inlineStr">
        <is>
          <t>ÖREBRO LÄN</t>
        </is>
      </c>
      <c r="E424" t="inlineStr">
        <is>
          <t>ÖREBRO</t>
        </is>
      </c>
      <c r="G424" t="n">
        <v>4.7</v>
      </c>
      <c r="H424" t="n">
        <v>0</v>
      </c>
      <c r="I424" t="n">
        <v>0</v>
      </c>
      <c r="J424" t="n">
        <v>0</v>
      </c>
      <c r="K424" t="n">
        <v>0</v>
      </c>
      <c r="L424" t="n">
        <v>0</v>
      </c>
      <c r="M424" t="n">
        <v>0</v>
      </c>
      <c r="N424" t="n">
        <v>0</v>
      </c>
      <c r="O424" t="n">
        <v>0</v>
      </c>
      <c r="P424" t="n">
        <v>0</v>
      </c>
      <c r="Q424" t="n">
        <v>0</v>
      </c>
      <c r="R424" s="2" t="inlineStr"/>
    </row>
    <row r="425" ht="15" customHeight="1">
      <c r="A425" t="inlineStr">
        <is>
          <t>A 4284-2025</t>
        </is>
      </c>
      <c r="B425" s="1" t="n">
        <v>45685</v>
      </c>
      <c r="C425" s="1" t="n">
        <v>46100</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2771-2023</t>
        </is>
      </c>
      <c r="B426" s="1" t="n">
        <v>44944.64704861111</v>
      </c>
      <c r="C426" s="1" t="n">
        <v>46100</v>
      </c>
      <c r="D426" t="inlineStr">
        <is>
          <t>ÖREBRO LÄN</t>
        </is>
      </c>
      <c r="E426" t="inlineStr">
        <is>
          <t>ÖREBRO</t>
        </is>
      </c>
      <c r="G426" t="n">
        <v>15.4</v>
      </c>
      <c r="H426" t="n">
        <v>0</v>
      </c>
      <c r="I426" t="n">
        <v>0</v>
      </c>
      <c r="J426" t="n">
        <v>0</v>
      </c>
      <c r="K426" t="n">
        <v>0</v>
      </c>
      <c r="L426" t="n">
        <v>0</v>
      </c>
      <c r="M426" t="n">
        <v>0</v>
      </c>
      <c r="N426" t="n">
        <v>0</v>
      </c>
      <c r="O426" t="n">
        <v>0</v>
      </c>
      <c r="P426" t="n">
        <v>0</v>
      </c>
      <c r="Q426" t="n">
        <v>0</v>
      </c>
      <c r="R426" s="2" t="inlineStr"/>
    </row>
    <row r="427" ht="15" customHeight="1">
      <c r="A427" t="inlineStr">
        <is>
          <t>A 7611-2024</t>
        </is>
      </c>
      <c r="B427" s="1" t="n">
        <v>45348.58864583333</v>
      </c>
      <c r="C427" s="1" t="n">
        <v>46100</v>
      </c>
      <c r="D427" t="inlineStr">
        <is>
          <t>ÖREBRO LÄN</t>
        </is>
      </c>
      <c r="E427" t="inlineStr">
        <is>
          <t>ÖREBRO</t>
        </is>
      </c>
      <c r="G427" t="n">
        <v>4.2</v>
      </c>
      <c r="H427" t="n">
        <v>0</v>
      </c>
      <c r="I427" t="n">
        <v>0</v>
      </c>
      <c r="J427" t="n">
        <v>0</v>
      </c>
      <c r="K427" t="n">
        <v>0</v>
      </c>
      <c r="L427" t="n">
        <v>0</v>
      </c>
      <c r="M427" t="n">
        <v>0</v>
      </c>
      <c r="N427" t="n">
        <v>0</v>
      </c>
      <c r="O427" t="n">
        <v>0</v>
      </c>
      <c r="P427" t="n">
        <v>0</v>
      </c>
      <c r="Q427" t="n">
        <v>0</v>
      </c>
      <c r="R427" s="2" t="inlineStr"/>
    </row>
    <row r="428" ht="15" customHeight="1">
      <c r="A428" t="inlineStr">
        <is>
          <t>A 2076-2025</t>
        </is>
      </c>
      <c r="B428" s="1" t="n">
        <v>45672</v>
      </c>
      <c r="C428" s="1" t="n">
        <v>46100</v>
      </c>
      <c r="D428" t="inlineStr">
        <is>
          <t>ÖREBRO LÄN</t>
        </is>
      </c>
      <c r="E428" t="inlineStr">
        <is>
          <t>ÖREBRO</t>
        </is>
      </c>
      <c r="G428" t="n">
        <v>1</v>
      </c>
      <c r="H428" t="n">
        <v>0</v>
      </c>
      <c r="I428" t="n">
        <v>0</v>
      </c>
      <c r="J428" t="n">
        <v>0</v>
      </c>
      <c r="K428" t="n">
        <v>0</v>
      </c>
      <c r="L428" t="n">
        <v>0</v>
      </c>
      <c r="M428" t="n">
        <v>0</v>
      </c>
      <c r="N428" t="n">
        <v>0</v>
      </c>
      <c r="O428" t="n">
        <v>0</v>
      </c>
      <c r="P428" t="n">
        <v>0</v>
      </c>
      <c r="Q428" t="n">
        <v>0</v>
      </c>
      <c r="R428" s="2" t="inlineStr"/>
    </row>
    <row r="429" ht="15" customHeight="1">
      <c r="A429" t="inlineStr">
        <is>
          <t>A 15789-2023</t>
        </is>
      </c>
      <c r="B429" s="1" t="n">
        <v>45021.71539351852</v>
      </c>
      <c r="C429" s="1" t="n">
        <v>46100</v>
      </c>
      <c r="D429" t="inlineStr">
        <is>
          <t>ÖREBRO LÄN</t>
        </is>
      </c>
      <c r="E429" t="inlineStr">
        <is>
          <t>ÖREBRO</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52612-2024</t>
        </is>
      </c>
      <c r="B430" s="1" t="n">
        <v>45609</v>
      </c>
      <c r="C430" s="1" t="n">
        <v>46100</v>
      </c>
      <c r="D430" t="inlineStr">
        <is>
          <t>ÖREBRO LÄN</t>
        </is>
      </c>
      <c r="E430" t="inlineStr">
        <is>
          <t>ÖREBRO</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37786-2024</t>
        </is>
      </c>
      <c r="B431" s="1" t="n">
        <v>45542.82987268519</v>
      </c>
      <c r="C431" s="1" t="n">
        <v>46100</v>
      </c>
      <c r="D431" t="inlineStr">
        <is>
          <t>ÖREBRO LÄN</t>
        </is>
      </c>
      <c r="E431" t="inlineStr">
        <is>
          <t>ÖREBRO</t>
        </is>
      </c>
      <c r="G431" t="n">
        <v>3.1</v>
      </c>
      <c r="H431" t="n">
        <v>0</v>
      </c>
      <c r="I431" t="n">
        <v>0</v>
      </c>
      <c r="J431" t="n">
        <v>0</v>
      </c>
      <c r="K431" t="n">
        <v>0</v>
      </c>
      <c r="L431" t="n">
        <v>0</v>
      </c>
      <c r="M431" t="n">
        <v>0</v>
      </c>
      <c r="N431" t="n">
        <v>0</v>
      </c>
      <c r="O431" t="n">
        <v>0</v>
      </c>
      <c r="P431" t="n">
        <v>0</v>
      </c>
      <c r="Q431" t="n">
        <v>0</v>
      </c>
      <c r="R431" s="2" t="inlineStr"/>
    </row>
    <row r="432" ht="15" customHeight="1">
      <c r="A432" t="inlineStr">
        <is>
          <t>A 58216-2024</t>
        </is>
      </c>
      <c r="B432" s="1" t="n">
        <v>45632</v>
      </c>
      <c r="C432" s="1" t="n">
        <v>46100</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55875-2024</t>
        </is>
      </c>
      <c r="B433" s="1" t="n">
        <v>45623.55375</v>
      </c>
      <c r="C433" s="1" t="n">
        <v>46100</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3763-2025</t>
        </is>
      </c>
      <c r="B434" s="1" t="n">
        <v>45681</v>
      </c>
      <c r="C434" s="1" t="n">
        <v>46100</v>
      </c>
      <c r="D434" t="inlineStr">
        <is>
          <t>ÖREBRO LÄN</t>
        </is>
      </c>
      <c r="E434" t="inlineStr">
        <is>
          <t>ÖREBRO</t>
        </is>
      </c>
      <c r="G434" t="n">
        <v>10.1</v>
      </c>
      <c r="H434" t="n">
        <v>0</v>
      </c>
      <c r="I434" t="n">
        <v>0</v>
      </c>
      <c r="J434" t="n">
        <v>0</v>
      </c>
      <c r="K434" t="n">
        <v>0</v>
      </c>
      <c r="L434" t="n">
        <v>0</v>
      </c>
      <c r="M434" t="n">
        <v>0</v>
      </c>
      <c r="N434" t="n">
        <v>0</v>
      </c>
      <c r="O434" t="n">
        <v>0</v>
      </c>
      <c r="P434" t="n">
        <v>0</v>
      </c>
      <c r="Q434" t="n">
        <v>0</v>
      </c>
      <c r="R434" s="2" t="inlineStr"/>
    </row>
    <row r="435" ht="15" customHeight="1">
      <c r="A435" t="inlineStr">
        <is>
          <t>A 5324-2024</t>
        </is>
      </c>
      <c r="B435" s="1" t="n">
        <v>45331</v>
      </c>
      <c r="C435" s="1" t="n">
        <v>46100</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3841-2023</t>
        </is>
      </c>
      <c r="B436" s="1" t="n">
        <v>44951</v>
      </c>
      <c r="C436" s="1" t="n">
        <v>46100</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27180-2025</t>
        </is>
      </c>
      <c r="B437" s="1" t="n">
        <v>45812.35736111111</v>
      </c>
      <c r="C437" s="1" t="n">
        <v>46100</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27215-2025</t>
        </is>
      </c>
      <c r="B438" s="1" t="n">
        <v>45812.41869212963</v>
      </c>
      <c r="C438" s="1" t="n">
        <v>46100</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27225-2025</t>
        </is>
      </c>
      <c r="B439" s="1" t="n">
        <v>45812.42856481481</v>
      </c>
      <c r="C439" s="1" t="n">
        <v>46100</v>
      </c>
      <c r="D439" t="inlineStr">
        <is>
          <t>ÖREBRO LÄN</t>
        </is>
      </c>
      <c r="E439" t="inlineStr">
        <is>
          <t>ÖREBRO</t>
        </is>
      </c>
      <c r="G439" t="n">
        <v>4</v>
      </c>
      <c r="H439" t="n">
        <v>0</v>
      </c>
      <c r="I439" t="n">
        <v>0</v>
      </c>
      <c r="J439" t="n">
        <v>0</v>
      </c>
      <c r="K439" t="n">
        <v>0</v>
      </c>
      <c r="L439" t="n">
        <v>0</v>
      </c>
      <c r="M439" t="n">
        <v>0</v>
      </c>
      <c r="N439" t="n">
        <v>0</v>
      </c>
      <c r="O439" t="n">
        <v>0</v>
      </c>
      <c r="P439" t="n">
        <v>0</v>
      </c>
      <c r="Q439" t="n">
        <v>0</v>
      </c>
      <c r="R439" s="2" t="inlineStr"/>
    </row>
    <row r="440" ht="15" customHeight="1">
      <c r="A440" t="inlineStr">
        <is>
          <t>A 49215-2023</t>
        </is>
      </c>
      <c r="B440" s="1" t="n">
        <v>45210.61050925926</v>
      </c>
      <c r="C440" s="1" t="n">
        <v>46100</v>
      </c>
      <c r="D440" t="inlineStr">
        <is>
          <t>ÖREBRO LÄN</t>
        </is>
      </c>
      <c r="E440" t="inlineStr">
        <is>
          <t>ÖREBRO</t>
        </is>
      </c>
      <c r="F440" t="inlineStr">
        <is>
          <t>Övriga Aktiebolag</t>
        </is>
      </c>
      <c r="G440" t="n">
        <v>4.2</v>
      </c>
      <c r="H440" t="n">
        <v>0</v>
      </c>
      <c r="I440" t="n">
        <v>0</v>
      </c>
      <c r="J440" t="n">
        <v>0</v>
      </c>
      <c r="K440" t="n">
        <v>0</v>
      </c>
      <c r="L440" t="n">
        <v>0</v>
      </c>
      <c r="M440" t="n">
        <v>0</v>
      </c>
      <c r="N440" t="n">
        <v>0</v>
      </c>
      <c r="O440" t="n">
        <v>0</v>
      </c>
      <c r="P440" t="n">
        <v>0</v>
      </c>
      <c r="Q440" t="n">
        <v>0</v>
      </c>
      <c r="R440" s="2" t="inlineStr"/>
    </row>
    <row r="441" ht="15" customHeight="1">
      <c r="A441" t="inlineStr">
        <is>
          <t>A 18360-2024</t>
        </is>
      </c>
      <c r="B441" s="1" t="n">
        <v>45422</v>
      </c>
      <c r="C441" s="1" t="n">
        <v>46100</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16676-2025</t>
        </is>
      </c>
      <c r="B442" s="1" t="n">
        <v>45754.44658564815</v>
      </c>
      <c r="C442" s="1" t="n">
        <v>46100</v>
      </c>
      <c r="D442" t="inlineStr">
        <is>
          <t>ÖREBRO LÄN</t>
        </is>
      </c>
      <c r="E442" t="inlineStr">
        <is>
          <t>ÖREBRO</t>
        </is>
      </c>
      <c r="G442" t="n">
        <v>5.8</v>
      </c>
      <c r="H442" t="n">
        <v>0</v>
      </c>
      <c r="I442" t="n">
        <v>0</v>
      </c>
      <c r="J442" t="n">
        <v>0</v>
      </c>
      <c r="K442" t="n">
        <v>0</v>
      </c>
      <c r="L442" t="n">
        <v>0</v>
      </c>
      <c r="M442" t="n">
        <v>0</v>
      </c>
      <c r="N442" t="n">
        <v>0</v>
      </c>
      <c r="O442" t="n">
        <v>0</v>
      </c>
      <c r="P442" t="n">
        <v>0</v>
      </c>
      <c r="Q442" t="n">
        <v>0</v>
      </c>
      <c r="R442" s="2" t="inlineStr"/>
    </row>
    <row r="443" ht="15" customHeight="1">
      <c r="A443" t="inlineStr">
        <is>
          <t>A 27220-2025</t>
        </is>
      </c>
      <c r="B443" s="1" t="n">
        <v>45812.42293981482</v>
      </c>
      <c r="C443" s="1" t="n">
        <v>46100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5357-2024</t>
        </is>
      </c>
      <c r="B444" s="1" t="n">
        <v>45331</v>
      </c>
      <c r="C444" s="1" t="n">
        <v>46100</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57243-2022</t>
        </is>
      </c>
      <c r="B445" s="1" t="n">
        <v>44895.71835648148</v>
      </c>
      <c r="C445" s="1" t="n">
        <v>46100</v>
      </c>
      <c r="D445" t="inlineStr">
        <is>
          <t>ÖREBRO LÄN</t>
        </is>
      </c>
      <c r="E445" t="inlineStr">
        <is>
          <t>ÖREBRO</t>
        </is>
      </c>
      <c r="G445" t="n">
        <v>6</v>
      </c>
      <c r="H445" t="n">
        <v>0</v>
      </c>
      <c r="I445" t="n">
        <v>0</v>
      </c>
      <c r="J445" t="n">
        <v>0</v>
      </c>
      <c r="K445" t="n">
        <v>0</v>
      </c>
      <c r="L445" t="n">
        <v>0</v>
      </c>
      <c r="M445" t="n">
        <v>0</v>
      </c>
      <c r="N445" t="n">
        <v>0</v>
      </c>
      <c r="O445" t="n">
        <v>0</v>
      </c>
      <c r="P445" t="n">
        <v>0</v>
      </c>
      <c r="Q445" t="n">
        <v>0</v>
      </c>
      <c r="R445" s="2" t="inlineStr"/>
    </row>
    <row r="446" ht="15" customHeight="1">
      <c r="A446" t="inlineStr">
        <is>
          <t>A 44960-2025</t>
        </is>
      </c>
      <c r="B446" s="1" t="n">
        <v>45918.61577546296</v>
      </c>
      <c r="C446" s="1" t="n">
        <v>46100</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43399-2022</t>
        </is>
      </c>
      <c r="B447" s="1" t="n">
        <v>44834</v>
      </c>
      <c r="C447" s="1" t="n">
        <v>46100</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40051-2024</t>
        </is>
      </c>
      <c r="B448" s="1" t="n">
        <v>45553</v>
      </c>
      <c r="C448" s="1" t="n">
        <v>46100</v>
      </c>
      <c r="D448" t="inlineStr">
        <is>
          <t>ÖREBRO LÄN</t>
        </is>
      </c>
      <c r="E448" t="inlineStr">
        <is>
          <t>ÖREBRO</t>
        </is>
      </c>
      <c r="G448" t="n">
        <v>3.5</v>
      </c>
      <c r="H448" t="n">
        <v>0</v>
      </c>
      <c r="I448" t="n">
        <v>0</v>
      </c>
      <c r="J448" t="n">
        <v>0</v>
      </c>
      <c r="K448" t="n">
        <v>0</v>
      </c>
      <c r="L448" t="n">
        <v>0</v>
      </c>
      <c r="M448" t="n">
        <v>0</v>
      </c>
      <c r="N448" t="n">
        <v>0</v>
      </c>
      <c r="O448" t="n">
        <v>0</v>
      </c>
      <c r="P448" t="n">
        <v>0</v>
      </c>
      <c r="Q448" t="n">
        <v>0</v>
      </c>
      <c r="R448" s="2" t="inlineStr"/>
    </row>
    <row r="449" ht="15" customHeight="1">
      <c r="A449" t="inlineStr">
        <is>
          <t>A 50446-2023</t>
        </is>
      </c>
      <c r="B449" s="1" t="n">
        <v>45216</v>
      </c>
      <c r="C449" s="1" t="n">
        <v>46100</v>
      </c>
      <c r="D449" t="inlineStr">
        <is>
          <t>ÖREBRO LÄN</t>
        </is>
      </c>
      <c r="E449" t="inlineStr">
        <is>
          <t>ÖREBRO</t>
        </is>
      </c>
      <c r="F449" t="inlineStr">
        <is>
          <t>Övriga Aktiebolag</t>
        </is>
      </c>
      <c r="G449" t="n">
        <v>2.8</v>
      </c>
      <c r="H449" t="n">
        <v>0</v>
      </c>
      <c r="I449" t="n">
        <v>0</v>
      </c>
      <c r="J449" t="n">
        <v>0</v>
      </c>
      <c r="K449" t="n">
        <v>0</v>
      </c>
      <c r="L449" t="n">
        <v>0</v>
      </c>
      <c r="M449" t="n">
        <v>0</v>
      </c>
      <c r="N449" t="n">
        <v>0</v>
      </c>
      <c r="O449" t="n">
        <v>0</v>
      </c>
      <c r="P449" t="n">
        <v>0</v>
      </c>
      <c r="Q449" t="n">
        <v>0</v>
      </c>
      <c r="R449" s="2" t="inlineStr"/>
    </row>
    <row r="450" ht="15" customHeight="1">
      <c r="A450" t="inlineStr">
        <is>
          <t>A 50450-2023</t>
        </is>
      </c>
      <c r="B450" s="1" t="n">
        <v>45216.73533564815</v>
      </c>
      <c r="C450" s="1" t="n">
        <v>46100</v>
      </c>
      <c r="D450" t="inlineStr">
        <is>
          <t>ÖREBRO LÄN</t>
        </is>
      </c>
      <c r="E450" t="inlineStr">
        <is>
          <t>ÖREBRO</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28120-2025</t>
        </is>
      </c>
      <c r="B451" s="1" t="n">
        <v>45818.30459490741</v>
      </c>
      <c r="C451" s="1" t="n">
        <v>46100</v>
      </c>
      <c r="D451" t="inlineStr">
        <is>
          <t>ÖREBRO LÄN</t>
        </is>
      </c>
      <c r="E451" t="inlineStr">
        <is>
          <t>ÖREBRO</t>
        </is>
      </c>
      <c r="G451" t="n">
        <v>1.5</v>
      </c>
      <c r="H451" t="n">
        <v>0</v>
      </c>
      <c r="I451" t="n">
        <v>0</v>
      </c>
      <c r="J451" t="n">
        <v>0</v>
      </c>
      <c r="K451" t="n">
        <v>0</v>
      </c>
      <c r="L451" t="n">
        <v>0</v>
      </c>
      <c r="M451" t="n">
        <v>0</v>
      </c>
      <c r="N451" t="n">
        <v>0</v>
      </c>
      <c r="O451" t="n">
        <v>0</v>
      </c>
      <c r="P451" t="n">
        <v>0</v>
      </c>
      <c r="Q451" t="n">
        <v>0</v>
      </c>
      <c r="R451" s="2" t="inlineStr"/>
    </row>
    <row r="452" ht="15" customHeight="1">
      <c r="A452" t="inlineStr">
        <is>
          <t>A 26117-2021</t>
        </is>
      </c>
      <c r="B452" s="1" t="n">
        <v>44345</v>
      </c>
      <c r="C452" s="1" t="n">
        <v>46100</v>
      </c>
      <c r="D452" t="inlineStr">
        <is>
          <t>ÖREBRO LÄN</t>
        </is>
      </c>
      <c r="E452" t="inlineStr">
        <is>
          <t>ÖREBRO</t>
        </is>
      </c>
      <c r="G452" t="n">
        <v>8.1</v>
      </c>
      <c r="H452" t="n">
        <v>0</v>
      </c>
      <c r="I452" t="n">
        <v>0</v>
      </c>
      <c r="J452" t="n">
        <v>0</v>
      </c>
      <c r="K452" t="n">
        <v>0</v>
      </c>
      <c r="L452" t="n">
        <v>0</v>
      </c>
      <c r="M452" t="n">
        <v>0</v>
      </c>
      <c r="N452" t="n">
        <v>0</v>
      </c>
      <c r="O452" t="n">
        <v>0</v>
      </c>
      <c r="P452" t="n">
        <v>0</v>
      </c>
      <c r="Q452" t="n">
        <v>0</v>
      </c>
      <c r="R452" s="2" t="inlineStr"/>
    </row>
    <row r="453" ht="15" customHeight="1">
      <c r="A453" t="inlineStr">
        <is>
          <t>A 44875-2025</t>
        </is>
      </c>
      <c r="B453" s="1" t="n">
        <v>45918.47043981482</v>
      </c>
      <c r="C453" s="1" t="n">
        <v>46100</v>
      </c>
      <c r="D453" t="inlineStr">
        <is>
          <t>ÖREBRO LÄN</t>
        </is>
      </c>
      <c r="E453" t="inlineStr">
        <is>
          <t>ÖREBRO</t>
        </is>
      </c>
      <c r="G453" t="n">
        <v>1.4</v>
      </c>
      <c r="H453" t="n">
        <v>0</v>
      </c>
      <c r="I453" t="n">
        <v>0</v>
      </c>
      <c r="J453" t="n">
        <v>0</v>
      </c>
      <c r="K453" t="n">
        <v>0</v>
      </c>
      <c r="L453" t="n">
        <v>0</v>
      </c>
      <c r="M453" t="n">
        <v>0</v>
      </c>
      <c r="N453" t="n">
        <v>0</v>
      </c>
      <c r="O453" t="n">
        <v>0</v>
      </c>
      <c r="P453" t="n">
        <v>0</v>
      </c>
      <c r="Q453" t="n">
        <v>0</v>
      </c>
      <c r="R453" s="2" t="inlineStr"/>
    </row>
    <row r="454" ht="15" customHeight="1">
      <c r="A454" t="inlineStr">
        <is>
          <t>A 19553-2023</t>
        </is>
      </c>
      <c r="B454" s="1" t="n">
        <v>45050</v>
      </c>
      <c r="C454" s="1" t="n">
        <v>46100</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14291-2023</t>
        </is>
      </c>
      <c r="B455" s="1" t="n">
        <v>45010</v>
      </c>
      <c r="C455" s="1" t="n">
        <v>46100</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6879-2024</t>
        </is>
      </c>
      <c r="B456" s="1" t="n">
        <v>45342.85280092592</v>
      </c>
      <c r="C456" s="1" t="n">
        <v>46100</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58032-2023</t>
        </is>
      </c>
      <c r="B457" s="1" t="n">
        <v>45247</v>
      </c>
      <c r="C457" s="1" t="n">
        <v>46100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58035-2023</t>
        </is>
      </c>
      <c r="B458" s="1" t="n">
        <v>45247</v>
      </c>
      <c r="C458" s="1" t="n">
        <v>46100</v>
      </c>
      <c r="D458" t="inlineStr">
        <is>
          <t>ÖREBRO LÄN</t>
        </is>
      </c>
      <c r="E458" t="inlineStr">
        <is>
          <t>ÖREBRO</t>
        </is>
      </c>
      <c r="G458" t="n">
        <v>1.4</v>
      </c>
      <c r="H458" t="n">
        <v>0</v>
      </c>
      <c r="I458" t="n">
        <v>0</v>
      </c>
      <c r="J458" t="n">
        <v>0</v>
      </c>
      <c r="K458" t="n">
        <v>0</v>
      </c>
      <c r="L458" t="n">
        <v>0</v>
      </c>
      <c r="M458" t="n">
        <v>0</v>
      </c>
      <c r="N458" t="n">
        <v>0</v>
      </c>
      <c r="O458" t="n">
        <v>0</v>
      </c>
      <c r="P458" t="n">
        <v>0</v>
      </c>
      <c r="Q458" t="n">
        <v>0</v>
      </c>
      <c r="R458" s="2" t="inlineStr"/>
    </row>
    <row r="459" ht="15" customHeight="1">
      <c r="A459" t="inlineStr">
        <is>
          <t>A 28938-2025</t>
        </is>
      </c>
      <c r="B459" s="1" t="n">
        <v>45820.70626157407</v>
      </c>
      <c r="C459" s="1" t="n">
        <v>46100</v>
      </c>
      <c r="D459" t="inlineStr">
        <is>
          <t>ÖREBRO LÄN</t>
        </is>
      </c>
      <c r="E459" t="inlineStr">
        <is>
          <t>ÖREBRO</t>
        </is>
      </c>
      <c r="G459" t="n">
        <v>1.9</v>
      </c>
      <c r="H459" t="n">
        <v>0</v>
      </c>
      <c r="I459" t="n">
        <v>0</v>
      </c>
      <c r="J459" t="n">
        <v>0</v>
      </c>
      <c r="K459" t="n">
        <v>0</v>
      </c>
      <c r="L459" t="n">
        <v>0</v>
      </c>
      <c r="M459" t="n">
        <v>0</v>
      </c>
      <c r="N459" t="n">
        <v>0</v>
      </c>
      <c r="O459" t="n">
        <v>0</v>
      </c>
      <c r="P459" t="n">
        <v>0</v>
      </c>
      <c r="Q459" t="n">
        <v>0</v>
      </c>
      <c r="R459" s="2" t="inlineStr"/>
    </row>
    <row r="460" ht="15" customHeight="1">
      <c r="A460" t="inlineStr">
        <is>
          <t>A 58527-2024</t>
        </is>
      </c>
      <c r="B460" s="1" t="n">
        <v>45635.44388888889</v>
      </c>
      <c r="C460" s="1" t="n">
        <v>46100</v>
      </c>
      <c r="D460" t="inlineStr">
        <is>
          <t>ÖREBRO LÄN</t>
        </is>
      </c>
      <c r="E460" t="inlineStr">
        <is>
          <t>ÖREBRO</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55593-2022</t>
        </is>
      </c>
      <c r="B461" s="1" t="n">
        <v>44888</v>
      </c>
      <c r="C461" s="1" t="n">
        <v>46100</v>
      </c>
      <c r="D461" t="inlineStr">
        <is>
          <t>ÖREBRO LÄN</t>
        </is>
      </c>
      <c r="E461" t="inlineStr">
        <is>
          <t>ÖREBRO</t>
        </is>
      </c>
      <c r="G461" t="n">
        <v>3.6</v>
      </c>
      <c r="H461" t="n">
        <v>0</v>
      </c>
      <c r="I461" t="n">
        <v>0</v>
      </c>
      <c r="J461" t="n">
        <v>0</v>
      </c>
      <c r="K461" t="n">
        <v>0</v>
      </c>
      <c r="L461" t="n">
        <v>0</v>
      </c>
      <c r="M461" t="n">
        <v>0</v>
      </c>
      <c r="N461" t="n">
        <v>0</v>
      </c>
      <c r="O461" t="n">
        <v>0</v>
      </c>
      <c r="P461" t="n">
        <v>0</v>
      </c>
      <c r="Q461" t="n">
        <v>0</v>
      </c>
      <c r="R461" s="2" t="inlineStr"/>
    </row>
    <row r="462" ht="15" customHeight="1">
      <c r="A462" t="inlineStr">
        <is>
          <t>A 28920-2025</t>
        </is>
      </c>
      <c r="B462" s="1" t="n">
        <v>45820.66532407407</v>
      </c>
      <c r="C462" s="1" t="n">
        <v>46100</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7506-2025</t>
        </is>
      </c>
      <c r="B463" s="1" t="n">
        <v>45705</v>
      </c>
      <c r="C463" s="1" t="n">
        <v>46100</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29339-2025</t>
        </is>
      </c>
      <c r="B464" s="1" t="n">
        <v>45824.5044212963</v>
      </c>
      <c r="C464" s="1" t="n">
        <v>46100</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60059-2023</t>
        </is>
      </c>
      <c r="B465" s="1" t="n">
        <v>45258.38157407408</v>
      </c>
      <c r="C465" s="1" t="n">
        <v>46100</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26858-2024</t>
        </is>
      </c>
      <c r="B466" s="1" t="n">
        <v>45470</v>
      </c>
      <c r="C466" s="1" t="n">
        <v>46100</v>
      </c>
      <c r="D466" t="inlineStr">
        <is>
          <t>ÖREBRO LÄN</t>
        </is>
      </c>
      <c r="E466" t="inlineStr">
        <is>
          <t>ÖREBRO</t>
        </is>
      </c>
      <c r="G466" t="n">
        <v>2.3</v>
      </c>
      <c r="H466" t="n">
        <v>0</v>
      </c>
      <c r="I466" t="n">
        <v>0</v>
      </c>
      <c r="J466" t="n">
        <v>0</v>
      </c>
      <c r="K466" t="n">
        <v>0</v>
      </c>
      <c r="L466" t="n">
        <v>0</v>
      </c>
      <c r="M466" t="n">
        <v>0</v>
      </c>
      <c r="N466" t="n">
        <v>0</v>
      </c>
      <c r="O466" t="n">
        <v>0</v>
      </c>
      <c r="P466" t="n">
        <v>0</v>
      </c>
      <c r="Q466" t="n">
        <v>0</v>
      </c>
      <c r="R466" s="2" t="inlineStr"/>
    </row>
    <row r="467" ht="15" customHeight="1">
      <c r="A467" t="inlineStr">
        <is>
          <t>A 29701-2025</t>
        </is>
      </c>
      <c r="B467" s="1" t="n">
        <v>45825.55261574074</v>
      </c>
      <c r="C467" s="1" t="n">
        <v>46100</v>
      </c>
      <c r="D467" t="inlineStr">
        <is>
          <t>ÖREBRO LÄN</t>
        </is>
      </c>
      <c r="E467" t="inlineStr">
        <is>
          <t>ÖREBRO</t>
        </is>
      </c>
      <c r="G467" t="n">
        <v>5.8</v>
      </c>
      <c r="H467" t="n">
        <v>0</v>
      </c>
      <c r="I467" t="n">
        <v>0</v>
      </c>
      <c r="J467" t="n">
        <v>0</v>
      </c>
      <c r="K467" t="n">
        <v>0</v>
      </c>
      <c r="L467" t="n">
        <v>0</v>
      </c>
      <c r="M467" t="n">
        <v>0</v>
      </c>
      <c r="N467" t="n">
        <v>0</v>
      </c>
      <c r="O467" t="n">
        <v>0</v>
      </c>
      <c r="P467" t="n">
        <v>0</v>
      </c>
      <c r="Q467" t="n">
        <v>0</v>
      </c>
      <c r="R467" s="2" t="inlineStr"/>
    </row>
    <row r="468" ht="15" customHeight="1">
      <c r="A468" t="inlineStr">
        <is>
          <t>A 31240-2023</t>
        </is>
      </c>
      <c r="B468" s="1" t="n">
        <v>45114</v>
      </c>
      <c r="C468" s="1" t="n">
        <v>46100</v>
      </c>
      <c r="D468" t="inlineStr">
        <is>
          <t>ÖREBRO LÄN</t>
        </is>
      </c>
      <c r="E468" t="inlineStr">
        <is>
          <t>ÖREBRO</t>
        </is>
      </c>
      <c r="F468" t="inlineStr">
        <is>
          <t>Allmännings- och besparingsskogar</t>
        </is>
      </c>
      <c r="G468" t="n">
        <v>6.2</v>
      </c>
      <c r="H468" t="n">
        <v>0</v>
      </c>
      <c r="I468" t="n">
        <v>0</v>
      </c>
      <c r="J468" t="n">
        <v>0</v>
      </c>
      <c r="K468" t="n">
        <v>0</v>
      </c>
      <c r="L468" t="n">
        <v>0</v>
      </c>
      <c r="M468" t="n">
        <v>0</v>
      </c>
      <c r="N468" t="n">
        <v>0</v>
      </c>
      <c r="O468" t="n">
        <v>0</v>
      </c>
      <c r="P468" t="n">
        <v>0</v>
      </c>
      <c r="Q468" t="n">
        <v>0</v>
      </c>
      <c r="R468" s="2" t="inlineStr"/>
    </row>
    <row r="469" ht="15" customHeight="1">
      <c r="A469" t="inlineStr">
        <is>
          <t>A 29286-2025</t>
        </is>
      </c>
      <c r="B469" s="1" t="n">
        <v>45824.43502314815</v>
      </c>
      <c r="C469" s="1" t="n">
        <v>46100</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63142-2023</t>
        </is>
      </c>
      <c r="B470" s="1" t="n">
        <v>45273</v>
      </c>
      <c r="C470" s="1" t="n">
        <v>46100</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14717-2024</t>
        </is>
      </c>
      <c r="B471" s="1" t="n">
        <v>45397.55104166667</v>
      </c>
      <c r="C471" s="1" t="n">
        <v>46100</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46100</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59121-2024</t>
        </is>
      </c>
      <c r="B473" s="1" t="n">
        <v>45637.37755787037</v>
      </c>
      <c r="C473" s="1" t="n">
        <v>46100</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9704-2023</t>
        </is>
      </c>
      <c r="B474" s="1" t="n">
        <v>44984</v>
      </c>
      <c r="C474" s="1" t="n">
        <v>46100</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37968-2024</t>
        </is>
      </c>
      <c r="B475" s="1" t="n">
        <v>45544</v>
      </c>
      <c r="C475" s="1" t="n">
        <v>46100</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12099-2023</t>
        </is>
      </c>
      <c r="B476" s="1" t="n">
        <v>44998.37043981482</v>
      </c>
      <c r="C476" s="1" t="n">
        <v>46100</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25443-2021</t>
        </is>
      </c>
      <c r="B477" s="1" t="n">
        <v>44342</v>
      </c>
      <c r="C477" s="1" t="n">
        <v>46100</v>
      </c>
      <c r="D477" t="inlineStr">
        <is>
          <t>ÖREBRO LÄN</t>
        </is>
      </c>
      <c r="E477" t="inlineStr">
        <is>
          <t>ÖREBRO</t>
        </is>
      </c>
      <c r="G477" t="n">
        <v>1</v>
      </c>
      <c r="H477" t="n">
        <v>0</v>
      </c>
      <c r="I477" t="n">
        <v>0</v>
      </c>
      <c r="J477" t="n">
        <v>0</v>
      </c>
      <c r="K477" t="n">
        <v>0</v>
      </c>
      <c r="L477" t="n">
        <v>0</v>
      </c>
      <c r="M477" t="n">
        <v>0</v>
      </c>
      <c r="N477" t="n">
        <v>0</v>
      </c>
      <c r="O477" t="n">
        <v>0</v>
      </c>
      <c r="P477" t="n">
        <v>0</v>
      </c>
      <c r="Q477" t="n">
        <v>0</v>
      </c>
      <c r="R477" s="2" t="inlineStr"/>
    </row>
    <row r="478" ht="15" customHeight="1">
      <c r="A478" t="inlineStr">
        <is>
          <t>A 13700-2024</t>
        </is>
      </c>
      <c r="B478" s="1" t="n">
        <v>45390.59277777778</v>
      </c>
      <c r="C478" s="1" t="n">
        <v>46100</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30550-2025</t>
        </is>
      </c>
      <c r="B479" s="1" t="n">
        <v>45831.38224537037</v>
      </c>
      <c r="C479" s="1" t="n">
        <v>46100</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17869-2024</t>
        </is>
      </c>
      <c r="B480" s="1" t="n">
        <v>45419</v>
      </c>
      <c r="C480" s="1" t="n">
        <v>46100</v>
      </c>
      <c r="D480" t="inlineStr">
        <is>
          <t>ÖREBRO LÄN</t>
        </is>
      </c>
      <c r="E480" t="inlineStr">
        <is>
          <t>ÖREBRO</t>
        </is>
      </c>
      <c r="G480" t="n">
        <v>3.7</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44593.63974537037</v>
      </c>
      <c r="C481" s="1" t="n">
        <v>46100</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30731-2025</t>
        </is>
      </c>
      <c r="B482" s="1" t="n">
        <v>45831.57280092593</v>
      </c>
      <c r="C482" s="1" t="n">
        <v>46100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10832-2023</t>
        </is>
      </c>
      <c r="B483" s="1" t="n">
        <v>44990.91711805556</v>
      </c>
      <c r="C483" s="1" t="n">
        <v>46100</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31232-2025</t>
        </is>
      </c>
      <c r="B484" s="1" t="n">
        <v>45832.8252199074</v>
      </c>
      <c r="C484" s="1" t="n">
        <v>46100</v>
      </c>
      <c r="D484" t="inlineStr">
        <is>
          <t>ÖREBRO LÄN</t>
        </is>
      </c>
      <c r="E484" t="inlineStr">
        <is>
          <t>ÖREBRO</t>
        </is>
      </c>
      <c r="F484" t="inlineStr">
        <is>
          <t>Övriga Aktiebolag</t>
        </is>
      </c>
      <c r="G484" t="n">
        <v>2.1</v>
      </c>
      <c r="H484" t="n">
        <v>0</v>
      </c>
      <c r="I484" t="n">
        <v>0</v>
      </c>
      <c r="J484" t="n">
        <v>0</v>
      </c>
      <c r="K484" t="n">
        <v>0</v>
      </c>
      <c r="L484" t="n">
        <v>0</v>
      </c>
      <c r="M484" t="n">
        <v>0</v>
      </c>
      <c r="N484" t="n">
        <v>0</v>
      </c>
      <c r="O484" t="n">
        <v>0</v>
      </c>
      <c r="P484" t="n">
        <v>0</v>
      </c>
      <c r="Q484" t="n">
        <v>0</v>
      </c>
      <c r="R484" s="2" t="inlineStr"/>
    </row>
    <row r="485" ht="15" customHeight="1">
      <c r="A485" t="inlineStr">
        <is>
          <t>A 51248-2025</t>
        </is>
      </c>
      <c r="B485" s="1" t="n">
        <v>45948.450625</v>
      </c>
      <c r="C485" s="1" t="n">
        <v>46100</v>
      </c>
      <c r="D485" t="inlineStr">
        <is>
          <t>ÖREBRO LÄN</t>
        </is>
      </c>
      <c r="E485" t="inlineStr">
        <is>
          <t>ÖREBRO</t>
        </is>
      </c>
      <c r="G485" t="n">
        <v>4.4</v>
      </c>
      <c r="H485" t="n">
        <v>0</v>
      </c>
      <c r="I485" t="n">
        <v>0</v>
      </c>
      <c r="J485" t="n">
        <v>0</v>
      </c>
      <c r="K485" t="n">
        <v>0</v>
      </c>
      <c r="L485" t="n">
        <v>0</v>
      </c>
      <c r="M485" t="n">
        <v>0</v>
      </c>
      <c r="N485" t="n">
        <v>0</v>
      </c>
      <c r="O485" t="n">
        <v>0</v>
      </c>
      <c r="P485" t="n">
        <v>0</v>
      </c>
      <c r="Q485" t="n">
        <v>0</v>
      </c>
      <c r="R485" s="2" t="inlineStr"/>
    </row>
    <row r="486" ht="15" customHeight="1">
      <c r="A486" t="inlineStr">
        <is>
          <t>A 30951-2025</t>
        </is>
      </c>
      <c r="B486" s="1" t="n">
        <v>45832.43225694444</v>
      </c>
      <c r="C486" s="1" t="n">
        <v>46100</v>
      </c>
      <c r="D486" t="inlineStr">
        <is>
          <t>ÖREBRO LÄN</t>
        </is>
      </c>
      <c r="E486" t="inlineStr">
        <is>
          <t>ÖREBRO</t>
        </is>
      </c>
      <c r="F486" t="inlineStr">
        <is>
          <t>Övriga Aktiebolag</t>
        </is>
      </c>
      <c r="G486" t="n">
        <v>2.3</v>
      </c>
      <c r="H486" t="n">
        <v>0</v>
      </c>
      <c r="I486" t="n">
        <v>0</v>
      </c>
      <c r="J486" t="n">
        <v>0</v>
      </c>
      <c r="K486" t="n">
        <v>0</v>
      </c>
      <c r="L486" t="n">
        <v>0</v>
      </c>
      <c r="M486" t="n">
        <v>0</v>
      </c>
      <c r="N486" t="n">
        <v>0</v>
      </c>
      <c r="O486" t="n">
        <v>0</v>
      </c>
      <c r="P486" t="n">
        <v>0</v>
      </c>
      <c r="Q486" t="n">
        <v>0</v>
      </c>
      <c r="R486" s="2" t="inlineStr"/>
    </row>
    <row r="487" ht="15" customHeight="1">
      <c r="A487" t="inlineStr">
        <is>
          <t>A 31233-2025</t>
        </is>
      </c>
      <c r="B487" s="1" t="n">
        <v>45832.83341435185</v>
      </c>
      <c r="C487" s="1" t="n">
        <v>46100</v>
      </c>
      <c r="D487" t="inlineStr">
        <is>
          <t>ÖREBRO LÄN</t>
        </is>
      </c>
      <c r="E487" t="inlineStr">
        <is>
          <t>ÖREBRO</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51249-2025</t>
        </is>
      </c>
      <c r="B488" s="1" t="n">
        <v>45948.45704861111</v>
      </c>
      <c r="C488" s="1" t="n">
        <v>46100</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31237-2025</t>
        </is>
      </c>
      <c r="B489" s="1" t="n">
        <v>45832.84313657408</v>
      </c>
      <c r="C489" s="1" t="n">
        <v>46100</v>
      </c>
      <c r="D489" t="inlineStr">
        <is>
          <t>ÖREBRO LÄN</t>
        </is>
      </c>
      <c r="E489" t="inlineStr">
        <is>
          <t>ÖREBRO</t>
        </is>
      </c>
      <c r="F489" t="inlineStr">
        <is>
          <t>Övriga Aktiebolag</t>
        </is>
      </c>
      <c r="G489" t="n">
        <v>1.7</v>
      </c>
      <c r="H489" t="n">
        <v>0</v>
      </c>
      <c r="I489" t="n">
        <v>0</v>
      </c>
      <c r="J489" t="n">
        <v>0</v>
      </c>
      <c r="K489" t="n">
        <v>0</v>
      </c>
      <c r="L489" t="n">
        <v>0</v>
      </c>
      <c r="M489" t="n">
        <v>0</v>
      </c>
      <c r="N489" t="n">
        <v>0</v>
      </c>
      <c r="O489" t="n">
        <v>0</v>
      </c>
      <c r="P489" t="n">
        <v>0</v>
      </c>
      <c r="Q489" t="n">
        <v>0</v>
      </c>
      <c r="R489" s="2" t="inlineStr"/>
    </row>
    <row r="490" ht="15" customHeight="1">
      <c r="A490" t="inlineStr">
        <is>
          <t>A 48581-2024</t>
        </is>
      </c>
      <c r="B490" s="1" t="n">
        <v>45593.41642361111</v>
      </c>
      <c r="C490" s="1" t="n">
        <v>46100</v>
      </c>
      <c r="D490" t="inlineStr">
        <is>
          <t>ÖREBRO LÄN</t>
        </is>
      </c>
      <c r="E490" t="inlineStr">
        <is>
          <t>ÖREBRO</t>
        </is>
      </c>
      <c r="G490" t="n">
        <v>0.7</v>
      </c>
      <c r="H490" t="n">
        <v>0</v>
      </c>
      <c r="I490" t="n">
        <v>0</v>
      </c>
      <c r="J490" t="n">
        <v>0</v>
      </c>
      <c r="K490" t="n">
        <v>0</v>
      </c>
      <c r="L490" t="n">
        <v>0</v>
      </c>
      <c r="M490" t="n">
        <v>0</v>
      </c>
      <c r="N490" t="n">
        <v>0</v>
      </c>
      <c r="O490" t="n">
        <v>0</v>
      </c>
      <c r="P490" t="n">
        <v>0</v>
      </c>
      <c r="Q490" t="n">
        <v>0</v>
      </c>
      <c r="R490" s="2" t="inlineStr"/>
    </row>
    <row r="491" ht="15" customHeight="1">
      <c r="A491" t="inlineStr">
        <is>
          <t>A 31066-2025</t>
        </is>
      </c>
      <c r="B491" s="1" t="n">
        <v>45832</v>
      </c>
      <c r="C491" s="1" t="n">
        <v>46100</v>
      </c>
      <c r="D491" t="inlineStr">
        <is>
          <t>ÖREBRO LÄN</t>
        </is>
      </c>
      <c r="E491" t="inlineStr">
        <is>
          <t>ÖREBRO</t>
        </is>
      </c>
      <c r="G491" t="n">
        <v>11.1</v>
      </c>
      <c r="H491" t="n">
        <v>0</v>
      </c>
      <c r="I491" t="n">
        <v>0</v>
      </c>
      <c r="J491" t="n">
        <v>0</v>
      </c>
      <c r="K491" t="n">
        <v>0</v>
      </c>
      <c r="L491" t="n">
        <v>0</v>
      </c>
      <c r="M491" t="n">
        <v>0</v>
      </c>
      <c r="N491" t="n">
        <v>0</v>
      </c>
      <c r="O491" t="n">
        <v>0</v>
      </c>
      <c r="P491" t="n">
        <v>0</v>
      </c>
      <c r="Q491" t="n">
        <v>0</v>
      </c>
      <c r="R491" s="2" t="inlineStr"/>
    </row>
    <row r="492" ht="15" customHeight="1">
      <c r="A492" t="inlineStr">
        <is>
          <t>A 40231-2022</t>
        </is>
      </c>
      <c r="B492" s="1" t="n">
        <v>44820</v>
      </c>
      <c r="C492" s="1" t="n">
        <v>46100</v>
      </c>
      <c r="D492" t="inlineStr">
        <is>
          <t>ÖREBRO LÄN</t>
        </is>
      </c>
      <c r="E492" t="inlineStr">
        <is>
          <t>ÖREBRO</t>
        </is>
      </c>
      <c r="F492" t="inlineStr">
        <is>
          <t>Allmännings- och besparingsskogar</t>
        </is>
      </c>
      <c r="G492" t="n">
        <v>2.2</v>
      </c>
      <c r="H492" t="n">
        <v>0</v>
      </c>
      <c r="I492" t="n">
        <v>0</v>
      </c>
      <c r="J492" t="n">
        <v>0</v>
      </c>
      <c r="K492" t="n">
        <v>0</v>
      </c>
      <c r="L492" t="n">
        <v>0</v>
      </c>
      <c r="M492" t="n">
        <v>0</v>
      </c>
      <c r="N492" t="n">
        <v>0</v>
      </c>
      <c r="O492" t="n">
        <v>0</v>
      </c>
      <c r="P492" t="n">
        <v>0</v>
      </c>
      <c r="Q492" t="n">
        <v>0</v>
      </c>
      <c r="R492" s="2" t="inlineStr"/>
    </row>
    <row r="493" ht="15" customHeight="1">
      <c r="A493" t="inlineStr">
        <is>
          <t>A 14963-2025</t>
        </is>
      </c>
      <c r="B493" s="1" t="n">
        <v>45743.58699074074</v>
      </c>
      <c r="C493" s="1" t="n">
        <v>46100</v>
      </c>
      <c r="D493" t="inlineStr">
        <is>
          <t>ÖREBRO LÄN</t>
        </is>
      </c>
      <c r="E493" t="inlineStr">
        <is>
          <t>ÖREBRO</t>
        </is>
      </c>
      <c r="G493" t="n">
        <v>9.1</v>
      </c>
      <c r="H493" t="n">
        <v>0</v>
      </c>
      <c r="I493" t="n">
        <v>0</v>
      </c>
      <c r="J493" t="n">
        <v>0</v>
      </c>
      <c r="K493" t="n">
        <v>0</v>
      </c>
      <c r="L493" t="n">
        <v>0</v>
      </c>
      <c r="M493" t="n">
        <v>0</v>
      </c>
      <c r="N493" t="n">
        <v>0</v>
      </c>
      <c r="O493" t="n">
        <v>0</v>
      </c>
      <c r="P493" t="n">
        <v>0</v>
      </c>
      <c r="Q493" t="n">
        <v>0</v>
      </c>
      <c r="R493" s="2" t="inlineStr"/>
    </row>
    <row r="494" ht="15" customHeight="1">
      <c r="A494" t="inlineStr">
        <is>
          <t>A 52135-2025</t>
        </is>
      </c>
      <c r="B494" s="1" t="n">
        <v>45952.84231481481</v>
      </c>
      <c r="C494" s="1" t="n">
        <v>46100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51925-2025</t>
        </is>
      </c>
      <c r="B495" s="1" t="n">
        <v>45952.49476851852</v>
      </c>
      <c r="C495" s="1" t="n">
        <v>46100</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32188-2025</t>
        </is>
      </c>
      <c r="B496" s="1" t="n">
        <v>45835.56965277778</v>
      </c>
      <c r="C496" s="1" t="n">
        <v>46100</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32195-2025</t>
        </is>
      </c>
      <c r="B497" s="1" t="n">
        <v>45835.57407407407</v>
      </c>
      <c r="C497" s="1" t="n">
        <v>46100</v>
      </c>
      <c r="D497" t="inlineStr">
        <is>
          <t>ÖREBRO LÄN</t>
        </is>
      </c>
      <c r="E497" t="inlineStr">
        <is>
          <t>ÖREBRO</t>
        </is>
      </c>
      <c r="G497" t="n">
        <v>1.5</v>
      </c>
      <c r="H497" t="n">
        <v>0</v>
      </c>
      <c r="I497" t="n">
        <v>0</v>
      </c>
      <c r="J497" t="n">
        <v>0</v>
      </c>
      <c r="K497" t="n">
        <v>0</v>
      </c>
      <c r="L497" t="n">
        <v>0</v>
      </c>
      <c r="M497" t="n">
        <v>0</v>
      </c>
      <c r="N497" t="n">
        <v>0</v>
      </c>
      <c r="O497" t="n">
        <v>0</v>
      </c>
      <c r="P497" t="n">
        <v>0</v>
      </c>
      <c r="Q497" t="n">
        <v>0</v>
      </c>
      <c r="R497" s="2" t="inlineStr"/>
    </row>
    <row r="498" ht="15" customHeight="1">
      <c r="A498" t="inlineStr">
        <is>
          <t>A 51923-2025</t>
        </is>
      </c>
      <c r="B498" s="1" t="n">
        <v>45952.49300925926</v>
      </c>
      <c r="C498" s="1" t="n">
        <v>46100</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51937-2025</t>
        </is>
      </c>
      <c r="B499" s="1" t="n">
        <v>45952.51270833334</v>
      </c>
      <c r="C499" s="1" t="n">
        <v>46100</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32218-2025</t>
        </is>
      </c>
      <c r="B500" s="1" t="n">
        <v>45835.58880787037</v>
      </c>
      <c r="C500" s="1" t="n">
        <v>46100</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33455-2023</t>
        </is>
      </c>
      <c r="B501" s="1" t="n">
        <v>45130.98962962963</v>
      </c>
      <c r="C501" s="1" t="n">
        <v>46100</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32904-2025</t>
        </is>
      </c>
      <c r="B502" s="1" t="n">
        <v>45839</v>
      </c>
      <c r="C502" s="1" t="n">
        <v>46100</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30743-2025</t>
        </is>
      </c>
      <c r="B503" s="1" t="n">
        <v>45831</v>
      </c>
      <c r="C503" s="1" t="n">
        <v>46100</v>
      </c>
      <c r="D503" t="inlineStr">
        <is>
          <t>ÖREBRO LÄN</t>
        </is>
      </c>
      <c r="E503" t="inlineStr">
        <is>
          <t>ÖREBRO</t>
        </is>
      </c>
      <c r="G503" t="n">
        <v>2.9</v>
      </c>
      <c r="H503" t="n">
        <v>0</v>
      </c>
      <c r="I503" t="n">
        <v>0</v>
      </c>
      <c r="J503" t="n">
        <v>0</v>
      </c>
      <c r="K503" t="n">
        <v>0</v>
      </c>
      <c r="L503" t="n">
        <v>0</v>
      </c>
      <c r="M503" t="n">
        <v>0</v>
      </c>
      <c r="N503" t="n">
        <v>0</v>
      </c>
      <c r="O503" t="n">
        <v>0</v>
      </c>
      <c r="P503" t="n">
        <v>0</v>
      </c>
      <c r="Q503" t="n">
        <v>0</v>
      </c>
      <c r="R503" s="2" t="inlineStr"/>
    </row>
    <row r="504" ht="15" customHeight="1">
      <c r="A504" t="inlineStr">
        <is>
          <t>A 11663-2024</t>
        </is>
      </c>
      <c r="B504" s="1" t="n">
        <v>45373</v>
      </c>
      <c r="C504" s="1" t="n">
        <v>46100</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2069-2025</t>
        </is>
      </c>
      <c r="B505" s="1" t="n">
        <v>45672.56614583333</v>
      </c>
      <c r="C505" s="1" t="n">
        <v>46100</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32426-2025</t>
        </is>
      </c>
      <c r="B506" s="1" t="n">
        <v>45838.36179398148</v>
      </c>
      <c r="C506" s="1" t="n">
        <v>46100</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52382-2025</t>
        </is>
      </c>
      <c r="B507" s="1" t="n">
        <v>45953.9559837963</v>
      </c>
      <c r="C507" s="1" t="n">
        <v>46100</v>
      </c>
      <c r="D507" t="inlineStr">
        <is>
          <t>ÖREBRO LÄN</t>
        </is>
      </c>
      <c r="E507" t="inlineStr">
        <is>
          <t>ÖREBRO</t>
        </is>
      </c>
      <c r="F507" t="inlineStr">
        <is>
          <t>Sveaskog</t>
        </is>
      </c>
      <c r="G507" t="n">
        <v>3.4</v>
      </c>
      <c r="H507" t="n">
        <v>0</v>
      </c>
      <c r="I507" t="n">
        <v>0</v>
      </c>
      <c r="J507" t="n">
        <v>0</v>
      </c>
      <c r="K507" t="n">
        <v>0</v>
      </c>
      <c r="L507" t="n">
        <v>0</v>
      </c>
      <c r="M507" t="n">
        <v>0</v>
      </c>
      <c r="N507" t="n">
        <v>0</v>
      </c>
      <c r="O507" t="n">
        <v>0</v>
      </c>
      <c r="P507" t="n">
        <v>0</v>
      </c>
      <c r="Q507" t="n">
        <v>0</v>
      </c>
      <c r="R507" s="2" t="inlineStr"/>
    </row>
    <row r="508" ht="15" customHeight="1">
      <c r="A508" t="inlineStr">
        <is>
          <t>A 33191-2025</t>
        </is>
      </c>
      <c r="B508" s="1" t="n">
        <v>45840.6003587963</v>
      </c>
      <c r="C508" s="1" t="n">
        <v>46100</v>
      </c>
      <c r="D508" t="inlineStr">
        <is>
          <t>ÖREBRO LÄN</t>
        </is>
      </c>
      <c r="E508" t="inlineStr">
        <is>
          <t>ÖREBRO</t>
        </is>
      </c>
      <c r="G508" t="n">
        <v>2.6</v>
      </c>
      <c r="H508" t="n">
        <v>0</v>
      </c>
      <c r="I508" t="n">
        <v>0</v>
      </c>
      <c r="J508" t="n">
        <v>0</v>
      </c>
      <c r="K508" t="n">
        <v>0</v>
      </c>
      <c r="L508" t="n">
        <v>0</v>
      </c>
      <c r="M508" t="n">
        <v>0</v>
      </c>
      <c r="N508" t="n">
        <v>0</v>
      </c>
      <c r="O508" t="n">
        <v>0</v>
      </c>
      <c r="P508" t="n">
        <v>0</v>
      </c>
      <c r="Q508" t="n">
        <v>0</v>
      </c>
      <c r="R508" s="2" t="inlineStr"/>
    </row>
    <row r="509" ht="15" customHeight="1">
      <c r="A509" t="inlineStr">
        <is>
          <t>A 58277-2022</t>
        </is>
      </c>
      <c r="B509" s="1" t="n">
        <v>44901.48108796297</v>
      </c>
      <c r="C509" s="1" t="n">
        <v>46100</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42518-2021</t>
        </is>
      </c>
      <c r="B510" s="1" t="n">
        <v>44427.81496527778</v>
      </c>
      <c r="C510" s="1" t="n">
        <v>46100</v>
      </c>
      <c r="D510" t="inlineStr">
        <is>
          <t>ÖREBRO LÄN</t>
        </is>
      </c>
      <c r="E510" t="inlineStr">
        <is>
          <t>ÖREBRO</t>
        </is>
      </c>
      <c r="G510" t="n">
        <v>4.5</v>
      </c>
      <c r="H510" t="n">
        <v>0</v>
      </c>
      <c r="I510" t="n">
        <v>0</v>
      </c>
      <c r="J510" t="n">
        <v>0</v>
      </c>
      <c r="K510" t="n">
        <v>0</v>
      </c>
      <c r="L510" t="n">
        <v>0</v>
      </c>
      <c r="M510" t="n">
        <v>0</v>
      </c>
      <c r="N510" t="n">
        <v>0</v>
      </c>
      <c r="O510" t="n">
        <v>0</v>
      </c>
      <c r="P510" t="n">
        <v>0</v>
      </c>
      <c r="Q510" t="n">
        <v>0</v>
      </c>
      <c r="R510" s="2" t="inlineStr"/>
    </row>
    <row r="511" ht="15" customHeight="1">
      <c r="A511" t="inlineStr">
        <is>
          <t>A 53443-2025</t>
        </is>
      </c>
      <c r="B511" s="1" t="n">
        <v>45959.6444675926</v>
      </c>
      <c r="C511" s="1" t="n">
        <v>46100</v>
      </c>
      <c r="D511" t="inlineStr">
        <is>
          <t>ÖREBRO LÄN</t>
        </is>
      </c>
      <c r="E511" t="inlineStr">
        <is>
          <t>ÖREBRO</t>
        </is>
      </c>
      <c r="G511" t="n">
        <v>2.8</v>
      </c>
      <c r="H511" t="n">
        <v>0</v>
      </c>
      <c r="I511" t="n">
        <v>0</v>
      </c>
      <c r="J511" t="n">
        <v>0</v>
      </c>
      <c r="K511" t="n">
        <v>0</v>
      </c>
      <c r="L511" t="n">
        <v>0</v>
      </c>
      <c r="M511" t="n">
        <v>0</v>
      </c>
      <c r="N511" t="n">
        <v>0</v>
      </c>
      <c r="O511" t="n">
        <v>0</v>
      </c>
      <c r="P511" t="n">
        <v>0</v>
      </c>
      <c r="Q511" t="n">
        <v>0</v>
      </c>
      <c r="R511" s="2" t="inlineStr"/>
    </row>
    <row r="512" ht="15" customHeight="1">
      <c r="A512" t="inlineStr">
        <is>
          <t>A 14524-2025</t>
        </is>
      </c>
      <c r="B512" s="1" t="n">
        <v>45741.64815972222</v>
      </c>
      <c r="C512" s="1" t="n">
        <v>46100</v>
      </c>
      <c r="D512" t="inlineStr">
        <is>
          <t>ÖREBRO LÄN</t>
        </is>
      </c>
      <c r="E512" t="inlineStr">
        <is>
          <t>ÖREBRO</t>
        </is>
      </c>
      <c r="G512" t="n">
        <v>2.8</v>
      </c>
      <c r="H512" t="n">
        <v>0</v>
      </c>
      <c r="I512" t="n">
        <v>0</v>
      </c>
      <c r="J512" t="n">
        <v>0</v>
      </c>
      <c r="K512" t="n">
        <v>0</v>
      </c>
      <c r="L512" t="n">
        <v>0</v>
      </c>
      <c r="M512" t="n">
        <v>0</v>
      </c>
      <c r="N512" t="n">
        <v>0</v>
      </c>
      <c r="O512" t="n">
        <v>0</v>
      </c>
      <c r="P512" t="n">
        <v>0</v>
      </c>
      <c r="Q512" t="n">
        <v>0</v>
      </c>
      <c r="R512" s="2" t="inlineStr"/>
    </row>
    <row r="513" ht="15" customHeight="1">
      <c r="A513" t="inlineStr">
        <is>
          <t>A 53437-2025</t>
        </is>
      </c>
      <c r="B513" s="1" t="n">
        <v>45959.63440972222</v>
      </c>
      <c r="C513" s="1" t="n">
        <v>46100</v>
      </c>
      <c r="D513" t="inlineStr">
        <is>
          <t>ÖREBRO LÄN</t>
        </is>
      </c>
      <c r="E513" t="inlineStr">
        <is>
          <t>ÖREBRO</t>
        </is>
      </c>
      <c r="G513" t="n">
        <v>1</v>
      </c>
      <c r="H513" t="n">
        <v>0</v>
      </c>
      <c r="I513" t="n">
        <v>0</v>
      </c>
      <c r="J513" t="n">
        <v>0</v>
      </c>
      <c r="K513" t="n">
        <v>0</v>
      </c>
      <c r="L513" t="n">
        <v>0</v>
      </c>
      <c r="M513" t="n">
        <v>0</v>
      </c>
      <c r="N513" t="n">
        <v>0</v>
      </c>
      <c r="O513" t="n">
        <v>0</v>
      </c>
      <c r="P513" t="n">
        <v>0</v>
      </c>
      <c r="Q513" t="n">
        <v>0</v>
      </c>
      <c r="R513" s="2" t="inlineStr"/>
    </row>
    <row r="514" ht="15" customHeight="1">
      <c r="A514" t="inlineStr">
        <is>
          <t>A 53342-2025</t>
        </is>
      </c>
      <c r="B514" s="1" t="n">
        <v>45959.41769675926</v>
      </c>
      <c r="C514" s="1" t="n">
        <v>46100</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53350-2025</t>
        </is>
      </c>
      <c r="B515" s="1" t="n">
        <v>45959.43827546296</v>
      </c>
      <c r="C515" s="1" t="n">
        <v>46100</v>
      </c>
      <c r="D515" t="inlineStr">
        <is>
          <t>ÖREBRO LÄN</t>
        </is>
      </c>
      <c r="E515" t="inlineStr">
        <is>
          <t>ÖREBRO</t>
        </is>
      </c>
      <c r="G515" t="n">
        <v>4.1</v>
      </c>
      <c r="H515" t="n">
        <v>0</v>
      </c>
      <c r="I515" t="n">
        <v>0</v>
      </c>
      <c r="J515" t="n">
        <v>0</v>
      </c>
      <c r="K515" t="n">
        <v>0</v>
      </c>
      <c r="L515" t="n">
        <v>0</v>
      </c>
      <c r="M515" t="n">
        <v>0</v>
      </c>
      <c r="N515" t="n">
        <v>0</v>
      </c>
      <c r="O515" t="n">
        <v>0</v>
      </c>
      <c r="P515" t="n">
        <v>0</v>
      </c>
      <c r="Q515" t="n">
        <v>0</v>
      </c>
      <c r="R515" s="2" t="inlineStr"/>
    </row>
    <row r="516" ht="15" customHeight="1">
      <c r="A516" t="inlineStr">
        <is>
          <t>A 15354-2024</t>
        </is>
      </c>
      <c r="B516" s="1" t="n">
        <v>45400.85319444445</v>
      </c>
      <c r="C516" s="1" t="n">
        <v>46100</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41543-2024</t>
        </is>
      </c>
      <c r="B517" s="1" t="n">
        <v>45560</v>
      </c>
      <c r="C517" s="1" t="n">
        <v>46100</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71275-2021</t>
        </is>
      </c>
      <c r="B518" s="1" t="n">
        <v>44539</v>
      </c>
      <c r="C518" s="1" t="n">
        <v>46100</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71285-2021</t>
        </is>
      </c>
      <c r="B519" s="1" t="n">
        <v>44539.62236111111</v>
      </c>
      <c r="C519" s="1" t="n">
        <v>46100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2658-2023</t>
        </is>
      </c>
      <c r="B520" s="1" t="n">
        <v>44944</v>
      </c>
      <c r="C520" s="1" t="n">
        <v>46100</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53343-2025</t>
        </is>
      </c>
      <c r="B521" s="1" t="n">
        <v>45959.42025462963</v>
      </c>
      <c r="C521" s="1" t="n">
        <v>46100</v>
      </c>
      <c r="D521" t="inlineStr">
        <is>
          <t>ÖREBRO LÄN</t>
        </is>
      </c>
      <c r="E521" t="inlineStr">
        <is>
          <t>ÖREBRO</t>
        </is>
      </c>
      <c r="G521" t="n">
        <v>0.5</v>
      </c>
      <c r="H521" t="n">
        <v>0</v>
      </c>
      <c r="I521" t="n">
        <v>0</v>
      </c>
      <c r="J521" t="n">
        <v>0</v>
      </c>
      <c r="K521" t="n">
        <v>0</v>
      </c>
      <c r="L521" t="n">
        <v>0</v>
      </c>
      <c r="M521" t="n">
        <v>0</v>
      </c>
      <c r="N521" t="n">
        <v>0</v>
      </c>
      <c r="O521" t="n">
        <v>0</v>
      </c>
      <c r="P521" t="n">
        <v>0</v>
      </c>
      <c r="Q521" t="n">
        <v>0</v>
      </c>
      <c r="R521" s="2" t="inlineStr"/>
    </row>
    <row r="522" ht="15" customHeight="1">
      <c r="A522" t="inlineStr">
        <is>
          <t>A 53715-2025</t>
        </is>
      </c>
      <c r="B522" s="1" t="n">
        <v>45960.61763888889</v>
      </c>
      <c r="C522" s="1" t="n">
        <v>46100</v>
      </c>
      <c r="D522" t="inlineStr">
        <is>
          <t>ÖREBRO LÄN</t>
        </is>
      </c>
      <c r="E522" t="inlineStr">
        <is>
          <t>ÖREBRO</t>
        </is>
      </c>
      <c r="F522" t="inlineStr">
        <is>
          <t>Sveaskog</t>
        </is>
      </c>
      <c r="G522" t="n">
        <v>2.1</v>
      </c>
      <c r="H522" t="n">
        <v>0</v>
      </c>
      <c r="I522" t="n">
        <v>0</v>
      </c>
      <c r="J522" t="n">
        <v>0</v>
      </c>
      <c r="K522" t="n">
        <v>0</v>
      </c>
      <c r="L522" t="n">
        <v>0</v>
      </c>
      <c r="M522" t="n">
        <v>0</v>
      </c>
      <c r="N522" t="n">
        <v>0</v>
      </c>
      <c r="O522" t="n">
        <v>0</v>
      </c>
      <c r="P522" t="n">
        <v>0</v>
      </c>
      <c r="Q522" t="n">
        <v>0</v>
      </c>
      <c r="R522" s="2" t="inlineStr"/>
    </row>
    <row r="523" ht="15" customHeight="1">
      <c r="A523" t="inlineStr">
        <is>
          <t>A 53719-2025</t>
        </is>
      </c>
      <c r="B523" s="1" t="n">
        <v>45960.62042824074</v>
      </c>
      <c r="C523" s="1" t="n">
        <v>46100</v>
      </c>
      <c r="D523" t="inlineStr">
        <is>
          <t>ÖREBRO LÄN</t>
        </is>
      </c>
      <c r="E523" t="inlineStr">
        <is>
          <t>ÖREBRO</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48454-2025</t>
        </is>
      </c>
      <c r="B524" s="1" t="n">
        <v>45935.80164351852</v>
      </c>
      <c r="C524" s="1" t="n">
        <v>46100</v>
      </c>
      <c r="D524" t="inlineStr">
        <is>
          <t>ÖREBRO LÄN</t>
        </is>
      </c>
      <c r="E524" t="inlineStr">
        <is>
          <t>ÖREBRO</t>
        </is>
      </c>
      <c r="F524" t="inlineStr">
        <is>
          <t>Övriga Aktiebolag</t>
        </is>
      </c>
      <c r="G524" t="n">
        <v>18.1</v>
      </c>
      <c r="H524" t="n">
        <v>0</v>
      </c>
      <c r="I524" t="n">
        <v>0</v>
      </c>
      <c r="J524" t="n">
        <v>0</v>
      </c>
      <c r="K524" t="n">
        <v>0</v>
      </c>
      <c r="L524" t="n">
        <v>0</v>
      </c>
      <c r="M524" t="n">
        <v>0</v>
      </c>
      <c r="N524" t="n">
        <v>0</v>
      </c>
      <c r="O524" t="n">
        <v>0</v>
      </c>
      <c r="P524" t="n">
        <v>0</v>
      </c>
      <c r="Q524" t="n">
        <v>0</v>
      </c>
      <c r="R524" s="2" t="inlineStr"/>
    </row>
    <row r="525" ht="15" customHeight="1">
      <c r="A525" t="inlineStr">
        <is>
          <t>A 54205-2025</t>
        </is>
      </c>
      <c r="B525" s="1" t="n">
        <v>45964.58512731481</v>
      </c>
      <c r="C525" s="1" t="n">
        <v>46100</v>
      </c>
      <c r="D525" t="inlineStr">
        <is>
          <t>ÖREBRO LÄN</t>
        </is>
      </c>
      <c r="E525" t="inlineStr">
        <is>
          <t>ÖREBRO</t>
        </is>
      </c>
      <c r="G525" t="n">
        <v>24.3</v>
      </c>
      <c r="H525" t="n">
        <v>0</v>
      </c>
      <c r="I525" t="n">
        <v>0</v>
      </c>
      <c r="J525" t="n">
        <v>0</v>
      </c>
      <c r="K525" t="n">
        <v>0</v>
      </c>
      <c r="L525" t="n">
        <v>0</v>
      </c>
      <c r="M525" t="n">
        <v>0</v>
      </c>
      <c r="N525" t="n">
        <v>0</v>
      </c>
      <c r="O525" t="n">
        <v>0</v>
      </c>
      <c r="P525" t="n">
        <v>0</v>
      </c>
      <c r="Q525" t="n">
        <v>0</v>
      </c>
      <c r="R525" s="2" t="inlineStr"/>
    </row>
    <row r="526" ht="15" customHeight="1">
      <c r="A526" t="inlineStr">
        <is>
          <t>A 48687-2024</t>
        </is>
      </c>
      <c r="B526" s="1" t="n">
        <v>45593.49899305555</v>
      </c>
      <c r="C526" s="1" t="n">
        <v>46100</v>
      </c>
      <c r="D526" t="inlineStr">
        <is>
          <t>ÖREBRO LÄN</t>
        </is>
      </c>
      <c r="E526" t="inlineStr">
        <is>
          <t>ÖREBRO</t>
        </is>
      </c>
      <c r="F526" t="inlineStr">
        <is>
          <t>Övriga Aktiebolag</t>
        </is>
      </c>
      <c r="G526" t="n">
        <v>3.8</v>
      </c>
      <c r="H526" t="n">
        <v>0</v>
      </c>
      <c r="I526" t="n">
        <v>0</v>
      </c>
      <c r="J526" t="n">
        <v>0</v>
      </c>
      <c r="K526" t="n">
        <v>0</v>
      </c>
      <c r="L526" t="n">
        <v>0</v>
      </c>
      <c r="M526" t="n">
        <v>0</v>
      </c>
      <c r="N526" t="n">
        <v>0</v>
      </c>
      <c r="O526" t="n">
        <v>0</v>
      </c>
      <c r="P526" t="n">
        <v>0</v>
      </c>
      <c r="Q526" t="n">
        <v>0</v>
      </c>
      <c r="R526" s="2" t="inlineStr"/>
    </row>
    <row r="527" ht="15" customHeight="1">
      <c r="A527" t="inlineStr">
        <is>
          <t>A 54485-2025</t>
        </is>
      </c>
      <c r="B527" s="1" t="n">
        <v>45965.59295138889</v>
      </c>
      <c r="C527" s="1" t="n">
        <v>46100</v>
      </c>
      <c r="D527" t="inlineStr">
        <is>
          <t>ÖREBRO LÄN</t>
        </is>
      </c>
      <c r="E527" t="inlineStr">
        <is>
          <t>ÖREBRO</t>
        </is>
      </c>
      <c r="F527" t="inlineStr">
        <is>
          <t>Allmännings- och besparingsskogar</t>
        </is>
      </c>
      <c r="G527" t="n">
        <v>1.7</v>
      </c>
      <c r="H527" t="n">
        <v>0</v>
      </c>
      <c r="I527" t="n">
        <v>0</v>
      </c>
      <c r="J527" t="n">
        <v>0</v>
      </c>
      <c r="K527" t="n">
        <v>0</v>
      </c>
      <c r="L527" t="n">
        <v>0</v>
      </c>
      <c r="M527" t="n">
        <v>0</v>
      </c>
      <c r="N527" t="n">
        <v>0</v>
      </c>
      <c r="O527" t="n">
        <v>0</v>
      </c>
      <c r="P527" t="n">
        <v>0</v>
      </c>
      <c r="Q527" t="n">
        <v>0</v>
      </c>
      <c r="R527" s="2" t="inlineStr"/>
    </row>
    <row r="528" ht="15" customHeight="1">
      <c r="A528" t="inlineStr">
        <is>
          <t>A 11382-2023</t>
        </is>
      </c>
      <c r="B528" s="1" t="n">
        <v>44993.45635416666</v>
      </c>
      <c r="C528" s="1" t="n">
        <v>46100</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52016-2024</t>
        </is>
      </c>
      <c r="B529" s="1" t="n">
        <v>45607.81917824074</v>
      </c>
      <c r="C529" s="1" t="n">
        <v>46100</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27112-2023</t>
        </is>
      </c>
      <c r="B530" s="1" t="n">
        <v>45096</v>
      </c>
      <c r="C530" s="1" t="n">
        <v>46100</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16739-2022</t>
        </is>
      </c>
      <c r="B531" s="1" t="n">
        <v>44673</v>
      </c>
      <c r="C531" s="1" t="n">
        <v>46100</v>
      </c>
      <c r="D531" t="inlineStr">
        <is>
          <t>ÖREBRO LÄN</t>
        </is>
      </c>
      <c r="E531" t="inlineStr">
        <is>
          <t>ÖREBRO</t>
        </is>
      </c>
      <c r="G531" t="n">
        <v>4.7</v>
      </c>
      <c r="H531" t="n">
        <v>0</v>
      </c>
      <c r="I531" t="n">
        <v>0</v>
      </c>
      <c r="J531" t="n">
        <v>0</v>
      </c>
      <c r="K531" t="n">
        <v>0</v>
      </c>
      <c r="L531" t="n">
        <v>0</v>
      </c>
      <c r="M531" t="n">
        <v>0</v>
      </c>
      <c r="N531" t="n">
        <v>0</v>
      </c>
      <c r="O531" t="n">
        <v>0</v>
      </c>
      <c r="P531" t="n">
        <v>0</v>
      </c>
      <c r="Q531" t="n">
        <v>0</v>
      </c>
      <c r="R531" s="2" t="inlineStr"/>
    </row>
    <row r="532" ht="15" customHeight="1">
      <c r="A532" t="inlineStr">
        <is>
          <t>A 13592-2023</t>
        </is>
      </c>
      <c r="B532" s="1" t="n">
        <v>45006.56870370371</v>
      </c>
      <c r="C532" s="1" t="n">
        <v>46100</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40656-2023</t>
        </is>
      </c>
      <c r="B533" s="1" t="n">
        <v>45170</v>
      </c>
      <c r="C533" s="1" t="n">
        <v>46100</v>
      </c>
      <c r="D533" t="inlineStr">
        <is>
          <t>ÖREBRO LÄN</t>
        </is>
      </c>
      <c r="E533" t="inlineStr">
        <is>
          <t>ÖREBRO</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12245-2023</t>
        </is>
      </c>
      <c r="B534" s="1" t="n">
        <v>44998.64402777778</v>
      </c>
      <c r="C534" s="1" t="n">
        <v>46100</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35062-2025</t>
        </is>
      </c>
      <c r="B535" s="1" t="n">
        <v>45852</v>
      </c>
      <c r="C535" s="1" t="n">
        <v>46100</v>
      </c>
      <c r="D535" t="inlineStr">
        <is>
          <t>ÖREBRO LÄN</t>
        </is>
      </c>
      <c r="E535" t="inlineStr">
        <is>
          <t>ÖREBRO</t>
        </is>
      </c>
      <c r="G535" t="n">
        <v>2.8</v>
      </c>
      <c r="H535" t="n">
        <v>0</v>
      </c>
      <c r="I535" t="n">
        <v>0</v>
      </c>
      <c r="J535" t="n">
        <v>0</v>
      </c>
      <c r="K535" t="n">
        <v>0</v>
      </c>
      <c r="L535" t="n">
        <v>0</v>
      </c>
      <c r="M535" t="n">
        <v>0</v>
      </c>
      <c r="N535" t="n">
        <v>0</v>
      </c>
      <c r="O535" t="n">
        <v>0</v>
      </c>
      <c r="P535" t="n">
        <v>0</v>
      </c>
      <c r="Q535" t="n">
        <v>0</v>
      </c>
      <c r="R535" s="2" t="inlineStr"/>
    </row>
    <row r="536" ht="15" customHeight="1">
      <c r="A536" t="inlineStr">
        <is>
          <t>A 8008-2024</t>
        </is>
      </c>
      <c r="B536" s="1" t="n">
        <v>45350.6794212963</v>
      </c>
      <c r="C536" s="1" t="n">
        <v>46100</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46834-2022</t>
        </is>
      </c>
      <c r="B537" s="1" t="n">
        <v>44851</v>
      </c>
      <c r="C537" s="1" t="n">
        <v>46100</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55748-2025</t>
        </is>
      </c>
      <c r="B538" s="1" t="n">
        <v>45972.57893518519</v>
      </c>
      <c r="C538" s="1" t="n">
        <v>46100</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28821-2025</t>
        </is>
      </c>
      <c r="B539" s="1" t="n">
        <v>45820</v>
      </c>
      <c r="C539" s="1" t="n">
        <v>46100</v>
      </c>
      <c r="D539" t="inlineStr">
        <is>
          <t>ÖREBRO LÄN</t>
        </is>
      </c>
      <c r="E539" t="inlineStr">
        <is>
          <t>ÖREBRO</t>
        </is>
      </c>
      <c r="G539" t="n">
        <v>12.6</v>
      </c>
      <c r="H539" t="n">
        <v>0</v>
      </c>
      <c r="I539" t="n">
        <v>0</v>
      </c>
      <c r="J539" t="n">
        <v>0</v>
      </c>
      <c r="K539" t="n">
        <v>0</v>
      </c>
      <c r="L539" t="n">
        <v>0</v>
      </c>
      <c r="M539" t="n">
        <v>0</v>
      </c>
      <c r="N539" t="n">
        <v>0</v>
      </c>
      <c r="O539" t="n">
        <v>0</v>
      </c>
      <c r="P539" t="n">
        <v>0</v>
      </c>
      <c r="Q539" t="n">
        <v>0</v>
      </c>
      <c r="R539" s="2" t="inlineStr"/>
    </row>
    <row r="540" ht="15" customHeight="1">
      <c r="A540" t="inlineStr">
        <is>
          <t>A 55750-2025</t>
        </is>
      </c>
      <c r="B540" s="1" t="n">
        <v>45972.58171296296</v>
      </c>
      <c r="C540" s="1" t="n">
        <v>46100</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3789-2023</t>
        </is>
      </c>
      <c r="B541" s="1" t="n">
        <v>44951</v>
      </c>
      <c r="C541" s="1" t="n">
        <v>46100</v>
      </c>
      <c r="D541" t="inlineStr">
        <is>
          <t>ÖREBRO LÄN</t>
        </is>
      </c>
      <c r="E541" t="inlineStr">
        <is>
          <t>ÖREBRO</t>
        </is>
      </c>
      <c r="G541" t="n">
        <v>7.5</v>
      </c>
      <c r="H541" t="n">
        <v>0</v>
      </c>
      <c r="I541" t="n">
        <v>0</v>
      </c>
      <c r="J541" t="n">
        <v>0</v>
      </c>
      <c r="K541" t="n">
        <v>0</v>
      </c>
      <c r="L541" t="n">
        <v>0</v>
      </c>
      <c r="M541" t="n">
        <v>0</v>
      </c>
      <c r="N541" t="n">
        <v>0</v>
      </c>
      <c r="O541" t="n">
        <v>0</v>
      </c>
      <c r="P541" t="n">
        <v>0</v>
      </c>
      <c r="Q541" t="n">
        <v>0</v>
      </c>
      <c r="R541" s="2" t="inlineStr"/>
    </row>
    <row r="542" ht="15" customHeight="1">
      <c r="A542" t="inlineStr">
        <is>
          <t>A 55888-2025</t>
        </is>
      </c>
      <c r="B542" s="1" t="n">
        <v>45973.37163194444</v>
      </c>
      <c r="C542" s="1" t="n">
        <v>46100</v>
      </c>
      <c r="D542" t="inlineStr">
        <is>
          <t>ÖREBRO LÄN</t>
        </is>
      </c>
      <c r="E542" t="inlineStr">
        <is>
          <t>ÖREBRO</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55879-2025</t>
        </is>
      </c>
      <c r="B543" s="1" t="n">
        <v>45973.36508101852</v>
      </c>
      <c r="C543" s="1" t="n">
        <v>46100</v>
      </c>
      <c r="D543" t="inlineStr">
        <is>
          <t>ÖREBRO LÄN</t>
        </is>
      </c>
      <c r="E543" t="inlineStr">
        <is>
          <t>ÖREBRO</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35637-2025</t>
        </is>
      </c>
      <c r="B544" s="1" t="n">
        <v>45859.46859953704</v>
      </c>
      <c r="C544" s="1" t="n">
        <v>46100</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57869-2024</t>
        </is>
      </c>
      <c r="B545" s="1" t="n">
        <v>45631.44207175926</v>
      </c>
      <c r="C545" s="1" t="n">
        <v>46100</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35928-2025</t>
        </is>
      </c>
      <c r="B546" s="1" t="n">
        <v>45862</v>
      </c>
      <c r="C546" s="1" t="n">
        <v>46100</v>
      </c>
      <c r="D546" t="inlineStr">
        <is>
          <t>ÖREBRO LÄN</t>
        </is>
      </c>
      <c r="E546" t="inlineStr">
        <is>
          <t>ÖREBRO</t>
        </is>
      </c>
      <c r="G546" t="n">
        <v>4.4</v>
      </c>
      <c r="H546" t="n">
        <v>0</v>
      </c>
      <c r="I546" t="n">
        <v>0</v>
      </c>
      <c r="J546" t="n">
        <v>0</v>
      </c>
      <c r="K546" t="n">
        <v>0</v>
      </c>
      <c r="L546" t="n">
        <v>0</v>
      </c>
      <c r="M546" t="n">
        <v>0</v>
      </c>
      <c r="N546" t="n">
        <v>0</v>
      </c>
      <c r="O546" t="n">
        <v>0</v>
      </c>
      <c r="P546" t="n">
        <v>0</v>
      </c>
      <c r="Q546" t="n">
        <v>0</v>
      </c>
      <c r="R546" s="2" t="inlineStr"/>
    </row>
    <row r="547" ht="15" customHeight="1">
      <c r="A547" t="inlineStr">
        <is>
          <t>A 11565-2023</t>
        </is>
      </c>
      <c r="B547" s="1" t="n">
        <v>44994</v>
      </c>
      <c r="C547" s="1" t="n">
        <v>46100</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32025-2024</t>
        </is>
      </c>
      <c r="B548" s="1" t="n">
        <v>45510.65754629629</v>
      </c>
      <c r="C548" s="1" t="n">
        <v>46100</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1647-2024</t>
        </is>
      </c>
      <c r="B549" s="1" t="n">
        <v>45306</v>
      </c>
      <c r="C549" s="1" t="n">
        <v>46100</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31906-2023</t>
        </is>
      </c>
      <c r="B550" s="1" t="n">
        <v>45118.8353125</v>
      </c>
      <c r="C550" s="1" t="n">
        <v>46100</v>
      </c>
      <c r="D550" t="inlineStr">
        <is>
          <t>ÖREBRO LÄN</t>
        </is>
      </c>
      <c r="E550" t="inlineStr">
        <is>
          <t>ÖREBRO</t>
        </is>
      </c>
      <c r="G550" t="n">
        <v>9</v>
      </c>
      <c r="H550" t="n">
        <v>0</v>
      </c>
      <c r="I550" t="n">
        <v>0</v>
      </c>
      <c r="J550" t="n">
        <v>0</v>
      </c>
      <c r="K550" t="n">
        <v>0</v>
      </c>
      <c r="L550" t="n">
        <v>0</v>
      </c>
      <c r="M550" t="n">
        <v>0</v>
      </c>
      <c r="N550" t="n">
        <v>0</v>
      </c>
      <c r="O550" t="n">
        <v>0</v>
      </c>
      <c r="P550" t="n">
        <v>0</v>
      </c>
      <c r="Q550" t="n">
        <v>0</v>
      </c>
      <c r="R550" s="2" t="inlineStr"/>
    </row>
    <row r="551" ht="15" customHeight="1">
      <c r="A551" t="inlineStr">
        <is>
          <t>A 55453-2024</t>
        </is>
      </c>
      <c r="B551" s="1" t="n">
        <v>45622.42097222222</v>
      </c>
      <c r="C551" s="1" t="n">
        <v>46100</v>
      </c>
      <c r="D551" t="inlineStr">
        <is>
          <t>ÖREBRO LÄN</t>
        </is>
      </c>
      <c r="E551" t="inlineStr">
        <is>
          <t>ÖREBRO</t>
        </is>
      </c>
      <c r="G551" t="n">
        <v>8.5</v>
      </c>
      <c r="H551" t="n">
        <v>0</v>
      </c>
      <c r="I551" t="n">
        <v>0</v>
      </c>
      <c r="J551" t="n">
        <v>0</v>
      </c>
      <c r="K551" t="n">
        <v>0</v>
      </c>
      <c r="L551" t="n">
        <v>0</v>
      </c>
      <c r="M551" t="n">
        <v>0</v>
      </c>
      <c r="N551" t="n">
        <v>0</v>
      </c>
      <c r="O551" t="n">
        <v>0</v>
      </c>
      <c r="P551" t="n">
        <v>0</v>
      </c>
      <c r="Q551" t="n">
        <v>0</v>
      </c>
      <c r="R551" s="2" t="inlineStr"/>
    </row>
    <row r="552" ht="15" customHeight="1">
      <c r="A552" t="inlineStr">
        <is>
          <t>A 31326-2024</t>
        </is>
      </c>
      <c r="B552" s="1" t="n">
        <v>45504.5934375</v>
      </c>
      <c r="C552" s="1" t="n">
        <v>46100</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36448-2025</t>
        </is>
      </c>
      <c r="B553" s="1" t="n">
        <v>45869.41929398148</v>
      </c>
      <c r="C553" s="1" t="n">
        <v>46100</v>
      </c>
      <c r="D553" t="inlineStr">
        <is>
          <t>ÖREBRO LÄN</t>
        </is>
      </c>
      <c r="E553" t="inlineStr">
        <is>
          <t>ÖREBRO</t>
        </is>
      </c>
      <c r="F553" t="inlineStr">
        <is>
          <t>Övriga Aktiebolag</t>
        </is>
      </c>
      <c r="G553" t="n">
        <v>4.3</v>
      </c>
      <c r="H553" t="n">
        <v>0</v>
      </c>
      <c r="I553" t="n">
        <v>0</v>
      </c>
      <c r="J553" t="n">
        <v>0</v>
      </c>
      <c r="K553" t="n">
        <v>0</v>
      </c>
      <c r="L553" t="n">
        <v>0</v>
      </c>
      <c r="M553" t="n">
        <v>0</v>
      </c>
      <c r="N553" t="n">
        <v>0</v>
      </c>
      <c r="O553" t="n">
        <v>0</v>
      </c>
      <c r="P553" t="n">
        <v>0</v>
      </c>
      <c r="Q553" t="n">
        <v>0</v>
      </c>
      <c r="R553" s="2" t="inlineStr"/>
    </row>
    <row r="554" ht="15" customHeight="1">
      <c r="A554" t="inlineStr">
        <is>
          <t>A 70719-2021</t>
        </is>
      </c>
      <c r="B554" s="1" t="n">
        <v>44537</v>
      </c>
      <c r="C554" s="1" t="n">
        <v>46100</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36447-2025</t>
        </is>
      </c>
      <c r="B555" s="1" t="n">
        <v>45869.41387731482</v>
      </c>
      <c r="C555" s="1" t="n">
        <v>46100</v>
      </c>
      <c r="D555" t="inlineStr">
        <is>
          <t>ÖREBRO LÄN</t>
        </is>
      </c>
      <c r="E555" t="inlineStr">
        <is>
          <t>ÖREBRO</t>
        </is>
      </c>
      <c r="F555" t="inlineStr">
        <is>
          <t>Övriga Aktiebolag</t>
        </is>
      </c>
      <c r="G555" t="n">
        <v>12.6</v>
      </c>
      <c r="H555" t="n">
        <v>0</v>
      </c>
      <c r="I555" t="n">
        <v>0</v>
      </c>
      <c r="J555" t="n">
        <v>0</v>
      </c>
      <c r="K555" t="n">
        <v>0</v>
      </c>
      <c r="L555" t="n">
        <v>0</v>
      </c>
      <c r="M555" t="n">
        <v>0</v>
      </c>
      <c r="N555" t="n">
        <v>0</v>
      </c>
      <c r="O555" t="n">
        <v>0</v>
      </c>
      <c r="P555" t="n">
        <v>0</v>
      </c>
      <c r="Q555" t="n">
        <v>0</v>
      </c>
      <c r="R555" s="2" t="inlineStr"/>
    </row>
    <row r="556" ht="15" customHeight="1">
      <c r="A556" t="inlineStr">
        <is>
          <t>A 16694-2025</t>
        </is>
      </c>
      <c r="B556" s="1" t="n">
        <v>45754.46480324074</v>
      </c>
      <c r="C556" s="1" t="n">
        <v>46100</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30374-2023</t>
        </is>
      </c>
      <c r="B557" s="1" t="n">
        <v>45111</v>
      </c>
      <c r="C557" s="1" t="n">
        <v>46100</v>
      </c>
      <c r="D557" t="inlineStr">
        <is>
          <t>ÖREBRO LÄN</t>
        </is>
      </c>
      <c r="E557" t="inlineStr">
        <is>
          <t>ÖREBRO</t>
        </is>
      </c>
      <c r="F557" t="inlineStr">
        <is>
          <t>Övriga Aktiebolag</t>
        </is>
      </c>
      <c r="G557" t="n">
        <v>2.3</v>
      </c>
      <c r="H557" t="n">
        <v>0</v>
      </c>
      <c r="I557" t="n">
        <v>0</v>
      </c>
      <c r="J557" t="n">
        <v>0</v>
      </c>
      <c r="K557" t="n">
        <v>0</v>
      </c>
      <c r="L557" t="n">
        <v>0</v>
      </c>
      <c r="M557" t="n">
        <v>0</v>
      </c>
      <c r="N557" t="n">
        <v>0</v>
      </c>
      <c r="O557" t="n">
        <v>0</v>
      </c>
      <c r="P557" t="n">
        <v>0</v>
      </c>
      <c r="Q557" t="n">
        <v>0</v>
      </c>
      <c r="R557" s="2" t="inlineStr"/>
    </row>
    <row r="558" ht="15" customHeight="1">
      <c r="A558" t="inlineStr">
        <is>
          <t>A 38898-2023</t>
        </is>
      </c>
      <c r="B558" s="1" t="n">
        <v>45163</v>
      </c>
      <c r="C558" s="1" t="n">
        <v>46100</v>
      </c>
      <c r="D558" t="inlineStr">
        <is>
          <t>ÖREBRO LÄN</t>
        </is>
      </c>
      <c r="E558" t="inlineStr">
        <is>
          <t>ÖREBRO</t>
        </is>
      </c>
      <c r="G558" t="n">
        <v>5.1</v>
      </c>
      <c r="H558" t="n">
        <v>0</v>
      </c>
      <c r="I558" t="n">
        <v>0</v>
      </c>
      <c r="J558" t="n">
        <v>0</v>
      </c>
      <c r="K558" t="n">
        <v>0</v>
      </c>
      <c r="L558" t="n">
        <v>0</v>
      </c>
      <c r="M558" t="n">
        <v>0</v>
      </c>
      <c r="N558" t="n">
        <v>0</v>
      </c>
      <c r="O558" t="n">
        <v>0</v>
      </c>
      <c r="P558" t="n">
        <v>0</v>
      </c>
      <c r="Q558" t="n">
        <v>0</v>
      </c>
      <c r="R558" s="2" t="inlineStr"/>
    </row>
    <row r="559" ht="15" customHeight="1">
      <c r="A559" t="inlineStr">
        <is>
          <t>A 5764-2022</t>
        </is>
      </c>
      <c r="B559" s="1" t="n">
        <v>44596</v>
      </c>
      <c r="C559" s="1" t="n">
        <v>46100</v>
      </c>
      <c r="D559" t="inlineStr">
        <is>
          <t>ÖREBRO LÄN</t>
        </is>
      </c>
      <c r="E559" t="inlineStr">
        <is>
          <t>ÖREBRO</t>
        </is>
      </c>
      <c r="G559" t="n">
        <v>3.5</v>
      </c>
      <c r="H559" t="n">
        <v>0</v>
      </c>
      <c r="I559" t="n">
        <v>0</v>
      </c>
      <c r="J559" t="n">
        <v>0</v>
      </c>
      <c r="K559" t="n">
        <v>0</v>
      </c>
      <c r="L559" t="n">
        <v>0</v>
      </c>
      <c r="M559" t="n">
        <v>0</v>
      </c>
      <c r="N559" t="n">
        <v>0</v>
      </c>
      <c r="O559" t="n">
        <v>0</v>
      </c>
      <c r="P559" t="n">
        <v>0</v>
      </c>
      <c r="Q559" t="n">
        <v>0</v>
      </c>
      <c r="R559" s="2" t="inlineStr"/>
    </row>
    <row r="560" ht="15" customHeight="1">
      <c r="A560" t="inlineStr">
        <is>
          <t>A 21036-2024</t>
        </is>
      </c>
      <c r="B560" s="1" t="n">
        <v>45439.65954861111</v>
      </c>
      <c r="C560" s="1" t="n">
        <v>46100</v>
      </c>
      <c r="D560" t="inlineStr">
        <is>
          <t>ÖREBRO LÄN</t>
        </is>
      </c>
      <c r="E560" t="inlineStr">
        <is>
          <t>ÖREBRO</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57537-2025</t>
        </is>
      </c>
      <c r="B561" s="1" t="n">
        <v>45980.6446875</v>
      </c>
      <c r="C561" s="1" t="n">
        <v>46100</v>
      </c>
      <c r="D561" t="inlineStr">
        <is>
          <t>ÖREBRO LÄN</t>
        </is>
      </c>
      <c r="E561" t="inlineStr">
        <is>
          <t>ÖREBRO</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58230-2025</t>
        </is>
      </c>
      <c r="B562" s="1" t="n">
        <v>45985.38037037037</v>
      </c>
      <c r="C562" s="1" t="n">
        <v>46100</v>
      </c>
      <c r="D562" t="inlineStr">
        <is>
          <t>ÖREBRO LÄN</t>
        </is>
      </c>
      <c r="E562" t="inlineStr">
        <is>
          <t>ÖREBRO</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1492-2022</t>
        </is>
      </c>
      <c r="B563" s="1" t="n">
        <v>44573</v>
      </c>
      <c r="C563" s="1" t="n">
        <v>46100</v>
      </c>
      <c r="D563" t="inlineStr">
        <is>
          <t>ÖREBRO LÄN</t>
        </is>
      </c>
      <c r="E563" t="inlineStr">
        <is>
          <t>ÖREBRO</t>
        </is>
      </c>
      <c r="G563" t="n">
        <v>1.3</v>
      </c>
      <c r="H563" t="n">
        <v>0</v>
      </c>
      <c r="I563" t="n">
        <v>0</v>
      </c>
      <c r="J563" t="n">
        <v>0</v>
      </c>
      <c r="K563" t="n">
        <v>0</v>
      </c>
      <c r="L563" t="n">
        <v>0</v>
      </c>
      <c r="M563" t="n">
        <v>0</v>
      </c>
      <c r="N563" t="n">
        <v>0</v>
      </c>
      <c r="O563" t="n">
        <v>0</v>
      </c>
      <c r="P563" t="n">
        <v>0</v>
      </c>
      <c r="Q563" t="n">
        <v>0</v>
      </c>
      <c r="R563" s="2" t="inlineStr"/>
    </row>
    <row r="564" ht="15" customHeight="1">
      <c r="A564" t="inlineStr">
        <is>
          <t>A 58615-2024</t>
        </is>
      </c>
      <c r="B564" s="1" t="n">
        <v>45635.5587037037</v>
      </c>
      <c r="C564" s="1" t="n">
        <v>46100</v>
      </c>
      <c r="D564" t="inlineStr">
        <is>
          <t>ÖREBRO LÄN</t>
        </is>
      </c>
      <c r="E564" t="inlineStr">
        <is>
          <t>ÖREBRO</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58620-2024</t>
        </is>
      </c>
      <c r="B565" s="1" t="n">
        <v>45635.56246527778</v>
      </c>
      <c r="C565" s="1" t="n">
        <v>46100</v>
      </c>
      <c r="D565" t="inlineStr">
        <is>
          <t>ÖREBRO LÄN</t>
        </is>
      </c>
      <c r="E565" t="inlineStr">
        <is>
          <t>ÖREBRO</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29554-2025</t>
        </is>
      </c>
      <c r="B566" s="1" t="n">
        <v>45825</v>
      </c>
      <c r="C566" s="1" t="n">
        <v>46100</v>
      </c>
      <c r="D566" t="inlineStr">
        <is>
          <t>ÖREBRO LÄN</t>
        </is>
      </c>
      <c r="E566" t="inlineStr">
        <is>
          <t>ÖREBRO</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1014-2024</t>
        </is>
      </c>
      <c r="B567" s="1" t="n">
        <v>45301</v>
      </c>
      <c r="C567" s="1" t="n">
        <v>46100</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30472-2022</t>
        </is>
      </c>
      <c r="B568" s="1" t="n">
        <v>44761.70467592592</v>
      </c>
      <c r="C568" s="1" t="n">
        <v>46100</v>
      </c>
      <c r="D568" t="inlineStr">
        <is>
          <t>ÖREBRO LÄN</t>
        </is>
      </c>
      <c r="E568" t="inlineStr">
        <is>
          <t>ÖREBRO</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34056-2023</t>
        </is>
      </c>
      <c r="B569" s="1" t="n">
        <v>45135</v>
      </c>
      <c r="C569" s="1" t="n">
        <v>46100</v>
      </c>
      <c r="D569" t="inlineStr">
        <is>
          <t>ÖREBRO LÄN</t>
        </is>
      </c>
      <c r="E569" t="inlineStr">
        <is>
          <t>ÖREBRO</t>
        </is>
      </c>
      <c r="F569" t="inlineStr">
        <is>
          <t>Övriga Aktiebolag</t>
        </is>
      </c>
      <c r="G569" t="n">
        <v>4.1</v>
      </c>
      <c r="H569" t="n">
        <v>0</v>
      </c>
      <c r="I569" t="n">
        <v>0</v>
      </c>
      <c r="J569" t="n">
        <v>0</v>
      </c>
      <c r="K569" t="n">
        <v>0</v>
      </c>
      <c r="L569" t="n">
        <v>0</v>
      </c>
      <c r="M569" t="n">
        <v>0</v>
      </c>
      <c r="N569" t="n">
        <v>0</v>
      </c>
      <c r="O569" t="n">
        <v>0</v>
      </c>
      <c r="P569" t="n">
        <v>0</v>
      </c>
      <c r="Q569" t="n">
        <v>0</v>
      </c>
      <c r="R569" s="2" t="inlineStr"/>
    </row>
    <row r="570" ht="15" customHeight="1">
      <c r="A570" t="inlineStr">
        <is>
          <t>A 58835-2025</t>
        </is>
      </c>
      <c r="B570" s="1" t="n">
        <v>45987.35519675926</v>
      </c>
      <c r="C570" s="1" t="n">
        <v>46100</v>
      </c>
      <c r="D570" t="inlineStr">
        <is>
          <t>ÖREBRO LÄN</t>
        </is>
      </c>
      <c r="E570" t="inlineStr">
        <is>
          <t>ÖREBRO</t>
        </is>
      </c>
      <c r="G570" t="n">
        <v>2.1</v>
      </c>
      <c r="H570" t="n">
        <v>0</v>
      </c>
      <c r="I570" t="n">
        <v>0</v>
      </c>
      <c r="J570" t="n">
        <v>0</v>
      </c>
      <c r="K570" t="n">
        <v>0</v>
      </c>
      <c r="L570" t="n">
        <v>0</v>
      </c>
      <c r="M570" t="n">
        <v>0</v>
      </c>
      <c r="N570" t="n">
        <v>0</v>
      </c>
      <c r="O570" t="n">
        <v>0</v>
      </c>
      <c r="P570" t="n">
        <v>0</v>
      </c>
      <c r="Q570" t="n">
        <v>0</v>
      </c>
      <c r="R570" s="2" t="inlineStr"/>
    </row>
    <row r="571" ht="15" customHeight="1">
      <c r="A571" t="inlineStr">
        <is>
          <t>A 43612-2022</t>
        </is>
      </c>
      <c r="B571" s="1" t="n">
        <v>44837</v>
      </c>
      <c r="C571" s="1" t="n">
        <v>46100</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51373-2023</t>
        </is>
      </c>
      <c r="B572" s="1" t="n">
        <v>45213</v>
      </c>
      <c r="C572" s="1" t="n">
        <v>46100</v>
      </c>
      <c r="D572" t="inlineStr">
        <is>
          <t>ÖREBRO LÄN</t>
        </is>
      </c>
      <c r="E572" t="inlineStr">
        <is>
          <t>ÖREBRO</t>
        </is>
      </c>
      <c r="G572" t="n">
        <v>5.9</v>
      </c>
      <c r="H572" t="n">
        <v>0</v>
      </c>
      <c r="I572" t="n">
        <v>0</v>
      </c>
      <c r="J572" t="n">
        <v>0</v>
      </c>
      <c r="K572" t="n">
        <v>0</v>
      </c>
      <c r="L572" t="n">
        <v>0</v>
      </c>
      <c r="M572" t="n">
        <v>0</v>
      </c>
      <c r="N572" t="n">
        <v>0</v>
      </c>
      <c r="O572" t="n">
        <v>0</v>
      </c>
      <c r="P572" t="n">
        <v>0</v>
      </c>
      <c r="Q572" t="n">
        <v>0</v>
      </c>
      <c r="R572" s="2" t="inlineStr"/>
    </row>
    <row r="573" ht="15" customHeight="1">
      <c r="A573" t="inlineStr">
        <is>
          <t>A 58587-2025</t>
        </is>
      </c>
      <c r="B573" s="1" t="n">
        <v>45986.40208333333</v>
      </c>
      <c r="C573" s="1" t="n">
        <v>46100</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35843-2022</t>
        </is>
      </c>
      <c r="B574" s="1" t="n">
        <v>44802</v>
      </c>
      <c r="C574" s="1" t="n">
        <v>46100</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13599-2025</t>
        </is>
      </c>
      <c r="B575" s="1" t="n">
        <v>45736.60597222222</v>
      </c>
      <c r="C575" s="1" t="n">
        <v>46100</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20146-2024</t>
        </is>
      </c>
      <c r="B576" s="1" t="n">
        <v>45434.57641203704</v>
      </c>
      <c r="C576" s="1" t="n">
        <v>46100</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59312-2025</t>
        </is>
      </c>
      <c r="B577" s="1" t="n">
        <v>45989.30467592592</v>
      </c>
      <c r="C577" s="1" t="n">
        <v>46100</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59313-2025</t>
        </is>
      </c>
      <c r="B578" s="1" t="n">
        <v>45989.30920138889</v>
      </c>
      <c r="C578" s="1" t="n">
        <v>46100</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10937-2024</t>
        </is>
      </c>
      <c r="B579" s="1" t="n">
        <v>45370.44461805555</v>
      </c>
      <c r="C579" s="1" t="n">
        <v>46100</v>
      </c>
      <c r="D579" t="inlineStr">
        <is>
          <t>ÖREBRO LÄN</t>
        </is>
      </c>
      <c r="E579" t="inlineStr">
        <is>
          <t>ÖREBRO</t>
        </is>
      </c>
      <c r="G579" t="n">
        <v>4.3</v>
      </c>
      <c r="H579" t="n">
        <v>0</v>
      </c>
      <c r="I579" t="n">
        <v>0</v>
      </c>
      <c r="J579" t="n">
        <v>0</v>
      </c>
      <c r="K579" t="n">
        <v>0</v>
      </c>
      <c r="L579" t="n">
        <v>0</v>
      </c>
      <c r="M579" t="n">
        <v>0</v>
      </c>
      <c r="N579" t="n">
        <v>0</v>
      </c>
      <c r="O579" t="n">
        <v>0</v>
      </c>
      <c r="P579" t="n">
        <v>0</v>
      </c>
      <c r="Q579" t="n">
        <v>0</v>
      </c>
      <c r="R579" s="2" t="inlineStr"/>
    </row>
    <row r="580" ht="15" customHeight="1">
      <c r="A580" t="inlineStr">
        <is>
          <t>A 20115-2024</t>
        </is>
      </c>
      <c r="B580" s="1" t="n">
        <v>45434</v>
      </c>
      <c r="C580" s="1" t="n">
        <v>46100</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50311-2025</t>
        </is>
      </c>
      <c r="B581" s="1" t="n">
        <v>45944</v>
      </c>
      <c r="C581" s="1" t="n">
        <v>46100</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59145-2025</t>
        </is>
      </c>
      <c r="B582" s="1" t="n">
        <v>45988.52015046297</v>
      </c>
      <c r="C582" s="1" t="n">
        <v>46100</v>
      </c>
      <c r="D582" t="inlineStr">
        <is>
          <t>ÖREBRO LÄN</t>
        </is>
      </c>
      <c r="E582" t="inlineStr">
        <is>
          <t>ÖREBRO</t>
        </is>
      </c>
      <c r="G582" t="n">
        <v>0.8</v>
      </c>
      <c r="H582" t="n">
        <v>0</v>
      </c>
      <c r="I582" t="n">
        <v>0</v>
      </c>
      <c r="J582" t="n">
        <v>0</v>
      </c>
      <c r="K582" t="n">
        <v>0</v>
      </c>
      <c r="L582" t="n">
        <v>0</v>
      </c>
      <c r="M582" t="n">
        <v>0</v>
      </c>
      <c r="N582" t="n">
        <v>0</v>
      </c>
      <c r="O582" t="n">
        <v>0</v>
      </c>
      <c r="P582" t="n">
        <v>0</v>
      </c>
      <c r="Q582" t="n">
        <v>0</v>
      </c>
      <c r="R582" s="2" t="inlineStr"/>
    </row>
    <row r="583" ht="15" customHeight="1">
      <c r="A583" t="inlineStr">
        <is>
          <t>A 16936-2023</t>
        </is>
      </c>
      <c r="B583" s="1" t="n">
        <v>45033.63005787037</v>
      </c>
      <c r="C583" s="1" t="n">
        <v>46100</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40588-2021</t>
        </is>
      </c>
      <c r="B584" s="1" t="n">
        <v>44420</v>
      </c>
      <c r="C584" s="1" t="n">
        <v>46100</v>
      </c>
      <c r="D584" t="inlineStr">
        <is>
          <t>ÖREBRO LÄN</t>
        </is>
      </c>
      <c r="E584" t="inlineStr">
        <is>
          <t>ÖREBRO</t>
        </is>
      </c>
      <c r="G584" t="n">
        <v>1.1</v>
      </c>
      <c r="H584" t="n">
        <v>0</v>
      </c>
      <c r="I584" t="n">
        <v>0</v>
      </c>
      <c r="J584" t="n">
        <v>0</v>
      </c>
      <c r="K584" t="n">
        <v>0</v>
      </c>
      <c r="L584" t="n">
        <v>0</v>
      </c>
      <c r="M584" t="n">
        <v>0</v>
      </c>
      <c r="N584" t="n">
        <v>0</v>
      </c>
      <c r="O584" t="n">
        <v>0</v>
      </c>
      <c r="P584" t="n">
        <v>0</v>
      </c>
      <c r="Q584" t="n">
        <v>0</v>
      </c>
      <c r="R584" s="2" t="inlineStr"/>
    </row>
    <row r="585" ht="15" customHeight="1">
      <c r="A585" t="inlineStr">
        <is>
          <t>A 57485-2023</t>
        </is>
      </c>
      <c r="B585" s="1" t="n">
        <v>45246</v>
      </c>
      <c r="C585" s="1" t="n">
        <v>46100</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38057-2025</t>
        </is>
      </c>
      <c r="B586" s="1" t="n">
        <v>45882.42570601852</v>
      </c>
      <c r="C586" s="1" t="n">
        <v>46100</v>
      </c>
      <c r="D586" t="inlineStr">
        <is>
          <t>ÖREBRO LÄN</t>
        </is>
      </c>
      <c r="E586" t="inlineStr">
        <is>
          <t>ÖREBRO</t>
        </is>
      </c>
      <c r="G586" t="n">
        <v>3</v>
      </c>
      <c r="H586" t="n">
        <v>0</v>
      </c>
      <c r="I586" t="n">
        <v>0</v>
      </c>
      <c r="J586" t="n">
        <v>0</v>
      </c>
      <c r="K586" t="n">
        <v>0</v>
      </c>
      <c r="L586" t="n">
        <v>0</v>
      </c>
      <c r="M586" t="n">
        <v>0</v>
      </c>
      <c r="N586" t="n">
        <v>0</v>
      </c>
      <c r="O586" t="n">
        <v>0</v>
      </c>
      <c r="P586" t="n">
        <v>0</v>
      </c>
      <c r="Q586" t="n">
        <v>0</v>
      </c>
      <c r="R586" s="2" t="inlineStr"/>
    </row>
    <row r="587" ht="15" customHeight="1">
      <c r="A587" t="inlineStr">
        <is>
          <t>A 59857-2025</t>
        </is>
      </c>
      <c r="B587" s="1" t="n">
        <v>45992.75820601852</v>
      </c>
      <c r="C587" s="1" t="n">
        <v>46100</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59938-2025</t>
        </is>
      </c>
      <c r="B588" s="1" t="n">
        <v>45993.42108796296</v>
      </c>
      <c r="C588" s="1" t="n">
        <v>46100</v>
      </c>
      <c r="D588" t="inlineStr">
        <is>
          <t>ÖREBRO LÄN</t>
        </is>
      </c>
      <c r="E588" t="inlineStr">
        <is>
          <t>ÖREBRO</t>
        </is>
      </c>
      <c r="G588" t="n">
        <v>1.5</v>
      </c>
      <c r="H588" t="n">
        <v>0</v>
      </c>
      <c r="I588" t="n">
        <v>0</v>
      </c>
      <c r="J588" t="n">
        <v>0</v>
      </c>
      <c r="K588" t="n">
        <v>0</v>
      </c>
      <c r="L588" t="n">
        <v>0</v>
      </c>
      <c r="M588" t="n">
        <v>0</v>
      </c>
      <c r="N588" t="n">
        <v>0</v>
      </c>
      <c r="O588" t="n">
        <v>0</v>
      </c>
      <c r="P588" t="n">
        <v>0</v>
      </c>
      <c r="Q588" t="n">
        <v>0</v>
      </c>
      <c r="R588" s="2" t="inlineStr"/>
    </row>
    <row r="589" ht="15" customHeight="1">
      <c r="A589" t="inlineStr">
        <is>
          <t>A 37025-2024</t>
        </is>
      </c>
      <c r="B589" s="1" t="n">
        <v>45539.3840162037</v>
      </c>
      <c r="C589" s="1" t="n">
        <v>46100</v>
      </c>
      <c r="D589" t="inlineStr">
        <is>
          <t>ÖREBRO LÄN</t>
        </is>
      </c>
      <c r="E589" t="inlineStr">
        <is>
          <t>ÖREBRO</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37027-2024</t>
        </is>
      </c>
      <c r="B590" s="1" t="n">
        <v>45539.38487268519</v>
      </c>
      <c r="C590" s="1" t="n">
        <v>46100</v>
      </c>
      <c r="D590" t="inlineStr">
        <is>
          <t>ÖREBRO LÄN</t>
        </is>
      </c>
      <c r="E590" t="inlineStr">
        <is>
          <t>ÖREBRO</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60506-2024</t>
        </is>
      </c>
      <c r="B591" s="1" t="n">
        <v>45643.66630787037</v>
      </c>
      <c r="C591" s="1" t="n">
        <v>46100</v>
      </c>
      <c r="D591" t="inlineStr">
        <is>
          <t>ÖREBRO LÄN</t>
        </is>
      </c>
      <c r="E591" t="inlineStr">
        <is>
          <t>ÖREBRO</t>
        </is>
      </c>
      <c r="G591" t="n">
        <v>5.8</v>
      </c>
      <c r="H591" t="n">
        <v>0</v>
      </c>
      <c r="I591" t="n">
        <v>0</v>
      </c>
      <c r="J591" t="n">
        <v>0</v>
      </c>
      <c r="K591" t="n">
        <v>0</v>
      </c>
      <c r="L591" t="n">
        <v>0</v>
      </c>
      <c r="M591" t="n">
        <v>0</v>
      </c>
      <c r="N591" t="n">
        <v>0</v>
      </c>
      <c r="O591" t="n">
        <v>0</v>
      </c>
      <c r="P591" t="n">
        <v>0</v>
      </c>
      <c r="Q591" t="n">
        <v>0</v>
      </c>
      <c r="R591" s="2" t="inlineStr"/>
    </row>
    <row r="592" ht="15" customHeight="1">
      <c r="A592" t="inlineStr">
        <is>
          <t>A 59856-2025</t>
        </is>
      </c>
      <c r="B592" s="1" t="n">
        <v>45992.74891203704</v>
      </c>
      <c r="C592" s="1" t="n">
        <v>46100</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59860-2025</t>
        </is>
      </c>
      <c r="B593" s="1" t="n">
        <v>45992.78351851852</v>
      </c>
      <c r="C593" s="1" t="n">
        <v>46100</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59858-2025</t>
        </is>
      </c>
      <c r="B594" s="1" t="n">
        <v>45992.76758101852</v>
      </c>
      <c r="C594" s="1" t="n">
        <v>46100</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59859-2025</t>
        </is>
      </c>
      <c r="B595" s="1" t="n">
        <v>45992.7803125</v>
      </c>
      <c r="C595" s="1" t="n">
        <v>46100</v>
      </c>
      <c r="D595" t="inlineStr">
        <is>
          <t>ÖREBRO LÄN</t>
        </is>
      </c>
      <c r="E595" t="inlineStr">
        <is>
          <t>ÖREBRO</t>
        </is>
      </c>
      <c r="G595" t="n">
        <v>0.4</v>
      </c>
      <c r="H595" t="n">
        <v>0</v>
      </c>
      <c r="I595" t="n">
        <v>0</v>
      </c>
      <c r="J595" t="n">
        <v>0</v>
      </c>
      <c r="K595" t="n">
        <v>0</v>
      </c>
      <c r="L595" t="n">
        <v>0</v>
      </c>
      <c r="M595" t="n">
        <v>0</v>
      </c>
      <c r="N595" t="n">
        <v>0</v>
      </c>
      <c r="O595" t="n">
        <v>0</v>
      </c>
      <c r="P595" t="n">
        <v>0</v>
      </c>
      <c r="Q595" t="n">
        <v>0</v>
      </c>
      <c r="R595" s="2" t="inlineStr"/>
    </row>
    <row r="596" ht="15" customHeight="1">
      <c r="A596" t="inlineStr">
        <is>
          <t>A 59937-2025</t>
        </is>
      </c>
      <c r="B596" s="1" t="n">
        <v>45993.41934027777</v>
      </c>
      <c r="C596" s="1" t="n">
        <v>46100</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60551-2025</t>
        </is>
      </c>
      <c r="B597" s="1" t="n">
        <v>45995</v>
      </c>
      <c r="C597" s="1" t="n">
        <v>46100</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60466-2025</t>
        </is>
      </c>
      <c r="B598" s="1" t="n">
        <v>45995.55927083334</v>
      </c>
      <c r="C598" s="1" t="n">
        <v>46100</v>
      </c>
      <c r="D598" t="inlineStr">
        <is>
          <t>ÖREBRO LÄN</t>
        </is>
      </c>
      <c r="E598" t="inlineStr">
        <is>
          <t>ÖREBRO</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44284-2022</t>
        </is>
      </c>
      <c r="B599" s="1" t="n">
        <v>44839.59194444444</v>
      </c>
      <c r="C599" s="1" t="n">
        <v>46100</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60555-2025</t>
        </is>
      </c>
      <c r="B600" s="1" t="n">
        <v>45995.73722222223</v>
      </c>
      <c r="C600" s="1" t="n">
        <v>46100</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60720-2025</t>
        </is>
      </c>
      <c r="B601" s="1" t="n">
        <v>45996.64050925926</v>
      </c>
      <c r="C601" s="1" t="n">
        <v>46100</v>
      </c>
      <c r="D601" t="inlineStr">
        <is>
          <t>ÖREBRO LÄN</t>
        </is>
      </c>
      <c r="E601" t="inlineStr">
        <is>
          <t>ÖREBRO</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35833-2024</t>
        </is>
      </c>
      <c r="B602" s="1" t="n">
        <v>45532.68699074074</v>
      </c>
      <c r="C602" s="1" t="n">
        <v>46100</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60840-2025</t>
        </is>
      </c>
      <c r="B603" s="1" t="n">
        <v>45999.48547453704</v>
      </c>
      <c r="C603" s="1" t="n">
        <v>46100</v>
      </c>
      <c r="D603" t="inlineStr">
        <is>
          <t>ÖREBRO LÄN</t>
        </is>
      </c>
      <c r="E603" t="inlineStr">
        <is>
          <t>ÖREBRO</t>
        </is>
      </c>
      <c r="G603" t="n">
        <v>3.5</v>
      </c>
      <c r="H603" t="n">
        <v>0</v>
      </c>
      <c r="I603" t="n">
        <v>0</v>
      </c>
      <c r="J603" t="n">
        <v>0</v>
      </c>
      <c r="K603" t="n">
        <v>0</v>
      </c>
      <c r="L603" t="n">
        <v>0</v>
      </c>
      <c r="M603" t="n">
        <v>0</v>
      </c>
      <c r="N603" t="n">
        <v>0</v>
      </c>
      <c r="O603" t="n">
        <v>0</v>
      </c>
      <c r="P603" t="n">
        <v>0</v>
      </c>
      <c r="Q603" t="n">
        <v>0</v>
      </c>
      <c r="R603" s="2" t="inlineStr"/>
    </row>
    <row r="604" ht="15" customHeight="1">
      <c r="A604" t="inlineStr">
        <is>
          <t>A 60717-2025</t>
        </is>
      </c>
      <c r="B604" s="1" t="n">
        <v>45996.63673611111</v>
      </c>
      <c r="C604" s="1" t="n">
        <v>46100</v>
      </c>
      <c r="D604" t="inlineStr">
        <is>
          <t>ÖREBRO LÄN</t>
        </is>
      </c>
      <c r="E604" t="inlineStr">
        <is>
          <t>ÖREBRO</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60718-2025</t>
        </is>
      </c>
      <c r="B605" s="1" t="n">
        <v>45996.6384375</v>
      </c>
      <c r="C605" s="1" t="n">
        <v>46100</v>
      </c>
      <c r="D605" t="inlineStr">
        <is>
          <t>ÖREBRO LÄN</t>
        </is>
      </c>
      <c r="E605" t="inlineStr">
        <is>
          <t>ÖREBRO</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60721-2025</t>
        </is>
      </c>
      <c r="B606" s="1" t="n">
        <v>45996</v>
      </c>
      <c r="C606" s="1" t="n">
        <v>46100</v>
      </c>
      <c r="D606" t="inlineStr">
        <is>
          <t>ÖREBRO LÄN</t>
        </is>
      </c>
      <c r="E606" t="inlineStr">
        <is>
          <t>ÖREBRO</t>
        </is>
      </c>
      <c r="G606" t="n">
        <v>1.3</v>
      </c>
      <c r="H606" t="n">
        <v>0</v>
      </c>
      <c r="I606" t="n">
        <v>0</v>
      </c>
      <c r="J606" t="n">
        <v>0</v>
      </c>
      <c r="K606" t="n">
        <v>0</v>
      </c>
      <c r="L606" t="n">
        <v>0</v>
      </c>
      <c r="M606" t="n">
        <v>0</v>
      </c>
      <c r="N606" t="n">
        <v>0</v>
      </c>
      <c r="O606" t="n">
        <v>0</v>
      </c>
      <c r="P606" t="n">
        <v>0</v>
      </c>
      <c r="Q606" t="n">
        <v>0</v>
      </c>
      <c r="R606" s="2" t="inlineStr"/>
    </row>
    <row r="607" ht="15" customHeight="1">
      <c r="A607" t="inlineStr">
        <is>
          <t>A 61525-2025</t>
        </is>
      </c>
      <c r="B607" s="1" t="n">
        <v>46001</v>
      </c>
      <c r="C607" s="1" t="n">
        <v>46100</v>
      </c>
      <c r="D607" t="inlineStr">
        <is>
          <t>ÖREBRO LÄN</t>
        </is>
      </c>
      <c r="E607" t="inlineStr">
        <is>
          <t>ÖREBRO</t>
        </is>
      </c>
      <c r="G607" t="n">
        <v>2.6</v>
      </c>
      <c r="H607" t="n">
        <v>0</v>
      </c>
      <c r="I607" t="n">
        <v>0</v>
      </c>
      <c r="J607" t="n">
        <v>0</v>
      </c>
      <c r="K607" t="n">
        <v>0</v>
      </c>
      <c r="L607" t="n">
        <v>0</v>
      </c>
      <c r="M607" t="n">
        <v>0</v>
      </c>
      <c r="N607" t="n">
        <v>0</v>
      </c>
      <c r="O607" t="n">
        <v>0</v>
      </c>
      <c r="P607" t="n">
        <v>0</v>
      </c>
      <c r="Q607" t="n">
        <v>0</v>
      </c>
      <c r="R607" s="2" t="inlineStr"/>
    </row>
    <row r="608" ht="15" customHeight="1">
      <c r="A608" t="inlineStr">
        <is>
          <t>A 58608-2024</t>
        </is>
      </c>
      <c r="B608" s="1" t="n">
        <v>45635.55185185185</v>
      </c>
      <c r="C608" s="1" t="n">
        <v>46100</v>
      </c>
      <c r="D608" t="inlineStr">
        <is>
          <t>ÖREBRO LÄN</t>
        </is>
      </c>
      <c r="E608" t="inlineStr">
        <is>
          <t>ÖREBRO</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61930-2025</t>
        </is>
      </c>
      <c r="B609" s="1" t="n">
        <v>46003</v>
      </c>
      <c r="C609" s="1" t="n">
        <v>46100</v>
      </c>
      <c r="D609" t="inlineStr">
        <is>
          <t>ÖREBRO LÄN</t>
        </is>
      </c>
      <c r="E609" t="inlineStr">
        <is>
          <t>ÖREBRO</t>
        </is>
      </c>
      <c r="G609" t="n">
        <v>2.3</v>
      </c>
      <c r="H609" t="n">
        <v>0</v>
      </c>
      <c r="I609" t="n">
        <v>0</v>
      </c>
      <c r="J609" t="n">
        <v>0</v>
      </c>
      <c r="K609" t="n">
        <v>0</v>
      </c>
      <c r="L609" t="n">
        <v>0</v>
      </c>
      <c r="M609" t="n">
        <v>0</v>
      </c>
      <c r="N609" t="n">
        <v>0</v>
      </c>
      <c r="O609" t="n">
        <v>0</v>
      </c>
      <c r="P609" t="n">
        <v>0</v>
      </c>
      <c r="Q609" t="n">
        <v>0</v>
      </c>
      <c r="R609" s="2" t="inlineStr"/>
    </row>
    <row r="610" ht="15" customHeight="1">
      <c r="A610" t="inlineStr">
        <is>
          <t>A 62683-2025</t>
        </is>
      </c>
      <c r="B610" s="1" t="n">
        <v>46008.45796296297</v>
      </c>
      <c r="C610" s="1" t="n">
        <v>46100</v>
      </c>
      <c r="D610" t="inlineStr">
        <is>
          <t>ÖREBRO LÄN</t>
        </is>
      </c>
      <c r="E610" t="inlineStr">
        <is>
          <t>ÖREBRO</t>
        </is>
      </c>
      <c r="G610" t="n">
        <v>5.1</v>
      </c>
      <c r="H610" t="n">
        <v>0</v>
      </c>
      <c r="I610" t="n">
        <v>0</v>
      </c>
      <c r="J610" t="n">
        <v>0</v>
      </c>
      <c r="K610" t="n">
        <v>0</v>
      </c>
      <c r="L610" t="n">
        <v>0</v>
      </c>
      <c r="M610" t="n">
        <v>0</v>
      </c>
      <c r="N610" t="n">
        <v>0</v>
      </c>
      <c r="O610" t="n">
        <v>0</v>
      </c>
      <c r="P610" t="n">
        <v>0</v>
      </c>
      <c r="Q610" t="n">
        <v>0</v>
      </c>
      <c r="R610" s="2" t="inlineStr"/>
    </row>
    <row r="611" ht="15" customHeight="1">
      <c r="A611" t="inlineStr">
        <is>
          <t>A 55003-2025</t>
        </is>
      </c>
      <c r="B611" s="1" t="n">
        <v>45967</v>
      </c>
      <c r="C611" s="1" t="n">
        <v>46100</v>
      </c>
      <c r="D611" t="inlineStr">
        <is>
          <t>ÖREBRO LÄN</t>
        </is>
      </c>
      <c r="E611" t="inlineStr">
        <is>
          <t>ÖREBRO</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16258-2022</t>
        </is>
      </c>
      <c r="B612" s="1" t="n">
        <v>44670</v>
      </c>
      <c r="C612" s="1" t="n">
        <v>46100</v>
      </c>
      <c r="D612" t="inlineStr">
        <is>
          <t>ÖREBRO LÄN</t>
        </is>
      </c>
      <c r="E612" t="inlineStr">
        <is>
          <t>ÖREBRO</t>
        </is>
      </c>
      <c r="G612" t="n">
        <v>0.6</v>
      </c>
      <c r="H612" t="n">
        <v>0</v>
      </c>
      <c r="I612" t="n">
        <v>0</v>
      </c>
      <c r="J612" t="n">
        <v>0</v>
      </c>
      <c r="K612" t="n">
        <v>0</v>
      </c>
      <c r="L612" t="n">
        <v>0</v>
      </c>
      <c r="M612" t="n">
        <v>0</v>
      </c>
      <c r="N612" t="n">
        <v>0</v>
      </c>
      <c r="O612" t="n">
        <v>0</v>
      </c>
      <c r="P612" t="n">
        <v>0</v>
      </c>
      <c r="Q612" t="n">
        <v>0</v>
      </c>
      <c r="R612" s="2" t="inlineStr"/>
    </row>
    <row r="613" ht="15" customHeight="1">
      <c r="A613" t="inlineStr">
        <is>
          <t>A 63657-2025</t>
        </is>
      </c>
      <c r="B613" s="1" t="n">
        <v>46014.44479166667</v>
      </c>
      <c r="C613" s="1" t="n">
        <v>46100</v>
      </c>
      <c r="D613" t="inlineStr">
        <is>
          <t>ÖREBRO LÄN</t>
        </is>
      </c>
      <c r="E613" t="inlineStr">
        <is>
          <t>ÖREBRO</t>
        </is>
      </c>
      <c r="F613" t="inlineStr">
        <is>
          <t>Allmännings- och besparingsskogar</t>
        </is>
      </c>
      <c r="G613" t="n">
        <v>3.9</v>
      </c>
      <c r="H613" t="n">
        <v>0</v>
      </c>
      <c r="I613" t="n">
        <v>0</v>
      </c>
      <c r="J613" t="n">
        <v>0</v>
      </c>
      <c r="K613" t="n">
        <v>0</v>
      </c>
      <c r="L613" t="n">
        <v>0</v>
      </c>
      <c r="M613" t="n">
        <v>0</v>
      </c>
      <c r="N613" t="n">
        <v>0</v>
      </c>
      <c r="O613" t="n">
        <v>0</v>
      </c>
      <c r="P613" t="n">
        <v>0</v>
      </c>
      <c r="Q613" t="n">
        <v>0</v>
      </c>
      <c r="R613" s="2" t="inlineStr"/>
    </row>
    <row r="614" ht="15" customHeight="1">
      <c r="A614" t="inlineStr">
        <is>
          <t>A 63666-2025</t>
        </is>
      </c>
      <c r="B614" s="1" t="n">
        <v>46014.45650462963</v>
      </c>
      <c r="C614" s="1" t="n">
        <v>46100</v>
      </c>
      <c r="D614" t="inlineStr">
        <is>
          <t>ÖREBRO LÄN</t>
        </is>
      </c>
      <c r="E614" t="inlineStr">
        <is>
          <t>ÖREBRO</t>
        </is>
      </c>
      <c r="F614" t="inlineStr">
        <is>
          <t>Allmännings- och besparingsskogar</t>
        </is>
      </c>
      <c r="G614" t="n">
        <v>2.6</v>
      </c>
      <c r="H614" t="n">
        <v>0</v>
      </c>
      <c r="I614" t="n">
        <v>0</v>
      </c>
      <c r="J614" t="n">
        <v>0</v>
      </c>
      <c r="K614" t="n">
        <v>0</v>
      </c>
      <c r="L614" t="n">
        <v>0</v>
      </c>
      <c r="M614" t="n">
        <v>0</v>
      </c>
      <c r="N614" t="n">
        <v>0</v>
      </c>
      <c r="O614" t="n">
        <v>0</v>
      </c>
      <c r="P614" t="n">
        <v>0</v>
      </c>
      <c r="Q614" t="n">
        <v>0</v>
      </c>
      <c r="R614" s="2" t="inlineStr"/>
    </row>
    <row r="615" ht="15" customHeight="1">
      <c r="A615" t="inlineStr">
        <is>
          <t>A 63662-2025</t>
        </is>
      </c>
      <c r="B615" s="1" t="n">
        <v>46014.45055555556</v>
      </c>
      <c r="C615" s="1" t="n">
        <v>46100</v>
      </c>
      <c r="D615" t="inlineStr">
        <is>
          <t>ÖREBRO LÄN</t>
        </is>
      </c>
      <c r="E615" t="inlineStr">
        <is>
          <t>ÖREBRO</t>
        </is>
      </c>
      <c r="F615" t="inlineStr">
        <is>
          <t>Allmännings- och besparingsskogar</t>
        </is>
      </c>
      <c r="G615" t="n">
        <v>3.2</v>
      </c>
      <c r="H615" t="n">
        <v>0</v>
      </c>
      <c r="I615" t="n">
        <v>0</v>
      </c>
      <c r="J615" t="n">
        <v>0</v>
      </c>
      <c r="K615" t="n">
        <v>0</v>
      </c>
      <c r="L615" t="n">
        <v>0</v>
      </c>
      <c r="M615" t="n">
        <v>0</v>
      </c>
      <c r="N615" t="n">
        <v>0</v>
      </c>
      <c r="O615" t="n">
        <v>0</v>
      </c>
      <c r="P615" t="n">
        <v>0</v>
      </c>
      <c r="Q615" t="n">
        <v>0</v>
      </c>
      <c r="R615" s="2" t="inlineStr"/>
    </row>
    <row r="616" ht="15" customHeight="1">
      <c r="A616" t="inlineStr">
        <is>
          <t>A 7275-2026</t>
        </is>
      </c>
      <c r="B616" s="1" t="n">
        <v>46058.6259375</v>
      </c>
      <c r="C616" s="1" t="n">
        <v>46100</v>
      </c>
      <c r="D616" t="inlineStr">
        <is>
          <t>ÖREBRO LÄN</t>
        </is>
      </c>
      <c r="E616" t="inlineStr">
        <is>
          <t>ÖREBRO</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7220-2026</t>
        </is>
      </c>
      <c r="B617" s="1" t="n">
        <v>46058.56126157408</v>
      </c>
      <c r="C617" s="1" t="n">
        <v>46100</v>
      </c>
      <c r="D617" t="inlineStr">
        <is>
          <t>ÖREBRO LÄN</t>
        </is>
      </c>
      <c r="E617" t="inlineStr">
        <is>
          <t>ÖREBRO</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7227-2026</t>
        </is>
      </c>
      <c r="B618" s="1" t="n">
        <v>46058.56858796296</v>
      </c>
      <c r="C618" s="1" t="n">
        <v>46100</v>
      </c>
      <c r="D618" t="inlineStr">
        <is>
          <t>ÖREBRO LÄN</t>
        </is>
      </c>
      <c r="E618" t="inlineStr">
        <is>
          <t>ÖREBRO</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7550-2026</t>
        </is>
      </c>
      <c r="B619" s="1" t="n">
        <v>46059.68496527777</v>
      </c>
      <c r="C619" s="1" t="n">
        <v>46100</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64018-2025</t>
        </is>
      </c>
      <c r="B620" s="1" t="n">
        <v>46021.4546412037</v>
      </c>
      <c r="C620" s="1" t="n">
        <v>46100</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6254-2026</t>
        </is>
      </c>
      <c r="B621" s="1" t="n">
        <v>46055</v>
      </c>
      <c r="C621" s="1" t="n">
        <v>46100</v>
      </c>
      <c r="D621" t="inlineStr">
        <is>
          <t>ÖREBRO LÄN</t>
        </is>
      </c>
      <c r="E621" t="inlineStr">
        <is>
          <t>ÖREBRO</t>
        </is>
      </c>
      <c r="G621" t="n">
        <v>2.8</v>
      </c>
      <c r="H621" t="n">
        <v>0</v>
      </c>
      <c r="I621" t="n">
        <v>0</v>
      </c>
      <c r="J621" t="n">
        <v>0</v>
      </c>
      <c r="K621" t="n">
        <v>0</v>
      </c>
      <c r="L621" t="n">
        <v>0</v>
      </c>
      <c r="M621" t="n">
        <v>0</v>
      </c>
      <c r="N621" t="n">
        <v>0</v>
      </c>
      <c r="O621" t="n">
        <v>0</v>
      </c>
      <c r="P621" t="n">
        <v>0</v>
      </c>
      <c r="Q621" t="n">
        <v>0</v>
      </c>
      <c r="R621" s="2" t="inlineStr"/>
    </row>
    <row r="622" ht="15" customHeight="1">
      <c r="A622" t="inlineStr">
        <is>
          <t>A 64019-2025</t>
        </is>
      </c>
      <c r="B622" s="1" t="n">
        <v>46021.45914351852</v>
      </c>
      <c r="C622" s="1" t="n">
        <v>46100</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8461-2026</t>
        </is>
      </c>
      <c r="B623" s="1" t="n">
        <v>46065.42981481482</v>
      </c>
      <c r="C623" s="1" t="n">
        <v>46100</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8677-2026</t>
        </is>
      </c>
      <c r="B624" s="1" t="n">
        <v>46066.40994212963</v>
      </c>
      <c r="C624" s="1" t="n">
        <v>46100</v>
      </c>
      <c r="D624" t="inlineStr">
        <is>
          <t>ÖREBRO LÄN</t>
        </is>
      </c>
      <c r="E624" t="inlineStr">
        <is>
          <t>ÖREBRO</t>
        </is>
      </c>
      <c r="G624" t="n">
        <v>2.6</v>
      </c>
      <c r="H624" t="n">
        <v>0</v>
      </c>
      <c r="I624" t="n">
        <v>0</v>
      </c>
      <c r="J624" t="n">
        <v>0</v>
      </c>
      <c r="K624" t="n">
        <v>0</v>
      </c>
      <c r="L624" t="n">
        <v>0</v>
      </c>
      <c r="M624" t="n">
        <v>0</v>
      </c>
      <c r="N624" t="n">
        <v>0</v>
      </c>
      <c r="O624" t="n">
        <v>0</v>
      </c>
      <c r="P624" t="n">
        <v>0</v>
      </c>
      <c r="Q624" t="n">
        <v>0</v>
      </c>
      <c r="R624" s="2" t="inlineStr"/>
    </row>
    <row r="625" ht="15" customHeight="1">
      <c r="A625" t="inlineStr">
        <is>
          <t>A 8662-2026</t>
        </is>
      </c>
      <c r="B625" s="1" t="n">
        <v>46066.38112268518</v>
      </c>
      <c r="C625" s="1" t="n">
        <v>46100</v>
      </c>
      <c r="D625" t="inlineStr">
        <is>
          <t>ÖREBRO LÄN</t>
        </is>
      </c>
      <c r="E625" t="inlineStr">
        <is>
          <t>ÖREBRO</t>
        </is>
      </c>
      <c r="G625" t="n">
        <v>3.2</v>
      </c>
      <c r="H625" t="n">
        <v>0</v>
      </c>
      <c r="I625" t="n">
        <v>0</v>
      </c>
      <c r="J625" t="n">
        <v>0</v>
      </c>
      <c r="K625" t="n">
        <v>0</v>
      </c>
      <c r="L625" t="n">
        <v>0</v>
      </c>
      <c r="M625" t="n">
        <v>0</v>
      </c>
      <c r="N625" t="n">
        <v>0</v>
      </c>
      <c r="O625" t="n">
        <v>0</v>
      </c>
      <c r="P625" t="n">
        <v>0</v>
      </c>
      <c r="Q625" t="n">
        <v>0</v>
      </c>
      <c r="R625" s="2" t="inlineStr"/>
    </row>
    <row r="626" ht="15" customHeight="1">
      <c r="A626" t="inlineStr">
        <is>
          <t>A 9318-2026</t>
        </is>
      </c>
      <c r="B626" s="1" t="n">
        <v>46070.62585648148</v>
      </c>
      <c r="C626" s="1" t="n">
        <v>46100</v>
      </c>
      <c r="D626" t="inlineStr">
        <is>
          <t>ÖREBRO LÄN</t>
        </is>
      </c>
      <c r="E626" t="inlineStr">
        <is>
          <t>ÖREBRO</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1153-2026</t>
        </is>
      </c>
      <c r="B627" s="1" t="n">
        <v>46031.30899305556</v>
      </c>
      <c r="C627" s="1" t="n">
        <v>46100</v>
      </c>
      <c r="D627" t="inlineStr">
        <is>
          <t>ÖREBRO LÄN</t>
        </is>
      </c>
      <c r="E627" t="inlineStr">
        <is>
          <t>ÖREBRO</t>
        </is>
      </c>
      <c r="G627" t="n">
        <v>3.3</v>
      </c>
      <c r="H627" t="n">
        <v>0</v>
      </c>
      <c r="I627" t="n">
        <v>0</v>
      </c>
      <c r="J627" t="n">
        <v>0</v>
      </c>
      <c r="K627" t="n">
        <v>0</v>
      </c>
      <c r="L627" t="n">
        <v>0</v>
      </c>
      <c r="M627" t="n">
        <v>0</v>
      </c>
      <c r="N627" t="n">
        <v>0</v>
      </c>
      <c r="O627" t="n">
        <v>0</v>
      </c>
      <c r="P627" t="n">
        <v>0</v>
      </c>
      <c r="Q627" t="n">
        <v>0</v>
      </c>
      <c r="R627" s="2" t="inlineStr"/>
    </row>
    <row r="628" ht="15" customHeight="1">
      <c r="A628" t="inlineStr">
        <is>
          <t>A 18550-2025</t>
        </is>
      </c>
      <c r="B628" s="1" t="n">
        <v>45763</v>
      </c>
      <c r="C628" s="1" t="n">
        <v>46100</v>
      </c>
      <c r="D628" t="inlineStr">
        <is>
          <t>ÖREBRO LÄN</t>
        </is>
      </c>
      <c r="E628" t="inlineStr">
        <is>
          <t>ÖREBRO</t>
        </is>
      </c>
      <c r="G628" t="n">
        <v>11.5</v>
      </c>
      <c r="H628" t="n">
        <v>0</v>
      </c>
      <c r="I628" t="n">
        <v>0</v>
      </c>
      <c r="J628" t="n">
        <v>0</v>
      </c>
      <c r="K628" t="n">
        <v>0</v>
      </c>
      <c r="L628" t="n">
        <v>0</v>
      </c>
      <c r="M628" t="n">
        <v>0</v>
      </c>
      <c r="N628" t="n">
        <v>0</v>
      </c>
      <c r="O628" t="n">
        <v>0</v>
      </c>
      <c r="P628" t="n">
        <v>0</v>
      </c>
      <c r="Q628" t="n">
        <v>0</v>
      </c>
      <c r="R628" s="2" t="inlineStr"/>
    </row>
    <row r="629" ht="15" customHeight="1">
      <c r="A629" t="inlineStr">
        <is>
          <t>A 10108-2026</t>
        </is>
      </c>
      <c r="B629" s="1" t="n">
        <v>46074.64310185185</v>
      </c>
      <c r="C629" s="1" t="n">
        <v>46100</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2162-2026</t>
        </is>
      </c>
      <c r="B630" s="1" t="n">
        <v>46036.43479166667</v>
      </c>
      <c r="C630" s="1" t="n">
        <v>46100</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10972-2026</t>
        </is>
      </c>
      <c r="B631" s="1" t="n">
        <v>46079.45015046297</v>
      </c>
      <c r="C631" s="1" t="n">
        <v>46100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10970-2026</t>
        </is>
      </c>
      <c r="B632" s="1" t="n">
        <v>46079.44788194444</v>
      </c>
      <c r="C632" s="1" t="n">
        <v>46100</v>
      </c>
      <c r="D632" t="inlineStr">
        <is>
          <t>ÖREBRO LÄN</t>
        </is>
      </c>
      <c r="E632" t="inlineStr">
        <is>
          <t>ÖREBRO</t>
        </is>
      </c>
      <c r="G632" t="n">
        <v>6.5</v>
      </c>
      <c r="H632" t="n">
        <v>0</v>
      </c>
      <c r="I632" t="n">
        <v>0</v>
      </c>
      <c r="J632" t="n">
        <v>0</v>
      </c>
      <c r="K632" t="n">
        <v>0</v>
      </c>
      <c r="L632" t="n">
        <v>0</v>
      </c>
      <c r="M632" t="n">
        <v>0</v>
      </c>
      <c r="N632" t="n">
        <v>0</v>
      </c>
      <c r="O632" t="n">
        <v>0</v>
      </c>
      <c r="P632" t="n">
        <v>0</v>
      </c>
      <c r="Q632" t="n">
        <v>0</v>
      </c>
      <c r="R632" s="2" t="inlineStr"/>
    </row>
    <row r="633" ht="15" customHeight="1">
      <c r="A633" t="inlineStr">
        <is>
          <t>A 10944-2026</t>
        </is>
      </c>
      <c r="B633" s="1" t="n">
        <v>46079.37659722222</v>
      </c>
      <c r="C633" s="1" t="n">
        <v>46100</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59515-2025</t>
        </is>
      </c>
      <c r="B634" s="1" t="n">
        <v>45989.65238425926</v>
      </c>
      <c r="C634" s="1" t="n">
        <v>46100</v>
      </c>
      <c r="D634" t="inlineStr">
        <is>
          <t>ÖREBRO LÄN</t>
        </is>
      </c>
      <c r="E634" t="inlineStr">
        <is>
          <t>ÖREBRO</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2970-2026</t>
        </is>
      </c>
      <c r="B635" s="1" t="n">
        <v>46038.6202662037</v>
      </c>
      <c r="C635" s="1" t="n">
        <v>46100</v>
      </c>
      <c r="D635" t="inlineStr">
        <is>
          <t>ÖREBRO LÄN</t>
        </is>
      </c>
      <c r="E635" t="inlineStr">
        <is>
          <t>ÖREBRO</t>
        </is>
      </c>
      <c r="F635" t="inlineStr">
        <is>
          <t>Övriga Aktiebolag</t>
        </is>
      </c>
      <c r="G635" t="n">
        <v>0.6</v>
      </c>
      <c r="H635" t="n">
        <v>0</v>
      </c>
      <c r="I635" t="n">
        <v>0</v>
      </c>
      <c r="J635" t="n">
        <v>0</v>
      </c>
      <c r="K635" t="n">
        <v>0</v>
      </c>
      <c r="L635" t="n">
        <v>0</v>
      </c>
      <c r="M635" t="n">
        <v>0</v>
      </c>
      <c r="N635" t="n">
        <v>0</v>
      </c>
      <c r="O635" t="n">
        <v>0</v>
      </c>
      <c r="P635" t="n">
        <v>0</v>
      </c>
      <c r="Q635" t="n">
        <v>0</v>
      </c>
      <c r="R635" s="2" t="inlineStr"/>
    </row>
    <row r="636" ht="15" customHeight="1">
      <c r="A636" t="inlineStr">
        <is>
          <t>A 3252-2026</t>
        </is>
      </c>
      <c r="B636" s="1" t="n">
        <v>46041.58626157408</v>
      </c>
      <c r="C636" s="1" t="n">
        <v>46100</v>
      </c>
      <c r="D636" t="inlineStr">
        <is>
          <t>ÖREBRO LÄN</t>
        </is>
      </c>
      <c r="E636" t="inlineStr">
        <is>
          <t>ÖREBRO</t>
        </is>
      </c>
      <c r="F636" t="inlineStr">
        <is>
          <t>Övriga Aktiebolag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3111-2026</t>
        </is>
      </c>
      <c r="B637" s="1" t="n">
        <v>46041.36004629629</v>
      </c>
      <c r="C637" s="1" t="n">
        <v>46100</v>
      </c>
      <c r="D637" t="inlineStr">
        <is>
          <t>ÖREBRO LÄN</t>
        </is>
      </c>
      <c r="E637" t="inlineStr">
        <is>
          <t>ÖREBRO</t>
        </is>
      </c>
      <c r="F637" t="inlineStr">
        <is>
          <t>Övriga Aktiebolag</t>
        </is>
      </c>
      <c r="G637" t="n">
        <v>8.6</v>
      </c>
      <c r="H637" t="n">
        <v>0</v>
      </c>
      <c r="I637" t="n">
        <v>0</v>
      </c>
      <c r="J637" t="n">
        <v>0</v>
      </c>
      <c r="K637" t="n">
        <v>0</v>
      </c>
      <c r="L637" t="n">
        <v>0</v>
      </c>
      <c r="M637" t="n">
        <v>0</v>
      </c>
      <c r="N637" t="n">
        <v>0</v>
      </c>
      <c r="O637" t="n">
        <v>0</v>
      </c>
      <c r="P637" t="n">
        <v>0</v>
      </c>
      <c r="Q637" t="n">
        <v>0</v>
      </c>
      <c r="R637" s="2" t="inlineStr"/>
    </row>
    <row r="638" ht="15" customHeight="1">
      <c r="A638" t="inlineStr">
        <is>
          <t>A 3031-2026</t>
        </is>
      </c>
      <c r="B638" s="1" t="n">
        <v>46038.71271990741</v>
      </c>
      <c r="C638" s="1" t="n">
        <v>46100</v>
      </c>
      <c r="D638" t="inlineStr">
        <is>
          <t>ÖREBRO LÄN</t>
        </is>
      </c>
      <c r="E638" t="inlineStr">
        <is>
          <t>ÖREBRO</t>
        </is>
      </c>
      <c r="F638" t="inlineStr">
        <is>
          <t>Övriga Aktiebolag</t>
        </is>
      </c>
      <c r="G638" t="n">
        <v>1.4</v>
      </c>
      <c r="H638" t="n">
        <v>0</v>
      </c>
      <c r="I638" t="n">
        <v>0</v>
      </c>
      <c r="J638" t="n">
        <v>0</v>
      </c>
      <c r="K638" t="n">
        <v>0</v>
      </c>
      <c r="L638" t="n">
        <v>0</v>
      </c>
      <c r="M638" t="n">
        <v>0</v>
      </c>
      <c r="N638" t="n">
        <v>0</v>
      </c>
      <c r="O638" t="n">
        <v>0</v>
      </c>
      <c r="P638" t="n">
        <v>0</v>
      </c>
      <c r="Q638" t="n">
        <v>0</v>
      </c>
      <c r="R638" s="2" t="inlineStr"/>
    </row>
    <row r="639" ht="15" customHeight="1">
      <c r="A639" t="inlineStr">
        <is>
          <t>A 3033-2026</t>
        </is>
      </c>
      <c r="B639" s="1" t="n">
        <v>46038.71920138889</v>
      </c>
      <c r="C639" s="1" t="n">
        <v>46100</v>
      </c>
      <c r="D639" t="inlineStr">
        <is>
          <t>ÖREBRO LÄN</t>
        </is>
      </c>
      <c r="E639" t="inlineStr">
        <is>
          <t>ÖREBRO</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11286-2026</t>
        </is>
      </c>
      <c r="B640" s="1" t="n">
        <v>46080</v>
      </c>
      <c r="C640" s="1" t="n">
        <v>46100</v>
      </c>
      <c r="D640" t="inlineStr">
        <is>
          <t>ÖREBRO LÄN</t>
        </is>
      </c>
      <c r="E640" t="inlineStr">
        <is>
          <t>ÖREBRO</t>
        </is>
      </c>
      <c r="G640" t="n">
        <v>5.4</v>
      </c>
      <c r="H640" t="n">
        <v>0</v>
      </c>
      <c r="I640" t="n">
        <v>0</v>
      </c>
      <c r="J640" t="n">
        <v>0</v>
      </c>
      <c r="K640" t="n">
        <v>0</v>
      </c>
      <c r="L640" t="n">
        <v>0</v>
      </c>
      <c r="M640" t="n">
        <v>0</v>
      </c>
      <c r="N640" t="n">
        <v>0</v>
      </c>
      <c r="O640" t="n">
        <v>0</v>
      </c>
      <c r="P640" t="n">
        <v>0</v>
      </c>
      <c r="Q640" t="n">
        <v>0</v>
      </c>
      <c r="R640" s="2" t="inlineStr"/>
    </row>
    <row r="641" ht="15" customHeight="1">
      <c r="A641" t="inlineStr">
        <is>
          <t>A 3042-2026</t>
        </is>
      </c>
      <c r="B641" s="1" t="n">
        <v>46038.73467592592</v>
      </c>
      <c r="C641" s="1" t="n">
        <v>46100</v>
      </c>
      <c r="D641" t="inlineStr">
        <is>
          <t>ÖREBRO LÄN</t>
        </is>
      </c>
      <c r="E641" t="inlineStr">
        <is>
          <t>ÖREBRO</t>
        </is>
      </c>
      <c r="F641" t="inlineStr">
        <is>
          <t>Övriga Aktiebolag</t>
        </is>
      </c>
      <c r="G641" t="n">
        <v>1</v>
      </c>
      <c r="H641" t="n">
        <v>0</v>
      </c>
      <c r="I641" t="n">
        <v>0</v>
      </c>
      <c r="J641" t="n">
        <v>0</v>
      </c>
      <c r="K641" t="n">
        <v>0</v>
      </c>
      <c r="L641" t="n">
        <v>0</v>
      </c>
      <c r="M641" t="n">
        <v>0</v>
      </c>
      <c r="N641" t="n">
        <v>0</v>
      </c>
      <c r="O641" t="n">
        <v>0</v>
      </c>
      <c r="P641" t="n">
        <v>0</v>
      </c>
      <c r="Q641" t="n">
        <v>0</v>
      </c>
      <c r="R641" s="2" t="inlineStr"/>
    </row>
    <row r="642" ht="15" customHeight="1">
      <c r="A642" t="inlineStr">
        <is>
          <t>A 10816-2026</t>
        </is>
      </c>
      <c r="B642" s="1" t="n">
        <v>46078.61224537037</v>
      </c>
      <c r="C642" s="1" t="n">
        <v>46100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3944-2026</t>
        </is>
      </c>
      <c r="B643" s="1" t="n">
        <v>46043.93358796297</v>
      </c>
      <c r="C643" s="1" t="n">
        <v>46100</v>
      </c>
      <c r="D643" t="inlineStr">
        <is>
          <t>ÖREBRO LÄN</t>
        </is>
      </c>
      <c r="E643" t="inlineStr">
        <is>
          <t>ÖREBRO</t>
        </is>
      </c>
      <c r="F643" t="inlineStr">
        <is>
          <t>Övriga Aktiebolag</t>
        </is>
      </c>
      <c r="G643" t="n">
        <v>1.7</v>
      </c>
      <c r="H643" t="n">
        <v>0</v>
      </c>
      <c r="I643" t="n">
        <v>0</v>
      </c>
      <c r="J643" t="n">
        <v>0</v>
      </c>
      <c r="K643" t="n">
        <v>0</v>
      </c>
      <c r="L643" t="n">
        <v>0</v>
      </c>
      <c r="M643" t="n">
        <v>0</v>
      </c>
      <c r="N643" t="n">
        <v>0</v>
      </c>
      <c r="O643" t="n">
        <v>0</v>
      </c>
      <c r="P643" t="n">
        <v>0</v>
      </c>
      <c r="Q643" t="n">
        <v>0</v>
      </c>
      <c r="R643" s="2" t="inlineStr"/>
    </row>
    <row r="644" ht="15" customHeight="1">
      <c r="A644" t="inlineStr">
        <is>
          <t>A 12536-2026</t>
        </is>
      </c>
      <c r="B644" s="1" t="n">
        <v>46090.60851851852</v>
      </c>
      <c r="C644" s="1" t="n">
        <v>46100</v>
      </c>
      <c r="D644" t="inlineStr">
        <is>
          <t>ÖREBRO LÄN</t>
        </is>
      </c>
      <c r="E644" t="inlineStr">
        <is>
          <t>ÖREBRO</t>
        </is>
      </c>
      <c r="G644" t="n">
        <v>7.7</v>
      </c>
      <c r="H644" t="n">
        <v>0</v>
      </c>
      <c r="I644" t="n">
        <v>0</v>
      </c>
      <c r="J644" t="n">
        <v>0</v>
      </c>
      <c r="K644" t="n">
        <v>0</v>
      </c>
      <c r="L644" t="n">
        <v>0</v>
      </c>
      <c r="M644" t="n">
        <v>0</v>
      </c>
      <c r="N644" t="n">
        <v>0</v>
      </c>
      <c r="O644" t="n">
        <v>0</v>
      </c>
      <c r="P644" t="n">
        <v>0</v>
      </c>
      <c r="Q644" t="n">
        <v>0</v>
      </c>
      <c r="R644" s="2" t="inlineStr"/>
    </row>
    <row r="645" ht="15" customHeight="1">
      <c r="A645" t="inlineStr">
        <is>
          <t>A 6220-2026</t>
        </is>
      </c>
      <c r="B645" s="1" t="n">
        <v>46055.43789351852</v>
      </c>
      <c r="C645" s="1" t="n">
        <v>46100</v>
      </c>
      <c r="D645" t="inlineStr">
        <is>
          <t>ÖREBRO LÄN</t>
        </is>
      </c>
      <c r="E645" t="inlineStr">
        <is>
          <t>ÖREBRO</t>
        </is>
      </c>
      <c r="G645" t="n">
        <v>2.1</v>
      </c>
      <c r="H645" t="n">
        <v>0</v>
      </c>
      <c r="I645" t="n">
        <v>0</v>
      </c>
      <c r="J645" t="n">
        <v>0</v>
      </c>
      <c r="K645" t="n">
        <v>0</v>
      </c>
      <c r="L645" t="n">
        <v>0</v>
      </c>
      <c r="M645" t="n">
        <v>0</v>
      </c>
      <c r="N645" t="n">
        <v>0</v>
      </c>
      <c r="O645" t="n">
        <v>0</v>
      </c>
      <c r="P645" t="n">
        <v>0</v>
      </c>
      <c r="Q645" t="n">
        <v>0</v>
      </c>
      <c r="R645" s="2" t="inlineStr"/>
    </row>
    <row r="646" ht="15" customHeight="1">
      <c r="A646" t="inlineStr">
        <is>
          <t>A 13778-2026</t>
        </is>
      </c>
      <c r="B646" s="1" t="n">
        <v>46097</v>
      </c>
      <c r="C646" s="1" t="n">
        <v>46100</v>
      </c>
      <c r="D646" t="inlineStr">
        <is>
          <t>ÖREBRO LÄN</t>
        </is>
      </c>
      <c r="E646" t="inlineStr">
        <is>
          <t>ÖREBRO</t>
        </is>
      </c>
      <c r="F646" t="inlineStr">
        <is>
          <t>Övriga Aktiebolag</t>
        </is>
      </c>
      <c r="G646" t="n">
        <v>23.7</v>
      </c>
      <c r="H646" t="n">
        <v>0</v>
      </c>
      <c r="I646" t="n">
        <v>0</v>
      </c>
      <c r="J646" t="n">
        <v>0</v>
      </c>
      <c r="K646" t="n">
        <v>0</v>
      </c>
      <c r="L646" t="n">
        <v>0</v>
      </c>
      <c r="M646" t="n">
        <v>0</v>
      </c>
      <c r="N646" t="n">
        <v>0</v>
      </c>
      <c r="O646" t="n">
        <v>0</v>
      </c>
      <c r="P646" t="n">
        <v>0</v>
      </c>
      <c r="Q646" t="n">
        <v>0</v>
      </c>
      <c r="R646" s="2" t="inlineStr"/>
    </row>
    <row r="647">
      <c r="A647" t="inlineStr">
        <is>
          <t>A 14032-2026</t>
        </is>
      </c>
      <c r="B647" s="1" t="n">
        <v>46098</v>
      </c>
      <c r="C647" s="1" t="n">
        <v>46100</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2026-03-19T11:32:31Z</dcterms:created>
  <dcterms:modified xmlns:dcterms="http://purl.org/dc/terms/" xmlns:xsi="http://www.w3.org/2001/XMLSchema-instance" xsi:type="dcterms:W3CDTF">2026-03-19T11:32:31Z</dcterms:modified>
</cp:coreProperties>
</file>