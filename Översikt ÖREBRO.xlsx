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45932</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45932</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45932</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45932</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45932</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45932</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45932</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45932</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5354-2024</t>
        </is>
      </c>
      <c r="B11" s="1" t="n">
        <v>45331</v>
      </c>
      <c r="C11" s="1" t="n">
        <v>45932</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8564-2021</t>
        </is>
      </c>
      <c r="B12" s="1" t="n">
        <v>44245</v>
      </c>
      <c r="C12" s="1" t="n">
        <v>45932</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12974-2022</t>
        </is>
      </c>
      <c r="B13" s="1" t="n">
        <v>44643.38490740741</v>
      </c>
      <c r="C13" s="1" t="n">
        <v>45932</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33069-2025</t>
        </is>
      </c>
      <c r="B14" s="1" t="n">
        <v>45840</v>
      </c>
      <c r="C14" s="1" t="n">
        <v>45932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51530-2024</t>
        </is>
      </c>
      <c r="B15" s="1" t="n">
        <v>45604</v>
      </c>
      <c r="C15" s="1" t="n">
        <v>45932</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45932</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45932</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13627-2025</t>
        </is>
      </c>
      <c r="B18" s="1" t="n">
        <v>45736</v>
      </c>
      <c r="C18" s="1" t="n">
        <v>45932</v>
      </c>
      <c r="D18" t="inlineStr">
        <is>
          <t>ÖREBRO LÄN</t>
        </is>
      </c>
      <c r="E18" t="inlineStr">
        <is>
          <t>ÖREBRO</t>
        </is>
      </c>
      <c r="G18" t="n">
        <v>9.6</v>
      </c>
      <c r="H18" t="n">
        <v>3</v>
      </c>
      <c r="I18" t="n">
        <v>0</v>
      </c>
      <c r="J18" t="n">
        <v>1</v>
      </c>
      <c r="K18" t="n">
        <v>0</v>
      </c>
      <c r="L18" t="n">
        <v>0</v>
      </c>
      <c r="M18" t="n">
        <v>0</v>
      </c>
      <c r="N18" t="n">
        <v>0</v>
      </c>
      <c r="O18" t="n">
        <v>1</v>
      </c>
      <c r="P18" t="n">
        <v>0</v>
      </c>
      <c r="Q18" t="n">
        <v>3</v>
      </c>
      <c r="R18" s="2" t="inlineStr">
        <is>
          <t>Spillkråka
Grönsiska
Kungsfågel</t>
        </is>
      </c>
      <c r="S18">
        <f>HYPERLINK("https://klasma.github.io/Logging_1880/artfynd/A 13627-2025 artfynd.xlsx", "A 13627-2025")</f>
        <v/>
      </c>
      <c r="T18">
        <f>HYPERLINK("https://klasma.github.io/Logging_1880/kartor/A 13627-2025 karta.png", "A 13627-2025")</f>
        <v/>
      </c>
      <c r="V18">
        <f>HYPERLINK("https://klasma.github.io/Logging_1880/klagomål/A 13627-2025 FSC-klagomål.docx", "A 13627-2025")</f>
        <v/>
      </c>
      <c r="W18">
        <f>HYPERLINK("https://klasma.github.io/Logging_1880/klagomålsmail/A 13627-2025 FSC-klagomål mail.docx", "A 13627-2025")</f>
        <v/>
      </c>
      <c r="X18">
        <f>HYPERLINK("https://klasma.github.io/Logging_1880/tillsyn/A 13627-2025 tillsynsbegäran.docx", "A 13627-2025")</f>
        <v/>
      </c>
      <c r="Y18">
        <f>HYPERLINK("https://klasma.github.io/Logging_1880/tillsynsmail/A 13627-2025 tillsynsbegäran mail.docx", "A 13627-2025")</f>
        <v/>
      </c>
      <c r="Z18">
        <f>HYPERLINK("https://klasma.github.io/Logging_1880/fåglar/A 13627-2025 prioriterade fågelarter.docx", "A 13627-2025")</f>
        <v/>
      </c>
    </row>
    <row r="19" ht="15" customHeight="1">
      <c r="A19" t="inlineStr">
        <is>
          <t>A 50096-2023</t>
        </is>
      </c>
      <c r="B19" s="1" t="n">
        <v>45215</v>
      </c>
      <c r="C19" s="1" t="n">
        <v>45932</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575-2024</t>
        </is>
      </c>
      <c r="B20" s="1" t="n">
        <v>45299</v>
      </c>
      <c r="C20" s="1" t="n">
        <v>45932</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17074-2024</t>
        </is>
      </c>
      <c r="B21" s="1" t="n">
        <v>45412</v>
      </c>
      <c r="C21" s="1" t="n">
        <v>45932</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45932</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45932</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45932</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45932</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45932</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13395-2024</t>
        </is>
      </c>
      <c r="B27" s="1" t="n">
        <v>45387.42296296296</v>
      </c>
      <c r="C27" s="1" t="n">
        <v>45932</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14956-2025</t>
        </is>
      </c>
      <c r="B28" s="1" t="n">
        <v>45743.58409722222</v>
      </c>
      <c r="C28" s="1" t="n">
        <v>45932</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30409-2025</t>
        </is>
      </c>
      <c r="B29" s="1" t="n">
        <v>45827.59738425926</v>
      </c>
      <c r="C29" s="1" t="n">
        <v>45932</v>
      </c>
      <c r="D29" t="inlineStr">
        <is>
          <t>ÖREBRO LÄN</t>
        </is>
      </c>
      <c r="E29" t="inlineStr">
        <is>
          <t>ÖREBRO</t>
        </is>
      </c>
      <c r="G29" t="n">
        <v>1.2</v>
      </c>
      <c r="H29" t="n">
        <v>0</v>
      </c>
      <c r="I29" t="n">
        <v>1</v>
      </c>
      <c r="J29" t="n">
        <v>1</v>
      </c>
      <c r="K29" t="n">
        <v>0</v>
      </c>
      <c r="L29" t="n">
        <v>0</v>
      </c>
      <c r="M29" t="n">
        <v>0</v>
      </c>
      <c r="N29" t="n">
        <v>0</v>
      </c>
      <c r="O29" t="n">
        <v>1</v>
      </c>
      <c r="P29" t="n">
        <v>0</v>
      </c>
      <c r="Q29" t="n">
        <v>2</v>
      </c>
      <c r="R29" s="2" t="inlineStr">
        <is>
          <t>Scharlakansvaxing
Gulfotsskölding</t>
        </is>
      </c>
      <c r="S29">
        <f>HYPERLINK("https://klasma.github.io/Logging_1880/artfynd/A 30409-2025 artfynd.xlsx", "A 30409-2025")</f>
        <v/>
      </c>
      <c r="T29">
        <f>HYPERLINK("https://klasma.github.io/Logging_1880/kartor/A 30409-2025 karta.png", "A 30409-2025")</f>
        <v/>
      </c>
      <c r="V29">
        <f>HYPERLINK("https://klasma.github.io/Logging_1880/klagomål/A 30409-2025 FSC-klagomål.docx", "A 30409-2025")</f>
        <v/>
      </c>
      <c r="W29">
        <f>HYPERLINK("https://klasma.github.io/Logging_1880/klagomålsmail/A 30409-2025 FSC-klagomål mail.docx", "A 30409-2025")</f>
        <v/>
      </c>
      <c r="X29">
        <f>HYPERLINK("https://klasma.github.io/Logging_1880/tillsyn/A 30409-2025 tillsynsbegäran.docx", "A 30409-2025")</f>
        <v/>
      </c>
      <c r="Y29">
        <f>HYPERLINK("https://klasma.github.io/Logging_1880/tillsynsmail/A 30409-2025 tillsynsbegäran mail.docx", "A 30409-2025")</f>
        <v/>
      </c>
    </row>
    <row r="30" ht="15" customHeight="1">
      <c r="A30" t="inlineStr">
        <is>
          <t>A 13458-2024</t>
        </is>
      </c>
      <c r="B30" s="1" t="n">
        <v>45387.54642361111</v>
      </c>
      <c r="C30" s="1" t="n">
        <v>45932</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7608-2024</t>
        </is>
      </c>
      <c r="B31" s="1" t="n">
        <v>45348</v>
      </c>
      <c r="C31" s="1" t="n">
        <v>45932</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45932</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22577-2024</t>
        </is>
      </c>
      <c r="B33" s="1" t="n">
        <v>45447</v>
      </c>
      <c r="C33" s="1" t="n">
        <v>45932</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37019-2024</t>
        </is>
      </c>
      <c r="B34" s="1" t="n">
        <v>45539.37905092593</v>
      </c>
      <c r="C34" s="1" t="n">
        <v>45932</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8267-2021</t>
        </is>
      </c>
      <c r="B35" s="1" t="n">
        <v>44244</v>
      </c>
      <c r="C35" s="1" t="n">
        <v>45932</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45932</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45932</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45932</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4014-2021</t>
        </is>
      </c>
      <c r="B39" s="1" t="n">
        <v>44218</v>
      </c>
      <c r="C39" s="1" t="n">
        <v>45932</v>
      </c>
      <c r="D39" t="inlineStr">
        <is>
          <t>ÖREBRO LÄN</t>
        </is>
      </c>
      <c r="E39" t="inlineStr">
        <is>
          <t>ÖREBRO</t>
        </is>
      </c>
      <c r="G39" t="n">
        <v>10.5</v>
      </c>
      <c r="H39" t="n">
        <v>0</v>
      </c>
      <c r="I39" t="n">
        <v>1</v>
      </c>
      <c r="J39" t="n">
        <v>0</v>
      </c>
      <c r="K39" t="n">
        <v>0</v>
      </c>
      <c r="L39" t="n">
        <v>0</v>
      </c>
      <c r="M39" t="n">
        <v>0</v>
      </c>
      <c r="N39" t="n">
        <v>0</v>
      </c>
      <c r="O39" t="n">
        <v>0</v>
      </c>
      <c r="P39" t="n">
        <v>0</v>
      </c>
      <c r="Q39" t="n">
        <v>1</v>
      </c>
      <c r="R39" s="2" t="inlineStr">
        <is>
          <t>Springkorn</t>
        </is>
      </c>
      <c r="S39">
        <f>HYPERLINK("https://klasma.github.io/Logging_1880/artfynd/A 4014-2021 artfynd.xlsx", "A 4014-2021")</f>
        <v/>
      </c>
      <c r="T39">
        <f>HYPERLINK("https://klasma.github.io/Logging_1880/kartor/A 4014-2021 karta.png", "A 4014-2021")</f>
        <v/>
      </c>
      <c r="V39">
        <f>HYPERLINK("https://klasma.github.io/Logging_1880/klagomål/A 4014-2021 FSC-klagomål.docx", "A 4014-2021")</f>
        <v/>
      </c>
      <c r="W39">
        <f>HYPERLINK("https://klasma.github.io/Logging_1880/klagomålsmail/A 4014-2021 FSC-klagomål mail.docx", "A 4014-2021")</f>
        <v/>
      </c>
      <c r="X39">
        <f>HYPERLINK("https://klasma.github.io/Logging_1880/tillsyn/A 4014-2021 tillsynsbegäran.docx", "A 4014-2021")</f>
        <v/>
      </c>
      <c r="Y39">
        <f>HYPERLINK("https://klasma.github.io/Logging_1880/tillsynsmail/A 4014-2021 tillsynsbegäran mail.docx", "A 4014-2021")</f>
        <v/>
      </c>
    </row>
    <row r="40" ht="15" customHeight="1">
      <c r="A40" t="inlineStr">
        <is>
          <t>A 2077-2023</t>
        </is>
      </c>
      <c r="B40" s="1" t="n">
        <v>44939</v>
      </c>
      <c r="C40" s="1" t="n">
        <v>45932</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44744-2024</t>
        </is>
      </c>
      <c r="B41" s="1" t="n">
        <v>45574.59789351852</v>
      </c>
      <c r="C41" s="1" t="n">
        <v>45932</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42636-2023</t>
        </is>
      </c>
      <c r="B42" s="1" t="n">
        <v>45181.49559027778</v>
      </c>
      <c r="C42" s="1" t="n">
        <v>45932</v>
      </c>
      <c r="D42" t="inlineStr">
        <is>
          <t>ÖREBRO LÄN</t>
        </is>
      </c>
      <c r="E42" t="inlineStr">
        <is>
          <t>ÖREBRO</t>
        </is>
      </c>
      <c r="G42" t="n">
        <v>1.7</v>
      </c>
      <c r="H42" t="n">
        <v>0</v>
      </c>
      <c r="I42" t="n">
        <v>0</v>
      </c>
      <c r="J42" t="n">
        <v>1</v>
      </c>
      <c r="K42" t="n">
        <v>0</v>
      </c>
      <c r="L42" t="n">
        <v>0</v>
      </c>
      <c r="M42" t="n">
        <v>0</v>
      </c>
      <c r="N42" t="n">
        <v>0</v>
      </c>
      <c r="O42" t="n">
        <v>1</v>
      </c>
      <c r="P42" t="n">
        <v>0</v>
      </c>
      <c r="Q42" t="n">
        <v>1</v>
      </c>
      <c r="R42" s="2" t="inlineStr">
        <is>
          <t>Igelkott</t>
        </is>
      </c>
      <c r="S42">
        <f>HYPERLINK("https://klasma.github.io/Logging_1880/artfynd/A 42636-2023 artfynd.xlsx", "A 42636-2023")</f>
        <v/>
      </c>
      <c r="T42">
        <f>HYPERLINK("https://klasma.github.io/Logging_1880/kartor/A 42636-2023 karta.png", "A 42636-2023")</f>
        <v/>
      </c>
      <c r="V42">
        <f>HYPERLINK("https://klasma.github.io/Logging_1880/klagomål/A 42636-2023 FSC-klagomål.docx", "A 42636-2023")</f>
        <v/>
      </c>
      <c r="W42">
        <f>HYPERLINK("https://klasma.github.io/Logging_1880/klagomålsmail/A 42636-2023 FSC-klagomål mail.docx", "A 42636-2023")</f>
        <v/>
      </c>
      <c r="X42">
        <f>HYPERLINK("https://klasma.github.io/Logging_1880/tillsyn/A 42636-2023 tillsynsbegäran.docx", "A 42636-2023")</f>
        <v/>
      </c>
      <c r="Y42">
        <f>HYPERLINK("https://klasma.github.io/Logging_1880/tillsynsmail/A 42636-2023 tillsynsbegäran mail.docx", "A 42636-2023")</f>
        <v/>
      </c>
    </row>
    <row r="43" ht="15" customHeight="1">
      <c r="A43" t="inlineStr">
        <is>
          <t>A 20032-2023</t>
        </is>
      </c>
      <c r="B43" s="1" t="n">
        <v>45054</v>
      </c>
      <c r="C43" s="1" t="n">
        <v>45932</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55904-2024</t>
        </is>
      </c>
      <c r="B44" s="1" t="n">
        <v>45623.58190972222</v>
      </c>
      <c r="C44" s="1" t="n">
        <v>45932</v>
      </c>
      <c r="D44" t="inlineStr">
        <is>
          <t>ÖREBRO LÄN</t>
        </is>
      </c>
      <c r="E44" t="inlineStr">
        <is>
          <t>ÖREBRO</t>
        </is>
      </c>
      <c r="G44" t="n">
        <v>1.2</v>
      </c>
      <c r="H44" t="n">
        <v>1</v>
      </c>
      <c r="I44" t="n">
        <v>0</v>
      </c>
      <c r="J44" t="n">
        <v>0</v>
      </c>
      <c r="K44" t="n">
        <v>0</v>
      </c>
      <c r="L44" t="n">
        <v>0</v>
      </c>
      <c r="M44" t="n">
        <v>0</v>
      </c>
      <c r="N44" t="n">
        <v>0</v>
      </c>
      <c r="O44" t="n">
        <v>0</v>
      </c>
      <c r="P44" t="n">
        <v>0</v>
      </c>
      <c r="Q44" t="n">
        <v>1</v>
      </c>
      <c r="R44" s="2" t="inlineStr">
        <is>
          <t>Trana</t>
        </is>
      </c>
      <c r="S44">
        <f>HYPERLINK("https://klasma.github.io/Logging_1880/artfynd/A 55904-2024 artfynd.xlsx", "A 55904-2024")</f>
        <v/>
      </c>
      <c r="T44">
        <f>HYPERLINK("https://klasma.github.io/Logging_1880/kartor/A 55904-2024 karta.png", "A 55904-2024")</f>
        <v/>
      </c>
      <c r="V44">
        <f>HYPERLINK("https://klasma.github.io/Logging_1880/klagomål/A 55904-2024 FSC-klagomål.docx", "A 55904-2024")</f>
        <v/>
      </c>
      <c r="W44">
        <f>HYPERLINK("https://klasma.github.io/Logging_1880/klagomålsmail/A 55904-2024 FSC-klagomål mail.docx", "A 55904-2024")</f>
        <v/>
      </c>
      <c r="X44">
        <f>HYPERLINK("https://klasma.github.io/Logging_1880/tillsyn/A 55904-2024 tillsynsbegäran.docx", "A 55904-2024")</f>
        <v/>
      </c>
      <c r="Y44">
        <f>HYPERLINK("https://klasma.github.io/Logging_1880/tillsynsmail/A 55904-2024 tillsynsbegäran mail.docx", "A 55904-2024")</f>
        <v/>
      </c>
      <c r="Z44">
        <f>HYPERLINK("https://klasma.github.io/Logging_1880/fåglar/A 55904-2024 prioriterade fågelarter.docx", "A 55904-2024")</f>
        <v/>
      </c>
    </row>
    <row r="45" ht="15" customHeight="1">
      <c r="A45" t="inlineStr">
        <is>
          <t>A 30725-2023</t>
        </is>
      </c>
      <c r="B45" s="1" t="n">
        <v>45112.61451388889</v>
      </c>
      <c r="C45" s="1" t="n">
        <v>45932</v>
      </c>
      <c r="D45" t="inlineStr">
        <is>
          <t>ÖREBRO LÄN</t>
        </is>
      </c>
      <c r="E45" t="inlineStr">
        <is>
          <t>ÖREBRO</t>
        </is>
      </c>
      <c r="G45" t="n">
        <v>1.8</v>
      </c>
      <c r="H45" t="n">
        <v>1</v>
      </c>
      <c r="I45" t="n">
        <v>0</v>
      </c>
      <c r="J45" t="n">
        <v>1</v>
      </c>
      <c r="K45" t="n">
        <v>0</v>
      </c>
      <c r="L45" t="n">
        <v>0</v>
      </c>
      <c r="M45" t="n">
        <v>0</v>
      </c>
      <c r="N45" t="n">
        <v>0</v>
      </c>
      <c r="O45" t="n">
        <v>1</v>
      </c>
      <c r="P45" t="n">
        <v>0</v>
      </c>
      <c r="Q45" t="n">
        <v>1</v>
      </c>
      <c r="R45" s="2" t="inlineStr">
        <is>
          <t>Gulsparv</t>
        </is>
      </c>
      <c r="S45">
        <f>HYPERLINK("https://klasma.github.io/Logging_1880/artfynd/A 30725-2023 artfynd.xlsx", "A 30725-2023")</f>
        <v/>
      </c>
      <c r="T45">
        <f>HYPERLINK("https://klasma.github.io/Logging_1880/kartor/A 30725-2023 karta.png", "A 30725-2023")</f>
        <v/>
      </c>
      <c r="V45">
        <f>HYPERLINK("https://klasma.github.io/Logging_1880/klagomål/A 30725-2023 FSC-klagomål.docx", "A 30725-2023")</f>
        <v/>
      </c>
      <c r="W45">
        <f>HYPERLINK("https://klasma.github.io/Logging_1880/klagomålsmail/A 30725-2023 FSC-klagomål mail.docx", "A 30725-2023")</f>
        <v/>
      </c>
      <c r="X45">
        <f>HYPERLINK("https://klasma.github.io/Logging_1880/tillsyn/A 30725-2023 tillsynsbegäran.docx", "A 30725-2023")</f>
        <v/>
      </c>
      <c r="Y45">
        <f>HYPERLINK("https://klasma.github.io/Logging_1880/tillsynsmail/A 30725-2023 tillsynsbegäran mail.docx", "A 30725-2023")</f>
        <v/>
      </c>
      <c r="Z45">
        <f>HYPERLINK("https://klasma.github.io/Logging_1880/fåglar/A 30725-2023 prioriterade fågelarter.docx", "A 30725-2023")</f>
        <v/>
      </c>
    </row>
    <row r="46" ht="15" customHeight="1">
      <c r="A46" t="inlineStr">
        <is>
          <t>A 23998-2025</t>
        </is>
      </c>
      <c r="B46" s="1" t="n">
        <v>45796.42209490741</v>
      </c>
      <c r="C46" s="1" t="n">
        <v>45932</v>
      </c>
      <c r="D46" t="inlineStr">
        <is>
          <t>ÖREBRO LÄN</t>
        </is>
      </c>
      <c r="E46" t="inlineStr">
        <is>
          <t>ÖREBRO</t>
        </is>
      </c>
      <c r="G46" t="n">
        <v>4.7</v>
      </c>
      <c r="H46" t="n">
        <v>0</v>
      </c>
      <c r="I46" t="n">
        <v>1</v>
      </c>
      <c r="J46" t="n">
        <v>0</v>
      </c>
      <c r="K46" t="n">
        <v>0</v>
      </c>
      <c r="L46" t="n">
        <v>0</v>
      </c>
      <c r="M46" t="n">
        <v>0</v>
      </c>
      <c r="N46" t="n">
        <v>0</v>
      </c>
      <c r="O46" t="n">
        <v>0</v>
      </c>
      <c r="P46" t="n">
        <v>0</v>
      </c>
      <c r="Q46" t="n">
        <v>1</v>
      </c>
      <c r="R46" s="2" t="inlineStr">
        <is>
          <t>Kambräken</t>
        </is>
      </c>
      <c r="S46">
        <f>HYPERLINK("https://klasma.github.io/Logging_1880/artfynd/A 23998-2025 artfynd.xlsx", "A 23998-2025")</f>
        <v/>
      </c>
      <c r="T46">
        <f>HYPERLINK("https://klasma.github.io/Logging_1880/kartor/A 23998-2025 karta.png", "A 23998-2025")</f>
        <v/>
      </c>
      <c r="V46">
        <f>HYPERLINK("https://klasma.github.io/Logging_1880/klagomål/A 23998-2025 FSC-klagomål.docx", "A 23998-2025")</f>
        <v/>
      </c>
      <c r="W46">
        <f>HYPERLINK("https://klasma.github.io/Logging_1880/klagomålsmail/A 23998-2025 FSC-klagomål mail.docx", "A 23998-2025")</f>
        <v/>
      </c>
      <c r="X46">
        <f>HYPERLINK("https://klasma.github.io/Logging_1880/tillsyn/A 23998-2025 tillsynsbegäran.docx", "A 23998-2025")</f>
        <v/>
      </c>
      <c r="Y46">
        <f>HYPERLINK("https://klasma.github.io/Logging_1880/tillsynsmail/A 23998-2025 tillsynsbegäran mail.docx", "A 23998-2025")</f>
        <v/>
      </c>
    </row>
    <row r="47" ht="15" customHeight="1">
      <c r="A47" t="inlineStr">
        <is>
          <t>A 15621-2021</t>
        </is>
      </c>
      <c r="B47" s="1" t="n">
        <v>44285</v>
      </c>
      <c r="C47" s="1" t="n">
        <v>45932</v>
      </c>
      <c r="D47" t="inlineStr">
        <is>
          <t>ÖREBRO LÄN</t>
        </is>
      </c>
      <c r="E47" t="inlineStr">
        <is>
          <t>ÖREBRO</t>
        </is>
      </c>
      <c r="G47" t="n">
        <v>2.8</v>
      </c>
      <c r="H47" t="n">
        <v>1</v>
      </c>
      <c r="I47" t="n">
        <v>0</v>
      </c>
      <c r="J47" t="n">
        <v>0</v>
      </c>
      <c r="K47" t="n">
        <v>0</v>
      </c>
      <c r="L47" t="n">
        <v>0</v>
      </c>
      <c r="M47" t="n">
        <v>0</v>
      </c>
      <c r="N47" t="n">
        <v>0</v>
      </c>
      <c r="O47" t="n">
        <v>0</v>
      </c>
      <c r="P47" t="n">
        <v>0</v>
      </c>
      <c r="Q47" t="n">
        <v>1</v>
      </c>
      <c r="R47" s="2" t="inlineStr">
        <is>
          <t>Fläcknycklar</t>
        </is>
      </c>
      <c r="S47">
        <f>HYPERLINK("https://klasma.github.io/Logging_1880/artfynd/A 15621-2021 artfynd.xlsx", "A 15621-2021")</f>
        <v/>
      </c>
      <c r="T47">
        <f>HYPERLINK("https://klasma.github.io/Logging_1880/kartor/A 15621-2021 karta.png", "A 15621-2021")</f>
        <v/>
      </c>
      <c r="V47">
        <f>HYPERLINK("https://klasma.github.io/Logging_1880/klagomål/A 15621-2021 FSC-klagomål.docx", "A 15621-2021")</f>
        <v/>
      </c>
      <c r="W47">
        <f>HYPERLINK("https://klasma.github.io/Logging_1880/klagomålsmail/A 15621-2021 FSC-klagomål mail.docx", "A 15621-2021")</f>
        <v/>
      </c>
      <c r="X47">
        <f>HYPERLINK("https://klasma.github.io/Logging_1880/tillsyn/A 15621-2021 tillsynsbegäran.docx", "A 15621-2021")</f>
        <v/>
      </c>
      <c r="Y47">
        <f>HYPERLINK("https://klasma.github.io/Logging_1880/tillsynsmail/A 15621-2021 tillsynsbegäran mail.docx", "A 15621-2021")</f>
        <v/>
      </c>
    </row>
    <row r="48" ht="15" customHeight="1">
      <c r="A48" t="inlineStr">
        <is>
          <t>A 28936-2025</t>
        </is>
      </c>
      <c r="B48" s="1" t="n">
        <v>45820.69287037037</v>
      </c>
      <c r="C48" s="1" t="n">
        <v>45932</v>
      </c>
      <c r="D48" t="inlineStr">
        <is>
          <t>ÖREBRO LÄN</t>
        </is>
      </c>
      <c r="E48" t="inlineStr">
        <is>
          <t>ÖREBRO</t>
        </is>
      </c>
      <c r="G48" t="n">
        <v>0.9</v>
      </c>
      <c r="H48" t="n">
        <v>1</v>
      </c>
      <c r="I48" t="n">
        <v>0</v>
      </c>
      <c r="J48" t="n">
        <v>0</v>
      </c>
      <c r="K48" t="n">
        <v>0</v>
      </c>
      <c r="L48" t="n">
        <v>0</v>
      </c>
      <c r="M48" t="n">
        <v>0</v>
      </c>
      <c r="N48" t="n">
        <v>0</v>
      </c>
      <c r="O48" t="n">
        <v>0</v>
      </c>
      <c r="P48" t="n">
        <v>0</v>
      </c>
      <c r="Q48" t="n">
        <v>1</v>
      </c>
      <c r="R48" s="2" t="inlineStr">
        <is>
          <t>Kungsfågel</t>
        </is>
      </c>
      <c r="S48">
        <f>HYPERLINK("https://klasma.github.io/Logging_1880/artfynd/A 28936-2025 artfynd.xlsx", "A 28936-2025")</f>
        <v/>
      </c>
      <c r="T48">
        <f>HYPERLINK("https://klasma.github.io/Logging_1880/kartor/A 28936-2025 karta.png", "A 28936-2025")</f>
        <v/>
      </c>
      <c r="V48">
        <f>HYPERLINK("https://klasma.github.io/Logging_1880/klagomål/A 28936-2025 FSC-klagomål.docx", "A 28936-2025")</f>
        <v/>
      </c>
      <c r="W48">
        <f>HYPERLINK("https://klasma.github.io/Logging_1880/klagomålsmail/A 28936-2025 FSC-klagomål mail.docx", "A 28936-2025")</f>
        <v/>
      </c>
      <c r="X48">
        <f>HYPERLINK("https://klasma.github.io/Logging_1880/tillsyn/A 28936-2025 tillsynsbegäran.docx", "A 28936-2025")</f>
        <v/>
      </c>
      <c r="Y48">
        <f>HYPERLINK("https://klasma.github.io/Logging_1880/tillsynsmail/A 28936-2025 tillsynsbegäran mail.docx", "A 28936-2025")</f>
        <v/>
      </c>
      <c r="Z48">
        <f>HYPERLINK("https://klasma.github.io/Logging_1880/fåglar/A 28936-2025 prioriterade fågelarter.docx", "A 28936-2025")</f>
        <v/>
      </c>
    </row>
    <row r="49" ht="15" customHeight="1">
      <c r="A49" t="inlineStr">
        <is>
          <t>A 32204-2025</t>
        </is>
      </c>
      <c r="B49" s="1" t="n">
        <v>45835.58074074074</v>
      </c>
      <c r="C49" s="1" t="n">
        <v>45932</v>
      </c>
      <c r="D49" t="inlineStr">
        <is>
          <t>ÖREBRO LÄN</t>
        </is>
      </c>
      <c r="E49" t="inlineStr">
        <is>
          <t>ÖREBRO</t>
        </is>
      </c>
      <c r="G49" t="n">
        <v>3.4</v>
      </c>
      <c r="H49" t="n">
        <v>1</v>
      </c>
      <c r="I49" t="n">
        <v>0</v>
      </c>
      <c r="J49" t="n">
        <v>0</v>
      </c>
      <c r="K49" t="n">
        <v>0</v>
      </c>
      <c r="L49" t="n">
        <v>0</v>
      </c>
      <c r="M49" t="n">
        <v>0</v>
      </c>
      <c r="N49" t="n">
        <v>0</v>
      </c>
      <c r="O49" t="n">
        <v>0</v>
      </c>
      <c r="P49" t="n">
        <v>0</v>
      </c>
      <c r="Q49" t="n">
        <v>1</v>
      </c>
      <c r="R49" s="2" t="inlineStr">
        <is>
          <t>Tjäder</t>
        </is>
      </c>
      <c r="S49">
        <f>HYPERLINK("https://klasma.github.io/Logging_1880/artfynd/A 32204-2025 artfynd.xlsx", "A 32204-2025")</f>
        <v/>
      </c>
      <c r="T49">
        <f>HYPERLINK("https://klasma.github.io/Logging_1880/kartor/A 32204-2025 karta.png", "A 32204-2025")</f>
        <v/>
      </c>
      <c r="V49">
        <f>HYPERLINK("https://klasma.github.io/Logging_1880/klagomål/A 32204-2025 FSC-klagomål.docx", "A 32204-2025")</f>
        <v/>
      </c>
      <c r="W49">
        <f>HYPERLINK("https://klasma.github.io/Logging_1880/klagomålsmail/A 32204-2025 FSC-klagomål mail.docx", "A 32204-2025")</f>
        <v/>
      </c>
      <c r="X49">
        <f>HYPERLINK("https://klasma.github.io/Logging_1880/tillsyn/A 32204-2025 tillsynsbegäran.docx", "A 32204-2025")</f>
        <v/>
      </c>
      <c r="Y49">
        <f>HYPERLINK("https://klasma.github.io/Logging_1880/tillsynsmail/A 32204-2025 tillsynsbegäran mail.docx", "A 32204-2025")</f>
        <v/>
      </c>
      <c r="Z49">
        <f>HYPERLINK("https://klasma.github.io/Logging_1880/fåglar/A 32204-2025 prioriterade fågelarter.docx", "A 32204-2025")</f>
        <v/>
      </c>
    </row>
    <row r="50" ht="15" customHeight="1">
      <c r="A50" t="inlineStr">
        <is>
          <t>A 32226-2025</t>
        </is>
      </c>
      <c r="B50" s="1" t="n">
        <v>45835.59478009259</v>
      </c>
      <c r="C50" s="1" t="n">
        <v>45932</v>
      </c>
      <c r="D50" t="inlineStr">
        <is>
          <t>ÖREBRO LÄN</t>
        </is>
      </c>
      <c r="E50" t="inlineStr">
        <is>
          <t>ÖREBRO</t>
        </is>
      </c>
      <c r="G50" t="n">
        <v>1.2</v>
      </c>
      <c r="H50" t="n">
        <v>0</v>
      </c>
      <c r="I50" t="n">
        <v>0</v>
      </c>
      <c r="J50" t="n">
        <v>1</v>
      </c>
      <c r="K50" t="n">
        <v>0</v>
      </c>
      <c r="L50" t="n">
        <v>0</v>
      </c>
      <c r="M50" t="n">
        <v>0</v>
      </c>
      <c r="N50" t="n">
        <v>0</v>
      </c>
      <c r="O50" t="n">
        <v>1</v>
      </c>
      <c r="P50" t="n">
        <v>0</v>
      </c>
      <c r="Q50" t="n">
        <v>1</v>
      </c>
      <c r="R50" s="2" t="inlineStr">
        <is>
          <t>Dofttaggsvamp</t>
        </is>
      </c>
      <c r="S50">
        <f>HYPERLINK("https://klasma.github.io/Logging_1880/artfynd/A 32226-2025 artfynd.xlsx", "A 32226-2025")</f>
        <v/>
      </c>
      <c r="T50">
        <f>HYPERLINK("https://klasma.github.io/Logging_1880/kartor/A 32226-2025 karta.png", "A 32226-2025")</f>
        <v/>
      </c>
      <c r="V50">
        <f>HYPERLINK("https://klasma.github.io/Logging_1880/klagomål/A 32226-2025 FSC-klagomål.docx", "A 32226-2025")</f>
        <v/>
      </c>
      <c r="W50">
        <f>HYPERLINK("https://klasma.github.io/Logging_1880/klagomålsmail/A 32226-2025 FSC-klagomål mail.docx", "A 32226-2025")</f>
        <v/>
      </c>
      <c r="X50">
        <f>HYPERLINK("https://klasma.github.io/Logging_1880/tillsyn/A 32226-2025 tillsynsbegäran.docx", "A 32226-2025")</f>
        <v/>
      </c>
      <c r="Y50">
        <f>HYPERLINK("https://klasma.github.io/Logging_1880/tillsynsmail/A 32226-2025 tillsynsbegäran mail.docx", "A 32226-2025")</f>
        <v/>
      </c>
    </row>
    <row r="51" ht="15" customHeight="1">
      <c r="A51" t="inlineStr">
        <is>
          <t>A 31695-2024</t>
        </is>
      </c>
      <c r="B51" s="1" t="n">
        <v>45508</v>
      </c>
      <c r="C51" s="1" t="n">
        <v>45932</v>
      </c>
      <c r="D51" t="inlineStr">
        <is>
          <t>ÖREBRO LÄN</t>
        </is>
      </c>
      <c r="E51" t="inlineStr">
        <is>
          <t>ÖREBRO</t>
        </is>
      </c>
      <c r="G51" t="n">
        <v>1.3</v>
      </c>
      <c r="H51" t="n">
        <v>1</v>
      </c>
      <c r="I51" t="n">
        <v>1</v>
      </c>
      <c r="J51" t="n">
        <v>0</v>
      </c>
      <c r="K51" t="n">
        <v>0</v>
      </c>
      <c r="L51" t="n">
        <v>0</v>
      </c>
      <c r="M51" t="n">
        <v>0</v>
      </c>
      <c r="N51" t="n">
        <v>0</v>
      </c>
      <c r="O51" t="n">
        <v>0</v>
      </c>
      <c r="P51" t="n">
        <v>0</v>
      </c>
      <c r="Q51" t="n">
        <v>1</v>
      </c>
      <c r="R51" s="2" t="inlineStr">
        <is>
          <t>Skogsknipprot</t>
        </is>
      </c>
      <c r="S51">
        <f>HYPERLINK("https://klasma.github.io/Logging_1880/artfynd/A 31695-2024 artfynd.xlsx", "A 31695-2024")</f>
        <v/>
      </c>
      <c r="T51">
        <f>HYPERLINK("https://klasma.github.io/Logging_1880/kartor/A 31695-2024 karta.png", "A 31695-2024")</f>
        <v/>
      </c>
      <c r="V51">
        <f>HYPERLINK("https://klasma.github.io/Logging_1880/klagomål/A 31695-2024 FSC-klagomål.docx", "A 31695-2024")</f>
        <v/>
      </c>
      <c r="W51">
        <f>HYPERLINK("https://klasma.github.io/Logging_1880/klagomålsmail/A 31695-2024 FSC-klagomål mail.docx", "A 31695-2024")</f>
        <v/>
      </c>
      <c r="X51">
        <f>HYPERLINK("https://klasma.github.io/Logging_1880/tillsyn/A 31695-2024 tillsynsbegäran.docx", "A 31695-2024")</f>
        <v/>
      </c>
      <c r="Y51">
        <f>HYPERLINK("https://klasma.github.io/Logging_1880/tillsynsmail/A 31695-2024 tillsynsbegäran mail.docx", "A 31695-2024")</f>
        <v/>
      </c>
    </row>
    <row r="52" ht="15" customHeight="1">
      <c r="A52" t="inlineStr">
        <is>
          <t>A 26890-2022</t>
        </is>
      </c>
      <c r="B52" s="1" t="n">
        <v>44740</v>
      </c>
      <c r="C52" s="1" t="n">
        <v>45932</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43332-2022</t>
        </is>
      </c>
      <c r="B53" s="1" t="n">
        <v>44834</v>
      </c>
      <c r="C53" s="1" t="n">
        <v>45932</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5097-2023</t>
        </is>
      </c>
      <c r="B54" s="1" t="n">
        <v>44958</v>
      </c>
      <c r="C54" s="1" t="n">
        <v>45932</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32105-2023</t>
        </is>
      </c>
      <c r="B55" s="1" t="n">
        <v>45119</v>
      </c>
      <c r="C55" s="1" t="n">
        <v>45932</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20247-2023</t>
        </is>
      </c>
      <c r="B56" s="1" t="n">
        <v>45055</v>
      </c>
      <c r="C56" s="1" t="n">
        <v>45932</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22604-2024</t>
        </is>
      </c>
      <c r="B57" s="1" t="n">
        <v>45447</v>
      </c>
      <c r="C57" s="1" t="n">
        <v>45932</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11501-2025</t>
        </is>
      </c>
      <c r="B58" s="1" t="n">
        <v>45726</v>
      </c>
      <c r="C58" s="1" t="n">
        <v>45932</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58966-2020</t>
        </is>
      </c>
      <c r="B59" s="1" t="n">
        <v>44146</v>
      </c>
      <c r="C59" s="1" t="n">
        <v>45932</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57920-2024</t>
        </is>
      </c>
      <c r="B60" s="1" t="n">
        <v>45631.50894675926</v>
      </c>
      <c r="C60" s="1" t="n">
        <v>45932</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44389-2021</t>
        </is>
      </c>
      <c r="B61" s="1" t="n">
        <v>44435</v>
      </c>
      <c r="C61" s="1" t="n">
        <v>45932</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9406-2021</t>
        </is>
      </c>
      <c r="B62" s="1" t="n">
        <v>44251</v>
      </c>
      <c r="C62" s="1" t="n">
        <v>45932</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45932</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45932</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45932</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45932</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45932</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45932</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45932</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45932</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45932</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45932</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45932</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45932</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45932</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45932</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45932</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45932</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45932</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45932</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45932</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45932</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45932</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45932</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45932</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45932</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45932</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45932</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45932</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12433-2021</t>
        </is>
      </c>
      <c r="B90" s="1" t="n">
        <v>44267</v>
      </c>
      <c r="C90" s="1" t="n">
        <v>45932</v>
      </c>
      <c r="D90" t="inlineStr">
        <is>
          <t>ÖREBRO LÄN</t>
        </is>
      </c>
      <c r="E90" t="inlineStr">
        <is>
          <t>ÖREBRO</t>
        </is>
      </c>
      <c r="F90" t="inlineStr">
        <is>
          <t>Kommuner</t>
        </is>
      </c>
      <c r="G90" t="n">
        <v>1</v>
      </c>
      <c r="H90" t="n">
        <v>0</v>
      </c>
      <c r="I90" t="n">
        <v>0</v>
      </c>
      <c r="J90" t="n">
        <v>0</v>
      </c>
      <c r="K90" t="n">
        <v>0</v>
      </c>
      <c r="L90" t="n">
        <v>0</v>
      </c>
      <c r="M90" t="n">
        <v>0</v>
      </c>
      <c r="N90" t="n">
        <v>0</v>
      </c>
      <c r="O90" t="n">
        <v>0</v>
      </c>
      <c r="P90" t="n">
        <v>0</v>
      </c>
      <c r="Q90" t="n">
        <v>0</v>
      </c>
      <c r="R90" s="2" t="inlineStr"/>
    </row>
    <row r="91" ht="15" customHeight="1">
      <c r="A91" t="inlineStr">
        <is>
          <t>A 22153-2022</t>
        </is>
      </c>
      <c r="B91" s="1" t="n">
        <v>44712</v>
      </c>
      <c r="C91" s="1" t="n">
        <v>45932</v>
      </c>
      <c r="D91" t="inlineStr">
        <is>
          <t>ÖREBRO LÄN</t>
        </is>
      </c>
      <c r="E91" t="inlineStr">
        <is>
          <t>ÖREBRO</t>
        </is>
      </c>
      <c r="G91" t="n">
        <v>2.7</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45932</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45932</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45932</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45932</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45932</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45932</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3078-2021</t>
        </is>
      </c>
      <c r="B98" s="1" t="n">
        <v>44216</v>
      </c>
      <c r="C98" s="1" t="n">
        <v>45932</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3085-2021</t>
        </is>
      </c>
      <c r="B99" s="1" t="n">
        <v>44216</v>
      </c>
      <c r="C99" s="1" t="n">
        <v>45932</v>
      </c>
      <c r="D99" t="inlineStr">
        <is>
          <t>ÖREBRO LÄN</t>
        </is>
      </c>
      <c r="E99" t="inlineStr">
        <is>
          <t>ÖREBRO</t>
        </is>
      </c>
      <c r="G99" t="n">
        <v>2.9</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45932</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45932</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45932</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45932</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45932</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45932</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45932</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45932</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45932</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45932</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45932</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45932</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45932</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45932</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45932</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45932</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45932</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57343-2021</t>
        </is>
      </c>
      <c r="B117" s="1" t="n">
        <v>44482</v>
      </c>
      <c r="C117" s="1" t="n">
        <v>45932</v>
      </c>
      <c r="D117" t="inlineStr">
        <is>
          <t>ÖREBRO LÄN</t>
        </is>
      </c>
      <c r="E117" t="inlineStr">
        <is>
          <t>ÖREBRO</t>
        </is>
      </c>
      <c r="G117" t="n">
        <v>3.3</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45932</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56138-2020</t>
        </is>
      </c>
      <c r="B119" s="1" t="n">
        <v>44133</v>
      </c>
      <c r="C119" s="1" t="n">
        <v>45932</v>
      </c>
      <c r="D119" t="inlineStr">
        <is>
          <t>ÖREBRO LÄN</t>
        </is>
      </c>
      <c r="E119" t="inlineStr">
        <is>
          <t>ÖREBRO</t>
        </is>
      </c>
      <c r="F119" t="inlineStr">
        <is>
          <t>Allmännings- och besparingsskogar</t>
        </is>
      </c>
      <c r="G119" t="n">
        <v>4.9</v>
      </c>
      <c r="H119" t="n">
        <v>0</v>
      </c>
      <c r="I119" t="n">
        <v>0</v>
      </c>
      <c r="J119" t="n">
        <v>0</v>
      </c>
      <c r="K119" t="n">
        <v>0</v>
      </c>
      <c r="L119" t="n">
        <v>0</v>
      </c>
      <c r="M119" t="n">
        <v>0</v>
      </c>
      <c r="N119" t="n">
        <v>0</v>
      </c>
      <c r="O119" t="n">
        <v>0</v>
      </c>
      <c r="P119" t="n">
        <v>0</v>
      </c>
      <c r="Q119" t="n">
        <v>0</v>
      </c>
      <c r="R119" s="2" t="inlineStr"/>
    </row>
    <row r="120" ht="15" customHeight="1">
      <c r="A120" t="inlineStr">
        <is>
          <t>A 3087-2021</t>
        </is>
      </c>
      <c r="B120" s="1" t="n">
        <v>44216</v>
      </c>
      <c r="C120" s="1" t="n">
        <v>45932</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26118-2021</t>
        </is>
      </c>
      <c r="B121" s="1" t="n">
        <v>44345</v>
      </c>
      <c r="C121" s="1" t="n">
        <v>45932</v>
      </c>
      <c r="D121" t="inlineStr">
        <is>
          <t>ÖREBRO LÄN</t>
        </is>
      </c>
      <c r="E121" t="inlineStr">
        <is>
          <t>ÖREBRO</t>
        </is>
      </c>
      <c r="G121" t="n">
        <v>2.2</v>
      </c>
      <c r="H121" t="n">
        <v>0</v>
      </c>
      <c r="I121" t="n">
        <v>0</v>
      </c>
      <c r="J121" t="n">
        <v>0</v>
      </c>
      <c r="K121" t="n">
        <v>0</v>
      </c>
      <c r="L121" t="n">
        <v>0</v>
      </c>
      <c r="M121" t="n">
        <v>0</v>
      </c>
      <c r="N121" t="n">
        <v>0</v>
      </c>
      <c r="O121" t="n">
        <v>0</v>
      </c>
      <c r="P121" t="n">
        <v>0</v>
      </c>
      <c r="Q121" t="n">
        <v>0</v>
      </c>
      <c r="R121" s="2" t="inlineStr"/>
    </row>
    <row r="122" ht="15" customHeight="1">
      <c r="A122" t="inlineStr">
        <is>
          <t>A 26119-2021</t>
        </is>
      </c>
      <c r="B122" s="1" t="n">
        <v>44345.33282407407</v>
      </c>
      <c r="C122" s="1" t="n">
        <v>45932</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32231-2022</t>
        </is>
      </c>
      <c r="B123" s="1" t="n">
        <v>44781</v>
      </c>
      <c r="C123" s="1" t="n">
        <v>45932</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32247-2022</t>
        </is>
      </c>
      <c r="B124" s="1" t="n">
        <v>44781</v>
      </c>
      <c r="C124" s="1" t="n">
        <v>45932</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10019-2022</t>
        </is>
      </c>
      <c r="B125" s="1" t="n">
        <v>44621</v>
      </c>
      <c r="C125" s="1" t="n">
        <v>45932</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45932</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69613-2020</t>
        </is>
      </c>
      <c r="B127" s="1" t="n">
        <v>44195</v>
      </c>
      <c r="C127" s="1" t="n">
        <v>45932</v>
      </c>
      <c r="D127" t="inlineStr">
        <is>
          <t>ÖREBRO LÄN</t>
        </is>
      </c>
      <c r="E127" t="inlineStr">
        <is>
          <t>ÖREBRO</t>
        </is>
      </c>
      <c r="G127" t="n">
        <v>4.7</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45932</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45932</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19468-2021</t>
        </is>
      </c>
      <c r="B130" s="1" t="n">
        <v>44311</v>
      </c>
      <c r="C130" s="1" t="n">
        <v>45932</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6638-2022</t>
        </is>
      </c>
      <c r="B131" s="1" t="n">
        <v>44601</v>
      </c>
      <c r="C131" s="1" t="n">
        <v>45932</v>
      </c>
      <c r="D131" t="inlineStr">
        <is>
          <t>ÖREBRO LÄN</t>
        </is>
      </c>
      <c r="E131" t="inlineStr">
        <is>
          <t>ÖREBRO</t>
        </is>
      </c>
      <c r="G131" t="n">
        <v>3.3</v>
      </c>
      <c r="H131" t="n">
        <v>0</v>
      </c>
      <c r="I131" t="n">
        <v>0</v>
      </c>
      <c r="J131" t="n">
        <v>0</v>
      </c>
      <c r="K131" t="n">
        <v>0</v>
      </c>
      <c r="L131" t="n">
        <v>0</v>
      </c>
      <c r="M131" t="n">
        <v>0</v>
      </c>
      <c r="N131" t="n">
        <v>0</v>
      </c>
      <c r="O131" t="n">
        <v>0</v>
      </c>
      <c r="P131" t="n">
        <v>0</v>
      </c>
      <c r="Q131" t="n">
        <v>0</v>
      </c>
      <c r="R131" s="2" t="inlineStr"/>
    </row>
    <row r="132" ht="15" customHeight="1">
      <c r="A132" t="inlineStr">
        <is>
          <t>A 21567-2022</t>
        </is>
      </c>
      <c r="B132" s="1" t="n">
        <v>44706</v>
      </c>
      <c r="C132" s="1" t="n">
        <v>45932</v>
      </c>
      <c r="D132" t="inlineStr">
        <is>
          <t>ÖREBRO LÄN</t>
        </is>
      </c>
      <c r="E132" t="inlineStr">
        <is>
          <t>ÖREBRO</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45932</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45932</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58138-2021</t>
        </is>
      </c>
      <c r="B135" s="1" t="n">
        <v>44487</v>
      </c>
      <c r="C135" s="1" t="n">
        <v>45932</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45932</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45932</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45932</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45932</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45932</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45932</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30760-2022</t>
        </is>
      </c>
      <c r="B142" s="1" t="n">
        <v>44764.51827546296</v>
      </c>
      <c r="C142" s="1" t="n">
        <v>45932</v>
      </c>
      <c r="D142" t="inlineStr">
        <is>
          <t>ÖREBRO LÄN</t>
        </is>
      </c>
      <c r="E142" t="inlineStr">
        <is>
          <t>ÖREBRO</t>
        </is>
      </c>
      <c r="G142" t="n">
        <v>4</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45932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45932</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37395-2021</t>
        </is>
      </c>
      <c r="B145" s="1" t="n">
        <v>44398</v>
      </c>
      <c r="C145" s="1" t="n">
        <v>45932</v>
      </c>
      <c r="D145" t="inlineStr">
        <is>
          <t>ÖREBRO LÄN</t>
        </is>
      </c>
      <c r="E145" t="inlineStr">
        <is>
          <t>ÖREBRO</t>
        </is>
      </c>
      <c r="G145" t="n">
        <v>3</v>
      </c>
      <c r="H145" t="n">
        <v>0</v>
      </c>
      <c r="I145" t="n">
        <v>0</v>
      </c>
      <c r="J145" t="n">
        <v>0</v>
      </c>
      <c r="K145" t="n">
        <v>0</v>
      </c>
      <c r="L145" t="n">
        <v>0</v>
      </c>
      <c r="M145" t="n">
        <v>0</v>
      </c>
      <c r="N145" t="n">
        <v>0</v>
      </c>
      <c r="O145" t="n">
        <v>0</v>
      </c>
      <c r="P145" t="n">
        <v>0</v>
      </c>
      <c r="Q145" t="n">
        <v>0</v>
      </c>
      <c r="R145" s="2" t="inlineStr"/>
    </row>
    <row r="146" ht="15" customHeight="1">
      <c r="A146" t="inlineStr">
        <is>
          <t>A 51268-2022</t>
        </is>
      </c>
      <c r="B146" s="1" t="n">
        <v>44868</v>
      </c>
      <c r="C146" s="1" t="n">
        <v>45932</v>
      </c>
      <c r="D146" t="inlineStr">
        <is>
          <t>ÖREBRO LÄN</t>
        </is>
      </c>
      <c r="E146" t="inlineStr">
        <is>
          <t>ÖREBRO</t>
        </is>
      </c>
      <c r="G146" t="n">
        <v>3.8</v>
      </c>
      <c r="H146" t="n">
        <v>0</v>
      </c>
      <c r="I146" t="n">
        <v>0</v>
      </c>
      <c r="J146" t="n">
        <v>0</v>
      </c>
      <c r="K146" t="n">
        <v>0</v>
      </c>
      <c r="L146" t="n">
        <v>0</v>
      </c>
      <c r="M146" t="n">
        <v>0</v>
      </c>
      <c r="N146" t="n">
        <v>0</v>
      </c>
      <c r="O146" t="n">
        <v>0</v>
      </c>
      <c r="P146" t="n">
        <v>0</v>
      </c>
      <c r="Q146" t="n">
        <v>0</v>
      </c>
      <c r="R146" s="2" t="inlineStr"/>
    </row>
    <row r="147" ht="15" customHeight="1">
      <c r="A147" t="inlineStr">
        <is>
          <t>A 66936-2021</t>
        </is>
      </c>
      <c r="B147" s="1" t="n">
        <v>44522.56349537037</v>
      </c>
      <c r="C147" s="1" t="n">
        <v>45932</v>
      </c>
      <c r="D147" t="inlineStr">
        <is>
          <t>ÖREBRO LÄN</t>
        </is>
      </c>
      <c r="E147" t="inlineStr">
        <is>
          <t>ÖREBRO</t>
        </is>
      </c>
      <c r="G147" t="n">
        <v>6.8</v>
      </c>
      <c r="H147" t="n">
        <v>0</v>
      </c>
      <c r="I147" t="n">
        <v>0</v>
      </c>
      <c r="J147" t="n">
        <v>0</v>
      </c>
      <c r="K147" t="n">
        <v>0</v>
      </c>
      <c r="L147" t="n">
        <v>0</v>
      </c>
      <c r="M147" t="n">
        <v>0</v>
      </c>
      <c r="N147" t="n">
        <v>0</v>
      </c>
      <c r="O147" t="n">
        <v>0</v>
      </c>
      <c r="P147" t="n">
        <v>0</v>
      </c>
      <c r="Q147" t="n">
        <v>0</v>
      </c>
      <c r="R147" s="2" t="inlineStr"/>
    </row>
    <row r="148" ht="15" customHeight="1">
      <c r="A148" t="inlineStr">
        <is>
          <t>A 44131-2022</t>
        </is>
      </c>
      <c r="B148" s="1" t="n">
        <v>44839</v>
      </c>
      <c r="C148" s="1" t="n">
        <v>45932</v>
      </c>
      <c r="D148" t="inlineStr">
        <is>
          <t>ÖREBRO LÄN</t>
        </is>
      </c>
      <c r="E148" t="inlineStr">
        <is>
          <t>ÖREBRO</t>
        </is>
      </c>
      <c r="G148" t="n">
        <v>1.3</v>
      </c>
      <c r="H148" t="n">
        <v>0</v>
      </c>
      <c r="I148" t="n">
        <v>0</v>
      </c>
      <c r="J148" t="n">
        <v>0</v>
      </c>
      <c r="K148" t="n">
        <v>0</v>
      </c>
      <c r="L148" t="n">
        <v>0</v>
      </c>
      <c r="M148" t="n">
        <v>0</v>
      </c>
      <c r="N148" t="n">
        <v>0</v>
      </c>
      <c r="O148" t="n">
        <v>0</v>
      </c>
      <c r="P148" t="n">
        <v>0</v>
      </c>
      <c r="Q148" t="n">
        <v>0</v>
      </c>
      <c r="R148" s="2" t="inlineStr"/>
    </row>
    <row r="149" ht="15" customHeight="1">
      <c r="A149" t="inlineStr">
        <is>
          <t>A 51331-2023</t>
        </is>
      </c>
      <c r="B149" s="1" t="n">
        <v>45219</v>
      </c>
      <c r="C149" s="1" t="n">
        <v>45932</v>
      </c>
      <c r="D149" t="inlineStr">
        <is>
          <t>ÖREBRO LÄN</t>
        </is>
      </c>
      <c r="E149" t="inlineStr">
        <is>
          <t>ÖREBRO</t>
        </is>
      </c>
      <c r="F149" t="inlineStr">
        <is>
          <t>Kommuner</t>
        </is>
      </c>
      <c r="G149" t="n">
        <v>1.3</v>
      </c>
      <c r="H149" t="n">
        <v>0</v>
      </c>
      <c r="I149" t="n">
        <v>0</v>
      </c>
      <c r="J149" t="n">
        <v>0</v>
      </c>
      <c r="K149" t="n">
        <v>0</v>
      </c>
      <c r="L149" t="n">
        <v>0</v>
      </c>
      <c r="M149" t="n">
        <v>0</v>
      </c>
      <c r="N149" t="n">
        <v>0</v>
      </c>
      <c r="O149" t="n">
        <v>0</v>
      </c>
      <c r="P149" t="n">
        <v>0</v>
      </c>
      <c r="Q149" t="n">
        <v>0</v>
      </c>
      <c r="R149" s="2" t="inlineStr"/>
    </row>
    <row r="150" ht="15" customHeight="1">
      <c r="A150" t="inlineStr">
        <is>
          <t>A 18321-2022</t>
        </is>
      </c>
      <c r="B150" s="1" t="n">
        <v>44685</v>
      </c>
      <c r="C150" s="1" t="n">
        <v>45932</v>
      </c>
      <c r="D150" t="inlineStr">
        <is>
          <t>ÖREBRO LÄN</t>
        </is>
      </c>
      <c r="E150" t="inlineStr">
        <is>
          <t>ÖREBRO</t>
        </is>
      </c>
      <c r="G150" t="n">
        <v>2.1</v>
      </c>
      <c r="H150" t="n">
        <v>0</v>
      </c>
      <c r="I150" t="n">
        <v>0</v>
      </c>
      <c r="J150" t="n">
        <v>0</v>
      </c>
      <c r="K150" t="n">
        <v>0</v>
      </c>
      <c r="L150" t="n">
        <v>0</v>
      </c>
      <c r="M150" t="n">
        <v>0</v>
      </c>
      <c r="N150" t="n">
        <v>0</v>
      </c>
      <c r="O150" t="n">
        <v>0</v>
      </c>
      <c r="P150" t="n">
        <v>0</v>
      </c>
      <c r="Q150" t="n">
        <v>0</v>
      </c>
      <c r="R150" s="2" t="inlineStr"/>
    </row>
    <row r="151" ht="15" customHeight="1">
      <c r="A151" t="inlineStr">
        <is>
          <t>A 34874-2022</t>
        </is>
      </c>
      <c r="B151" s="1" t="n">
        <v>44796</v>
      </c>
      <c r="C151" s="1" t="n">
        <v>45932</v>
      </c>
      <c r="D151" t="inlineStr">
        <is>
          <t>ÖREBRO LÄN</t>
        </is>
      </c>
      <c r="E151" t="inlineStr">
        <is>
          <t>ÖREBRO</t>
        </is>
      </c>
      <c r="F151" t="inlineStr">
        <is>
          <t>Övriga Aktiebolag</t>
        </is>
      </c>
      <c r="G151" t="n">
        <v>2.3</v>
      </c>
      <c r="H151" t="n">
        <v>0</v>
      </c>
      <c r="I151" t="n">
        <v>0</v>
      </c>
      <c r="J151" t="n">
        <v>0</v>
      </c>
      <c r="K151" t="n">
        <v>0</v>
      </c>
      <c r="L151" t="n">
        <v>0</v>
      </c>
      <c r="M151" t="n">
        <v>0</v>
      </c>
      <c r="N151" t="n">
        <v>0</v>
      </c>
      <c r="O151" t="n">
        <v>0</v>
      </c>
      <c r="P151" t="n">
        <v>0</v>
      </c>
      <c r="Q151" t="n">
        <v>0</v>
      </c>
      <c r="R151" s="2" t="inlineStr"/>
    </row>
    <row r="152" ht="15" customHeight="1">
      <c r="A152" t="inlineStr">
        <is>
          <t>A 16258-2022</t>
        </is>
      </c>
      <c r="B152" s="1" t="n">
        <v>44670</v>
      </c>
      <c r="C152" s="1" t="n">
        <v>45932</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852-2025</t>
        </is>
      </c>
      <c r="B153" s="1" t="n">
        <v>45665.60148148148</v>
      </c>
      <c r="C153" s="1" t="n">
        <v>45932</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45932</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7117-2021</t>
        </is>
      </c>
      <c r="B155" s="1" t="n">
        <v>44238</v>
      </c>
      <c r="C155" s="1" t="n">
        <v>45932</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12871-2021</t>
        </is>
      </c>
      <c r="B156" s="1" t="n">
        <v>44271.42121527778</v>
      </c>
      <c r="C156" s="1" t="n">
        <v>45932</v>
      </c>
      <c r="D156" t="inlineStr">
        <is>
          <t>ÖREBRO LÄN</t>
        </is>
      </c>
      <c r="E156" t="inlineStr">
        <is>
          <t>ÖREBRO</t>
        </is>
      </c>
      <c r="G156" t="n">
        <v>0.9</v>
      </c>
      <c r="H156" t="n">
        <v>0</v>
      </c>
      <c r="I156" t="n">
        <v>0</v>
      </c>
      <c r="J156" t="n">
        <v>0</v>
      </c>
      <c r="K156" t="n">
        <v>0</v>
      </c>
      <c r="L156" t="n">
        <v>0</v>
      </c>
      <c r="M156" t="n">
        <v>0</v>
      </c>
      <c r="N156" t="n">
        <v>0</v>
      </c>
      <c r="O156" t="n">
        <v>0</v>
      </c>
      <c r="P156" t="n">
        <v>0</v>
      </c>
      <c r="Q156" t="n">
        <v>0</v>
      </c>
      <c r="R156" s="2" t="inlineStr"/>
    </row>
    <row r="157" ht="15" customHeight="1">
      <c r="A157" t="inlineStr">
        <is>
          <t>A 15424-2022</t>
        </is>
      </c>
      <c r="B157" s="1" t="n">
        <v>44659</v>
      </c>
      <c r="C157" s="1" t="n">
        <v>45932</v>
      </c>
      <c r="D157" t="inlineStr">
        <is>
          <t>ÖREBRO LÄN</t>
        </is>
      </c>
      <c r="E157" t="inlineStr">
        <is>
          <t>ÖREBRO</t>
        </is>
      </c>
      <c r="G157" t="n">
        <v>2.2</v>
      </c>
      <c r="H157" t="n">
        <v>0</v>
      </c>
      <c r="I157" t="n">
        <v>0</v>
      </c>
      <c r="J157" t="n">
        <v>0</v>
      </c>
      <c r="K157" t="n">
        <v>0</v>
      </c>
      <c r="L157" t="n">
        <v>0</v>
      </c>
      <c r="M157" t="n">
        <v>0</v>
      </c>
      <c r="N157" t="n">
        <v>0</v>
      </c>
      <c r="O157" t="n">
        <v>0</v>
      </c>
      <c r="P157" t="n">
        <v>0</v>
      </c>
      <c r="Q157" t="n">
        <v>0</v>
      </c>
      <c r="R157" s="2" t="inlineStr"/>
    </row>
    <row r="158" ht="15" customHeight="1">
      <c r="A158" t="inlineStr">
        <is>
          <t>A 15682-2023</t>
        </is>
      </c>
      <c r="B158" s="1" t="n">
        <v>45021</v>
      </c>
      <c r="C158" s="1" t="n">
        <v>45932</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17465-2023</t>
        </is>
      </c>
      <c r="B159" s="1" t="n">
        <v>45036</v>
      </c>
      <c r="C159" s="1" t="n">
        <v>45932</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12682-2023</t>
        </is>
      </c>
      <c r="B160" s="1" t="n">
        <v>45000.6115625</v>
      </c>
      <c r="C160" s="1" t="n">
        <v>45932</v>
      </c>
      <c r="D160" t="inlineStr">
        <is>
          <t>ÖREBRO LÄN</t>
        </is>
      </c>
      <c r="E160" t="inlineStr">
        <is>
          <t>ÖREBRO</t>
        </is>
      </c>
      <c r="F160" t="inlineStr">
        <is>
          <t>Övriga Aktiebolag</t>
        </is>
      </c>
      <c r="G160" t="n">
        <v>4.4</v>
      </c>
      <c r="H160" t="n">
        <v>0</v>
      </c>
      <c r="I160" t="n">
        <v>0</v>
      </c>
      <c r="J160" t="n">
        <v>0</v>
      </c>
      <c r="K160" t="n">
        <v>0</v>
      </c>
      <c r="L160" t="n">
        <v>0</v>
      </c>
      <c r="M160" t="n">
        <v>0</v>
      </c>
      <c r="N160" t="n">
        <v>0</v>
      </c>
      <c r="O160" t="n">
        <v>0</v>
      </c>
      <c r="P160" t="n">
        <v>0</v>
      </c>
      <c r="Q160" t="n">
        <v>0</v>
      </c>
      <c r="R160" s="2" t="inlineStr"/>
    </row>
    <row r="161" ht="15" customHeight="1">
      <c r="A161" t="inlineStr">
        <is>
          <t>A 38583-2023</t>
        </is>
      </c>
      <c r="B161" s="1" t="n">
        <v>45162.62861111111</v>
      </c>
      <c r="C161" s="1" t="n">
        <v>45932</v>
      </c>
      <c r="D161" t="inlineStr">
        <is>
          <t>ÖREBRO LÄN</t>
        </is>
      </c>
      <c r="E161" t="inlineStr">
        <is>
          <t>ÖREBRO</t>
        </is>
      </c>
      <c r="G161" t="n">
        <v>5.7</v>
      </c>
      <c r="H161" t="n">
        <v>0</v>
      </c>
      <c r="I161" t="n">
        <v>0</v>
      </c>
      <c r="J161" t="n">
        <v>0</v>
      </c>
      <c r="K161" t="n">
        <v>0</v>
      </c>
      <c r="L161" t="n">
        <v>0</v>
      </c>
      <c r="M161" t="n">
        <v>0</v>
      </c>
      <c r="N161" t="n">
        <v>0</v>
      </c>
      <c r="O161" t="n">
        <v>0</v>
      </c>
      <c r="P161" t="n">
        <v>0</v>
      </c>
      <c r="Q161" t="n">
        <v>0</v>
      </c>
      <c r="R161" s="2" t="inlineStr"/>
    </row>
    <row r="162" ht="15" customHeight="1">
      <c r="A162" t="inlineStr">
        <is>
          <t>A 57247-2022</t>
        </is>
      </c>
      <c r="B162" s="1" t="n">
        <v>44895.73065972222</v>
      </c>
      <c r="C162" s="1" t="n">
        <v>45932</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36635-2023</t>
        </is>
      </c>
      <c r="B163" s="1" t="n">
        <v>45153</v>
      </c>
      <c r="C163" s="1" t="n">
        <v>45932</v>
      </c>
      <c r="D163" t="inlineStr">
        <is>
          <t>ÖREBRO LÄN</t>
        </is>
      </c>
      <c r="E163" t="inlineStr">
        <is>
          <t>ÖREBRO</t>
        </is>
      </c>
      <c r="G163" t="n">
        <v>1.9</v>
      </c>
      <c r="H163" t="n">
        <v>0</v>
      </c>
      <c r="I163" t="n">
        <v>0</v>
      </c>
      <c r="J163" t="n">
        <v>0</v>
      </c>
      <c r="K163" t="n">
        <v>0</v>
      </c>
      <c r="L163" t="n">
        <v>0</v>
      </c>
      <c r="M163" t="n">
        <v>0</v>
      </c>
      <c r="N163" t="n">
        <v>0</v>
      </c>
      <c r="O163" t="n">
        <v>0</v>
      </c>
      <c r="P163" t="n">
        <v>0</v>
      </c>
      <c r="Q163" t="n">
        <v>0</v>
      </c>
      <c r="R163" s="2" t="inlineStr"/>
    </row>
    <row r="164" ht="15" customHeight="1">
      <c r="A164" t="inlineStr">
        <is>
          <t>A 55745-2023</t>
        </is>
      </c>
      <c r="B164" s="1" t="n">
        <v>45239.44811342593</v>
      </c>
      <c r="C164" s="1" t="n">
        <v>45932</v>
      </c>
      <c r="D164" t="inlineStr">
        <is>
          <t>ÖREBRO LÄN</t>
        </is>
      </c>
      <c r="E164" t="inlineStr">
        <is>
          <t>ÖREBRO</t>
        </is>
      </c>
      <c r="G164" t="n">
        <v>13.3</v>
      </c>
      <c r="H164" t="n">
        <v>0</v>
      </c>
      <c r="I164" t="n">
        <v>0</v>
      </c>
      <c r="J164" t="n">
        <v>0</v>
      </c>
      <c r="K164" t="n">
        <v>0</v>
      </c>
      <c r="L164" t="n">
        <v>0</v>
      </c>
      <c r="M164" t="n">
        <v>0</v>
      </c>
      <c r="N164" t="n">
        <v>0</v>
      </c>
      <c r="O164" t="n">
        <v>0</v>
      </c>
      <c r="P164" t="n">
        <v>0</v>
      </c>
      <c r="Q164" t="n">
        <v>0</v>
      </c>
      <c r="R164" s="2" t="inlineStr"/>
    </row>
    <row r="165" ht="15" customHeight="1">
      <c r="A165" t="inlineStr">
        <is>
          <t>A 681-2024</t>
        </is>
      </c>
      <c r="B165" s="1" t="n">
        <v>45300</v>
      </c>
      <c r="C165" s="1" t="n">
        <v>45932</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26509-2021</t>
        </is>
      </c>
      <c r="B166" s="1" t="n">
        <v>44348.45107638889</v>
      </c>
      <c r="C166" s="1" t="n">
        <v>45932</v>
      </c>
      <c r="D166" t="inlineStr">
        <is>
          <t>ÖREBRO LÄN</t>
        </is>
      </c>
      <c r="E166" t="inlineStr">
        <is>
          <t>ÖREBRO</t>
        </is>
      </c>
      <c r="G166" t="n">
        <v>2.5</v>
      </c>
      <c r="H166" t="n">
        <v>0</v>
      </c>
      <c r="I166" t="n">
        <v>0</v>
      </c>
      <c r="J166" t="n">
        <v>0</v>
      </c>
      <c r="K166" t="n">
        <v>0</v>
      </c>
      <c r="L166" t="n">
        <v>0</v>
      </c>
      <c r="M166" t="n">
        <v>0</v>
      </c>
      <c r="N166" t="n">
        <v>0</v>
      </c>
      <c r="O166" t="n">
        <v>0</v>
      </c>
      <c r="P166" t="n">
        <v>0</v>
      </c>
      <c r="Q166" t="n">
        <v>0</v>
      </c>
      <c r="R166" s="2" t="inlineStr"/>
    </row>
    <row r="167" ht="15" customHeight="1">
      <c r="A167" t="inlineStr">
        <is>
          <t>A 38573-2023</t>
        </is>
      </c>
      <c r="B167" s="1" t="n">
        <v>45162.61837962963</v>
      </c>
      <c r="C167" s="1" t="n">
        <v>45932</v>
      </c>
      <c r="D167" t="inlineStr">
        <is>
          <t>ÖREBRO LÄN</t>
        </is>
      </c>
      <c r="E167" t="inlineStr">
        <is>
          <t>ÖREBRO</t>
        </is>
      </c>
      <c r="G167" t="n">
        <v>2.2</v>
      </c>
      <c r="H167" t="n">
        <v>0</v>
      </c>
      <c r="I167" t="n">
        <v>0</v>
      </c>
      <c r="J167" t="n">
        <v>0</v>
      </c>
      <c r="K167" t="n">
        <v>0</v>
      </c>
      <c r="L167" t="n">
        <v>0</v>
      </c>
      <c r="M167" t="n">
        <v>0</v>
      </c>
      <c r="N167" t="n">
        <v>0</v>
      </c>
      <c r="O167" t="n">
        <v>0</v>
      </c>
      <c r="P167" t="n">
        <v>0</v>
      </c>
      <c r="Q167" t="n">
        <v>0</v>
      </c>
      <c r="R167" s="2" t="inlineStr"/>
    </row>
    <row r="168" ht="15" customHeight="1">
      <c r="A168" t="inlineStr">
        <is>
          <t>A 4766-2022</t>
        </is>
      </c>
      <c r="B168" s="1" t="n">
        <v>44592</v>
      </c>
      <c r="C168" s="1" t="n">
        <v>45932</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21097-2025</t>
        </is>
      </c>
      <c r="B169" s="1" t="n">
        <v>45777.63863425926</v>
      </c>
      <c r="C169" s="1" t="n">
        <v>45932</v>
      </c>
      <c r="D169" t="inlineStr">
        <is>
          <t>ÖREBRO LÄN</t>
        </is>
      </c>
      <c r="E169" t="inlineStr">
        <is>
          <t>ÖREBRO</t>
        </is>
      </c>
      <c r="G169" t="n">
        <v>2.1</v>
      </c>
      <c r="H169" t="n">
        <v>0</v>
      </c>
      <c r="I169" t="n">
        <v>0</v>
      </c>
      <c r="J169" t="n">
        <v>0</v>
      </c>
      <c r="K169" t="n">
        <v>0</v>
      </c>
      <c r="L169" t="n">
        <v>0</v>
      </c>
      <c r="M169" t="n">
        <v>0</v>
      </c>
      <c r="N169" t="n">
        <v>0</v>
      </c>
      <c r="O169" t="n">
        <v>0</v>
      </c>
      <c r="P169" t="n">
        <v>0</v>
      </c>
      <c r="Q169" t="n">
        <v>0</v>
      </c>
      <c r="R169" s="2" t="inlineStr"/>
    </row>
    <row r="170" ht="15" customHeight="1">
      <c r="A170" t="inlineStr">
        <is>
          <t>A 58606-2024</t>
        </is>
      </c>
      <c r="B170" s="1" t="n">
        <v>45635.54747685185</v>
      </c>
      <c r="C170" s="1" t="n">
        <v>45932</v>
      </c>
      <c r="D170" t="inlineStr">
        <is>
          <t>ÖREBRO LÄN</t>
        </is>
      </c>
      <c r="E170" t="inlineStr">
        <is>
          <t>ÖREBRO</t>
        </is>
      </c>
      <c r="F170" t="inlineStr">
        <is>
          <t>Sveaskog</t>
        </is>
      </c>
      <c r="G170" t="n">
        <v>2</v>
      </c>
      <c r="H170" t="n">
        <v>0</v>
      </c>
      <c r="I170" t="n">
        <v>0</v>
      </c>
      <c r="J170" t="n">
        <v>0</v>
      </c>
      <c r="K170" t="n">
        <v>0</v>
      </c>
      <c r="L170" t="n">
        <v>0</v>
      </c>
      <c r="M170" t="n">
        <v>0</v>
      </c>
      <c r="N170" t="n">
        <v>0</v>
      </c>
      <c r="O170" t="n">
        <v>0</v>
      </c>
      <c r="P170" t="n">
        <v>0</v>
      </c>
      <c r="Q170" t="n">
        <v>0</v>
      </c>
      <c r="R170" s="2" t="inlineStr"/>
    </row>
    <row r="171" ht="15" customHeight="1">
      <c r="A171" t="inlineStr">
        <is>
          <t>A 40312-2021</t>
        </is>
      </c>
      <c r="B171" s="1" t="n">
        <v>44419</v>
      </c>
      <c r="C171" s="1" t="n">
        <v>45932</v>
      </c>
      <c r="D171" t="inlineStr">
        <is>
          <t>ÖREBRO LÄN</t>
        </is>
      </c>
      <c r="E171" t="inlineStr">
        <is>
          <t>ÖREBRO</t>
        </is>
      </c>
      <c r="F171" t="inlineStr">
        <is>
          <t>Övriga Aktiebolag</t>
        </is>
      </c>
      <c r="G171" t="n">
        <v>2.6</v>
      </c>
      <c r="H171" t="n">
        <v>0</v>
      </c>
      <c r="I171" t="n">
        <v>0</v>
      </c>
      <c r="J171" t="n">
        <v>0</v>
      </c>
      <c r="K171" t="n">
        <v>0</v>
      </c>
      <c r="L171" t="n">
        <v>0</v>
      </c>
      <c r="M171" t="n">
        <v>0</v>
      </c>
      <c r="N171" t="n">
        <v>0</v>
      </c>
      <c r="O171" t="n">
        <v>0</v>
      </c>
      <c r="P171" t="n">
        <v>0</v>
      </c>
      <c r="Q171" t="n">
        <v>0</v>
      </c>
      <c r="R171" s="2" t="inlineStr"/>
    </row>
    <row r="172" ht="15" customHeight="1">
      <c r="A172" t="inlineStr">
        <is>
          <t>A 123-2025</t>
        </is>
      </c>
      <c r="B172" s="1" t="n">
        <v>45659.54851851852</v>
      </c>
      <c r="C172" s="1" t="n">
        <v>45932</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13856-2022</t>
        </is>
      </c>
      <c r="B173" s="1" t="n">
        <v>44649.6965162037</v>
      </c>
      <c r="C173" s="1" t="n">
        <v>45932</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52256-2023</t>
        </is>
      </c>
      <c r="B174" s="1" t="n">
        <v>45224.51471064815</v>
      </c>
      <c r="C174" s="1" t="n">
        <v>45932</v>
      </c>
      <c r="D174" t="inlineStr">
        <is>
          <t>ÖREBRO LÄN</t>
        </is>
      </c>
      <c r="E174" t="inlineStr">
        <is>
          <t>ÖREBRO</t>
        </is>
      </c>
      <c r="G174" t="n">
        <v>2.8</v>
      </c>
      <c r="H174" t="n">
        <v>0</v>
      </c>
      <c r="I174" t="n">
        <v>0</v>
      </c>
      <c r="J174" t="n">
        <v>0</v>
      </c>
      <c r="K174" t="n">
        <v>0</v>
      </c>
      <c r="L174" t="n">
        <v>0</v>
      </c>
      <c r="M174" t="n">
        <v>0</v>
      </c>
      <c r="N174" t="n">
        <v>0</v>
      </c>
      <c r="O174" t="n">
        <v>0</v>
      </c>
      <c r="P174" t="n">
        <v>0</v>
      </c>
      <c r="Q174" t="n">
        <v>0</v>
      </c>
      <c r="R174" s="2" t="inlineStr"/>
    </row>
    <row r="175" ht="15" customHeight="1">
      <c r="A175" t="inlineStr">
        <is>
          <t>A 37012-2024</t>
        </is>
      </c>
      <c r="B175" s="1" t="n">
        <v>45539</v>
      </c>
      <c r="C175" s="1" t="n">
        <v>45932</v>
      </c>
      <c r="D175" t="inlineStr">
        <is>
          <t>ÖREBRO LÄN</t>
        </is>
      </c>
      <c r="E175" t="inlineStr">
        <is>
          <t>ÖREBRO</t>
        </is>
      </c>
      <c r="G175" t="n">
        <v>4.1</v>
      </c>
      <c r="H175" t="n">
        <v>0</v>
      </c>
      <c r="I175" t="n">
        <v>0</v>
      </c>
      <c r="J175" t="n">
        <v>0</v>
      </c>
      <c r="K175" t="n">
        <v>0</v>
      </c>
      <c r="L175" t="n">
        <v>0</v>
      </c>
      <c r="M175" t="n">
        <v>0</v>
      </c>
      <c r="N175" t="n">
        <v>0</v>
      </c>
      <c r="O175" t="n">
        <v>0</v>
      </c>
      <c r="P175" t="n">
        <v>0</v>
      </c>
      <c r="Q175" t="n">
        <v>0</v>
      </c>
      <c r="R175" s="2" t="inlineStr"/>
    </row>
    <row r="176" ht="15" customHeight="1">
      <c r="A176" t="inlineStr">
        <is>
          <t>A 37020-2024</t>
        </is>
      </c>
      <c r="B176" s="1" t="n">
        <v>45539.38059027777</v>
      </c>
      <c r="C176" s="1" t="n">
        <v>45932</v>
      </c>
      <c r="D176" t="inlineStr">
        <is>
          <t>ÖREBRO LÄN</t>
        </is>
      </c>
      <c r="E176" t="inlineStr">
        <is>
          <t>ÖREBRO</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12478-2022</t>
        </is>
      </c>
      <c r="B177" s="1" t="n">
        <v>44638</v>
      </c>
      <c r="C177" s="1" t="n">
        <v>45932</v>
      </c>
      <c r="D177" t="inlineStr">
        <is>
          <t>ÖREBRO LÄN</t>
        </is>
      </c>
      <c r="E177" t="inlineStr">
        <is>
          <t>ÖREBRO</t>
        </is>
      </c>
      <c r="F177" t="inlineStr">
        <is>
          <t>Kyrkan</t>
        </is>
      </c>
      <c r="G177" t="n">
        <v>1.4</v>
      </c>
      <c r="H177" t="n">
        <v>0</v>
      </c>
      <c r="I177" t="n">
        <v>0</v>
      </c>
      <c r="J177" t="n">
        <v>0</v>
      </c>
      <c r="K177" t="n">
        <v>0</v>
      </c>
      <c r="L177" t="n">
        <v>0</v>
      </c>
      <c r="M177" t="n">
        <v>0</v>
      </c>
      <c r="N177" t="n">
        <v>0</v>
      </c>
      <c r="O177" t="n">
        <v>0</v>
      </c>
      <c r="P177" t="n">
        <v>0</v>
      </c>
      <c r="Q177" t="n">
        <v>0</v>
      </c>
      <c r="R177" s="2" t="inlineStr"/>
    </row>
    <row r="178" ht="15" customHeight="1">
      <c r="A178" t="inlineStr">
        <is>
          <t>A 5401-2022</t>
        </is>
      </c>
      <c r="B178" s="1" t="n">
        <v>44595</v>
      </c>
      <c r="C178" s="1" t="n">
        <v>45932</v>
      </c>
      <c r="D178" t="inlineStr">
        <is>
          <t>ÖREBRO LÄN</t>
        </is>
      </c>
      <c r="E178" t="inlineStr">
        <is>
          <t>ÖREBRO</t>
        </is>
      </c>
      <c r="G178" t="n">
        <v>2.3</v>
      </c>
      <c r="H178" t="n">
        <v>0</v>
      </c>
      <c r="I178" t="n">
        <v>0</v>
      </c>
      <c r="J178" t="n">
        <v>0</v>
      </c>
      <c r="K178" t="n">
        <v>0</v>
      </c>
      <c r="L178" t="n">
        <v>0</v>
      </c>
      <c r="M178" t="n">
        <v>0</v>
      </c>
      <c r="N178" t="n">
        <v>0</v>
      </c>
      <c r="O178" t="n">
        <v>0</v>
      </c>
      <c r="P178" t="n">
        <v>0</v>
      </c>
      <c r="Q178" t="n">
        <v>0</v>
      </c>
      <c r="R178" s="2" t="inlineStr"/>
    </row>
    <row r="179" ht="15" customHeight="1">
      <c r="A179" t="inlineStr">
        <is>
          <t>A 60311-2020</t>
        </is>
      </c>
      <c r="B179" s="1" t="n">
        <v>44151</v>
      </c>
      <c r="C179" s="1" t="n">
        <v>45932</v>
      </c>
      <c r="D179" t="inlineStr">
        <is>
          <t>ÖREBRO LÄN</t>
        </is>
      </c>
      <c r="E179" t="inlineStr">
        <is>
          <t>ÖREBRO</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16958-2022</t>
        </is>
      </c>
      <c r="B180" s="1" t="n">
        <v>44676.50481481481</v>
      </c>
      <c r="C180" s="1" t="n">
        <v>45932</v>
      </c>
      <c r="D180" t="inlineStr">
        <is>
          <t>ÖREBRO LÄN</t>
        </is>
      </c>
      <c r="E180" t="inlineStr">
        <is>
          <t>ÖREBRO</t>
        </is>
      </c>
      <c r="G180" t="n">
        <v>3.1</v>
      </c>
      <c r="H180" t="n">
        <v>0</v>
      </c>
      <c r="I180" t="n">
        <v>0</v>
      </c>
      <c r="J180" t="n">
        <v>0</v>
      </c>
      <c r="K180" t="n">
        <v>0</v>
      </c>
      <c r="L180" t="n">
        <v>0</v>
      </c>
      <c r="M180" t="n">
        <v>0</v>
      </c>
      <c r="N180" t="n">
        <v>0</v>
      </c>
      <c r="O180" t="n">
        <v>0</v>
      </c>
      <c r="P180" t="n">
        <v>0</v>
      </c>
      <c r="Q180" t="n">
        <v>0</v>
      </c>
      <c r="R180" s="2" t="inlineStr"/>
    </row>
    <row r="181" ht="15" customHeight="1">
      <c r="A181" t="inlineStr">
        <is>
          <t>A 5338-2024</t>
        </is>
      </c>
      <c r="B181" s="1" t="n">
        <v>45331</v>
      </c>
      <c r="C181" s="1" t="n">
        <v>45932</v>
      </c>
      <c r="D181" t="inlineStr">
        <is>
          <t>ÖREBRO LÄN</t>
        </is>
      </c>
      <c r="E181" t="inlineStr">
        <is>
          <t>ÖREBRO</t>
        </is>
      </c>
      <c r="G181" t="n">
        <v>0.6</v>
      </c>
      <c r="H181" t="n">
        <v>0</v>
      </c>
      <c r="I181" t="n">
        <v>0</v>
      </c>
      <c r="J181" t="n">
        <v>0</v>
      </c>
      <c r="K181" t="n">
        <v>0</v>
      </c>
      <c r="L181" t="n">
        <v>0</v>
      </c>
      <c r="M181" t="n">
        <v>0</v>
      </c>
      <c r="N181" t="n">
        <v>0</v>
      </c>
      <c r="O181" t="n">
        <v>0</v>
      </c>
      <c r="P181" t="n">
        <v>0</v>
      </c>
      <c r="Q181" t="n">
        <v>0</v>
      </c>
      <c r="R181" s="2" t="inlineStr"/>
    </row>
    <row r="182" ht="15" customHeight="1">
      <c r="A182" t="inlineStr">
        <is>
          <t>A 23863-2023</t>
        </is>
      </c>
      <c r="B182" s="1" t="n">
        <v>45078.48994212963</v>
      </c>
      <c r="C182" s="1" t="n">
        <v>45932</v>
      </c>
      <c r="D182" t="inlineStr">
        <is>
          <t>ÖREBRO LÄN</t>
        </is>
      </c>
      <c r="E182" t="inlineStr">
        <is>
          <t>ÖREBRO</t>
        </is>
      </c>
      <c r="F182" t="inlineStr">
        <is>
          <t>Övriga Aktiebolag</t>
        </is>
      </c>
      <c r="G182" t="n">
        <v>5.9</v>
      </c>
      <c r="H182" t="n">
        <v>0</v>
      </c>
      <c r="I182" t="n">
        <v>0</v>
      </c>
      <c r="J182" t="n">
        <v>0</v>
      </c>
      <c r="K182" t="n">
        <v>0</v>
      </c>
      <c r="L182" t="n">
        <v>0</v>
      </c>
      <c r="M182" t="n">
        <v>0</v>
      </c>
      <c r="N182" t="n">
        <v>0</v>
      </c>
      <c r="O182" t="n">
        <v>0</v>
      </c>
      <c r="P182" t="n">
        <v>0</v>
      </c>
      <c r="Q182" t="n">
        <v>0</v>
      </c>
      <c r="R182" s="2" t="inlineStr"/>
    </row>
    <row r="183" ht="15" customHeight="1">
      <c r="A183" t="inlineStr">
        <is>
          <t>A 4970-2022</t>
        </is>
      </c>
      <c r="B183" s="1" t="n">
        <v>44593.51175925926</v>
      </c>
      <c r="C183" s="1" t="n">
        <v>45932</v>
      </c>
      <c r="D183" t="inlineStr">
        <is>
          <t>ÖREBRO LÄN</t>
        </is>
      </c>
      <c r="E183" t="inlineStr">
        <is>
          <t>ÖREBRO</t>
        </is>
      </c>
      <c r="G183" t="n">
        <v>1.1</v>
      </c>
      <c r="H183" t="n">
        <v>0</v>
      </c>
      <c r="I183" t="n">
        <v>0</v>
      </c>
      <c r="J183" t="n">
        <v>0</v>
      </c>
      <c r="K183" t="n">
        <v>0</v>
      </c>
      <c r="L183" t="n">
        <v>0</v>
      </c>
      <c r="M183" t="n">
        <v>0</v>
      </c>
      <c r="N183" t="n">
        <v>0</v>
      </c>
      <c r="O183" t="n">
        <v>0</v>
      </c>
      <c r="P183" t="n">
        <v>0</v>
      </c>
      <c r="Q183" t="n">
        <v>0</v>
      </c>
      <c r="R183" s="2" t="inlineStr"/>
    </row>
    <row r="184" ht="15" customHeight="1">
      <c r="A184" t="inlineStr">
        <is>
          <t>A 14053-2025</t>
        </is>
      </c>
      <c r="B184" s="1" t="n">
        <v>45739</v>
      </c>
      <c r="C184" s="1" t="n">
        <v>45932</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60289-2023</t>
        </is>
      </c>
      <c r="B185" s="1" t="n">
        <v>45257</v>
      </c>
      <c r="C185" s="1" t="n">
        <v>45932</v>
      </c>
      <c r="D185" t="inlineStr">
        <is>
          <t>ÖREBRO LÄN</t>
        </is>
      </c>
      <c r="E185" t="inlineStr">
        <is>
          <t>ÖREBRO</t>
        </is>
      </c>
      <c r="G185" t="n">
        <v>10.9</v>
      </c>
      <c r="H185" t="n">
        <v>0</v>
      </c>
      <c r="I185" t="n">
        <v>0</v>
      </c>
      <c r="J185" t="n">
        <v>0</v>
      </c>
      <c r="K185" t="n">
        <v>0</v>
      </c>
      <c r="L185" t="n">
        <v>0</v>
      </c>
      <c r="M185" t="n">
        <v>0</v>
      </c>
      <c r="N185" t="n">
        <v>0</v>
      </c>
      <c r="O185" t="n">
        <v>0</v>
      </c>
      <c r="P185" t="n">
        <v>0</v>
      </c>
      <c r="Q185" t="n">
        <v>0</v>
      </c>
      <c r="R185" s="2" t="inlineStr"/>
    </row>
    <row r="186" ht="15" customHeight="1">
      <c r="A186" t="inlineStr">
        <is>
          <t>A 12017-2024</t>
        </is>
      </c>
      <c r="B186" s="1" t="n">
        <v>45377</v>
      </c>
      <c r="C186" s="1" t="n">
        <v>45932</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35819-2024</t>
        </is>
      </c>
      <c r="B187" s="1" t="n">
        <v>45532</v>
      </c>
      <c r="C187" s="1" t="n">
        <v>45932</v>
      </c>
      <c r="D187" t="inlineStr">
        <is>
          <t>ÖREBRO LÄN</t>
        </is>
      </c>
      <c r="E187" t="inlineStr">
        <is>
          <t>ÖREBRO</t>
        </is>
      </c>
      <c r="G187" t="n">
        <v>6.4</v>
      </c>
      <c r="H187" t="n">
        <v>0</v>
      </c>
      <c r="I187" t="n">
        <v>0</v>
      </c>
      <c r="J187" t="n">
        <v>0</v>
      </c>
      <c r="K187" t="n">
        <v>0</v>
      </c>
      <c r="L187" t="n">
        <v>0</v>
      </c>
      <c r="M187" t="n">
        <v>0</v>
      </c>
      <c r="N187" t="n">
        <v>0</v>
      </c>
      <c r="O187" t="n">
        <v>0</v>
      </c>
      <c r="P187" t="n">
        <v>0</v>
      </c>
      <c r="Q187" t="n">
        <v>0</v>
      </c>
      <c r="R187" s="2" t="inlineStr"/>
    </row>
    <row r="188" ht="15" customHeight="1">
      <c r="A188" t="inlineStr">
        <is>
          <t>A 54678-2023</t>
        </is>
      </c>
      <c r="B188" s="1" t="n">
        <v>45235</v>
      </c>
      <c r="C188" s="1" t="n">
        <v>45932</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10799-2024</t>
        </is>
      </c>
      <c r="B189" s="1" t="n">
        <v>45369</v>
      </c>
      <c r="C189" s="1" t="n">
        <v>45932</v>
      </c>
      <c r="D189" t="inlineStr">
        <is>
          <t>ÖREBRO LÄN</t>
        </is>
      </c>
      <c r="E189" t="inlineStr">
        <is>
          <t>ÖREBRO</t>
        </is>
      </c>
      <c r="G189" t="n">
        <v>5.8</v>
      </c>
      <c r="H189" t="n">
        <v>0</v>
      </c>
      <c r="I189" t="n">
        <v>0</v>
      </c>
      <c r="J189" t="n">
        <v>0</v>
      </c>
      <c r="K189" t="n">
        <v>0</v>
      </c>
      <c r="L189" t="n">
        <v>0</v>
      </c>
      <c r="M189" t="n">
        <v>0</v>
      </c>
      <c r="N189" t="n">
        <v>0</v>
      </c>
      <c r="O189" t="n">
        <v>0</v>
      </c>
      <c r="P189" t="n">
        <v>0</v>
      </c>
      <c r="Q189" t="n">
        <v>0</v>
      </c>
      <c r="R189" s="2" t="inlineStr"/>
    </row>
    <row r="190" ht="15" customHeight="1">
      <c r="A190" t="inlineStr">
        <is>
          <t>A 13657-2025</t>
        </is>
      </c>
      <c r="B190" s="1" t="n">
        <v>45736.7427662037</v>
      </c>
      <c r="C190" s="1" t="n">
        <v>45932</v>
      </c>
      <c r="D190" t="inlineStr">
        <is>
          <t>ÖREBRO LÄN</t>
        </is>
      </c>
      <c r="E190" t="inlineStr">
        <is>
          <t>ÖREBRO</t>
        </is>
      </c>
      <c r="G190" t="n">
        <v>3.8</v>
      </c>
      <c r="H190" t="n">
        <v>0</v>
      </c>
      <c r="I190" t="n">
        <v>0</v>
      </c>
      <c r="J190" t="n">
        <v>0</v>
      </c>
      <c r="K190" t="n">
        <v>0</v>
      </c>
      <c r="L190" t="n">
        <v>0</v>
      </c>
      <c r="M190" t="n">
        <v>0</v>
      </c>
      <c r="N190" t="n">
        <v>0</v>
      </c>
      <c r="O190" t="n">
        <v>0</v>
      </c>
      <c r="P190" t="n">
        <v>0</v>
      </c>
      <c r="Q190" t="n">
        <v>0</v>
      </c>
      <c r="R190" s="2" t="inlineStr"/>
    </row>
    <row r="191" ht="15" customHeight="1">
      <c r="A191" t="inlineStr">
        <is>
          <t>A 46757-2021</t>
        </is>
      </c>
      <c r="B191" s="1" t="n">
        <v>44445</v>
      </c>
      <c r="C191" s="1" t="n">
        <v>45932</v>
      </c>
      <c r="D191" t="inlineStr">
        <is>
          <t>ÖREBRO LÄN</t>
        </is>
      </c>
      <c r="E191" t="inlineStr">
        <is>
          <t>ÖREBRO</t>
        </is>
      </c>
      <c r="G191" t="n">
        <v>5.6</v>
      </c>
      <c r="H191" t="n">
        <v>0</v>
      </c>
      <c r="I191" t="n">
        <v>0</v>
      </c>
      <c r="J191" t="n">
        <v>0</v>
      </c>
      <c r="K191" t="n">
        <v>0</v>
      </c>
      <c r="L191" t="n">
        <v>0</v>
      </c>
      <c r="M191" t="n">
        <v>0</v>
      </c>
      <c r="N191" t="n">
        <v>0</v>
      </c>
      <c r="O191" t="n">
        <v>0</v>
      </c>
      <c r="P191" t="n">
        <v>0</v>
      </c>
      <c r="Q191" t="n">
        <v>0</v>
      </c>
      <c r="R191" s="2" t="inlineStr"/>
    </row>
    <row r="192" ht="15" customHeight="1">
      <c r="A192" t="inlineStr">
        <is>
          <t>A 9609-2023</t>
        </is>
      </c>
      <c r="B192" s="1" t="n">
        <v>44983.93344907407</v>
      </c>
      <c r="C192" s="1" t="n">
        <v>45932</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9314-2023</t>
        </is>
      </c>
      <c r="B193" s="1" t="n">
        <v>44980.67747685185</v>
      </c>
      <c r="C193" s="1" t="n">
        <v>45932</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190-2024</t>
        </is>
      </c>
      <c r="B194" s="1" t="n">
        <v>45294.61858796296</v>
      </c>
      <c r="C194" s="1" t="n">
        <v>45932</v>
      </c>
      <c r="D194" t="inlineStr">
        <is>
          <t>ÖREBRO LÄN</t>
        </is>
      </c>
      <c r="E194" t="inlineStr">
        <is>
          <t>ÖREBRO</t>
        </is>
      </c>
      <c r="G194" t="n">
        <v>2.4</v>
      </c>
      <c r="H194" t="n">
        <v>0</v>
      </c>
      <c r="I194" t="n">
        <v>0</v>
      </c>
      <c r="J194" t="n">
        <v>0</v>
      </c>
      <c r="K194" t="n">
        <v>0</v>
      </c>
      <c r="L194" t="n">
        <v>0</v>
      </c>
      <c r="M194" t="n">
        <v>0</v>
      </c>
      <c r="N194" t="n">
        <v>0</v>
      </c>
      <c r="O194" t="n">
        <v>0</v>
      </c>
      <c r="P194" t="n">
        <v>0</v>
      </c>
      <c r="Q194" t="n">
        <v>0</v>
      </c>
      <c r="R194" s="2" t="inlineStr"/>
    </row>
    <row r="195" ht="15" customHeight="1">
      <c r="A195" t="inlineStr">
        <is>
          <t>A 32076-2023</t>
        </is>
      </c>
      <c r="B195" s="1" t="n">
        <v>45119.58324074074</v>
      </c>
      <c r="C195" s="1" t="n">
        <v>45932</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44511-2023</t>
        </is>
      </c>
      <c r="B196" s="1" t="n">
        <v>45189</v>
      </c>
      <c r="C196" s="1" t="n">
        <v>45932</v>
      </c>
      <c r="D196" t="inlineStr">
        <is>
          <t>ÖREBRO LÄN</t>
        </is>
      </c>
      <c r="E196" t="inlineStr">
        <is>
          <t>ÖREBRO</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21338-2025</t>
        </is>
      </c>
      <c r="B197" s="1" t="n">
        <v>45780</v>
      </c>
      <c r="C197" s="1" t="n">
        <v>45932</v>
      </c>
      <c r="D197" t="inlineStr">
        <is>
          <t>ÖREBRO LÄN</t>
        </is>
      </c>
      <c r="E197" t="inlineStr">
        <is>
          <t>ÖREBRO</t>
        </is>
      </c>
      <c r="G197" t="n">
        <v>3.2</v>
      </c>
      <c r="H197" t="n">
        <v>0</v>
      </c>
      <c r="I197" t="n">
        <v>0</v>
      </c>
      <c r="J197" t="n">
        <v>0</v>
      </c>
      <c r="K197" t="n">
        <v>0</v>
      </c>
      <c r="L197" t="n">
        <v>0</v>
      </c>
      <c r="M197" t="n">
        <v>0</v>
      </c>
      <c r="N197" t="n">
        <v>0</v>
      </c>
      <c r="O197" t="n">
        <v>0</v>
      </c>
      <c r="P197" t="n">
        <v>0</v>
      </c>
      <c r="Q197" t="n">
        <v>0</v>
      </c>
      <c r="R197" s="2" t="inlineStr"/>
    </row>
    <row r="198" ht="15" customHeight="1">
      <c r="A198" t="inlineStr">
        <is>
          <t>A 6522-2023</t>
        </is>
      </c>
      <c r="B198" s="1" t="n">
        <v>44966</v>
      </c>
      <c r="C198" s="1" t="n">
        <v>45932</v>
      </c>
      <c r="D198" t="inlineStr">
        <is>
          <t>ÖREBRO LÄN</t>
        </is>
      </c>
      <c r="E198" t="inlineStr">
        <is>
          <t>ÖREBRO</t>
        </is>
      </c>
      <c r="G198" t="n">
        <v>4.4</v>
      </c>
      <c r="H198" t="n">
        <v>0</v>
      </c>
      <c r="I198" t="n">
        <v>0</v>
      </c>
      <c r="J198" t="n">
        <v>0</v>
      </c>
      <c r="K198" t="n">
        <v>0</v>
      </c>
      <c r="L198" t="n">
        <v>0</v>
      </c>
      <c r="M198" t="n">
        <v>0</v>
      </c>
      <c r="N198" t="n">
        <v>0</v>
      </c>
      <c r="O198" t="n">
        <v>0</v>
      </c>
      <c r="P198" t="n">
        <v>0</v>
      </c>
      <c r="Q198" t="n">
        <v>0</v>
      </c>
      <c r="R198" s="2" t="inlineStr"/>
    </row>
    <row r="199" ht="15" customHeight="1">
      <c r="A199" t="inlineStr">
        <is>
          <t>A 18449-2023</t>
        </is>
      </c>
      <c r="B199" s="1" t="n">
        <v>45042.5203125</v>
      </c>
      <c r="C199" s="1" t="n">
        <v>45932</v>
      </c>
      <c r="D199" t="inlineStr">
        <is>
          <t>ÖREBRO LÄN</t>
        </is>
      </c>
      <c r="E199" t="inlineStr">
        <is>
          <t>ÖREBRO</t>
        </is>
      </c>
      <c r="G199" t="n">
        <v>1.5</v>
      </c>
      <c r="H199" t="n">
        <v>0</v>
      </c>
      <c r="I199" t="n">
        <v>0</v>
      </c>
      <c r="J199" t="n">
        <v>0</v>
      </c>
      <c r="K199" t="n">
        <v>0</v>
      </c>
      <c r="L199" t="n">
        <v>0</v>
      </c>
      <c r="M199" t="n">
        <v>0</v>
      </c>
      <c r="N199" t="n">
        <v>0</v>
      </c>
      <c r="O199" t="n">
        <v>0</v>
      </c>
      <c r="P199" t="n">
        <v>0</v>
      </c>
      <c r="Q199" t="n">
        <v>0</v>
      </c>
      <c r="R199" s="2" t="inlineStr"/>
    </row>
    <row r="200" ht="15" customHeight="1">
      <c r="A200" t="inlineStr">
        <is>
          <t>A 16736-2023</t>
        </is>
      </c>
      <c r="B200" s="1" t="n">
        <v>45030.72328703704</v>
      </c>
      <c r="C200" s="1" t="n">
        <v>45932</v>
      </c>
      <c r="D200" t="inlineStr">
        <is>
          <t>ÖREBRO LÄN</t>
        </is>
      </c>
      <c r="E200" t="inlineStr">
        <is>
          <t>ÖREBRO</t>
        </is>
      </c>
      <c r="G200" t="n">
        <v>4</v>
      </c>
      <c r="H200" t="n">
        <v>0</v>
      </c>
      <c r="I200" t="n">
        <v>0</v>
      </c>
      <c r="J200" t="n">
        <v>0</v>
      </c>
      <c r="K200" t="n">
        <v>0</v>
      </c>
      <c r="L200" t="n">
        <v>0</v>
      </c>
      <c r="M200" t="n">
        <v>0</v>
      </c>
      <c r="N200" t="n">
        <v>0</v>
      </c>
      <c r="O200" t="n">
        <v>0</v>
      </c>
      <c r="P200" t="n">
        <v>0</v>
      </c>
      <c r="Q200" t="n">
        <v>0</v>
      </c>
      <c r="R200" s="2" t="inlineStr"/>
    </row>
    <row r="201" ht="15" customHeight="1">
      <c r="A201" t="inlineStr">
        <is>
          <t>A 50375-2024</t>
        </is>
      </c>
      <c r="B201" s="1" t="n">
        <v>45601.29311342593</v>
      </c>
      <c r="C201" s="1" t="n">
        <v>45932</v>
      </c>
      <c r="D201" t="inlineStr">
        <is>
          <t>ÖREBRO LÄN</t>
        </is>
      </c>
      <c r="E201" t="inlineStr">
        <is>
          <t>ÖREBRO</t>
        </is>
      </c>
      <c r="G201" t="n">
        <v>5</v>
      </c>
      <c r="H201" t="n">
        <v>0</v>
      </c>
      <c r="I201" t="n">
        <v>0</v>
      </c>
      <c r="J201" t="n">
        <v>0</v>
      </c>
      <c r="K201" t="n">
        <v>0</v>
      </c>
      <c r="L201" t="n">
        <v>0</v>
      </c>
      <c r="M201" t="n">
        <v>0</v>
      </c>
      <c r="N201" t="n">
        <v>0</v>
      </c>
      <c r="O201" t="n">
        <v>0</v>
      </c>
      <c r="P201" t="n">
        <v>0</v>
      </c>
      <c r="Q201" t="n">
        <v>0</v>
      </c>
      <c r="R201" s="2" t="inlineStr"/>
    </row>
    <row r="202" ht="15" customHeight="1">
      <c r="A202" t="inlineStr">
        <is>
          <t>A 52447-2024</t>
        </is>
      </c>
      <c r="B202" s="1" t="n">
        <v>45609.49157407408</v>
      </c>
      <c r="C202" s="1" t="n">
        <v>45932</v>
      </c>
      <c r="D202" t="inlineStr">
        <is>
          <t>ÖREBRO LÄN</t>
        </is>
      </c>
      <c r="E202" t="inlineStr">
        <is>
          <t>ÖREBRO</t>
        </is>
      </c>
      <c r="G202" t="n">
        <v>1.4</v>
      </c>
      <c r="H202" t="n">
        <v>0</v>
      </c>
      <c r="I202" t="n">
        <v>0</v>
      </c>
      <c r="J202" t="n">
        <v>0</v>
      </c>
      <c r="K202" t="n">
        <v>0</v>
      </c>
      <c r="L202" t="n">
        <v>0</v>
      </c>
      <c r="M202" t="n">
        <v>0</v>
      </c>
      <c r="N202" t="n">
        <v>0</v>
      </c>
      <c r="O202" t="n">
        <v>0</v>
      </c>
      <c r="P202" t="n">
        <v>0</v>
      </c>
      <c r="Q202" t="n">
        <v>0</v>
      </c>
      <c r="R202" s="2" t="inlineStr"/>
    </row>
    <row r="203" ht="15" customHeight="1">
      <c r="A203" t="inlineStr">
        <is>
          <t>A 43803-2023</t>
        </is>
      </c>
      <c r="B203" s="1" t="n">
        <v>45187</v>
      </c>
      <c r="C203" s="1" t="n">
        <v>45932</v>
      </c>
      <c r="D203" t="inlineStr">
        <is>
          <t>ÖREBRO LÄN</t>
        </is>
      </c>
      <c r="E203" t="inlineStr">
        <is>
          <t>ÖREBRO</t>
        </is>
      </c>
      <c r="G203" t="n">
        <v>1.2</v>
      </c>
      <c r="H203" t="n">
        <v>0</v>
      </c>
      <c r="I203" t="n">
        <v>0</v>
      </c>
      <c r="J203" t="n">
        <v>0</v>
      </c>
      <c r="K203" t="n">
        <v>0</v>
      </c>
      <c r="L203" t="n">
        <v>0</v>
      </c>
      <c r="M203" t="n">
        <v>0</v>
      </c>
      <c r="N203" t="n">
        <v>0</v>
      </c>
      <c r="O203" t="n">
        <v>0</v>
      </c>
      <c r="P203" t="n">
        <v>0</v>
      </c>
      <c r="Q203" t="n">
        <v>0</v>
      </c>
      <c r="R203" s="2" t="inlineStr"/>
    </row>
    <row r="204" ht="15" customHeight="1">
      <c r="A204" t="inlineStr">
        <is>
          <t>A 55943-2024</t>
        </is>
      </c>
      <c r="B204" s="1" t="n">
        <v>45623.61278935185</v>
      </c>
      <c r="C204" s="1" t="n">
        <v>45932</v>
      </c>
      <c r="D204" t="inlineStr">
        <is>
          <t>ÖREBRO LÄN</t>
        </is>
      </c>
      <c r="E204" t="inlineStr">
        <is>
          <t>ÖREBRO</t>
        </is>
      </c>
      <c r="G204" t="n">
        <v>4.8</v>
      </c>
      <c r="H204" t="n">
        <v>0</v>
      </c>
      <c r="I204" t="n">
        <v>0</v>
      </c>
      <c r="J204" t="n">
        <v>0</v>
      </c>
      <c r="K204" t="n">
        <v>0</v>
      </c>
      <c r="L204" t="n">
        <v>0</v>
      </c>
      <c r="M204" t="n">
        <v>0</v>
      </c>
      <c r="N204" t="n">
        <v>0</v>
      </c>
      <c r="O204" t="n">
        <v>0</v>
      </c>
      <c r="P204" t="n">
        <v>0</v>
      </c>
      <c r="Q204" t="n">
        <v>0</v>
      </c>
      <c r="R204" s="2" t="inlineStr"/>
    </row>
    <row r="205" ht="15" customHeight="1">
      <c r="A205" t="inlineStr">
        <is>
          <t>A 5795-2024</t>
        </is>
      </c>
      <c r="B205" s="1" t="n">
        <v>45335.4531712963</v>
      </c>
      <c r="C205" s="1" t="n">
        <v>45932</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22045-2024</t>
        </is>
      </c>
      <c r="B206" s="1" t="n">
        <v>45443.61171296296</v>
      </c>
      <c r="C206" s="1" t="n">
        <v>45932</v>
      </c>
      <c r="D206" t="inlineStr">
        <is>
          <t>ÖREBRO LÄN</t>
        </is>
      </c>
      <c r="E206" t="inlineStr">
        <is>
          <t>ÖREBRO</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60028-2024</t>
        </is>
      </c>
      <c r="B207" s="1" t="n">
        <v>45642</v>
      </c>
      <c r="C207" s="1" t="n">
        <v>45932</v>
      </c>
      <c r="D207" t="inlineStr">
        <is>
          <t>ÖREBRO LÄN</t>
        </is>
      </c>
      <c r="E207" t="inlineStr">
        <is>
          <t>ÖREBRO</t>
        </is>
      </c>
      <c r="G207" t="n">
        <v>1.7</v>
      </c>
      <c r="H207" t="n">
        <v>0</v>
      </c>
      <c r="I207" t="n">
        <v>0</v>
      </c>
      <c r="J207" t="n">
        <v>0</v>
      </c>
      <c r="K207" t="n">
        <v>0</v>
      </c>
      <c r="L207" t="n">
        <v>0</v>
      </c>
      <c r="M207" t="n">
        <v>0</v>
      </c>
      <c r="N207" t="n">
        <v>0</v>
      </c>
      <c r="O207" t="n">
        <v>0</v>
      </c>
      <c r="P207" t="n">
        <v>0</v>
      </c>
      <c r="Q207" t="n">
        <v>0</v>
      </c>
      <c r="R207" s="2" t="inlineStr"/>
    </row>
    <row r="208" ht="15" customHeight="1">
      <c r="A208" t="inlineStr">
        <is>
          <t>A 58644-2023</t>
        </is>
      </c>
      <c r="B208" s="1" t="n">
        <v>45251.58716435185</v>
      </c>
      <c r="C208" s="1" t="n">
        <v>45932</v>
      </c>
      <c r="D208" t="inlineStr">
        <is>
          <t>ÖREBRO LÄN</t>
        </is>
      </c>
      <c r="E208" t="inlineStr">
        <is>
          <t>ÖREBRO</t>
        </is>
      </c>
      <c r="F208" t="inlineStr">
        <is>
          <t>Övriga Aktiebolag</t>
        </is>
      </c>
      <c r="G208" t="n">
        <v>1.9</v>
      </c>
      <c r="H208" t="n">
        <v>0</v>
      </c>
      <c r="I208" t="n">
        <v>0</v>
      </c>
      <c r="J208" t="n">
        <v>0</v>
      </c>
      <c r="K208" t="n">
        <v>0</v>
      </c>
      <c r="L208" t="n">
        <v>0</v>
      </c>
      <c r="M208" t="n">
        <v>0</v>
      </c>
      <c r="N208" t="n">
        <v>0</v>
      </c>
      <c r="O208" t="n">
        <v>0</v>
      </c>
      <c r="P208" t="n">
        <v>0</v>
      </c>
      <c r="Q208" t="n">
        <v>0</v>
      </c>
      <c r="R208" s="2" t="inlineStr"/>
    </row>
    <row r="209" ht="15" customHeight="1">
      <c r="A209" t="inlineStr">
        <is>
          <t>A 3-2024</t>
        </is>
      </c>
      <c r="B209" s="1" t="n">
        <v>45292</v>
      </c>
      <c r="C209" s="1" t="n">
        <v>45932</v>
      </c>
      <c r="D209" t="inlineStr">
        <is>
          <t>ÖREBRO LÄN</t>
        </is>
      </c>
      <c r="E209" t="inlineStr">
        <is>
          <t>ÖREBRO</t>
        </is>
      </c>
      <c r="G209" t="n">
        <v>2.7</v>
      </c>
      <c r="H209" t="n">
        <v>0</v>
      </c>
      <c r="I209" t="n">
        <v>0</v>
      </c>
      <c r="J209" t="n">
        <v>0</v>
      </c>
      <c r="K209" t="n">
        <v>0</v>
      </c>
      <c r="L209" t="n">
        <v>0</v>
      </c>
      <c r="M209" t="n">
        <v>0</v>
      </c>
      <c r="N209" t="n">
        <v>0</v>
      </c>
      <c r="O209" t="n">
        <v>0</v>
      </c>
      <c r="P209" t="n">
        <v>0</v>
      </c>
      <c r="Q209" t="n">
        <v>0</v>
      </c>
      <c r="R209" s="2" t="inlineStr"/>
    </row>
    <row r="210" ht="15" customHeight="1">
      <c r="A210" t="inlineStr">
        <is>
          <t>A 22719-2025</t>
        </is>
      </c>
      <c r="B210" s="1" t="n">
        <v>45789</v>
      </c>
      <c r="C210" s="1" t="n">
        <v>45932</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21306-2024</t>
        </is>
      </c>
      <c r="B211" s="1" t="n">
        <v>45440.67883101852</v>
      </c>
      <c r="C211" s="1" t="n">
        <v>45932</v>
      </c>
      <c r="D211" t="inlineStr">
        <is>
          <t>ÖREBRO LÄN</t>
        </is>
      </c>
      <c r="E211" t="inlineStr">
        <is>
          <t>ÖREBRO</t>
        </is>
      </c>
      <c r="F211" t="inlineStr">
        <is>
          <t>Övriga Aktiebolag</t>
        </is>
      </c>
      <c r="G211" t="n">
        <v>2</v>
      </c>
      <c r="H211" t="n">
        <v>0</v>
      </c>
      <c r="I211" t="n">
        <v>0</v>
      </c>
      <c r="J211" t="n">
        <v>0</v>
      </c>
      <c r="K211" t="n">
        <v>0</v>
      </c>
      <c r="L211" t="n">
        <v>0</v>
      </c>
      <c r="M211" t="n">
        <v>0</v>
      </c>
      <c r="N211" t="n">
        <v>0</v>
      </c>
      <c r="O211" t="n">
        <v>0</v>
      </c>
      <c r="P211" t="n">
        <v>0</v>
      </c>
      <c r="Q211" t="n">
        <v>0</v>
      </c>
      <c r="R211" s="2" t="inlineStr"/>
    </row>
    <row r="212" ht="15" customHeight="1">
      <c r="A212" t="inlineStr">
        <is>
          <t>A 1257-2022</t>
        </is>
      </c>
      <c r="B212" s="1" t="n">
        <v>44572</v>
      </c>
      <c r="C212" s="1" t="n">
        <v>45932</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59736-2023</t>
        </is>
      </c>
      <c r="B213" s="1" t="n">
        <v>45257.374375</v>
      </c>
      <c r="C213" s="1" t="n">
        <v>45932</v>
      </c>
      <c r="D213" t="inlineStr">
        <is>
          <t>ÖREBRO LÄN</t>
        </is>
      </c>
      <c r="E213" t="inlineStr">
        <is>
          <t>ÖREBRO</t>
        </is>
      </c>
      <c r="G213" t="n">
        <v>1.1</v>
      </c>
      <c r="H213" t="n">
        <v>0</v>
      </c>
      <c r="I213" t="n">
        <v>0</v>
      </c>
      <c r="J213" t="n">
        <v>0</v>
      </c>
      <c r="K213" t="n">
        <v>0</v>
      </c>
      <c r="L213" t="n">
        <v>0</v>
      </c>
      <c r="M213" t="n">
        <v>0</v>
      </c>
      <c r="N213" t="n">
        <v>0</v>
      </c>
      <c r="O213" t="n">
        <v>0</v>
      </c>
      <c r="P213" t="n">
        <v>0</v>
      </c>
      <c r="Q213" t="n">
        <v>0</v>
      </c>
      <c r="R213" s="2" t="inlineStr"/>
    </row>
    <row r="214" ht="15" customHeight="1">
      <c r="A214" t="inlineStr">
        <is>
          <t>A 2153-2023</t>
        </is>
      </c>
      <c r="B214" s="1" t="n">
        <v>44941</v>
      </c>
      <c r="C214" s="1" t="n">
        <v>45932</v>
      </c>
      <c r="D214" t="inlineStr">
        <is>
          <t>ÖREBRO LÄN</t>
        </is>
      </c>
      <c r="E214" t="inlineStr">
        <is>
          <t>ÖREBRO</t>
        </is>
      </c>
      <c r="G214" t="n">
        <v>6.3</v>
      </c>
      <c r="H214" t="n">
        <v>0</v>
      </c>
      <c r="I214" t="n">
        <v>0</v>
      </c>
      <c r="J214" t="n">
        <v>0</v>
      </c>
      <c r="K214" t="n">
        <v>0</v>
      </c>
      <c r="L214" t="n">
        <v>0</v>
      </c>
      <c r="M214" t="n">
        <v>0</v>
      </c>
      <c r="N214" t="n">
        <v>0</v>
      </c>
      <c r="O214" t="n">
        <v>0</v>
      </c>
      <c r="P214" t="n">
        <v>0</v>
      </c>
      <c r="Q214" t="n">
        <v>0</v>
      </c>
      <c r="R214" s="2" t="inlineStr"/>
    </row>
    <row r="215" ht="15" customHeight="1">
      <c r="A215" t="inlineStr">
        <is>
          <t>A 764-2024</t>
        </is>
      </c>
      <c r="B215" s="1" t="n">
        <v>45300.51512731481</v>
      </c>
      <c r="C215" s="1" t="n">
        <v>45932</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64730-2023</t>
        </is>
      </c>
      <c r="B216" s="1" t="n">
        <v>45281</v>
      </c>
      <c r="C216" s="1" t="n">
        <v>45932</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6869-2025</t>
        </is>
      </c>
      <c r="B217" s="1" t="n">
        <v>45700</v>
      </c>
      <c r="C217" s="1" t="n">
        <v>45932</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6794-2025</t>
        </is>
      </c>
      <c r="B218" s="1" t="n">
        <v>45700.66429398148</v>
      </c>
      <c r="C218" s="1" t="n">
        <v>45932</v>
      </c>
      <c r="D218" t="inlineStr">
        <is>
          <t>ÖREBRO LÄN</t>
        </is>
      </c>
      <c r="E218" t="inlineStr">
        <is>
          <t>ÖREBRO</t>
        </is>
      </c>
      <c r="G218" t="n">
        <v>1</v>
      </c>
      <c r="H218" t="n">
        <v>0</v>
      </c>
      <c r="I218" t="n">
        <v>0</v>
      </c>
      <c r="J218" t="n">
        <v>0</v>
      </c>
      <c r="K218" t="n">
        <v>0</v>
      </c>
      <c r="L218" t="n">
        <v>0</v>
      </c>
      <c r="M218" t="n">
        <v>0</v>
      </c>
      <c r="N218" t="n">
        <v>0</v>
      </c>
      <c r="O218" t="n">
        <v>0</v>
      </c>
      <c r="P218" t="n">
        <v>0</v>
      </c>
      <c r="Q218" t="n">
        <v>0</v>
      </c>
      <c r="R218" s="2" t="inlineStr"/>
    </row>
    <row r="219" ht="15" customHeight="1">
      <c r="A219" t="inlineStr">
        <is>
          <t>A 4416-2023</t>
        </is>
      </c>
      <c r="B219" s="1" t="n">
        <v>44956</v>
      </c>
      <c r="C219" s="1" t="n">
        <v>45932</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10829-2023</t>
        </is>
      </c>
      <c r="B220" s="1" t="n">
        <v>44990.88512731482</v>
      </c>
      <c r="C220" s="1" t="n">
        <v>45932</v>
      </c>
      <c r="D220" t="inlineStr">
        <is>
          <t>ÖREBRO LÄN</t>
        </is>
      </c>
      <c r="E220" t="inlineStr">
        <is>
          <t>ÖREBRO</t>
        </is>
      </c>
      <c r="G220" t="n">
        <v>4.4</v>
      </c>
      <c r="H220" t="n">
        <v>0</v>
      </c>
      <c r="I220" t="n">
        <v>0</v>
      </c>
      <c r="J220" t="n">
        <v>0</v>
      </c>
      <c r="K220" t="n">
        <v>0</v>
      </c>
      <c r="L220" t="n">
        <v>0</v>
      </c>
      <c r="M220" t="n">
        <v>0</v>
      </c>
      <c r="N220" t="n">
        <v>0</v>
      </c>
      <c r="O220" t="n">
        <v>0</v>
      </c>
      <c r="P220" t="n">
        <v>0</v>
      </c>
      <c r="Q220" t="n">
        <v>0</v>
      </c>
      <c r="R220" s="2" t="inlineStr"/>
    </row>
    <row r="221" ht="15" customHeight="1">
      <c r="A221" t="inlineStr">
        <is>
          <t>A 10831-2023</t>
        </is>
      </c>
      <c r="B221" s="1" t="n">
        <v>44990.90357638889</v>
      </c>
      <c r="C221" s="1" t="n">
        <v>45932</v>
      </c>
      <c r="D221" t="inlineStr">
        <is>
          <t>ÖREBRO LÄN</t>
        </is>
      </c>
      <c r="E221" t="inlineStr">
        <is>
          <t>ÖREBRO</t>
        </is>
      </c>
      <c r="G221" t="n">
        <v>1.9</v>
      </c>
      <c r="H221" t="n">
        <v>0</v>
      </c>
      <c r="I221" t="n">
        <v>0</v>
      </c>
      <c r="J221" t="n">
        <v>0</v>
      </c>
      <c r="K221" t="n">
        <v>0</v>
      </c>
      <c r="L221" t="n">
        <v>0</v>
      </c>
      <c r="M221" t="n">
        <v>0</v>
      </c>
      <c r="N221" t="n">
        <v>0</v>
      </c>
      <c r="O221" t="n">
        <v>0</v>
      </c>
      <c r="P221" t="n">
        <v>0</v>
      </c>
      <c r="Q221" t="n">
        <v>0</v>
      </c>
      <c r="R221" s="2" t="inlineStr"/>
    </row>
    <row r="222" ht="15" customHeight="1">
      <c r="A222" t="inlineStr">
        <is>
          <t>A 22755-2025</t>
        </is>
      </c>
      <c r="B222" s="1" t="n">
        <v>45789.61872685186</v>
      </c>
      <c r="C222" s="1" t="n">
        <v>45932</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16961-2022</t>
        </is>
      </c>
      <c r="B223" s="1" t="n">
        <v>44676</v>
      </c>
      <c r="C223" s="1" t="n">
        <v>45932</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34336-2024</t>
        </is>
      </c>
      <c r="B224" s="1" t="n">
        <v>45524.94774305556</v>
      </c>
      <c r="C224" s="1" t="n">
        <v>45932</v>
      </c>
      <c r="D224" t="inlineStr">
        <is>
          <t>ÖREBRO LÄN</t>
        </is>
      </c>
      <c r="E224" t="inlineStr">
        <is>
          <t>ÖREBRO</t>
        </is>
      </c>
      <c r="G224" t="n">
        <v>1.3</v>
      </c>
      <c r="H224" t="n">
        <v>0</v>
      </c>
      <c r="I224" t="n">
        <v>0</v>
      </c>
      <c r="J224" t="n">
        <v>0</v>
      </c>
      <c r="K224" t="n">
        <v>0</v>
      </c>
      <c r="L224" t="n">
        <v>0</v>
      </c>
      <c r="M224" t="n">
        <v>0</v>
      </c>
      <c r="N224" t="n">
        <v>0</v>
      </c>
      <c r="O224" t="n">
        <v>0</v>
      </c>
      <c r="P224" t="n">
        <v>0</v>
      </c>
      <c r="Q224" t="n">
        <v>0</v>
      </c>
      <c r="R224" s="2" t="inlineStr"/>
    </row>
    <row r="225" ht="15" customHeight="1">
      <c r="A225" t="inlineStr">
        <is>
          <t>A 17983-2025</t>
        </is>
      </c>
      <c r="B225" s="1" t="n">
        <v>45761.38829861111</v>
      </c>
      <c r="C225" s="1" t="n">
        <v>45932</v>
      </c>
      <c r="D225" t="inlineStr">
        <is>
          <t>ÖREBRO LÄN</t>
        </is>
      </c>
      <c r="E225" t="inlineStr">
        <is>
          <t>ÖREBRO</t>
        </is>
      </c>
      <c r="G225" t="n">
        <v>0.8</v>
      </c>
      <c r="H225" t="n">
        <v>0</v>
      </c>
      <c r="I225" t="n">
        <v>0</v>
      </c>
      <c r="J225" t="n">
        <v>0</v>
      </c>
      <c r="K225" t="n">
        <v>0</v>
      </c>
      <c r="L225" t="n">
        <v>0</v>
      </c>
      <c r="M225" t="n">
        <v>0</v>
      </c>
      <c r="N225" t="n">
        <v>0</v>
      </c>
      <c r="O225" t="n">
        <v>0</v>
      </c>
      <c r="P225" t="n">
        <v>0</v>
      </c>
      <c r="Q225" t="n">
        <v>0</v>
      </c>
      <c r="R225" s="2" t="inlineStr"/>
    </row>
    <row r="226" ht="15" customHeight="1">
      <c r="A226" t="inlineStr">
        <is>
          <t>A 58539-2024</t>
        </is>
      </c>
      <c r="B226" s="1" t="n">
        <v>45635.45157407408</v>
      </c>
      <c r="C226" s="1" t="n">
        <v>45932</v>
      </c>
      <c r="D226" t="inlineStr">
        <is>
          <t>ÖREBRO LÄN</t>
        </is>
      </c>
      <c r="E226" t="inlineStr">
        <is>
          <t>ÖREBRO</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15555-2025</t>
        </is>
      </c>
      <c r="B227" s="1" t="n">
        <v>45747.67768518518</v>
      </c>
      <c r="C227" s="1" t="n">
        <v>45932</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61279-2024</t>
        </is>
      </c>
      <c r="B228" s="1" t="n">
        <v>45645</v>
      </c>
      <c r="C228" s="1" t="n">
        <v>45932</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2596-2022</t>
        </is>
      </c>
      <c r="B229" s="1" t="n">
        <v>44580</v>
      </c>
      <c r="C229" s="1" t="n">
        <v>45932</v>
      </c>
      <c r="D229" t="inlineStr">
        <is>
          <t>ÖREBRO LÄN</t>
        </is>
      </c>
      <c r="E229" t="inlineStr">
        <is>
          <t>ÖREBRO</t>
        </is>
      </c>
      <c r="G229" t="n">
        <v>4.3</v>
      </c>
      <c r="H229" t="n">
        <v>0</v>
      </c>
      <c r="I229" t="n">
        <v>0</v>
      </c>
      <c r="J229" t="n">
        <v>0</v>
      </c>
      <c r="K229" t="n">
        <v>0</v>
      </c>
      <c r="L229" t="n">
        <v>0</v>
      </c>
      <c r="M229" t="n">
        <v>0</v>
      </c>
      <c r="N229" t="n">
        <v>0</v>
      </c>
      <c r="O229" t="n">
        <v>0</v>
      </c>
      <c r="P229" t="n">
        <v>0</v>
      </c>
      <c r="Q229" t="n">
        <v>0</v>
      </c>
      <c r="R229" s="2" t="inlineStr"/>
    </row>
    <row r="230" ht="15" customHeight="1">
      <c r="A230" t="inlineStr">
        <is>
          <t>A 38790-2024</t>
        </is>
      </c>
      <c r="B230" s="1" t="n">
        <v>45547.48450231482</v>
      </c>
      <c r="C230" s="1" t="n">
        <v>45932</v>
      </c>
      <c r="D230" t="inlineStr">
        <is>
          <t>ÖREBRO LÄN</t>
        </is>
      </c>
      <c r="E230" t="inlineStr">
        <is>
          <t>ÖREBRO</t>
        </is>
      </c>
      <c r="G230" t="n">
        <v>2</v>
      </c>
      <c r="H230" t="n">
        <v>0</v>
      </c>
      <c r="I230" t="n">
        <v>0</v>
      </c>
      <c r="J230" t="n">
        <v>0</v>
      </c>
      <c r="K230" t="n">
        <v>0</v>
      </c>
      <c r="L230" t="n">
        <v>0</v>
      </c>
      <c r="M230" t="n">
        <v>0</v>
      </c>
      <c r="N230" t="n">
        <v>0</v>
      </c>
      <c r="O230" t="n">
        <v>0</v>
      </c>
      <c r="P230" t="n">
        <v>0</v>
      </c>
      <c r="Q230" t="n">
        <v>0</v>
      </c>
      <c r="R230" s="2" t="inlineStr"/>
    </row>
    <row r="231" ht="15" customHeight="1">
      <c r="A231" t="inlineStr">
        <is>
          <t>A 71269-2021</t>
        </is>
      </c>
      <c r="B231" s="1" t="n">
        <v>44539</v>
      </c>
      <c r="C231" s="1" t="n">
        <v>45932</v>
      </c>
      <c r="D231" t="inlineStr">
        <is>
          <t>ÖREBRO LÄN</t>
        </is>
      </c>
      <c r="E231" t="inlineStr">
        <is>
          <t>ÖREBRO</t>
        </is>
      </c>
      <c r="G231" t="n">
        <v>1.4</v>
      </c>
      <c r="H231" t="n">
        <v>0</v>
      </c>
      <c r="I231" t="n">
        <v>0</v>
      </c>
      <c r="J231" t="n">
        <v>0</v>
      </c>
      <c r="K231" t="n">
        <v>0</v>
      </c>
      <c r="L231" t="n">
        <v>0</v>
      </c>
      <c r="M231" t="n">
        <v>0</v>
      </c>
      <c r="N231" t="n">
        <v>0</v>
      </c>
      <c r="O231" t="n">
        <v>0</v>
      </c>
      <c r="P231" t="n">
        <v>0</v>
      </c>
      <c r="Q231" t="n">
        <v>0</v>
      </c>
      <c r="R231" s="2" t="inlineStr"/>
    </row>
    <row r="232" ht="15" customHeight="1">
      <c r="A232" t="inlineStr">
        <is>
          <t>A 58532-2024</t>
        </is>
      </c>
      <c r="B232" s="1" t="n">
        <v>45635.44899305556</v>
      </c>
      <c r="C232" s="1" t="n">
        <v>45932</v>
      </c>
      <c r="D232" t="inlineStr">
        <is>
          <t>ÖREBRO LÄN</t>
        </is>
      </c>
      <c r="E232" t="inlineStr">
        <is>
          <t>ÖREBRO</t>
        </is>
      </c>
      <c r="F232" t="inlineStr">
        <is>
          <t>Sveaskog</t>
        </is>
      </c>
      <c r="G232" t="n">
        <v>5.2</v>
      </c>
      <c r="H232" t="n">
        <v>0</v>
      </c>
      <c r="I232" t="n">
        <v>0</v>
      </c>
      <c r="J232" t="n">
        <v>0</v>
      </c>
      <c r="K232" t="n">
        <v>0</v>
      </c>
      <c r="L232" t="n">
        <v>0</v>
      </c>
      <c r="M232" t="n">
        <v>0</v>
      </c>
      <c r="N232" t="n">
        <v>0</v>
      </c>
      <c r="O232" t="n">
        <v>0</v>
      </c>
      <c r="P232" t="n">
        <v>0</v>
      </c>
      <c r="Q232" t="n">
        <v>0</v>
      </c>
      <c r="R232" s="2" t="inlineStr"/>
    </row>
    <row r="233" ht="15" customHeight="1">
      <c r="A233" t="inlineStr">
        <is>
          <t>A 30316-2024</t>
        </is>
      </c>
      <c r="B233" s="1" t="n">
        <v>45490</v>
      </c>
      <c r="C233" s="1" t="n">
        <v>45932</v>
      </c>
      <c r="D233" t="inlineStr">
        <is>
          <t>ÖREBRO LÄN</t>
        </is>
      </c>
      <c r="E233" t="inlineStr">
        <is>
          <t>ÖREBRO</t>
        </is>
      </c>
      <c r="G233" t="n">
        <v>5.5</v>
      </c>
      <c r="H233" t="n">
        <v>0</v>
      </c>
      <c r="I233" t="n">
        <v>0</v>
      </c>
      <c r="J233" t="n">
        <v>0</v>
      </c>
      <c r="K233" t="n">
        <v>0</v>
      </c>
      <c r="L233" t="n">
        <v>0</v>
      </c>
      <c r="M233" t="n">
        <v>0</v>
      </c>
      <c r="N233" t="n">
        <v>0</v>
      </c>
      <c r="O233" t="n">
        <v>0</v>
      </c>
      <c r="P233" t="n">
        <v>0</v>
      </c>
      <c r="Q233" t="n">
        <v>0</v>
      </c>
      <c r="R233" s="2" t="inlineStr"/>
    </row>
    <row r="234" ht="15" customHeight="1">
      <c r="A234" t="inlineStr">
        <is>
          <t>A 44199-2024</t>
        </is>
      </c>
      <c r="B234" s="1" t="n">
        <v>45573</v>
      </c>
      <c r="C234" s="1" t="n">
        <v>45932</v>
      </c>
      <c r="D234" t="inlineStr">
        <is>
          <t>ÖREBRO LÄN</t>
        </is>
      </c>
      <c r="E234" t="inlineStr">
        <is>
          <t>ÖREBRO</t>
        </is>
      </c>
      <c r="G234" t="n">
        <v>4.3</v>
      </c>
      <c r="H234" t="n">
        <v>0</v>
      </c>
      <c r="I234" t="n">
        <v>0</v>
      </c>
      <c r="J234" t="n">
        <v>0</v>
      </c>
      <c r="K234" t="n">
        <v>0</v>
      </c>
      <c r="L234" t="n">
        <v>0</v>
      </c>
      <c r="M234" t="n">
        <v>0</v>
      </c>
      <c r="N234" t="n">
        <v>0</v>
      </c>
      <c r="O234" t="n">
        <v>0</v>
      </c>
      <c r="P234" t="n">
        <v>0</v>
      </c>
      <c r="Q234" t="n">
        <v>0</v>
      </c>
      <c r="R234" s="2" t="inlineStr"/>
    </row>
    <row r="235" ht="15" customHeight="1">
      <c r="A235" t="inlineStr">
        <is>
          <t>A 23594-2023</t>
        </is>
      </c>
      <c r="B235" s="1" t="n">
        <v>45077</v>
      </c>
      <c r="C235" s="1" t="n">
        <v>45932</v>
      </c>
      <c r="D235" t="inlineStr">
        <is>
          <t>ÖREBRO LÄN</t>
        </is>
      </c>
      <c r="E235" t="inlineStr">
        <is>
          <t>ÖREBRO</t>
        </is>
      </c>
      <c r="G235" t="n">
        <v>9.9</v>
      </c>
      <c r="H235" t="n">
        <v>0</v>
      </c>
      <c r="I235" t="n">
        <v>0</v>
      </c>
      <c r="J235" t="n">
        <v>0</v>
      </c>
      <c r="K235" t="n">
        <v>0</v>
      </c>
      <c r="L235" t="n">
        <v>0</v>
      </c>
      <c r="M235" t="n">
        <v>0</v>
      </c>
      <c r="N235" t="n">
        <v>0</v>
      </c>
      <c r="O235" t="n">
        <v>0</v>
      </c>
      <c r="P235" t="n">
        <v>0</v>
      </c>
      <c r="Q235" t="n">
        <v>0</v>
      </c>
      <c r="R235" s="2" t="inlineStr"/>
    </row>
    <row r="236" ht="15" customHeight="1">
      <c r="A236" t="inlineStr">
        <is>
          <t>A 4380-2025</t>
        </is>
      </c>
      <c r="B236" s="1" t="n">
        <v>45686.3959375</v>
      </c>
      <c r="C236" s="1" t="n">
        <v>45932</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13857-2022</t>
        </is>
      </c>
      <c r="B237" s="1" t="n">
        <v>44649</v>
      </c>
      <c r="C237" s="1" t="n">
        <v>45932</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26443-2024</t>
        </is>
      </c>
      <c r="B238" s="1" t="n">
        <v>45469.49901620371</v>
      </c>
      <c r="C238" s="1" t="n">
        <v>45932</v>
      </c>
      <c r="D238" t="inlineStr">
        <is>
          <t>ÖREBRO LÄN</t>
        </is>
      </c>
      <c r="E238" t="inlineStr">
        <is>
          <t>ÖREBRO</t>
        </is>
      </c>
      <c r="G238" t="n">
        <v>5.7</v>
      </c>
      <c r="H238" t="n">
        <v>0</v>
      </c>
      <c r="I238" t="n">
        <v>0</v>
      </c>
      <c r="J238" t="n">
        <v>0</v>
      </c>
      <c r="K238" t="n">
        <v>0</v>
      </c>
      <c r="L238" t="n">
        <v>0</v>
      </c>
      <c r="M238" t="n">
        <v>0</v>
      </c>
      <c r="N238" t="n">
        <v>0</v>
      </c>
      <c r="O238" t="n">
        <v>0</v>
      </c>
      <c r="P238" t="n">
        <v>0</v>
      </c>
      <c r="Q238" t="n">
        <v>0</v>
      </c>
      <c r="R238" s="2" t="inlineStr"/>
    </row>
    <row r="239" ht="15" customHeight="1">
      <c r="A239" t="inlineStr">
        <is>
          <t>A 5136-2024</t>
        </is>
      </c>
      <c r="B239" s="1" t="n">
        <v>45330</v>
      </c>
      <c r="C239" s="1" t="n">
        <v>45932</v>
      </c>
      <c r="D239" t="inlineStr">
        <is>
          <t>ÖREBRO LÄN</t>
        </is>
      </c>
      <c r="E239" t="inlineStr">
        <is>
          <t>ÖREBRO</t>
        </is>
      </c>
      <c r="G239" t="n">
        <v>2.1</v>
      </c>
      <c r="H239" t="n">
        <v>0</v>
      </c>
      <c r="I239" t="n">
        <v>0</v>
      </c>
      <c r="J239" t="n">
        <v>0</v>
      </c>
      <c r="K239" t="n">
        <v>0</v>
      </c>
      <c r="L239" t="n">
        <v>0</v>
      </c>
      <c r="M239" t="n">
        <v>0</v>
      </c>
      <c r="N239" t="n">
        <v>0</v>
      </c>
      <c r="O239" t="n">
        <v>0</v>
      </c>
      <c r="P239" t="n">
        <v>0</v>
      </c>
      <c r="Q239" t="n">
        <v>0</v>
      </c>
      <c r="R239" s="2" t="inlineStr"/>
    </row>
    <row r="240" ht="15" customHeight="1">
      <c r="A240" t="inlineStr">
        <is>
          <t>A 55692-2023</t>
        </is>
      </c>
      <c r="B240" s="1" t="n">
        <v>45239</v>
      </c>
      <c r="C240" s="1" t="n">
        <v>45932</v>
      </c>
      <c r="D240" t="inlineStr">
        <is>
          <t>ÖREBRO LÄN</t>
        </is>
      </c>
      <c r="E240" t="inlineStr">
        <is>
          <t>ÖREBRO</t>
        </is>
      </c>
      <c r="F240" t="inlineStr">
        <is>
          <t>Övriga Aktiebolag</t>
        </is>
      </c>
      <c r="G240" t="n">
        <v>0.4</v>
      </c>
      <c r="H240" t="n">
        <v>0</v>
      </c>
      <c r="I240" t="n">
        <v>0</v>
      </c>
      <c r="J240" t="n">
        <v>0</v>
      </c>
      <c r="K240" t="n">
        <v>0</v>
      </c>
      <c r="L240" t="n">
        <v>0</v>
      </c>
      <c r="M240" t="n">
        <v>0</v>
      </c>
      <c r="N240" t="n">
        <v>0</v>
      </c>
      <c r="O240" t="n">
        <v>0</v>
      </c>
      <c r="P240" t="n">
        <v>0</v>
      </c>
      <c r="Q240" t="n">
        <v>0</v>
      </c>
      <c r="R240" s="2" t="inlineStr"/>
    </row>
    <row r="241" ht="15" customHeight="1">
      <c r="A241" t="inlineStr">
        <is>
          <t>A 35477-2024</t>
        </is>
      </c>
      <c r="B241" s="1" t="n">
        <v>45531</v>
      </c>
      <c r="C241" s="1" t="n">
        <v>45932</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187-2024</t>
        </is>
      </c>
      <c r="B242" s="1" t="n">
        <v>45294</v>
      </c>
      <c r="C242" s="1" t="n">
        <v>45932</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52444-2024</t>
        </is>
      </c>
      <c r="B243" s="1" t="n">
        <v>45609.48894675926</v>
      </c>
      <c r="C243" s="1" t="n">
        <v>45932</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41995-2024</t>
        </is>
      </c>
      <c r="B244" s="1" t="n">
        <v>45561.6475462963</v>
      </c>
      <c r="C244" s="1" t="n">
        <v>45932</v>
      </c>
      <c r="D244" t="inlineStr">
        <is>
          <t>ÖREBRO LÄN</t>
        </is>
      </c>
      <c r="E244" t="inlineStr">
        <is>
          <t>ÖREBRO</t>
        </is>
      </c>
      <c r="G244" t="n">
        <v>1.3</v>
      </c>
      <c r="H244" t="n">
        <v>0</v>
      </c>
      <c r="I244" t="n">
        <v>0</v>
      </c>
      <c r="J244" t="n">
        <v>0</v>
      </c>
      <c r="K244" t="n">
        <v>0</v>
      </c>
      <c r="L244" t="n">
        <v>0</v>
      </c>
      <c r="M244" t="n">
        <v>0</v>
      </c>
      <c r="N244" t="n">
        <v>0</v>
      </c>
      <c r="O244" t="n">
        <v>0</v>
      </c>
      <c r="P244" t="n">
        <v>0</v>
      </c>
      <c r="Q244" t="n">
        <v>0</v>
      </c>
      <c r="R244" s="2" t="inlineStr"/>
    </row>
    <row r="245" ht="15" customHeight="1">
      <c r="A245" t="inlineStr">
        <is>
          <t>A 13762-2023</t>
        </is>
      </c>
      <c r="B245" s="1" t="n">
        <v>45007.43729166667</v>
      </c>
      <c r="C245" s="1" t="n">
        <v>45932</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25996-2024</t>
        </is>
      </c>
      <c r="B246" s="1" t="n">
        <v>45467.89081018518</v>
      </c>
      <c r="C246" s="1" t="n">
        <v>45932</v>
      </c>
      <c r="D246" t="inlineStr">
        <is>
          <t>ÖREBRO LÄN</t>
        </is>
      </c>
      <c r="E246" t="inlineStr">
        <is>
          <t>ÖREBRO</t>
        </is>
      </c>
      <c r="G246" t="n">
        <v>4.7</v>
      </c>
      <c r="H246" t="n">
        <v>0</v>
      </c>
      <c r="I246" t="n">
        <v>0</v>
      </c>
      <c r="J246" t="n">
        <v>0</v>
      </c>
      <c r="K246" t="n">
        <v>0</v>
      </c>
      <c r="L246" t="n">
        <v>0</v>
      </c>
      <c r="M246" t="n">
        <v>0</v>
      </c>
      <c r="N246" t="n">
        <v>0</v>
      </c>
      <c r="O246" t="n">
        <v>0</v>
      </c>
      <c r="P246" t="n">
        <v>0</v>
      </c>
      <c r="Q246" t="n">
        <v>0</v>
      </c>
      <c r="R246" s="2" t="inlineStr"/>
    </row>
    <row r="247" ht="15" customHeight="1">
      <c r="A247" t="inlineStr">
        <is>
          <t>A 48644-2024</t>
        </is>
      </c>
      <c r="B247" s="1" t="n">
        <v>45593.47466435185</v>
      </c>
      <c r="C247" s="1" t="n">
        <v>45932</v>
      </c>
      <c r="D247" t="inlineStr">
        <is>
          <t>ÖREBRO LÄN</t>
        </is>
      </c>
      <c r="E247" t="inlineStr">
        <is>
          <t>ÖREBRO</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8571-2021</t>
        </is>
      </c>
      <c r="B248" s="1" t="n">
        <v>44245</v>
      </c>
      <c r="C248" s="1" t="n">
        <v>45932</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60022-2024</t>
        </is>
      </c>
      <c r="B249" s="1" t="n">
        <v>45642</v>
      </c>
      <c r="C249" s="1" t="n">
        <v>45932</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7611-2024</t>
        </is>
      </c>
      <c r="B250" s="1" t="n">
        <v>45348.58864583333</v>
      </c>
      <c r="C250" s="1" t="n">
        <v>45932</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10470-2025</t>
        </is>
      </c>
      <c r="B251" s="1" t="n">
        <v>45720</v>
      </c>
      <c r="C251" s="1" t="n">
        <v>45932</v>
      </c>
      <c r="D251" t="inlineStr">
        <is>
          <t>ÖREBRO LÄN</t>
        </is>
      </c>
      <c r="E251" t="inlineStr">
        <is>
          <t>ÖREBRO</t>
        </is>
      </c>
      <c r="G251" t="n">
        <v>11.5</v>
      </c>
      <c r="H251" t="n">
        <v>0</v>
      </c>
      <c r="I251" t="n">
        <v>0</v>
      </c>
      <c r="J251" t="n">
        <v>0</v>
      </c>
      <c r="K251" t="n">
        <v>0</v>
      </c>
      <c r="L251" t="n">
        <v>0</v>
      </c>
      <c r="M251" t="n">
        <v>0</v>
      </c>
      <c r="N251" t="n">
        <v>0</v>
      </c>
      <c r="O251" t="n">
        <v>0</v>
      </c>
      <c r="P251" t="n">
        <v>0</v>
      </c>
      <c r="Q251" t="n">
        <v>0</v>
      </c>
      <c r="R251" s="2" t="inlineStr"/>
    </row>
    <row r="252" ht="15" customHeight="1">
      <c r="A252" t="inlineStr">
        <is>
          <t>A 52623-2024</t>
        </is>
      </c>
      <c r="B252" s="1" t="n">
        <v>45609</v>
      </c>
      <c r="C252" s="1" t="n">
        <v>45932</v>
      </c>
      <c r="D252" t="inlineStr">
        <is>
          <t>ÖREBRO LÄN</t>
        </is>
      </c>
      <c r="E252" t="inlineStr">
        <is>
          <t>ÖREBRO</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15866-2022</t>
        </is>
      </c>
      <c r="B253" s="1" t="n">
        <v>44664</v>
      </c>
      <c r="C253" s="1" t="n">
        <v>45932</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50026-2024</t>
        </is>
      </c>
      <c r="B254" s="1" t="n">
        <v>45599.60541666667</v>
      </c>
      <c r="C254" s="1" t="n">
        <v>45932</v>
      </c>
      <c r="D254" t="inlineStr">
        <is>
          <t>ÖREBRO LÄN</t>
        </is>
      </c>
      <c r="E254" t="inlineStr">
        <is>
          <t>ÖREBRO</t>
        </is>
      </c>
      <c r="G254" t="n">
        <v>2.2</v>
      </c>
      <c r="H254" t="n">
        <v>0</v>
      </c>
      <c r="I254" t="n">
        <v>0</v>
      </c>
      <c r="J254" t="n">
        <v>0</v>
      </c>
      <c r="K254" t="n">
        <v>0</v>
      </c>
      <c r="L254" t="n">
        <v>0</v>
      </c>
      <c r="M254" t="n">
        <v>0</v>
      </c>
      <c r="N254" t="n">
        <v>0</v>
      </c>
      <c r="O254" t="n">
        <v>0</v>
      </c>
      <c r="P254" t="n">
        <v>0</v>
      </c>
      <c r="Q254" t="n">
        <v>0</v>
      </c>
      <c r="R254" s="2" t="inlineStr"/>
    </row>
    <row r="255" ht="15" customHeight="1">
      <c r="A255" t="inlineStr">
        <is>
          <t>A 5406-2025</t>
        </is>
      </c>
      <c r="B255" s="1" t="n">
        <v>45692.64821759259</v>
      </c>
      <c r="C255" s="1" t="n">
        <v>45932</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15789-2023</t>
        </is>
      </c>
      <c r="B256" s="1" t="n">
        <v>45021.71539351852</v>
      </c>
      <c r="C256" s="1" t="n">
        <v>45932</v>
      </c>
      <c r="D256" t="inlineStr">
        <is>
          <t>ÖREBRO LÄN</t>
        </is>
      </c>
      <c r="E256" t="inlineStr">
        <is>
          <t>ÖREBRO</t>
        </is>
      </c>
      <c r="F256" t="inlineStr">
        <is>
          <t>Övriga Aktiebolag</t>
        </is>
      </c>
      <c r="G256" t="n">
        <v>3.7</v>
      </c>
      <c r="H256" t="n">
        <v>0</v>
      </c>
      <c r="I256" t="n">
        <v>0</v>
      </c>
      <c r="J256" t="n">
        <v>0</v>
      </c>
      <c r="K256" t="n">
        <v>0</v>
      </c>
      <c r="L256" t="n">
        <v>0</v>
      </c>
      <c r="M256" t="n">
        <v>0</v>
      </c>
      <c r="N256" t="n">
        <v>0</v>
      </c>
      <c r="O256" t="n">
        <v>0</v>
      </c>
      <c r="P256" t="n">
        <v>0</v>
      </c>
      <c r="Q256" t="n">
        <v>0</v>
      </c>
      <c r="R256" s="2" t="inlineStr"/>
    </row>
    <row r="257" ht="15" customHeight="1">
      <c r="A257" t="inlineStr">
        <is>
          <t>A 52612-2024</t>
        </is>
      </c>
      <c r="B257" s="1" t="n">
        <v>45609</v>
      </c>
      <c r="C257" s="1" t="n">
        <v>45932</v>
      </c>
      <c r="D257" t="inlineStr">
        <is>
          <t>ÖREBRO LÄN</t>
        </is>
      </c>
      <c r="E257" t="inlineStr">
        <is>
          <t>ÖREBRO</t>
        </is>
      </c>
      <c r="F257" t="inlineStr">
        <is>
          <t>Kommuner</t>
        </is>
      </c>
      <c r="G257" t="n">
        <v>5.5</v>
      </c>
      <c r="H257" t="n">
        <v>0</v>
      </c>
      <c r="I257" t="n">
        <v>0</v>
      </c>
      <c r="J257" t="n">
        <v>0</v>
      </c>
      <c r="K257" t="n">
        <v>0</v>
      </c>
      <c r="L257" t="n">
        <v>0</v>
      </c>
      <c r="M257" t="n">
        <v>0</v>
      </c>
      <c r="N257" t="n">
        <v>0</v>
      </c>
      <c r="O257" t="n">
        <v>0</v>
      </c>
      <c r="P257" t="n">
        <v>0</v>
      </c>
      <c r="Q257" t="n">
        <v>0</v>
      </c>
      <c r="R257" s="2" t="inlineStr"/>
    </row>
    <row r="258" ht="15" customHeight="1">
      <c r="A258" t="inlineStr">
        <is>
          <t>A 37786-2024</t>
        </is>
      </c>
      <c r="B258" s="1" t="n">
        <v>45542.82987268519</v>
      </c>
      <c r="C258" s="1" t="n">
        <v>45932</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62794-2021</t>
        </is>
      </c>
      <c r="B259" s="1" t="n">
        <v>44504</v>
      </c>
      <c r="C259" s="1" t="n">
        <v>45932</v>
      </c>
      <c r="D259" t="inlineStr">
        <is>
          <t>ÖREBRO LÄN</t>
        </is>
      </c>
      <c r="E259" t="inlineStr">
        <is>
          <t>ÖREBRO</t>
        </is>
      </c>
      <c r="G259" t="n">
        <v>3.3</v>
      </c>
      <c r="H259" t="n">
        <v>0</v>
      </c>
      <c r="I259" t="n">
        <v>0</v>
      </c>
      <c r="J259" t="n">
        <v>0</v>
      </c>
      <c r="K259" t="n">
        <v>0</v>
      </c>
      <c r="L259" t="n">
        <v>0</v>
      </c>
      <c r="M259" t="n">
        <v>0</v>
      </c>
      <c r="N259" t="n">
        <v>0</v>
      </c>
      <c r="O259" t="n">
        <v>0</v>
      </c>
      <c r="P259" t="n">
        <v>0</v>
      </c>
      <c r="Q259" t="n">
        <v>0</v>
      </c>
      <c r="R259" s="2" t="inlineStr"/>
    </row>
    <row r="260" ht="15" customHeight="1">
      <c r="A260" t="inlineStr">
        <is>
          <t>A 19180-2025</t>
        </is>
      </c>
      <c r="B260" s="1" t="n">
        <v>45769.40133101852</v>
      </c>
      <c r="C260" s="1" t="n">
        <v>45932</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52018-2024</t>
        </is>
      </c>
      <c r="B261" s="1" t="n">
        <v>45607.82974537037</v>
      </c>
      <c r="C261" s="1" t="n">
        <v>45932</v>
      </c>
      <c r="D261" t="inlineStr">
        <is>
          <t>ÖREBRO LÄN</t>
        </is>
      </c>
      <c r="E261" t="inlineStr">
        <is>
          <t>ÖREBRO</t>
        </is>
      </c>
      <c r="G261" t="n">
        <v>4.3</v>
      </c>
      <c r="H261" t="n">
        <v>0</v>
      </c>
      <c r="I261" t="n">
        <v>0</v>
      </c>
      <c r="J261" t="n">
        <v>0</v>
      </c>
      <c r="K261" t="n">
        <v>0</v>
      </c>
      <c r="L261" t="n">
        <v>0</v>
      </c>
      <c r="M261" t="n">
        <v>0</v>
      </c>
      <c r="N261" t="n">
        <v>0</v>
      </c>
      <c r="O261" t="n">
        <v>0</v>
      </c>
      <c r="P261" t="n">
        <v>0</v>
      </c>
      <c r="Q261" t="n">
        <v>0</v>
      </c>
      <c r="R261" s="2" t="inlineStr"/>
    </row>
    <row r="262" ht="15" customHeight="1">
      <c r="A262" t="inlineStr">
        <is>
          <t>A 58684-2023</t>
        </is>
      </c>
      <c r="B262" s="1" t="n">
        <v>45251</v>
      </c>
      <c r="C262" s="1" t="n">
        <v>45932</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37771-2024</t>
        </is>
      </c>
      <c r="B263" s="1" t="n">
        <v>45542.31359953704</v>
      </c>
      <c r="C263" s="1" t="n">
        <v>45932</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55875-2024</t>
        </is>
      </c>
      <c r="B264" s="1" t="n">
        <v>45623.55375</v>
      </c>
      <c r="C264" s="1" t="n">
        <v>45932</v>
      </c>
      <c r="D264" t="inlineStr">
        <is>
          <t>ÖREBRO LÄN</t>
        </is>
      </c>
      <c r="E264" t="inlineStr">
        <is>
          <t>ÖREBRO</t>
        </is>
      </c>
      <c r="G264" t="n">
        <v>3.5</v>
      </c>
      <c r="H264" t="n">
        <v>0</v>
      </c>
      <c r="I264" t="n">
        <v>0</v>
      </c>
      <c r="J264" t="n">
        <v>0</v>
      </c>
      <c r="K264" t="n">
        <v>0</v>
      </c>
      <c r="L264" t="n">
        <v>0</v>
      </c>
      <c r="M264" t="n">
        <v>0</v>
      </c>
      <c r="N264" t="n">
        <v>0</v>
      </c>
      <c r="O264" t="n">
        <v>0</v>
      </c>
      <c r="P264" t="n">
        <v>0</v>
      </c>
      <c r="Q264" t="n">
        <v>0</v>
      </c>
      <c r="R264" s="2" t="inlineStr"/>
    </row>
    <row r="265" ht="15" customHeight="1">
      <c r="A265" t="inlineStr">
        <is>
          <t>A 34358-2022</t>
        </is>
      </c>
      <c r="B265" s="1" t="n">
        <v>44792.45494212963</v>
      </c>
      <c r="C265" s="1" t="n">
        <v>45932</v>
      </c>
      <c r="D265" t="inlineStr">
        <is>
          <t>ÖREBRO LÄN</t>
        </is>
      </c>
      <c r="E265" t="inlineStr">
        <is>
          <t>ÖREBRO</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28054-2022</t>
        </is>
      </c>
      <c r="B266" s="1" t="n">
        <v>44746.41938657407</v>
      </c>
      <c r="C266" s="1" t="n">
        <v>45932</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3841-2023</t>
        </is>
      </c>
      <c r="B267" s="1" t="n">
        <v>44951</v>
      </c>
      <c r="C267" s="1" t="n">
        <v>45932</v>
      </c>
      <c r="D267" t="inlineStr">
        <is>
          <t>ÖREBRO LÄN</t>
        </is>
      </c>
      <c r="E267" t="inlineStr">
        <is>
          <t>ÖREBRO</t>
        </is>
      </c>
      <c r="G267" t="n">
        <v>4.3</v>
      </c>
      <c r="H267" t="n">
        <v>0</v>
      </c>
      <c r="I267" t="n">
        <v>0</v>
      </c>
      <c r="J267" t="n">
        <v>0</v>
      </c>
      <c r="K267" t="n">
        <v>0</v>
      </c>
      <c r="L267" t="n">
        <v>0</v>
      </c>
      <c r="M267" t="n">
        <v>0</v>
      </c>
      <c r="N267" t="n">
        <v>0</v>
      </c>
      <c r="O267" t="n">
        <v>0</v>
      </c>
      <c r="P267" t="n">
        <v>0</v>
      </c>
      <c r="Q267" t="n">
        <v>0</v>
      </c>
      <c r="R267" s="2" t="inlineStr"/>
    </row>
    <row r="268" ht="15" customHeight="1">
      <c r="A268" t="inlineStr">
        <is>
          <t>A 49215-2023</t>
        </is>
      </c>
      <c r="B268" s="1" t="n">
        <v>45210.61050925926</v>
      </c>
      <c r="C268" s="1" t="n">
        <v>45932</v>
      </c>
      <c r="D268" t="inlineStr">
        <is>
          <t>ÖREBRO LÄN</t>
        </is>
      </c>
      <c r="E268" t="inlineStr">
        <is>
          <t>ÖREBRO</t>
        </is>
      </c>
      <c r="F268" t="inlineStr">
        <is>
          <t>Övriga Aktiebolag</t>
        </is>
      </c>
      <c r="G268" t="n">
        <v>4.2</v>
      </c>
      <c r="H268" t="n">
        <v>0</v>
      </c>
      <c r="I268" t="n">
        <v>0</v>
      </c>
      <c r="J268" t="n">
        <v>0</v>
      </c>
      <c r="K268" t="n">
        <v>0</v>
      </c>
      <c r="L268" t="n">
        <v>0</v>
      </c>
      <c r="M268" t="n">
        <v>0</v>
      </c>
      <c r="N268" t="n">
        <v>0</v>
      </c>
      <c r="O268" t="n">
        <v>0</v>
      </c>
      <c r="P268" t="n">
        <v>0</v>
      </c>
      <c r="Q268" t="n">
        <v>0</v>
      </c>
      <c r="R268" s="2" t="inlineStr"/>
    </row>
    <row r="269" ht="15" customHeight="1">
      <c r="A269" t="inlineStr">
        <is>
          <t>A 541-2025</t>
        </is>
      </c>
      <c r="B269" s="1" t="n">
        <v>45664.52034722222</v>
      </c>
      <c r="C269" s="1" t="n">
        <v>45932</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71288-2021</t>
        </is>
      </c>
      <c r="B270" s="1" t="n">
        <v>44539.62481481482</v>
      </c>
      <c r="C270" s="1" t="n">
        <v>45932</v>
      </c>
      <c r="D270" t="inlineStr">
        <is>
          <t>ÖREBRO LÄN</t>
        </is>
      </c>
      <c r="E270" t="inlineStr">
        <is>
          <t>ÖREBRO</t>
        </is>
      </c>
      <c r="G270" t="n">
        <v>3.9</v>
      </c>
      <c r="H270" t="n">
        <v>0</v>
      </c>
      <c r="I270" t="n">
        <v>0</v>
      </c>
      <c r="J270" t="n">
        <v>0</v>
      </c>
      <c r="K270" t="n">
        <v>0</v>
      </c>
      <c r="L270" t="n">
        <v>0</v>
      </c>
      <c r="M270" t="n">
        <v>0</v>
      </c>
      <c r="N270" t="n">
        <v>0</v>
      </c>
      <c r="O270" t="n">
        <v>0</v>
      </c>
      <c r="P270" t="n">
        <v>0</v>
      </c>
      <c r="Q270" t="n">
        <v>0</v>
      </c>
      <c r="R270" s="2" t="inlineStr"/>
    </row>
    <row r="271" ht="15" customHeight="1">
      <c r="A271" t="inlineStr">
        <is>
          <t>A 22348-2024</t>
        </is>
      </c>
      <c r="B271" s="1" t="n">
        <v>45446.61256944444</v>
      </c>
      <c r="C271" s="1" t="n">
        <v>45932</v>
      </c>
      <c r="D271" t="inlineStr">
        <is>
          <t>ÖREBRO LÄN</t>
        </is>
      </c>
      <c r="E271" t="inlineStr">
        <is>
          <t>ÖREBRO</t>
        </is>
      </c>
      <c r="G271" t="n">
        <v>0.7</v>
      </c>
      <c r="H271" t="n">
        <v>0</v>
      </c>
      <c r="I271" t="n">
        <v>0</v>
      </c>
      <c r="J271" t="n">
        <v>0</v>
      </c>
      <c r="K271" t="n">
        <v>0</v>
      </c>
      <c r="L271" t="n">
        <v>0</v>
      </c>
      <c r="M271" t="n">
        <v>0</v>
      </c>
      <c r="N271" t="n">
        <v>0</v>
      </c>
      <c r="O271" t="n">
        <v>0</v>
      </c>
      <c r="P271" t="n">
        <v>0</v>
      </c>
      <c r="Q271" t="n">
        <v>0</v>
      </c>
      <c r="R271" s="2" t="inlineStr"/>
    </row>
    <row r="272" ht="15" customHeight="1">
      <c r="A272" t="inlineStr">
        <is>
          <t>A 53143-2023</t>
        </is>
      </c>
      <c r="B272" s="1" t="n">
        <v>45229</v>
      </c>
      <c r="C272" s="1" t="n">
        <v>45932</v>
      </c>
      <c r="D272" t="inlineStr">
        <is>
          <t>ÖREBRO LÄN</t>
        </is>
      </c>
      <c r="E272" t="inlineStr">
        <is>
          <t>ÖREBRO</t>
        </is>
      </c>
      <c r="G272" t="n">
        <v>3.3</v>
      </c>
      <c r="H272" t="n">
        <v>0</v>
      </c>
      <c r="I272" t="n">
        <v>0</v>
      </c>
      <c r="J272" t="n">
        <v>0</v>
      </c>
      <c r="K272" t="n">
        <v>0</v>
      </c>
      <c r="L272" t="n">
        <v>0</v>
      </c>
      <c r="M272" t="n">
        <v>0</v>
      </c>
      <c r="N272" t="n">
        <v>0</v>
      </c>
      <c r="O272" t="n">
        <v>0</v>
      </c>
      <c r="P272" t="n">
        <v>0</v>
      </c>
      <c r="Q272" t="n">
        <v>0</v>
      </c>
      <c r="R272" s="2" t="inlineStr"/>
    </row>
    <row r="273" ht="15" customHeight="1">
      <c r="A273" t="inlineStr">
        <is>
          <t>A 45237-2023</t>
        </is>
      </c>
      <c r="B273" s="1" t="n">
        <v>45191</v>
      </c>
      <c r="C273" s="1" t="n">
        <v>45932</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25407-2021</t>
        </is>
      </c>
      <c r="B274" s="1" t="n">
        <v>44342</v>
      </c>
      <c r="C274" s="1" t="n">
        <v>45932</v>
      </c>
      <c r="D274" t="inlineStr">
        <is>
          <t>ÖREBRO LÄN</t>
        </is>
      </c>
      <c r="E274" t="inlineStr">
        <is>
          <t>ÖREBRO</t>
        </is>
      </c>
      <c r="F274" t="inlineStr">
        <is>
          <t>Kommuner</t>
        </is>
      </c>
      <c r="G274" t="n">
        <v>7.2</v>
      </c>
      <c r="H274" t="n">
        <v>0</v>
      </c>
      <c r="I274" t="n">
        <v>0</v>
      </c>
      <c r="J274" t="n">
        <v>0</v>
      </c>
      <c r="K274" t="n">
        <v>0</v>
      </c>
      <c r="L274" t="n">
        <v>0</v>
      </c>
      <c r="M274" t="n">
        <v>0</v>
      </c>
      <c r="N274" t="n">
        <v>0</v>
      </c>
      <c r="O274" t="n">
        <v>0</v>
      </c>
      <c r="P274" t="n">
        <v>0</v>
      </c>
      <c r="Q274" t="n">
        <v>0</v>
      </c>
      <c r="R274" s="2" t="inlineStr"/>
    </row>
    <row r="275" ht="15" customHeight="1">
      <c r="A275" t="inlineStr">
        <is>
          <t>A 15695-2024</t>
        </is>
      </c>
      <c r="B275" s="1" t="n">
        <v>45404.45487268519</v>
      </c>
      <c r="C275" s="1" t="n">
        <v>45932</v>
      </c>
      <c r="D275" t="inlineStr">
        <is>
          <t>ÖREBRO LÄN</t>
        </is>
      </c>
      <c r="E275" t="inlineStr">
        <is>
          <t>ÖREBRO</t>
        </is>
      </c>
      <c r="G275" t="n">
        <v>2.7</v>
      </c>
      <c r="H275" t="n">
        <v>0</v>
      </c>
      <c r="I275" t="n">
        <v>0</v>
      </c>
      <c r="J275" t="n">
        <v>0</v>
      </c>
      <c r="K275" t="n">
        <v>0</v>
      </c>
      <c r="L275" t="n">
        <v>0</v>
      </c>
      <c r="M275" t="n">
        <v>0</v>
      </c>
      <c r="N275" t="n">
        <v>0</v>
      </c>
      <c r="O275" t="n">
        <v>0</v>
      </c>
      <c r="P275" t="n">
        <v>0</v>
      </c>
      <c r="Q275" t="n">
        <v>0</v>
      </c>
      <c r="R275" s="2" t="inlineStr"/>
    </row>
    <row r="276" ht="15" customHeight="1">
      <c r="A276" t="inlineStr">
        <is>
          <t>A 30089-2024</t>
        </is>
      </c>
      <c r="B276" s="1" t="n">
        <v>45485</v>
      </c>
      <c r="C276" s="1" t="n">
        <v>45932</v>
      </c>
      <c r="D276" t="inlineStr">
        <is>
          <t>ÖREBRO LÄN</t>
        </is>
      </c>
      <c r="E276" t="inlineStr">
        <is>
          <t>ÖREBRO</t>
        </is>
      </c>
      <c r="G276" t="n">
        <v>2.2</v>
      </c>
      <c r="H276" t="n">
        <v>0</v>
      </c>
      <c r="I276" t="n">
        <v>0</v>
      </c>
      <c r="J276" t="n">
        <v>0</v>
      </c>
      <c r="K276" t="n">
        <v>0</v>
      </c>
      <c r="L276" t="n">
        <v>0</v>
      </c>
      <c r="M276" t="n">
        <v>0</v>
      </c>
      <c r="N276" t="n">
        <v>0</v>
      </c>
      <c r="O276" t="n">
        <v>0</v>
      </c>
      <c r="P276" t="n">
        <v>0</v>
      </c>
      <c r="Q276" t="n">
        <v>0</v>
      </c>
      <c r="R276" s="2" t="inlineStr"/>
    </row>
    <row r="277" ht="15" customHeight="1">
      <c r="A277" t="inlineStr">
        <is>
          <t>A 43399-2022</t>
        </is>
      </c>
      <c r="B277" s="1" t="n">
        <v>44834</v>
      </c>
      <c r="C277" s="1" t="n">
        <v>45932</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5643-2025</t>
        </is>
      </c>
      <c r="B278" s="1" t="n">
        <v>45693</v>
      </c>
      <c r="C278" s="1" t="n">
        <v>45932</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46030-2024</t>
        </is>
      </c>
      <c r="B279" s="1" t="n">
        <v>45580.70377314815</v>
      </c>
      <c r="C279" s="1" t="n">
        <v>45932</v>
      </c>
      <c r="D279" t="inlineStr">
        <is>
          <t>ÖREBRO LÄN</t>
        </is>
      </c>
      <c r="E279" t="inlineStr">
        <is>
          <t>ÖREBRO</t>
        </is>
      </c>
      <c r="G279" t="n">
        <v>3.9</v>
      </c>
      <c r="H279" t="n">
        <v>0</v>
      </c>
      <c r="I279" t="n">
        <v>0</v>
      </c>
      <c r="J279" t="n">
        <v>0</v>
      </c>
      <c r="K279" t="n">
        <v>0</v>
      </c>
      <c r="L279" t="n">
        <v>0</v>
      </c>
      <c r="M279" t="n">
        <v>0</v>
      </c>
      <c r="N279" t="n">
        <v>0</v>
      </c>
      <c r="O279" t="n">
        <v>0</v>
      </c>
      <c r="P279" t="n">
        <v>0</v>
      </c>
      <c r="Q279" t="n">
        <v>0</v>
      </c>
      <c r="R279" s="2" t="inlineStr"/>
    </row>
    <row r="280" ht="15" customHeight="1">
      <c r="A280" t="inlineStr">
        <is>
          <t>A 16739-2023</t>
        </is>
      </c>
      <c r="B280" s="1" t="n">
        <v>45030.72627314815</v>
      </c>
      <c r="C280" s="1" t="n">
        <v>45932</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19553-2023</t>
        </is>
      </c>
      <c r="B281" s="1" t="n">
        <v>45050</v>
      </c>
      <c r="C281" s="1" t="n">
        <v>45932</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5342-2024</t>
        </is>
      </c>
      <c r="B282" s="1" t="n">
        <v>45331.44145833333</v>
      </c>
      <c r="C282" s="1" t="n">
        <v>45932</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71295-2021</t>
        </is>
      </c>
      <c r="B283" s="1" t="n">
        <v>44539.63009259259</v>
      </c>
      <c r="C283" s="1" t="n">
        <v>45932</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45027-2024</t>
        </is>
      </c>
      <c r="B284" s="1" t="n">
        <v>45575</v>
      </c>
      <c r="C284" s="1" t="n">
        <v>45932</v>
      </c>
      <c r="D284" t="inlineStr">
        <is>
          <t>ÖREBRO LÄN</t>
        </is>
      </c>
      <c r="E284" t="inlineStr">
        <is>
          <t>ÖREBRO</t>
        </is>
      </c>
      <c r="G284" t="n">
        <v>6.3</v>
      </c>
      <c r="H284" t="n">
        <v>0</v>
      </c>
      <c r="I284" t="n">
        <v>0</v>
      </c>
      <c r="J284" t="n">
        <v>0</v>
      </c>
      <c r="K284" t="n">
        <v>0</v>
      </c>
      <c r="L284" t="n">
        <v>0</v>
      </c>
      <c r="M284" t="n">
        <v>0</v>
      </c>
      <c r="N284" t="n">
        <v>0</v>
      </c>
      <c r="O284" t="n">
        <v>0</v>
      </c>
      <c r="P284" t="n">
        <v>0</v>
      </c>
      <c r="Q284" t="n">
        <v>0</v>
      </c>
      <c r="R284" s="2" t="inlineStr"/>
    </row>
    <row r="285" ht="15" customHeight="1">
      <c r="A285" t="inlineStr">
        <is>
          <t>A 14291-2023</t>
        </is>
      </c>
      <c r="B285" s="1" t="n">
        <v>45010</v>
      </c>
      <c r="C285" s="1" t="n">
        <v>45932</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11516-2024</t>
        </is>
      </c>
      <c r="B286" s="1" t="n">
        <v>45372</v>
      </c>
      <c r="C286" s="1" t="n">
        <v>45932</v>
      </c>
      <c r="D286" t="inlineStr">
        <is>
          <t>ÖREBRO LÄN</t>
        </is>
      </c>
      <c r="E286" t="inlineStr">
        <is>
          <t>ÖREBRO</t>
        </is>
      </c>
      <c r="G286" t="n">
        <v>10.7</v>
      </c>
      <c r="H286" t="n">
        <v>0</v>
      </c>
      <c r="I286" t="n">
        <v>0</v>
      </c>
      <c r="J286" t="n">
        <v>0</v>
      </c>
      <c r="K286" t="n">
        <v>0</v>
      </c>
      <c r="L286" t="n">
        <v>0</v>
      </c>
      <c r="M286" t="n">
        <v>0</v>
      </c>
      <c r="N286" t="n">
        <v>0</v>
      </c>
      <c r="O286" t="n">
        <v>0</v>
      </c>
      <c r="P286" t="n">
        <v>0</v>
      </c>
      <c r="Q286" t="n">
        <v>0</v>
      </c>
      <c r="R286" s="2" t="inlineStr"/>
    </row>
    <row r="287" ht="15" customHeight="1">
      <c r="A287" t="inlineStr">
        <is>
          <t>A 58527-2024</t>
        </is>
      </c>
      <c r="B287" s="1" t="n">
        <v>45635.44388888889</v>
      </c>
      <c r="C287" s="1" t="n">
        <v>45932</v>
      </c>
      <c r="D287" t="inlineStr">
        <is>
          <t>ÖREBRO LÄN</t>
        </is>
      </c>
      <c r="E287" t="inlineStr">
        <is>
          <t>ÖREBRO</t>
        </is>
      </c>
      <c r="F287" t="inlineStr">
        <is>
          <t>Sveaskog</t>
        </is>
      </c>
      <c r="G287" t="n">
        <v>6.4</v>
      </c>
      <c r="H287" t="n">
        <v>0</v>
      </c>
      <c r="I287" t="n">
        <v>0</v>
      </c>
      <c r="J287" t="n">
        <v>0</v>
      </c>
      <c r="K287" t="n">
        <v>0</v>
      </c>
      <c r="L287" t="n">
        <v>0</v>
      </c>
      <c r="M287" t="n">
        <v>0</v>
      </c>
      <c r="N287" t="n">
        <v>0</v>
      </c>
      <c r="O287" t="n">
        <v>0</v>
      </c>
      <c r="P287" t="n">
        <v>0</v>
      </c>
      <c r="Q287" t="n">
        <v>0</v>
      </c>
      <c r="R287" s="2" t="inlineStr"/>
    </row>
    <row r="288" ht="15" customHeight="1">
      <c r="A288" t="inlineStr">
        <is>
          <t>A 55593-2022</t>
        </is>
      </c>
      <c r="B288" s="1" t="n">
        <v>44888</v>
      </c>
      <c r="C288" s="1" t="n">
        <v>45932</v>
      </c>
      <c r="D288" t="inlineStr">
        <is>
          <t>ÖREBRO LÄN</t>
        </is>
      </c>
      <c r="E288" t="inlineStr">
        <is>
          <t>ÖREBRO</t>
        </is>
      </c>
      <c r="G288" t="n">
        <v>3.6</v>
      </c>
      <c r="H288" t="n">
        <v>0</v>
      </c>
      <c r="I288" t="n">
        <v>0</v>
      </c>
      <c r="J288" t="n">
        <v>0</v>
      </c>
      <c r="K288" t="n">
        <v>0</v>
      </c>
      <c r="L288" t="n">
        <v>0</v>
      </c>
      <c r="M288" t="n">
        <v>0</v>
      </c>
      <c r="N288" t="n">
        <v>0</v>
      </c>
      <c r="O288" t="n">
        <v>0</v>
      </c>
      <c r="P288" t="n">
        <v>0</v>
      </c>
      <c r="Q288" t="n">
        <v>0</v>
      </c>
      <c r="R288" s="2" t="inlineStr"/>
    </row>
    <row r="289" ht="15" customHeight="1">
      <c r="A289" t="inlineStr">
        <is>
          <t>A 16140-2023</t>
        </is>
      </c>
      <c r="B289" s="1" t="n">
        <v>45027.6433912037</v>
      </c>
      <c r="C289" s="1" t="n">
        <v>45932</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49465-2024</t>
        </is>
      </c>
      <c r="B290" s="1" t="n">
        <v>45596</v>
      </c>
      <c r="C290" s="1" t="n">
        <v>45932</v>
      </c>
      <c r="D290" t="inlineStr">
        <is>
          <t>ÖREBRO LÄN</t>
        </is>
      </c>
      <c r="E290" t="inlineStr">
        <is>
          <t>ÖREBRO</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38842-2022</t>
        </is>
      </c>
      <c r="B291" s="1" t="n">
        <v>44814</v>
      </c>
      <c r="C291" s="1" t="n">
        <v>45932</v>
      </c>
      <c r="D291" t="inlineStr">
        <is>
          <t>ÖREBRO LÄN</t>
        </is>
      </c>
      <c r="E291" t="inlineStr">
        <is>
          <t>ÖREBRO</t>
        </is>
      </c>
      <c r="G291" t="n">
        <v>5</v>
      </c>
      <c r="H291" t="n">
        <v>0</v>
      </c>
      <c r="I291" t="n">
        <v>0</v>
      </c>
      <c r="J291" t="n">
        <v>0</v>
      </c>
      <c r="K291" t="n">
        <v>0</v>
      </c>
      <c r="L291" t="n">
        <v>0</v>
      </c>
      <c r="M291" t="n">
        <v>0</v>
      </c>
      <c r="N291" t="n">
        <v>0</v>
      </c>
      <c r="O291" t="n">
        <v>0</v>
      </c>
      <c r="P291" t="n">
        <v>0</v>
      </c>
      <c r="Q291" t="n">
        <v>0</v>
      </c>
      <c r="R291" s="2" t="inlineStr"/>
    </row>
    <row r="292" ht="15" customHeight="1">
      <c r="A292" t="inlineStr">
        <is>
          <t>A 37022-2024</t>
        </is>
      </c>
      <c r="B292" s="1" t="n">
        <v>45539.3822337963</v>
      </c>
      <c r="C292" s="1" t="n">
        <v>45932</v>
      </c>
      <c r="D292" t="inlineStr">
        <is>
          <t>ÖREBRO LÄN</t>
        </is>
      </c>
      <c r="E292" t="inlineStr">
        <is>
          <t>ÖREBRO</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37024-2024</t>
        </is>
      </c>
      <c r="B293" s="1" t="n">
        <v>45539.38329861111</v>
      </c>
      <c r="C293" s="1" t="n">
        <v>45932</v>
      </c>
      <c r="D293" t="inlineStr">
        <is>
          <t>ÖREBRO LÄN</t>
        </is>
      </c>
      <c r="E293" t="inlineStr">
        <is>
          <t>ÖREBRO</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25578-2025</t>
        </is>
      </c>
      <c r="B294" s="1" t="n">
        <v>45803.47803240741</v>
      </c>
      <c r="C294" s="1" t="n">
        <v>45932</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47047-2022</t>
        </is>
      </c>
      <c r="B295" s="1" t="n">
        <v>44852.39063657408</v>
      </c>
      <c r="C295" s="1" t="n">
        <v>45932</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63142-2023</t>
        </is>
      </c>
      <c r="B296" s="1" t="n">
        <v>45273</v>
      </c>
      <c r="C296" s="1" t="n">
        <v>45932</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25519-2025</t>
        </is>
      </c>
      <c r="B297" s="1" t="n">
        <v>45803.38447916666</v>
      </c>
      <c r="C297" s="1" t="n">
        <v>45932</v>
      </c>
      <c r="D297" t="inlineStr">
        <is>
          <t>ÖREBRO LÄN</t>
        </is>
      </c>
      <c r="E297" t="inlineStr">
        <is>
          <t>ÖREBRO</t>
        </is>
      </c>
      <c r="G297" t="n">
        <v>7.4</v>
      </c>
      <c r="H297" t="n">
        <v>0</v>
      </c>
      <c r="I297" t="n">
        <v>0</v>
      </c>
      <c r="J297" t="n">
        <v>0</v>
      </c>
      <c r="K297" t="n">
        <v>0</v>
      </c>
      <c r="L297" t="n">
        <v>0</v>
      </c>
      <c r="M297" t="n">
        <v>0</v>
      </c>
      <c r="N297" t="n">
        <v>0</v>
      </c>
      <c r="O297" t="n">
        <v>0</v>
      </c>
      <c r="P297" t="n">
        <v>0</v>
      </c>
      <c r="Q297" t="n">
        <v>0</v>
      </c>
      <c r="R297" s="2" t="inlineStr"/>
    </row>
    <row r="298" ht="15" customHeight="1">
      <c r="A298" t="inlineStr">
        <is>
          <t>A 23741-2022</t>
        </is>
      </c>
      <c r="B298" s="1" t="n">
        <v>44722</v>
      </c>
      <c r="C298" s="1" t="n">
        <v>45932</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52391-2024</t>
        </is>
      </c>
      <c r="B299" s="1" t="n">
        <v>45609.43180555556</v>
      </c>
      <c r="C299" s="1" t="n">
        <v>45932</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52401-2024</t>
        </is>
      </c>
      <c r="B300" s="1" t="n">
        <v>45609.44553240741</v>
      </c>
      <c r="C300" s="1" t="n">
        <v>45932</v>
      </c>
      <c r="D300" t="inlineStr">
        <is>
          <t>ÖREBRO LÄN</t>
        </is>
      </c>
      <c r="E300" t="inlineStr">
        <is>
          <t>ÖREBRO</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59121-2024</t>
        </is>
      </c>
      <c r="B301" s="1" t="n">
        <v>45637.37755787037</v>
      </c>
      <c r="C301" s="1" t="n">
        <v>45932</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9704-2023</t>
        </is>
      </c>
      <c r="B302" s="1" t="n">
        <v>44984</v>
      </c>
      <c r="C302" s="1" t="n">
        <v>45932</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58598-2022</t>
        </is>
      </c>
      <c r="B303" s="1" t="n">
        <v>44902</v>
      </c>
      <c r="C303" s="1" t="n">
        <v>45932</v>
      </c>
      <c r="D303" t="inlineStr">
        <is>
          <t>ÖREBRO LÄN</t>
        </is>
      </c>
      <c r="E303" t="inlineStr">
        <is>
          <t>ÖREBRO</t>
        </is>
      </c>
      <c r="G303" t="n">
        <v>0.4</v>
      </c>
      <c r="H303" t="n">
        <v>0</v>
      </c>
      <c r="I303" t="n">
        <v>0</v>
      </c>
      <c r="J303" t="n">
        <v>0</v>
      </c>
      <c r="K303" t="n">
        <v>0</v>
      </c>
      <c r="L303" t="n">
        <v>0</v>
      </c>
      <c r="M303" t="n">
        <v>0</v>
      </c>
      <c r="N303" t="n">
        <v>0</v>
      </c>
      <c r="O303" t="n">
        <v>0</v>
      </c>
      <c r="P303" t="n">
        <v>0</v>
      </c>
      <c r="Q303" t="n">
        <v>0</v>
      </c>
      <c r="R303" s="2" t="inlineStr"/>
    </row>
    <row r="304" ht="15" customHeight="1">
      <c r="A304" t="inlineStr">
        <is>
          <t>A 26338-2021</t>
        </is>
      </c>
      <c r="B304" s="1" t="n">
        <v>44347</v>
      </c>
      <c r="C304" s="1" t="n">
        <v>45932</v>
      </c>
      <c r="D304" t="inlineStr">
        <is>
          <t>ÖREBRO LÄN</t>
        </is>
      </c>
      <c r="E304" t="inlineStr">
        <is>
          <t>ÖREBRO</t>
        </is>
      </c>
      <c r="G304" t="n">
        <v>0.5</v>
      </c>
      <c r="H304" t="n">
        <v>0</v>
      </c>
      <c r="I304" t="n">
        <v>0</v>
      </c>
      <c r="J304" t="n">
        <v>0</v>
      </c>
      <c r="K304" t="n">
        <v>0</v>
      </c>
      <c r="L304" t="n">
        <v>0</v>
      </c>
      <c r="M304" t="n">
        <v>0</v>
      </c>
      <c r="N304" t="n">
        <v>0</v>
      </c>
      <c r="O304" t="n">
        <v>0</v>
      </c>
      <c r="P304" t="n">
        <v>0</v>
      </c>
      <c r="Q304" t="n">
        <v>0</v>
      </c>
      <c r="R304" s="2" t="inlineStr"/>
    </row>
    <row r="305" ht="15" customHeight="1">
      <c r="A305" t="inlineStr">
        <is>
          <t>A 13158-2024</t>
        </is>
      </c>
      <c r="B305" s="1" t="n">
        <v>45386.38728009259</v>
      </c>
      <c r="C305" s="1" t="n">
        <v>45932</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53234-2023</t>
        </is>
      </c>
      <c r="B306" s="1" t="n">
        <v>45229</v>
      </c>
      <c r="C306" s="1" t="n">
        <v>45932</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59757-2023</t>
        </is>
      </c>
      <c r="B307" s="1" t="n">
        <v>45257.40833333333</v>
      </c>
      <c r="C307" s="1" t="n">
        <v>45932</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11067-2025</t>
        </is>
      </c>
      <c r="B308" s="1" t="n">
        <v>45723</v>
      </c>
      <c r="C308" s="1" t="n">
        <v>45932</v>
      </c>
      <c r="D308" t="inlineStr">
        <is>
          <t>ÖREBRO LÄN</t>
        </is>
      </c>
      <c r="E308" t="inlineStr">
        <is>
          <t>ÖREBRO</t>
        </is>
      </c>
      <c r="G308" t="n">
        <v>3.1</v>
      </c>
      <c r="H308" t="n">
        <v>0</v>
      </c>
      <c r="I308" t="n">
        <v>0</v>
      </c>
      <c r="J308" t="n">
        <v>0</v>
      </c>
      <c r="K308" t="n">
        <v>0</v>
      </c>
      <c r="L308" t="n">
        <v>0</v>
      </c>
      <c r="M308" t="n">
        <v>0</v>
      </c>
      <c r="N308" t="n">
        <v>0</v>
      </c>
      <c r="O308" t="n">
        <v>0</v>
      </c>
      <c r="P308" t="n">
        <v>0</v>
      </c>
      <c r="Q308" t="n">
        <v>0</v>
      </c>
      <c r="R308" s="2" t="inlineStr"/>
    </row>
    <row r="309" ht="15" customHeight="1">
      <c r="A309" t="inlineStr">
        <is>
          <t>A 12099-2023</t>
        </is>
      </c>
      <c r="B309" s="1" t="n">
        <v>44998.37043981482</v>
      </c>
      <c r="C309" s="1" t="n">
        <v>45932</v>
      </c>
      <c r="D309" t="inlineStr">
        <is>
          <t>ÖREBRO LÄN</t>
        </is>
      </c>
      <c r="E309" t="inlineStr">
        <is>
          <t>ÖREBRO</t>
        </is>
      </c>
      <c r="G309" t="n">
        <v>0.9</v>
      </c>
      <c r="H309" t="n">
        <v>0</v>
      </c>
      <c r="I309" t="n">
        <v>0</v>
      </c>
      <c r="J309" t="n">
        <v>0</v>
      </c>
      <c r="K309" t="n">
        <v>0</v>
      </c>
      <c r="L309" t="n">
        <v>0</v>
      </c>
      <c r="M309" t="n">
        <v>0</v>
      </c>
      <c r="N309" t="n">
        <v>0</v>
      </c>
      <c r="O309" t="n">
        <v>0</v>
      </c>
      <c r="P309" t="n">
        <v>0</v>
      </c>
      <c r="Q309" t="n">
        <v>0</v>
      </c>
      <c r="R309" s="2" t="inlineStr"/>
    </row>
    <row r="310" ht="15" customHeight="1">
      <c r="A310" t="inlineStr">
        <is>
          <t>A 17869-2024</t>
        </is>
      </c>
      <c r="B310" s="1" t="n">
        <v>45419</v>
      </c>
      <c r="C310" s="1" t="n">
        <v>45932</v>
      </c>
      <c r="D310" t="inlineStr">
        <is>
          <t>ÖREBRO LÄN</t>
        </is>
      </c>
      <c r="E310" t="inlineStr">
        <is>
          <t>ÖREBRO</t>
        </is>
      </c>
      <c r="G310" t="n">
        <v>3.7</v>
      </c>
      <c r="H310" t="n">
        <v>0</v>
      </c>
      <c r="I310" t="n">
        <v>0</v>
      </c>
      <c r="J310" t="n">
        <v>0</v>
      </c>
      <c r="K310" t="n">
        <v>0</v>
      </c>
      <c r="L310" t="n">
        <v>0</v>
      </c>
      <c r="M310" t="n">
        <v>0</v>
      </c>
      <c r="N310" t="n">
        <v>0</v>
      </c>
      <c r="O310" t="n">
        <v>0</v>
      </c>
      <c r="P310" t="n">
        <v>0</v>
      </c>
      <c r="Q310" t="n">
        <v>0</v>
      </c>
      <c r="R310" s="2" t="inlineStr"/>
    </row>
    <row r="311" ht="15" customHeight="1">
      <c r="A311" t="inlineStr">
        <is>
          <t>A 5026-2022</t>
        </is>
      </c>
      <c r="B311" s="1" t="n">
        <v>44593.63974537037</v>
      </c>
      <c r="C311" s="1" t="n">
        <v>45932</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3659-2025</t>
        </is>
      </c>
      <c r="B312" s="1" t="n">
        <v>45681</v>
      </c>
      <c r="C312" s="1" t="n">
        <v>45932</v>
      </c>
      <c r="D312" t="inlineStr">
        <is>
          <t>ÖREBRO LÄN</t>
        </is>
      </c>
      <c r="E312" t="inlineStr">
        <is>
          <t>ÖREBRO</t>
        </is>
      </c>
      <c r="G312" t="n">
        <v>15.8</v>
      </c>
      <c r="H312" t="n">
        <v>0</v>
      </c>
      <c r="I312" t="n">
        <v>0</v>
      </c>
      <c r="J312" t="n">
        <v>0</v>
      </c>
      <c r="K312" t="n">
        <v>0</v>
      </c>
      <c r="L312" t="n">
        <v>0</v>
      </c>
      <c r="M312" t="n">
        <v>0</v>
      </c>
      <c r="N312" t="n">
        <v>0</v>
      </c>
      <c r="O312" t="n">
        <v>0</v>
      </c>
      <c r="P312" t="n">
        <v>0</v>
      </c>
      <c r="Q312" t="n">
        <v>0</v>
      </c>
      <c r="R312" s="2" t="inlineStr"/>
    </row>
    <row r="313" ht="15" customHeight="1">
      <c r="A313" t="inlineStr">
        <is>
          <t>A 13347-2023</t>
        </is>
      </c>
      <c r="B313" s="1" t="n">
        <v>45004</v>
      </c>
      <c r="C313" s="1" t="n">
        <v>45932</v>
      </c>
      <c r="D313" t="inlineStr">
        <is>
          <t>ÖREBRO LÄN</t>
        </is>
      </c>
      <c r="E313" t="inlineStr">
        <is>
          <t>ÖREBRO</t>
        </is>
      </c>
      <c r="G313" t="n">
        <v>1.3</v>
      </c>
      <c r="H313" t="n">
        <v>0</v>
      </c>
      <c r="I313" t="n">
        <v>0</v>
      </c>
      <c r="J313" t="n">
        <v>0</v>
      </c>
      <c r="K313" t="n">
        <v>0</v>
      </c>
      <c r="L313" t="n">
        <v>0</v>
      </c>
      <c r="M313" t="n">
        <v>0</v>
      </c>
      <c r="N313" t="n">
        <v>0</v>
      </c>
      <c r="O313" t="n">
        <v>0</v>
      </c>
      <c r="P313" t="n">
        <v>0</v>
      </c>
      <c r="Q313" t="n">
        <v>0</v>
      </c>
      <c r="R313" s="2" t="inlineStr"/>
    </row>
    <row r="314" ht="15" customHeight="1">
      <c r="A314" t="inlineStr">
        <is>
          <t>A 6752-2022</t>
        </is>
      </c>
      <c r="B314" s="1" t="n">
        <v>44602.48082175926</v>
      </c>
      <c r="C314" s="1" t="n">
        <v>45932</v>
      </c>
      <c r="D314" t="inlineStr">
        <is>
          <t>ÖREBRO LÄN</t>
        </is>
      </c>
      <c r="E314" t="inlineStr">
        <is>
          <t>ÖREBRO</t>
        </is>
      </c>
      <c r="G314" t="n">
        <v>3.1</v>
      </c>
      <c r="H314" t="n">
        <v>0</v>
      </c>
      <c r="I314" t="n">
        <v>0</v>
      </c>
      <c r="J314" t="n">
        <v>0</v>
      </c>
      <c r="K314" t="n">
        <v>0</v>
      </c>
      <c r="L314" t="n">
        <v>0</v>
      </c>
      <c r="M314" t="n">
        <v>0</v>
      </c>
      <c r="N314" t="n">
        <v>0</v>
      </c>
      <c r="O314" t="n">
        <v>0</v>
      </c>
      <c r="P314" t="n">
        <v>0</v>
      </c>
      <c r="Q314" t="n">
        <v>0</v>
      </c>
      <c r="R314" s="2" t="inlineStr"/>
    </row>
    <row r="315" ht="15" customHeight="1">
      <c r="A315" t="inlineStr">
        <is>
          <t>A 10832-2023</t>
        </is>
      </c>
      <c r="B315" s="1" t="n">
        <v>44990.91711805556</v>
      </c>
      <c r="C315" s="1" t="n">
        <v>45932</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57867-2024</t>
        </is>
      </c>
      <c r="B316" s="1" t="n">
        <v>45631.43864583333</v>
      </c>
      <c r="C316" s="1" t="n">
        <v>45932</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13355-2023</t>
        </is>
      </c>
      <c r="B317" s="1" t="n">
        <v>45004</v>
      </c>
      <c r="C317" s="1" t="n">
        <v>45932</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14544-2023</t>
        </is>
      </c>
      <c r="B318" s="1" t="n">
        <v>45013</v>
      </c>
      <c r="C318" s="1" t="n">
        <v>45932</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71272-2021</t>
        </is>
      </c>
      <c r="B319" s="1" t="n">
        <v>44539.61571759259</v>
      </c>
      <c r="C319" s="1" t="n">
        <v>45932</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48581-2024</t>
        </is>
      </c>
      <c r="B320" s="1" t="n">
        <v>45593.41642361111</v>
      </c>
      <c r="C320" s="1" t="n">
        <v>45932</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40231-2022</t>
        </is>
      </c>
      <c r="B321" s="1" t="n">
        <v>44820</v>
      </c>
      <c r="C321" s="1" t="n">
        <v>45932</v>
      </c>
      <c r="D321" t="inlineStr">
        <is>
          <t>ÖREBRO LÄN</t>
        </is>
      </c>
      <c r="E321" t="inlineStr">
        <is>
          <t>ÖREBRO</t>
        </is>
      </c>
      <c r="F321" t="inlineStr">
        <is>
          <t>Allmännings- och besparingsskogar</t>
        </is>
      </c>
      <c r="G321" t="n">
        <v>2.2</v>
      </c>
      <c r="H321" t="n">
        <v>0</v>
      </c>
      <c r="I321" t="n">
        <v>0</v>
      </c>
      <c r="J321" t="n">
        <v>0</v>
      </c>
      <c r="K321" t="n">
        <v>0</v>
      </c>
      <c r="L321" t="n">
        <v>0</v>
      </c>
      <c r="M321" t="n">
        <v>0</v>
      </c>
      <c r="N321" t="n">
        <v>0</v>
      </c>
      <c r="O321" t="n">
        <v>0</v>
      </c>
      <c r="P321" t="n">
        <v>0</v>
      </c>
      <c r="Q321" t="n">
        <v>0</v>
      </c>
      <c r="R321" s="2" t="inlineStr"/>
    </row>
    <row r="322" ht="15" customHeight="1">
      <c r="A322" t="inlineStr">
        <is>
          <t>A 14963-2025</t>
        </is>
      </c>
      <c r="B322" s="1" t="n">
        <v>45743.58699074074</v>
      </c>
      <c r="C322" s="1" t="n">
        <v>45932</v>
      </c>
      <c r="D322" t="inlineStr">
        <is>
          <t>ÖREBRO LÄN</t>
        </is>
      </c>
      <c r="E322" t="inlineStr">
        <is>
          <t>ÖREBRO</t>
        </is>
      </c>
      <c r="G322" t="n">
        <v>9.1</v>
      </c>
      <c r="H322" t="n">
        <v>0</v>
      </c>
      <c r="I322" t="n">
        <v>0</v>
      </c>
      <c r="J322" t="n">
        <v>0</v>
      </c>
      <c r="K322" t="n">
        <v>0</v>
      </c>
      <c r="L322" t="n">
        <v>0</v>
      </c>
      <c r="M322" t="n">
        <v>0</v>
      </c>
      <c r="N322" t="n">
        <v>0</v>
      </c>
      <c r="O322" t="n">
        <v>0</v>
      </c>
      <c r="P322" t="n">
        <v>0</v>
      </c>
      <c r="Q322" t="n">
        <v>0</v>
      </c>
      <c r="R322" s="2" t="inlineStr"/>
    </row>
    <row r="323" ht="15" customHeight="1">
      <c r="A323" t="inlineStr">
        <is>
          <t>A 3120-2022</t>
        </is>
      </c>
      <c r="B323" s="1" t="n">
        <v>44582</v>
      </c>
      <c r="C323" s="1" t="n">
        <v>45932</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19388-2024</t>
        </is>
      </c>
      <c r="B324" s="1" t="n">
        <v>45429.37775462963</v>
      </c>
      <c r="C324" s="1" t="n">
        <v>45932</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33455-2023</t>
        </is>
      </c>
      <c r="B325" s="1" t="n">
        <v>45130.98962962963</v>
      </c>
      <c r="C325" s="1" t="n">
        <v>45932</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40597-2021</t>
        </is>
      </c>
      <c r="B326" s="1" t="n">
        <v>44420</v>
      </c>
      <c r="C326" s="1" t="n">
        <v>45932</v>
      </c>
      <c r="D326" t="inlineStr">
        <is>
          <t>ÖREBRO LÄN</t>
        </is>
      </c>
      <c r="E326" t="inlineStr">
        <is>
          <t>ÖREBRO</t>
        </is>
      </c>
      <c r="G326" t="n">
        <v>2.1</v>
      </c>
      <c r="H326" t="n">
        <v>0</v>
      </c>
      <c r="I326" t="n">
        <v>0</v>
      </c>
      <c r="J326" t="n">
        <v>0</v>
      </c>
      <c r="K326" t="n">
        <v>0</v>
      </c>
      <c r="L326" t="n">
        <v>0</v>
      </c>
      <c r="M326" t="n">
        <v>0</v>
      </c>
      <c r="N326" t="n">
        <v>0</v>
      </c>
      <c r="O326" t="n">
        <v>0</v>
      </c>
      <c r="P326" t="n">
        <v>0</v>
      </c>
      <c r="Q326" t="n">
        <v>0</v>
      </c>
      <c r="R326" s="2" t="inlineStr"/>
    </row>
    <row r="327" ht="15" customHeight="1">
      <c r="A327" t="inlineStr">
        <is>
          <t>A 2318-2023</t>
        </is>
      </c>
      <c r="B327" s="1" t="n">
        <v>44942</v>
      </c>
      <c r="C327" s="1" t="n">
        <v>45932</v>
      </c>
      <c r="D327" t="inlineStr">
        <is>
          <t>ÖREBRO LÄN</t>
        </is>
      </c>
      <c r="E327" t="inlineStr">
        <is>
          <t>ÖREBRO</t>
        </is>
      </c>
      <c r="G327" t="n">
        <v>1.9</v>
      </c>
      <c r="H327" t="n">
        <v>0</v>
      </c>
      <c r="I327" t="n">
        <v>0</v>
      </c>
      <c r="J327" t="n">
        <v>0</v>
      </c>
      <c r="K327" t="n">
        <v>0</v>
      </c>
      <c r="L327" t="n">
        <v>0</v>
      </c>
      <c r="M327" t="n">
        <v>0</v>
      </c>
      <c r="N327" t="n">
        <v>0</v>
      </c>
      <c r="O327" t="n">
        <v>0</v>
      </c>
      <c r="P327" t="n">
        <v>0</v>
      </c>
      <c r="Q327" t="n">
        <v>0</v>
      </c>
      <c r="R327" s="2" t="inlineStr"/>
    </row>
    <row r="328" ht="15" customHeight="1">
      <c r="A328" t="inlineStr">
        <is>
          <t>A 20121-2024</t>
        </is>
      </c>
      <c r="B328" s="1" t="n">
        <v>45434</v>
      </c>
      <c r="C328" s="1" t="n">
        <v>45932</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20150-2024</t>
        </is>
      </c>
      <c r="B329" s="1" t="n">
        <v>45434.57969907407</v>
      </c>
      <c r="C329" s="1" t="n">
        <v>45932</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2069-2025</t>
        </is>
      </c>
      <c r="B330" s="1" t="n">
        <v>45672.56614583333</v>
      </c>
      <c r="C330" s="1" t="n">
        <v>45932</v>
      </c>
      <c r="D330" t="inlineStr">
        <is>
          <t>ÖREBRO LÄN</t>
        </is>
      </c>
      <c r="E330" t="inlineStr">
        <is>
          <t>ÖREBRO</t>
        </is>
      </c>
      <c r="G330" t="n">
        <v>3.8</v>
      </c>
      <c r="H330" t="n">
        <v>0</v>
      </c>
      <c r="I330" t="n">
        <v>0</v>
      </c>
      <c r="J330" t="n">
        <v>0</v>
      </c>
      <c r="K330" t="n">
        <v>0</v>
      </c>
      <c r="L330" t="n">
        <v>0</v>
      </c>
      <c r="M330" t="n">
        <v>0</v>
      </c>
      <c r="N330" t="n">
        <v>0</v>
      </c>
      <c r="O330" t="n">
        <v>0</v>
      </c>
      <c r="P330" t="n">
        <v>0</v>
      </c>
      <c r="Q330" t="n">
        <v>0</v>
      </c>
      <c r="R330" s="2" t="inlineStr"/>
    </row>
    <row r="331" ht="15" customHeight="1">
      <c r="A331" t="inlineStr">
        <is>
          <t>A 767-2024</t>
        </is>
      </c>
      <c r="B331" s="1" t="n">
        <v>45300.51892361111</v>
      </c>
      <c r="C331" s="1" t="n">
        <v>45932</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27180-2025</t>
        </is>
      </c>
      <c r="B332" s="1" t="n">
        <v>45812.35736111111</v>
      </c>
      <c r="C332" s="1" t="n">
        <v>45932</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27215-2025</t>
        </is>
      </c>
      <c r="B333" s="1" t="n">
        <v>45812.41869212963</v>
      </c>
      <c r="C333" s="1" t="n">
        <v>45932</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27225-2025</t>
        </is>
      </c>
      <c r="B334" s="1" t="n">
        <v>45812.42856481481</v>
      </c>
      <c r="C334" s="1" t="n">
        <v>45932</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52441-2024</t>
        </is>
      </c>
      <c r="B335" s="1" t="n">
        <v>45609.48451388889</v>
      </c>
      <c r="C335" s="1" t="n">
        <v>45932</v>
      </c>
      <c r="D335" t="inlineStr">
        <is>
          <t>ÖREBRO LÄN</t>
        </is>
      </c>
      <c r="E335" t="inlineStr">
        <is>
          <t>ÖREBRO</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58611-2024</t>
        </is>
      </c>
      <c r="B336" s="1" t="n">
        <v>45635.55555555555</v>
      </c>
      <c r="C336" s="1" t="n">
        <v>45932</v>
      </c>
      <c r="D336" t="inlineStr">
        <is>
          <t>ÖREBRO LÄN</t>
        </is>
      </c>
      <c r="E336" t="inlineStr">
        <is>
          <t>ÖREBRO</t>
        </is>
      </c>
      <c r="F336" t="inlineStr">
        <is>
          <t>Sveaskog</t>
        </is>
      </c>
      <c r="G336" t="n">
        <v>0.3</v>
      </c>
      <c r="H336" t="n">
        <v>0</v>
      </c>
      <c r="I336" t="n">
        <v>0</v>
      </c>
      <c r="J336" t="n">
        <v>0</v>
      </c>
      <c r="K336" t="n">
        <v>0</v>
      </c>
      <c r="L336" t="n">
        <v>0</v>
      </c>
      <c r="M336" t="n">
        <v>0</v>
      </c>
      <c r="N336" t="n">
        <v>0</v>
      </c>
      <c r="O336" t="n">
        <v>0</v>
      </c>
      <c r="P336" t="n">
        <v>0</v>
      </c>
      <c r="Q336" t="n">
        <v>0</v>
      </c>
      <c r="R336" s="2" t="inlineStr"/>
    </row>
    <row r="337" ht="15" customHeight="1">
      <c r="A337" t="inlineStr">
        <is>
          <t>A 58277-2022</t>
        </is>
      </c>
      <c r="B337" s="1" t="n">
        <v>44901.48108796297</v>
      </c>
      <c r="C337" s="1" t="n">
        <v>45932</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42518-2021</t>
        </is>
      </c>
      <c r="B338" s="1" t="n">
        <v>44427.81496527778</v>
      </c>
      <c r="C338" s="1" t="n">
        <v>45932</v>
      </c>
      <c r="D338" t="inlineStr">
        <is>
          <t>ÖREBRO LÄN</t>
        </is>
      </c>
      <c r="E338" t="inlineStr">
        <is>
          <t>ÖREBRO</t>
        </is>
      </c>
      <c r="G338" t="n">
        <v>4.5</v>
      </c>
      <c r="H338" t="n">
        <v>0</v>
      </c>
      <c r="I338" t="n">
        <v>0</v>
      </c>
      <c r="J338" t="n">
        <v>0</v>
      </c>
      <c r="K338" t="n">
        <v>0</v>
      </c>
      <c r="L338" t="n">
        <v>0</v>
      </c>
      <c r="M338" t="n">
        <v>0</v>
      </c>
      <c r="N338" t="n">
        <v>0</v>
      </c>
      <c r="O338" t="n">
        <v>0</v>
      </c>
      <c r="P338" t="n">
        <v>0</v>
      </c>
      <c r="Q338" t="n">
        <v>0</v>
      </c>
      <c r="R338" s="2" t="inlineStr"/>
    </row>
    <row r="339" ht="15" customHeight="1">
      <c r="A339" t="inlineStr">
        <is>
          <t>A 27220-2025</t>
        </is>
      </c>
      <c r="B339" s="1" t="n">
        <v>45812.42293981482</v>
      </c>
      <c r="C339" s="1" t="n">
        <v>45932</v>
      </c>
      <c r="D339" t="inlineStr">
        <is>
          <t>ÖREBRO LÄN</t>
        </is>
      </c>
      <c r="E339" t="inlineStr">
        <is>
          <t>ÖREBRO</t>
        </is>
      </c>
      <c r="G339" t="n">
        <v>0.6</v>
      </c>
      <c r="H339" t="n">
        <v>0</v>
      </c>
      <c r="I339" t="n">
        <v>0</v>
      </c>
      <c r="J339" t="n">
        <v>0</v>
      </c>
      <c r="K339" t="n">
        <v>0</v>
      </c>
      <c r="L339" t="n">
        <v>0</v>
      </c>
      <c r="M339" t="n">
        <v>0</v>
      </c>
      <c r="N339" t="n">
        <v>0</v>
      </c>
      <c r="O339" t="n">
        <v>0</v>
      </c>
      <c r="P339" t="n">
        <v>0</v>
      </c>
      <c r="Q339" t="n">
        <v>0</v>
      </c>
      <c r="R339" s="2" t="inlineStr"/>
    </row>
    <row r="340" ht="15" customHeight="1">
      <c r="A340" t="inlineStr">
        <is>
          <t>A 14524-2025</t>
        </is>
      </c>
      <c r="B340" s="1" t="n">
        <v>45741.64815972222</v>
      </c>
      <c r="C340" s="1" t="n">
        <v>45932</v>
      </c>
      <c r="D340" t="inlineStr">
        <is>
          <t>ÖREBRO LÄN</t>
        </is>
      </c>
      <c r="E340" t="inlineStr">
        <is>
          <t>ÖREBRO</t>
        </is>
      </c>
      <c r="G340" t="n">
        <v>2.8</v>
      </c>
      <c r="H340" t="n">
        <v>0</v>
      </c>
      <c r="I340" t="n">
        <v>0</v>
      </c>
      <c r="J340" t="n">
        <v>0</v>
      </c>
      <c r="K340" t="n">
        <v>0</v>
      </c>
      <c r="L340" t="n">
        <v>0</v>
      </c>
      <c r="M340" t="n">
        <v>0</v>
      </c>
      <c r="N340" t="n">
        <v>0</v>
      </c>
      <c r="O340" t="n">
        <v>0</v>
      </c>
      <c r="P340" t="n">
        <v>0</v>
      </c>
      <c r="Q340" t="n">
        <v>0</v>
      </c>
      <c r="R340" s="2" t="inlineStr"/>
    </row>
    <row r="341" ht="15" customHeight="1">
      <c r="A341" t="inlineStr">
        <is>
          <t>A 15354-2024</t>
        </is>
      </c>
      <c r="B341" s="1" t="n">
        <v>45400.85319444445</v>
      </c>
      <c r="C341" s="1" t="n">
        <v>45932</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41543-2024</t>
        </is>
      </c>
      <c r="B342" s="1" t="n">
        <v>45560</v>
      </c>
      <c r="C342" s="1" t="n">
        <v>45932</v>
      </c>
      <c r="D342" t="inlineStr">
        <is>
          <t>ÖREBRO LÄN</t>
        </is>
      </c>
      <c r="E342" t="inlineStr">
        <is>
          <t>ÖREBRO</t>
        </is>
      </c>
      <c r="G342" t="n">
        <v>2.8</v>
      </c>
      <c r="H342" t="n">
        <v>0</v>
      </c>
      <c r="I342" t="n">
        <v>0</v>
      </c>
      <c r="J342" t="n">
        <v>0</v>
      </c>
      <c r="K342" t="n">
        <v>0</v>
      </c>
      <c r="L342" t="n">
        <v>0</v>
      </c>
      <c r="M342" t="n">
        <v>0</v>
      </c>
      <c r="N342" t="n">
        <v>0</v>
      </c>
      <c r="O342" t="n">
        <v>0</v>
      </c>
      <c r="P342" t="n">
        <v>0</v>
      </c>
      <c r="Q342" t="n">
        <v>0</v>
      </c>
      <c r="R342" s="2" t="inlineStr"/>
    </row>
    <row r="343" ht="15" customHeight="1">
      <c r="A343" t="inlineStr">
        <is>
          <t>A 38075-2022</t>
        </is>
      </c>
      <c r="B343" s="1" t="n">
        <v>44811</v>
      </c>
      <c r="C343" s="1" t="n">
        <v>45932</v>
      </c>
      <c r="D343" t="inlineStr">
        <is>
          <t>ÖREBRO LÄN</t>
        </is>
      </c>
      <c r="E343" t="inlineStr">
        <is>
          <t>ÖREBRO</t>
        </is>
      </c>
      <c r="G343" t="n">
        <v>0.2</v>
      </c>
      <c r="H343" t="n">
        <v>0</v>
      </c>
      <c r="I343" t="n">
        <v>0</v>
      </c>
      <c r="J343" t="n">
        <v>0</v>
      </c>
      <c r="K343" t="n">
        <v>0</v>
      </c>
      <c r="L343" t="n">
        <v>0</v>
      </c>
      <c r="M343" t="n">
        <v>0</v>
      </c>
      <c r="N343" t="n">
        <v>0</v>
      </c>
      <c r="O343" t="n">
        <v>0</v>
      </c>
      <c r="P343" t="n">
        <v>0</v>
      </c>
      <c r="Q343" t="n">
        <v>0</v>
      </c>
      <c r="R343" s="2" t="inlineStr"/>
    </row>
    <row r="344" ht="15" customHeight="1">
      <c r="A344" t="inlineStr">
        <is>
          <t>A 19831-2021</t>
        </is>
      </c>
      <c r="B344" s="1" t="n">
        <v>44313</v>
      </c>
      <c r="C344" s="1" t="n">
        <v>45932</v>
      </c>
      <c r="D344" t="inlineStr">
        <is>
          <t>ÖREBRO LÄN</t>
        </is>
      </c>
      <c r="E344" t="inlineStr">
        <is>
          <t>ÖREBRO</t>
        </is>
      </c>
      <c r="G344" t="n">
        <v>3.2</v>
      </c>
      <c r="H344" t="n">
        <v>0</v>
      </c>
      <c r="I344" t="n">
        <v>0</v>
      </c>
      <c r="J344" t="n">
        <v>0</v>
      </c>
      <c r="K344" t="n">
        <v>0</v>
      </c>
      <c r="L344" t="n">
        <v>0</v>
      </c>
      <c r="M344" t="n">
        <v>0</v>
      </c>
      <c r="N344" t="n">
        <v>0</v>
      </c>
      <c r="O344" t="n">
        <v>0</v>
      </c>
      <c r="P344" t="n">
        <v>0</v>
      </c>
      <c r="Q344" t="n">
        <v>0</v>
      </c>
      <c r="R344" s="2" t="inlineStr"/>
    </row>
    <row r="345" ht="15" customHeight="1">
      <c r="A345" t="inlineStr">
        <is>
          <t>A 5133-2024</t>
        </is>
      </c>
      <c r="B345" s="1" t="n">
        <v>45330</v>
      </c>
      <c r="C345" s="1" t="n">
        <v>45932</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58219-2024</t>
        </is>
      </c>
      <c r="B346" s="1" t="n">
        <v>45632</v>
      </c>
      <c r="C346" s="1" t="n">
        <v>45932</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71275-2021</t>
        </is>
      </c>
      <c r="B347" s="1" t="n">
        <v>44539</v>
      </c>
      <c r="C347" s="1" t="n">
        <v>45932</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71285-2021</t>
        </is>
      </c>
      <c r="B348" s="1" t="n">
        <v>44539.62236111111</v>
      </c>
      <c r="C348" s="1" t="n">
        <v>45932</v>
      </c>
      <c r="D348" t="inlineStr">
        <is>
          <t>ÖREBRO LÄN</t>
        </is>
      </c>
      <c r="E348" t="inlineStr">
        <is>
          <t>ÖREBRO</t>
        </is>
      </c>
      <c r="G348" t="n">
        <v>0.8</v>
      </c>
      <c r="H348" t="n">
        <v>0</v>
      </c>
      <c r="I348" t="n">
        <v>0</v>
      </c>
      <c r="J348" t="n">
        <v>0</v>
      </c>
      <c r="K348" t="n">
        <v>0</v>
      </c>
      <c r="L348" t="n">
        <v>0</v>
      </c>
      <c r="M348" t="n">
        <v>0</v>
      </c>
      <c r="N348" t="n">
        <v>0</v>
      </c>
      <c r="O348" t="n">
        <v>0</v>
      </c>
      <c r="P348" t="n">
        <v>0</v>
      </c>
      <c r="Q348" t="n">
        <v>0</v>
      </c>
      <c r="R348" s="2" t="inlineStr"/>
    </row>
    <row r="349" ht="15" customHeight="1">
      <c r="A349" t="inlineStr">
        <is>
          <t>A 2658-2023</t>
        </is>
      </c>
      <c r="B349" s="1" t="n">
        <v>44944</v>
      </c>
      <c r="C349" s="1" t="n">
        <v>45932</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66799-2020</t>
        </is>
      </c>
      <c r="B350" s="1" t="n">
        <v>44179</v>
      </c>
      <c r="C350" s="1" t="n">
        <v>45932</v>
      </c>
      <c r="D350" t="inlineStr">
        <is>
          <t>ÖREBRO LÄN</t>
        </is>
      </c>
      <c r="E350" t="inlineStr">
        <is>
          <t>ÖREBRO</t>
        </is>
      </c>
      <c r="G350" t="n">
        <v>5.2</v>
      </c>
      <c r="H350" t="n">
        <v>0</v>
      </c>
      <c r="I350" t="n">
        <v>0</v>
      </c>
      <c r="J350" t="n">
        <v>0</v>
      </c>
      <c r="K350" t="n">
        <v>0</v>
      </c>
      <c r="L350" t="n">
        <v>0</v>
      </c>
      <c r="M350" t="n">
        <v>0</v>
      </c>
      <c r="N350" t="n">
        <v>0</v>
      </c>
      <c r="O350" t="n">
        <v>0</v>
      </c>
      <c r="P350" t="n">
        <v>0</v>
      </c>
      <c r="Q350" t="n">
        <v>0</v>
      </c>
      <c r="R350" s="2" t="inlineStr"/>
    </row>
    <row r="351" ht="15" customHeight="1">
      <c r="A351" t="inlineStr">
        <is>
          <t>A 28120-2025</t>
        </is>
      </c>
      <c r="B351" s="1" t="n">
        <v>45818.30459490741</v>
      </c>
      <c r="C351" s="1" t="n">
        <v>45932</v>
      </c>
      <c r="D351" t="inlineStr">
        <is>
          <t>ÖREBRO LÄN</t>
        </is>
      </c>
      <c r="E351" t="inlineStr">
        <is>
          <t>ÖREBRO</t>
        </is>
      </c>
      <c r="G351" t="n">
        <v>1.5</v>
      </c>
      <c r="H351" t="n">
        <v>0</v>
      </c>
      <c r="I351" t="n">
        <v>0</v>
      </c>
      <c r="J351" t="n">
        <v>0</v>
      </c>
      <c r="K351" t="n">
        <v>0</v>
      </c>
      <c r="L351" t="n">
        <v>0</v>
      </c>
      <c r="M351" t="n">
        <v>0</v>
      </c>
      <c r="N351" t="n">
        <v>0</v>
      </c>
      <c r="O351" t="n">
        <v>0</v>
      </c>
      <c r="P351" t="n">
        <v>0</v>
      </c>
      <c r="Q351" t="n">
        <v>0</v>
      </c>
      <c r="R351" s="2" t="inlineStr"/>
    </row>
    <row r="352" ht="15" customHeight="1">
      <c r="A352" t="inlineStr">
        <is>
          <t>A 52477-2024</t>
        </is>
      </c>
      <c r="B352" s="1" t="n">
        <v>45609</v>
      </c>
      <c r="C352" s="1" t="n">
        <v>45932</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10368-2021</t>
        </is>
      </c>
      <c r="B353" s="1" t="n">
        <v>44257</v>
      </c>
      <c r="C353" s="1" t="n">
        <v>45932</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4284-2025</t>
        </is>
      </c>
      <c r="B354" s="1" t="n">
        <v>45685</v>
      </c>
      <c r="C354" s="1" t="n">
        <v>45932</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2771-2023</t>
        </is>
      </c>
      <c r="B355" s="1" t="n">
        <v>44944.64704861111</v>
      </c>
      <c r="C355" s="1" t="n">
        <v>45932</v>
      </c>
      <c r="D355" t="inlineStr">
        <is>
          <t>ÖREBRO LÄN</t>
        </is>
      </c>
      <c r="E355" t="inlineStr">
        <is>
          <t>ÖREBRO</t>
        </is>
      </c>
      <c r="G355" t="n">
        <v>15.4</v>
      </c>
      <c r="H355" t="n">
        <v>0</v>
      </c>
      <c r="I355" t="n">
        <v>0</v>
      </c>
      <c r="J355" t="n">
        <v>0</v>
      </c>
      <c r="K355" t="n">
        <v>0</v>
      </c>
      <c r="L355" t="n">
        <v>0</v>
      </c>
      <c r="M355" t="n">
        <v>0</v>
      </c>
      <c r="N355" t="n">
        <v>0</v>
      </c>
      <c r="O355" t="n">
        <v>0</v>
      </c>
      <c r="P355" t="n">
        <v>0</v>
      </c>
      <c r="Q355" t="n">
        <v>0</v>
      </c>
      <c r="R355" s="2" t="inlineStr"/>
    </row>
    <row r="356" ht="15" customHeight="1">
      <c r="A356" t="inlineStr">
        <is>
          <t>A 2076-2025</t>
        </is>
      </c>
      <c r="B356" s="1" t="n">
        <v>45672</v>
      </c>
      <c r="C356" s="1" t="n">
        <v>45932</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28938-2025</t>
        </is>
      </c>
      <c r="B357" s="1" t="n">
        <v>45820.70626157407</v>
      </c>
      <c r="C357" s="1" t="n">
        <v>45932</v>
      </c>
      <c r="D357" t="inlineStr">
        <is>
          <t>ÖREBRO LÄN</t>
        </is>
      </c>
      <c r="E357" t="inlineStr">
        <is>
          <t>ÖREBRO</t>
        </is>
      </c>
      <c r="G357" t="n">
        <v>1.9</v>
      </c>
      <c r="H357" t="n">
        <v>0</v>
      </c>
      <c r="I357" t="n">
        <v>0</v>
      </c>
      <c r="J357" t="n">
        <v>0</v>
      </c>
      <c r="K357" t="n">
        <v>0</v>
      </c>
      <c r="L357" t="n">
        <v>0</v>
      </c>
      <c r="M357" t="n">
        <v>0</v>
      </c>
      <c r="N357" t="n">
        <v>0</v>
      </c>
      <c r="O357" t="n">
        <v>0</v>
      </c>
      <c r="P357" t="n">
        <v>0</v>
      </c>
      <c r="Q357" t="n">
        <v>0</v>
      </c>
      <c r="R357" s="2" t="inlineStr"/>
    </row>
    <row r="358" ht="15" customHeight="1">
      <c r="A358" t="inlineStr">
        <is>
          <t>A 11382-2023</t>
        </is>
      </c>
      <c r="B358" s="1" t="n">
        <v>44993.45635416666</v>
      </c>
      <c r="C358" s="1" t="n">
        <v>45932</v>
      </c>
      <c r="D358" t="inlineStr">
        <is>
          <t>ÖREBRO LÄN</t>
        </is>
      </c>
      <c r="E358" t="inlineStr">
        <is>
          <t>ÖREBRO</t>
        </is>
      </c>
      <c r="G358" t="n">
        <v>3.3</v>
      </c>
      <c r="H358" t="n">
        <v>0</v>
      </c>
      <c r="I358" t="n">
        <v>0</v>
      </c>
      <c r="J358" t="n">
        <v>0</v>
      </c>
      <c r="K358" t="n">
        <v>0</v>
      </c>
      <c r="L358" t="n">
        <v>0</v>
      </c>
      <c r="M358" t="n">
        <v>0</v>
      </c>
      <c r="N358" t="n">
        <v>0</v>
      </c>
      <c r="O358" t="n">
        <v>0</v>
      </c>
      <c r="P358" t="n">
        <v>0</v>
      </c>
      <c r="Q358" t="n">
        <v>0</v>
      </c>
      <c r="R358" s="2" t="inlineStr"/>
    </row>
    <row r="359" ht="15" customHeight="1">
      <c r="A359" t="inlineStr">
        <is>
          <t>A 52016-2024</t>
        </is>
      </c>
      <c r="B359" s="1" t="n">
        <v>45607.81917824074</v>
      </c>
      <c r="C359" s="1" t="n">
        <v>45932</v>
      </c>
      <c r="D359" t="inlineStr">
        <is>
          <t>ÖREBRO LÄN</t>
        </is>
      </c>
      <c r="E359" t="inlineStr">
        <is>
          <t>ÖREBRO</t>
        </is>
      </c>
      <c r="G359" t="n">
        <v>1.9</v>
      </c>
      <c r="H359" t="n">
        <v>0</v>
      </c>
      <c r="I359" t="n">
        <v>0</v>
      </c>
      <c r="J359" t="n">
        <v>0</v>
      </c>
      <c r="K359" t="n">
        <v>0</v>
      </c>
      <c r="L359" t="n">
        <v>0</v>
      </c>
      <c r="M359" t="n">
        <v>0</v>
      </c>
      <c r="N359" t="n">
        <v>0</v>
      </c>
      <c r="O359" t="n">
        <v>0</v>
      </c>
      <c r="P359" t="n">
        <v>0</v>
      </c>
      <c r="Q359" t="n">
        <v>0</v>
      </c>
      <c r="R359" s="2" t="inlineStr"/>
    </row>
    <row r="360" ht="15" customHeight="1">
      <c r="A360" t="inlineStr">
        <is>
          <t>A 27112-2023</t>
        </is>
      </c>
      <c r="B360" s="1" t="n">
        <v>45096</v>
      </c>
      <c r="C360" s="1" t="n">
        <v>45932</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16739-2022</t>
        </is>
      </c>
      <c r="B361" s="1" t="n">
        <v>44673</v>
      </c>
      <c r="C361" s="1" t="n">
        <v>45932</v>
      </c>
      <c r="D361" t="inlineStr">
        <is>
          <t>ÖREBRO LÄN</t>
        </is>
      </c>
      <c r="E361" t="inlineStr">
        <is>
          <t>ÖREBRO</t>
        </is>
      </c>
      <c r="G361" t="n">
        <v>4.7</v>
      </c>
      <c r="H361" t="n">
        <v>0</v>
      </c>
      <c r="I361" t="n">
        <v>0</v>
      </c>
      <c r="J361" t="n">
        <v>0</v>
      </c>
      <c r="K361" t="n">
        <v>0</v>
      </c>
      <c r="L361" t="n">
        <v>0</v>
      </c>
      <c r="M361" t="n">
        <v>0</v>
      </c>
      <c r="N361" t="n">
        <v>0</v>
      </c>
      <c r="O361" t="n">
        <v>0</v>
      </c>
      <c r="P361" t="n">
        <v>0</v>
      </c>
      <c r="Q361" t="n">
        <v>0</v>
      </c>
      <c r="R361" s="2" t="inlineStr"/>
    </row>
    <row r="362" ht="15" customHeight="1">
      <c r="A362" t="inlineStr">
        <is>
          <t>A 8331-2021</t>
        </is>
      </c>
      <c r="B362" s="1" t="n">
        <v>44244</v>
      </c>
      <c r="C362" s="1" t="n">
        <v>45932</v>
      </c>
      <c r="D362" t="inlineStr">
        <is>
          <t>ÖREBRO LÄN</t>
        </is>
      </c>
      <c r="E362" t="inlineStr">
        <is>
          <t>ÖREBRO</t>
        </is>
      </c>
      <c r="G362" t="n">
        <v>9.1</v>
      </c>
      <c r="H362" t="n">
        <v>0</v>
      </c>
      <c r="I362" t="n">
        <v>0</v>
      </c>
      <c r="J362" t="n">
        <v>0</v>
      </c>
      <c r="K362" t="n">
        <v>0</v>
      </c>
      <c r="L362" t="n">
        <v>0</v>
      </c>
      <c r="M362" t="n">
        <v>0</v>
      </c>
      <c r="N362" t="n">
        <v>0</v>
      </c>
      <c r="O362" t="n">
        <v>0</v>
      </c>
      <c r="P362" t="n">
        <v>0</v>
      </c>
      <c r="Q362" t="n">
        <v>0</v>
      </c>
      <c r="R362" s="2" t="inlineStr"/>
    </row>
    <row r="363" ht="15" customHeight="1">
      <c r="A363" t="inlineStr">
        <is>
          <t>A 28920-2025</t>
        </is>
      </c>
      <c r="B363" s="1" t="n">
        <v>45820.66532407407</v>
      </c>
      <c r="C363" s="1" t="n">
        <v>45932</v>
      </c>
      <c r="D363" t="inlineStr">
        <is>
          <t>ÖREBRO LÄN</t>
        </is>
      </c>
      <c r="E363" t="inlineStr">
        <is>
          <t>ÖREBRO</t>
        </is>
      </c>
      <c r="G363" t="n">
        <v>3</v>
      </c>
      <c r="H363" t="n">
        <v>0</v>
      </c>
      <c r="I363" t="n">
        <v>0</v>
      </c>
      <c r="J363" t="n">
        <v>0</v>
      </c>
      <c r="K363" t="n">
        <v>0</v>
      </c>
      <c r="L363" t="n">
        <v>0</v>
      </c>
      <c r="M363" t="n">
        <v>0</v>
      </c>
      <c r="N363" t="n">
        <v>0</v>
      </c>
      <c r="O363" t="n">
        <v>0</v>
      </c>
      <c r="P363" t="n">
        <v>0</v>
      </c>
      <c r="Q363" t="n">
        <v>0</v>
      </c>
      <c r="R363" s="2" t="inlineStr"/>
    </row>
    <row r="364" ht="15" customHeight="1">
      <c r="A364" t="inlineStr">
        <is>
          <t>A 29339-2025</t>
        </is>
      </c>
      <c r="B364" s="1" t="n">
        <v>45824.5044212963</v>
      </c>
      <c r="C364" s="1" t="n">
        <v>45932</v>
      </c>
      <c r="D364" t="inlineStr">
        <is>
          <t>ÖREBRO LÄN</t>
        </is>
      </c>
      <c r="E364" t="inlineStr">
        <is>
          <t>ÖREBRO</t>
        </is>
      </c>
      <c r="G364" t="n">
        <v>4.3</v>
      </c>
      <c r="H364" t="n">
        <v>0</v>
      </c>
      <c r="I364" t="n">
        <v>0</v>
      </c>
      <c r="J364" t="n">
        <v>0</v>
      </c>
      <c r="K364" t="n">
        <v>0</v>
      </c>
      <c r="L364" t="n">
        <v>0</v>
      </c>
      <c r="M364" t="n">
        <v>0</v>
      </c>
      <c r="N364" t="n">
        <v>0</v>
      </c>
      <c r="O364" t="n">
        <v>0</v>
      </c>
      <c r="P364" t="n">
        <v>0</v>
      </c>
      <c r="Q364" t="n">
        <v>0</v>
      </c>
      <c r="R364" s="2" t="inlineStr"/>
    </row>
    <row r="365" ht="15" customHeight="1">
      <c r="A365" t="inlineStr">
        <is>
          <t>A 60059-2023</t>
        </is>
      </c>
      <c r="B365" s="1" t="n">
        <v>45258.38157407408</v>
      </c>
      <c r="C365" s="1" t="n">
        <v>45932</v>
      </c>
      <c r="D365" t="inlineStr">
        <is>
          <t>ÖREBRO LÄN</t>
        </is>
      </c>
      <c r="E365" t="inlineStr">
        <is>
          <t>ÖREBRO</t>
        </is>
      </c>
      <c r="G365" t="n">
        <v>4</v>
      </c>
      <c r="H365" t="n">
        <v>0</v>
      </c>
      <c r="I365" t="n">
        <v>0</v>
      </c>
      <c r="J365" t="n">
        <v>0</v>
      </c>
      <c r="K365" t="n">
        <v>0</v>
      </c>
      <c r="L365" t="n">
        <v>0</v>
      </c>
      <c r="M365" t="n">
        <v>0</v>
      </c>
      <c r="N365" t="n">
        <v>0</v>
      </c>
      <c r="O365" t="n">
        <v>0</v>
      </c>
      <c r="P365" t="n">
        <v>0</v>
      </c>
      <c r="Q365" t="n">
        <v>0</v>
      </c>
      <c r="R365" s="2" t="inlineStr"/>
    </row>
    <row r="366" ht="15" customHeight="1">
      <c r="A366" t="inlineStr">
        <is>
          <t>A 26858-2024</t>
        </is>
      </c>
      <c r="B366" s="1" t="n">
        <v>45470</v>
      </c>
      <c r="C366" s="1" t="n">
        <v>45932</v>
      </c>
      <c r="D366" t="inlineStr">
        <is>
          <t>ÖREBRO LÄN</t>
        </is>
      </c>
      <c r="E366" t="inlineStr">
        <is>
          <t>ÖREBRO</t>
        </is>
      </c>
      <c r="G366" t="n">
        <v>2.3</v>
      </c>
      <c r="H366" t="n">
        <v>0</v>
      </c>
      <c r="I366" t="n">
        <v>0</v>
      </c>
      <c r="J366" t="n">
        <v>0</v>
      </c>
      <c r="K366" t="n">
        <v>0</v>
      </c>
      <c r="L366" t="n">
        <v>0</v>
      </c>
      <c r="M366" t="n">
        <v>0</v>
      </c>
      <c r="N366" t="n">
        <v>0</v>
      </c>
      <c r="O366" t="n">
        <v>0</v>
      </c>
      <c r="P366" t="n">
        <v>0</v>
      </c>
      <c r="Q366" t="n">
        <v>0</v>
      </c>
      <c r="R366" s="2" t="inlineStr"/>
    </row>
    <row r="367" ht="15" customHeight="1">
      <c r="A367" t="inlineStr">
        <is>
          <t>A 13592-2023</t>
        </is>
      </c>
      <c r="B367" s="1" t="n">
        <v>45006.56870370371</v>
      </c>
      <c r="C367" s="1" t="n">
        <v>45932</v>
      </c>
      <c r="D367" t="inlineStr">
        <is>
          <t>ÖREBRO LÄN</t>
        </is>
      </c>
      <c r="E367" t="inlineStr">
        <is>
          <t>ÖREBRO</t>
        </is>
      </c>
      <c r="G367" t="n">
        <v>2</v>
      </c>
      <c r="H367" t="n">
        <v>0</v>
      </c>
      <c r="I367" t="n">
        <v>0</v>
      </c>
      <c r="J367" t="n">
        <v>0</v>
      </c>
      <c r="K367" t="n">
        <v>0</v>
      </c>
      <c r="L367" t="n">
        <v>0</v>
      </c>
      <c r="M367" t="n">
        <v>0</v>
      </c>
      <c r="N367" t="n">
        <v>0</v>
      </c>
      <c r="O367" t="n">
        <v>0</v>
      </c>
      <c r="P367" t="n">
        <v>0</v>
      </c>
      <c r="Q367" t="n">
        <v>0</v>
      </c>
      <c r="R367" s="2" t="inlineStr"/>
    </row>
    <row r="368" ht="15" customHeight="1">
      <c r="A368" t="inlineStr">
        <is>
          <t>A 29701-2025</t>
        </is>
      </c>
      <c r="B368" s="1" t="n">
        <v>45825.55261574074</v>
      </c>
      <c r="C368" s="1" t="n">
        <v>45932</v>
      </c>
      <c r="D368" t="inlineStr">
        <is>
          <t>ÖREBRO LÄN</t>
        </is>
      </c>
      <c r="E368" t="inlineStr">
        <is>
          <t>ÖREBRO</t>
        </is>
      </c>
      <c r="G368" t="n">
        <v>5.8</v>
      </c>
      <c r="H368" t="n">
        <v>0</v>
      </c>
      <c r="I368" t="n">
        <v>0</v>
      </c>
      <c r="J368" t="n">
        <v>0</v>
      </c>
      <c r="K368" t="n">
        <v>0</v>
      </c>
      <c r="L368" t="n">
        <v>0</v>
      </c>
      <c r="M368" t="n">
        <v>0</v>
      </c>
      <c r="N368" t="n">
        <v>0</v>
      </c>
      <c r="O368" t="n">
        <v>0</v>
      </c>
      <c r="P368" t="n">
        <v>0</v>
      </c>
      <c r="Q368" t="n">
        <v>0</v>
      </c>
      <c r="R368" s="2" t="inlineStr"/>
    </row>
    <row r="369" ht="15" customHeight="1">
      <c r="A369" t="inlineStr">
        <is>
          <t>A 40656-2023</t>
        </is>
      </c>
      <c r="B369" s="1" t="n">
        <v>45170</v>
      </c>
      <c r="C369" s="1" t="n">
        <v>45932</v>
      </c>
      <c r="D369" t="inlineStr">
        <is>
          <t>ÖREBRO LÄN</t>
        </is>
      </c>
      <c r="E369" t="inlineStr">
        <is>
          <t>ÖREBRO</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12245-2023</t>
        </is>
      </c>
      <c r="B370" s="1" t="n">
        <v>44998.64402777778</v>
      </c>
      <c r="C370" s="1" t="n">
        <v>45932</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29286-2025</t>
        </is>
      </c>
      <c r="B371" s="1" t="n">
        <v>45824.43502314815</v>
      </c>
      <c r="C371" s="1" t="n">
        <v>45932</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58216-2024</t>
        </is>
      </c>
      <c r="B372" s="1" t="n">
        <v>45632</v>
      </c>
      <c r="C372" s="1" t="n">
        <v>45932</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3763-2025</t>
        </is>
      </c>
      <c r="B373" s="1" t="n">
        <v>45681</v>
      </c>
      <c r="C373" s="1" t="n">
        <v>45932</v>
      </c>
      <c r="D373" t="inlineStr">
        <is>
          <t>ÖREBRO LÄN</t>
        </is>
      </c>
      <c r="E373" t="inlineStr">
        <is>
          <t>ÖREBRO</t>
        </is>
      </c>
      <c r="G373" t="n">
        <v>10.1</v>
      </c>
      <c r="H373" t="n">
        <v>0</v>
      </c>
      <c r="I373" t="n">
        <v>0</v>
      </c>
      <c r="J373" t="n">
        <v>0</v>
      </c>
      <c r="K373" t="n">
        <v>0</v>
      </c>
      <c r="L373" t="n">
        <v>0</v>
      </c>
      <c r="M373" t="n">
        <v>0</v>
      </c>
      <c r="N373" t="n">
        <v>0</v>
      </c>
      <c r="O373" t="n">
        <v>0</v>
      </c>
      <c r="P373" t="n">
        <v>0</v>
      </c>
      <c r="Q373" t="n">
        <v>0</v>
      </c>
      <c r="R373" s="2" t="inlineStr"/>
    </row>
    <row r="374" ht="15" customHeight="1">
      <c r="A374" t="inlineStr">
        <is>
          <t>A 5324-2024</t>
        </is>
      </c>
      <c r="B374" s="1" t="n">
        <v>45331</v>
      </c>
      <c r="C374" s="1" t="n">
        <v>45932</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8008-2024</t>
        </is>
      </c>
      <c r="B375" s="1" t="n">
        <v>45350.6794212963</v>
      </c>
      <c r="C375" s="1" t="n">
        <v>45932</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18550-2025</t>
        </is>
      </c>
      <c r="B376" s="1" t="n">
        <v>45763.43422453704</v>
      </c>
      <c r="C376" s="1" t="n">
        <v>45932</v>
      </c>
      <c r="D376" t="inlineStr">
        <is>
          <t>ÖREBRO LÄN</t>
        </is>
      </c>
      <c r="E376" t="inlineStr">
        <is>
          <t>ÖREBRO</t>
        </is>
      </c>
      <c r="G376" t="n">
        <v>11.5</v>
      </c>
      <c r="H376" t="n">
        <v>0</v>
      </c>
      <c r="I376" t="n">
        <v>0</v>
      </c>
      <c r="J376" t="n">
        <v>0</v>
      </c>
      <c r="K376" t="n">
        <v>0</v>
      </c>
      <c r="L376" t="n">
        <v>0</v>
      </c>
      <c r="M376" t="n">
        <v>0</v>
      </c>
      <c r="N376" t="n">
        <v>0</v>
      </c>
      <c r="O376" t="n">
        <v>0</v>
      </c>
      <c r="P376" t="n">
        <v>0</v>
      </c>
      <c r="Q376" t="n">
        <v>0</v>
      </c>
      <c r="R376" s="2" t="inlineStr"/>
    </row>
    <row r="377" ht="15" customHeight="1">
      <c r="A377" t="inlineStr">
        <is>
          <t>A 30550-2025</t>
        </is>
      </c>
      <c r="B377" s="1" t="n">
        <v>45831.38224537037</v>
      </c>
      <c r="C377" s="1" t="n">
        <v>45932</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46834-2022</t>
        </is>
      </c>
      <c r="B378" s="1" t="n">
        <v>44851</v>
      </c>
      <c r="C378" s="1" t="n">
        <v>45932</v>
      </c>
      <c r="D378" t="inlineStr">
        <is>
          <t>ÖREBRO LÄN</t>
        </is>
      </c>
      <c r="E378" t="inlineStr">
        <is>
          <t>ÖREBRO</t>
        </is>
      </c>
      <c r="G378" t="n">
        <v>1.6</v>
      </c>
      <c r="H378" t="n">
        <v>0</v>
      </c>
      <c r="I378" t="n">
        <v>0</v>
      </c>
      <c r="J378" t="n">
        <v>0</v>
      </c>
      <c r="K378" t="n">
        <v>0</v>
      </c>
      <c r="L378" t="n">
        <v>0</v>
      </c>
      <c r="M378" t="n">
        <v>0</v>
      </c>
      <c r="N378" t="n">
        <v>0</v>
      </c>
      <c r="O378" t="n">
        <v>0</v>
      </c>
      <c r="P378" t="n">
        <v>0</v>
      </c>
      <c r="Q378" t="n">
        <v>0</v>
      </c>
      <c r="R378" s="2" t="inlineStr"/>
    </row>
    <row r="379" ht="15" customHeight="1">
      <c r="A379" t="inlineStr">
        <is>
          <t>A 30731-2025</t>
        </is>
      </c>
      <c r="B379" s="1" t="n">
        <v>45831.57280092593</v>
      </c>
      <c r="C379" s="1" t="n">
        <v>45932</v>
      </c>
      <c r="D379" t="inlineStr">
        <is>
          <t>ÖREBRO LÄN</t>
        </is>
      </c>
      <c r="E379" t="inlineStr">
        <is>
          <t>ÖREBRO</t>
        </is>
      </c>
      <c r="G379" t="n">
        <v>1</v>
      </c>
      <c r="H379" t="n">
        <v>0</v>
      </c>
      <c r="I379" t="n">
        <v>0</v>
      </c>
      <c r="J379" t="n">
        <v>0</v>
      </c>
      <c r="K379" t="n">
        <v>0</v>
      </c>
      <c r="L379" t="n">
        <v>0</v>
      </c>
      <c r="M379" t="n">
        <v>0</v>
      </c>
      <c r="N379" t="n">
        <v>0</v>
      </c>
      <c r="O379" t="n">
        <v>0</v>
      </c>
      <c r="P379" t="n">
        <v>0</v>
      </c>
      <c r="Q379" t="n">
        <v>0</v>
      </c>
      <c r="R379" s="2" t="inlineStr"/>
    </row>
    <row r="380" ht="15" customHeight="1">
      <c r="A380" t="inlineStr">
        <is>
          <t>A 18360-2024</t>
        </is>
      </c>
      <c r="B380" s="1" t="n">
        <v>45422</v>
      </c>
      <c r="C380" s="1" t="n">
        <v>45932</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3789-2023</t>
        </is>
      </c>
      <c r="B381" s="1" t="n">
        <v>44951</v>
      </c>
      <c r="C381" s="1" t="n">
        <v>45932</v>
      </c>
      <c r="D381" t="inlineStr">
        <is>
          <t>ÖREBRO LÄN</t>
        </is>
      </c>
      <c r="E381" t="inlineStr">
        <is>
          <t>ÖREBRO</t>
        </is>
      </c>
      <c r="G381" t="n">
        <v>7.5</v>
      </c>
      <c r="H381" t="n">
        <v>0</v>
      </c>
      <c r="I381" t="n">
        <v>0</v>
      </c>
      <c r="J381" t="n">
        <v>0</v>
      </c>
      <c r="K381" t="n">
        <v>0</v>
      </c>
      <c r="L381" t="n">
        <v>0</v>
      </c>
      <c r="M381" t="n">
        <v>0</v>
      </c>
      <c r="N381" t="n">
        <v>0</v>
      </c>
      <c r="O381" t="n">
        <v>0</v>
      </c>
      <c r="P381" t="n">
        <v>0</v>
      </c>
      <c r="Q381" t="n">
        <v>0</v>
      </c>
      <c r="R381" s="2" t="inlineStr"/>
    </row>
    <row r="382" ht="15" customHeight="1">
      <c r="A382" t="inlineStr">
        <is>
          <t>A 16676-2025</t>
        </is>
      </c>
      <c r="B382" s="1" t="n">
        <v>45754.44658564815</v>
      </c>
      <c r="C382" s="1" t="n">
        <v>45932</v>
      </c>
      <c r="D382" t="inlineStr">
        <is>
          <t>ÖREBRO LÄN</t>
        </is>
      </c>
      <c r="E382" t="inlineStr">
        <is>
          <t>ÖREBRO</t>
        </is>
      </c>
      <c r="G382" t="n">
        <v>5.8</v>
      </c>
      <c r="H382" t="n">
        <v>0</v>
      </c>
      <c r="I382" t="n">
        <v>0</v>
      </c>
      <c r="J382" t="n">
        <v>0</v>
      </c>
      <c r="K382" t="n">
        <v>0</v>
      </c>
      <c r="L382" t="n">
        <v>0</v>
      </c>
      <c r="M382" t="n">
        <v>0</v>
      </c>
      <c r="N382" t="n">
        <v>0</v>
      </c>
      <c r="O382" t="n">
        <v>0</v>
      </c>
      <c r="P382" t="n">
        <v>0</v>
      </c>
      <c r="Q382" t="n">
        <v>0</v>
      </c>
      <c r="R382" s="2" t="inlineStr"/>
    </row>
    <row r="383" ht="15" customHeight="1">
      <c r="A383" t="inlineStr">
        <is>
          <t>A 5357-2024</t>
        </is>
      </c>
      <c r="B383" s="1" t="n">
        <v>45331</v>
      </c>
      <c r="C383" s="1" t="n">
        <v>45932</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57243-2022</t>
        </is>
      </c>
      <c r="B384" s="1" t="n">
        <v>44895.71835648148</v>
      </c>
      <c r="C384" s="1" t="n">
        <v>45932</v>
      </c>
      <c r="D384" t="inlineStr">
        <is>
          <t>ÖREBRO LÄN</t>
        </is>
      </c>
      <c r="E384" t="inlineStr">
        <is>
          <t>ÖREBRO</t>
        </is>
      </c>
      <c r="G384" t="n">
        <v>6</v>
      </c>
      <c r="H384" t="n">
        <v>0</v>
      </c>
      <c r="I384" t="n">
        <v>0</v>
      </c>
      <c r="J384" t="n">
        <v>0</v>
      </c>
      <c r="K384" t="n">
        <v>0</v>
      </c>
      <c r="L384" t="n">
        <v>0</v>
      </c>
      <c r="M384" t="n">
        <v>0</v>
      </c>
      <c r="N384" t="n">
        <v>0</v>
      </c>
      <c r="O384" t="n">
        <v>0</v>
      </c>
      <c r="P384" t="n">
        <v>0</v>
      </c>
      <c r="Q384" t="n">
        <v>0</v>
      </c>
      <c r="R384" s="2" t="inlineStr"/>
    </row>
    <row r="385" ht="15" customHeight="1">
      <c r="A385" t="inlineStr">
        <is>
          <t>A 40051-2024</t>
        </is>
      </c>
      <c r="B385" s="1" t="n">
        <v>45553</v>
      </c>
      <c r="C385" s="1" t="n">
        <v>45932</v>
      </c>
      <c r="D385" t="inlineStr">
        <is>
          <t>ÖREBRO LÄN</t>
        </is>
      </c>
      <c r="E385" t="inlineStr">
        <is>
          <t>ÖREBRO</t>
        </is>
      </c>
      <c r="G385" t="n">
        <v>3.5</v>
      </c>
      <c r="H385" t="n">
        <v>0</v>
      </c>
      <c r="I385" t="n">
        <v>0</v>
      </c>
      <c r="J385" t="n">
        <v>0</v>
      </c>
      <c r="K385" t="n">
        <v>0</v>
      </c>
      <c r="L385" t="n">
        <v>0</v>
      </c>
      <c r="M385" t="n">
        <v>0</v>
      </c>
      <c r="N385" t="n">
        <v>0</v>
      </c>
      <c r="O385" t="n">
        <v>0</v>
      </c>
      <c r="P385" t="n">
        <v>0</v>
      </c>
      <c r="Q385" t="n">
        <v>0</v>
      </c>
      <c r="R385" s="2" t="inlineStr"/>
    </row>
    <row r="386" ht="15" customHeight="1">
      <c r="A386" t="inlineStr">
        <is>
          <t>A 57869-2024</t>
        </is>
      </c>
      <c r="B386" s="1" t="n">
        <v>45631.44207175926</v>
      </c>
      <c r="C386" s="1" t="n">
        <v>45932</v>
      </c>
      <c r="D386" t="inlineStr">
        <is>
          <t>ÖREBRO LÄN</t>
        </is>
      </c>
      <c r="E386" t="inlineStr">
        <is>
          <t>ÖREBRO</t>
        </is>
      </c>
      <c r="G386" t="n">
        <v>1.4</v>
      </c>
      <c r="H386" t="n">
        <v>0</v>
      </c>
      <c r="I386" t="n">
        <v>0</v>
      </c>
      <c r="J386" t="n">
        <v>0</v>
      </c>
      <c r="K386" t="n">
        <v>0</v>
      </c>
      <c r="L386" t="n">
        <v>0</v>
      </c>
      <c r="M386" t="n">
        <v>0</v>
      </c>
      <c r="N386" t="n">
        <v>0</v>
      </c>
      <c r="O386" t="n">
        <v>0</v>
      </c>
      <c r="P386" t="n">
        <v>0</v>
      </c>
      <c r="Q386" t="n">
        <v>0</v>
      </c>
      <c r="R386" s="2" t="inlineStr"/>
    </row>
    <row r="387" ht="15" customHeight="1">
      <c r="A387" t="inlineStr">
        <is>
          <t>A 50446-2023</t>
        </is>
      </c>
      <c r="B387" s="1" t="n">
        <v>45216</v>
      </c>
      <c r="C387" s="1" t="n">
        <v>45932</v>
      </c>
      <c r="D387" t="inlineStr">
        <is>
          <t>ÖREBRO LÄN</t>
        </is>
      </c>
      <c r="E387" t="inlineStr">
        <is>
          <t>ÖREBRO</t>
        </is>
      </c>
      <c r="F387" t="inlineStr">
        <is>
          <t>Övriga Aktiebolag</t>
        </is>
      </c>
      <c r="G387" t="n">
        <v>2.8</v>
      </c>
      <c r="H387" t="n">
        <v>0</v>
      </c>
      <c r="I387" t="n">
        <v>0</v>
      </c>
      <c r="J387" t="n">
        <v>0</v>
      </c>
      <c r="K387" t="n">
        <v>0</v>
      </c>
      <c r="L387" t="n">
        <v>0</v>
      </c>
      <c r="M387" t="n">
        <v>0</v>
      </c>
      <c r="N387" t="n">
        <v>0</v>
      </c>
      <c r="O387" t="n">
        <v>0</v>
      </c>
      <c r="P387" t="n">
        <v>0</v>
      </c>
      <c r="Q387" t="n">
        <v>0</v>
      </c>
      <c r="R387" s="2" t="inlineStr"/>
    </row>
    <row r="388" ht="15" customHeight="1">
      <c r="A388" t="inlineStr">
        <is>
          <t>A 50450-2023</t>
        </is>
      </c>
      <c r="B388" s="1" t="n">
        <v>45216.73533564815</v>
      </c>
      <c r="C388" s="1" t="n">
        <v>45932</v>
      </c>
      <c r="D388" t="inlineStr">
        <is>
          <t>ÖREBRO LÄN</t>
        </is>
      </c>
      <c r="E388" t="inlineStr">
        <is>
          <t>ÖREBRO</t>
        </is>
      </c>
      <c r="F388" t="inlineStr">
        <is>
          <t>Övriga Aktiebolag</t>
        </is>
      </c>
      <c r="G388" t="n">
        <v>0.8</v>
      </c>
      <c r="H388" t="n">
        <v>0</v>
      </c>
      <c r="I388" t="n">
        <v>0</v>
      </c>
      <c r="J388" t="n">
        <v>0</v>
      </c>
      <c r="K388" t="n">
        <v>0</v>
      </c>
      <c r="L388" t="n">
        <v>0</v>
      </c>
      <c r="M388" t="n">
        <v>0</v>
      </c>
      <c r="N388" t="n">
        <v>0</v>
      </c>
      <c r="O388" t="n">
        <v>0</v>
      </c>
      <c r="P388" t="n">
        <v>0</v>
      </c>
      <c r="Q388" t="n">
        <v>0</v>
      </c>
      <c r="R388" s="2" t="inlineStr"/>
    </row>
    <row r="389" ht="15" customHeight="1">
      <c r="A389" t="inlineStr">
        <is>
          <t>A 11565-2023</t>
        </is>
      </c>
      <c r="B389" s="1" t="n">
        <v>44994</v>
      </c>
      <c r="C389" s="1" t="n">
        <v>45932</v>
      </c>
      <c r="D389" t="inlineStr">
        <is>
          <t>ÖREBRO LÄN</t>
        </is>
      </c>
      <c r="E389" t="inlineStr">
        <is>
          <t>ÖREBRO</t>
        </is>
      </c>
      <c r="G389" t="n">
        <v>4.7</v>
      </c>
      <c r="H389" t="n">
        <v>0</v>
      </c>
      <c r="I389" t="n">
        <v>0</v>
      </c>
      <c r="J389" t="n">
        <v>0</v>
      </c>
      <c r="K389" t="n">
        <v>0</v>
      </c>
      <c r="L389" t="n">
        <v>0</v>
      </c>
      <c r="M389" t="n">
        <v>0</v>
      </c>
      <c r="N389" t="n">
        <v>0</v>
      </c>
      <c r="O389" t="n">
        <v>0</v>
      </c>
      <c r="P389" t="n">
        <v>0</v>
      </c>
      <c r="Q389" t="n">
        <v>0</v>
      </c>
      <c r="R389" s="2" t="inlineStr"/>
    </row>
    <row r="390" ht="15" customHeight="1">
      <c r="A390" t="inlineStr">
        <is>
          <t>A 26117-2021</t>
        </is>
      </c>
      <c r="B390" s="1" t="n">
        <v>44345</v>
      </c>
      <c r="C390" s="1" t="n">
        <v>45932</v>
      </c>
      <c r="D390" t="inlineStr">
        <is>
          <t>ÖREBRO LÄN</t>
        </is>
      </c>
      <c r="E390" t="inlineStr">
        <is>
          <t>ÖREBRO</t>
        </is>
      </c>
      <c r="G390" t="n">
        <v>8.1</v>
      </c>
      <c r="H390" t="n">
        <v>0</v>
      </c>
      <c r="I390" t="n">
        <v>0</v>
      </c>
      <c r="J390" t="n">
        <v>0</v>
      </c>
      <c r="K390" t="n">
        <v>0</v>
      </c>
      <c r="L390" t="n">
        <v>0</v>
      </c>
      <c r="M390" t="n">
        <v>0</v>
      </c>
      <c r="N390" t="n">
        <v>0</v>
      </c>
      <c r="O390" t="n">
        <v>0</v>
      </c>
      <c r="P390" t="n">
        <v>0</v>
      </c>
      <c r="Q390" t="n">
        <v>0</v>
      </c>
      <c r="R390" s="2" t="inlineStr"/>
    </row>
    <row r="391" ht="15" customHeight="1">
      <c r="A391" t="inlineStr">
        <is>
          <t>A 31232-2025</t>
        </is>
      </c>
      <c r="B391" s="1" t="n">
        <v>45832.8252199074</v>
      </c>
      <c r="C391" s="1" t="n">
        <v>45932</v>
      </c>
      <c r="D391" t="inlineStr">
        <is>
          <t>ÖREBRO LÄN</t>
        </is>
      </c>
      <c r="E391" t="inlineStr">
        <is>
          <t>ÖREBRO</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30951-2025</t>
        </is>
      </c>
      <c r="B392" s="1" t="n">
        <v>45832.43225694444</v>
      </c>
      <c r="C392" s="1" t="n">
        <v>45932</v>
      </c>
      <c r="D392" t="inlineStr">
        <is>
          <t>ÖREBRO LÄN</t>
        </is>
      </c>
      <c r="E392" t="inlineStr">
        <is>
          <t>ÖREBRO</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1647-2024</t>
        </is>
      </c>
      <c r="B393" s="1" t="n">
        <v>45306</v>
      </c>
      <c r="C393" s="1" t="n">
        <v>45932</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31233-2025</t>
        </is>
      </c>
      <c r="B394" s="1" t="n">
        <v>45832.83341435185</v>
      </c>
      <c r="C394" s="1" t="n">
        <v>45932</v>
      </c>
      <c r="D394" t="inlineStr">
        <is>
          <t>ÖREBRO LÄN</t>
        </is>
      </c>
      <c r="E394" t="inlineStr">
        <is>
          <t>ÖREBRO</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31906-2023</t>
        </is>
      </c>
      <c r="B395" s="1" t="n">
        <v>45118.8353125</v>
      </c>
      <c r="C395" s="1" t="n">
        <v>45932</v>
      </c>
      <c r="D395" t="inlineStr">
        <is>
          <t>ÖREBRO LÄN</t>
        </is>
      </c>
      <c r="E395" t="inlineStr">
        <is>
          <t>ÖREBRO</t>
        </is>
      </c>
      <c r="G395" t="n">
        <v>9</v>
      </c>
      <c r="H395" t="n">
        <v>0</v>
      </c>
      <c r="I395" t="n">
        <v>0</v>
      </c>
      <c r="J395" t="n">
        <v>0</v>
      </c>
      <c r="K395" t="n">
        <v>0</v>
      </c>
      <c r="L395" t="n">
        <v>0</v>
      </c>
      <c r="M395" t="n">
        <v>0</v>
      </c>
      <c r="N395" t="n">
        <v>0</v>
      </c>
      <c r="O395" t="n">
        <v>0</v>
      </c>
      <c r="P395" t="n">
        <v>0</v>
      </c>
      <c r="Q395" t="n">
        <v>0</v>
      </c>
      <c r="R395" s="2" t="inlineStr"/>
    </row>
    <row r="396" ht="15" customHeight="1">
      <c r="A396" t="inlineStr">
        <is>
          <t>A 31237-2025</t>
        </is>
      </c>
      <c r="B396" s="1" t="n">
        <v>45832.84313657408</v>
      </c>
      <c r="C396" s="1" t="n">
        <v>45932</v>
      </c>
      <c r="D396" t="inlineStr">
        <is>
          <t>ÖREBRO LÄN</t>
        </is>
      </c>
      <c r="E396" t="inlineStr">
        <is>
          <t>ÖREBRO</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31326-2024</t>
        </is>
      </c>
      <c r="B397" s="1" t="n">
        <v>45504.5934375</v>
      </c>
      <c r="C397" s="1" t="n">
        <v>45932</v>
      </c>
      <c r="D397" t="inlineStr">
        <is>
          <t>ÖREBRO LÄN</t>
        </is>
      </c>
      <c r="E397" t="inlineStr">
        <is>
          <t>ÖREBRO</t>
        </is>
      </c>
      <c r="G397" t="n">
        <v>6.4</v>
      </c>
      <c r="H397" t="n">
        <v>0</v>
      </c>
      <c r="I397" t="n">
        <v>0</v>
      </c>
      <c r="J397" t="n">
        <v>0</v>
      </c>
      <c r="K397" t="n">
        <v>0</v>
      </c>
      <c r="L397" t="n">
        <v>0</v>
      </c>
      <c r="M397" t="n">
        <v>0</v>
      </c>
      <c r="N397" t="n">
        <v>0</v>
      </c>
      <c r="O397" t="n">
        <v>0</v>
      </c>
      <c r="P397" t="n">
        <v>0</v>
      </c>
      <c r="Q397" t="n">
        <v>0</v>
      </c>
      <c r="R397" s="2" t="inlineStr"/>
    </row>
    <row r="398" ht="15" customHeight="1">
      <c r="A398" t="inlineStr">
        <is>
          <t>A 31066-2025</t>
        </is>
      </c>
      <c r="B398" s="1" t="n">
        <v>45832</v>
      </c>
      <c r="C398" s="1" t="n">
        <v>45932</v>
      </c>
      <c r="D398" t="inlineStr">
        <is>
          <t>ÖREBRO LÄN</t>
        </is>
      </c>
      <c r="E398" t="inlineStr">
        <is>
          <t>ÖREBRO</t>
        </is>
      </c>
      <c r="G398" t="n">
        <v>11.1</v>
      </c>
      <c r="H398" t="n">
        <v>0</v>
      </c>
      <c r="I398" t="n">
        <v>0</v>
      </c>
      <c r="J398" t="n">
        <v>0</v>
      </c>
      <c r="K398" t="n">
        <v>0</v>
      </c>
      <c r="L398" t="n">
        <v>0</v>
      </c>
      <c r="M398" t="n">
        <v>0</v>
      </c>
      <c r="N398" t="n">
        <v>0</v>
      </c>
      <c r="O398" t="n">
        <v>0</v>
      </c>
      <c r="P398" t="n">
        <v>0</v>
      </c>
      <c r="Q398" t="n">
        <v>0</v>
      </c>
      <c r="R398" s="2" t="inlineStr"/>
    </row>
    <row r="399" ht="15" customHeight="1">
      <c r="A399" t="inlineStr">
        <is>
          <t>A 70719-2021</t>
        </is>
      </c>
      <c r="B399" s="1" t="n">
        <v>44537</v>
      </c>
      <c r="C399" s="1" t="n">
        <v>45932</v>
      </c>
      <c r="D399" t="inlineStr">
        <is>
          <t>ÖREBRO LÄN</t>
        </is>
      </c>
      <c r="E399" t="inlineStr">
        <is>
          <t>ÖREBRO</t>
        </is>
      </c>
      <c r="G399" t="n">
        <v>4.3</v>
      </c>
      <c r="H399" t="n">
        <v>0</v>
      </c>
      <c r="I399" t="n">
        <v>0</v>
      </c>
      <c r="J399" t="n">
        <v>0</v>
      </c>
      <c r="K399" t="n">
        <v>0</v>
      </c>
      <c r="L399" t="n">
        <v>0</v>
      </c>
      <c r="M399" t="n">
        <v>0</v>
      </c>
      <c r="N399" t="n">
        <v>0</v>
      </c>
      <c r="O399" t="n">
        <v>0</v>
      </c>
      <c r="P399" t="n">
        <v>0</v>
      </c>
      <c r="Q399" t="n">
        <v>0</v>
      </c>
      <c r="R399" s="2" t="inlineStr"/>
    </row>
    <row r="400" ht="15" customHeight="1">
      <c r="A400" t="inlineStr">
        <is>
          <t>A 6879-2024</t>
        </is>
      </c>
      <c r="B400" s="1" t="n">
        <v>45342.85280092592</v>
      </c>
      <c r="C400" s="1" t="n">
        <v>45932</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58032-2023</t>
        </is>
      </c>
      <c r="B401" s="1" t="n">
        <v>45247</v>
      </c>
      <c r="C401" s="1" t="n">
        <v>45932</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58035-2023</t>
        </is>
      </c>
      <c r="B402" s="1" t="n">
        <v>45247</v>
      </c>
      <c r="C402" s="1" t="n">
        <v>45932</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16694-2025</t>
        </is>
      </c>
      <c r="B403" s="1" t="n">
        <v>45754.46480324074</v>
      </c>
      <c r="C403" s="1" t="n">
        <v>45932</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30374-2023</t>
        </is>
      </c>
      <c r="B404" s="1" t="n">
        <v>45111</v>
      </c>
      <c r="C404" s="1" t="n">
        <v>45932</v>
      </c>
      <c r="D404" t="inlineStr">
        <is>
          <t>ÖREBRO LÄN</t>
        </is>
      </c>
      <c r="E404" t="inlineStr">
        <is>
          <t>ÖREBRO</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38898-2023</t>
        </is>
      </c>
      <c r="B405" s="1" t="n">
        <v>45163</v>
      </c>
      <c r="C405" s="1" t="n">
        <v>45932</v>
      </c>
      <c r="D405" t="inlineStr">
        <is>
          <t>ÖREBRO LÄN</t>
        </is>
      </c>
      <c r="E405" t="inlineStr">
        <is>
          <t>ÖREBRO</t>
        </is>
      </c>
      <c r="G405" t="n">
        <v>5.1</v>
      </c>
      <c r="H405" t="n">
        <v>0</v>
      </c>
      <c r="I405" t="n">
        <v>0</v>
      </c>
      <c r="J405" t="n">
        <v>0</v>
      </c>
      <c r="K405" t="n">
        <v>0</v>
      </c>
      <c r="L405" t="n">
        <v>0</v>
      </c>
      <c r="M405" t="n">
        <v>0</v>
      </c>
      <c r="N405" t="n">
        <v>0</v>
      </c>
      <c r="O405" t="n">
        <v>0</v>
      </c>
      <c r="P405" t="n">
        <v>0</v>
      </c>
      <c r="Q405" t="n">
        <v>0</v>
      </c>
      <c r="R405" s="2" t="inlineStr"/>
    </row>
    <row r="406" ht="15" customHeight="1">
      <c r="A406" t="inlineStr">
        <is>
          <t>A 5764-2022</t>
        </is>
      </c>
      <c r="B406" s="1" t="n">
        <v>44596</v>
      </c>
      <c r="C406" s="1" t="n">
        <v>45932</v>
      </c>
      <c r="D406" t="inlineStr">
        <is>
          <t>ÖREBRO LÄN</t>
        </is>
      </c>
      <c r="E406" t="inlineStr">
        <is>
          <t>ÖREBRO</t>
        </is>
      </c>
      <c r="G406" t="n">
        <v>3.5</v>
      </c>
      <c r="H406" t="n">
        <v>0</v>
      </c>
      <c r="I406" t="n">
        <v>0</v>
      </c>
      <c r="J406" t="n">
        <v>0</v>
      </c>
      <c r="K406" t="n">
        <v>0</v>
      </c>
      <c r="L406" t="n">
        <v>0</v>
      </c>
      <c r="M406" t="n">
        <v>0</v>
      </c>
      <c r="N406" t="n">
        <v>0</v>
      </c>
      <c r="O406" t="n">
        <v>0</v>
      </c>
      <c r="P406" t="n">
        <v>0</v>
      </c>
      <c r="Q406" t="n">
        <v>0</v>
      </c>
      <c r="R406" s="2" t="inlineStr"/>
    </row>
    <row r="407" ht="15" customHeight="1">
      <c r="A407" t="inlineStr">
        <is>
          <t>A 21036-2024</t>
        </is>
      </c>
      <c r="B407" s="1" t="n">
        <v>45439.65954861111</v>
      </c>
      <c r="C407" s="1" t="n">
        <v>45932</v>
      </c>
      <c r="D407" t="inlineStr">
        <is>
          <t>ÖREBRO LÄN</t>
        </is>
      </c>
      <c r="E407" t="inlineStr">
        <is>
          <t>ÖREBRO</t>
        </is>
      </c>
      <c r="F407" t="inlineStr">
        <is>
          <t>Övriga Aktiebolag</t>
        </is>
      </c>
      <c r="G407" t="n">
        <v>5.7</v>
      </c>
      <c r="H407" t="n">
        <v>0</v>
      </c>
      <c r="I407" t="n">
        <v>0</v>
      </c>
      <c r="J407" t="n">
        <v>0</v>
      </c>
      <c r="K407" t="n">
        <v>0</v>
      </c>
      <c r="L407" t="n">
        <v>0</v>
      </c>
      <c r="M407" t="n">
        <v>0</v>
      </c>
      <c r="N407" t="n">
        <v>0</v>
      </c>
      <c r="O407" t="n">
        <v>0</v>
      </c>
      <c r="P407" t="n">
        <v>0</v>
      </c>
      <c r="Q407" t="n">
        <v>0</v>
      </c>
      <c r="R407" s="2" t="inlineStr"/>
    </row>
    <row r="408" ht="15" customHeight="1">
      <c r="A408" t="inlineStr">
        <is>
          <t>A 32188-2025</t>
        </is>
      </c>
      <c r="B408" s="1" t="n">
        <v>45835.56965277778</v>
      </c>
      <c r="C408" s="1" t="n">
        <v>45932</v>
      </c>
      <c r="D408" t="inlineStr">
        <is>
          <t>ÖREBRO LÄN</t>
        </is>
      </c>
      <c r="E408" t="inlineStr">
        <is>
          <t>ÖREBRO</t>
        </is>
      </c>
      <c r="G408" t="n">
        <v>2.9</v>
      </c>
      <c r="H408" t="n">
        <v>0</v>
      </c>
      <c r="I408" t="n">
        <v>0</v>
      </c>
      <c r="J408" t="n">
        <v>0</v>
      </c>
      <c r="K408" t="n">
        <v>0</v>
      </c>
      <c r="L408" t="n">
        <v>0</v>
      </c>
      <c r="M408" t="n">
        <v>0</v>
      </c>
      <c r="N408" t="n">
        <v>0</v>
      </c>
      <c r="O408" t="n">
        <v>0</v>
      </c>
      <c r="P408" t="n">
        <v>0</v>
      </c>
      <c r="Q408" t="n">
        <v>0</v>
      </c>
      <c r="R408" s="2" t="inlineStr"/>
    </row>
    <row r="409" ht="15" customHeight="1">
      <c r="A409" t="inlineStr">
        <is>
          <t>A 32195-2025</t>
        </is>
      </c>
      <c r="B409" s="1" t="n">
        <v>45835.57407407407</v>
      </c>
      <c r="C409" s="1" t="n">
        <v>45932</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6387-2021</t>
        </is>
      </c>
      <c r="B410" s="1" t="n">
        <v>44235</v>
      </c>
      <c r="C410" s="1" t="n">
        <v>45932</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7506-2025</t>
        </is>
      </c>
      <c r="B411" s="1" t="n">
        <v>45705</v>
      </c>
      <c r="C411" s="1" t="n">
        <v>45932</v>
      </c>
      <c r="D411" t="inlineStr">
        <is>
          <t>ÖREBRO LÄN</t>
        </is>
      </c>
      <c r="E411" t="inlineStr">
        <is>
          <t>ÖREBRO</t>
        </is>
      </c>
      <c r="G411" t="n">
        <v>0.5</v>
      </c>
      <c r="H411" t="n">
        <v>0</v>
      </c>
      <c r="I411" t="n">
        <v>0</v>
      </c>
      <c r="J411" t="n">
        <v>0</v>
      </c>
      <c r="K411" t="n">
        <v>0</v>
      </c>
      <c r="L411" t="n">
        <v>0</v>
      </c>
      <c r="M411" t="n">
        <v>0</v>
      </c>
      <c r="N411" t="n">
        <v>0</v>
      </c>
      <c r="O411" t="n">
        <v>0</v>
      </c>
      <c r="P411" t="n">
        <v>0</v>
      </c>
      <c r="Q411" t="n">
        <v>0</v>
      </c>
      <c r="R411" s="2" t="inlineStr"/>
    </row>
    <row r="412" ht="15" customHeight="1">
      <c r="A412" t="inlineStr">
        <is>
          <t>A 41678-2024</t>
        </is>
      </c>
      <c r="B412" s="1" t="n">
        <v>45560</v>
      </c>
      <c r="C412" s="1" t="n">
        <v>45932</v>
      </c>
      <c r="D412" t="inlineStr">
        <is>
          <t>ÖREBRO LÄN</t>
        </is>
      </c>
      <c r="E412" t="inlineStr">
        <is>
          <t>ÖREBRO</t>
        </is>
      </c>
      <c r="G412" t="n">
        <v>11.3</v>
      </c>
      <c r="H412" t="n">
        <v>0</v>
      </c>
      <c r="I412" t="n">
        <v>0</v>
      </c>
      <c r="J412" t="n">
        <v>0</v>
      </c>
      <c r="K412" t="n">
        <v>0</v>
      </c>
      <c r="L412" t="n">
        <v>0</v>
      </c>
      <c r="M412" t="n">
        <v>0</v>
      </c>
      <c r="N412" t="n">
        <v>0</v>
      </c>
      <c r="O412" t="n">
        <v>0</v>
      </c>
      <c r="P412" t="n">
        <v>0</v>
      </c>
      <c r="Q412" t="n">
        <v>0</v>
      </c>
      <c r="R412" s="2" t="inlineStr"/>
    </row>
    <row r="413" ht="15" customHeight="1">
      <c r="A413" t="inlineStr">
        <is>
          <t>A 32218-2025</t>
        </is>
      </c>
      <c r="B413" s="1" t="n">
        <v>45835.58880787037</v>
      </c>
      <c r="C413" s="1" t="n">
        <v>45932</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32904-2025</t>
        </is>
      </c>
      <c r="B414" s="1" t="n">
        <v>45839</v>
      </c>
      <c r="C414" s="1" t="n">
        <v>45932</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8332-2021</t>
        </is>
      </c>
      <c r="B415" s="1" t="n">
        <v>44244</v>
      </c>
      <c r="C415" s="1" t="n">
        <v>45932</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1492-2022</t>
        </is>
      </c>
      <c r="B416" s="1" t="n">
        <v>44573</v>
      </c>
      <c r="C416" s="1" t="n">
        <v>45932</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32426-2025</t>
        </is>
      </c>
      <c r="B417" s="1" t="n">
        <v>45838.36179398148</v>
      </c>
      <c r="C417" s="1" t="n">
        <v>45932</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13418-2024</t>
        </is>
      </c>
      <c r="B418" s="1" t="n">
        <v>45387.46482638889</v>
      </c>
      <c r="C418" s="1" t="n">
        <v>45932</v>
      </c>
      <c r="D418" t="inlineStr">
        <is>
          <t>ÖREBRO LÄN</t>
        </is>
      </c>
      <c r="E418" t="inlineStr">
        <is>
          <t>ÖREBRO</t>
        </is>
      </c>
      <c r="G418" t="n">
        <v>4.2</v>
      </c>
      <c r="H418" t="n">
        <v>0</v>
      </c>
      <c r="I418" t="n">
        <v>0</v>
      </c>
      <c r="J418" t="n">
        <v>0</v>
      </c>
      <c r="K418" t="n">
        <v>0</v>
      </c>
      <c r="L418" t="n">
        <v>0</v>
      </c>
      <c r="M418" t="n">
        <v>0</v>
      </c>
      <c r="N418" t="n">
        <v>0</v>
      </c>
      <c r="O418" t="n">
        <v>0</v>
      </c>
      <c r="P418" t="n">
        <v>0</v>
      </c>
      <c r="Q418" t="n">
        <v>0</v>
      </c>
      <c r="R418" s="2" t="inlineStr"/>
    </row>
    <row r="419" ht="15" customHeight="1">
      <c r="A419" t="inlineStr">
        <is>
          <t>A 33191-2025</t>
        </is>
      </c>
      <c r="B419" s="1" t="n">
        <v>45840.6003587963</v>
      </c>
      <c r="C419" s="1" t="n">
        <v>45932</v>
      </c>
      <c r="D419" t="inlineStr">
        <is>
          <t>ÖREBRO LÄN</t>
        </is>
      </c>
      <c r="E419" t="inlineStr">
        <is>
          <t>ÖREBRO</t>
        </is>
      </c>
      <c r="G419" t="n">
        <v>2.6</v>
      </c>
      <c r="H419" t="n">
        <v>0</v>
      </c>
      <c r="I419" t="n">
        <v>0</v>
      </c>
      <c r="J419" t="n">
        <v>0</v>
      </c>
      <c r="K419" t="n">
        <v>0</v>
      </c>
      <c r="L419" t="n">
        <v>0</v>
      </c>
      <c r="M419" t="n">
        <v>0</v>
      </c>
      <c r="N419" t="n">
        <v>0</v>
      </c>
      <c r="O419" t="n">
        <v>0</v>
      </c>
      <c r="P419" t="n">
        <v>0</v>
      </c>
      <c r="Q419" t="n">
        <v>0</v>
      </c>
      <c r="R419" s="2" t="inlineStr"/>
    </row>
    <row r="420" ht="15" customHeight="1">
      <c r="A420" t="inlineStr">
        <is>
          <t>A 31240-2023</t>
        </is>
      </c>
      <c r="B420" s="1" t="n">
        <v>45114</v>
      </c>
      <c r="C420" s="1" t="n">
        <v>45932</v>
      </c>
      <c r="D420" t="inlineStr">
        <is>
          <t>ÖREBRO LÄN</t>
        </is>
      </c>
      <c r="E420" t="inlineStr">
        <is>
          <t>ÖREBRO</t>
        </is>
      </c>
      <c r="F420" t="inlineStr">
        <is>
          <t>Allmännings- och besparingsskogar</t>
        </is>
      </c>
      <c r="G420" t="n">
        <v>6.2</v>
      </c>
      <c r="H420" t="n">
        <v>0</v>
      </c>
      <c r="I420" t="n">
        <v>0</v>
      </c>
      <c r="J420" t="n">
        <v>0</v>
      </c>
      <c r="K420" t="n">
        <v>0</v>
      </c>
      <c r="L420" t="n">
        <v>0</v>
      </c>
      <c r="M420" t="n">
        <v>0</v>
      </c>
      <c r="N420" t="n">
        <v>0</v>
      </c>
      <c r="O420" t="n">
        <v>0</v>
      </c>
      <c r="P420" t="n">
        <v>0</v>
      </c>
      <c r="Q420" t="n">
        <v>0</v>
      </c>
      <c r="R420" s="2" t="inlineStr"/>
    </row>
    <row r="421" ht="15" customHeight="1">
      <c r="A421" t="inlineStr">
        <is>
          <t>A 5946-2021</t>
        </is>
      </c>
      <c r="B421" s="1" t="n">
        <v>44230</v>
      </c>
      <c r="C421" s="1" t="n">
        <v>45932</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58615-2024</t>
        </is>
      </c>
      <c r="B422" s="1" t="n">
        <v>45635.5587037037</v>
      </c>
      <c r="C422" s="1" t="n">
        <v>45932</v>
      </c>
      <c r="D422" t="inlineStr">
        <is>
          <t>ÖREBRO LÄN</t>
        </is>
      </c>
      <c r="E422" t="inlineStr">
        <is>
          <t>ÖREBRO</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58620-2024</t>
        </is>
      </c>
      <c r="B423" s="1" t="n">
        <v>45635.56246527778</v>
      </c>
      <c r="C423" s="1" t="n">
        <v>45932</v>
      </c>
      <c r="D423" t="inlineStr">
        <is>
          <t>ÖREBRO LÄN</t>
        </is>
      </c>
      <c r="E423" t="inlineStr">
        <is>
          <t>ÖREBRO</t>
        </is>
      </c>
      <c r="F423" t="inlineStr">
        <is>
          <t>Sveaskog</t>
        </is>
      </c>
      <c r="G423" t="n">
        <v>4.5</v>
      </c>
      <c r="H423" t="n">
        <v>0</v>
      </c>
      <c r="I423" t="n">
        <v>0</v>
      </c>
      <c r="J423" t="n">
        <v>0</v>
      </c>
      <c r="K423" t="n">
        <v>0</v>
      </c>
      <c r="L423" t="n">
        <v>0</v>
      </c>
      <c r="M423" t="n">
        <v>0</v>
      </c>
      <c r="N423" t="n">
        <v>0</v>
      </c>
      <c r="O423" t="n">
        <v>0</v>
      </c>
      <c r="P423" t="n">
        <v>0</v>
      </c>
      <c r="Q423" t="n">
        <v>0</v>
      </c>
      <c r="R423" s="2" t="inlineStr"/>
    </row>
    <row r="424" ht="15" customHeight="1">
      <c r="A424" t="inlineStr">
        <is>
          <t>A 14717-2024</t>
        </is>
      </c>
      <c r="B424" s="1" t="n">
        <v>45397.55104166667</v>
      </c>
      <c r="C424" s="1" t="n">
        <v>45932</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1014-2024</t>
        </is>
      </c>
      <c r="B425" s="1" t="n">
        <v>45301</v>
      </c>
      <c r="C425" s="1" t="n">
        <v>45932</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30472-2022</t>
        </is>
      </c>
      <c r="B426" s="1" t="n">
        <v>44761.70467592592</v>
      </c>
      <c r="C426" s="1" t="n">
        <v>45932</v>
      </c>
      <c r="D426" t="inlineStr">
        <is>
          <t>ÖREBRO LÄN</t>
        </is>
      </c>
      <c r="E426" t="inlineStr">
        <is>
          <t>ÖREBRO</t>
        </is>
      </c>
      <c r="F426" t="inlineStr">
        <is>
          <t>Övriga Aktiebolag</t>
        </is>
      </c>
      <c r="G426" t="n">
        <v>5.6</v>
      </c>
      <c r="H426" t="n">
        <v>0</v>
      </c>
      <c r="I426" t="n">
        <v>0</v>
      </c>
      <c r="J426" t="n">
        <v>0</v>
      </c>
      <c r="K426" t="n">
        <v>0</v>
      </c>
      <c r="L426" t="n">
        <v>0</v>
      </c>
      <c r="M426" t="n">
        <v>0</v>
      </c>
      <c r="N426" t="n">
        <v>0</v>
      </c>
      <c r="O426" t="n">
        <v>0</v>
      </c>
      <c r="P426" t="n">
        <v>0</v>
      </c>
      <c r="Q426" t="n">
        <v>0</v>
      </c>
      <c r="R426" s="2" t="inlineStr"/>
    </row>
    <row r="427" ht="15" customHeight="1">
      <c r="A427" t="inlineStr">
        <is>
          <t>A 34056-2023</t>
        </is>
      </c>
      <c r="B427" s="1" t="n">
        <v>45135</v>
      </c>
      <c r="C427" s="1" t="n">
        <v>45932</v>
      </c>
      <c r="D427" t="inlineStr">
        <is>
          <t>ÖREBRO LÄN</t>
        </is>
      </c>
      <c r="E427" t="inlineStr">
        <is>
          <t>ÖREBRO</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33019-2025</t>
        </is>
      </c>
      <c r="B428" s="1" t="n">
        <v>45840</v>
      </c>
      <c r="C428" s="1" t="n">
        <v>45932</v>
      </c>
      <c r="D428" t="inlineStr">
        <is>
          <t>ÖREBRO LÄN</t>
        </is>
      </c>
      <c r="E428" t="inlineStr">
        <is>
          <t>ÖREBRO</t>
        </is>
      </c>
      <c r="G428" t="n">
        <v>4.2</v>
      </c>
      <c r="H428" t="n">
        <v>0</v>
      </c>
      <c r="I428" t="n">
        <v>0</v>
      </c>
      <c r="J428" t="n">
        <v>0</v>
      </c>
      <c r="K428" t="n">
        <v>0</v>
      </c>
      <c r="L428" t="n">
        <v>0</v>
      </c>
      <c r="M428" t="n">
        <v>0</v>
      </c>
      <c r="N428" t="n">
        <v>0</v>
      </c>
      <c r="O428" t="n">
        <v>0</v>
      </c>
      <c r="P428" t="n">
        <v>0</v>
      </c>
      <c r="Q428" t="n">
        <v>0</v>
      </c>
      <c r="R428" s="2" t="inlineStr"/>
    </row>
    <row r="429" ht="15" customHeight="1">
      <c r="A429" t="inlineStr">
        <is>
          <t>A 43612-2022</t>
        </is>
      </c>
      <c r="B429" s="1" t="n">
        <v>44837</v>
      </c>
      <c r="C429" s="1" t="n">
        <v>45932</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51373-2023</t>
        </is>
      </c>
      <c r="B430" s="1" t="n">
        <v>45213</v>
      </c>
      <c r="C430" s="1" t="n">
        <v>45932</v>
      </c>
      <c r="D430" t="inlineStr">
        <is>
          <t>ÖREBRO LÄN</t>
        </is>
      </c>
      <c r="E430" t="inlineStr">
        <is>
          <t>ÖREBRO</t>
        </is>
      </c>
      <c r="G430" t="n">
        <v>5.9</v>
      </c>
      <c r="H430" t="n">
        <v>0</v>
      </c>
      <c r="I430" t="n">
        <v>0</v>
      </c>
      <c r="J430" t="n">
        <v>0</v>
      </c>
      <c r="K430" t="n">
        <v>0</v>
      </c>
      <c r="L430" t="n">
        <v>0</v>
      </c>
      <c r="M430" t="n">
        <v>0</v>
      </c>
      <c r="N430" t="n">
        <v>0</v>
      </c>
      <c r="O430" t="n">
        <v>0</v>
      </c>
      <c r="P430" t="n">
        <v>0</v>
      </c>
      <c r="Q430" t="n">
        <v>0</v>
      </c>
      <c r="R430" s="2" t="inlineStr"/>
    </row>
    <row r="431" ht="15" customHeight="1">
      <c r="A431" t="inlineStr">
        <is>
          <t>A 35843-2022</t>
        </is>
      </c>
      <c r="B431" s="1" t="n">
        <v>44802</v>
      </c>
      <c r="C431" s="1" t="n">
        <v>45932</v>
      </c>
      <c r="D431" t="inlineStr">
        <is>
          <t>ÖREBRO LÄN</t>
        </is>
      </c>
      <c r="E431" t="inlineStr">
        <is>
          <t>ÖREBRO</t>
        </is>
      </c>
      <c r="G431" t="n">
        <v>2.4</v>
      </c>
      <c r="H431" t="n">
        <v>0</v>
      </c>
      <c r="I431" t="n">
        <v>0</v>
      </c>
      <c r="J431" t="n">
        <v>0</v>
      </c>
      <c r="K431" t="n">
        <v>0</v>
      </c>
      <c r="L431" t="n">
        <v>0</v>
      </c>
      <c r="M431" t="n">
        <v>0</v>
      </c>
      <c r="N431" t="n">
        <v>0</v>
      </c>
      <c r="O431" t="n">
        <v>0</v>
      </c>
      <c r="P431" t="n">
        <v>0</v>
      </c>
      <c r="Q431" t="n">
        <v>0</v>
      </c>
      <c r="R431" s="2" t="inlineStr"/>
    </row>
    <row r="432" ht="15" customHeight="1">
      <c r="A432" t="inlineStr">
        <is>
          <t>A 13599-2025</t>
        </is>
      </c>
      <c r="B432" s="1" t="n">
        <v>45736.60597222222</v>
      </c>
      <c r="C432" s="1" t="n">
        <v>45932</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20146-2024</t>
        </is>
      </c>
      <c r="B433" s="1" t="n">
        <v>45434.57641203704</v>
      </c>
      <c r="C433" s="1" t="n">
        <v>45932</v>
      </c>
      <c r="D433" t="inlineStr">
        <is>
          <t>ÖREBRO LÄN</t>
        </is>
      </c>
      <c r="E433" t="inlineStr">
        <is>
          <t>ÖREBRO</t>
        </is>
      </c>
      <c r="G433" t="n">
        <v>0.5</v>
      </c>
      <c r="H433" t="n">
        <v>0</v>
      </c>
      <c r="I433" t="n">
        <v>0</v>
      </c>
      <c r="J433" t="n">
        <v>0</v>
      </c>
      <c r="K433" t="n">
        <v>0</v>
      </c>
      <c r="L433" t="n">
        <v>0</v>
      </c>
      <c r="M433" t="n">
        <v>0</v>
      </c>
      <c r="N433" t="n">
        <v>0</v>
      </c>
      <c r="O433" t="n">
        <v>0</v>
      </c>
      <c r="P433" t="n">
        <v>0</v>
      </c>
      <c r="Q433" t="n">
        <v>0</v>
      </c>
      <c r="R433" s="2" t="inlineStr"/>
    </row>
    <row r="434" ht="15" customHeight="1">
      <c r="A434" t="inlineStr">
        <is>
          <t>A 37968-2024</t>
        </is>
      </c>
      <c r="B434" s="1" t="n">
        <v>45544</v>
      </c>
      <c r="C434" s="1" t="n">
        <v>45932</v>
      </c>
      <c r="D434" t="inlineStr">
        <is>
          <t>ÖREBRO LÄN</t>
        </is>
      </c>
      <c r="E434" t="inlineStr">
        <is>
          <t>ÖREBRO</t>
        </is>
      </c>
      <c r="G434" t="n">
        <v>2</v>
      </c>
      <c r="H434" t="n">
        <v>0</v>
      </c>
      <c r="I434" t="n">
        <v>0</v>
      </c>
      <c r="J434" t="n">
        <v>0</v>
      </c>
      <c r="K434" t="n">
        <v>0</v>
      </c>
      <c r="L434" t="n">
        <v>0</v>
      </c>
      <c r="M434" t="n">
        <v>0</v>
      </c>
      <c r="N434" t="n">
        <v>0</v>
      </c>
      <c r="O434" t="n">
        <v>0</v>
      </c>
      <c r="P434" t="n">
        <v>0</v>
      </c>
      <c r="Q434" t="n">
        <v>0</v>
      </c>
      <c r="R434" s="2" t="inlineStr"/>
    </row>
    <row r="435" ht="15" customHeight="1">
      <c r="A435" t="inlineStr">
        <is>
          <t>A 10937-2024</t>
        </is>
      </c>
      <c r="B435" s="1" t="n">
        <v>45370.44461805555</v>
      </c>
      <c r="C435" s="1" t="n">
        <v>45932</v>
      </c>
      <c r="D435" t="inlineStr">
        <is>
          <t>ÖREBRO LÄN</t>
        </is>
      </c>
      <c r="E435" t="inlineStr">
        <is>
          <t>ÖREBRO</t>
        </is>
      </c>
      <c r="G435" t="n">
        <v>4.3</v>
      </c>
      <c r="H435" t="n">
        <v>0</v>
      </c>
      <c r="I435" t="n">
        <v>0</v>
      </c>
      <c r="J435" t="n">
        <v>0</v>
      </c>
      <c r="K435" t="n">
        <v>0</v>
      </c>
      <c r="L435" t="n">
        <v>0</v>
      </c>
      <c r="M435" t="n">
        <v>0</v>
      </c>
      <c r="N435" t="n">
        <v>0</v>
      </c>
      <c r="O435" t="n">
        <v>0</v>
      </c>
      <c r="P435" t="n">
        <v>0</v>
      </c>
      <c r="Q435" t="n">
        <v>0</v>
      </c>
      <c r="R435" s="2" t="inlineStr"/>
    </row>
    <row r="436" ht="15" customHeight="1">
      <c r="A436" t="inlineStr">
        <is>
          <t>A 20115-2024</t>
        </is>
      </c>
      <c r="B436" s="1" t="n">
        <v>45434</v>
      </c>
      <c r="C436" s="1" t="n">
        <v>45932</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16936-2023</t>
        </is>
      </c>
      <c r="B437" s="1" t="n">
        <v>45033.63005787037</v>
      </c>
      <c r="C437" s="1" t="n">
        <v>45932</v>
      </c>
      <c r="D437" t="inlineStr">
        <is>
          <t>ÖREBRO LÄN</t>
        </is>
      </c>
      <c r="E437" t="inlineStr">
        <is>
          <t>ÖREBRO</t>
        </is>
      </c>
      <c r="G437" t="n">
        <v>2</v>
      </c>
      <c r="H437" t="n">
        <v>0</v>
      </c>
      <c r="I437" t="n">
        <v>0</v>
      </c>
      <c r="J437" t="n">
        <v>0</v>
      </c>
      <c r="K437" t="n">
        <v>0</v>
      </c>
      <c r="L437" t="n">
        <v>0</v>
      </c>
      <c r="M437" t="n">
        <v>0</v>
      </c>
      <c r="N437" t="n">
        <v>0</v>
      </c>
      <c r="O437" t="n">
        <v>0</v>
      </c>
      <c r="P437" t="n">
        <v>0</v>
      </c>
      <c r="Q437" t="n">
        <v>0</v>
      </c>
      <c r="R437" s="2" t="inlineStr"/>
    </row>
    <row r="438" ht="15" customHeight="1">
      <c r="A438" t="inlineStr">
        <is>
          <t>A 40588-2021</t>
        </is>
      </c>
      <c r="B438" s="1" t="n">
        <v>44420</v>
      </c>
      <c r="C438" s="1" t="n">
        <v>45932</v>
      </c>
      <c r="D438" t="inlineStr">
        <is>
          <t>ÖREBRO LÄN</t>
        </is>
      </c>
      <c r="E438" t="inlineStr">
        <is>
          <t>ÖREBRO</t>
        </is>
      </c>
      <c r="G438" t="n">
        <v>1.1</v>
      </c>
      <c r="H438" t="n">
        <v>0</v>
      </c>
      <c r="I438" t="n">
        <v>0</v>
      </c>
      <c r="J438" t="n">
        <v>0</v>
      </c>
      <c r="K438" t="n">
        <v>0</v>
      </c>
      <c r="L438" t="n">
        <v>0</v>
      </c>
      <c r="M438" t="n">
        <v>0</v>
      </c>
      <c r="N438" t="n">
        <v>0</v>
      </c>
      <c r="O438" t="n">
        <v>0</v>
      </c>
      <c r="P438" t="n">
        <v>0</v>
      </c>
      <c r="Q438" t="n">
        <v>0</v>
      </c>
      <c r="R438" s="2" t="inlineStr"/>
    </row>
    <row r="439" ht="15" customHeight="1">
      <c r="A439" t="inlineStr">
        <is>
          <t>A 25443-2021</t>
        </is>
      </c>
      <c r="B439" s="1" t="n">
        <v>44342</v>
      </c>
      <c r="C439" s="1" t="n">
        <v>45932</v>
      </c>
      <c r="D439" t="inlineStr">
        <is>
          <t>ÖREBRO LÄN</t>
        </is>
      </c>
      <c r="E439" t="inlineStr">
        <is>
          <t>ÖREBRO</t>
        </is>
      </c>
      <c r="G439" t="n">
        <v>1</v>
      </c>
      <c r="H439" t="n">
        <v>0</v>
      </c>
      <c r="I439" t="n">
        <v>0</v>
      </c>
      <c r="J439" t="n">
        <v>0</v>
      </c>
      <c r="K439" t="n">
        <v>0</v>
      </c>
      <c r="L439" t="n">
        <v>0</v>
      </c>
      <c r="M439" t="n">
        <v>0</v>
      </c>
      <c r="N439" t="n">
        <v>0</v>
      </c>
      <c r="O439" t="n">
        <v>0</v>
      </c>
      <c r="P439" t="n">
        <v>0</v>
      </c>
      <c r="Q439" t="n">
        <v>0</v>
      </c>
      <c r="R439" s="2" t="inlineStr"/>
    </row>
    <row r="440" ht="15" customHeight="1">
      <c r="A440" t="inlineStr">
        <is>
          <t>A 48687-2024</t>
        </is>
      </c>
      <c r="B440" s="1" t="n">
        <v>45593.49899305555</v>
      </c>
      <c r="C440" s="1" t="n">
        <v>45932</v>
      </c>
      <c r="D440" t="inlineStr">
        <is>
          <t>ÖREBRO LÄN</t>
        </is>
      </c>
      <c r="E440" t="inlineStr">
        <is>
          <t>ÖREBRO</t>
        </is>
      </c>
      <c r="F440" t="inlineStr">
        <is>
          <t>Övriga Aktiebolag</t>
        </is>
      </c>
      <c r="G440" t="n">
        <v>3.8</v>
      </c>
      <c r="H440" t="n">
        <v>0</v>
      </c>
      <c r="I440" t="n">
        <v>0</v>
      </c>
      <c r="J440" t="n">
        <v>0</v>
      </c>
      <c r="K440" t="n">
        <v>0</v>
      </c>
      <c r="L440" t="n">
        <v>0</v>
      </c>
      <c r="M440" t="n">
        <v>0</v>
      </c>
      <c r="N440" t="n">
        <v>0</v>
      </c>
      <c r="O440" t="n">
        <v>0</v>
      </c>
      <c r="P440" t="n">
        <v>0</v>
      </c>
      <c r="Q440" t="n">
        <v>0</v>
      </c>
      <c r="R440" s="2" t="inlineStr"/>
    </row>
    <row r="441" ht="15" customHeight="1">
      <c r="A441" t="inlineStr">
        <is>
          <t>A 8565-2021</t>
        </is>
      </c>
      <c r="B441" s="1" t="n">
        <v>44245</v>
      </c>
      <c r="C441" s="1" t="n">
        <v>45932</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45932</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13700-2024</t>
        </is>
      </c>
      <c r="B443" s="1" t="n">
        <v>45390.59277777778</v>
      </c>
      <c r="C443" s="1" t="n">
        <v>45932</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57485-2023</t>
        </is>
      </c>
      <c r="B444" s="1" t="n">
        <v>45246</v>
      </c>
      <c r="C444" s="1" t="n">
        <v>45932</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37025-2024</t>
        </is>
      </c>
      <c r="B445" s="1" t="n">
        <v>45539.3840162037</v>
      </c>
      <c r="C445" s="1" t="n">
        <v>45932</v>
      </c>
      <c r="D445" t="inlineStr">
        <is>
          <t>ÖREBRO LÄN</t>
        </is>
      </c>
      <c r="E445" t="inlineStr">
        <is>
          <t>ÖREBRO</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37027-2024</t>
        </is>
      </c>
      <c r="B446" s="1" t="n">
        <v>45539.38487268519</v>
      </c>
      <c r="C446" s="1" t="n">
        <v>45932</v>
      </c>
      <c r="D446" t="inlineStr">
        <is>
          <t>ÖREBRO LÄN</t>
        </is>
      </c>
      <c r="E446" t="inlineStr">
        <is>
          <t>ÖREBRO</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59265-2020</t>
        </is>
      </c>
      <c r="B447" s="1" t="n">
        <v>44147.67359953704</v>
      </c>
      <c r="C447" s="1" t="n">
        <v>45932</v>
      </c>
      <c r="D447" t="inlineStr">
        <is>
          <t>ÖREBRO LÄN</t>
        </is>
      </c>
      <c r="E447" t="inlineStr">
        <is>
          <t>ÖREBRO</t>
        </is>
      </c>
      <c r="G447" t="n">
        <v>2.4</v>
      </c>
      <c r="H447" t="n">
        <v>0</v>
      </c>
      <c r="I447" t="n">
        <v>0</v>
      </c>
      <c r="J447" t="n">
        <v>0</v>
      </c>
      <c r="K447" t="n">
        <v>0</v>
      </c>
      <c r="L447" t="n">
        <v>0</v>
      </c>
      <c r="M447" t="n">
        <v>0</v>
      </c>
      <c r="N447" t="n">
        <v>0</v>
      </c>
      <c r="O447" t="n">
        <v>0</v>
      </c>
      <c r="P447" t="n">
        <v>0</v>
      </c>
      <c r="Q447" t="n">
        <v>0</v>
      </c>
      <c r="R447" s="2" t="inlineStr"/>
    </row>
    <row r="448" ht="15" customHeight="1">
      <c r="A448" t="inlineStr">
        <is>
          <t>A 60506-2024</t>
        </is>
      </c>
      <c r="B448" s="1" t="n">
        <v>45643.66630787037</v>
      </c>
      <c r="C448" s="1" t="n">
        <v>45932</v>
      </c>
      <c r="D448" t="inlineStr">
        <is>
          <t>ÖREBRO LÄN</t>
        </is>
      </c>
      <c r="E448" t="inlineStr">
        <is>
          <t>ÖREBRO</t>
        </is>
      </c>
      <c r="G448" t="n">
        <v>5.8</v>
      </c>
      <c r="H448" t="n">
        <v>0</v>
      </c>
      <c r="I448" t="n">
        <v>0</v>
      </c>
      <c r="J448" t="n">
        <v>0</v>
      </c>
      <c r="K448" t="n">
        <v>0</v>
      </c>
      <c r="L448" t="n">
        <v>0</v>
      </c>
      <c r="M448" t="n">
        <v>0</v>
      </c>
      <c r="N448" t="n">
        <v>0</v>
      </c>
      <c r="O448" t="n">
        <v>0</v>
      </c>
      <c r="P448" t="n">
        <v>0</v>
      </c>
      <c r="Q448" t="n">
        <v>0</v>
      </c>
      <c r="R448" s="2" t="inlineStr"/>
    </row>
    <row r="449" ht="15" customHeight="1">
      <c r="A449" t="inlineStr">
        <is>
          <t>A 6213-2021</t>
        </is>
      </c>
      <c r="B449" s="1" t="n">
        <v>44232</v>
      </c>
      <c r="C449" s="1" t="n">
        <v>45932</v>
      </c>
      <c r="D449" t="inlineStr">
        <is>
          <t>ÖREBRO LÄN</t>
        </is>
      </c>
      <c r="E449" t="inlineStr">
        <is>
          <t>ÖREBRO</t>
        </is>
      </c>
      <c r="G449" t="n">
        <v>4</v>
      </c>
      <c r="H449" t="n">
        <v>0</v>
      </c>
      <c r="I449" t="n">
        <v>0</v>
      </c>
      <c r="J449" t="n">
        <v>0</v>
      </c>
      <c r="K449" t="n">
        <v>0</v>
      </c>
      <c r="L449" t="n">
        <v>0</v>
      </c>
      <c r="M449" t="n">
        <v>0</v>
      </c>
      <c r="N449" t="n">
        <v>0</v>
      </c>
      <c r="O449" t="n">
        <v>0</v>
      </c>
      <c r="P449" t="n">
        <v>0</v>
      </c>
      <c r="Q449" t="n">
        <v>0</v>
      </c>
      <c r="R449" s="2" t="inlineStr"/>
    </row>
    <row r="450" ht="15" customHeight="1">
      <c r="A450" t="inlineStr">
        <is>
          <t>A 39479-2025</t>
        </is>
      </c>
      <c r="B450" s="1" t="n">
        <v>45890.34752314815</v>
      </c>
      <c r="C450" s="1" t="n">
        <v>45932</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44284-2022</t>
        </is>
      </c>
      <c r="B451" s="1" t="n">
        <v>44839.59194444444</v>
      </c>
      <c r="C451" s="1" t="n">
        <v>45932</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5398-2022</t>
        </is>
      </c>
      <c r="B452" s="1" t="n">
        <v>44595.3353587963</v>
      </c>
      <c r="C452" s="1" t="n">
        <v>45932</v>
      </c>
      <c r="D452" t="inlineStr">
        <is>
          <t>ÖREBRO LÄN</t>
        </is>
      </c>
      <c r="E452" t="inlineStr">
        <is>
          <t>ÖREBRO</t>
        </is>
      </c>
      <c r="G452" t="n">
        <v>2.1</v>
      </c>
      <c r="H452" t="n">
        <v>0</v>
      </c>
      <c r="I452" t="n">
        <v>0</v>
      </c>
      <c r="J452" t="n">
        <v>0</v>
      </c>
      <c r="K452" t="n">
        <v>0</v>
      </c>
      <c r="L452" t="n">
        <v>0</v>
      </c>
      <c r="M452" t="n">
        <v>0</v>
      </c>
      <c r="N452" t="n">
        <v>0</v>
      </c>
      <c r="O452" t="n">
        <v>0</v>
      </c>
      <c r="P452" t="n">
        <v>0</v>
      </c>
      <c r="Q452" t="n">
        <v>0</v>
      </c>
      <c r="R452" s="2" t="inlineStr"/>
    </row>
    <row r="453" ht="15" customHeight="1">
      <c r="A453" t="inlineStr">
        <is>
          <t>A 35833-2024</t>
        </is>
      </c>
      <c r="B453" s="1" t="n">
        <v>45532.68699074074</v>
      </c>
      <c r="C453" s="1" t="n">
        <v>45932</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38415-2023</t>
        </is>
      </c>
      <c r="B454" s="1" t="n">
        <v>45162.35502314815</v>
      </c>
      <c r="C454" s="1" t="n">
        <v>45932</v>
      </c>
      <c r="D454" t="inlineStr">
        <is>
          <t>ÖREBRO LÄN</t>
        </is>
      </c>
      <c r="E454" t="inlineStr">
        <is>
          <t>ÖREBRO</t>
        </is>
      </c>
      <c r="G454" t="n">
        <v>2.6</v>
      </c>
      <c r="H454" t="n">
        <v>0</v>
      </c>
      <c r="I454" t="n">
        <v>0</v>
      </c>
      <c r="J454" t="n">
        <v>0</v>
      </c>
      <c r="K454" t="n">
        <v>0</v>
      </c>
      <c r="L454" t="n">
        <v>0</v>
      </c>
      <c r="M454" t="n">
        <v>0</v>
      </c>
      <c r="N454" t="n">
        <v>0</v>
      </c>
      <c r="O454" t="n">
        <v>0</v>
      </c>
      <c r="P454" t="n">
        <v>0</v>
      </c>
      <c r="Q454" t="n">
        <v>0</v>
      </c>
      <c r="R454" s="2" t="inlineStr"/>
    </row>
    <row r="455" ht="15" customHeight="1">
      <c r="A455" t="inlineStr">
        <is>
          <t>A 40332-2025</t>
        </is>
      </c>
      <c r="B455" s="1" t="n">
        <v>45895.46060185185</v>
      </c>
      <c r="C455" s="1" t="n">
        <v>45932</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11663-2024</t>
        </is>
      </c>
      <c r="B456" s="1" t="n">
        <v>45373</v>
      </c>
      <c r="C456" s="1" t="n">
        <v>45932</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35062-2025</t>
        </is>
      </c>
      <c r="B457" s="1" t="n">
        <v>45852</v>
      </c>
      <c r="C457" s="1" t="n">
        <v>45932</v>
      </c>
      <c r="D457" t="inlineStr">
        <is>
          <t>ÖREBRO LÄN</t>
        </is>
      </c>
      <c r="E457" t="inlineStr">
        <is>
          <t>ÖREBRO</t>
        </is>
      </c>
      <c r="G457" t="n">
        <v>2.8</v>
      </c>
      <c r="H457" t="n">
        <v>0</v>
      </c>
      <c r="I457" t="n">
        <v>0</v>
      </c>
      <c r="J457" t="n">
        <v>0</v>
      </c>
      <c r="K457" t="n">
        <v>0</v>
      </c>
      <c r="L457" t="n">
        <v>0</v>
      </c>
      <c r="M457" t="n">
        <v>0</v>
      </c>
      <c r="N457" t="n">
        <v>0</v>
      </c>
      <c r="O457" t="n">
        <v>0</v>
      </c>
      <c r="P457" t="n">
        <v>0</v>
      </c>
      <c r="Q457" t="n">
        <v>0</v>
      </c>
      <c r="R457" s="2" t="inlineStr"/>
    </row>
    <row r="458" ht="15" customHeight="1">
      <c r="A458" t="inlineStr">
        <is>
          <t>A 58608-2024</t>
        </is>
      </c>
      <c r="B458" s="1" t="n">
        <v>45635.55185185185</v>
      </c>
      <c r="C458" s="1" t="n">
        <v>45932</v>
      </c>
      <c r="D458" t="inlineStr">
        <is>
          <t>ÖREBRO LÄN</t>
        </is>
      </c>
      <c r="E458" t="inlineStr">
        <is>
          <t>ÖREBRO</t>
        </is>
      </c>
      <c r="F458" t="inlineStr">
        <is>
          <t>Sveaskog</t>
        </is>
      </c>
      <c r="G458" t="n">
        <v>0.3</v>
      </c>
      <c r="H458" t="n">
        <v>0</v>
      </c>
      <c r="I458" t="n">
        <v>0</v>
      </c>
      <c r="J458" t="n">
        <v>0</v>
      </c>
      <c r="K458" t="n">
        <v>0</v>
      </c>
      <c r="L458" t="n">
        <v>0</v>
      </c>
      <c r="M458" t="n">
        <v>0</v>
      </c>
      <c r="N458" t="n">
        <v>0</v>
      </c>
      <c r="O458" t="n">
        <v>0</v>
      </c>
      <c r="P458" t="n">
        <v>0</v>
      </c>
      <c r="Q458" t="n">
        <v>0</v>
      </c>
      <c r="R458" s="2" t="inlineStr"/>
    </row>
    <row r="459" ht="15" customHeight="1">
      <c r="A459" t="inlineStr">
        <is>
          <t>A 40330-2025</t>
        </is>
      </c>
      <c r="B459" s="1" t="n">
        <v>45895.4531712963</v>
      </c>
      <c r="C459" s="1" t="n">
        <v>45932</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60128-2023</t>
        </is>
      </c>
      <c r="B460" s="1" t="n">
        <v>45258</v>
      </c>
      <c r="C460" s="1" t="n">
        <v>45932</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38422-2023</t>
        </is>
      </c>
      <c r="B461" s="1" t="n">
        <v>45162.36422453704</v>
      </c>
      <c r="C461" s="1" t="n">
        <v>45932</v>
      </c>
      <c r="D461" t="inlineStr">
        <is>
          <t>ÖREBRO LÄN</t>
        </is>
      </c>
      <c r="E461" t="inlineStr">
        <is>
          <t>ÖREBRO</t>
        </is>
      </c>
      <c r="G461" t="n">
        <v>8</v>
      </c>
      <c r="H461" t="n">
        <v>0</v>
      </c>
      <c r="I461" t="n">
        <v>0</v>
      </c>
      <c r="J461" t="n">
        <v>0</v>
      </c>
      <c r="K461" t="n">
        <v>0</v>
      </c>
      <c r="L461" t="n">
        <v>0</v>
      </c>
      <c r="M461" t="n">
        <v>0</v>
      </c>
      <c r="N461" t="n">
        <v>0</v>
      </c>
      <c r="O461" t="n">
        <v>0</v>
      </c>
      <c r="P461" t="n">
        <v>0</v>
      </c>
      <c r="Q461" t="n">
        <v>0</v>
      </c>
      <c r="R461" s="2" t="inlineStr"/>
    </row>
    <row r="462" ht="15" customHeight="1">
      <c r="A462" t="inlineStr">
        <is>
          <t>A 18047-2023</t>
        </is>
      </c>
      <c r="B462" s="1" t="n">
        <v>45040</v>
      </c>
      <c r="C462" s="1" t="n">
        <v>45932</v>
      </c>
      <c r="D462" t="inlineStr">
        <is>
          <t>ÖREBRO LÄN</t>
        </is>
      </c>
      <c r="E462" t="inlineStr">
        <is>
          <t>ÖREBRO</t>
        </is>
      </c>
      <c r="G462" t="n">
        <v>3.9</v>
      </c>
      <c r="H462" t="n">
        <v>0</v>
      </c>
      <c r="I462" t="n">
        <v>0</v>
      </c>
      <c r="J462" t="n">
        <v>0</v>
      </c>
      <c r="K462" t="n">
        <v>0</v>
      </c>
      <c r="L462" t="n">
        <v>0</v>
      </c>
      <c r="M462" t="n">
        <v>0</v>
      </c>
      <c r="N462" t="n">
        <v>0</v>
      </c>
      <c r="O462" t="n">
        <v>0</v>
      </c>
      <c r="P462" t="n">
        <v>0</v>
      </c>
      <c r="Q462" t="n">
        <v>0</v>
      </c>
      <c r="R462" s="2" t="inlineStr"/>
    </row>
    <row r="463" ht="15" customHeight="1">
      <c r="A463" t="inlineStr">
        <is>
          <t>A 56040-2024</t>
        </is>
      </c>
      <c r="B463" s="1" t="n">
        <v>45624.3344212963</v>
      </c>
      <c r="C463" s="1" t="n">
        <v>45932</v>
      </c>
      <c r="D463" t="inlineStr">
        <is>
          <t>ÖREBRO LÄN</t>
        </is>
      </c>
      <c r="E463" t="inlineStr">
        <is>
          <t>ÖREBRO</t>
        </is>
      </c>
      <c r="G463" t="n">
        <v>1.2</v>
      </c>
      <c r="H463" t="n">
        <v>0</v>
      </c>
      <c r="I463" t="n">
        <v>0</v>
      </c>
      <c r="J463" t="n">
        <v>0</v>
      </c>
      <c r="K463" t="n">
        <v>0</v>
      </c>
      <c r="L463" t="n">
        <v>0</v>
      </c>
      <c r="M463" t="n">
        <v>0</v>
      </c>
      <c r="N463" t="n">
        <v>0</v>
      </c>
      <c r="O463" t="n">
        <v>0</v>
      </c>
      <c r="P463" t="n">
        <v>0</v>
      </c>
      <c r="Q463" t="n">
        <v>0</v>
      </c>
      <c r="R463" s="2" t="inlineStr"/>
    </row>
    <row r="464" ht="15" customHeight="1">
      <c r="A464" t="inlineStr">
        <is>
          <t>A 14487-2023</t>
        </is>
      </c>
      <c r="B464" s="1" t="n">
        <v>45012</v>
      </c>
      <c r="C464" s="1" t="n">
        <v>45932</v>
      </c>
      <c r="D464" t="inlineStr">
        <is>
          <t>ÖREBRO LÄN</t>
        </is>
      </c>
      <c r="E464" t="inlineStr">
        <is>
          <t>ÖREBRO</t>
        </is>
      </c>
      <c r="G464" t="n">
        <v>0.5</v>
      </c>
      <c r="H464" t="n">
        <v>0</v>
      </c>
      <c r="I464" t="n">
        <v>0</v>
      </c>
      <c r="J464" t="n">
        <v>0</v>
      </c>
      <c r="K464" t="n">
        <v>0</v>
      </c>
      <c r="L464" t="n">
        <v>0</v>
      </c>
      <c r="M464" t="n">
        <v>0</v>
      </c>
      <c r="N464" t="n">
        <v>0</v>
      </c>
      <c r="O464" t="n">
        <v>0</v>
      </c>
      <c r="P464" t="n">
        <v>0</v>
      </c>
      <c r="Q464" t="n">
        <v>0</v>
      </c>
      <c r="R464" s="2" t="inlineStr"/>
    </row>
    <row r="465" ht="15" customHeight="1">
      <c r="A465" t="inlineStr">
        <is>
          <t>A 49797-2024</t>
        </is>
      </c>
      <c r="B465" s="1" t="n">
        <v>45597.37265046296</v>
      </c>
      <c r="C465" s="1" t="n">
        <v>45932</v>
      </c>
      <c r="D465" t="inlineStr">
        <is>
          <t>ÖREBRO LÄN</t>
        </is>
      </c>
      <c r="E465" t="inlineStr">
        <is>
          <t>ÖREBRO</t>
        </is>
      </c>
      <c r="G465" t="n">
        <v>11.6</v>
      </c>
      <c r="H465" t="n">
        <v>0</v>
      </c>
      <c r="I465" t="n">
        <v>0</v>
      </c>
      <c r="J465" t="n">
        <v>0</v>
      </c>
      <c r="K465" t="n">
        <v>0</v>
      </c>
      <c r="L465" t="n">
        <v>0</v>
      </c>
      <c r="M465" t="n">
        <v>0</v>
      </c>
      <c r="N465" t="n">
        <v>0</v>
      </c>
      <c r="O465" t="n">
        <v>0</v>
      </c>
      <c r="P465" t="n">
        <v>0</v>
      </c>
      <c r="Q465" t="n">
        <v>0</v>
      </c>
      <c r="R465" s="2" t="inlineStr"/>
    </row>
    <row r="466" ht="15" customHeight="1">
      <c r="A466" t="inlineStr">
        <is>
          <t>A 41412-2025</t>
        </is>
      </c>
      <c r="B466" s="1" t="n">
        <v>45901.3549537037</v>
      </c>
      <c r="C466" s="1" t="n">
        <v>45932</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28821-2025</t>
        </is>
      </c>
      <c r="B467" s="1" t="n">
        <v>45820</v>
      </c>
      <c r="C467" s="1" t="n">
        <v>45932</v>
      </c>
      <c r="D467" t="inlineStr">
        <is>
          <t>ÖREBRO LÄN</t>
        </is>
      </c>
      <c r="E467" t="inlineStr">
        <is>
          <t>ÖREBRO</t>
        </is>
      </c>
      <c r="G467" t="n">
        <v>12.6</v>
      </c>
      <c r="H467" t="n">
        <v>0</v>
      </c>
      <c r="I467" t="n">
        <v>0</v>
      </c>
      <c r="J467" t="n">
        <v>0</v>
      </c>
      <c r="K467" t="n">
        <v>0</v>
      </c>
      <c r="L467" t="n">
        <v>0</v>
      </c>
      <c r="M467" t="n">
        <v>0</v>
      </c>
      <c r="N467" t="n">
        <v>0</v>
      </c>
      <c r="O467" t="n">
        <v>0</v>
      </c>
      <c r="P467" t="n">
        <v>0</v>
      </c>
      <c r="Q467" t="n">
        <v>0</v>
      </c>
      <c r="R467" s="2" t="inlineStr"/>
    </row>
    <row r="468" ht="15" customHeight="1">
      <c r="A468" t="inlineStr">
        <is>
          <t>A 40522-2024</t>
        </is>
      </c>
      <c r="B468" s="1" t="n">
        <v>45555.59717592593</v>
      </c>
      <c r="C468" s="1" t="n">
        <v>45932</v>
      </c>
      <c r="D468" t="inlineStr">
        <is>
          <t>ÖREBRO LÄN</t>
        </is>
      </c>
      <c r="E468" t="inlineStr">
        <is>
          <t>ÖREBRO</t>
        </is>
      </c>
      <c r="G468" t="n">
        <v>5.1</v>
      </c>
      <c r="H468" t="n">
        <v>0</v>
      </c>
      <c r="I468" t="n">
        <v>0</v>
      </c>
      <c r="J468" t="n">
        <v>0</v>
      </c>
      <c r="K468" t="n">
        <v>0</v>
      </c>
      <c r="L468" t="n">
        <v>0</v>
      </c>
      <c r="M468" t="n">
        <v>0</v>
      </c>
      <c r="N468" t="n">
        <v>0</v>
      </c>
      <c r="O468" t="n">
        <v>0</v>
      </c>
      <c r="P468" t="n">
        <v>0</v>
      </c>
      <c r="Q468" t="n">
        <v>0</v>
      </c>
      <c r="R468" s="2" t="inlineStr"/>
    </row>
    <row r="469" ht="15" customHeight="1">
      <c r="A469" t="inlineStr">
        <is>
          <t>A 35637-2025</t>
        </is>
      </c>
      <c r="B469" s="1" t="n">
        <v>45859.46859953704</v>
      </c>
      <c r="C469" s="1" t="n">
        <v>45932</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49029-2024</t>
        </is>
      </c>
      <c r="B470" s="1" t="n">
        <v>45594</v>
      </c>
      <c r="C470" s="1" t="n">
        <v>45932</v>
      </c>
      <c r="D470" t="inlineStr">
        <is>
          <t>ÖREBRO LÄN</t>
        </is>
      </c>
      <c r="E470" t="inlineStr">
        <is>
          <t>ÖREBRO</t>
        </is>
      </c>
      <c r="G470" t="n">
        <v>3.7</v>
      </c>
      <c r="H470" t="n">
        <v>0</v>
      </c>
      <c r="I470" t="n">
        <v>0</v>
      </c>
      <c r="J470" t="n">
        <v>0</v>
      </c>
      <c r="K470" t="n">
        <v>0</v>
      </c>
      <c r="L470" t="n">
        <v>0</v>
      </c>
      <c r="M470" t="n">
        <v>0</v>
      </c>
      <c r="N470" t="n">
        <v>0</v>
      </c>
      <c r="O470" t="n">
        <v>0</v>
      </c>
      <c r="P470" t="n">
        <v>0</v>
      </c>
      <c r="Q470" t="n">
        <v>0</v>
      </c>
      <c r="R470" s="2" t="inlineStr"/>
    </row>
    <row r="471" ht="15" customHeight="1">
      <c r="A471" t="inlineStr">
        <is>
          <t>A 8022-2022</t>
        </is>
      </c>
      <c r="B471" s="1" t="n">
        <v>44609</v>
      </c>
      <c r="C471" s="1" t="n">
        <v>45932</v>
      </c>
      <c r="D471" t="inlineStr">
        <is>
          <t>ÖREBRO LÄN</t>
        </is>
      </c>
      <c r="E471" t="inlineStr">
        <is>
          <t>ÖREBRO</t>
        </is>
      </c>
      <c r="G471" t="n">
        <v>5.6</v>
      </c>
      <c r="H471" t="n">
        <v>0</v>
      </c>
      <c r="I471" t="n">
        <v>0</v>
      </c>
      <c r="J471" t="n">
        <v>0</v>
      </c>
      <c r="K471" t="n">
        <v>0</v>
      </c>
      <c r="L471" t="n">
        <v>0</v>
      </c>
      <c r="M471" t="n">
        <v>0</v>
      </c>
      <c r="N471" t="n">
        <v>0</v>
      </c>
      <c r="O471" t="n">
        <v>0</v>
      </c>
      <c r="P471" t="n">
        <v>0</v>
      </c>
      <c r="Q471" t="n">
        <v>0</v>
      </c>
      <c r="R471" s="2" t="inlineStr"/>
    </row>
    <row r="472" ht="15" customHeight="1">
      <c r="A472" t="inlineStr">
        <is>
          <t>A 49062-2023</t>
        </is>
      </c>
      <c r="B472" s="1" t="n">
        <v>45210.35119212963</v>
      </c>
      <c r="C472" s="1" t="n">
        <v>45932</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41669-2025</t>
        </is>
      </c>
      <c r="B473" s="1" t="n">
        <v>45902.36149305556</v>
      </c>
      <c r="C473" s="1" t="n">
        <v>45932</v>
      </c>
      <c r="D473" t="inlineStr">
        <is>
          <t>ÖREBRO LÄN</t>
        </is>
      </c>
      <c r="E473" t="inlineStr">
        <is>
          <t>ÖREBRO</t>
        </is>
      </c>
      <c r="G473" t="n">
        <v>2.8</v>
      </c>
      <c r="H473" t="n">
        <v>0</v>
      </c>
      <c r="I473" t="n">
        <v>0</v>
      </c>
      <c r="J473" t="n">
        <v>0</v>
      </c>
      <c r="K473" t="n">
        <v>0</v>
      </c>
      <c r="L473" t="n">
        <v>0</v>
      </c>
      <c r="M473" t="n">
        <v>0</v>
      </c>
      <c r="N473" t="n">
        <v>0</v>
      </c>
      <c r="O473" t="n">
        <v>0</v>
      </c>
      <c r="P473" t="n">
        <v>0</v>
      </c>
      <c r="Q473" t="n">
        <v>0</v>
      </c>
      <c r="R473" s="2" t="inlineStr"/>
    </row>
    <row r="474" ht="15" customHeight="1">
      <c r="A474" t="inlineStr">
        <is>
          <t>A 41722-2025</t>
        </is>
      </c>
      <c r="B474" s="1" t="n">
        <v>45902.44993055556</v>
      </c>
      <c r="C474" s="1" t="n">
        <v>45932</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29978-2024</t>
        </is>
      </c>
      <c r="B475" s="1" t="n">
        <v>45488.48340277778</v>
      </c>
      <c r="C475" s="1" t="n">
        <v>45932</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35829-2024</t>
        </is>
      </c>
      <c r="B476" s="1" t="n">
        <v>45532</v>
      </c>
      <c r="C476" s="1" t="n">
        <v>45932</v>
      </c>
      <c r="D476" t="inlineStr">
        <is>
          <t>ÖREBRO LÄN</t>
        </is>
      </c>
      <c r="E476" t="inlineStr">
        <is>
          <t>ÖREBRO</t>
        </is>
      </c>
      <c r="G476" t="n">
        <v>4.6</v>
      </c>
      <c r="H476" t="n">
        <v>0</v>
      </c>
      <c r="I476" t="n">
        <v>0</v>
      </c>
      <c r="J476" t="n">
        <v>0</v>
      </c>
      <c r="K476" t="n">
        <v>0</v>
      </c>
      <c r="L476" t="n">
        <v>0</v>
      </c>
      <c r="M476" t="n">
        <v>0</v>
      </c>
      <c r="N476" t="n">
        <v>0</v>
      </c>
      <c r="O476" t="n">
        <v>0</v>
      </c>
      <c r="P476" t="n">
        <v>0</v>
      </c>
      <c r="Q476" t="n">
        <v>0</v>
      </c>
      <c r="R476" s="2" t="inlineStr"/>
    </row>
    <row r="477" ht="15" customHeight="1">
      <c r="A477" t="inlineStr">
        <is>
          <t>A 19978-2025</t>
        </is>
      </c>
      <c r="B477" s="1" t="n">
        <v>45771.7062037037</v>
      </c>
      <c r="C477" s="1" t="n">
        <v>45932</v>
      </c>
      <c r="D477" t="inlineStr">
        <is>
          <t>ÖREBRO LÄN</t>
        </is>
      </c>
      <c r="E477" t="inlineStr">
        <is>
          <t>ÖREBRO</t>
        </is>
      </c>
      <c r="G477" t="n">
        <v>2</v>
      </c>
      <c r="H477" t="n">
        <v>0</v>
      </c>
      <c r="I477" t="n">
        <v>0</v>
      </c>
      <c r="J477" t="n">
        <v>0</v>
      </c>
      <c r="K477" t="n">
        <v>0</v>
      </c>
      <c r="L477" t="n">
        <v>0</v>
      </c>
      <c r="M477" t="n">
        <v>0</v>
      </c>
      <c r="N477" t="n">
        <v>0</v>
      </c>
      <c r="O477" t="n">
        <v>0</v>
      </c>
      <c r="P477" t="n">
        <v>0</v>
      </c>
      <c r="Q477" t="n">
        <v>0</v>
      </c>
      <c r="R477" s="2" t="inlineStr"/>
    </row>
    <row r="478" ht="15" customHeight="1">
      <c r="A478" t="inlineStr">
        <is>
          <t>A 7134-2025</t>
        </is>
      </c>
      <c r="B478" s="1" t="n">
        <v>45702</v>
      </c>
      <c r="C478" s="1" t="n">
        <v>45932</v>
      </c>
      <c r="D478" t="inlineStr">
        <is>
          <t>ÖREBRO LÄN</t>
        </is>
      </c>
      <c r="E478" t="inlineStr">
        <is>
          <t>ÖREBRO</t>
        </is>
      </c>
      <c r="F478" t="inlineStr">
        <is>
          <t>Övriga Aktiebolag</t>
        </is>
      </c>
      <c r="G478" t="n">
        <v>2.1</v>
      </c>
      <c r="H478" t="n">
        <v>0</v>
      </c>
      <c r="I478" t="n">
        <v>0</v>
      </c>
      <c r="J478" t="n">
        <v>0</v>
      </c>
      <c r="K478" t="n">
        <v>0</v>
      </c>
      <c r="L478" t="n">
        <v>0</v>
      </c>
      <c r="M478" t="n">
        <v>0</v>
      </c>
      <c r="N478" t="n">
        <v>0</v>
      </c>
      <c r="O478" t="n">
        <v>0</v>
      </c>
      <c r="P478" t="n">
        <v>0</v>
      </c>
      <c r="Q478" t="n">
        <v>0</v>
      </c>
      <c r="R478" s="2" t="inlineStr"/>
    </row>
    <row r="479" ht="15" customHeight="1">
      <c r="A479" t="inlineStr">
        <is>
          <t>A 35928-2025</t>
        </is>
      </c>
      <c r="B479" s="1" t="n">
        <v>45862</v>
      </c>
      <c r="C479" s="1" t="n">
        <v>45932</v>
      </c>
      <c r="D479" t="inlineStr">
        <is>
          <t>ÖREBRO LÄN</t>
        </is>
      </c>
      <c r="E479" t="inlineStr">
        <is>
          <t>ÖREBRO</t>
        </is>
      </c>
      <c r="G479" t="n">
        <v>4.4</v>
      </c>
      <c r="H479" t="n">
        <v>0</v>
      </c>
      <c r="I479" t="n">
        <v>0</v>
      </c>
      <c r="J479" t="n">
        <v>0</v>
      </c>
      <c r="K479" t="n">
        <v>0</v>
      </c>
      <c r="L479" t="n">
        <v>0</v>
      </c>
      <c r="M479" t="n">
        <v>0</v>
      </c>
      <c r="N479" t="n">
        <v>0</v>
      </c>
      <c r="O479" t="n">
        <v>0</v>
      </c>
      <c r="P479" t="n">
        <v>0</v>
      </c>
      <c r="Q479" t="n">
        <v>0</v>
      </c>
      <c r="R479" s="2" t="inlineStr"/>
    </row>
    <row r="480" ht="15" customHeight="1">
      <c r="A480" t="inlineStr">
        <is>
          <t>A 13181-2023</t>
        </is>
      </c>
      <c r="B480" s="1" t="n">
        <v>45002.60659722222</v>
      </c>
      <c r="C480" s="1" t="n">
        <v>45932</v>
      </c>
      <c r="D480" t="inlineStr">
        <is>
          <t>ÖREBRO LÄN</t>
        </is>
      </c>
      <c r="E480" t="inlineStr">
        <is>
          <t>ÖREBRO</t>
        </is>
      </c>
      <c r="G480" t="n">
        <v>1.2</v>
      </c>
      <c r="H480" t="n">
        <v>0</v>
      </c>
      <c r="I480" t="n">
        <v>0</v>
      </c>
      <c r="J480" t="n">
        <v>0</v>
      </c>
      <c r="K480" t="n">
        <v>0</v>
      </c>
      <c r="L480" t="n">
        <v>0</v>
      </c>
      <c r="M480" t="n">
        <v>0</v>
      </c>
      <c r="N480" t="n">
        <v>0</v>
      </c>
      <c r="O480" t="n">
        <v>0</v>
      </c>
      <c r="P480" t="n">
        <v>0</v>
      </c>
      <c r="Q480" t="n">
        <v>0</v>
      </c>
      <c r="R480" s="2" t="inlineStr"/>
    </row>
    <row r="481" ht="15" customHeight="1">
      <c r="A481" t="inlineStr">
        <is>
          <t>A 61078-2024</t>
        </is>
      </c>
      <c r="B481" s="1" t="n">
        <v>45645.51034722223</v>
      </c>
      <c r="C481" s="1" t="n">
        <v>45932</v>
      </c>
      <c r="D481" t="inlineStr">
        <is>
          <t>ÖREBRO LÄN</t>
        </is>
      </c>
      <c r="E481" t="inlineStr">
        <is>
          <t>ÖREBRO</t>
        </is>
      </c>
      <c r="G481" t="n">
        <v>4.1</v>
      </c>
      <c r="H481" t="n">
        <v>0</v>
      </c>
      <c r="I481" t="n">
        <v>0</v>
      </c>
      <c r="J481" t="n">
        <v>0</v>
      </c>
      <c r="K481" t="n">
        <v>0</v>
      </c>
      <c r="L481" t="n">
        <v>0</v>
      </c>
      <c r="M481" t="n">
        <v>0</v>
      </c>
      <c r="N481" t="n">
        <v>0</v>
      </c>
      <c r="O481" t="n">
        <v>0</v>
      </c>
      <c r="P481" t="n">
        <v>0</v>
      </c>
      <c r="Q481" t="n">
        <v>0</v>
      </c>
      <c r="R481" s="2" t="inlineStr"/>
    </row>
    <row r="482" ht="15" customHeight="1">
      <c r="A482" t="inlineStr">
        <is>
          <t>A 62511-2023</t>
        </is>
      </c>
      <c r="B482" s="1" t="n">
        <v>45268.61855324074</v>
      </c>
      <c r="C482" s="1" t="n">
        <v>45932</v>
      </c>
      <c r="D482" t="inlineStr">
        <is>
          <t>ÖREBRO LÄN</t>
        </is>
      </c>
      <c r="E482" t="inlineStr">
        <is>
          <t>ÖREBRO</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32025-2024</t>
        </is>
      </c>
      <c r="B483" s="1" t="n">
        <v>45510.65754629629</v>
      </c>
      <c r="C483" s="1" t="n">
        <v>45932</v>
      </c>
      <c r="D483" t="inlineStr">
        <is>
          <t>ÖREBRO LÄN</t>
        </is>
      </c>
      <c r="E483" t="inlineStr">
        <is>
          <t>ÖREBRO</t>
        </is>
      </c>
      <c r="G483" t="n">
        <v>4</v>
      </c>
      <c r="H483" t="n">
        <v>0</v>
      </c>
      <c r="I483" t="n">
        <v>0</v>
      </c>
      <c r="J483" t="n">
        <v>0</v>
      </c>
      <c r="K483" t="n">
        <v>0</v>
      </c>
      <c r="L483" t="n">
        <v>0</v>
      </c>
      <c r="M483" t="n">
        <v>0</v>
      </c>
      <c r="N483" t="n">
        <v>0</v>
      </c>
      <c r="O483" t="n">
        <v>0</v>
      </c>
      <c r="P483" t="n">
        <v>0</v>
      </c>
      <c r="Q483" t="n">
        <v>0</v>
      </c>
      <c r="R483" s="2" t="inlineStr"/>
    </row>
    <row r="484" ht="15" customHeight="1">
      <c r="A484" t="inlineStr">
        <is>
          <t>A 39003-2025</t>
        </is>
      </c>
      <c r="B484" s="1" t="n">
        <v>45888.34467592592</v>
      </c>
      <c r="C484" s="1" t="n">
        <v>45932</v>
      </c>
      <c r="D484" t="inlineStr">
        <is>
          <t>ÖREBRO LÄN</t>
        </is>
      </c>
      <c r="E484" t="inlineStr">
        <is>
          <t>ÖREBRO</t>
        </is>
      </c>
      <c r="G484" t="n">
        <v>3.7</v>
      </c>
      <c r="H484" t="n">
        <v>0</v>
      </c>
      <c r="I484" t="n">
        <v>0</v>
      </c>
      <c r="J484" t="n">
        <v>0</v>
      </c>
      <c r="K484" t="n">
        <v>0</v>
      </c>
      <c r="L484" t="n">
        <v>0</v>
      </c>
      <c r="M484" t="n">
        <v>0</v>
      </c>
      <c r="N484" t="n">
        <v>0</v>
      </c>
      <c r="O484" t="n">
        <v>0</v>
      </c>
      <c r="P484" t="n">
        <v>0</v>
      </c>
      <c r="Q484" t="n">
        <v>0</v>
      </c>
      <c r="R484" s="2" t="inlineStr"/>
    </row>
    <row r="485" ht="15" customHeight="1">
      <c r="A485" t="inlineStr">
        <is>
          <t>A 15422-2022</t>
        </is>
      </c>
      <c r="B485" s="1" t="n">
        <v>44659.63753472222</v>
      </c>
      <c r="C485" s="1" t="n">
        <v>45932</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55453-2024</t>
        </is>
      </c>
      <c r="B486" s="1" t="n">
        <v>45622.42097222222</v>
      </c>
      <c r="C486" s="1" t="n">
        <v>45932</v>
      </c>
      <c r="D486" t="inlineStr">
        <is>
          <t>ÖREBRO LÄN</t>
        </is>
      </c>
      <c r="E486" t="inlineStr">
        <is>
          <t>ÖREBRO</t>
        </is>
      </c>
      <c r="G486" t="n">
        <v>8.5</v>
      </c>
      <c r="H486" t="n">
        <v>0</v>
      </c>
      <c r="I486" t="n">
        <v>0</v>
      </c>
      <c r="J486" t="n">
        <v>0</v>
      </c>
      <c r="K486" t="n">
        <v>0</v>
      </c>
      <c r="L486" t="n">
        <v>0</v>
      </c>
      <c r="M486" t="n">
        <v>0</v>
      </c>
      <c r="N486" t="n">
        <v>0</v>
      </c>
      <c r="O486" t="n">
        <v>0</v>
      </c>
      <c r="P486" t="n">
        <v>0</v>
      </c>
      <c r="Q486" t="n">
        <v>0</v>
      </c>
      <c r="R486" s="2" t="inlineStr"/>
    </row>
    <row r="487" ht="15" customHeight="1">
      <c r="A487" t="inlineStr">
        <is>
          <t>A 16374-2022</t>
        </is>
      </c>
      <c r="B487" s="1" t="n">
        <v>44671</v>
      </c>
      <c r="C487" s="1" t="n">
        <v>45932</v>
      </c>
      <c r="D487" t="inlineStr">
        <is>
          <t>ÖREBRO LÄN</t>
        </is>
      </c>
      <c r="E487" t="inlineStr">
        <is>
          <t>ÖREBRO</t>
        </is>
      </c>
      <c r="F487" t="inlineStr">
        <is>
          <t>Övriga Aktiebolag</t>
        </is>
      </c>
      <c r="G487" t="n">
        <v>30.3</v>
      </c>
      <c r="H487" t="n">
        <v>0</v>
      </c>
      <c r="I487" t="n">
        <v>0</v>
      </c>
      <c r="J487" t="n">
        <v>0</v>
      </c>
      <c r="K487" t="n">
        <v>0</v>
      </c>
      <c r="L487" t="n">
        <v>0</v>
      </c>
      <c r="M487" t="n">
        <v>0</v>
      </c>
      <c r="N487" t="n">
        <v>0</v>
      </c>
      <c r="O487" t="n">
        <v>0</v>
      </c>
      <c r="P487" t="n">
        <v>0</v>
      </c>
      <c r="Q487" t="n">
        <v>0</v>
      </c>
      <c r="R487" s="2" t="inlineStr"/>
    </row>
    <row r="488" ht="15" customHeight="1">
      <c r="A488" t="inlineStr">
        <is>
          <t>A 27956-2023</t>
        </is>
      </c>
      <c r="B488" s="1" t="n">
        <v>45098</v>
      </c>
      <c r="C488" s="1" t="n">
        <v>45932</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13321-2024</t>
        </is>
      </c>
      <c r="B489" s="1" t="n">
        <v>45386.83142361111</v>
      </c>
      <c r="C489" s="1" t="n">
        <v>45932</v>
      </c>
      <c r="D489" t="inlineStr">
        <is>
          <t>ÖREBRO LÄN</t>
        </is>
      </c>
      <c r="E489" t="inlineStr">
        <is>
          <t>ÖREBRO</t>
        </is>
      </c>
      <c r="G489" t="n">
        <v>13.1</v>
      </c>
      <c r="H489" t="n">
        <v>0</v>
      </c>
      <c r="I489" t="n">
        <v>0</v>
      </c>
      <c r="J489" t="n">
        <v>0</v>
      </c>
      <c r="K489" t="n">
        <v>0</v>
      </c>
      <c r="L489" t="n">
        <v>0</v>
      </c>
      <c r="M489" t="n">
        <v>0</v>
      </c>
      <c r="N489" t="n">
        <v>0</v>
      </c>
      <c r="O489" t="n">
        <v>0</v>
      </c>
      <c r="P489" t="n">
        <v>0</v>
      </c>
      <c r="Q489" t="n">
        <v>0</v>
      </c>
      <c r="R489" s="2" t="inlineStr"/>
    </row>
    <row r="490" ht="15" customHeight="1">
      <c r="A490" t="inlineStr">
        <is>
          <t>A 39446-2025</t>
        </is>
      </c>
      <c r="B490" s="1" t="n">
        <v>45889.70388888889</v>
      </c>
      <c r="C490" s="1" t="n">
        <v>45932</v>
      </c>
      <c r="D490" t="inlineStr">
        <is>
          <t>ÖREBRO LÄN</t>
        </is>
      </c>
      <c r="E490" t="inlineStr">
        <is>
          <t>ÖREBRO</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55472-2023</t>
        </is>
      </c>
      <c r="B491" s="1" t="n">
        <v>45238</v>
      </c>
      <c r="C491" s="1" t="n">
        <v>45932</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46323-2024</t>
        </is>
      </c>
      <c r="B492" s="1" t="n">
        <v>45581.84538194445</v>
      </c>
      <c r="C492" s="1" t="n">
        <v>45932</v>
      </c>
      <c r="D492" t="inlineStr">
        <is>
          <t>ÖREBRO LÄN</t>
        </is>
      </c>
      <c r="E492" t="inlineStr">
        <is>
          <t>ÖREBRO</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36448-2025</t>
        </is>
      </c>
      <c r="B493" s="1" t="n">
        <v>45869.41929398148</v>
      </c>
      <c r="C493" s="1" t="n">
        <v>45932</v>
      </c>
      <c r="D493" t="inlineStr">
        <is>
          <t>ÖREBRO LÄN</t>
        </is>
      </c>
      <c r="E493" t="inlineStr">
        <is>
          <t>ÖREBRO</t>
        </is>
      </c>
      <c r="F493" t="inlineStr">
        <is>
          <t>Övriga Aktiebolag</t>
        </is>
      </c>
      <c r="G493" t="n">
        <v>4.3</v>
      </c>
      <c r="H493" t="n">
        <v>0</v>
      </c>
      <c r="I493" t="n">
        <v>0</v>
      </c>
      <c r="J493" t="n">
        <v>0</v>
      </c>
      <c r="K493" t="n">
        <v>0</v>
      </c>
      <c r="L493" t="n">
        <v>0</v>
      </c>
      <c r="M493" t="n">
        <v>0</v>
      </c>
      <c r="N493" t="n">
        <v>0</v>
      </c>
      <c r="O493" t="n">
        <v>0</v>
      </c>
      <c r="P493" t="n">
        <v>0</v>
      </c>
      <c r="Q493" t="n">
        <v>0</v>
      </c>
      <c r="R493" s="2" t="inlineStr"/>
    </row>
    <row r="494" ht="15" customHeight="1">
      <c r="A494" t="inlineStr">
        <is>
          <t>A 5129-2024</t>
        </is>
      </c>
      <c r="B494" s="1" t="n">
        <v>45330</v>
      </c>
      <c r="C494" s="1" t="n">
        <v>45932</v>
      </c>
      <c r="D494" t="inlineStr">
        <is>
          <t>ÖREBRO LÄN</t>
        </is>
      </c>
      <c r="E494" t="inlineStr">
        <is>
          <t>ÖREBRO</t>
        </is>
      </c>
      <c r="G494" t="n">
        <v>0.5</v>
      </c>
      <c r="H494" t="n">
        <v>0</v>
      </c>
      <c r="I494" t="n">
        <v>0</v>
      </c>
      <c r="J494" t="n">
        <v>0</v>
      </c>
      <c r="K494" t="n">
        <v>0</v>
      </c>
      <c r="L494" t="n">
        <v>0</v>
      </c>
      <c r="M494" t="n">
        <v>0</v>
      </c>
      <c r="N494" t="n">
        <v>0</v>
      </c>
      <c r="O494" t="n">
        <v>0</v>
      </c>
      <c r="P494" t="n">
        <v>0</v>
      </c>
      <c r="Q494" t="n">
        <v>0</v>
      </c>
      <c r="R494" s="2" t="inlineStr"/>
    </row>
    <row r="495" ht="15" customHeight="1">
      <c r="A495" t="inlineStr">
        <is>
          <t>A 58486-2024</t>
        </is>
      </c>
      <c r="B495" s="1" t="n">
        <v>45635</v>
      </c>
      <c r="C495" s="1" t="n">
        <v>45932</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15652-2025</t>
        </is>
      </c>
      <c r="B496" s="1" t="n">
        <v>45748</v>
      </c>
      <c r="C496" s="1" t="n">
        <v>45932</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16737-2023</t>
        </is>
      </c>
      <c r="B497" s="1" t="n">
        <v>45030.72472222222</v>
      </c>
      <c r="C497" s="1" t="n">
        <v>45932</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5762-2025</t>
        </is>
      </c>
      <c r="B498" s="1" t="n">
        <v>45694.57181712963</v>
      </c>
      <c r="C498" s="1" t="n">
        <v>45932</v>
      </c>
      <c r="D498" t="inlineStr">
        <is>
          <t>ÖREBRO LÄN</t>
        </is>
      </c>
      <c r="E498" t="inlineStr">
        <is>
          <t>ÖREBRO</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30015-2023</t>
        </is>
      </c>
      <c r="B499" s="1" t="n">
        <v>45109</v>
      </c>
      <c r="C499" s="1" t="n">
        <v>45932</v>
      </c>
      <c r="D499" t="inlineStr">
        <is>
          <t>ÖREBRO LÄN</t>
        </is>
      </c>
      <c r="E499" t="inlineStr">
        <is>
          <t>ÖREBRO</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51180-2023</t>
        </is>
      </c>
      <c r="B500" s="1" t="n">
        <v>45219</v>
      </c>
      <c r="C500" s="1" t="n">
        <v>45932</v>
      </c>
      <c r="D500" t="inlineStr">
        <is>
          <t>ÖREBRO LÄN</t>
        </is>
      </c>
      <c r="E500" t="inlineStr">
        <is>
          <t>ÖREBRO</t>
        </is>
      </c>
      <c r="G500" t="n">
        <v>6.5</v>
      </c>
      <c r="H500" t="n">
        <v>0</v>
      </c>
      <c r="I500" t="n">
        <v>0</v>
      </c>
      <c r="J500" t="n">
        <v>0</v>
      </c>
      <c r="K500" t="n">
        <v>0</v>
      </c>
      <c r="L500" t="n">
        <v>0</v>
      </c>
      <c r="M500" t="n">
        <v>0</v>
      </c>
      <c r="N500" t="n">
        <v>0</v>
      </c>
      <c r="O500" t="n">
        <v>0</v>
      </c>
      <c r="P500" t="n">
        <v>0</v>
      </c>
      <c r="Q500" t="n">
        <v>0</v>
      </c>
      <c r="R500" s="2" t="inlineStr"/>
    </row>
    <row r="501" ht="15" customHeight="1">
      <c r="A501" t="inlineStr">
        <is>
          <t>A 58621-2024</t>
        </is>
      </c>
      <c r="B501" s="1" t="n">
        <v>45635.56321759259</v>
      </c>
      <c r="C501" s="1" t="n">
        <v>45932</v>
      </c>
      <c r="D501" t="inlineStr">
        <is>
          <t>ÖREBRO LÄN</t>
        </is>
      </c>
      <c r="E501" t="inlineStr">
        <is>
          <t>ÖREBRO</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36447-2025</t>
        </is>
      </c>
      <c r="B502" s="1" t="n">
        <v>45869.41387731482</v>
      </c>
      <c r="C502" s="1" t="n">
        <v>45932</v>
      </c>
      <c r="D502" t="inlineStr">
        <is>
          <t>ÖREBRO LÄN</t>
        </is>
      </c>
      <c r="E502" t="inlineStr">
        <is>
          <t>ÖREBRO</t>
        </is>
      </c>
      <c r="F502" t="inlineStr">
        <is>
          <t>Övriga Aktiebolag</t>
        </is>
      </c>
      <c r="G502" t="n">
        <v>12.6</v>
      </c>
      <c r="H502" t="n">
        <v>0</v>
      </c>
      <c r="I502" t="n">
        <v>0</v>
      </c>
      <c r="J502" t="n">
        <v>0</v>
      </c>
      <c r="K502" t="n">
        <v>0</v>
      </c>
      <c r="L502" t="n">
        <v>0</v>
      </c>
      <c r="M502" t="n">
        <v>0</v>
      </c>
      <c r="N502" t="n">
        <v>0</v>
      </c>
      <c r="O502" t="n">
        <v>0</v>
      </c>
      <c r="P502" t="n">
        <v>0</v>
      </c>
      <c r="Q502" t="n">
        <v>0</v>
      </c>
      <c r="R502" s="2" t="inlineStr"/>
    </row>
    <row r="503" ht="15" customHeight="1">
      <c r="A503" t="inlineStr">
        <is>
          <t>A 1013-2024</t>
        </is>
      </c>
      <c r="B503" s="1" t="n">
        <v>45301</v>
      </c>
      <c r="C503" s="1" t="n">
        <v>45932</v>
      </c>
      <c r="D503" t="inlineStr">
        <is>
          <t>ÖREBRO LÄN</t>
        </is>
      </c>
      <c r="E503" t="inlineStr">
        <is>
          <t>ÖREBRO</t>
        </is>
      </c>
      <c r="G503" t="n">
        <v>2.6</v>
      </c>
      <c r="H503" t="n">
        <v>0</v>
      </c>
      <c r="I503" t="n">
        <v>0</v>
      </c>
      <c r="J503" t="n">
        <v>0</v>
      </c>
      <c r="K503" t="n">
        <v>0</v>
      </c>
      <c r="L503" t="n">
        <v>0</v>
      </c>
      <c r="M503" t="n">
        <v>0</v>
      </c>
      <c r="N503" t="n">
        <v>0</v>
      </c>
      <c r="O503" t="n">
        <v>0</v>
      </c>
      <c r="P503" t="n">
        <v>0</v>
      </c>
      <c r="Q503" t="n">
        <v>0</v>
      </c>
      <c r="R503" s="2" t="inlineStr"/>
    </row>
    <row r="504" ht="15" customHeight="1">
      <c r="A504" t="inlineStr">
        <is>
          <t>A 5578-2024</t>
        </is>
      </c>
      <c r="B504" s="1" t="n">
        <v>45334.49104166667</v>
      </c>
      <c r="C504" s="1" t="n">
        <v>45932</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8512-2025</t>
        </is>
      </c>
      <c r="B505" s="1" t="n">
        <v>45709.54873842592</v>
      </c>
      <c r="C505" s="1" t="n">
        <v>45932</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14715-2024</t>
        </is>
      </c>
      <c r="B506" s="1" t="n">
        <v>45397.5500462963</v>
      </c>
      <c r="C506" s="1" t="n">
        <v>45932</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58145-2024</t>
        </is>
      </c>
      <c r="B507" s="1" t="n">
        <v>45632.43230324074</v>
      </c>
      <c r="C507" s="1" t="n">
        <v>45932</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32086-2023</t>
        </is>
      </c>
      <c r="B508" s="1" t="n">
        <v>45119.59789351852</v>
      </c>
      <c r="C508" s="1" t="n">
        <v>45932</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22079-2023</t>
        </is>
      </c>
      <c r="B509" s="1" t="n">
        <v>45069</v>
      </c>
      <c r="C509" s="1" t="n">
        <v>45932</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16300-2022</t>
        </is>
      </c>
      <c r="B510" s="1" t="n">
        <v>44670</v>
      </c>
      <c r="C510" s="1" t="n">
        <v>45932</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18181-2024</t>
        </is>
      </c>
      <c r="B511" s="1" t="n">
        <v>45420.64561342593</v>
      </c>
      <c r="C511" s="1" t="n">
        <v>45932</v>
      </c>
      <c r="D511" t="inlineStr">
        <is>
          <t>ÖREBRO LÄN</t>
        </is>
      </c>
      <c r="E511" t="inlineStr">
        <is>
          <t>ÖREBRO</t>
        </is>
      </c>
      <c r="G511" t="n">
        <v>7.6</v>
      </c>
      <c r="H511" t="n">
        <v>0</v>
      </c>
      <c r="I511" t="n">
        <v>0</v>
      </c>
      <c r="J511" t="n">
        <v>0</v>
      </c>
      <c r="K511" t="n">
        <v>0</v>
      </c>
      <c r="L511" t="n">
        <v>0</v>
      </c>
      <c r="M511" t="n">
        <v>0</v>
      </c>
      <c r="N511" t="n">
        <v>0</v>
      </c>
      <c r="O511" t="n">
        <v>0</v>
      </c>
      <c r="P511" t="n">
        <v>0</v>
      </c>
      <c r="Q511" t="n">
        <v>0</v>
      </c>
      <c r="R511" s="2" t="inlineStr"/>
    </row>
    <row r="512" ht="15" customHeight="1">
      <c r="A512" t="inlineStr">
        <is>
          <t>A 2630-2023</t>
        </is>
      </c>
      <c r="B512" s="1" t="n">
        <v>44944.39105324074</v>
      </c>
      <c r="C512" s="1" t="n">
        <v>45932</v>
      </c>
      <c r="D512" t="inlineStr">
        <is>
          <t>ÖREBRO LÄN</t>
        </is>
      </c>
      <c r="E512" t="inlineStr">
        <is>
          <t>ÖREBRO</t>
        </is>
      </c>
      <c r="G512" t="n">
        <v>6.1</v>
      </c>
      <c r="H512" t="n">
        <v>0</v>
      </c>
      <c r="I512" t="n">
        <v>0</v>
      </c>
      <c r="J512" t="n">
        <v>0</v>
      </c>
      <c r="K512" t="n">
        <v>0</v>
      </c>
      <c r="L512" t="n">
        <v>0</v>
      </c>
      <c r="M512" t="n">
        <v>0</v>
      </c>
      <c r="N512" t="n">
        <v>0</v>
      </c>
      <c r="O512" t="n">
        <v>0</v>
      </c>
      <c r="P512" t="n">
        <v>0</v>
      </c>
      <c r="Q512" t="n">
        <v>0</v>
      </c>
      <c r="R512" s="2" t="inlineStr"/>
    </row>
    <row r="513" ht="15" customHeight="1">
      <c r="A513" t="inlineStr">
        <is>
          <t>A 70707-2021</t>
        </is>
      </c>
      <c r="B513" s="1" t="n">
        <v>44537</v>
      </c>
      <c r="C513" s="1" t="n">
        <v>45932</v>
      </c>
      <c r="D513" t="inlineStr">
        <is>
          <t>ÖREBRO LÄN</t>
        </is>
      </c>
      <c r="E513" t="inlineStr">
        <is>
          <t>ÖREBRO</t>
        </is>
      </c>
      <c r="G513" t="n">
        <v>13.2</v>
      </c>
      <c r="H513" t="n">
        <v>0</v>
      </c>
      <c r="I513" t="n">
        <v>0</v>
      </c>
      <c r="J513" t="n">
        <v>0</v>
      </c>
      <c r="K513" t="n">
        <v>0</v>
      </c>
      <c r="L513" t="n">
        <v>0</v>
      </c>
      <c r="M513" t="n">
        <v>0</v>
      </c>
      <c r="N513" t="n">
        <v>0</v>
      </c>
      <c r="O513" t="n">
        <v>0</v>
      </c>
      <c r="P513" t="n">
        <v>0</v>
      </c>
      <c r="Q513" t="n">
        <v>0</v>
      </c>
      <c r="R513" s="2" t="inlineStr"/>
    </row>
    <row r="514" ht="15" customHeight="1">
      <c r="A514" t="inlineStr">
        <is>
          <t>A 5330-2024</t>
        </is>
      </c>
      <c r="B514" s="1" t="n">
        <v>45331.4187962963</v>
      </c>
      <c r="C514" s="1" t="n">
        <v>45932</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54925-2023</t>
        </is>
      </c>
      <c r="B515" s="1" t="n">
        <v>45229</v>
      </c>
      <c r="C515" s="1" t="n">
        <v>45932</v>
      </c>
      <c r="D515" t="inlineStr">
        <is>
          <t>ÖREBRO LÄN</t>
        </is>
      </c>
      <c r="E515" t="inlineStr">
        <is>
          <t>ÖREBRO</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10830-2023</t>
        </is>
      </c>
      <c r="B516" s="1" t="n">
        <v>44990.89752314815</v>
      </c>
      <c r="C516" s="1" t="n">
        <v>45932</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60100-2022</t>
        </is>
      </c>
      <c r="B517" s="1" t="n">
        <v>44902</v>
      </c>
      <c r="C517" s="1" t="n">
        <v>45932</v>
      </c>
      <c r="D517" t="inlineStr">
        <is>
          <t>ÖREBRO LÄN</t>
        </is>
      </c>
      <c r="E517" t="inlineStr">
        <is>
          <t>ÖREBRO</t>
        </is>
      </c>
      <c r="G517" t="n">
        <v>1.4</v>
      </c>
      <c r="H517" t="n">
        <v>0</v>
      </c>
      <c r="I517" t="n">
        <v>0</v>
      </c>
      <c r="J517" t="n">
        <v>0</v>
      </c>
      <c r="K517" t="n">
        <v>0</v>
      </c>
      <c r="L517" t="n">
        <v>0</v>
      </c>
      <c r="M517" t="n">
        <v>0</v>
      </c>
      <c r="N517" t="n">
        <v>0</v>
      </c>
      <c r="O517" t="n">
        <v>0</v>
      </c>
      <c r="P517" t="n">
        <v>0</v>
      </c>
      <c r="Q517" t="n">
        <v>0</v>
      </c>
      <c r="R517" s="2" t="inlineStr"/>
    </row>
    <row r="518" ht="15" customHeight="1">
      <c r="A518" t="inlineStr">
        <is>
          <t>A 2152-2023</t>
        </is>
      </c>
      <c r="B518" s="1" t="n">
        <v>44941.55056712963</v>
      </c>
      <c r="C518" s="1" t="n">
        <v>45932</v>
      </c>
      <c r="D518" t="inlineStr">
        <is>
          <t>ÖREBRO LÄN</t>
        </is>
      </c>
      <c r="E518" t="inlineStr">
        <is>
          <t>ÖREBRO</t>
        </is>
      </c>
      <c r="G518" t="n">
        <v>8</v>
      </c>
      <c r="H518" t="n">
        <v>0</v>
      </c>
      <c r="I518" t="n">
        <v>0</v>
      </c>
      <c r="J518" t="n">
        <v>0</v>
      </c>
      <c r="K518" t="n">
        <v>0</v>
      </c>
      <c r="L518" t="n">
        <v>0</v>
      </c>
      <c r="M518" t="n">
        <v>0</v>
      </c>
      <c r="N518" t="n">
        <v>0</v>
      </c>
      <c r="O518" t="n">
        <v>0</v>
      </c>
      <c r="P518" t="n">
        <v>0</v>
      </c>
      <c r="Q518" t="n">
        <v>0</v>
      </c>
      <c r="R518" s="2" t="inlineStr"/>
    </row>
    <row r="519" ht="15" customHeight="1">
      <c r="A519" t="inlineStr">
        <is>
          <t>A 8656-2025</t>
        </is>
      </c>
      <c r="B519" s="1" t="n">
        <v>45712.38268518518</v>
      </c>
      <c r="C519" s="1" t="n">
        <v>45932</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9585-2025</t>
        </is>
      </c>
      <c r="B520" s="1" t="n">
        <v>45715.63409722222</v>
      </c>
      <c r="C520" s="1" t="n">
        <v>45932</v>
      </c>
      <c r="D520" t="inlineStr">
        <is>
          <t>ÖREBRO LÄN</t>
        </is>
      </c>
      <c r="E520" t="inlineStr">
        <is>
          <t>ÖREBRO</t>
        </is>
      </c>
      <c r="G520" t="n">
        <v>3.4</v>
      </c>
      <c r="H520" t="n">
        <v>0</v>
      </c>
      <c r="I520" t="n">
        <v>0</v>
      </c>
      <c r="J520" t="n">
        <v>0</v>
      </c>
      <c r="K520" t="n">
        <v>0</v>
      </c>
      <c r="L520" t="n">
        <v>0</v>
      </c>
      <c r="M520" t="n">
        <v>0</v>
      </c>
      <c r="N520" t="n">
        <v>0</v>
      </c>
      <c r="O520" t="n">
        <v>0</v>
      </c>
      <c r="P520" t="n">
        <v>0</v>
      </c>
      <c r="Q520" t="n">
        <v>0</v>
      </c>
      <c r="R520" s="2" t="inlineStr"/>
    </row>
    <row r="521" ht="15" customHeight="1">
      <c r="A521" t="inlineStr">
        <is>
          <t>A 55353-2024</t>
        </is>
      </c>
      <c r="B521" s="1" t="n">
        <v>45621.79526620371</v>
      </c>
      <c r="C521" s="1" t="n">
        <v>45932</v>
      </c>
      <c r="D521" t="inlineStr">
        <is>
          <t>ÖREBRO LÄN</t>
        </is>
      </c>
      <c r="E521" t="inlineStr">
        <is>
          <t>ÖREBRO</t>
        </is>
      </c>
      <c r="G521" t="n">
        <v>0.5</v>
      </c>
      <c r="H521" t="n">
        <v>0</v>
      </c>
      <c r="I521" t="n">
        <v>0</v>
      </c>
      <c r="J521" t="n">
        <v>0</v>
      </c>
      <c r="K521" t="n">
        <v>0</v>
      </c>
      <c r="L521" t="n">
        <v>0</v>
      </c>
      <c r="M521" t="n">
        <v>0</v>
      </c>
      <c r="N521" t="n">
        <v>0</v>
      </c>
      <c r="O521" t="n">
        <v>0</v>
      </c>
      <c r="P521" t="n">
        <v>0</v>
      </c>
      <c r="Q521" t="n">
        <v>0</v>
      </c>
      <c r="R521" s="2" t="inlineStr"/>
    </row>
    <row r="522" ht="15" customHeight="1">
      <c r="A522" t="inlineStr">
        <is>
          <t>A 55357-2024</t>
        </is>
      </c>
      <c r="B522" s="1" t="n">
        <v>45621.81126157408</v>
      </c>
      <c r="C522" s="1" t="n">
        <v>45932</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5125-2024</t>
        </is>
      </c>
      <c r="B523" s="1" t="n">
        <v>45330</v>
      </c>
      <c r="C523" s="1" t="n">
        <v>45932</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42138-2024</t>
        </is>
      </c>
      <c r="B524" s="1" t="n">
        <v>45562.41854166667</v>
      </c>
      <c r="C524" s="1" t="n">
        <v>45932</v>
      </c>
      <c r="D524" t="inlineStr">
        <is>
          <t>ÖREBRO LÄN</t>
        </is>
      </c>
      <c r="E524" t="inlineStr">
        <is>
          <t>ÖREBRO</t>
        </is>
      </c>
      <c r="G524" t="n">
        <v>1.4</v>
      </c>
      <c r="H524" t="n">
        <v>0</v>
      </c>
      <c r="I524" t="n">
        <v>0</v>
      </c>
      <c r="J524" t="n">
        <v>0</v>
      </c>
      <c r="K524" t="n">
        <v>0</v>
      </c>
      <c r="L524" t="n">
        <v>0</v>
      </c>
      <c r="M524" t="n">
        <v>0</v>
      </c>
      <c r="N524" t="n">
        <v>0</v>
      </c>
      <c r="O524" t="n">
        <v>0</v>
      </c>
      <c r="P524" t="n">
        <v>0</v>
      </c>
      <c r="Q524" t="n">
        <v>0</v>
      </c>
      <c r="R524" s="2" t="inlineStr"/>
    </row>
    <row r="525" ht="15" customHeight="1">
      <c r="A525" t="inlineStr">
        <is>
          <t>A 42623-2022</t>
        </is>
      </c>
      <c r="B525" s="1" t="n">
        <v>44831</v>
      </c>
      <c r="C525" s="1" t="n">
        <v>45932</v>
      </c>
      <c r="D525" t="inlineStr">
        <is>
          <t>ÖREBRO LÄN</t>
        </is>
      </c>
      <c r="E525" t="inlineStr">
        <is>
          <t>ÖREBRO</t>
        </is>
      </c>
      <c r="G525" t="n">
        <v>3.6</v>
      </c>
      <c r="H525" t="n">
        <v>0</v>
      </c>
      <c r="I525" t="n">
        <v>0</v>
      </c>
      <c r="J525" t="n">
        <v>0</v>
      </c>
      <c r="K525" t="n">
        <v>0</v>
      </c>
      <c r="L525" t="n">
        <v>0</v>
      </c>
      <c r="M525" t="n">
        <v>0</v>
      </c>
      <c r="N525" t="n">
        <v>0</v>
      </c>
      <c r="O525" t="n">
        <v>0</v>
      </c>
      <c r="P525" t="n">
        <v>0</v>
      </c>
      <c r="Q525" t="n">
        <v>0</v>
      </c>
      <c r="R525" s="2" t="inlineStr"/>
    </row>
    <row r="526" ht="15" customHeight="1">
      <c r="A526" t="inlineStr">
        <is>
          <t>A 72329-2021</t>
        </is>
      </c>
      <c r="B526" s="1" t="n">
        <v>44545.46072916667</v>
      </c>
      <c r="C526" s="1" t="n">
        <v>45932</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45932</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2095-2025</t>
        </is>
      </c>
      <c r="B528" s="1" t="n">
        <v>45672</v>
      </c>
      <c r="C528" s="1" t="n">
        <v>45932</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71206-2021</t>
        </is>
      </c>
      <c r="B529" s="1" t="n">
        <v>44539</v>
      </c>
      <c r="C529" s="1" t="n">
        <v>45932</v>
      </c>
      <c r="D529" t="inlineStr">
        <is>
          <t>ÖREBRO LÄN</t>
        </is>
      </c>
      <c r="E529" t="inlineStr">
        <is>
          <t>ÖREBRO</t>
        </is>
      </c>
      <c r="G529" t="n">
        <v>2.5</v>
      </c>
      <c r="H529" t="n">
        <v>0</v>
      </c>
      <c r="I529" t="n">
        <v>0</v>
      </c>
      <c r="J529" t="n">
        <v>0</v>
      </c>
      <c r="K529" t="n">
        <v>0</v>
      </c>
      <c r="L529" t="n">
        <v>0</v>
      </c>
      <c r="M529" t="n">
        <v>0</v>
      </c>
      <c r="N529" t="n">
        <v>0</v>
      </c>
      <c r="O529" t="n">
        <v>0</v>
      </c>
      <c r="P529" t="n">
        <v>0</v>
      </c>
      <c r="Q529" t="n">
        <v>0</v>
      </c>
      <c r="R529" s="2" t="inlineStr"/>
    </row>
    <row r="530" ht="15" customHeight="1">
      <c r="A530" t="inlineStr">
        <is>
          <t>A 29554-2025</t>
        </is>
      </c>
      <c r="B530" s="1" t="n">
        <v>45825</v>
      </c>
      <c r="C530" s="1" t="n">
        <v>45932</v>
      </c>
      <c r="D530" t="inlineStr">
        <is>
          <t>ÖREBRO LÄN</t>
        </is>
      </c>
      <c r="E530" t="inlineStr">
        <is>
          <t>ÖREBRO</t>
        </is>
      </c>
      <c r="F530" t="inlineStr">
        <is>
          <t>Övriga Aktiebolag</t>
        </is>
      </c>
      <c r="G530" t="n">
        <v>1</v>
      </c>
      <c r="H530" t="n">
        <v>0</v>
      </c>
      <c r="I530" t="n">
        <v>0</v>
      </c>
      <c r="J530" t="n">
        <v>0</v>
      </c>
      <c r="K530" t="n">
        <v>0</v>
      </c>
      <c r="L530" t="n">
        <v>0</v>
      </c>
      <c r="M530" t="n">
        <v>0</v>
      </c>
      <c r="N530" t="n">
        <v>0</v>
      </c>
      <c r="O530" t="n">
        <v>0</v>
      </c>
      <c r="P530" t="n">
        <v>0</v>
      </c>
      <c r="Q530" t="n">
        <v>0</v>
      </c>
      <c r="R530" s="2" t="inlineStr"/>
    </row>
    <row r="531" ht="15" customHeight="1">
      <c r="A531" t="inlineStr">
        <is>
          <t>A 48140-2024</t>
        </is>
      </c>
      <c r="B531" s="1" t="n">
        <v>45589.66474537037</v>
      </c>
      <c r="C531" s="1" t="n">
        <v>45932</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44875-2025</t>
        </is>
      </c>
      <c r="B532" s="1" t="n">
        <v>45918.47043981482</v>
      </c>
      <c r="C532" s="1" t="n">
        <v>45932</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41703-2024</t>
        </is>
      </c>
      <c r="B533" s="1" t="n">
        <v>45560</v>
      </c>
      <c r="C533" s="1" t="n">
        <v>45932</v>
      </c>
      <c r="D533" t="inlineStr">
        <is>
          <t>ÖREBRO LÄN</t>
        </is>
      </c>
      <c r="E533" t="inlineStr">
        <is>
          <t>ÖREBRO</t>
        </is>
      </c>
      <c r="G533" t="n">
        <v>6.4</v>
      </c>
      <c r="H533" t="n">
        <v>0</v>
      </c>
      <c r="I533" t="n">
        <v>0</v>
      </c>
      <c r="J533" t="n">
        <v>0</v>
      </c>
      <c r="K533" t="n">
        <v>0</v>
      </c>
      <c r="L533" t="n">
        <v>0</v>
      </c>
      <c r="M533" t="n">
        <v>0</v>
      </c>
      <c r="N533" t="n">
        <v>0</v>
      </c>
      <c r="O533" t="n">
        <v>0</v>
      </c>
      <c r="P533" t="n">
        <v>0</v>
      </c>
      <c r="Q533" t="n">
        <v>0</v>
      </c>
      <c r="R533" s="2" t="inlineStr"/>
    </row>
    <row r="534" ht="15" customHeight="1">
      <c r="A534" t="inlineStr">
        <is>
          <t>A 4344-2025</t>
        </is>
      </c>
      <c r="B534" s="1" t="n">
        <v>45685</v>
      </c>
      <c r="C534" s="1" t="n">
        <v>45932</v>
      </c>
      <c r="D534" t="inlineStr">
        <is>
          <t>ÖREBRO LÄN</t>
        </is>
      </c>
      <c r="E534" t="inlineStr">
        <is>
          <t>ÖREBRO</t>
        </is>
      </c>
      <c r="G534" t="n">
        <v>1.6</v>
      </c>
      <c r="H534" t="n">
        <v>0</v>
      </c>
      <c r="I534" t="n">
        <v>0</v>
      </c>
      <c r="J534" t="n">
        <v>0</v>
      </c>
      <c r="K534" t="n">
        <v>0</v>
      </c>
      <c r="L534" t="n">
        <v>0</v>
      </c>
      <c r="M534" t="n">
        <v>0</v>
      </c>
      <c r="N534" t="n">
        <v>0</v>
      </c>
      <c r="O534" t="n">
        <v>0</v>
      </c>
      <c r="P534" t="n">
        <v>0</v>
      </c>
      <c r="Q534" t="n">
        <v>0</v>
      </c>
      <c r="R534" s="2" t="inlineStr"/>
    </row>
    <row r="535" ht="15" customHeight="1">
      <c r="A535" t="inlineStr">
        <is>
          <t>A 55355-2024</t>
        </is>
      </c>
      <c r="B535" s="1" t="n">
        <v>45621.80475694445</v>
      </c>
      <c r="C535" s="1" t="n">
        <v>45932</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44960-2025</t>
        </is>
      </c>
      <c r="B536" s="1" t="n">
        <v>45918.61577546296</v>
      </c>
      <c r="C536" s="1" t="n">
        <v>45932</v>
      </c>
      <c r="D536" t="inlineStr">
        <is>
          <t>ÖREBRO LÄN</t>
        </is>
      </c>
      <c r="E536" t="inlineStr">
        <is>
          <t>ÖREBRO</t>
        </is>
      </c>
      <c r="G536" t="n">
        <v>1.5</v>
      </c>
      <c r="H536" t="n">
        <v>0</v>
      </c>
      <c r="I536" t="n">
        <v>0</v>
      </c>
      <c r="J536" t="n">
        <v>0</v>
      </c>
      <c r="K536" t="n">
        <v>0</v>
      </c>
      <c r="L536" t="n">
        <v>0</v>
      </c>
      <c r="M536" t="n">
        <v>0</v>
      </c>
      <c r="N536" t="n">
        <v>0</v>
      </c>
      <c r="O536" t="n">
        <v>0</v>
      </c>
      <c r="P536" t="n">
        <v>0</v>
      </c>
      <c r="Q536" t="n">
        <v>0</v>
      </c>
      <c r="R536" s="2" t="inlineStr"/>
    </row>
    <row r="537" ht="15" customHeight="1">
      <c r="A537" t="inlineStr">
        <is>
          <t>A 56077-2022</t>
        </is>
      </c>
      <c r="B537" s="1" t="n">
        <v>44889.60872685185</v>
      </c>
      <c r="C537" s="1" t="n">
        <v>45932</v>
      </c>
      <c r="D537" t="inlineStr">
        <is>
          <t>ÖREBRO LÄN</t>
        </is>
      </c>
      <c r="E537" t="inlineStr">
        <is>
          <t>ÖREBRO</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33577-2023</t>
        </is>
      </c>
      <c r="B538" s="1" t="n">
        <v>45131</v>
      </c>
      <c r="C538" s="1" t="n">
        <v>45932</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38489-2023</t>
        </is>
      </c>
      <c r="B539" s="1" t="n">
        <v>45162</v>
      </c>
      <c r="C539" s="1" t="n">
        <v>45932</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33457-2023</t>
        </is>
      </c>
      <c r="B540" s="1" t="n">
        <v>45131</v>
      </c>
      <c r="C540" s="1" t="n">
        <v>45932</v>
      </c>
      <c r="D540" t="inlineStr">
        <is>
          <t>ÖREBRO LÄN</t>
        </is>
      </c>
      <c r="E540" t="inlineStr">
        <is>
          <t>ÖREBRO</t>
        </is>
      </c>
      <c r="G540" t="n">
        <v>0.5</v>
      </c>
      <c r="H540" t="n">
        <v>0</v>
      </c>
      <c r="I540" t="n">
        <v>0</v>
      </c>
      <c r="J540" t="n">
        <v>0</v>
      </c>
      <c r="K540" t="n">
        <v>0</v>
      </c>
      <c r="L540" t="n">
        <v>0</v>
      </c>
      <c r="M540" t="n">
        <v>0</v>
      </c>
      <c r="N540" t="n">
        <v>0</v>
      </c>
      <c r="O540" t="n">
        <v>0</v>
      </c>
      <c r="P540" t="n">
        <v>0</v>
      </c>
      <c r="Q540" t="n">
        <v>0</v>
      </c>
      <c r="R540" s="2" t="inlineStr"/>
    </row>
    <row r="541" ht="15" customHeight="1">
      <c r="A541" t="inlineStr">
        <is>
          <t>A 7141-2025</t>
        </is>
      </c>
      <c r="B541" s="1" t="n">
        <v>45702</v>
      </c>
      <c r="C541" s="1" t="n">
        <v>45932</v>
      </c>
      <c r="D541" t="inlineStr">
        <is>
          <t>ÖREBRO LÄN</t>
        </is>
      </c>
      <c r="E541" t="inlineStr">
        <is>
          <t>ÖREBRO</t>
        </is>
      </c>
      <c r="G541" t="n">
        <v>2.9</v>
      </c>
      <c r="H541" t="n">
        <v>0</v>
      </c>
      <c r="I541" t="n">
        <v>0</v>
      </c>
      <c r="J541" t="n">
        <v>0</v>
      </c>
      <c r="K541" t="n">
        <v>0</v>
      </c>
      <c r="L541" t="n">
        <v>0</v>
      </c>
      <c r="M541" t="n">
        <v>0</v>
      </c>
      <c r="N541" t="n">
        <v>0</v>
      </c>
      <c r="O541" t="n">
        <v>0</v>
      </c>
      <c r="P541" t="n">
        <v>0</v>
      </c>
      <c r="Q541" t="n">
        <v>0</v>
      </c>
      <c r="R541" s="2" t="inlineStr"/>
    </row>
    <row r="542" ht="15" customHeight="1">
      <c r="A542" t="inlineStr">
        <is>
          <t>A 19763-2024</t>
        </is>
      </c>
      <c r="B542" s="1" t="n">
        <v>45432</v>
      </c>
      <c r="C542" s="1" t="n">
        <v>45932</v>
      </c>
      <c r="D542" t="inlineStr">
        <is>
          <t>ÖREBRO LÄN</t>
        </is>
      </c>
      <c r="E542" t="inlineStr">
        <is>
          <t>ÖREBRO</t>
        </is>
      </c>
      <c r="G542" t="n">
        <v>1.9</v>
      </c>
      <c r="H542" t="n">
        <v>0</v>
      </c>
      <c r="I542" t="n">
        <v>0</v>
      </c>
      <c r="J542" t="n">
        <v>0</v>
      </c>
      <c r="K542" t="n">
        <v>0</v>
      </c>
      <c r="L542" t="n">
        <v>0</v>
      </c>
      <c r="M542" t="n">
        <v>0</v>
      </c>
      <c r="N542" t="n">
        <v>0</v>
      </c>
      <c r="O542" t="n">
        <v>0</v>
      </c>
      <c r="P542" t="n">
        <v>0</v>
      </c>
      <c r="Q542" t="n">
        <v>0</v>
      </c>
      <c r="R542" s="2" t="inlineStr"/>
    </row>
    <row r="543" ht="15" customHeight="1">
      <c r="A543" t="inlineStr">
        <is>
          <t>A 14545-2023</t>
        </is>
      </c>
      <c r="B543" s="1" t="n">
        <v>45013.34895833334</v>
      </c>
      <c r="C543" s="1" t="n">
        <v>45932</v>
      </c>
      <c r="D543" t="inlineStr">
        <is>
          <t>ÖREBRO LÄN</t>
        </is>
      </c>
      <c r="E543" t="inlineStr">
        <is>
          <t>ÖREBRO</t>
        </is>
      </c>
      <c r="G543" t="n">
        <v>2.5</v>
      </c>
      <c r="H543" t="n">
        <v>0</v>
      </c>
      <c r="I543" t="n">
        <v>0</v>
      </c>
      <c r="J543" t="n">
        <v>0</v>
      </c>
      <c r="K543" t="n">
        <v>0</v>
      </c>
      <c r="L543" t="n">
        <v>0</v>
      </c>
      <c r="M543" t="n">
        <v>0</v>
      </c>
      <c r="N543" t="n">
        <v>0</v>
      </c>
      <c r="O543" t="n">
        <v>0</v>
      </c>
      <c r="P543" t="n">
        <v>0</v>
      </c>
      <c r="Q543" t="n">
        <v>0</v>
      </c>
      <c r="R543" s="2" t="inlineStr"/>
    </row>
    <row r="544" ht="15" customHeight="1">
      <c r="A544" t="inlineStr">
        <is>
          <t>A 54917-2023</t>
        </is>
      </c>
      <c r="B544" s="1" t="n">
        <v>45229</v>
      </c>
      <c r="C544" s="1" t="n">
        <v>45932</v>
      </c>
      <c r="D544" t="inlineStr">
        <is>
          <t>ÖREBRO LÄN</t>
        </is>
      </c>
      <c r="E544" t="inlineStr">
        <is>
          <t>ÖREBRO</t>
        </is>
      </c>
      <c r="G544" t="n">
        <v>3.1</v>
      </c>
      <c r="H544" t="n">
        <v>0</v>
      </c>
      <c r="I544" t="n">
        <v>0</v>
      </c>
      <c r="J544" t="n">
        <v>0</v>
      </c>
      <c r="K544" t="n">
        <v>0</v>
      </c>
      <c r="L544" t="n">
        <v>0</v>
      </c>
      <c r="M544" t="n">
        <v>0</v>
      </c>
      <c r="N544" t="n">
        <v>0</v>
      </c>
      <c r="O544" t="n">
        <v>0</v>
      </c>
      <c r="P544" t="n">
        <v>0</v>
      </c>
      <c r="Q544" t="n">
        <v>0</v>
      </c>
      <c r="R544" s="2" t="inlineStr"/>
    </row>
    <row r="545" ht="15" customHeight="1">
      <c r="A545" t="inlineStr">
        <is>
          <t>A 14432-2023</t>
        </is>
      </c>
      <c r="B545" s="1" t="n">
        <v>45012</v>
      </c>
      <c r="C545" s="1" t="n">
        <v>45932</v>
      </c>
      <c r="D545" t="inlineStr">
        <is>
          <t>ÖREBRO LÄN</t>
        </is>
      </c>
      <c r="E545" t="inlineStr">
        <is>
          <t>ÖREBRO</t>
        </is>
      </c>
      <c r="G545" t="n">
        <v>3.3</v>
      </c>
      <c r="H545" t="n">
        <v>0</v>
      </c>
      <c r="I545" t="n">
        <v>0</v>
      </c>
      <c r="J545" t="n">
        <v>0</v>
      </c>
      <c r="K545" t="n">
        <v>0</v>
      </c>
      <c r="L545" t="n">
        <v>0</v>
      </c>
      <c r="M545" t="n">
        <v>0</v>
      </c>
      <c r="N545" t="n">
        <v>0</v>
      </c>
      <c r="O545" t="n">
        <v>0</v>
      </c>
      <c r="P545" t="n">
        <v>0</v>
      </c>
      <c r="Q545" t="n">
        <v>0</v>
      </c>
      <c r="R545" s="2" t="inlineStr"/>
    </row>
    <row r="546" ht="15" customHeight="1">
      <c r="A546" t="inlineStr">
        <is>
          <t>A 22677-2022</t>
        </is>
      </c>
      <c r="B546" s="1" t="n">
        <v>44714</v>
      </c>
      <c r="C546" s="1" t="n">
        <v>45932</v>
      </c>
      <c r="D546" t="inlineStr">
        <is>
          <t>ÖREBRO LÄN</t>
        </is>
      </c>
      <c r="E546" t="inlineStr">
        <is>
          <t>ÖREBRO</t>
        </is>
      </c>
      <c r="G546" t="n">
        <v>2.3</v>
      </c>
      <c r="H546" t="n">
        <v>0</v>
      </c>
      <c r="I546" t="n">
        <v>0</v>
      </c>
      <c r="J546" t="n">
        <v>0</v>
      </c>
      <c r="K546" t="n">
        <v>0</v>
      </c>
      <c r="L546" t="n">
        <v>0</v>
      </c>
      <c r="M546" t="n">
        <v>0</v>
      </c>
      <c r="N546" t="n">
        <v>0</v>
      </c>
      <c r="O546" t="n">
        <v>0</v>
      </c>
      <c r="P546" t="n">
        <v>0</v>
      </c>
      <c r="Q546" t="n">
        <v>0</v>
      </c>
      <c r="R546" s="2" t="inlineStr"/>
    </row>
    <row r="547" ht="15" customHeight="1">
      <c r="A547" t="inlineStr">
        <is>
          <t>A 13169-2024</t>
        </is>
      </c>
      <c r="B547" s="1" t="n">
        <v>45386.40489583334</v>
      </c>
      <c r="C547" s="1" t="n">
        <v>45932</v>
      </c>
      <c r="D547" t="inlineStr">
        <is>
          <t>ÖREBRO LÄN</t>
        </is>
      </c>
      <c r="E547" t="inlineStr">
        <is>
          <t>ÖREBRO</t>
        </is>
      </c>
      <c r="G547" t="n">
        <v>4.3</v>
      </c>
      <c r="H547" t="n">
        <v>0</v>
      </c>
      <c r="I547" t="n">
        <v>0</v>
      </c>
      <c r="J547" t="n">
        <v>0</v>
      </c>
      <c r="K547" t="n">
        <v>0</v>
      </c>
      <c r="L547" t="n">
        <v>0</v>
      </c>
      <c r="M547" t="n">
        <v>0</v>
      </c>
      <c r="N547" t="n">
        <v>0</v>
      </c>
      <c r="O547" t="n">
        <v>0</v>
      </c>
      <c r="P547" t="n">
        <v>0</v>
      </c>
      <c r="Q547" t="n">
        <v>0</v>
      </c>
      <c r="R547" s="2" t="inlineStr"/>
    </row>
    <row r="548" ht="15" customHeight="1">
      <c r="A548" t="inlineStr">
        <is>
          <t>A 3652-2022</t>
        </is>
      </c>
      <c r="B548" s="1" t="n">
        <v>44586.46921296296</v>
      </c>
      <c r="C548" s="1" t="n">
        <v>45932</v>
      </c>
      <c r="D548" t="inlineStr">
        <is>
          <t>ÖREBRO LÄN</t>
        </is>
      </c>
      <c r="E548" t="inlineStr">
        <is>
          <t>ÖREBRO</t>
        </is>
      </c>
      <c r="G548" t="n">
        <v>1.6</v>
      </c>
      <c r="H548" t="n">
        <v>0</v>
      </c>
      <c r="I548" t="n">
        <v>0</v>
      </c>
      <c r="J548" t="n">
        <v>0</v>
      </c>
      <c r="K548" t="n">
        <v>0</v>
      </c>
      <c r="L548" t="n">
        <v>0</v>
      </c>
      <c r="M548" t="n">
        <v>0</v>
      </c>
      <c r="N548" t="n">
        <v>0</v>
      </c>
      <c r="O548" t="n">
        <v>0</v>
      </c>
      <c r="P548" t="n">
        <v>0</v>
      </c>
      <c r="Q548" t="n">
        <v>0</v>
      </c>
      <c r="R548" s="2" t="inlineStr"/>
    </row>
    <row r="549" ht="15" customHeight="1">
      <c r="A549" t="inlineStr">
        <is>
          <t>A 37021-2024</t>
        </is>
      </c>
      <c r="B549" s="1" t="n">
        <v>45539.38146990741</v>
      </c>
      <c r="C549" s="1" t="n">
        <v>45932</v>
      </c>
      <c r="D549" t="inlineStr">
        <is>
          <t>ÖREBRO LÄN</t>
        </is>
      </c>
      <c r="E549" t="inlineStr">
        <is>
          <t>ÖREBRO</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23710-2022</t>
        </is>
      </c>
      <c r="B550" s="1" t="n">
        <v>44722</v>
      </c>
      <c r="C550" s="1" t="n">
        <v>45932</v>
      </c>
      <c r="D550" t="inlineStr">
        <is>
          <t>ÖREBRO LÄN</t>
        </is>
      </c>
      <c r="E550" t="inlineStr">
        <is>
          <t>ÖREBRO</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4757-2024</t>
        </is>
      </c>
      <c r="B551" s="1" t="n">
        <v>45328</v>
      </c>
      <c r="C551" s="1" t="n">
        <v>45932</v>
      </c>
      <c r="D551" t="inlineStr">
        <is>
          <t>ÖREBRO LÄN</t>
        </is>
      </c>
      <c r="E551" t="inlineStr">
        <is>
          <t>ÖREBRO</t>
        </is>
      </c>
      <c r="G551" t="n">
        <v>1.9</v>
      </c>
      <c r="H551" t="n">
        <v>0</v>
      </c>
      <c r="I551" t="n">
        <v>0</v>
      </c>
      <c r="J551" t="n">
        <v>0</v>
      </c>
      <c r="K551" t="n">
        <v>0</v>
      </c>
      <c r="L551" t="n">
        <v>0</v>
      </c>
      <c r="M551" t="n">
        <v>0</v>
      </c>
      <c r="N551" t="n">
        <v>0</v>
      </c>
      <c r="O551" t="n">
        <v>0</v>
      </c>
      <c r="P551" t="n">
        <v>0</v>
      </c>
      <c r="Q551" t="n">
        <v>0</v>
      </c>
      <c r="R551" s="2" t="inlineStr"/>
    </row>
    <row r="552" ht="15" customHeight="1">
      <c r="A552" t="inlineStr">
        <is>
          <t>A 30903-2024</t>
        </is>
      </c>
      <c r="B552" s="1" t="n">
        <v>45498.49946759259</v>
      </c>
      <c r="C552" s="1" t="n">
        <v>45932</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38057-2025</t>
        </is>
      </c>
      <c r="B553" s="1" t="n">
        <v>45882.42570601852</v>
      </c>
      <c r="C553" s="1" t="n">
        <v>45932</v>
      </c>
      <c r="D553" t="inlineStr">
        <is>
          <t>ÖREBRO LÄN</t>
        </is>
      </c>
      <c r="E553" t="inlineStr">
        <is>
          <t>ÖREBRO</t>
        </is>
      </c>
      <c r="G553" t="n">
        <v>3</v>
      </c>
      <c r="H553" t="n">
        <v>0</v>
      </c>
      <c r="I553" t="n">
        <v>0</v>
      </c>
      <c r="J553" t="n">
        <v>0</v>
      </c>
      <c r="K553" t="n">
        <v>0</v>
      </c>
      <c r="L553" t="n">
        <v>0</v>
      </c>
      <c r="M553" t="n">
        <v>0</v>
      </c>
      <c r="N553" t="n">
        <v>0</v>
      </c>
      <c r="O553" t="n">
        <v>0</v>
      </c>
      <c r="P553" t="n">
        <v>0</v>
      </c>
      <c r="Q553" t="n">
        <v>0</v>
      </c>
      <c r="R553" s="2" t="inlineStr"/>
    </row>
    <row r="554" ht="15" customHeight="1">
      <c r="A554" t="inlineStr">
        <is>
          <t>A 47193-2023</t>
        </is>
      </c>
      <c r="B554" s="1" t="n">
        <v>45202.3074537037</v>
      </c>
      <c r="C554" s="1" t="n">
        <v>45932</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59026-2024</t>
        </is>
      </c>
      <c r="B555" s="1" t="n">
        <v>45636.6875</v>
      </c>
      <c r="C555" s="1" t="n">
        <v>45932</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52499-2024</t>
        </is>
      </c>
      <c r="B556" s="1" t="n">
        <v>45609.58422453704</v>
      </c>
      <c r="C556" s="1" t="n">
        <v>45932</v>
      </c>
      <c r="D556" t="inlineStr">
        <is>
          <t>ÖREBRO LÄN</t>
        </is>
      </c>
      <c r="E556" t="inlineStr">
        <is>
          <t>ÖREBRO</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8374-2021</t>
        </is>
      </c>
      <c r="B557" s="1" t="n">
        <v>44244</v>
      </c>
      <c r="C557" s="1" t="n">
        <v>45932</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14960-2025</t>
        </is>
      </c>
      <c r="B558" s="1" t="n">
        <v>45743.5853125</v>
      </c>
      <c r="C558" s="1" t="n">
        <v>45932</v>
      </c>
      <c r="D558" t="inlineStr">
        <is>
          <t>ÖREBRO LÄN</t>
        </is>
      </c>
      <c r="E558" t="inlineStr">
        <is>
          <t>ÖREBRO</t>
        </is>
      </c>
      <c r="G558" t="n">
        <v>1.6</v>
      </c>
      <c r="H558" t="n">
        <v>0</v>
      </c>
      <c r="I558" t="n">
        <v>0</v>
      </c>
      <c r="J558" t="n">
        <v>0</v>
      </c>
      <c r="K558" t="n">
        <v>0</v>
      </c>
      <c r="L558" t="n">
        <v>0</v>
      </c>
      <c r="M558" t="n">
        <v>0</v>
      </c>
      <c r="N558" t="n">
        <v>0</v>
      </c>
      <c r="O558" t="n">
        <v>0</v>
      </c>
      <c r="P558" t="n">
        <v>0</v>
      </c>
      <c r="Q558" t="n">
        <v>0</v>
      </c>
      <c r="R558" s="2" t="inlineStr"/>
    </row>
    <row r="559" ht="15" customHeight="1">
      <c r="A559" t="inlineStr">
        <is>
          <t>A 13623-2024</t>
        </is>
      </c>
      <c r="B559" s="1" t="n">
        <v>45390.38626157407</v>
      </c>
      <c r="C559" s="1" t="n">
        <v>45932</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5619-2023</t>
        </is>
      </c>
      <c r="B560" s="1" t="n">
        <v>44958</v>
      </c>
      <c r="C560" s="1" t="n">
        <v>45932</v>
      </c>
      <c r="D560" t="inlineStr">
        <is>
          <t>ÖREBRO LÄN</t>
        </is>
      </c>
      <c r="E560" t="inlineStr">
        <is>
          <t>ÖREBRO</t>
        </is>
      </c>
      <c r="G560" t="n">
        <v>27</v>
      </c>
      <c r="H560" t="n">
        <v>0</v>
      </c>
      <c r="I560" t="n">
        <v>0</v>
      </c>
      <c r="J560" t="n">
        <v>0</v>
      </c>
      <c r="K560" t="n">
        <v>0</v>
      </c>
      <c r="L560" t="n">
        <v>0</v>
      </c>
      <c r="M560" t="n">
        <v>0</v>
      </c>
      <c r="N560" t="n">
        <v>0</v>
      </c>
      <c r="O560" t="n">
        <v>0</v>
      </c>
      <c r="P560" t="n">
        <v>0</v>
      </c>
      <c r="Q560" t="n">
        <v>0</v>
      </c>
      <c r="R560" s="2" t="inlineStr"/>
    </row>
    <row r="561" ht="15" customHeight="1">
      <c r="A561" t="inlineStr">
        <is>
          <t>A 37277-2022</t>
        </is>
      </c>
      <c r="B561" s="1" t="n">
        <v>44807.49150462963</v>
      </c>
      <c r="C561" s="1" t="n">
        <v>45932</v>
      </c>
      <c r="D561" t="inlineStr">
        <is>
          <t>ÖREBRO LÄN</t>
        </is>
      </c>
      <c r="E561" t="inlineStr">
        <is>
          <t>ÖREBRO</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23573-2023</t>
        </is>
      </c>
      <c r="B562" s="1" t="n">
        <v>45077.41672453703</v>
      </c>
      <c r="C562" s="1" t="n">
        <v>45932</v>
      </c>
      <c r="D562" t="inlineStr">
        <is>
          <t>ÖREBRO LÄN</t>
        </is>
      </c>
      <c r="E562" t="inlineStr">
        <is>
          <t>ÖREBRO</t>
        </is>
      </c>
      <c r="G562" t="n">
        <v>2.9</v>
      </c>
      <c r="H562" t="n">
        <v>0</v>
      </c>
      <c r="I562" t="n">
        <v>0</v>
      </c>
      <c r="J562" t="n">
        <v>0</v>
      </c>
      <c r="K562" t="n">
        <v>0</v>
      </c>
      <c r="L562" t="n">
        <v>0</v>
      </c>
      <c r="M562" t="n">
        <v>0</v>
      </c>
      <c r="N562" t="n">
        <v>0</v>
      </c>
      <c r="O562" t="n">
        <v>0</v>
      </c>
      <c r="P562" t="n">
        <v>0</v>
      </c>
      <c r="Q562" t="n">
        <v>0</v>
      </c>
      <c r="R562" s="2" t="inlineStr"/>
    </row>
    <row r="563" ht="15" customHeight="1">
      <c r="A563" t="inlineStr">
        <is>
          <t>A 61593-2023</t>
        </is>
      </c>
      <c r="B563" s="1" t="n">
        <v>45265</v>
      </c>
      <c r="C563" s="1" t="n">
        <v>45932</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59024-2024</t>
        </is>
      </c>
      <c r="B564" s="1" t="n">
        <v>45636.68505787037</v>
      </c>
      <c r="C564" s="1" t="n">
        <v>45932</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10339-2023</t>
        </is>
      </c>
      <c r="B565" s="1" t="n">
        <v>44987</v>
      </c>
      <c r="C565" s="1" t="n">
        <v>45932</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31247-2023</t>
        </is>
      </c>
      <c r="B566" s="1" t="n">
        <v>45114</v>
      </c>
      <c r="C566" s="1" t="n">
        <v>45932</v>
      </c>
      <c r="D566" t="inlineStr">
        <is>
          <t>ÖREBRO LÄN</t>
        </is>
      </c>
      <c r="E566" t="inlineStr">
        <is>
          <t>ÖREBRO</t>
        </is>
      </c>
      <c r="F566" t="inlineStr">
        <is>
          <t>Allmännings- och besparingsskogar</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16165-2023</t>
        </is>
      </c>
      <c r="B567" s="1" t="n">
        <v>45027</v>
      </c>
      <c r="C567" s="1" t="n">
        <v>45932</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39130-2023</t>
        </is>
      </c>
      <c r="B568" s="1" t="n">
        <v>45165</v>
      </c>
      <c r="C568" s="1" t="n">
        <v>45932</v>
      </c>
      <c r="D568" t="inlineStr">
        <is>
          <t>ÖREBRO LÄN</t>
        </is>
      </c>
      <c r="E568" t="inlineStr">
        <is>
          <t>ÖREBRO</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50398-2022</t>
        </is>
      </c>
      <c r="B569" s="1" t="n">
        <v>44861</v>
      </c>
      <c r="C569" s="1" t="n">
        <v>45932</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9379-2024</t>
        </is>
      </c>
      <c r="B570" s="1" t="n">
        <v>45359.37298611111</v>
      </c>
      <c r="C570" s="1" t="n">
        <v>45932</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35345-2024</t>
        </is>
      </c>
      <c r="B571" s="1" t="n">
        <v>45530</v>
      </c>
      <c r="C571" s="1" t="n">
        <v>45932</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8568-2021</t>
        </is>
      </c>
      <c r="B572" s="1" t="n">
        <v>44245</v>
      </c>
      <c r="C572" s="1" t="n">
        <v>45932</v>
      </c>
      <c r="D572" t="inlineStr">
        <is>
          <t>ÖREBRO LÄN</t>
        </is>
      </c>
      <c r="E572" t="inlineStr">
        <is>
          <t>ÖREBRO</t>
        </is>
      </c>
      <c r="G572" t="n">
        <v>4.8</v>
      </c>
      <c r="H572" t="n">
        <v>0</v>
      </c>
      <c r="I572" t="n">
        <v>0</v>
      </c>
      <c r="J572" t="n">
        <v>0</v>
      </c>
      <c r="K572" t="n">
        <v>0</v>
      </c>
      <c r="L572" t="n">
        <v>0</v>
      </c>
      <c r="M572" t="n">
        <v>0</v>
      </c>
      <c r="N572" t="n">
        <v>0</v>
      </c>
      <c r="O572" t="n">
        <v>0</v>
      </c>
      <c r="P572" t="n">
        <v>0</v>
      </c>
      <c r="Q572" t="n">
        <v>0</v>
      </c>
      <c r="R572" s="2" t="inlineStr"/>
    </row>
    <row r="573" ht="15" customHeight="1">
      <c r="A573" t="inlineStr">
        <is>
          <t>A 45517-2023</t>
        </is>
      </c>
      <c r="B573" s="1" t="n">
        <v>45194.49594907407</v>
      </c>
      <c r="C573" s="1" t="n">
        <v>45932</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32321-2023</t>
        </is>
      </c>
      <c r="B574" s="1" t="n">
        <v>45120</v>
      </c>
      <c r="C574" s="1" t="n">
        <v>45932</v>
      </c>
      <c r="D574" t="inlineStr">
        <is>
          <t>ÖREBRO LÄN</t>
        </is>
      </c>
      <c r="E574" t="inlineStr">
        <is>
          <t>ÖREBRO</t>
        </is>
      </c>
      <c r="G574" t="n">
        <v>3.4</v>
      </c>
      <c r="H574" t="n">
        <v>0</v>
      </c>
      <c r="I574" t="n">
        <v>0</v>
      </c>
      <c r="J574" t="n">
        <v>0</v>
      </c>
      <c r="K574" t="n">
        <v>0</v>
      </c>
      <c r="L574" t="n">
        <v>0</v>
      </c>
      <c r="M574" t="n">
        <v>0</v>
      </c>
      <c r="N574" t="n">
        <v>0</v>
      </c>
      <c r="O574" t="n">
        <v>0</v>
      </c>
      <c r="P574" t="n">
        <v>0</v>
      </c>
      <c r="Q574" t="n">
        <v>0</v>
      </c>
      <c r="R574" s="2" t="inlineStr"/>
    </row>
    <row r="575" ht="15" customHeight="1">
      <c r="A575" t="inlineStr">
        <is>
          <t>A 29138-2022</t>
        </is>
      </c>
      <c r="B575" s="1" t="n">
        <v>44750</v>
      </c>
      <c r="C575" s="1" t="n">
        <v>45932</v>
      </c>
      <c r="D575" t="inlineStr">
        <is>
          <t>ÖREBRO LÄN</t>
        </is>
      </c>
      <c r="E575" t="inlineStr">
        <is>
          <t>ÖREBRO</t>
        </is>
      </c>
      <c r="G575" t="n">
        <v>3.3</v>
      </c>
      <c r="H575" t="n">
        <v>0</v>
      </c>
      <c r="I575" t="n">
        <v>0</v>
      </c>
      <c r="J575" t="n">
        <v>0</v>
      </c>
      <c r="K575" t="n">
        <v>0</v>
      </c>
      <c r="L575" t="n">
        <v>0</v>
      </c>
      <c r="M575" t="n">
        <v>0</v>
      </c>
      <c r="N575" t="n">
        <v>0</v>
      </c>
      <c r="O575" t="n">
        <v>0</v>
      </c>
      <c r="P575" t="n">
        <v>0</v>
      </c>
      <c r="Q575" t="n">
        <v>0</v>
      </c>
      <c r="R575" s="2" t="inlineStr"/>
    </row>
    <row r="576" ht="15" customHeight="1">
      <c r="A576" t="inlineStr">
        <is>
          <t>A 29143-2022</t>
        </is>
      </c>
      <c r="B576" s="1" t="n">
        <v>44750</v>
      </c>
      <c r="C576" s="1" t="n">
        <v>45932</v>
      </c>
      <c r="D576" t="inlineStr">
        <is>
          <t>ÖREBRO LÄN</t>
        </is>
      </c>
      <c r="E576" t="inlineStr">
        <is>
          <t>ÖREBRO</t>
        </is>
      </c>
      <c r="G576" t="n">
        <v>5.6</v>
      </c>
      <c r="H576" t="n">
        <v>0</v>
      </c>
      <c r="I576" t="n">
        <v>0</v>
      </c>
      <c r="J576" t="n">
        <v>0</v>
      </c>
      <c r="K576" t="n">
        <v>0</v>
      </c>
      <c r="L576" t="n">
        <v>0</v>
      </c>
      <c r="M576" t="n">
        <v>0</v>
      </c>
      <c r="N576" t="n">
        <v>0</v>
      </c>
      <c r="O576" t="n">
        <v>0</v>
      </c>
      <c r="P576" t="n">
        <v>0</v>
      </c>
      <c r="Q576" t="n">
        <v>0</v>
      </c>
      <c r="R576" s="2" t="inlineStr"/>
    </row>
    <row r="577" ht="15" customHeight="1">
      <c r="A577" t="inlineStr">
        <is>
          <t>A 14234-2024</t>
        </is>
      </c>
      <c r="B577" s="1" t="n">
        <v>45393.46980324074</v>
      </c>
      <c r="C577" s="1" t="n">
        <v>45932</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4557-2023</t>
        </is>
      </c>
      <c r="B578" s="1" t="n">
        <v>44956.6655787037</v>
      </c>
      <c r="C578" s="1" t="n">
        <v>45932</v>
      </c>
      <c r="D578" t="inlineStr">
        <is>
          <t>ÖREBRO LÄN</t>
        </is>
      </c>
      <c r="E578" t="inlineStr">
        <is>
          <t>ÖREBRO</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53558-2023</t>
        </is>
      </c>
      <c r="B579" s="1" t="n">
        <v>45230.47266203703</v>
      </c>
      <c r="C579" s="1" t="n">
        <v>45932</v>
      </c>
      <c r="D579" t="inlineStr">
        <is>
          <t>ÖREBRO LÄN</t>
        </is>
      </c>
      <c r="E579" t="inlineStr">
        <is>
          <t>ÖREBRO</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46518-2023</t>
        </is>
      </c>
      <c r="B580" s="1" t="n">
        <v>45197.72777777778</v>
      </c>
      <c r="C580" s="1" t="n">
        <v>45932</v>
      </c>
      <c r="D580" t="inlineStr">
        <is>
          <t>ÖREBRO LÄN</t>
        </is>
      </c>
      <c r="E580" t="inlineStr">
        <is>
          <t>ÖREBRO</t>
        </is>
      </c>
      <c r="G580" t="n">
        <v>2.2</v>
      </c>
      <c r="H580" t="n">
        <v>0</v>
      </c>
      <c r="I580" t="n">
        <v>0</v>
      </c>
      <c r="J580" t="n">
        <v>0</v>
      </c>
      <c r="K580" t="n">
        <v>0</v>
      </c>
      <c r="L580" t="n">
        <v>0</v>
      </c>
      <c r="M580" t="n">
        <v>0</v>
      </c>
      <c r="N580" t="n">
        <v>0</v>
      </c>
      <c r="O580" t="n">
        <v>0</v>
      </c>
      <c r="P580" t="n">
        <v>0</v>
      </c>
      <c r="Q580" t="n">
        <v>0</v>
      </c>
      <c r="R580" s="2" t="inlineStr"/>
    </row>
    <row r="581" ht="15" customHeight="1">
      <c r="A581" t="inlineStr">
        <is>
          <t>A 7692-2023</t>
        </is>
      </c>
      <c r="B581" s="1" t="n">
        <v>44972.7762962963</v>
      </c>
      <c r="C581" s="1" t="n">
        <v>45932</v>
      </c>
      <c r="D581" t="inlineStr">
        <is>
          <t>ÖREBRO LÄN</t>
        </is>
      </c>
      <c r="E581" t="inlineStr">
        <is>
          <t>ÖREBRO</t>
        </is>
      </c>
      <c r="G581" t="n">
        <v>1.5</v>
      </c>
      <c r="H581" t="n">
        <v>0</v>
      </c>
      <c r="I581" t="n">
        <v>0</v>
      </c>
      <c r="J581" t="n">
        <v>0</v>
      </c>
      <c r="K581" t="n">
        <v>0</v>
      </c>
      <c r="L581" t="n">
        <v>0</v>
      </c>
      <c r="M581" t="n">
        <v>0</v>
      </c>
      <c r="N581" t="n">
        <v>0</v>
      </c>
      <c r="O581" t="n">
        <v>0</v>
      </c>
      <c r="P581" t="n">
        <v>0</v>
      </c>
      <c r="Q581" t="n">
        <v>0</v>
      </c>
      <c r="R581" s="2" t="inlineStr"/>
    </row>
    <row r="582" ht="15" customHeight="1">
      <c r="A582" t="inlineStr">
        <is>
          <t>A 46056-2024</t>
        </is>
      </c>
      <c r="B582" s="1" t="n">
        <v>45580.91502314815</v>
      </c>
      <c r="C582" s="1" t="n">
        <v>45932</v>
      </c>
      <c r="D582" t="inlineStr">
        <is>
          <t>ÖREBRO LÄN</t>
        </is>
      </c>
      <c r="E582" t="inlineStr">
        <is>
          <t>ÖREBRO</t>
        </is>
      </c>
      <c r="F582" t="inlineStr">
        <is>
          <t>Övriga Aktiebolag</t>
        </is>
      </c>
      <c r="G582" t="n">
        <v>4.5</v>
      </c>
      <c r="H582" t="n">
        <v>0</v>
      </c>
      <c r="I582" t="n">
        <v>0</v>
      </c>
      <c r="J582" t="n">
        <v>0</v>
      </c>
      <c r="K582" t="n">
        <v>0</v>
      </c>
      <c r="L582" t="n">
        <v>0</v>
      </c>
      <c r="M582" t="n">
        <v>0</v>
      </c>
      <c r="N582" t="n">
        <v>0</v>
      </c>
      <c r="O582" t="n">
        <v>0</v>
      </c>
      <c r="P582" t="n">
        <v>0</v>
      </c>
      <c r="Q582" t="n">
        <v>0</v>
      </c>
      <c r="R582" s="2" t="inlineStr"/>
    </row>
    <row r="583" ht="15" customHeight="1">
      <c r="A583" t="inlineStr">
        <is>
          <t>A 57638-2022</t>
        </is>
      </c>
      <c r="B583" s="1" t="n">
        <v>44897</v>
      </c>
      <c r="C583" s="1" t="n">
        <v>45932</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8274-2025</t>
        </is>
      </c>
      <c r="B584" s="1" t="n">
        <v>45708</v>
      </c>
      <c r="C584" s="1" t="n">
        <v>45932</v>
      </c>
      <c r="D584" t="inlineStr">
        <is>
          <t>ÖREBRO LÄN</t>
        </is>
      </c>
      <c r="E584" t="inlineStr">
        <is>
          <t>ÖREBRO</t>
        </is>
      </c>
      <c r="G584" t="n">
        <v>5.8</v>
      </c>
      <c r="H584" t="n">
        <v>0</v>
      </c>
      <c r="I584" t="n">
        <v>0</v>
      </c>
      <c r="J584" t="n">
        <v>0</v>
      </c>
      <c r="K584" t="n">
        <v>0</v>
      </c>
      <c r="L584" t="n">
        <v>0</v>
      </c>
      <c r="M584" t="n">
        <v>0</v>
      </c>
      <c r="N584" t="n">
        <v>0</v>
      </c>
      <c r="O584" t="n">
        <v>0</v>
      </c>
      <c r="P584" t="n">
        <v>0</v>
      </c>
      <c r="Q584" t="n">
        <v>0</v>
      </c>
      <c r="R584" s="2" t="inlineStr"/>
    </row>
    <row r="585" ht="15" customHeight="1">
      <c r="A585" t="inlineStr">
        <is>
          <t>A 7634-2024</t>
        </is>
      </c>
      <c r="B585" s="1" t="n">
        <v>45348</v>
      </c>
      <c r="C585" s="1" t="n">
        <v>45932</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58208-2024</t>
        </is>
      </c>
      <c r="B586" s="1" t="n">
        <v>45632</v>
      </c>
      <c r="C586" s="1" t="n">
        <v>45932</v>
      </c>
      <c r="D586" t="inlineStr">
        <is>
          <t>ÖREBRO LÄN</t>
        </is>
      </c>
      <c r="E586" t="inlineStr">
        <is>
          <t>ÖREBRO</t>
        </is>
      </c>
      <c r="G586" t="n">
        <v>3.1</v>
      </c>
      <c r="H586" t="n">
        <v>0</v>
      </c>
      <c r="I586" t="n">
        <v>0</v>
      </c>
      <c r="J586" t="n">
        <v>0</v>
      </c>
      <c r="K586" t="n">
        <v>0</v>
      </c>
      <c r="L586" t="n">
        <v>0</v>
      </c>
      <c r="M586" t="n">
        <v>0</v>
      </c>
      <c r="N586" t="n">
        <v>0</v>
      </c>
      <c r="O586" t="n">
        <v>0</v>
      </c>
      <c r="P586" t="n">
        <v>0</v>
      </c>
      <c r="Q586" t="n">
        <v>0</v>
      </c>
      <c r="R586" s="2" t="inlineStr"/>
    </row>
    <row r="587" ht="15" customHeight="1">
      <c r="A587" t="inlineStr">
        <is>
          <t>A 71266-2021</t>
        </is>
      </c>
      <c r="B587" s="1" t="n">
        <v>44539</v>
      </c>
      <c r="C587" s="1" t="n">
        <v>45932</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71267-2021</t>
        </is>
      </c>
      <c r="B588" s="1" t="n">
        <v>44539</v>
      </c>
      <c r="C588" s="1" t="n">
        <v>45932</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71280-2021</t>
        </is>
      </c>
      <c r="B589" s="1" t="n">
        <v>44539</v>
      </c>
      <c r="C589" s="1" t="n">
        <v>45932</v>
      </c>
      <c r="D589" t="inlineStr">
        <is>
          <t>ÖREBRO LÄN</t>
        </is>
      </c>
      <c r="E589" t="inlineStr">
        <is>
          <t>ÖREBRO</t>
        </is>
      </c>
      <c r="G589" t="n">
        <v>0.6</v>
      </c>
      <c r="H589" t="n">
        <v>0</v>
      </c>
      <c r="I589" t="n">
        <v>0</v>
      </c>
      <c r="J589" t="n">
        <v>0</v>
      </c>
      <c r="K589" t="n">
        <v>0</v>
      </c>
      <c r="L589" t="n">
        <v>0</v>
      </c>
      <c r="M589" t="n">
        <v>0</v>
      </c>
      <c r="N589" t="n">
        <v>0</v>
      </c>
      <c r="O589" t="n">
        <v>0</v>
      </c>
      <c r="P589" t="n">
        <v>0</v>
      </c>
      <c r="Q589" t="n">
        <v>0</v>
      </c>
      <c r="R589" s="2" t="inlineStr"/>
    </row>
    <row r="590" ht="15" customHeight="1">
      <c r="A590" t="inlineStr">
        <is>
          <t>A 21983-2021</t>
        </is>
      </c>
      <c r="B590" s="1" t="n">
        <v>44323</v>
      </c>
      <c r="C590" s="1" t="n">
        <v>45932</v>
      </c>
      <c r="D590" t="inlineStr">
        <is>
          <t>ÖREBRO LÄN</t>
        </is>
      </c>
      <c r="E590" t="inlineStr">
        <is>
          <t>ÖREBRO</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62497-2023</t>
        </is>
      </c>
      <c r="B591" s="1" t="n">
        <v>45268.59935185185</v>
      </c>
      <c r="C591" s="1" t="n">
        <v>45932</v>
      </c>
      <c r="D591" t="inlineStr">
        <is>
          <t>ÖREBRO LÄN</t>
        </is>
      </c>
      <c r="E591" t="inlineStr">
        <is>
          <t>ÖREBRO</t>
        </is>
      </c>
      <c r="F591" t="inlineStr">
        <is>
          <t>Övriga Aktiebolag</t>
        </is>
      </c>
      <c r="G591" t="n">
        <v>3.2</v>
      </c>
      <c r="H591" t="n">
        <v>0</v>
      </c>
      <c r="I591" t="n">
        <v>0</v>
      </c>
      <c r="J591" t="n">
        <v>0</v>
      </c>
      <c r="K591" t="n">
        <v>0</v>
      </c>
      <c r="L591" t="n">
        <v>0</v>
      </c>
      <c r="M591" t="n">
        <v>0</v>
      </c>
      <c r="N591" t="n">
        <v>0</v>
      </c>
      <c r="O591" t="n">
        <v>0</v>
      </c>
      <c r="P591" t="n">
        <v>0</v>
      </c>
      <c r="Q591" t="n">
        <v>0</v>
      </c>
      <c r="R591" s="2" t="inlineStr"/>
    </row>
    <row r="592" ht="15" customHeight="1">
      <c r="A592" t="inlineStr">
        <is>
          <t>A 33294-2023</t>
        </is>
      </c>
      <c r="B592" s="1" t="n">
        <v>45127</v>
      </c>
      <c r="C592" s="1" t="n">
        <v>45932</v>
      </c>
      <c r="D592" t="inlineStr">
        <is>
          <t>ÖREBRO LÄN</t>
        </is>
      </c>
      <c r="E592" t="inlineStr">
        <is>
          <t>ÖREBRO</t>
        </is>
      </c>
      <c r="F592" t="inlineStr">
        <is>
          <t>Övriga Aktiebolag</t>
        </is>
      </c>
      <c r="G592" t="n">
        <v>6.7</v>
      </c>
      <c r="H592" t="n">
        <v>0</v>
      </c>
      <c r="I592" t="n">
        <v>0</v>
      </c>
      <c r="J592" t="n">
        <v>0</v>
      </c>
      <c r="K592" t="n">
        <v>0</v>
      </c>
      <c r="L592" t="n">
        <v>0</v>
      </c>
      <c r="M592" t="n">
        <v>0</v>
      </c>
      <c r="N592" t="n">
        <v>0</v>
      </c>
      <c r="O592" t="n">
        <v>0</v>
      </c>
      <c r="P592" t="n">
        <v>0</v>
      </c>
      <c r="Q592" t="n">
        <v>0</v>
      </c>
      <c r="R592" s="2" t="inlineStr"/>
    </row>
    <row r="593" ht="15" customHeight="1">
      <c r="A593" t="inlineStr">
        <is>
          <t>A 46052-2024</t>
        </is>
      </c>
      <c r="B593" s="1" t="n">
        <v>45580.89116898148</v>
      </c>
      <c r="C593" s="1" t="n">
        <v>45932</v>
      </c>
      <c r="D593" t="inlineStr">
        <is>
          <t>ÖREBRO LÄN</t>
        </is>
      </c>
      <c r="E593" t="inlineStr">
        <is>
          <t>ÖREBRO</t>
        </is>
      </c>
      <c r="F593" t="inlineStr">
        <is>
          <t>Övriga Aktiebolag</t>
        </is>
      </c>
      <c r="G593" t="n">
        <v>0.6</v>
      </c>
      <c r="H593" t="n">
        <v>0</v>
      </c>
      <c r="I593" t="n">
        <v>0</v>
      </c>
      <c r="J593" t="n">
        <v>0</v>
      </c>
      <c r="K593" t="n">
        <v>0</v>
      </c>
      <c r="L593" t="n">
        <v>0</v>
      </c>
      <c r="M593" t="n">
        <v>0</v>
      </c>
      <c r="N593" t="n">
        <v>0</v>
      </c>
      <c r="O593" t="n">
        <v>0</v>
      </c>
      <c r="P593" t="n">
        <v>0</v>
      </c>
      <c r="Q593" t="n">
        <v>0</v>
      </c>
      <c r="R593" s="2" t="inlineStr"/>
    </row>
    <row r="594">
      <c r="A594" t="inlineStr">
        <is>
          <t>A 54149-2024</t>
        </is>
      </c>
      <c r="B594" s="1" t="n">
        <v>45616</v>
      </c>
      <c r="C594" s="1" t="n">
        <v>45932</v>
      </c>
      <c r="D594" t="inlineStr">
        <is>
          <t>ÖREBRO LÄN</t>
        </is>
      </c>
      <c r="E594" t="inlineStr">
        <is>
          <t>ÖREBRO</t>
        </is>
      </c>
      <c r="G594" t="n">
        <v>2.7</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2025-10-02T12:47:40Z</dcterms:created>
  <dcterms:modified xmlns:dcterms="http://purl.org/dc/terms/" xmlns:xsi="http://www.w3.org/2001/XMLSchema-instance" xsi:type="dcterms:W3CDTF">2025-10-02T12:47:40Z</dcterms:modified>
</cp:coreProperties>
</file>