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45985</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45985</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45985</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45985</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45985</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45985</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45985</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45985</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45985</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33069-2025</t>
        </is>
      </c>
      <c r="B11" s="1" t="n">
        <v>45840</v>
      </c>
      <c r="C11" s="1" t="n">
        <v>45985</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45985</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5354-2024</t>
        </is>
      </c>
      <c r="B13" s="1" t="n">
        <v>45331</v>
      </c>
      <c r="C13" s="1" t="n">
        <v>45985</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45985</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8564-2021</t>
        </is>
      </c>
      <c r="B15" s="1" t="n">
        <v>44245</v>
      </c>
      <c r="C15" s="1" t="n">
        <v>45985</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45985</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29487-2022</t>
        </is>
      </c>
      <c r="B17" s="1" t="n">
        <v>44753</v>
      </c>
      <c r="C17" s="1" t="n">
        <v>45985</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45985</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45985</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45985</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45985</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575-2024</t>
        </is>
      </c>
      <c r="B22" s="1" t="n">
        <v>45299</v>
      </c>
      <c r="C22" s="1" t="n">
        <v>45985</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45985</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29478-2022</t>
        </is>
      </c>
      <c r="B24" s="1" t="n">
        <v>44753</v>
      </c>
      <c r="C24" s="1" t="n">
        <v>45985</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45985</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45985</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45985</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45985</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22577-2024</t>
        </is>
      </c>
      <c r="B29" s="1" t="n">
        <v>45447</v>
      </c>
      <c r="C29" s="1" t="n">
        <v>45985</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51550-2025</t>
        </is>
      </c>
      <c r="B30" s="1" t="n">
        <v>45950.83359953704</v>
      </c>
      <c r="C30" s="1" t="n">
        <v>45985</v>
      </c>
      <c r="D30" t="inlineStr">
        <is>
          <t>ÖREBRO LÄN</t>
        </is>
      </c>
      <c r="E30" t="inlineStr">
        <is>
          <t>ÖREBRO</t>
        </is>
      </c>
      <c r="F30" t="inlineStr">
        <is>
          <t>Övriga Aktiebolag</t>
        </is>
      </c>
      <c r="G30" t="n">
        <v>5.5</v>
      </c>
      <c r="H30" t="n">
        <v>0</v>
      </c>
      <c r="I30" t="n">
        <v>1</v>
      </c>
      <c r="J30" t="n">
        <v>1</v>
      </c>
      <c r="K30" t="n">
        <v>0</v>
      </c>
      <c r="L30" t="n">
        <v>0</v>
      </c>
      <c r="M30" t="n">
        <v>0</v>
      </c>
      <c r="N30" t="n">
        <v>0</v>
      </c>
      <c r="O30" t="n">
        <v>1</v>
      </c>
      <c r="P30" t="n">
        <v>0</v>
      </c>
      <c r="Q30" t="n">
        <v>2</v>
      </c>
      <c r="R30" s="2" t="inlineStr">
        <is>
          <t>Bryngökbi
Tibast</t>
        </is>
      </c>
      <c r="S30">
        <f>HYPERLINK("https://klasma.github.io/Logging_1880/artfynd/A 51550-2025 artfynd.xlsx", "A 51550-2025")</f>
        <v/>
      </c>
      <c r="T30">
        <f>HYPERLINK("https://klasma.github.io/Logging_1880/kartor/A 51550-2025 karta.png", "A 51550-2025")</f>
        <v/>
      </c>
      <c r="V30">
        <f>HYPERLINK("https://klasma.github.io/Logging_1880/klagomål/A 51550-2025 FSC-klagomål.docx", "A 51550-2025")</f>
        <v/>
      </c>
      <c r="W30">
        <f>HYPERLINK("https://klasma.github.io/Logging_1880/klagomålsmail/A 51550-2025 FSC-klagomål mail.docx", "A 51550-2025")</f>
        <v/>
      </c>
      <c r="X30">
        <f>HYPERLINK("https://klasma.github.io/Logging_1880/tillsyn/A 51550-2025 tillsynsbegäran.docx", "A 51550-2025")</f>
        <v/>
      </c>
      <c r="Y30">
        <f>HYPERLINK("https://klasma.github.io/Logging_1880/tillsynsmail/A 51550-2025 tillsynsbegäran mail.docx", "A 51550-2025")</f>
        <v/>
      </c>
    </row>
    <row r="31" ht="15" customHeight="1">
      <c r="A31" t="inlineStr">
        <is>
          <t>A 30409-2025</t>
        </is>
      </c>
      <c r="B31" s="1" t="n">
        <v>45827.59738425926</v>
      </c>
      <c r="C31" s="1" t="n">
        <v>45985</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13395-2024</t>
        </is>
      </c>
      <c r="B32" s="1" t="n">
        <v>45387.42296296296</v>
      </c>
      <c r="C32" s="1" t="n">
        <v>45985</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8267-2021</t>
        </is>
      </c>
      <c r="B33" s="1" t="n">
        <v>44244</v>
      </c>
      <c r="C33" s="1" t="n">
        <v>45985</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37019-2024</t>
        </is>
      </c>
      <c r="B34" s="1" t="n">
        <v>45539.37905092593</v>
      </c>
      <c r="C34" s="1" t="n">
        <v>45985</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7608-2024</t>
        </is>
      </c>
      <c r="B35" s="1" t="n">
        <v>45348</v>
      </c>
      <c r="C35" s="1" t="n">
        <v>45985</v>
      </c>
      <c r="D35" t="inlineStr">
        <is>
          <t>ÖREBRO LÄN</t>
        </is>
      </c>
      <c r="E35" t="inlineStr">
        <is>
          <t>ÖREBRO</t>
        </is>
      </c>
      <c r="G35" t="n">
        <v>4.3</v>
      </c>
      <c r="H35" t="n">
        <v>2</v>
      </c>
      <c r="I35" t="n">
        <v>0</v>
      </c>
      <c r="J35" t="n">
        <v>1</v>
      </c>
      <c r="K35" t="n">
        <v>1</v>
      </c>
      <c r="L35" t="n">
        <v>0</v>
      </c>
      <c r="M35" t="n">
        <v>0</v>
      </c>
      <c r="N35" t="n">
        <v>0</v>
      </c>
      <c r="O35" t="n">
        <v>2</v>
      </c>
      <c r="P35" t="n">
        <v>1</v>
      </c>
      <c r="Q35" t="n">
        <v>2</v>
      </c>
      <c r="R35" s="2" t="inlineStr">
        <is>
          <t>Knärot
Spillkråka</t>
        </is>
      </c>
      <c r="S35">
        <f>HYPERLINK("https://klasma.github.io/Logging_1880/artfynd/A 7608-2024 artfynd.xlsx", "A 7608-2024")</f>
        <v/>
      </c>
      <c r="T35">
        <f>HYPERLINK("https://klasma.github.io/Logging_1880/kartor/A 7608-2024 karta.png", "A 7608-2024")</f>
        <v/>
      </c>
      <c r="U35">
        <f>HYPERLINK("https://klasma.github.io/Logging_1880/knärot/A 7608-2024 karta knärot.png", "A 7608-2024")</f>
        <v/>
      </c>
      <c r="V35">
        <f>HYPERLINK("https://klasma.github.io/Logging_1880/klagomål/A 7608-2024 FSC-klagomål.docx", "A 7608-2024")</f>
        <v/>
      </c>
      <c r="W35">
        <f>HYPERLINK("https://klasma.github.io/Logging_1880/klagomålsmail/A 7608-2024 FSC-klagomål mail.docx", "A 7608-2024")</f>
        <v/>
      </c>
      <c r="X35">
        <f>HYPERLINK("https://klasma.github.io/Logging_1880/tillsyn/A 7608-2024 tillsynsbegäran.docx", "A 7608-2024")</f>
        <v/>
      </c>
      <c r="Y35">
        <f>HYPERLINK("https://klasma.github.io/Logging_1880/tillsynsmail/A 7608-2024 tillsynsbegäran mail.docx", "A 7608-2024")</f>
        <v/>
      </c>
      <c r="Z35">
        <f>HYPERLINK("https://klasma.github.io/Logging_1880/fåglar/A 7608-2024 prioriterade fågelarter.docx", "A 7608-2024")</f>
        <v/>
      </c>
    </row>
    <row r="36" ht="15" customHeight="1">
      <c r="A36" t="inlineStr">
        <is>
          <t>A 52400-2024</t>
        </is>
      </c>
      <c r="B36" s="1" t="n">
        <v>45609.44461805555</v>
      </c>
      <c r="C36" s="1" t="n">
        <v>45985</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14956-2025</t>
        </is>
      </c>
      <c r="B37" s="1" t="n">
        <v>45743.58409722222</v>
      </c>
      <c r="C37" s="1" t="n">
        <v>45985</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29704-2022</t>
        </is>
      </c>
      <c r="B38" s="1" t="n">
        <v>44755</v>
      </c>
      <c r="C38" s="1" t="n">
        <v>45985</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45985</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45985</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43332-2022</t>
        </is>
      </c>
      <c r="B41" s="1" t="n">
        <v>44834</v>
      </c>
      <c r="C41" s="1" t="n">
        <v>45985</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42636-2023</t>
        </is>
      </c>
      <c r="B42" s="1" t="n">
        <v>45181.49559027778</v>
      </c>
      <c r="C42" s="1" t="n">
        <v>45985</v>
      </c>
      <c r="D42" t="inlineStr">
        <is>
          <t>ÖREBRO LÄN</t>
        </is>
      </c>
      <c r="E42" t="inlineStr">
        <is>
          <t>ÖREBRO</t>
        </is>
      </c>
      <c r="G42" t="n">
        <v>1.7</v>
      </c>
      <c r="H42" t="n">
        <v>0</v>
      </c>
      <c r="I42" t="n">
        <v>0</v>
      </c>
      <c r="J42" t="n">
        <v>1</v>
      </c>
      <c r="K42" t="n">
        <v>0</v>
      </c>
      <c r="L42" t="n">
        <v>0</v>
      </c>
      <c r="M42" t="n">
        <v>0</v>
      </c>
      <c r="N42" t="n">
        <v>0</v>
      </c>
      <c r="O42" t="n">
        <v>1</v>
      </c>
      <c r="P42" t="n">
        <v>0</v>
      </c>
      <c r="Q42" t="n">
        <v>1</v>
      </c>
      <c r="R42" s="2" t="inlineStr">
        <is>
          <t>Igelkott</t>
        </is>
      </c>
      <c r="S42">
        <f>HYPERLINK("https://klasma.github.io/Logging_1880/artfynd/A 42636-2023 artfynd.xlsx", "A 42636-2023")</f>
        <v/>
      </c>
      <c r="T42">
        <f>HYPERLINK("https://klasma.github.io/Logging_1880/kartor/A 42636-2023 karta.png", "A 42636-2023")</f>
        <v/>
      </c>
      <c r="V42">
        <f>HYPERLINK("https://klasma.github.io/Logging_1880/klagomål/A 42636-2023 FSC-klagomål.docx", "A 42636-2023")</f>
        <v/>
      </c>
      <c r="W42">
        <f>HYPERLINK("https://klasma.github.io/Logging_1880/klagomålsmail/A 42636-2023 FSC-klagomål mail.docx", "A 42636-2023")</f>
        <v/>
      </c>
      <c r="X42">
        <f>HYPERLINK("https://klasma.github.io/Logging_1880/tillsyn/A 42636-2023 tillsynsbegäran.docx", "A 42636-2023")</f>
        <v/>
      </c>
      <c r="Y42">
        <f>HYPERLINK("https://klasma.github.io/Logging_1880/tillsynsmail/A 42636-2023 tillsynsbegäran mail.docx", "A 42636-2023")</f>
        <v/>
      </c>
    </row>
    <row r="43" ht="15" customHeight="1">
      <c r="A43" t="inlineStr">
        <is>
          <t>A 55904-2024</t>
        </is>
      </c>
      <c r="B43" s="1" t="n">
        <v>45623.58190972222</v>
      </c>
      <c r="C43" s="1" t="n">
        <v>45985</v>
      </c>
      <c r="D43" t="inlineStr">
        <is>
          <t>ÖREBRO LÄN</t>
        </is>
      </c>
      <c r="E43" t="inlineStr">
        <is>
          <t>ÖREBRO</t>
        </is>
      </c>
      <c r="G43" t="n">
        <v>1.2</v>
      </c>
      <c r="H43" t="n">
        <v>1</v>
      </c>
      <c r="I43" t="n">
        <v>0</v>
      </c>
      <c r="J43" t="n">
        <v>0</v>
      </c>
      <c r="K43" t="n">
        <v>0</v>
      </c>
      <c r="L43" t="n">
        <v>0</v>
      </c>
      <c r="M43" t="n">
        <v>0</v>
      </c>
      <c r="N43" t="n">
        <v>0</v>
      </c>
      <c r="O43" t="n">
        <v>0</v>
      </c>
      <c r="P43" t="n">
        <v>0</v>
      </c>
      <c r="Q43" t="n">
        <v>1</v>
      </c>
      <c r="R43" s="2" t="inlineStr">
        <is>
          <t>Trana</t>
        </is>
      </c>
      <c r="S43">
        <f>HYPERLINK("https://klasma.github.io/Logging_1880/artfynd/A 55904-2024 artfynd.xlsx", "A 55904-2024")</f>
        <v/>
      </c>
      <c r="T43">
        <f>HYPERLINK("https://klasma.github.io/Logging_1880/kartor/A 55904-2024 karta.png", "A 55904-2024")</f>
        <v/>
      </c>
      <c r="V43">
        <f>HYPERLINK("https://klasma.github.io/Logging_1880/klagomål/A 55904-2024 FSC-klagomål.docx", "A 55904-2024")</f>
        <v/>
      </c>
      <c r="W43">
        <f>HYPERLINK("https://klasma.github.io/Logging_1880/klagomålsmail/A 55904-2024 FSC-klagomål mail.docx", "A 55904-2024")</f>
        <v/>
      </c>
      <c r="X43">
        <f>HYPERLINK("https://klasma.github.io/Logging_1880/tillsyn/A 55904-2024 tillsynsbegäran.docx", "A 55904-2024")</f>
        <v/>
      </c>
      <c r="Y43">
        <f>HYPERLINK("https://klasma.github.io/Logging_1880/tillsynsmail/A 55904-2024 tillsynsbegäran mail.docx", "A 55904-2024")</f>
        <v/>
      </c>
      <c r="Z43">
        <f>HYPERLINK("https://klasma.github.io/Logging_1880/fåglar/A 55904-2024 prioriterade fågelarter.docx", "A 55904-2024")</f>
        <v/>
      </c>
    </row>
    <row r="44" ht="15" customHeight="1">
      <c r="A44" t="inlineStr">
        <is>
          <t>A 44744-2024</t>
        </is>
      </c>
      <c r="B44" s="1" t="n">
        <v>45574.59789351852</v>
      </c>
      <c r="C44" s="1" t="n">
        <v>45985</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23998-2025</t>
        </is>
      </c>
      <c r="B45" s="1" t="n">
        <v>45796.42209490741</v>
      </c>
      <c r="C45" s="1" t="n">
        <v>45985</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45985</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45985</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50499-2025</t>
        </is>
      </c>
      <c r="B48" s="1" t="n">
        <v>45945.41712962963</v>
      </c>
      <c r="C48" s="1" t="n">
        <v>45985</v>
      </c>
      <c r="D48" t="inlineStr">
        <is>
          <t>ÖREBRO LÄN</t>
        </is>
      </c>
      <c r="E48" t="inlineStr">
        <is>
          <t>ÖREBRO</t>
        </is>
      </c>
      <c r="G48" t="n">
        <v>6.7</v>
      </c>
      <c r="H48" t="n">
        <v>0</v>
      </c>
      <c r="I48" t="n">
        <v>0</v>
      </c>
      <c r="J48" t="n">
        <v>1</v>
      </c>
      <c r="K48" t="n">
        <v>0</v>
      </c>
      <c r="L48" t="n">
        <v>0</v>
      </c>
      <c r="M48" t="n">
        <v>0</v>
      </c>
      <c r="N48" t="n">
        <v>0</v>
      </c>
      <c r="O48" t="n">
        <v>1</v>
      </c>
      <c r="P48" t="n">
        <v>0</v>
      </c>
      <c r="Q48" t="n">
        <v>1</v>
      </c>
      <c r="R48" s="2" t="inlineStr">
        <is>
          <t>Gullklöver</t>
        </is>
      </c>
      <c r="S48">
        <f>HYPERLINK("https://klasma.github.io/Logging_1880/artfynd/A 50499-2025 artfynd.xlsx", "A 50499-2025")</f>
        <v/>
      </c>
      <c r="T48">
        <f>HYPERLINK("https://klasma.github.io/Logging_1880/kartor/A 50499-2025 karta.png", "A 50499-2025")</f>
        <v/>
      </c>
      <c r="V48">
        <f>HYPERLINK("https://klasma.github.io/Logging_1880/klagomål/A 50499-2025 FSC-klagomål.docx", "A 50499-2025")</f>
        <v/>
      </c>
      <c r="W48">
        <f>HYPERLINK("https://klasma.github.io/Logging_1880/klagomålsmail/A 50499-2025 FSC-klagomål mail.docx", "A 50499-2025")</f>
        <v/>
      </c>
      <c r="X48">
        <f>HYPERLINK("https://klasma.github.io/Logging_1880/tillsyn/A 50499-2025 tillsynsbegäran.docx", "A 50499-2025")</f>
        <v/>
      </c>
      <c r="Y48">
        <f>HYPERLINK("https://klasma.github.io/Logging_1880/tillsynsmail/A 50499-2025 tillsynsbegäran mail.docx", "A 50499-2025")</f>
        <v/>
      </c>
    </row>
    <row r="49" ht="15" customHeight="1">
      <c r="A49" t="inlineStr">
        <is>
          <t>A 28936-2025</t>
        </is>
      </c>
      <c r="B49" s="1" t="n">
        <v>45820.69287037037</v>
      </c>
      <c r="C49" s="1" t="n">
        <v>45985</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4014-2021</t>
        </is>
      </c>
      <c r="B50" s="1" t="n">
        <v>44218</v>
      </c>
      <c r="C50" s="1" t="n">
        <v>45985</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32226-2025</t>
        </is>
      </c>
      <c r="B51" s="1" t="n">
        <v>45835.59478009259</v>
      </c>
      <c r="C51" s="1" t="n">
        <v>45985</v>
      </c>
      <c r="D51" t="inlineStr">
        <is>
          <t>ÖREBRO LÄN</t>
        </is>
      </c>
      <c r="E51" t="inlineStr">
        <is>
          <t>ÖREBRO</t>
        </is>
      </c>
      <c r="G51" t="n">
        <v>1.2</v>
      </c>
      <c r="H51" t="n">
        <v>0</v>
      </c>
      <c r="I51" t="n">
        <v>0</v>
      </c>
      <c r="J51" t="n">
        <v>1</v>
      </c>
      <c r="K51" t="n">
        <v>0</v>
      </c>
      <c r="L51" t="n">
        <v>0</v>
      </c>
      <c r="M51" t="n">
        <v>0</v>
      </c>
      <c r="N51" t="n">
        <v>0</v>
      </c>
      <c r="O51" t="n">
        <v>1</v>
      </c>
      <c r="P51" t="n">
        <v>0</v>
      </c>
      <c r="Q51" t="n">
        <v>1</v>
      </c>
      <c r="R51" s="2" t="inlineStr">
        <is>
          <t>Dofttaggsvamp</t>
        </is>
      </c>
      <c r="S51">
        <f>HYPERLINK("https://klasma.github.io/Logging_1880/artfynd/A 32226-2025 artfynd.xlsx", "A 32226-2025")</f>
        <v/>
      </c>
      <c r="T51">
        <f>HYPERLINK("https://klasma.github.io/Logging_1880/kartor/A 32226-2025 karta.png", "A 32226-2025")</f>
        <v/>
      </c>
      <c r="V51">
        <f>HYPERLINK("https://klasma.github.io/Logging_1880/klagomål/A 32226-2025 FSC-klagomål.docx", "A 32226-2025")</f>
        <v/>
      </c>
      <c r="W51">
        <f>HYPERLINK("https://klasma.github.io/Logging_1880/klagomålsmail/A 32226-2025 FSC-klagomål mail.docx", "A 32226-2025")</f>
        <v/>
      </c>
      <c r="X51">
        <f>HYPERLINK("https://klasma.github.io/Logging_1880/tillsyn/A 32226-2025 tillsynsbegäran.docx", "A 32226-2025")</f>
        <v/>
      </c>
      <c r="Y51">
        <f>HYPERLINK("https://klasma.github.io/Logging_1880/tillsynsmail/A 32226-2025 tillsynsbegäran mail.docx", "A 32226-2025")</f>
        <v/>
      </c>
    </row>
    <row r="52" ht="15" customHeight="1">
      <c r="A52" t="inlineStr">
        <is>
          <t>A 32204-2025</t>
        </is>
      </c>
      <c r="B52" s="1" t="n">
        <v>45835.58074074074</v>
      </c>
      <c r="C52" s="1" t="n">
        <v>45985</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32105-2023</t>
        </is>
      </c>
      <c r="B53" s="1" t="n">
        <v>45119</v>
      </c>
      <c r="C53" s="1" t="n">
        <v>45985</v>
      </c>
      <c r="D53" t="inlineStr">
        <is>
          <t>ÖREBRO LÄN</t>
        </is>
      </c>
      <c r="E53" t="inlineStr">
        <is>
          <t>ÖREBRO</t>
        </is>
      </c>
      <c r="G53" t="n">
        <v>1.3</v>
      </c>
      <c r="H53" t="n">
        <v>1</v>
      </c>
      <c r="I53" t="n">
        <v>0</v>
      </c>
      <c r="J53" t="n">
        <v>1</v>
      </c>
      <c r="K53" t="n">
        <v>0</v>
      </c>
      <c r="L53" t="n">
        <v>0</v>
      </c>
      <c r="M53" t="n">
        <v>0</v>
      </c>
      <c r="N53" t="n">
        <v>0</v>
      </c>
      <c r="O53" t="n">
        <v>1</v>
      </c>
      <c r="P53" t="n">
        <v>0</v>
      </c>
      <c r="Q53" t="n">
        <v>1</v>
      </c>
      <c r="R53" s="2" t="inlineStr">
        <is>
          <t>Rödvingetrast</t>
        </is>
      </c>
      <c r="S53">
        <f>HYPERLINK("https://klasma.github.io/Logging_1880/artfynd/A 32105-2023 artfynd.xlsx", "A 32105-2023")</f>
        <v/>
      </c>
      <c r="T53">
        <f>HYPERLINK("https://klasma.github.io/Logging_1880/kartor/A 32105-2023 karta.png", "A 32105-2023")</f>
        <v/>
      </c>
      <c r="V53">
        <f>HYPERLINK("https://klasma.github.io/Logging_1880/klagomål/A 32105-2023 FSC-klagomål.docx", "A 32105-2023")</f>
        <v/>
      </c>
      <c r="W53">
        <f>HYPERLINK("https://klasma.github.io/Logging_1880/klagomålsmail/A 32105-2023 FSC-klagomål mail.docx", "A 32105-2023")</f>
        <v/>
      </c>
      <c r="X53">
        <f>HYPERLINK("https://klasma.github.io/Logging_1880/tillsyn/A 32105-2023 tillsynsbegäran.docx", "A 32105-2023")</f>
        <v/>
      </c>
      <c r="Y53">
        <f>HYPERLINK("https://klasma.github.io/Logging_1880/tillsynsmail/A 32105-2023 tillsynsbegäran mail.docx", "A 32105-2023")</f>
        <v/>
      </c>
      <c r="Z53">
        <f>HYPERLINK("https://klasma.github.io/Logging_1880/fåglar/A 32105-2023 prioriterade fågelarter.docx", "A 32105-2023")</f>
        <v/>
      </c>
    </row>
    <row r="54" ht="15" customHeight="1">
      <c r="A54" t="inlineStr">
        <is>
          <t>A 20032-2023</t>
        </is>
      </c>
      <c r="B54" s="1" t="n">
        <v>45054</v>
      </c>
      <c r="C54" s="1" t="n">
        <v>45985</v>
      </c>
      <c r="D54" t="inlineStr">
        <is>
          <t>ÖREBRO LÄN</t>
        </is>
      </c>
      <c r="E54" t="inlineStr">
        <is>
          <t>ÖREBRO</t>
        </is>
      </c>
      <c r="G54" t="n">
        <v>2.6</v>
      </c>
      <c r="H54" t="n">
        <v>1</v>
      </c>
      <c r="I54" t="n">
        <v>0</v>
      </c>
      <c r="J54" t="n">
        <v>0</v>
      </c>
      <c r="K54" t="n">
        <v>0</v>
      </c>
      <c r="L54" t="n">
        <v>0</v>
      </c>
      <c r="M54" t="n">
        <v>0</v>
      </c>
      <c r="N54" t="n">
        <v>0</v>
      </c>
      <c r="O54" t="n">
        <v>0</v>
      </c>
      <c r="P54" t="n">
        <v>0</v>
      </c>
      <c r="Q54" t="n">
        <v>1</v>
      </c>
      <c r="R54" s="2" t="inlineStr">
        <is>
          <t>Fiskgjuse</t>
        </is>
      </c>
      <c r="S54">
        <f>HYPERLINK("https://klasma.github.io/Logging_1880/artfynd/A 20032-2023 artfynd.xlsx", "A 20032-2023")</f>
        <v/>
      </c>
      <c r="T54">
        <f>HYPERLINK("https://klasma.github.io/Logging_1880/kartor/A 20032-2023 karta.png", "A 20032-2023")</f>
        <v/>
      </c>
      <c r="V54">
        <f>HYPERLINK("https://klasma.github.io/Logging_1880/klagomål/A 20032-2023 FSC-klagomål.docx", "A 20032-2023")</f>
        <v/>
      </c>
      <c r="W54">
        <f>HYPERLINK("https://klasma.github.io/Logging_1880/klagomålsmail/A 20032-2023 FSC-klagomål mail.docx", "A 20032-2023")</f>
        <v/>
      </c>
      <c r="X54">
        <f>HYPERLINK("https://klasma.github.io/Logging_1880/tillsyn/A 20032-2023 tillsynsbegäran.docx", "A 20032-2023")</f>
        <v/>
      </c>
      <c r="Y54">
        <f>HYPERLINK("https://klasma.github.io/Logging_1880/tillsynsmail/A 20032-2023 tillsynsbegäran mail.docx", "A 20032-2023")</f>
        <v/>
      </c>
      <c r="Z54">
        <f>HYPERLINK("https://klasma.github.io/Logging_1880/fåglar/A 20032-2023 prioriterade fågelarter.docx", "A 20032-2023")</f>
        <v/>
      </c>
    </row>
    <row r="55" ht="15" customHeight="1">
      <c r="A55" t="inlineStr">
        <is>
          <t>A 22604-2024</t>
        </is>
      </c>
      <c r="B55" s="1" t="n">
        <v>45447</v>
      </c>
      <c r="C55" s="1" t="n">
        <v>45985</v>
      </c>
      <c r="D55" t="inlineStr">
        <is>
          <t>ÖREBRO LÄN</t>
        </is>
      </c>
      <c r="E55" t="inlineStr">
        <is>
          <t>ÖREBRO</t>
        </is>
      </c>
      <c r="G55" t="n">
        <v>4.4</v>
      </c>
      <c r="H55" t="n">
        <v>0</v>
      </c>
      <c r="I55" t="n">
        <v>0</v>
      </c>
      <c r="J55" t="n">
        <v>1</v>
      </c>
      <c r="K55" t="n">
        <v>0</v>
      </c>
      <c r="L55" t="n">
        <v>0</v>
      </c>
      <c r="M55" t="n">
        <v>0</v>
      </c>
      <c r="N55" t="n">
        <v>0</v>
      </c>
      <c r="O55" t="n">
        <v>1</v>
      </c>
      <c r="P55" t="n">
        <v>0</v>
      </c>
      <c r="Q55" t="n">
        <v>1</v>
      </c>
      <c r="R55" s="2" t="inlineStr">
        <is>
          <t>Månlåsbräken</t>
        </is>
      </c>
      <c r="S55">
        <f>HYPERLINK("https://klasma.github.io/Logging_1880/artfynd/A 22604-2024 artfynd.xlsx", "A 22604-2024")</f>
        <v/>
      </c>
      <c r="T55">
        <f>HYPERLINK("https://klasma.github.io/Logging_1880/kartor/A 22604-2024 karta.png", "A 22604-2024")</f>
        <v/>
      </c>
      <c r="V55">
        <f>HYPERLINK("https://klasma.github.io/Logging_1880/klagomål/A 22604-2024 FSC-klagomål.docx", "A 22604-2024")</f>
        <v/>
      </c>
      <c r="W55">
        <f>HYPERLINK("https://klasma.github.io/Logging_1880/klagomålsmail/A 22604-2024 FSC-klagomål mail.docx", "A 22604-2024")</f>
        <v/>
      </c>
      <c r="X55">
        <f>HYPERLINK("https://klasma.github.io/Logging_1880/tillsyn/A 22604-2024 tillsynsbegäran.docx", "A 22604-2024")</f>
        <v/>
      </c>
      <c r="Y55">
        <f>HYPERLINK("https://klasma.github.io/Logging_1880/tillsynsmail/A 22604-2024 tillsynsbegäran mail.docx", "A 22604-2024")</f>
        <v/>
      </c>
    </row>
    <row r="56" ht="15" customHeight="1">
      <c r="A56" t="inlineStr">
        <is>
          <t>A 30725-2023</t>
        </is>
      </c>
      <c r="B56" s="1" t="n">
        <v>45112.61451388889</v>
      </c>
      <c r="C56" s="1" t="n">
        <v>45985</v>
      </c>
      <c r="D56" t="inlineStr">
        <is>
          <t>ÖREBRO LÄN</t>
        </is>
      </c>
      <c r="E56" t="inlineStr">
        <is>
          <t>ÖREBRO</t>
        </is>
      </c>
      <c r="G56" t="n">
        <v>1.8</v>
      </c>
      <c r="H56" t="n">
        <v>1</v>
      </c>
      <c r="I56" t="n">
        <v>0</v>
      </c>
      <c r="J56" t="n">
        <v>1</v>
      </c>
      <c r="K56" t="n">
        <v>0</v>
      </c>
      <c r="L56" t="n">
        <v>0</v>
      </c>
      <c r="M56" t="n">
        <v>0</v>
      </c>
      <c r="N56" t="n">
        <v>0</v>
      </c>
      <c r="O56" t="n">
        <v>1</v>
      </c>
      <c r="P56" t="n">
        <v>0</v>
      </c>
      <c r="Q56" t="n">
        <v>1</v>
      </c>
      <c r="R56" s="2" t="inlineStr">
        <is>
          <t>Gulsparv</t>
        </is>
      </c>
      <c r="S56">
        <f>HYPERLINK("https://klasma.github.io/Logging_1880/artfynd/A 30725-2023 artfynd.xlsx", "A 30725-2023")</f>
        <v/>
      </c>
      <c r="T56">
        <f>HYPERLINK("https://klasma.github.io/Logging_1880/kartor/A 30725-2023 karta.png", "A 30725-2023")</f>
        <v/>
      </c>
      <c r="V56">
        <f>HYPERLINK("https://klasma.github.io/Logging_1880/klagomål/A 30725-2023 FSC-klagomål.docx", "A 30725-2023")</f>
        <v/>
      </c>
      <c r="W56">
        <f>HYPERLINK("https://klasma.github.io/Logging_1880/klagomålsmail/A 30725-2023 FSC-klagomål mail.docx", "A 30725-2023")</f>
        <v/>
      </c>
      <c r="X56">
        <f>HYPERLINK("https://klasma.github.io/Logging_1880/tillsyn/A 30725-2023 tillsynsbegäran.docx", "A 30725-2023")</f>
        <v/>
      </c>
      <c r="Y56">
        <f>HYPERLINK("https://klasma.github.io/Logging_1880/tillsynsmail/A 30725-2023 tillsynsbegäran mail.docx", "A 30725-2023")</f>
        <v/>
      </c>
      <c r="Z56">
        <f>HYPERLINK("https://klasma.github.io/Logging_1880/fåglar/A 30725-2023 prioriterade fågelarter.docx", "A 30725-2023")</f>
        <v/>
      </c>
    </row>
    <row r="57" ht="15" customHeight="1">
      <c r="A57" t="inlineStr">
        <is>
          <t>A 5097-2023</t>
        </is>
      </c>
      <c r="B57" s="1" t="n">
        <v>44958</v>
      </c>
      <c r="C57" s="1" t="n">
        <v>45985</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20247-2023</t>
        </is>
      </c>
      <c r="B58" s="1" t="n">
        <v>45055</v>
      </c>
      <c r="C58" s="1" t="n">
        <v>45985</v>
      </c>
      <c r="D58" t="inlineStr">
        <is>
          <t>ÖREBRO LÄN</t>
        </is>
      </c>
      <c r="E58" t="inlineStr">
        <is>
          <t>ÖREBRO</t>
        </is>
      </c>
      <c r="G58" t="n">
        <v>3</v>
      </c>
      <c r="H58" t="n">
        <v>1</v>
      </c>
      <c r="I58" t="n">
        <v>0</v>
      </c>
      <c r="J58" t="n">
        <v>0</v>
      </c>
      <c r="K58" t="n">
        <v>0</v>
      </c>
      <c r="L58" t="n">
        <v>0</v>
      </c>
      <c r="M58" t="n">
        <v>0</v>
      </c>
      <c r="N58" t="n">
        <v>0</v>
      </c>
      <c r="O58" t="n">
        <v>0</v>
      </c>
      <c r="P58" t="n">
        <v>0</v>
      </c>
      <c r="Q58" t="n">
        <v>1</v>
      </c>
      <c r="R58" s="2" t="inlineStr">
        <is>
          <t>Större vattensalamander</t>
        </is>
      </c>
      <c r="S58">
        <f>HYPERLINK("https://klasma.github.io/Logging_1880/artfynd/A 20247-2023 artfynd.xlsx", "A 20247-2023")</f>
        <v/>
      </c>
      <c r="T58">
        <f>HYPERLINK("https://klasma.github.io/Logging_1880/kartor/A 20247-2023 karta.png", "A 20247-2023")</f>
        <v/>
      </c>
      <c r="V58">
        <f>HYPERLINK("https://klasma.github.io/Logging_1880/klagomål/A 20247-2023 FSC-klagomål.docx", "A 20247-2023")</f>
        <v/>
      </c>
      <c r="W58">
        <f>HYPERLINK("https://klasma.github.io/Logging_1880/klagomålsmail/A 20247-2023 FSC-klagomål mail.docx", "A 20247-2023")</f>
        <v/>
      </c>
      <c r="X58">
        <f>HYPERLINK("https://klasma.github.io/Logging_1880/tillsyn/A 20247-2023 tillsynsbegäran.docx", "A 20247-2023")</f>
        <v/>
      </c>
      <c r="Y58">
        <f>HYPERLINK("https://klasma.github.io/Logging_1880/tillsynsmail/A 20247-2023 tillsynsbegäran mail.docx", "A 20247-2023")</f>
        <v/>
      </c>
    </row>
    <row r="59" ht="15" customHeight="1">
      <c r="A59" t="inlineStr">
        <is>
          <t>A 26890-2022</t>
        </is>
      </c>
      <c r="B59" s="1" t="n">
        <v>44740</v>
      </c>
      <c r="C59" s="1" t="n">
        <v>45985</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57920-2024</t>
        </is>
      </c>
      <c r="B60" s="1" t="n">
        <v>45631.50894675926</v>
      </c>
      <c r="C60" s="1" t="n">
        <v>45985</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2077-2023</t>
        </is>
      </c>
      <c r="B61" s="1" t="n">
        <v>44939</v>
      </c>
      <c r="C61" s="1" t="n">
        <v>45985</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44389-2021</t>
        </is>
      </c>
      <c r="B62" s="1" t="n">
        <v>44435</v>
      </c>
      <c r="C62" s="1" t="n">
        <v>45985</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31695-2024</t>
        </is>
      </c>
      <c r="B63" s="1" t="n">
        <v>45508</v>
      </c>
      <c r="C63" s="1" t="n">
        <v>45985</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9406-2021</t>
        </is>
      </c>
      <c r="B64" s="1" t="n">
        <v>44251</v>
      </c>
      <c r="C64" s="1" t="n">
        <v>45985</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45985</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45985</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16785-2021</t>
        </is>
      </c>
      <c r="B67" s="1" t="n">
        <v>44295</v>
      </c>
      <c r="C67" s="1" t="n">
        <v>45985</v>
      </c>
      <c r="D67" t="inlineStr">
        <is>
          <t>ÖREBRO LÄN</t>
        </is>
      </c>
      <c r="E67" t="inlineStr">
        <is>
          <t>ÖREBRO</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45985</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70289-2021</t>
        </is>
      </c>
      <c r="B69" s="1" t="n">
        <v>44536</v>
      </c>
      <c r="C69" s="1" t="n">
        <v>45985</v>
      </c>
      <c r="D69" t="inlineStr">
        <is>
          <t>ÖREBRO LÄN</t>
        </is>
      </c>
      <c r="E69" t="inlineStr">
        <is>
          <t>ÖREBRO</t>
        </is>
      </c>
      <c r="G69" t="n">
        <v>1.2</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45985</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45985</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45985</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45985</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45985</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45985</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45985</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33779-2021</t>
        </is>
      </c>
      <c r="B77" s="1" t="n">
        <v>44378.54952546296</v>
      </c>
      <c r="C77" s="1" t="n">
        <v>45985</v>
      </c>
      <c r="D77" t="inlineStr">
        <is>
          <t>ÖREBRO LÄN</t>
        </is>
      </c>
      <c r="E77" t="inlineStr">
        <is>
          <t>ÖREBRO</t>
        </is>
      </c>
      <c r="F77" t="inlineStr">
        <is>
          <t>Kommuner</t>
        </is>
      </c>
      <c r="G77" t="n">
        <v>4.5</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45985</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65592-2020</t>
        </is>
      </c>
      <c r="B79" s="1" t="n">
        <v>44173</v>
      </c>
      <c r="C79" s="1" t="n">
        <v>45985</v>
      </c>
      <c r="D79" t="inlineStr">
        <is>
          <t>ÖREBRO LÄN</t>
        </is>
      </c>
      <c r="E79" t="inlineStr">
        <is>
          <t>ÖREBRO</t>
        </is>
      </c>
      <c r="G79" t="n">
        <v>8.9</v>
      </c>
      <c r="H79" t="n">
        <v>0</v>
      </c>
      <c r="I79" t="n">
        <v>0</v>
      </c>
      <c r="J79" t="n">
        <v>0</v>
      </c>
      <c r="K79" t="n">
        <v>0</v>
      </c>
      <c r="L79" t="n">
        <v>0</v>
      </c>
      <c r="M79" t="n">
        <v>0</v>
      </c>
      <c r="N79" t="n">
        <v>0</v>
      </c>
      <c r="O79" t="n">
        <v>0</v>
      </c>
      <c r="P79" t="n">
        <v>0</v>
      </c>
      <c r="Q79" t="n">
        <v>0</v>
      </c>
      <c r="R79" s="2" t="inlineStr"/>
    </row>
    <row r="80" ht="15" customHeight="1">
      <c r="A80" t="inlineStr">
        <is>
          <t>A 13193-2021</t>
        </is>
      </c>
      <c r="B80" s="1" t="n">
        <v>44272.55052083333</v>
      </c>
      <c r="C80" s="1" t="n">
        <v>45985</v>
      </c>
      <c r="D80" t="inlineStr">
        <is>
          <t>ÖREBRO LÄN</t>
        </is>
      </c>
      <c r="E80" t="inlineStr">
        <is>
          <t>ÖREBRO</t>
        </is>
      </c>
      <c r="F80" t="inlineStr">
        <is>
          <t>Övriga Aktiebolag</t>
        </is>
      </c>
      <c r="G80" t="n">
        <v>4.1</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45985</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45985</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45985</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45985</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45985</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45985</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22153-2022</t>
        </is>
      </c>
      <c r="B87" s="1" t="n">
        <v>44712</v>
      </c>
      <c r="C87" s="1" t="n">
        <v>45985</v>
      </c>
      <c r="D87" t="inlineStr">
        <is>
          <t>ÖREBRO LÄN</t>
        </is>
      </c>
      <c r="E87" t="inlineStr">
        <is>
          <t>ÖREBRO</t>
        </is>
      </c>
      <c r="G87" t="n">
        <v>2.7</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45985</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12433-2021</t>
        </is>
      </c>
      <c r="B89" s="1" t="n">
        <v>44267</v>
      </c>
      <c r="C89" s="1" t="n">
        <v>45985</v>
      </c>
      <c r="D89" t="inlineStr">
        <is>
          <t>ÖREBRO LÄN</t>
        </is>
      </c>
      <c r="E89" t="inlineStr">
        <is>
          <t>ÖREBRO</t>
        </is>
      </c>
      <c r="F89" t="inlineStr">
        <is>
          <t>Kommuner</t>
        </is>
      </c>
      <c r="G89" t="n">
        <v>1</v>
      </c>
      <c r="H89" t="n">
        <v>0</v>
      </c>
      <c r="I89" t="n">
        <v>0</v>
      </c>
      <c r="J89" t="n">
        <v>0</v>
      </c>
      <c r="K89" t="n">
        <v>0</v>
      </c>
      <c r="L89" t="n">
        <v>0</v>
      </c>
      <c r="M89" t="n">
        <v>0</v>
      </c>
      <c r="N89" t="n">
        <v>0</v>
      </c>
      <c r="O89" t="n">
        <v>0</v>
      </c>
      <c r="P89" t="n">
        <v>0</v>
      </c>
      <c r="Q89" t="n">
        <v>0</v>
      </c>
      <c r="R89" s="2" t="inlineStr"/>
    </row>
    <row r="90" ht="15" customHeight="1">
      <c r="A90" t="inlineStr">
        <is>
          <t>A 15574-2021</t>
        </is>
      </c>
      <c r="B90" s="1" t="n">
        <v>44285</v>
      </c>
      <c r="C90" s="1" t="n">
        <v>45985</v>
      </c>
      <c r="D90" t="inlineStr">
        <is>
          <t>ÖREBRO LÄN</t>
        </is>
      </c>
      <c r="E90" t="inlineStr">
        <is>
          <t>ÖREBRO</t>
        </is>
      </c>
      <c r="G90" t="n">
        <v>0.7</v>
      </c>
      <c r="H90" t="n">
        <v>0</v>
      </c>
      <c r="I90" t="n">
        <v>0</v>
      </c>
      <c r="J90" t="n">
        <v>0</v>
      </c>
      <c r="K90" t="n">
        <v>0</v>
      </c>
      <c r="L90" t="n">
        <v>0</v>
      </c>
      <c r="M90" t="n">
        <v>0</v>
      </c>
      <c r="N90" t="n">
        <v>0</v>
      </c>
      <c r="O90" t="n">
        <v>0</v>
      </c>
      <c r="P90" t="n">
        <v>0</v>
      </c>
      <c r="Q90" t="n">
        <v>0</v>
      </c>
      <c r="R90" s="2" t="inlineStr"/>
    </row>
    <row r="91" ht="15" customHeight="1">
      <c r="A91" t="inlineStr">
        <is>
          <t>A 66970-2021</t>
        </is>
      </c>
      <c r="B91" s="1" t="n">
        <v>44522</v>
      </c>
      <c r="C91" s="1" t="n">
        <v>45985</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16759-2022</t>
        </is>
      </c>
      <c r="B92" s="1" t="n">
        <v>44673</v>
      </c>
      <c r="C92" s="1" t="n">
        <v>45985</v>
      </c>
      <c r="D92" t="inlineStr">
        <is>
          <t>ÖREBRO LÄN</t>
        </is>
      </c>
      <c r="E92" t="inlineStr">
        <is>
          <t>ÖREBRO</t>
        </is>
      </c>
      <c r="G92" t="n">
        <v>2</v>
      </c>
      <c r="H92" t="n">
        <v>0</v>
      </c>
      <c r="I92" t="n">
        <v>0</v>
      </c>
      <c r="J92" t="n">
        <v>0</v>
      </c>
      <c r="K92" t="n">
        <v>0</v>
      </c>
      <c r="L92" t="n">
        <v>0</v>
      </c>
      <c r="M92" t="n">
        <v>0</v>
      </c>
      <c r="N92" t="n">
        <v>0</v>
      </c>
      <c r="O92" t="n">
        <v>0</v>
      </c>
      <c r="P92" t="n">
        <v>0</v>
      </c>
      <c r="Q92" t="n">
        <v>0</v>
      </c>
      <c r="R92" s="2" t="inlineStr"/>
    </row>
    <row r="93" ht="15" customHeight="1">
      <c r="A93" t="inlineStr">
        <is>
          <t>A 67627-2020</t>
        </is>
      </c>
      <c r="B93" s="1" t="n">
        <v>44182</v>
      </c>
      <c r="C93" s="1" t="n">
        <v>45985</v>
      </c>
      <c r="D93" t="inlineStr">
        <is>
          <t>ÖREBRO LÄN</t>
        </is>
      </c>
      <c r="E93" t="inlineStr">
        <is>
          <t>ÖREBRO</t>
        </is>
      </c>
      <c r="G93" t="n">
        <v>1.4</v>
      </c>
      <c r="H93" t="n">
        <v>0</v>
      </c>
      <c r="I93" t="n">
        <v>0</v>
      </c>
      <c r="J93" t="n">
        <v>0</v>
      </c>
      <c r="K93" t="n">
        <v>0</v>
      </c>
      <c r="L93" t="n">
        <v>0</v>
      </c>
      <c r="M93" t="n">
        <v>0</v>
      </c>
      <c r="N93" t="n">
        <v>0</v>
      </c>
      <c r="O93" t="n">
        <v>0</v>
      </c>
      <c r="P93" t="n">
        <v>0</v>
      </c>
      <c r="Q93" t="n">
        <v>0</v>
      </c>
      <c r="R93" s="2" t="inlineStr"/>
    </row>
    <row r="94" ht="15" customHeight="1">
      <c r="A94" t="inlineStr">
        <is>
          <t>A 8884-2022</t>
        </is>
      </c>
      <c r="B94" s="1" t="n">
        <v>44614.60990740741</v>
      </c>
      <c r="C94" s="1" t="n">
        <v>45985</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3078-2021</t>
        </is>
      </c>
      <c r="B95" s="1" t="n">
        <v>44216</v>
      </c>
      <c r="C95" s="1" t="n">
        <v>45985</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3085-2021</t>
        </is>
      </c>
      <c r="B96" s="1" t="n">
        <v>44216</v>
      </c>
      <c r="C96" s="1" t="n">
        <v>45985</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70871-2021</t>
        </is>
      </c>
      <c r="B97" s="1" t="n">
        <v>44538</v>
      </c>
      <c r="C97" s="1" t="n">
        <v>45985</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45985</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36794-2022</t>
        </is>
      </c>
      <c r="B99" s="1" t="n">
        <v>44805</v>
      </c>
      <c r="C99" s="1" t="n">
        <v>45985</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15571-2021</t>
        </is>
      </c>
      <c r="B100" s="1" t="n">
        <v>44285</v>
      </c>
      <c r="C100" s="1" t="n">
        <v>45985</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4021-2021</t>
        </is>
      </c>
      <c r="B101" s="1" t="n">
        <v>44218</v>
      </c>
      <c r="C101" s="1" t="n">
        <v>45985</v>
      </c>
      <c r="D101" t="inlineStr">
        <is>
          <t>ÖREBRO LÄN</t>
        </is>
      </c>
      <c r="E101" t="inlineStr">
        <is>
          <t>ÖREBRO</t>
        </is>
      </c>
      <c r="G101" t="n">
        <v>5.3</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45985</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45985</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26153-2021</t>
        </is>
      </c>
      <c r="B104" s="1" t="n">
        <v>44347</v>
      </c>
      <c r="C104" s="1" t="n">
        <v>45985</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51429-2021</t>
        </is>
      </c>
      <c r="B105" s="1" t="n">
        <v>44461.92744212963</v>
      </c>
      <c r="C105" s="1" t="n">
        <v>45985</v>
      </c>
      <c r="D105" t="inlineStr">
        <is>
          <t>ÖREBRO LÄN</t>
        </is>
      </c>
      <c r="E105" t="inlineStr">
        <is>
          <t>ÖREBRO</t>
        </is>
      </c>
      <c r="G105" t="n">
        <v>0.7</v>
      </c>
      <c r="H105" t="n">
        <v>0</v>
      </c>
      <c r="I105" t="n">
        <v>0</v>
      </c>
      <c r="J105" t="n">
        <v>0</v>
      </c>
      <c r="K105" t="n">
        <v>0</v>
      </c>
      <c r="L105" t="n">
        <v>0</v>
      </c>
      <c r="M105" t="n">
        <v>0</v>
      </c>
      <c r="N105" t="n">
        <v>0</v>
      </c>
      <c r="O105" t="n">
        <v>0</v>
      </c>
      <c r="P105" t="n">
        <v>0</v>
      </c>
      <c r="Q105" t="n">
        <v>0</v>
      </c>
      <c r="R105" s="2" t="inlineStr"/>
    </row>
    <row r="106" ht="15" customHeight="1">
      <c r="A106" t="inlineStr">
        <is>
          <t>A 24818-2021</t>
        </is>
      </c>
      <c r="B106" s="1" t="n">
        <v>44340</v>
      </c>
      <c r="C106" s="1" t="n">
        <v>45985</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797-2022</t>
        </is>
      </c>
      <c r="B107" s="1" t="n">
        <v>44566</v>
      </c>
      <c r="C107" s="1" t="n">
        <v>45985</v>
      </c>
      <c r="D107" t="inlineStr">
        <is>
          <t>ÖREBRO LÄN</t>
        </is>
      </c>
      <c r="E107" t="inlineStr">
        <is>
          <t>ÖREBRO</t>
        </is>
      </c>
      <c r="G107" t="n">
        <v>0.1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45985</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13045-2022</t>
        </is>
      </c>
      <c r="B109" s="1" t="n">
        <v>44643</v>
      </c>
      <c r="C109" s="1" t="n">
        <v>45985</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64523-2021</t>
        </is>
      </c>
      <c r="B110" s="1" t="n">
        <v>44511</v>
      </c>
      <c r="C110" s="1" t="n">
        <v>45985</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28870-2021</t>
        </is>
      </c>
      <c r="B111" s="1" t="n">
        <v>44357.75265046296</v>
      </c>
      <c r="C111" s="1" t="n">
        <v>45985</v>
      </c>
      <c r="D111" t="inlineStr">
        <is>
          <t>ÖREBRO LÄN</t>
        </is>
      </c>
      <c r="E111" t="inlineStr">
        <is>
          <t>ÖREBRO</t>
        </is>
      </c>
      <c r="F111" t="inlineStr">
        <is>
          <t>Övriga Aktiebolag</t>
        </is>
      </c>
      <c r="G111" t="n">
        <v>2.4</v>
      </c>
      <c r="H111" t="n">
        <v>0</v>
      </c>
      <c r="I111" t="n">
        <v>0</v>
      </c>
      <c r="J111" t="n">
        <v>0</v>
      </c>
      <c r="K111" t="n">
        <v>0</v>
      </c>
      <c r="L111" t="n">
        <v>0</v>
      </c>
      <c r="M111" t="n">
        <v>0</v>
      </c>
      <c r="N111" t="n">
        <v>0</v>
      </c>
      <c r="O111" t="n">
        <v>0</v>
      </c>
      <c r="P111" t="n">
        <v>0</v>
      </c>
      <c r="Q111" t="n">
        <v>0</v>
      </c>
      <c r="R111" s="2" t="inlineStr"/>
    </row>
    <row r="112" ht="15" customHeight="1">
      <c r="A112" t="inlineStr">
        <is>
          <t>A 10019-2022</t>
        </is>
      </c>
      <c r="B112" s="1" t="n">
        <v>44621</v>
      </c>
      <c r="C112" s="1" t="n">
        <v>45985</v>
      </c>
      <c r="D112" t="inlineStr">
        <is>
          <t>ÖREBRO LÄN</t>
        </is>
      </c>
      <c r="E112" t="inlineStr">
        <is>
          <t>ÖREBRO</t>
        </is>
      </c>
      <c r="G112" t="n">
        <v>1.1</v>
      </c>
      <c r="H112" t="n">
        <v>0</v>
      </c>
      <c r="I112" t="n">
        <v>0</v>
      </c>
      <c r="J112" t="n">
        <v>0</v>
      </c>
      <c r="K112" t="n">
        <v>0</v>
      </c>
      <c r="L112" t="n">
        <v>0</v>
      </c>
      <c r="M112" t="n">
        <v>0</v>
      </c>
      <c r="N112" t="n">
        <v>0</v>
      </c>
      <c r="O112" t="n">
        <v>0</v>
      </c>
      <c r="P112" t="n">
        <v>0</v>
      </c>
      <c r="Q112" t="n">
        <v>0</v>
      </c>
      <c r="R112" s="2" t="inlineStr"/>
    </row>
    <row r="113" ht="15" customHeight="1">
      <c r="A113" t="inlineStr">
        <is>
          <t>A 44146-2021</t>
        </is>
      </c>
      <c r="B113" s="1" t="n">
        <v>44434</v>
      </c>
      <c r="C113" s="1" t="n">
        <v>45985</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21567-2022</t>
        </is>
      </c>
      <c r="B114" s="1" t="n">
        <v>44706</v>
      </c>
      <c r="C114" s="1" t="n">
        <v>45985</v>
      </c>
      <c r="D114" t="inlineStr">
        <is>
          <t>ÖREBRO LÄN</t>
        </is>
      </c>
      <c r="E114" t="inlineStr">
        <is>
          <t>ÖREBRO</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58138-2021</t>
        </is>
      </c>
      <c r="B115" s="1" t="n">
        <v>44487</v>
      </c>
      <c r="C115" s="1" t="n">
        <v>45985</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16258-2022</t>
        </is>
      </c>
      <c r="B116" s="1" t="n">
        <v>44670</v>
      </c>
      <c r="C116" s="1" t="n">
        <v>45985</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7117-2021</t>
        </is>
      </c>
      <c r="B117" s="1" t="n">
        <v>44238</v>
      </c>
      <c r="C117" s="1" t="n">
        <v>45985</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45985</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45985</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45985</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45985</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45985</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45985</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45985</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45985</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3087-2021</t>
        </is>
      </c>
      <c r="B126" s="1" t="n">
        <v>44216</v>
      </c>
      <c r="C126" s="1" t="n">
        <v>45985</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32231-2022</t>
        </is>
      </c>
      <c r="B127" s="1" t="n">
        <v>44781</v>
      </c>
      <c r="C127" s="1" t="n">
        <v>45985</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32247-2022</t>
        </is>
      </c>
      <c r="B128" s="1" t="n">
        <v>44781</v>
      </c>
      <c r="C128" s="1" t="n">
        <v>45985</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44827.3940625</v>
      </c>
      <c r="C129" s="1" t="n">
        <v>45985</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45985</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45985</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33814-2021</t>
        </is>
      </c>
      <c r="B132" s="1" t="n">
        <v>44378</v>
      </c>
      <c r="C132" s="1" t="n">
        <v>45985</v>
      </c>
      <c r="D132" t="inlineStr">
        <is>
          <t>ÖREBRO LÄN</t>
        </is>
      </c>
      <c r="E132" t="inlineStr">
        <is>
          <t>ÖREBRO</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45985</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62651-2020</t>
        </is>
      </c>
      <c r="B134" s="1" t="n">
        <v>44161</v>
      </c>
      <c r="C134" s="1" t="n">
        <v>45985</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57343-2021</t>
        </is>
      </c>
      <c r="B135" s="1" t="n">
        <v>44482</v>
      </c>
      <c r="C135" s="1" t="n">
        <v>45985</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26118-2021</t>
        </is>
      </c>
      <c r="B136" s="1" t="n">
        <v>44345</v>
      </c>
      <c r="C136" s="1" t="n">
        <v>45985</v>
      </c>
      <c r="D136" t="inlineStr">
        <is>
          <t>ÖREBRO LÄN</t>
        </is>
      </c>
      <c r="E136" t="inlineStr">
        <is>
          <t>ÖREBRO</t>
        </is>
      </c>
      <c r="G136" t="n">
        <v>2.2</v>
      </c>
      <c r="H136" t="n">
        <v>0</v>
      </c>
      <c r="I136" t="n">
        <v>0</v>
      </c>
      <c r="J136" t="n">
        <v>0</v>
      </c>
      <c r="K136" t="n">
        <v>0</v>
      </c>
      <c r="L136" t="n">
        <v>0</v>
      </c>
      <c r="M136" t="n">
        <v>0</v>
      </c>
      <c r="N136" t="n">
        <v>0</v>
      </c>
      <c r="O136" t="n">
        <v>0</v>
      </c>
      <c r="P136" t="n">
        <v>0</v>
      </c>
      <c r="Q136" t="n">
        <v>0</v>
      </c>
      <c r="R136" s="2" t="inlineStr"/>
    </row>
    <row r="137" ht="15" customHeight="1">
      <c r="A137" t="inlineStr">
        <is>
          <t>A 26119-2021</t>
        </is>
      </c>
      <c r="B137" s="1" t="n">
        <v>44345.33282407407</v>
      </c>
      <c r="C137" s="1" t="n">
        <v>45985</v>
      </c>
      <c r="D137" t="inlineStr">
        <is>
          <t>ÖREBRO LÄN</t>
        </is>
      </c>
      <c r="E137" t="inlineStr">
        <is>
          <t>ÖREBRO</t>
        </is>
      </c>
      <c r="G137" t="n">
        <v>1.6</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45985</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45985</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45985</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45985</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45985</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45985</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45985</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45985</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45985</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45985</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45985</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45985</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45985</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45985</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45985</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13169-2024</t>
        </is>
      </c>
      <c r="B153" s="1" t="n">
        <v>45386.40489583334</v>
      </c>
      <c r="C153" s="1" t="n">
        <v>45985</v>
      </c>
      <c r="D153" t="inlineStr">
        <is>
          <t>ÖREBRO LÄN</t>
        </is>
      </c>
      <c r="E153" t="inlineStr">
        <is>
          <t>ÖREBRO</t>
        </is>
      </c>
      <c r="G153" t="n">
        <v>4.3</v>
      </c>
      <c r="H153" t="n">
        <v>0</v>
      </c>
      <c r="I153" t="n">
        <v>0</v>
      </c>
      <c r="J153" t="n">
        <v>0</v>
      </c>
      <c r="K153" t="n">
        <v>0</v>
      </c>
      <c r="L153" t="n">
        <v>0</v>
      </c>
      <c r="M153" t="n">
        <v>0</v>
      </c>
      <c r="N153" t="n">
        <v>0</v>
      </c>
      <c r="O153" t="n">
        <v>0</v>
      </c>
      <c r="P153" t="n">
        <v>0</v>
      </c>
      <c r="Q153" t="n">
        <v>0</v>
      </c>
      <c r="R153" s="2" t="inlineStr"/>
    </row>
    <row r="154" ht="15" customHeight="1">
      <c r="A154" t="inlineStr">
        <is>
          <t>A 15354-2024</t>
        </is>
      </c>
      <c r="B154" s="1" t="n">
        <v>45400.85319444445</v>
      </c>
      <c r="C154" s="1" t="n">
        <v>45985</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19831-2021</t>
        </is>
      </c>
      <c r="B155" s="1" t="n">
        <v>44313</v>
      </c>
      <c r="C155" s="1" t="n">
        <v>45985</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11067-2025</t>
        </is>
      </c>
      <c r="B156" s="1" t="n">
        <v>45723</v>
      </c>
      <c r="C156" s="1" t="n">
        <v>45985</v>
      </c>
      <c r="D156" t="inlineStr">
        <is>
          <t>ÖREBRO LÄN</t>
        </is>
      </c>
      <c r="E156" t="inlineStr">
        <is>
          <t>ÖREBRO</t>
        </is>
      </c>
      <c r="G156" t="n">
        <v>3.1</v>
      </c>
      <c r="H156" t="n">
        <v>0</v>
      </c>
      <c r="I156" t="n">
        <v>0</v>
      </c>
      <c r="J156" t="n">
        <v>0</v>
      </c>
      <c r="K156" t="n">
        <v>0</v>
      </c>
      <c r="L156" t="n">
        <v>0</v>
      </c>
      <c r="M156" t="n">
        <v>0</v>
      </c>
      <c r="N156" t="n">
        <v>0</v>
      </c>
      <c r="O156" t="n">
        <v>0</v>
      </c>
      <c r="P156" t="n">
        <v>0</v>
      </c>
      <c r="Q156" t="n">
        <v>0</v>
      </c>
      <c r="R156" s="2" t="inlineStr"/>
    </row>
    <row r="157" ht="15" customHeight="1">
      <c r="A157" t="inlineStr">
        <is>
          <t>A 9585-2025</t>
        </is>
      </c>
      <c r="B157" s="1" t="n">
        <v>45715.63409722222</v>
      </c>
      <c r="C157" s="1" t="n">
        <v>45985</v>
      </c>
      <c r="D157" t="inlineStr">
        <is>
          <t>ÖREBRO LÄN</t>
        </is>
      </c>
      <c r="E157" t="inlineStr">
        <is>
          <t>ÖREBRO</t>
        </is>
      </c>
      <c r="G157" t="n">
        <v>3.4</v>
      </c>
      <c r="H157" t="n">
        <v>0</v>
      </c>
      <c r="I157" t="n">
        <v>0</v>
      </c>
      <c r="J157" t="n">
        <v>0</v>
      </c>
      <c r="K157" t="n">
        <v>0</v>
      </c>
      <c r="L157" t="n">
        <v>0</v>
      </c>
      <c r="M157" t="n">
        <v>0</v>
      </c>
      <c r="N157" t="n">
        <v>0</v>
      </c>
      <c r="O157" t="n">
        <v>0</v>
      </c>
      <c r="P157" t="n">
        <v>0</v>
      </c>
      <c r="Q157" t="n">
        <v>0</v>
      </c>
      <c r="R157" s="2" t="inlineStr"/>
    </row>
    <row r="158" ht="15" customHeight="1">
      <c r="A158" t="inlineStr">
        <is>
          <t>A 6879-2024</t>
        </is>
      </c>
      <c r="B158" s="1" t="n">
        <v>45342.85280092592</v>
      </c>
      <c r="C158" s="1" t="n">
        <v>45985</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681-2024</t>
        </is>
      </c>
      <c r="B159" s="1" t="n">
        <v>45300</v>
      </c>
      <c r="C159" s="1" t="n">
        <v>45985</v>
      </c>
      <c r="D159" t="inlineStr">
        <is>
          <t>ÖREBRO LÄN</t>
        </is>
      </c>
      <c r="E159" t="inlineStr">
        <is>
          <t>ÖREBRO</t>
        </is>
      </c>
      <c r="G159" t="n">
        <v>3.3</v>
      </c>
      <c r="H159" t="n">
        <v>0</v>
      </c>
      <c r="I159" t="n">
        <v>0</v>
      </c>
      <c r="J159" t="n">
        <v>0</v>
      </c>
      <c r="K159" t="n">
        <v>0</v>
      </c>
      <c r="L159" t="n">
        <v>0</v>
      </c>
      <c r="M159" t="n">
        <v>0</v>
      </c>
      <c r="N159" t="n">
        <v>0</v>
      </c>
      <c r="O159" t="n">
        <v>0</v>
      </c>
      <c r="P159" t="n">
        <v>0</v>
      </c>
      <c r="Q159" t="n">
        <v>0</v>
      </c>
      <c r="R159" s="2" t="inlineStr"/>
    </row>
    <row r="160" ht="15" customHeight="1">
      <c r="A160" t="inlineStr">
        <is>
          <t>A 5357-2024</t>
        </is>
      </c>
      <c r="B160" s="1" t="n">
        <v>45331</v>
      </c>
      <c r="C160" s="1" t="n">
        <v>45985</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5125-2024</t>
        </is>
      </c>
      <c r="B161" s="1" t="n">
        <v>45330</v>
      </c>
      <c r="C161" s="1" t="n">
        <v>45985</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14234-2024</t>
        </is>
      </c>
      <c r="B162" s="1" t="n">
        <v>45393.46980324074</v>
      </c>
      <c r="C162" s="1" t="n">
        <v>45985</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52256-2023</t>
        </is>
      </c>
      <c r="B163" s="1" t="n">
        <v>45224.51471064815</v>
      </c>
      <c r="C163" s="1" t="n">
        <v>45985</v>
      </c>
      <c r="D163" t="inlineStr">
        <is>
          <t>ÖREBRO LÄN</t>
        </is>
      </c>
      <c r="E163" t="inlineStr">
        <is>
          <t>ÖREBRO</t>
        </is>
      </c>
      <c r="G163" t="n">
        <v>2.8</v>
      </c>
      <c r="H163" t="n">
        <v>0</v>
      </c>
      <c r="I163" t="n">
        <v>0</v>
      </c>
      <c r="J163" t="n">
        <v>0</v>
      </c>
      <c r="K163" t="n">
        <v>0</v>
      </c>
      <c r="L163" t="n">
        <v>0</v>
      </c>
      <c r="M163" t="n">
        <v>0</v>
      </c>
      <c r="N163" t="n">
        <v>0</v>
      </c>
      <c r="O163" t="n">
        <v>0</v>
      </c>
      <c r="P163" t="n">
        <v>0</v>
      </c>
      <c r="Q163" t="n">
        <v>0</v>
      </c>
      <c r="R163" s="2" t="inlineStr"/>
    </row>
    <row r="164" ht="15" customHeight="1">
      <c r="A164" t="inlineStr">
        <is>
          <t>A 55593-2022</t>
        </is>
      </c>
      <c r="B164" s="1" t="n">
        <v>44888</v>
      </c>
      <c r="C164" s="1" t="n">
        <v>45985</v>
      </c>
      <c r="D164" t="inlineStr">
        <is>
          <t>ÖREBRO LÄN</t>
        </is>
      </c>
      <c r="E164" t="inlineStr">
        <is>
          <t>ÖREBRO</t>
        </is>
      </c>
      <c r="G164" t="n">
        <v>3.6</v>
      </c>
      <c r="H164" t="n">
        <v>0</v>
      </c>
      <c r="I164" t="n">
        <v>0</v>
      </c>
      <c r="J164" t="n">
        <v>0</v>
      </c>
      <c r="K164" t="n">
        <v>0</v>
      </c>
      <c r="L164" t="n">
        <v>0</v>
      </c>
      <c r="M164" t="n">
        <v>0</v>
      </c>
      <c r="N164" t="n">
        <v>0</v>
      </c>
      <c r="O164" t="n">
        <v>0</v>
      </c>
      <c r="P164" t="n">
        <v>0</v>
      </c>
      <c r="Q164" t="n">
        <v>0</v>
      </c>
      <c r="R164" s="2" t="inlineStr"/>
    </row>
    <row r="165" ht="15" customHeight="1">
      <c r="A165" t="inlineStr">
        <is>
          <t>A 50446-2023</t>
        </is>
      </c>
      <c r="B165" s="1" t="n">
        <v>45216</v>
      </c>
      <c r="C165" s="1" t="n">
        <v>45985</v>
      </c>
      <c r="D165" t="inlineStr">
        <is>
          <t>ÖREBRO LÄN</t>
        </is>
      </c>
      <c r="E165" t="inlineStr">
        <is>
          <t>ÖREBRO</t>
        </is>
      </c>
      <c r="F165" t="inlineStr">
        <is>
          <t>Övriga Aktiebolag</t>
        </is>
      </c>
      <c r="G165" t="n">
        <v>2.8</v>
      </c>
      <c r="H165" t="n">
        <v>0</v>
      </c>
      <c r="I165" t="n">
        <v>0</v>
      </c>
      <c r="J165" t="n">
        <v>0</v>
      </c>
      <c r="K165" t="n">
        <v>0</v>
      </c>
      <c r="L165" t="n">
        <v>0</v>
      </c>
      <c r="M165" t="n">
        <v>0</v>
      </c>
      <c r="N165" t="n">
        <v>0</v>
      </c>
      <c r="O165" t="n">
        <v>0</v>
      </c>
      <c r="P165" t="n">
        <v>0</v>
      </c>
      <c r="Q165" t="n">
        <v>0</v>
      </c>
      <c r="R165" s="2" t="inlineStr"/>
    </row>
    <row r="166" ht="15" customHeight="1">
      <c r="A166" t="inlineStr">
        <is>
          <t>A 50450-2023</t>
        </is>
      </c>
      <c r="B166" s="1" t="n">
        <v>45216.73533564815</v>
      </c>
      <c r="C166" s="1" t="n">
        <v>45985</v>
      </c>
      <c r="D166" t="inlineStr">
        <is>
          <t>ÖREBRO LÄN</t>
        </is>
      </c>
      <c r="E166" t="inlineStr">
        <is>
          <t>ÖREBRO</t>
        </is>
      </c>
      <c r="F166" t="inlineStr">
        <is>
          <t>Övriga Aktiebolag</t>
        </is>
      </c>
      <c r="G166" t="n">
        <v>0.8</v>
      </c>
      <c r="H166" t="n">
        <v>0</v>
      </c>
      <c r="I166" t="n">
        <v>0</v>
      </c>
      <c r="J166" t="n">
        <v>0</v>
      </c>
      <c r="K166" t="n">
        <v>0</v>
      </c>
      <c r="L166" t="n">
        <v>0</v>
      </c>
      <c r="M166" t="n">
        <v>0</v>
      </c>
      <c r="N166" t="n">
        <v>0</v>
      </c>
      <c r="O166" t="n">
        <v>0</v>
      </c>
      <c r="P166" t="n">
        <v>0</v>
      </c>
      <c r="Q166" t="n">
        <v>0</v>
      </c>
      <c r="R166" s="2" t="inlineStr"/>
    </row>
    <row r="167" ht="15" customHeight="1">
      <c r="A167" t="inlineStr">
        <is>
          <t>A 43612-2022</t>
        </is>
      </c>
      <c r="B167" s="1" t="n">
        <v>44837</v>
      </c>
      <c r="C167" s="1" t="n">
        <v>45985</v>
      </c>
      <c r="D167" t="inlineStr">
        <is>
          <t>ÖREBRO LÄN</t>
        </is>
      </c>
      <c r="E167" t="inlineStr">
        <is>
          <t>ÖREBRO</t>
        </is>
      </c>
      <c r="G167" t="n">
        <v>0.6</v>
      </c>
      <c r="H167" t="n">
        <v>0</v>
      </c>
      <c r="I167" t="n">
        <v>0</v>
      </c>
      <c r="J167" t="n">
        <v>0</v>
      </c>
      <c r="K167" t="n">
        <v>0</v>
      </c>
      <c r="L167" t="n">
        <v>0</v>
      </c>
      <c r="M167" t="n">
        <v>0</v>
      </c>
      <c r="N167" t="n">
        <v>0</v>
      </c>
      <c r="O167" t="n">
        <v>0</v>
      </c>
      <c r="P167" t="n">
        <v>0</v>
      </c>
      <c r="Q167" t="n">
        <v>0</v>
      </c>
      <c r="R167" s="2" t="inlineStr"/>
    </row>
    <row r="168" ht="15" customHeight="1">
      <c r="A168" t="inlineStr">
        <is>
          <t>A 58644-2023</t>
        </is>
      </c>
      <c r="B168" s="1" t="n">
        <v>45251.58716435185</v>
      </c>
      <c r="C168" s="1" t="n">
        <v>45985</v>
      </c>
      <c r="D168" t="inlineStr">
        <is>
          <t>ÖREBRO LÄN</t>
        </is>
      </c>
      <c r="E168" t="inlineStr">
        <is>
          <t>ÖREBRO</t>
        </is>
      </c>
      <c r="F168" t="inlineStr">
        <is>
          <t>Övriga Aktiebolag</t>
        </is>
      </c>
      <c r="G168" t="n">
        <v>1.9</v>
      </c>
      <c r="H168" t="n">
        <v>0</v>
      </c>
      <c r="I168" t="n">
        <v>0</v>
      </c>
      <c r="J168" t="n">
        <v>0</v>
      </c>
      <c r="K168" t="n">
        <v>0</v>
      </c>
      <c r="L168" t="n">
        <v>0</v>
      </c>
      <c r="M168" t="n">
        <v>0</v>
      </c>
      <c r="N168" t="n">
        <v>0</v>
      </c>
      <c r="O168" t="n">
        <v>0</v>
      </c>
      <c r="P168" t="n">
        <v>0</v>
      </c>
      <c r="Q168" t="n">
        <v>0</v>
      </c>
      <c r="R168" s="2" t="inlineStr"/>
    </row>
    <row r="169" ht="15" customHeight="1">
      <c r="A169" t="inlineStr">
        <is>
          <t>A 21338-2025</t>
        </is>
      </c>
      <c r="B169" s="1" t="n">
        <v>45780</v>
      </c>
      <c r="C169" s="1" t="n">
        <v>45985</v>
      </c>
      <c r="D169" t="inlineStr">
        <is>
          <t>ÖREBRO LÄN</t>
        </is>
      </c>
      <c r="E169" t="inlineStr">
        <is>
          <t>ÖREBRO</t>
        </is>
      </c>
      <c r="G169" t="n">
        <v>3.2</v>
      </c>
      <c r="H169" t="n">
        <v>0</v>
      </c>
      <c r="I169" t="n">
        <v>0</v>
      </c>
      <c r="J169" t="n">
        <v>0</v>
      </c>
      <c r="K169" t="n">
        <v>0</v>
      </c>
      <c r="L169" t="n">
        <v>0</v>
      </c>
      <c r="M169" t="n">
        <v>0</v>
      </c>
      <c r="N169" t="n">
        <v>0</v>
      </c>
      <c r="O169" t="n">
        <v>0</v>
      </c>
      <c r="P169" t="n">
        <v>0</v>
      </c>
      <c r="Q169" t="n">
        <v>0</v>
      </c>
      <c r="R169" s="2" t="inlineStr"/>
    </row>
    <row r="170" ht="15" customHeight="1">
      <c r="A170" t="inlineStr">
        <is>
          <t>A 42138-2024</t>
        </is>
      </c>
      <c r="B170" s="1" t="n">
        <v>45562.41854166667</v>
      </c>
      <c r="C170" s="1" t="n">
        <v>45985</v>
      </c>
      <c r="D170" t="inlineStr">
        <is>
          <t>ÖREBRO LÄN</t>
        </is>
      </c>
      <c r="E170" t="inlineStr">
        <is>
          <t>ÖREBRO</t>
        </is>
      </c>
      <c r="G170" t="n">
        <v>1.4</v>
      </c>
      <c r="H170" t="n">
        <v>0</v>
      </c>
      <c r="I170" t="n">
        <v>0</v>
      </c>
      <c r="J170" t="n">
        <v>0</v>
      </c>
      <c r="K170" t="n">
        <v>0</v>
      </c>
      <c r="L170" t="n">
        <v>0</v>
      </c>
      <c r="M170" t="n">
        <v>0</v>
      </c>
      <c r="N170" t="n">
        <v>0</v>
      </c>
      <c r="O170" t="n">
        <v>0</v>
      </c>
      <c r="P170" t="n">
        <v>0</v>
      </c>
      <c r="Q170" t="n">
        <v>0</v>
      </c>
      <c r="R170" s="2" t="inlineStr"/>
    </row>
    <row r="171" ht="15" customHeight="1">
      <c r="A171" t="inlineStr">
        <is>
          <t>A 34874-2022</t>
        </is>
      </c>
      <c r="B171" s="1" t="n">
        <v>44796</v>
      </c>
      <c r="C171" s="1" t="n">
        <v>45985</v>
      </c>
      <c r="D171" t="inlineStr">
        <is>
          <t>ÖREBRO LÄN</t>
        </is>
      </c>
      <c r="E171" t="inlineStr">
        <is>
          <t>ÖREBRO</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22755-2025</t>
        </is>
      </c>
      <c r="B172" s="1" t="n">
        <v>45789.61872685186</v>
      </c>
      <c r="C172" s="1" t="n">
        <v>45985</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44199-2024</t>
        </is>
      </c>
      <c r="B173" s="1" t="n">
        <v>45573</v>
      </c>
      <c r="C173" s="1" t="n">
        <v>45985</v>
      </c>
      <c r="D173" t="inlineStr">
        <is>
          <t>ÖREBRO LÄN</t>
        </is>
      </c>
      <c r="E173" t="inlineStr">
        <is>
          <t>ÖREBRO</t>
        </is>
      </c>
      <c r="G173" t="n">
        <v>4.3</v>
      </c>
      <c r="H173" t="n">
        <v>0</v>
      </c>
      <c r="I173" t="n">
        <v>0</v>
      </c>
      <c r="J173" t="n">
        <v>0</v>
      </c>
      <c r="K173" t="n">
        <v>0</v>
      </c>
      <c r="L173" t="n">
        <v>0</v>
      </c>
      <c r="M173" t="n">
        <v>0</v>
      </c>
      <c r="N173" t="n">
        <v>0</v>
      </c>
      <c r="O173" t="n">
        <v>0</v>
      </c>
      <c r="P173" t="n">
        <v>0</v>
      </c>
      <c r="Q173" t="n">
        <v>0</v>
      </c>
      <c r="R173" s="2" t="inlineStr"/>
    </row>
    <row r="174" ht="15" customHeight="1">
      <c r="A174" t="inlineStr">
        <is>
          <t>A 34336-2024</t>
        </is>
      </c>
      <c r="B174" s="1" t="n">
        <v>45524.94774305556</v>
      </c>
      <c r="C174" s="1" t="n">
        <v>45985</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26443-2024</t>
        </is>
      </c>
      <c r="B175" s="1" t="n">
        <v>45469.49901620371</v>
      </c>
      <c r="C175" s="1" t="n">
        <v>45985</v>
      </c>
      <c r="D175" t="inlineStr">
        <is>
          <t>ÖREBRO LÄN</t>
        </is>
      </c>
      <c r="E175" t="inlineStr">
        <is>
          <t>ÖREBRO</t>
        </is>
      </c>
      <c r="G175" t="n">
        <v>5.7</v>
      </c>
      <c r="H175" t="n">
        <v>0</v>
      </c>
      <c r="I175" t="n">
        <v>0</v>
      </c>
      <c r="J175" t="n">
        <v>0</v>
      </c>
      <c r="K175" t="n">
        <v>0</v>
      </c>
      <c r="L175" t="n">
        <v>0</v>
      </c>
      <c r="M175" t="n">
        <v>0</v>
      </c>
      <c r="N175" t="n">
        <v>0</v>
      </c>
      <c r="O175" t="n">
        <v>0</v>
      </c>
      <c r="P175" t="n">
        <v>0</v>
      </c>
      <c r="Q175" t="n">
        <v>0</v>
      </c>
      <c r="R175" s="2" t="inlineStr"/>
    </row>
    <row r="176" ht="15" customHeight="1">
      <c r="A176" t="inlineStr">
        <is>
          <t>A 35477-2024</t>
        </is>
      </c>
      <c r="B176" s="1" t="n">
        <v>45531</v>
      </c>
      <c r="C176" s="1" t="n">
        <v>45985</v>
      </c>
      <c r="D176" t="inlineStr">
        <is>
          <t>ÖREBRO LÄN</t>
        </is>
      </c>
      <c r="E176" t="inlineStr">
        <is>
          <t>ÖREBRO</t>
        </is>
      </c>
      <c r="G176" t="n">
        <v>2.4</v>
      </c>
      <c r="H176" t="n">
        <v>0</v>
      </c>
      <c r="I176" t="n">
        <v>0</v>
      </c>
      <c r="J176" t="n">
        <v>0</v>
      </c>
      <c r="K176" t="n">
        <v>0</v>
      </c>
      <c r="L176" t="n">
        <v>0</v>
      </c>
      <c r="M176" t="n">
        <v>0</v>
      </c>
      <c r="N176" t="n">
        <v>0</v>
      </c>
      <c r="O176" t="n">
        <v>0</v>
      </c>
      <c r="P176" t="n">
        <v>0</v>
      </c>
      <c r="Q176" t="n">
        <v>0</v>
      </c>
      <c r="R176" s="2" t="inlineStr"/>
    </row>
    <row r="177" ht="15" customHeight="1">
      <c r="A177" t="inlineStr">
        <is>
          <t>A 61593-2023</t>
        </is>
      </c>
      <c r="B177" s="1" t="n">
        <v>45265</v>
      </c>
      <c r="C177" s="1" t="n">
        <v>45985</v>
      </c>
      <c r="D177" t="inlineStr">
        <is>
          <t>ÖREBRO LÄN</t>
        </is>
      </c>
      <c r="E177" t="inlineStr">
        <is>
          <t>ÖREBRO</t>
        </is>
      </c>
      <c r="G177" t="n">
        <v>2.5</v>
      </c>
      <c r="H177" t="n">
        <v>0</v>
      </c>
      <c r="I177" t="n">
        <v>0</v>
      </c>
      <c r="J177" t="n">
        <v>0</v>
      </c>
      <c r="K177" t="n">
        <v>0</v>
      </c>
      <c r="L177" t="n">
        <v>0</v>
      </c>
      <c r="M177" t="n">
        <v>0</v>
      </c>
      <c r="N177" t="n">
        <v>0</v>
      </c>
      <c r="O177" t="n">
        <v>0</v>
      </c>
      <c r="P177" t="n">
        <v>0</v>
      </c>
      <c r="Q177" t="n">
        <v>0</v>
      </c>
      <c r="R177" s="2" t="inlineStr"/>
    </row>
    <row r="178" ht="15" customHeight="1">
      <c r="A178" t="inlineStr">
        <is>
          <t>A 38842-2022</t>
        </is>
      </c>
      <c r="B178" s="1" t="n">
        <v>44814</v>
      </c>
      <c r="C178" s="1" t="n">
        <v>45985</v>
      </c>
      <c r="D178" t="inlineStr">
        <is>
          <t>ÖREBRO LÄN</t>
        </is>
      </c>
      <c r="E178" t="inlineStr">
        <is>
          <t>ÖREBRO</t>
        </is>
      </c>
      <c r="G178" t="n">
        <v>5</v>
      </c>
      <c r="H178" t="n">
        <v>0</v>
      </c>
      <c r="I178" t="n">
        <v>0</v>
      </c>
      <c r="J178" t="n">
        <v>0</v>
      </c>
      <c r="K178" t="n">
        <v>0</v>
      </c>
      <c r="L178" t="n">
        <v>0</v>
      </c>
      <c r="M178" t="n">
        <v>0</v>
      </c>
      <c r="N178" t="n">
        <v>0</v>
      </c>
      <c r="O178" t="n">
        <v>0</v>
      </c>
      <c r="P178" t="n">
        <v>0</v>
      </c>
      <c r="Q178" t="n">
        <v>0</v>
      </c>
      <c r="R178" s="2" t="inlineStr"/>
    </row>
    <row r="179" ht="15" customHeight="1">
      <c r="A179" t="inlineStr">
        <is>
          <t>A 22719-2025</t>
        </is>
      </c>
      <c r="B179" s="1" t="n">
        <v>45789</v>
      </c>
      <c r="C179" s="1" t="n">
        <v>45985</v>
      </c>
      <c r="D179" t="inlineStr">
        <is>
          <t>ÖREBRO LÄN</t>
        </is>
      </c>
      <c r="E179" t="inlineStr">
        <is>
          <t>ÖREBRO</t>
        </is>
      </c>
      <c r="G179" t="n">
        <v>1.5</v>
      </c>
      <c r="H179" t="n">
        <v>0</v>
      </c>
      <c r="I179" t="n">
        <v>0</v>
      </c>
      <c r="J179" t="n">
        <v>0</v>
      </c>
      <c r="K179" t="n">
        <v>0</v>
      </c>
      <c r="L179" t="n">
        <v>0</v>
      </c>
      <c r="M179" t="n">
        <v>0</v>
      </c>
      <c r="N179" t="n">
        <v>0</v>
      </c>
      <c r="O179" t="n">
        <v>0</v>
      </c>
      <c r="P179" t="n">
        <v>0</v>
      </c>
      <c r="Q179" t="n">
        <v>0</v>
      </c>
      <c r="R179" s="2" t="inlineStr"/>
    </row>
    <row r="180" ht="15" customHeight="1">
      <c r="A180" t="inlineStr">
        <is>
          <t>A 30316-2024</t>
        </is>
      </c>
      <c r="B180" s="1" t="n">
        <v>45490</v>
      </c>
      <c r="C180" s="1" t="n">
        <v>45985</v>
      </c>
      <c r="D180" t="inlineStr">
        <is>
          <t>ÖREBRO LÄN</t>
        </is>
      </c>
      <c r="E180" t="inlineStr">
        <is>
          <t>ÖREBRO</t>
        </is>
      </c>
      <c r="G180" t="n">
        <v>5.5</v>
      </c>
      <c r="H180" t="n">
        <v>0</v>
      </c>
      <c r="I180" t="n">
        <v>0</v>
      </c>
      <c r="J180" t="n">
        <v>0</v>
      </c>
      <c r="K180" t="n">
        <v>0</v>
      </c>
      <c r="L180" t="n">
        <v>0</v>
      </c>
      <c r="M180" t="n">
        <v>0</v>
      </c>
      <c r="N180" t="n">
        <v>0</v>
      </c>
      <c r="O180" t="n">
        <v>0</v>
      </c>
      <c r="P180" t="n">
        <v>0</v>
      </c>
      <c r="Q180" t="n">
        <v>0</v>
      </c>
      <c r="R180" s="2" t="inlineStr"/>
    </row>
    <row r="181" ht="15" customHeight="1">
      <c r="A181" t="inlineStr">
        <is>
          <t>A 38790-2024</t>
        </is>
      </c>
      <c r="B181" s="1" t="n">
        <v>45547.48450231482</v>
      </c>
      <c r="C181" s="1" t="n">
        <v>45985</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61279-2024</t>
        </is>
      </c>
      <c r="B182" s="1" t="n">
        <v>45645</v>
      </c>
      <c r="C182" s="1" t="n">
        <v>45985</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71269-2021</t>
        </is>
      </c>
      <c r="B183" s="1" t="n">
        <v>44539</v>
      </c>
      <c r="C183" s="1" t="n">
        <v>45985</v>
      </c>
      <c r="D183" t="inlineStr">
        <is>
          <t>ÖREBRO LÄN</t>
        </is>
      </c>
      <c r="E183" t="inlineStr">
        <is>
          <t>ÖREBRO</t>
        </is>
      </c>
      <c r="G183" t="n">
        <v>1.4</v>
      </c>
      <c r="H183" t="n">
        <v>0</v>
      </c>
      <c r="I183" t="n">
        <v>0</v>
      </c>
      <c r="J183" t="n">
        <v>0</v>
      </c>
      <c r="K183" t="n">
        <v>0</v>
      </c>
      <c r="L183" t="n">
        <v>0</v>
      </c>
      <c r="M183" t="n">
        <v>0</v>
      </c>
      <c r="N183" t="n">
        <v>0</v>
      </c>
      <c r="O183" t="n">
        <v>0</v>
      </c>
      <c r="P183" t="n">
        <v>0</v>
      </c>
      <c r="Q183" t="n">
        <v>0</v>
      </c>
      <c r="R183" s="2" t="inlineStr"/>
    </row>
    <row r="184" ht="15" customHeight="1">
      <c r="A184" t="inlineStr">
        <is>
          <t>A 15555-2025</t>
        </is>
      </c>
      <c r="B184" s="1" t="n">
        <v>45747.67768518518</v>
      </c>
      <c r="C184" s="1" t="n">
        <v>45985</v>
      </c>
      <c r="D184" t="inlineStr">
        <is>
          <t>ÖREBRO LÄN</t>
        </is>
      </c>
      <c r="E184" t="inlineStr">
        <is>
          <t>ÖREBRO</t>
        </is>
      </c>
      <c r="G184" t="n">
        <v>1.7</v>
      </c>
      <c r="H184" t="n">
        <v>0</v>
      </c>
      <c r="I184" t="n">
        <v>0</v>
      </c>
      <c r="J184" t="n">
        <v>0</v>
      </c>
      <c r="K184" t="n">
        <v>0</v>
      </c>
      <c r="L184" t="n">
        <v>0</v>
      </c>
      <c r="M184" t="n">
        <v>0</v>
      </c>
      <c r="N184" t="n">
        <v>0</v>
      </c>
      <c r="O184" t="n">
        <v>0</v>
      </c>
      <c r="P184" t="n">
        <v>0</v>
      </c>
      <c r="Q184" t="n">
        <v>0</v>
      </c>
      <c r="R184" s="2" t="inlineStr"/>
    </row>
    <row r="185" ht="15" customHeight="1">
      <c r="A185" t="inlineStr">
        <is>
          <t>A 40597-2021</t>
        </is>
      </c>
      <c r="B185" s="1" t="n">
        <v>44420</v>
      </c>
      <c r="C185" s="1" t="n">
        <v>45985</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8575-2021</t>
        </is>
      </c>
      <c r="B186" s="1" t="n">
        <v>44245</v>
      </c>
      <c r="C186" s="1" t="n">
        <v>45985</v>
      </c>
      <c r="D186" t="inlineStr">
        <is>
          <t>ÖREBRO LÄN</t>
        </is>
      </c>
      <c r="E186" t="inlineStr">
        <is>
          <t>ÖREBRO</t>
        </is>
      </c>
      <c r="G186" t="n">
        <v>3.4</v>
      </c>
      <c r="H186" t="n">
        <v>0</v>
      </c>
      <c r="I186" t="n">
        <v>0</v>
      </c>
      <c r="J186" t="n">
        <v>0</v>
      </c>
      <c r="K186" t="n">
        <v>0</v>
      </c>
      <c r="L186" t="n">
        <v>0</v>
      </c>
      <c r="M186" t="n">
        <v>0</v>
      </c>
      <c r="N186" t="n">
        <v>0</v>
      </c>
      <c r="O186" t="n">
        <v>0</v>
      </c>
      <c r="P186" t="n">
        <v>0</v>
      </c>
      <c r="Q186" t="n">
        <v>0</v>
      </c>
      <c r="R186" s="2" t="inlineStr"/>
    </row>
    <row r="187" ht="15" customHeight="1">
      <c r="A187" t="inlineStr">
        <is>
          <t>A 41678-2024</t>
        </is>
      </c>
      <c r="B187" s="1" t="n">
        <v>45560</v>
      </c>
      <c r="C187" s="1" t="n">
        <v>45985</v>
      </c>
      <c r="D187" t="inlineStr">
        <is>
          <t>ÖREBRO LÄN</t>
        </is>
      </c>
      <c r="E187" t="inlineStr">
        <is>
          <t>ÖREBRO</t>
        </is>
      </c>
      <c r="G187" t="n">
        <v>11.3</v>
      </c>
      <c r="H187" t="n">
        <v>0</v>
      </c>
      <c r="I187" t="n">
        <v>0</v>
      </c>
      <c r="J187" t="n">
        <v>0</v>
      </c>
      <c r="K187" t="n">
        <v>0</v>
      </c>
      <c r="L187" t="n">
        <v>0</v>
      </c>
      <c r="M187" t="n">
        <v>0</v>
      </c>
      <c r="N187" t="n">
        <v>0</v>
      </c>
      <c r="O187" t="n">
        <v>0</v>
      </c>
      <c r="P187" t="n">
        <v>0</v>
      </c>
      <c r="Q187" t="n">
        <v>0</v>
      </c>
      <c r="R187" s="2" t="inlineStr"/>
    </row>
    <row r="188" ht="15" customHeight="1">
      <c r="A188" t="inlineStr">
        <is>
          <t>A 5136-2024</t>
        </is>
      </c>
      <c r="B188" s="1" t="n">
        <v>45330</v>
      </c>
      <c r="C188" s="1" t="n">
        <v>45985</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18550-2025</t>
        </is>
      </c>
      <c r="B189" s="1" t="n">
        <v>45763.43422453704</v>
      </c>
      <c r="C189" s="1" t="n">
        <v>45985</v>
      </c>
      <c r="D189" t="inlineStr">
        <is>
          <t>ÖREBRO LÄN</t>
        </is>
      </c>
      <c r="E189" t="inlineStr">
        <is>
          <t>ÖREBRO</t>
        </is>
      </c>
      <c r="G189" t="n">
        <v>11.5</v>
      </c>
      <c r="H189" t="n">
        <v>0</v>
      </c>
      <c r="I189" t="n">
        <v>0</v>
      </c>
      <c r="J189" t="n">
        <v>0</v>
      </c>
      <c r="K189" t="n">
        <v>0</v>
      </c>
      <c r="L189" t="n">
        <v>0</v>
      </c>
      <c r="M189" t="n">
        <v>0</v>
      </c>
      <c r="N189" t="n">
        <v>0</v>
      </c>
      <c r="O189" t="n">
        <v>0</v>
      </c>
      <c r="P189" t="n">
        <v>0</v>
      </c>
      <c r="Q189" t="n">
        <v>0</v>
      </c>
      <c r="R189" s="2" t="inlineStr"/>
    </row>
    <row r="190" ht="15" customHeight="1">
      <c r="A190" t="inlineStr">
        <is>
          <t>A 26338-2021</t>
        </is>
      </c>
      <c r="B190" s="1" t="n">
        <v>44347</v>
      </c>
      <c r="C190" s="1" t="n">
        <v>45985</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71266-2021</t>
        </is>
      </c>
      <c r="B191" s="1" t="n">
        <v>44539</v>
      </c>
      <c r="C191" s="1" t="n">
        <v>45985</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71267-2021</t>
        </is>
      </c>
      <c r="B192" s="1" t="n">
        <v>44539</v>
      </c>
      <c r="C192" s="1" t="n">
        <v>45985</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71280-2021</t>
        </is>
      </c>
      <c r="B193" s="1" t="n">
        <v>44539</v>
      </c>
      <c r="C193" s="1" t="n">
        <v>45985</v>
      </c>
      <c r="D193" t="inlineStr">
        <is>
          <t>ÖREBRO LÄN</t>
        </is>
      </c>
      <c r="E193" t="inlineStr">
        <is>
          <t>ÖREBRO</t>
        </is>
      </c>
      <c r="G193" t="n">
        <v>0.6</v>
      </c>
      <c r="H193" t="n">
        <v>0</v>
      </c>
      <c r="I193" t="n">
        <v>0</v>
      </c>
      <c r="J193" t="n">
        <v>0</v>
      </c>
      <c r="K193" t="n">
        <v>0</v>
      </c>
      <c r="L193" t="n">
        <v>0</v>
      </c>
      <c r="M193" t="n">
        <v>0</v>
      </c>
      <c r="N193" t="n">
        <v>0</v>
      </c>
      <c r="O193" t="n">
        <v>0</v>
      </c>
      <c r="P193" t="n">
        <v>0</v>
      </c>
      <c r="Q193" t="n">
        <v>0</v>
      </c>
      <c r="R193" s="2" t="inlineStr"/>
    </row>
    <row r="194" ht="15" customHeight="1">
      <c r="A194" t="inlineStr">
        <is>
          <t>A 4380-2025</t>
        </is>
      </c>
      <c r="B194" s="1" t="n">
        <v>45686.3959375</v>
      </c>
      <c r="C194" s="1" t="n">
        <v>45985</v>
      </c>
      <c r="D194" t="inlineStr">
        <is>
          <t>ÖREBRO LÄN</t>
        </is>
      </c>
      <c r="E194" t="inlineStr">
        <is>
          <t>ÖREBRO</t>
        </is>
      </c>
      <c r="G194" t="n">
        <v>3.2</v>
      </c>
      <c r="H194" t="n">
        <v>0</v>
      </c>
      <c r="I194" t="n">
        <v>0</v>
      </c>
      <c r="J194" t="n">
        <v>0</v>
      </c>
      <c r="K194" t="n">
        <v>0</v>
      </c>
      <c r="L194" t="n">
        <v>0</v>
      </c>
      <c r="M194" t="n">
        <v>0</v>
      </c>
      <c r="N194" t="n">
        <v>0</v>
      </c>
      <c r="O194" t="n">
        <v>0</v>
      </c>
      <c r="P194" t="n">
        <v>0</v>
      </c>
      <c r="Q194" t="n">
        <v>0</v>
      </c>
      <c r="R194" s="2" t="inlineStr"/>
    </row>
    <row r="195" ht="15" customHeight="1">
      <c r="A195" t="inlineStr">
        <is>
          <t>A 39003-2025</t>
        </is>
      </c>
      <c r="B195" s="1" t="n">
        <v>45888.34467592592</v>
      </c>
      <c r="C195" s="1" t="n">
        <v>45985</v>
      </c>
      <c r="D195" t="inlineStr">
        <is>
          <t>ÖREBRO LÄN</t>
        </is>
      </c>
      <c r="E195" t="inlineStr">
        <is>
          <t>ÖREBRO</t>
        </is>
      </c>
      <c r="G195" t="n">
        <v>3.7</v>
      </c>
      <c r="H195" t="n">
        <v>0</v>
      </c>
      <c r="I195" t="n">
        <v>0</v>
      </c>
      <c r="J195" t="n">
        <v>0</v>
      </c>
      <c r="K195" t="n">
        <v>0</v>
      </c>
      <c r="L195" t="n">
        <v>0</v>
      </c>
      <c r="M195" t="n">
        <v>0</v>
      </c>
      <c r="N195" t="n">
        <v>0</v>
      </c>
      <c r="O195" t="n">
        <v>0</v>
      </c>
      <c r="P195" t="n">
        <v>0</v>
      </c>
      <c r="Q195" t="n">
        <v>0</v>
      </c>
      <c r="R195" s="2" t="inlineStr"/>
    </row>
    <row r="196" ht="15" customHeight="1">
      <c r="A196" t="inlineStr">
        <is>
          <t>A 15422-2022</t>
        </is>
      </c>
      <c r="B196" s="1" t="n">
        <v>44659.63753472222</v>
      </c>
      <c r="C196" s="1" t="n">
        <v>45985</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13418-2024</t>
        </is>
      </c>
      <c r="B197" s="1" t="n">
        <v>45387.46482638889</v>
      </c>
      <c r="C197" s="1" t="n">
        <v>45985</v>
      </c>
      <c r="D197" t="inlineStr">
        <is>
          <t>ÖREBRO LÄN</t>
        </is>
      </c>
      <c r="E197" t="inlineStr">
        <is>
          <t>ÖREBRO</t>
        </is>
      </c>
      <c r="G197" t="n">
        <v>4.2</v>
      </c>
      <c r="H197" t="n">
        <v>0</v>
      </c>
      <c r="I197" t="n">
        <v>0</v>
      </c>
      <c r="J197" t="n">
        <v>0</v>
      </c>
      <c r="K197" t="n">
        <v>0</v>
      </c>
      <c r="L197" t="n">
        <v>0</v>
      </c>
      <c r="M197" t="n">
        <v>0</v>
      </c>
      <c r="N197" t="n">
        <v>0</v>
      </c>
      <c r="O197" t="n">
        <v>0</v>
      </c>
      <c r="P197" t="n">
        <v>0</v>
      </c>
      <c r="Q197" t="n">
        <v>0</v>
      </c>
      <c r="R197" s="2" t="inlineStr"/>
    </row>
    <row r="198" ht="15" customHeight="1">
      <c r="A198" t="inlineStr">
        <is>
          <t>A 46323-2024</t>
        </is>
      </c>
      <c r="B198" s="1" t="n">
        <v>45581.84538194445</v>
      </c>
      <c r="C198" s="1" t="n">
        <v>45985</v>
      </c>
      <c r="D198" t="inlineStr">
        <is>
          <t>ÖREBRO LÄN</t>
        </is>
      </c>
      <c r="E198" t="inlineStr">
        <is>
          <t>ÖREBRO</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34358-2022</t>
        </is>
      </c>
      <c r="B199" s="1" t="n">
        <v>44792.45494212963</v>
      </c>
      <c r="C199" s="1" t="n">
        <v>45985</v>
      </c>
      <c r="D199" t="inlineStr">
        <is>
          <t>ÖREBRO LÄN</t>
        </is>
      </c>
      <c r="E199" t="inlineStr">
        <is>
          <t>ÖREBRO</t>
        </is>
      </c>
      <c r="F199" t="inlineStr">
        <is>
          <t>Övriga Aktiebolag</t>
        </is>
      </c>
      <c r="G199" t="n">
        <v>3.4</v>
      </c>
      <c r="H199" t="n">
        <v>0</v>
      </c>
      <c r="I199" t="n">
        <v>0</v>
      </c>
      <c r="J199" t="n">
        <v>0</v>
      </c>
      <c r="K199" t="n">
        <v>0</v>
      </c>
      <c r="L199" t="n">
        <v>0</v>
      </c>
      <c r="M199" t="n">
        <v>0</v>
      </c>
      <c r="N199" t="n">
        <v>0</v>
      </c>
      <c r="O199" t="n">
        <v>0</v>
      </c>
      <c r="P199" t="n">
        <v>0</v>
      </c>
      <c r="Q199" t="n">
        <v>0</v>
      </c>
      <c r="R199" s="2" t="inlineStr"/>
    </row>
    <row r="200" ht="15" customHeight="1">
      <c r="A200" t="inlineStr">
        <is>
          <t>A 15695-2024</t>
        </is>
      </c>
      <c r="B200" s="1" t="n">
        <v>45404.45487268519</v>
      </c>
      <c r="C200" s="1" t="n">
        <v>45985</v>
      </c>
      <c r="D200" t="inlineStr">
        <is>
          <t>ÖREBRO LÄN</t>
        </is>
      </c>
      <c r="E200" t="inlineStr">
        <is>
          <t>ÖREBRO</t>
        </is>
      </c>
      <c r="G200" t="n">
        <v>2.7</v>
      </c>
      <c r="H200" t="n">
        <v>0</v>
      </c>
      <c r="I200" t="n">
        <v>0</v>
      </c>
      <c r="J200" t="n">
        <v>0</v>
      </c>
      <c r="K200" t="n">
        <v>0</v>
      </c>
      <c r="L200" t="n">
        <v>0</v>
      </c>
      <c r="M200" t="n">
        <v>0</v>
      </c>
      <c r="N200" t="n">
        <v>0</v>
      </c>
      <c r="O200" t="n">
        <v>0</v>
      </c>
      <c r="P200" t="n">
        <v>0</v>
      </c>
      <c r="Q200" t="n">
        <v>0</v>
      </c>
      <c r="R200" s="2" t="inlineStr"/>
    </row>
    <row r="201" ht="15" customHeight="1">
      <c r="A201" t="inlineStr">
        <is>
          <t>A 5406-2025</t>
        </is>
      </c>
      <c r="B201" s="1" t="n">
        <v>45692.64821759259</v>
      </c>
      <c r="C201" s="1" t="n">
        <v>45985</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39446-2025</t>
        </is>
      </c>
      <c r="B202" s="1" t="n">
        <v>45889.70388888889</v>
      </c>
      <c r="C202" s="1" t="n">
        <v>45985</v>
      </c>
      <c r="D202" t="inlineStr">
        <is>
          <t>ÖREBRO LÄN</t>
        </is>
      </c>
      <c r="E202" t="inlineStr">
        <is>
          <t>ÖREBRO</t>
        </is>
      </c>
      <c r="F202" t="inlineStr">
        <is>
          <t>Kyrkan</t>
        </is>
      </c>
      <c r="G202" t="n">
        <v>3.2</v>
      </c>
      <c r="H202" t="n">
        <v>0</v>
      </c>
      <c r="I202" t="n">
        <v>0</v>
      </c>
      <c r="J202" t="n">
        <v>0</v>
      </c>
      <c r="K202" t="n">
        <v>0</v>
      </c>
      <c r="L202" t="n">
        <v>0</v>
      </c>
      <c r="M202" t="n">
        <v>0</v>
      </c>
      <c r="N202" t="n">
        <v>0</v>
      </c>
      <c r="O202" t="n">
        <v>0</v>
      </c>
      <c r="P202" t="n">
        <v>0</v>
      </c>
      <c r="Q202" t="n">
        <v>0</v>
      </c>
      <c r="R202" s="2" t="inlineStr"/>
    </row>
    <row r="203" ht="15" customHeight="1">
      <c r="A203" t="inlineStr">
        <is>
          <t>A 39479-2025</t>
        </is>
      </c>
      <c r="B203" s="1" t="n">
        <v>45890.34752314815</v>
      </c>
      <c r="C203" s="1" t="n">
        <v>45985</v>
      </c>
      <c r="D203" t="inlineStr">
        <is>
          <t>ÖREBRO LÄN</t>
        </is>
      </c>
      <c r="E203" t="inlineStr">
        <is>
          <t>ÖREBRO</t>
        </is>
      </c>
      <c r="G203" t="n">
        <v>0.7</v>
      </c>
      <c r="H203" t="n">
        <v>0</v>
      </c>
      <c r="I203" t="n">
        <v>0</v>
      </c>
      <c r="J203" t="n">
        <v>0</v>
      </c>
      <c r="K203" t="n">
        <v>0</v>
      </c>
      <c r="L203" t="n">
        <v>0</v>
      </c>
      <c r="M203" t="n">
        <v>0</v>
      </c>
      <c r="N203" t="n">
        <v>0</v>
      </c>
      <c r="O203" t="n">
        <v>0</v>
      </c>
      <c r="P203" t="n">
        <v>0</v>
      </c>
      <c r="Q203" t="n">
        <v>0</v>
      </c>
      <c r="R203" s="2" t="inlineStr"/>
    </row>
    <row r="204" ht="15" customHeight="1">
      <c r="A204" t="inlineStr">
        <is>
          <t>A 48581-2024</t>
        </is>
      </c>
      <c r="B204" s="1" t="n">
        <v>45593.41642361111</v>
      </c>
      <c r="C204" s="1" t="n">
        <v>45985</v>
      </c>
      <c r="D204" t="inlineStr">
        <is>
          <t>ÖREBRO LÄN</t>
        </is>
      </c>
      <c r="E204" t="inlineStr">
        <is>
          <t>ÖREBRO</t>
        </is>
      </c>
      <c r="G204" t="n">
        <v>0.7</v>
      </c>
      <c r="H204" t="n">
        <v>0</v>
      </c>
      <c r="I204" t="n">
        <v>0</v>
      </c>
      <c r="J204" t="n">
        <v>0</v>
      </c>
      <c r="K204" t="n">
        <v>0</v>
      </c>
      <c r="L204" t="n">
        <v>0</v>
      </c>
      <c r="M204" t="n">
        <v>0</v>
      </c>
      <c r="N204" t="n">
        <v>0</v>
      </c>
      <c r="O204" t="n">
        <v>0</v>
      </c>
      <c r="P204" t="n">
        <v>0</v>
      </c>
      <c r="Q204" t="n">
        <v>0</v>
      </c>
      <c r="R204" s="2" t="inlineStr"/>
    </row>
    <row r="205" ht="15" customHeight="1">
      <c r="A205" t="inlineStr">
        <is>
          <t>A 48644-2024</t>
        </is>
      </c>
      <c r="B205" s="1" t="n">
        <v>45593.47466435185</v>
      </c>
      <c r="C205" s="1" t="n">
        <v>45985</v>
      </c>
      <c r="D205" t="inlineStr">
        <is>
          <t>ÖREBRO LÄN</t>
        </is>
      </c>
      <c r="E205" t="inlineStr">
        <is>
          <t>ÖREBRO</t>
        </is>
      </c>
      <c r="F205" t="inlineStr">
        <is>
          <t>Övriga Aktiebolag</t>
        </is>
      </c>
      <c r="G205" t="n">
        <v>1.1</v>
      </c>
      <c r="H205" t="n">
        <v>0</v>
      </c>
      <c r="I205" t="n">
        <v>0</v>
      </c>
      <c r="J205" t="n">
        <v>0</v>
      </c>
      <c r="K205" t="n">
        <v>0</v>
      </c>
      <c r="L205" t="n">
        <v>0</v>
      </c>
      <c r="M205" t="n">
        <v>0</v>
      </c>
      <c r="N205" t="n">
        <v>0</v>
      </c>
      <c r="O205" t="n">
        <v>0</v>
      </c>
      <c r="P205" t="n">
        <v>0</v>
      </c>
      <c r="Q205" t="n">
        <v>0</v>
      </c>
      <c r="R205" s="2" t="inlineStr"/>
    </row>
    <row r="206" ht="15" customHeight="1">
      <c r="A206" t="inlineStr">
        <is>
          <t>A 22348-2024</t>
        </is>
      </c>
      <c r="B206" s="1" t="n">
        <v>45446.61256944444</v>
      </c>
      <c r="C206" s="1" t="n">
        <v>45985</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52018-2024</t>
        </is>
      </c>
      <c r="B207" s="1" t="n">
        <v>45607.82974537037</v>
      </c>
      <c r="C207" s="1" t="n">
        <v>45985</v>
      </c>
      <c r="D207" t="inlineStr">
        <is>
          <t>ÖREBRO LÄN</t>
        </is>
      </c>
      <c r="E207" t="inlineStr">
        <is>
          <t>ÖREBRO</t>
        </is>
      </c>
      <c r="G207" t="n">
        <v>4.3</v>
      </c>
      <c r="H207" t="n">
        <v>0</v>
      </c>
      <c r="I207" t="n">
        <v>0</v>
      </c>
      <c r="J207" t="n">
        <v>0</v>
      </c>
      <c r="K207" t="n">
        <v>0</v>
      </c>
      <c r="L207" t="n">
        <v>0</v>
      </c>
      <c r="M207" t="n">
        <v>0</v>
      </c>
      <c r="N207" t="n">
        <v>0</v>
      </c>
      <c r="O207" t="n">
        <v>0</v>
      </c>
      <c r="P207" t="n">
        <v>0</v>
      </c>
      <c r="Q207" t="n">
        <v>0</v>
      </c>
      <c r="R207" s="2" t="inlineStr"/>
    </row>
    <row r="208" ht="15" customHeight="1">
      <c r="A208" t="inlineStr">
        <is>
          <t>A 30089-2024</t>
        </is>
      </c>
      <c r="B208" s="1" t="n">
        <v>45485</v>
      </c>
      <c r="C208" s="1" t="n">
        <v>45985</v>
      </c>
      <c r="D208" t="inlineStr">
        <is>
          <t>ÖREBRO LÄN</t>
        </is>
      </c>
      <c r="E208" t="inlineStr">
        <is>
          <t>ÖREBRO</t>
        </is>
      </c>
      <c r="G208" t="n">
        <v>2.2</v>
      </c>
      <c r="H208" t="n">
        <v>0</v>
      </c>
      <c r="I208" t="n">
        <v>0</v>
      </c>
      <c r="J208" t="n">
        <v>0</v>
      </c>
      <c r="K208" t="n">
        <v>0</v>
      </c>
      <c r="L208" t="n">
        <v>0</v>
      </c>
      <c r="M208" t="n">
        <v>0</v>
      </c>
      <c r="N208" t="n">
        <v>0</v>
      </c>
      <c r="O208" t="n">
        <v>0</v>
      </c>
      <c r="P208" t="n">
        <v>0</v>
      </c>
      <c r="Q208" t="n">
        <v>0</v>
      </c>
      <c r="R208" s="2" t="inlineStr"/>
    </row>
    <row r="209" ht="15" customHeight="1">
      <c r="A209" t="inlineStr">
        <is>
          <t>A 47047-2022</t>
        </is>
      </c>
      <c r="B209" s="1" t="n">
        <v>44852.39063657408</v>
      </c>
      <c r="C209" s="1" t="n">
        <v>45985</v>
      </c>
      <c r="D209" t="inlineStr">
        <is>
          <t>ÖREBRO LÄN</t>
        </is>
      </c>
      <c r="E209" t="inlineStr">
        <is>
          <t>ÖREBRO</t>
        </is>
      </c>
      <c r="G209" t="n">
        <v>1.6</v>
      </c>
      <c r="H209" t="n">
        <v>0</v>
      </c>
      <c r="I209" t="n">
        <v>0</v>
      </c>
      <c r="J209" t="n">
        <v>0</v>
      </c>
      <c r="K209" t="n">
        <v>0</v>
      </c>
      <c r="L209" t="n">
        <v>0</v>
      </c>
      <c r="M209" t="n">
        <v>0</v>
      </c>
      <c r="N209" t="n">
        <v>0</v>
      </c>
      <c r="O209" t="n">
        <v>0</v>
      </c>
      <c r="P209" t="n">
        <v>0</v>
      </c>
      <c r="Q209" t="n">
        <v>0</v>
      </c>
      <c r="R209" s="2" t="inlineStr"/>
    </row>
    <row r="210" ht="15" customHeight="1">
      <c r="A210" t="inlineStr">
        <is>
          <t>A 71295-2021</t>
        </is>
      </c>
      <c r="B210" s="1" t="n">
        <v>44539.63009259259</v>
      </c>
      <c r="C210" s="1" t="n">
        <v>45985</v>
      </c>
      <c r="D210" t="inlineStr">
        <is>
          <t>ÖREBRO LÄN</t>
        </is>
      </c>
      <c r="E210" t="inlineStr">
        <is>
          <t>ÖREBRO</t>
        </is>
      </c>
      <c r="G210" t="n">
        <v>2.3</v>
      </c>
      <c r="H210" t="n">
        <v>0</v>
      </c>
      <c r="I210" t="n">
        <v>0</v>
      </c>
      <c r="J210" t="n">
        <v>0</v>
      </c>
      <c r="K210" t="n">
        <v>0</v>
      </c>
      <c r="L210" t="n">
        <v>0</v>
      </c>
      <c r="M210" t="n">
        <v>0</v>
      </c>
      <c r="N210" t="n">
        <v>0</v>
      </c>
      <c r="O210" t="n">
        <v>0</v>
      </c>
      <c r="P210" t="n">
        <v>0</v>
      </c>
      <c r="Q210" t="n">
        <v>0</v>
      </c>
      <c r="R210" s="2" t="inlineStr"/>
    </row>
    <row r="211" ht="15" customHeight="1">
      <c r="A211" t="inlineStr">
        <is>
          <t>A 46030-2024</t>
        </is>
      </c>
      <c r="B211" s="1" t="n">
        <v>45580.70377314815</v>
      </c>
      <c r="C211" s="1" t="n">
        <v>45985</v>
      </c>
      <c r="D211" t="inlineStr">
        <is>
          <t>ÖREBRO LÄN</t>
        </is>
      </c>
      <c r="E211" t="inlineStr">
        <is>
          <t>ÖREBRO</t>
        </is>
      </c>
      <c r="G211" t="n">
        <v>3.9</v>
      </c>
      <c r="H211" t="n">
        <v>0</v>
      </c>
      <c r="I211" t="n">
        <v>0</v>
      </c>
      <c r="J211" t="n">
        <v>0</v>
      </c>
      <c r="K211" t="n">
        <v>0</v>
      </c>
      <c r="L211" t="n">
        <v>0</v>
      </c>
      <c r="M211" t="n">
        <v>0</v>
      </c>
      <c r="N211" t="n">
        <v>0</v>
      </c>
      <c r="O211" t="n">
        <v>0</v>
      </c>
      <c r="P211" t="n">
        <v>0</v>
      </c>
      <c r="Q211" t="n">
        <v>0</v>
      </c>
      <c r="R211" s="2" t="inlineStr"/>
    </row>
    <row r="212" ht="15" customHeight="1">
      <c r="A212" t="inlineStr">
        <is>
          <t>A 21036-2024</t>
        </is>
      </c>
      <c r="B212" s="1" t="n">
        <v>45439.65954861111</v>
      </c>
      <c r="C212" s="1" t="n">
        <v>45985</v>
      </c>
      <c r="D212" t="inlineStr">
        <is>
          <t>ÖREBRO LÄN</t>
        </is>
      </c>
      <c r="E212" t="inlineStr">
        <is>
          <t>ÖREBRO</t>
        </is>
      </c>
      <c r="F212" t="inlineStr">
        <is>
          <t>Övriga Aktiebolag</t>
        </is>
      </c>
      <c r="G212" t="n">
        <v>5.7</v>
      </c>
      <c r="H212" t="n">
        <v>0</v>
      </c>
      <c r="I212" t="n">
        <v>0</v>
      </c>
      <c r="J212" t="n">
        <v>0</v>
      </c>
      <c r="K212" t="n">
        <v>0</v>
      </c>
      <c r="L212" t="n">
        <v>0</v>
      </c>
      <c r="M212" t="n">
        <v>0</v>
      </c>
      <c r="N212" t="n">
        <v>0</v>
      </c>
      <c r="O212" t="n">
        <v>0</v>
      </c>
      <c r="P212" t="n">
        <v>0</v>
      </c>
      <c r="Q212" t="n">
        <v>0</v>
      </c>
      <c r="R212" s="2" t="inlineStr"/>
    </row>
    <row r="213" ht="15" customHeight="1">
      <c r="A213" t="inlineStr">
        <is>
          <t>A 5643-2025</t>
        </is>
      </c>
      <c r="B213" s="1" t="n">
        <v>45693</v>
      </c>
      <c r="C213" s="1" t="n">
        <v>45985</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11516-2024</t>
        </is>
      </c>
      <c r="B214" s="1" t="n">
        <v>45372</v>
      </c>
      <c r="C214" s="1" t="n">
        <v>45985</v>
      </c>
      <c r="D214" t="inlineStr">
        <is>
          <t>ÖREBRO LÄN</t>
        </is>
      </c>
      <c r="E214" t="inlineStr">
        <is>
          <t>ÖREBRO</t>
        </is>
      </c>
      <c r="G214" t="n">
        <v>10.7</v>
      </c>
      <c r="H214" t="n">
        <v>0</v>
      </c>
      <c r="I214" t="n">
        <v>0</v>
      </c>
      <c r="J214" t="n">
        <v>0</v>
      </c>
      <c r="K214" t="n">
        <v>0</v>
      </c>
      <c r="L214" t="n">
        <v>0</v>
      </c>
      <c r="M214" t="n">
        <v>0</v>
      </c>
      <c r="N214" t="n">
        <v>0</v>
      </c>
      <c r="O214" t="n">
        <v>0</v>
      </c>
      <c r="P214" t="n">
        <v>0</v>
      </c>
      <c r="Q214" t="n">
        <v>0</v>
      </c>
      <c r="R214" s="2" t="inlineStr"/>
    </row>
    <row r="215" ht="15" customHeight="1">
      <c r="A215" t="inlineStr">
        <is>
          <t>A 5342-2024</t>
        </is>
      </c>
      <c r="B215" s="1" t="n">
        <v>45331.44145833333</v>
      </c>
      <c r="C215" s="1" t="n">
        <v>45985</v>
      </c>
      <c r="D215" t="inlineStr">
        <is>
          <t>ÖREBRO LÄN</t>
        </is>
      </c>
      <c r="E215" t="inlineStr">
        <is>
          <t>ÖREBRO</t>
        </is>
      </c>
      <c r="G215" t="n">
        <v>2.5</v>
      </c>
      <c r="H215" t="n">
        <v>0</v>
      </c>
      <c r="I215" t="n">
        <v>0</v>
      </c>
      <c r="J215" t="n">
        <v>0</v>
      </c>
      <c r="K215" t="n">
        <v>0</v>
      </c>
      <c r="L215" t="n">
        <v>0</v>
      </c>
      <c r="M215" t="n">
        <v>0</v>
      </c>
      <c r="N215" t="n">
        <v>0</v>
      </c>
      <c r="O215" t="n">
        <v>0</v>
      </c>
      <c r="P215" t="n">
        <v>0</v>
      </c>
      <c r="Q215" t="n">
        <v>0</v>
      </c>
      <c r="R215" s="2" t="inlineStr"/>
    </row>
    <row r="216" ht="15" customHeight="1">
      <c r="A216" t="inlineStr">
        <is>
          <t>A 40330-2025</t>
        </is>
      </c>
      <c r="B216" s="1" t="n">
        <v>45895.4531712963</v>
      </c>
      <c r="C216" s="1" t="n">
        <v>45985</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40332-2025</t>
        </is>
      </c>
      <c r="B217" s="1" t="n">
        <v>45895.46060185185</v>
      </c>
      <c r="C217" s="1" t="n">
        <v>45985</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16739-2023</t>
        </is>
      </c>
      <c r="B218" s="1" t="n">
        <v>45030.72627314815</v>
      </c>
      <c r="C218" s="1" t="n">
        <v>45985</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2771-2023</t>
        </is>
      </c>
      <c r="B219" s="1" t="n">
        <v>44944.64704861111</v>
      </c>
      <c r="C219" s="1" t="n">
        <v>45985</v>
      </c>
      <c r="D219" t="inlineStr">
        <is>
          <t>ÖREBRO LÄN</t>
        </is>
      </c>
      <c r="E219" t="inlineStr">
        <is>
          <t>ÖREBRO</t>
        </is>
      </c>
      <c r="G219" t="n">
        <v>15.4</v>
      </c>
      <c r="H219" t="n">
        <v>0</v>
      </c>
      <c r="I219" t="n">
        <v>0</v>
      </c>
      <c r="J219" t="n">
        <v>0</v>
      </c>
      <c r="K219" t="n">
        <v>0</v>
      </c>
      <c r="L219" t="n">
        <v>0</v>
      </c>
      <c r="M219" t="n">
        <v>0</v>
      </c>
      <c r="N219" t="n">
        <v>0</v>
      </c>
      <c r="O219" t="n">
        <v>0</v>
      </c>
      <c r="P219" t="n">
        <v>0</v>
      </c>
      <c r="Q219" t="n">
        <v>0</v>
      </c>
      <c r="R219" s="2" t="inlineStr"/>
    </row>
    <row r="220" ht="15" customHeight="1">
      <c r="A220" t="inlineStr">
        <is>
          <t>A 25578-2025</t>
        </is>
      </c>
      <c r="B220" s="1" t="n">
        <v>45803.47803240741</v>
      </c>
      <c r="C220" s="1" t="n">
        <v>45985</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25519-2025</t>
        </is>
      </c>
      <c r="B221" s="1" t="n">
        <v>45803.38447916666</v>
      </c>
      <c r="C221" s="1" t="n">
        <v>45985</v>
      </c>
      <c r="D221" t="inlineStr">
        <is>
          <t>ÖREBRO LÄN</t>
        </is>
      </c>
      <c r="E221" t="inlineStr">
        <is>
          <t>ÖREBRO</t>
        </is>
      </c>
      <c r="G221" t="n">
        <v>7.4</v>
      </c>
      <c r="H221" t="n">
        <v>0</v>
      </c>
      <c r="I221" t="n">
        <v>0</v>
      </c>
      <c r="J221" t="n">
        <v>0</v>
      </c>
      <c r="K221" t="n">
        <v>0</v>
      </c>
      <c r="L221" t="n">
        <v>0</v>
      </c>
      <c r="M221" t="n">
        <v>0</v>
      </c>
      <c r="N221" t="n">
        <v>0</v>
      </c>
      <c r="O221" t="n">
        <v>0</v>
      </c>
      <c r="P221" t="n">
        <v>0</v>
      </c>
      <c r="Q221" t="n">
        <v>0</v>
      </c>
      <c r="R221" s="2" t="inlineStr"/>
    </row>
    <row r="222" ht="15" customHeight="1">
      <c r="A222" t="inlineStr">
        <is>
          <t>A 12017-2024</t>
        </is>
      </c>
      <c r="B222" s="1" t="n">
        <v>45377</v>
      </c>
      <c r="C222" s="1" t="n">
        <v>45985</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56077-2022</t>
        </is>
      </c>
      <c r="B223" s="1" t="n">
        <v>44889.60872685185</v>
      </c>
      <c r="C223" s="1" t="n">
        <v>45985</v>
      </c>
      <c r="D223" t="inlineStr">
        <is>
          <t>ÖREBRO LÄN</t>
        </is>
      </c>
      <c r="E223" t="inlineStr">
        <is>
          <t>ÖREBRO</t>
        </is>
      </c>
      <c r="F223" t="inlineStr">
        <is>
          <t>Övriga Aktiebolag</t>
        </is>
      </c>
      <c r="G223" t="n">
        <v>2.5</v>
      </c>
      <c r="H223" t="n">
        <v>0</v>
      </c>
      <c r="I223" t="n">
        <v>0</v>
      </c>
      <c r="J223" t="n">
        <v>0</v>
      </c>
      <c r="K223" t="n">
        <v>0</v>
      </c>
      <c r="L223" t="n">
        <v>0</v>
      </c>
      <c r="M223" t="n">
        <v>0</v>
      </c>
      <c r="N223" t="n">
        <v>0</v>
      </c>
      <c r="O223" t="n">
        <v>0</v>
      </c>
      <c r="P223" t="n">
        <v>0</v>
      </c>
      <c r="Q223" t="n">
        <v>0</v>
      </c>
      <c r="R223" s="2" t="inlineStr"/>
    </row>
    <row r="224" ht="15" customHeight="1">
      <c r="A224" t="inlineStr">
        <is>
          <t>A 9609-2023</t>
        </is>
      </c>
      <c r="B224" s="1" t="n">
        <v>44983.93344907407</v>
      </c>
      <c r="C224" s="1" t="n">
        <v>45985</v>
      </c>
      <c r="D224" t="inlineStr">
        <is>
          <t>ÖREBRO LÄN</t>
        </is>
      </c>
      <c r="E224" t="inlineStr">
        <is>
          <t>ÖREBRO</t>
        </is>
      </c>
      <c r="G224" t="n">
        <v>2</v>
      </c>
      <c r="H224" t="n">
        <v>0</v>
      </c>
      <c r="I224" t="n">
        <v>0</v>
      </c>
      <c r="J224" t="n">
        <v>0</v>
      </c>
      <c r="K224" t="n">
        <v>0</v>
      </c>
      <c r="L224" t="n">
        <v>0</v>
      </c>
      <c r="M224" t="n">
        <v>0</v>
      </c>
      <c r="N224" t="n">
        <v>0</v>
      </c>
      <c r="O224" t="n">
        <v>0</v>
      </c>
      <c r="P224" t="n">
        <v>0</v>
      </c>
      <c r="Q224" t="n">
        <v>0</v>
      </c>
      <c r="R224" s="2" t="inlineStr"/>
    </row>
    <row r="225" ht="15" customHeight="1">
      <c r="A225" t="inlineStr">
        <is>
          <t>A 70707-2021</t>
        </is>
      </c>
      <c r="B225" s="1" t="n">
        <v>44537</v>
      </c>
      <c r="C225" s="1" t="n">
        <v>45985</v>
      </c>
      <c r="D225" t="inlineStr">
        <is>
          <t>ÖREBRO LÄN</t>
        </is>
      </c>
      <c r="E225" t="inlineStr">
        <is>
          <t>ÖREBRO</t>
        </is>
      </c>
      <c r="G225" t="n">
        <v>13.2</v>
      </c>
      <c r="H225" t="n">
        <v>0</v>
      </c>
      <c r="I225" t="n">
        <v>0</v>
      </c>
      <c r="J225" t="n">
        <v>0</v>
      </c>
      <c r="K225" t="n">
        <v>0</v>
      </c>
      <c r="L225" t="n">
        <v>0</v>
      </c>
      <c r="M225" t="n">
        <v>0</v>
      </c>
      <c r="N225" t="n">
        <v>0</v>
      </c>
      <c r="O225" t="n">
        <v>0</v>
      </c>
      <c r="P225" t="n">
        <v>0</v>
      </c>
      <c r="Q225" t="n">
        <v>0</v>
      </c>
      <c r="R225" s="2" t="inlineStr"/>
    </row>
    <row r="226" ht="15" customHeight="1">
      <c r="A226" t="inlineStr">
        <is>
          <t>A 57243-2022</t>
        </is>
      </c>
      <c r="B226" s="1" t="n">
        <v>44895.71835648148</v>
      </c>
      <c r="C226" s="1" t="n">
        <v>45985</v>
      </c>
      <c r="D226" t="inlineStr">
        <is>
          <t>ÖREBRO LÄN</t>
        </is>
      </c>
      <c r="E226" t="inlineStr">
        <is>
          <t>ÖREBRO</t>
        </is>
      </c>
      <c r="G226" t="n">
        <v>6</v>
      </c>
      <c r="H226" t="n">
        <v>0</v>
      </c>
      <c r="I226" t="n">
        <v>0</v>
      </c>
      <c r="J226" t="n">
        <v>0</v>
      </c>
      <c r="K226" t="n">
        <v>0</v>
      </c>
      <c r="L226" t="n">
        <v>0</v>
      </c>
      <c r="M226" t="n">
        <v>0</v>
      </c>
      <c r="N226" t="n">
        <v>0</v>
      </c>
      <c r="O226" t="n">
        <v>0</v>
      </c>
      <c r="P226" t="n">
        <v>0</v>
      </c>
      <c r="Q226" t="n">
        <v>0</v>
      </c>
      <c r="R226" s="2" t="inlineStr"/>
    </row>
    <row r="227" ht="15" customHeight="1">
      <c r="A227" t="inlineStr">
        <is>
          <t>A 58621-2024</t>
        </is>
      </c>
      <c r="B227" s="1" t="n">
        <v>45635.56321759259</v>
      </c>
      <c r="C227" s="1" t="n">
        <v>45985</v>
      </c>
      <c r="D227" t="inlineStr">
        <is>
          <t>ÖREBRO LÄN</t>
        </is>
      </c>
      <c r="E227" t="inlineStr">
        <is>
          <t>ÖREBRO</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58216-2024</t>
        </is>
      </c>
      <c r="B228" s="1" t="n">
        <v>45632</v>
      </c>
      <c r="C228" s="1" t="n">
        <v>45985</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41669-2025</t>
        </is>
      </c>
      <c r="B229" s="1" t="n">
        <v>45902.36149305556</v>
      </c>
      <c r="C229" s="1" t="n">
        <v>45985</v>
      </c>
      <c r="D229" t="inlineStr">
        <is>
          <t>ÖREBRO LÄN</t>
        </is>
      </c>
      <c r="E229" t="inlineStr">
        <is>
          <t>ÖREBRO</t>
        </is>
      </c>
      <c r="G229" t="n">
        <v>2.8</v>
      </c>
      <c r="H229" t="n">
        <v>0</v>
      </c>
      <c r="I229" t="n">
        <v>0</v>
      </c>
      <c r="J229" t="n">
        <v>0</v>
      </c>
      <c r="K229" t="n">
        <v>0</v>
      </c>
      <c r="L229" t="n">
        <v>0</v>
      </c>
      <c r="M229" t="n">
        <v>0</v>
      </c>
      <c r="N229" t="n">
        <v>0</v>
      </c>
      <c r="O229" t="n">
        <v>0</v>
      </c>
      <c r="P229" t="n">
        <v>0</v>
      </c>
      <c r="Q229" t="n">
        <v>0</v>
      </c>
      <c r="R229" s="2" t="inlineStr"/>
    </row>
    <row r="230" ht="15" customHeight="1">
      <c r="A230" t="inlineStr">
        <is>
          <t>A 41412-2025</t>
        </is>
      </c>
      <c r="B230" s="1" t="n">
        <v>45901.3549537037</v>
      </c>
      <c r="C230" s="1" t="n">
        <v>45985</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37012-2024</t>
        </is>
      </c>
      <c r="B231" s="1" t="n">
        <v>45539</v>
      </c>
      <c r="C231" s="1" t="n">
        <v>45985</v>
      </c>
      <c r="D231" t="inlineStr">
        <is>
          <t>ÖREBRO LÄN</t>
        </is>
      </c>
      <c r="E231" t="inlineStr">
        <is>
          <t>ÖREBRO</t>
        </is>
      </c>
      <c r="G231" t="n">
        <v>4.1</v>
      </c>
      <c r="H231" t="n">
        <v>0</v>
      </c>
      <c r="I231" t="n">
        <v>0</v>
      </c>
      <c r="J231" t="n">
        <v>0</v>
      </c>
      <c r="K231" t="n">
        <v>0</v>
      </c>
      <c r="L231" t="n">
        <v>0</v>
      </c>
      <c r="M231" t="n">
        <v>0</v>
      </c>
      <c r="N231" t="n">
        <v>0</v>
      </c>
      <c r="O231" t="n">
        <v>0</v>
      </c>
      <c r="P231" t="n">
        <v>0</v>
      </c>
      <c r="Q231" t="n">
        <v>0</v>
      </c>
      <c r="R231" s="2" t="inlineStr"/>
    </row>
    <row r="232" ht="15" customHeight="1">
      <c r="A232" t="inlineStr">
        <is>
          <t>A 37020-2024</t>
        </is>
      </c>
      <c r="B232" s="1" t="n">
        <v>45539.38059027777</v>
      </c>
      <c r="C232" s="1" t="n">
        <v>45985</v>
      </c>
      <c r="D232" t="inlineStr">
        <is>
          <t>ÖREBRO LÄN</t>
        </is>
      </c>
      <c r="E232" t="inlineStr">
        <is>
          <t>ÖREBRO</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55353-2024</t>
        </is>
      </c>
      <c r="B233" s="1" t="n">
        <v>45621.79526620371</v>
      </c>
      <c r="C233" s="1" t="n">
        <v>45985</v>
      </c>
      <c r="D233" t="inlineStr">
        <is>
          <t>ÖREBRO LÄN</t>
        </is>
      </c>
      <c r="E233" t="inlineStr">
        <is>
          <t>ÖREBRO</t>
        </is>
      </c>
      <c r="G233" t="n">
        <v>0.5</v>
      </c>
      <c r="H233" t="n">
        <v>0</v>
      </c>
      <c r="I233" t="n">
        <v>0</v>
      </c>
      <c r="J233" t="n">
        <v>0</v>
      </c>
      <c r="K233" t="n">
        <v>0</v>
      </c>
      <c r="L233" t="n">
        <v>0</v>
      </c>
      <c r="M233" t="n">
        <v>0</v>
      </c>
      <c r="N233" t="n">
        <v>0</v>
      </c>
      <c r="O233" t="n">
        <v>0</v>
      </c>
      <c r="P233" t="n">
        <v>0</v>
      </c>
      <c r="Q233" t="n">
        <v>0</v>
      </c>
      <c r="R233" s="2" t="inlineStr"/>
    </row>
    <row r="234" ht="15" customHeight="1">
      <c r="A234" t="inlineStr">
        <is>
          <t>A 541-2025</t>
        </is>
      </c>
      <c r="B234" s="1" t="n">
        <v>45664.52034722222</v>
      </c>
      <c r="C234" s="1" t="n">
        <v>45985</v>
      </c>
      <c r="D234" t="inlineStr">
        <is>
          <t>ÖREBRO LÄN</t>
        </is>
      </c>
      <c r="E234" t="inlineStr">
        <is>
          <t>ÖREBRO</t>
        </is>
      </c>
      <c r="G234" t="n">
        <v>2.2</v>
      </c>
      <c r="H234" t="n">
        <v>0</v>
      </c>
      <c r="I234" t="n">
        <v>0</v>
      </c>
      <c r="J234" t="n">
        <v>0</v>
      </c>
      <c r="K234" t="n">
        <v>0</v>
      </c>
      <c r="L234" t="n">
        <v>0</v>
      </c>
      <c r="M234" t="n">
        <v>0</v>
      </c>
      <c r="N234" t="n">
        <v>0</v>
      </c>
      <c r="O234" t="n">
        <v>0</v>
      </c>
      <c r="P234" t="n">
        <v>0</v>
      </c>
      <c r="Q234" t="n">
        <v>0</v>
      </c>
      <c r="R234" s="2" t="inlineStr"/>
    </row>
    <row r="235" ht="15" customHeight="1">
      <c r="A235" t="inlineStr">
        <is>
          <t>A 27220-2025</t>
        </is>
      </c>
      <c r="B235" s="1" t="n">
        <v>45812.42293981482</v>
      </c>
      <c r="C235" s="1" t="n">
        <v>45985</v>
      </c>
      <c r="D235" t="inlineStr">
        <is>
          <t>ÖREBRO LÄN</t>
        </is>
      </c>
      <c r="E235" t="inlineStr">
        <is>
          <t>ÖREBRO</t>
        </is>
      </c>
      <c r="G235" t="n">
        <v>0.6</v>
      </c>
      <c r="H235" t="n">
        <v>0</v>
      </c>
      <c r="I235" t="n">
        <v>0</v>
      </c>
      <c r="J235" t="n">
        <v>0</v>
      </c>
      <c r="K235" t="n">
        <v>0</v>
      </c>
      <c r="L235" t="n">
        <v>0</v>
      </c>
      <c r="M235" t="n">
        <v>0</v>
      </c>
      <c r="N235" t="n">
        <v>0</v>
      </c>
      <c r="O235" t="n">
        <v>0</v>
      </c>
      <c r="P235" t="n">
        <v>0</v>
      </c>
      <c r="Q235" t="n">
        <v>0</v>
      </c>
      <c r="R235" s="2" t="inlineStr"/>
    </row>
    <row r="236" ht="15" customHeight="1">
      <c r="A236" t="inlineStr">
        <is>
          <t>A 51248-2025</t>
        </is>
      </c>
      <c r="B236" s="1" t="n">
        <v>45948.450625</v>
      </c>
      <c r="C236" s="1" t="n">
        <v>45985</v>
      </c>
      <c r="D236" t="inlineStr">
        <is>
          <t>ÖREBRO LÄN</t>
        </is>
      </c>
      <c r="E236" t="inlineStr">
        <is>
          <t>ÖREBRO</t>
        </is>
      </c>
      <c r="G236" t="n">
        <v>4.4</v>
      </c>
      <c r="H236" t="n">
        <v>0</v>
      </c>
      <c r="I236" t="n">
        <v>0</v>
      </c>
      <c r="J236" t="n">
        <v>0</v>
      </c>
      <c r="K236" t="n">
        <v>0</v>
      </c>
      <c r="L236" t="n">
        <v>0</v>
      </c>
      <c r="M236" t="n">
        <v>0</v>
      </c>
      <c r="N236" t="n">
        <v>0</v>
      </c>
      <c r="O236" t="n">
        <v>0</v>
      </c>
      <c r="P236" t="n">
        <v>0</v>
      </c>
      <c r="Q236" t="n">
        <v>0</v>
      </c>
      <c r="R236" s="2" t="inlineStr"/>
    </row>
    <row r="237" ht="15" customHeight="1">
      <c r="A237" t="inlineStr">
        <is>
          <t>A 19553-2023</t>
        </is>
      </c>
      <c r="B237" s="1" t="n">
        <v>45050</v>
      </c>
      <c r="C237" s="1" t="n">
        <v>45985</v>
      </c>
      <c r="D237" t="inlineStr">
        <is>
          <t>ÖREBRO LÄN</t>
        </is>
      </c>
      <c r="E237" t="inlineStr">
        <is>
          <t>ÖREBRO</t>
        </is>
      </c>
      <c r="G237" t="n">
        <v>2.1</v>
      </c>
      <c r="H237" t="n">
        <v>0</v>
      </c>
      <c r="I237" t="n">
        <v>0</v>
      </c>
      <c r="J237" t="n">
        <v>0</v>
      </c>
      <c r="K237" t="n">
        <v>0</v>
      </c>
      <c r="L237" t="n">
        <v>0</v>
      </c>
      <c r="M237" t="n">
        <v>0</v>
      </c>
      <c r="N237" t="n">
        <v>0</v>
      </c>
      <c r="O237" t="n">
        <v>0</v>
      </c>
      <c r="P237" t="n">
        <v>0</v>
      </c>
      <c r="Q237" t="n">
        <v>0</v>
      </c>
      <c r="R237" s="2" t="inlineStr"/>
    </row>
    <row r="238" ht="15" customHeight="1">
      <c r="A238" t="inlineStr">
        <is>
          <t>A 50311-2025</t>
        </is>
      </c>
      <c r="B238" s="1" t="n">
        <v>45944</v>
      </c>
      <c r="C238" s="1" t="n">
        <v>45985</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51249-2025</t>
        </is>
      </c>
      <c r="B239" s="1" t="n">
        <v>45948.45704861111</v>
      </c>
      <c r="C239" s="1" t="n">
        <v>45985</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37025-2024</t>
        </is>
      </c>
      <c r="B240" s="1" t="n">
        <v>45539.3840162037</v>
      </c>
      <c r="C240" s="1" t="n">
        <v>45985</v>
      </c>
      <c r="D240" t="inlineStr">
        <is>
          <t>ÖREBRO LÄN</t>
        </is>
      </c>
      <c r="E240" t="inlineStr">
        <is>
          <t>ÖREBRO</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37027-2024</t>
        </is>
      </c>
      <c r="B241" s="1" t="n">
        <v>45539.38487268519</v>
      </c>
      <c r="C241" s="1" t="n">
        <v>45985</v>
      </c>
      <c r="D241" t="inlineStr">
        <is>
          <t>ÖREBRO LÄN</t>
        </is>
      </c>
      <c r="E241" t="inlineStr">
        <is>
          <t>ÖREBRO</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23594-2023</t>
        </is>
      </c>
      <c r="B242" s="1" t="n">
        <v>45077</v>
      </c>
      <c r="C242" s="1" t="n">
        <v>45985</v>
      </c>
      <c r="D242" t="inlineStr">
        <is>
          <t>ÖREBRO LÄN</t>
        </is>
      </c>
      <c r="E242" t="inlineStr">
        <is>
          <t>ÖREBRO</t>
        </is>
      </c>
      <c r="G242" t="n">
        <v>9.9</v>
      </c>
      <c r="H242" t="n">
        <v>0</v>
      </c>
      <c r="I242" t="n">
        <v>0</v>
      </c>
      <c r="J242" t="n">
        <v>0</v>
      </c>
      <c r="K242" t="n">
        <v>0</v>
      </c>
      <c r="L242" t="n">
        <v>0</v>
      </c>
      <c r="M242" t="n">
        <v>0</v>
      </c>
      <c r="N242" t="n">
        <v>0</v>
      </c>
      <c r="O242" t="n">
        <v>0</v>
      </c>
      <c r="P242" t="n">
        <v>0</v>
      </c>
      <c r="Q242" t="n">
        <v>0</v>
      </c>
      <c r="R242" s="2" t="inlineStr"/>
    </row>
    <row r="243" ht="15" customHeight="1">
      <c r="A243" t="inlineStr">
        <is>
          <t>A 27180-2025</t>
        </is>
      </c>
      <c r="B243" s="1" t="n">
        <v>45812.35736111111</v>
      </c>
      <c r="C243" s="1" t="n">
        <v>45985</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27215-2025</t>
        </is>
      </c>
      <c r="B244" s="1" t="n">
        <v>45812.41869212963</v>
      </c>
      <c r="C244" s="1" t="n">
        <v>45985</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27225-2025</t>
        </is>
      </c>
      <c r="B245" s="1" t="n">
        <v>45812.42856481481</v>
      </c>
      <c r="C245" s="1" t="n">
        <v>45985</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8022-2022</t>
        </is>
      </c>
      <c r="B246" s="1" t="n">
        <v>44609</v>
      </c>
      <c r="C246" s="1" t="n">
        <v>45985</v>
      </c>
      <c r="D246" t="inlineStr">
        <is>
          <t>ÖREBRO LÄN</t>
        </is>
      </c>
      <c r="E246" t="inlineStr">
        <is>
          <t>ÖREBRO</t>
        </is>
      </c>
      <c r="G246" t="n">
        <v>5.6</v>
      </c>
      <c r="H246" t="n">
        <v>0</v>
      </c>
      <c r="I246" t="n">
        <v>0</v>
      </c>
      <c r="J246" t="n">
        <v>0</v>
      </c>
      <c r="K246" t="n">
        <v>0</v>
      </c>
      <c r="L246" t="n">
        <v>0</v>
      </c>
      <c r="M246" t="n">
        <v>0</v>
      </c>
      <c r="N246" t="n">
        <v>0</v>
      </c>
      <c r="O246" t="n">
        <v>0</v>
      </c>
      <c r="P246" t="n">
        <v>0</v>
      </c>
      <c r="Q246" t="n">
        <v>0</v>
      </c>
      <c r="R246" s="2" t="inlineStr"/>
    </row>
    <row r="247" ht="15" customHeight="1">
      <c r="A247" t="inlineStr">
        <is>
          <t>A 47193-2023</t>
        </is>
      </c>
      <c r="B247" s="1" t="n">
        <v>45202.3074537037</v>
      </c>
      <c r="C247" s="1" t="n">
        <v>45985</v>
      </c>
      <c r="D247" t="inlineStr">
        <is>
          <t>ÖREBRO LÄN</t>
        </is>
      </c>
      <c r="E247" t="inlineStr">
        <is>
          <t>ÖREBRO</t>
        </is>
      </c>
      <c r="G247" t="n">
        <v>2.4</v>
      </c>
      <c r="H247" t="n">
        <v>0</v>
      </c>
      <c r="I247" t="n">
        <v>0</v>
      </c>
      <c r="J247" t="n">
        <v>0</v>
      </c>
      <c r="K247" t="n">
        <v>0</v>
      </c>
      <c r="L247" t="n">
        <v>0</v>
      </c>
      <c r="M247" t="n">
        <v>0</v>
      </c>
      <c r="N247" t="n">
        <v>0</v>
      </c>
      <c r="O247" t="n">
        <v>0</v>
      </c>
      <c r="P247" t="n">
        <v>0</v>
      </c>
      <c r="Q247" t="n">
        <v>0</v>
      </c>
      <c r="R247" s="2" t="inlineStr"/>
    </row>
    <row r="248" ht="15" customHeight="1">
      <c r="A248" t="inlineStr">
        <is>
          <t>A 58598-2022</t>
        </is>
      </c>
      <c r="B248" s="1" t="n">
        <v>44902</v>
      </c>
      <c r="C248" s="1" t="n">
        <v>45985</v>
      </c>
      <c r="D248" t="inlineStr">
        <is>
          <t>ÖREBRO LÄN</t>
        </is>
      </c>
      <c r="E248" t="inlineStr">
        <is>
          <t>ÖREBRO</t>
        </is>
      </c>
      <c r="G248" t="n">
        <v>0.4</v>
      </c>
      <c r="H248" t="n">
        <v>0</v>
      </c>
      <c r="I248" t="n">
        <v>0</v>
      </c>
      <c r="J248" t="n">
        <v>0</v>
      </c>
      <c r="K248" t="n">
        <v>0</v>
      </c>
      <c r="L248" t="n">
        <v>0</v>
      </c>
      <c r="M248" t="n">
        <v>0</v>
      </c>
      <c r="N248" t="n">
        <v>0</v>
      </c>
      <c r="O248" t="n">
        <v>0</v>
      </c>
      <c r="P248" t="n">
        <v>0</v>
      </c>
      <c r="Q248" t="n">
        <v>0</v>
      </c>
      <c r="R248" s="2" t="inlineStr"/>
    </row>
    <row r="249" ht="15" customHeight="1">
      <c r="A249" t="inlineStr">
        <is>
          <t>A 71206-2021</t>
        </is>
      </c>
      <c r="B249" s="1" t="n">
        <v>44539</v>
      </c>
      <c r="C249" s="1" t="n">
        <v>45985</v>
      </c>
      <c r="D249" t="inlineStr">
        <is>
          <t>ÖREBRO LÄN</t>
        </is>
      </c>
      <c r="E249" t="inlineStr">
        <is>
          <t>ÖREBRO</t>
        </is>
      </c>
      <c r="G249" t="n">
        <v>2.5</v>
      </c>
      <c r="H249" t="n">
        <v>0</v>
      </c>
      <c r="I249" t="n">
        <v>0</v>
      </c>
      <c r="J249" t="n">
        <v>0</v>
      </c>
      <c r="K249" t="n">
        <v>0</v>
      </c>
      <c r="L249" t="n">
        <v>0</v>
      </c>
      <c r="M249" t="n">
        <v>0</v>
      </c>
      <c r="N249" t="n">
        <v>0</v>
      </c>
      <c r="O249" t="n">
        <v>0</v>
      </c>
      <c r="P249" t="n">
        <v>0</v>
      </c>
      <c r="Q249" t="n">
        <v>0</v>
      </c>
      <c r="R249" s="2" t="inlineStr"/>
    </row>
    <row r="250" ht="15" customHeight="1">
      <c r="A250" t="inlineStr">
        <is>
          <t>A 28120-2025</t>
        </is>
      </c>
      <c r="B250" s="1" t="n">
        <v>45818.30459490741</v>
      </c>
      <c r="C250" s="1" t="n">
        <v>45985</v>
      </c>
      <c r="D250" t="inlineStr">
        <is>
          <t>ÖREBRO LÄN</t>
        </is>
      </c>
      <c r="E250" t="inlineStr">
        <is>
          <t>ÖREBRO</t>
        </is>
      </c>
      <c r="G250" t="n">
        <v>1.5</v>
      </c>
      <c r="H250" t="n">
        <v>0</v>
      </c>
      <c r="I250" t="n">
        <v>0</v>
      </c>
      <c r="J250" t="n">
        <v>0</v>
      </c>
      <c r="K250" t="n">
        <v>0</v>
      </c>
      <c r="L250" t="n">
        <v>0</v>
      </c>
      <c r="M250" t="n">
        <v>0</v>
      </c>
      <c r="N250" t="n">
        <v>0</v>
      </c>
      <c r="O250" t="n">
        <v>0</v>
      </c>
      <c r="P250" t="n">
        <v>0</v>
      </c>
      <c r="Q250" t="n">
        <v>0</v>
      </c>
      <c r="R250" s="2" t="inlineStr"/>
    </row>
    <row r="251" ht="15" customHeight="1">
      <c r="A251" t="inlineStr">
        <is>
          <t>A 16739-2022</t>
        </is>
      </c>
      <c r="B251" s="1" t="n">
        <v>44673</v>
      </c>
      <c r="C251" s="1" t="n">
        <v>45985</v>
      </c>
      <c r="D251" t="inlineStr">
        <is>
          <t>ÖREBRO LÄN</t>
        </is>
      </c>
      <c r="E251" t="inlineStr">
        <is>
          <t>ÖREBRO</t>
        </is>
      </c>
      <c r="G251" t="n">
        <v>4.7</v>
      </c>
      <c r="H251" t="n">
        <v>0</v>
      </c>
      <c r="I251" t="n">
        <v>0</v>
      </c>
      <c r="J251" t="n">
        <v>0</v>
      </c>
      <c r="K251" t="n">
        <v>0</v>
      </c>
      <c r="L251" t="n">
        <v>0</v>
      </c>
      <c r="M251" t="n">
        <v>0</v>
      </c>
      <c r="N251" t="n">
        <v>0</v>
      </c>
      <c r="O251" t="n">
        <v>0</v>
      </c>
      <c r="P251" t="n">
        <v>0</v>
      </c>
      <c r="Q251" t="n">
        <v>0</v>
      </c>
      <c r="R251" s="2" t="inlineStr"/>
    </row>
    <row r="252" ht="15" customHeight="1">
      <c r="A252" t="inlineStr">
        <is>
          <t>A 51937-2025</t>
        </is>
      </c>
      <c r="B252" s="1" t="n">
        <v>45952.51270833334</v>
      </c>
      <c r="C252" s="1" t="n">
        <v>45985</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9379-2024</t>
        </is>
      </c>
      <c r="B253" s="1" t="n">
        <v>45359.37298611111</v>
      </c>
      <c r="C253" s="1" t="n">
        <v>45985</v>
      </c>
      <c r="D253" t="inlineStr">
        <is>
          <t>ÖREBRO LÄN</t>
        </is>
      </c>
      <c r="E253" t="inlineStr">
        <is>
          <t>ÖREBRO</t>
        </is>
      </c>
      <c r="G253" t="n">
        <v>2.4</v>
      </c>
      <c r="H253" t="n">
        <v>0</v>
      </c>
      <c r="I253" t="n">
        <v>0</v>
      </c>
      <c r="J253" t="n">
        <v>0</v>
      </c>
      <c r="K253" t="n">
        <v>0</v>
      </c>
      <c r="L253" t="n">
        <v>0</v>
      </c>
      <c r="M253" t="n">
        <v>0</v>
      </c>
      <c r="N253" t="n">
        <v>0</v>
      </c>
      <c r="O253" t="n">
        <v>0</v>
      </c>
      <c r="P253" t="n">
        <v>0</v>
      </c>
      <c r="Q253" t="n">
        <v>0</v>
      </c>
      <c r="R253" s="2" t="inlineStr"/>
    </row>
    <row r="254" ht="15" customHeight="1">
      <c r="A254" t="inlineStr">
        <is>
          <t>A 5398-2022</t>
        </is>
      </c>
      <c r="B254" s="1" t="n">
        <v>44595.3353587963</v>
      </c>
      <c r="C254" s="1" t="n">
        <v>45985</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52135-2025</t>
        </is>
      </c>
      <c r="B255" s="1" t="n">
        <v>45952.84231481481</v>
      </c>
      <c r="C255" s="1" t="n">
        <v>45985</v>
      </c>
      <c r="D255" t="inlineStr">
        <is>
          <t>ÖREBRO LÄN</t>
        </is>
      </c>
      <c r="E255" t="inlineStr">
        <is>
          <t>ÖREBRO</t>
        </is>
      </c>
      <c r="G255" t="n">
        <v>4</v>
      </c>
      <c r="H255" t="n">
        <v>0</v>
      </c>
      <c r="I255" t="n">
        <v>0</v>
      </c>
      <c r="J255" t="n">
        <v>0</v>
      </c>
      <c r="K255" t="n">
        <v>0</v>
      </c>
      <c r="L255" t="n">
        <v>0</v>
      </c>
      <c r="M255" t="n">
        <v>0</v>
      </c>
      <c r="N255" t="n">
        <v>0</v>
      </c>
      <c r="O255" t="n">
        <v>0</v>
      </c>
      <c r="P255" t="n">
        <v>0</v>
      </c>
      <c r="Q255" t="n">
        <v>0</v>
      </c>
      <c r="R255" s="2" t="inlineStr"/>
    </row>
    <row r="256" ht="15" customHeight="1">
      <c r="A256" t="inlineStr">
        <is>
          <t>A 28938-2025</t>
        </is>
      </c>
      <c r="B256" s="1" t="n">
        <v>45820.70626157407</v>
      </c>
      <c r="C256" s="1" t="n">
        <v>45985</v>
      </c>
      <c r="D256" t="inlineStr">
        <is>
          <t>ÖREBRO LÄN</t>
        </is>
      </c>
      <c r="E256" t="inlineStr">
        <is>
          <t>ÖREBRO</t>
        </is>
      </c>
      <c r="G256" t="n">
        <v>1.9</v>
      </c>
      <c r="H256" t="n">
        <v>0</v>
      </c>
      <c r="I256" t="n">
        <v>0</v>
      </c>
      <c r="J256" t="n">
        <v>0</v>
      </c>
      <c r="K256" t="n">
        <v>0</v>
      </c>
      <c r="L256" t="n">
        <v>0</v>
      </c>
      <c r="M256" t="n">
        <v>0</v>
      </c>
      <c r="N256" t="n">
        <v>0</v>
      </c>
      <c r="O256" t="n">
        <v>0</v>
      </c>
      <c r="P256" t="n">
        <v>0</v>
      </c>
      <c r="Q256" t="n">
        <v>0</v>
      </c>
      <c r="R256" s="2" t="inlineStr"/>
    </row>
    <row r="257" ht="15" customHeight="1">
      <c r="A257" t="inlineStr">
        <is>
          <t>A 51923-2025</t>
        </is>
      </c>
      <c r="B257" s="1" t="n">
        <v>45952.49300925926</v>
      </c>
      <c r="C257" s="1" t="n">
        <v>45985</v>
      </c>
      <c r="D257" t="inlineStr">
        <is>
          <t>ÖREBRO LÄN</t>
        </is>
      </c>
      <c r="E257" t="inlineStr">
        <is>
          <t>ÖREBRO</t>
        </is>
      </c>
      <c r="G257" t="n">
        <v>1</v>
      </c>
      <c r="H257" t="n">
        <v>0</v>
      </c>
      <c r="I257" t="n">
        <v>0</v>
      </c>
      <c r="J257" t="n">
        <v>0</v>
      </c>
      <c r="K257" t="n">
        <v>0</v>
      </c>
      <c r="L257" t="n">
        <v>0</v>
      </c>
      <c r="M257" t="n">
        <v>0</v>
      </c>
      <c r="N257" t="n">
        <v>0</v>
      </c>
      <c r="O257" t="n">
        <v>0</v>
      </c>
      <c r="P257" t="n">
        <v>0</v>
      </c>
      <c r="Q257" t="n">
        <v>0</v>
      </c>
      <c r="R257" s="2" t="inlineStr"/>
    </row>
    <row r="258" ht="15" customHeight="1">
      <c r="A258" t="inlineStr">
        <is>
          <t>A 28920-2025</t>
        </is>
      </c>
      <c r="B258" s="1" t="n">
        <v>45820.66532407407</v>
      </c>
      <c r="C258" s="1" t="n">
        <v>45985</v>
      </c>
      <c r="D258" t="inlineStr">
        <is>
          <t>ÖREBRO LÄN</t>
        </is>
      </c>
      <c r="E258" t="inlineStr">
        <is>
          <t>ÖREBRO</t>
        </is>
      </c>
      <c r="G258" t="n">
        <v>3</v>
      </c>
      <c r="H258" t="n">
        <v>0</v>
      </c>
      <c r="I258" t="n">
        <v>0</v>
      </c>
      <c r="J258" t="n">
        <v>0</v>
      </c>
      <c r="K258" t="n">
        <v>0</v>
      </c>
      <c r="L258" t="n">
        <v>0</v>
      </c>
      <c r="M258" t="n">
        <v>0</v>
      </c>
      <c r="N258" t="n">
        <v>0</v>
      </c>
      <c r="O258" t="n">
        <v>0</v>
      </c>
      <c r="P258" t="n">
        <v>0</v>
      </c>
      <c r="Q258" t="n">
        <v>0</v>
      </c>
      <c r="R258" s="2" t="inlineStr"/>
    </row>
    <row r="259" ht="15" customHeight="1">
      <c r="A259" t="inlineStr">
        <is>
          <t>A 29286-2025</t>
        </is>
      </c>
      <c r="B259" s="1" t="n">
        <v>45824.43502314815</v>
      </c>
      <c r="C259" s="1" t="n">
        <v>45985</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41995-2024</t>
        </is>
      </c>
      <c r="B260" s="1" t="n">
        <v>45561.6475462963</v>
      </c>
      <c r="C260" s="1" t="n">
        <v>45985</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29339-2025</t>
        </is>
      </c>
      <c r="B261" s="1" t="n">
        <v>45824.5044212963</v>
      </c>
      <c r="C261" s="1" t="n">
        <v>45985</v>
      </c>
      <c r="D261" t="inlineStr">
        <is>
          <t>ÖREBRO LÄN</t>
        </is>
      </c>
      <c r="E261" t="inlineStr">
        <is>
          <t>ÖREBRO</t>
        </is>
      </c>
      <c r="G261" t="n">
        <v>4.3</v>
      </c>
      <c r="H261" t="n">
        <v>0</v>
      </c>
      <c r="I261" t="n">
        <v>0</v>
      </c>
      <c r="J261" t="n">
        <v>0</v>
      </c>
      <c r="K261" t="n">
        <v>0</v>
      </c>
      <c r="L261" t="n">
        <v>0</v>
      </c>
      <c r="M261" t="n">
        <v>0</v>
      </c>
      <c r="N261" t="n">
        <v>0</v>
      </c>
      <c r="O261" t="n">
        <v>0</v>
      </c>
      <c r="P261" t="n">
        <v>0</v>
      </c>
      <c r="Q261" t="n">
        <v>0</v>
      </c>
      <c r="R261" s="2" t="inlineStr"/>
    </row>
    <row r="262" ht="15" customHeight="1">
      <c r="A262" t="inlineStr">
        <is>
          <t>A 51925-2025</t>
        </is>
      </c>
      <c r="B262" s="1" t="n">
        <v>45952.49476851852</v>
      </c>
      <c r="C262" s="1" t="n">
        <v>45985</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16737-2023</t>
        </is>
      </c>
      <c r="B263" s="1" t="n">
        <v>45030.72472222222</v>
      </c>
      <c r="C263" s="1" t="n">
        <v>45985</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60059-2023</t>
        </is>
      </c>
      <c r="B264" s="1" t="n">
        <v>45258.38157407408</v>
      </c>
      <c r="C264" s="1" t="n">
        <v>45985</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15866-2022</t>
        </is>
      </c>
      <c r="B265" s="1" t="n">
        <v>44664</v>
      </c>
      <c r="C265" s="1" t="n">
        <v>45985</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2318-2023</t>
        </is>
      </c>
      <c r="B266" s="1" t="n">
        <v>44942</v>
      </c>
      <c r="C266" s="1" t="n">
        <v>45985</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26858-2024</t>
        </is>
      </c>
      <c r="B267" s="1" t="n">
        <v>45470</v>
      </c>
      <c r="C267" s="1" t="n">
        <v>45985</v>
      </c>
      <c r="D267" t="inlineStr">
        <is>
          <t>ÖREBRO LÄN</t>
        </is>
      </c>
      <c r="E267" t="inlineStr">
        <is>
          <t>ÖREBRO</t>
        </is>
      </c>
      <c r="G267" t="n">
        <v>2.3</v>
      </c>
      <c r="H267" t="n">
        <v>0</v>
      </c>
      <c r="I267" t="n">
        <v>0</v>
      </c>
      <c r="J267" t="n">
        <v>0</v>
      </c>
      <c r="K267" t="n">
        <v>0</v>
      </c>
      <c r="L267" t="n">
        <v>0</v>
      </c>
      <c r="M267" t="n">
        <v>0</v>
      </c>
      <c r="N267" t="n">
        <v>0</v>
      </c>
      <c r="O267" t="n">
        <v>0</v>
      </c>
      <c r="P267" t="n">
        <v>0</v>
      </c>
      <c r="Q267" t="n">
        <v>0</v>
      </c>
      <c r="R267" s="2" t="inlineStr"/>
    </row>
    <row r="268" ht="15" customHeight="1">
      <c r="A268" t="inlineStr">
        <is>
          <t>A 52382-2025</t>
        </is>
      </c>
      <c r="B268" s="1" t="n">
        <v>45953.9559837963</v>
      </c>
      <c r="C268" s="1" t="n">
        <v>45985</v>
      </c>
      <c r="D268" t="inlineStr">
        <is>
          <t>ÖREBRO LÄN</t>
        </is>
      </c>
      <c r="E268" t="inlineStr">
        <is>
          <t>ÖREBRO</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5764-2022</t>
        </is>
      </c>
      <c r="B269" s="1" t="n">
        <v>44596</v>
      </c>
      <c r="C269" s="1" t="n">
        <v>45985</v>
      </c>
      <c r="D269" t="inlineStr">
        <is>
          <t>ÖREBRO LÄN</t>
        </is>
      </c>
      <c r="E269" t="inlineStr">
        <is>
          <t>ÖREBRO</t>
        </is>
      </c>
      <c r="G269" t="n">
        <v>3.5</v>
      </c>
      <c r="H269" t="n">
        <v>0</v>
      </c>
      <c r="I269" t="n">
        <v>0</v>
      </c>
      <c r="J269" t="n">
        <v>0</v>
      </c>
      <c r="K269" t="n">
        <v>0</v>
      </c>
      <c r="L269" t="n">
        <v>0</v>
      </c>
      <c r="M269" t="n">
        <v>0</v>
      </c>
      <c r="N269" t="n">
        <v>0</v>
      </c>
      <c r="O269" t="n">
        <v>0</v>
      </c>
      <c r="P269" t="n">
        <v>0</v>
      </c>
      <c r="Q269" t="n">
        <v>0</v>
      </c>
      <c r="R269" s="2" t="inlineStr"/>
    </row>
    <row r="270" ht="15" customHeight="1">
      <c r="A270" t="inlineStr">
        <is>
          <t>A 45027-2024</t>
        </is>
      </c>
      <c r="B270" s="1" t="n">
        <v>45575</v>
      </c>
      <c r="C270" s="1" t="n">
        <v>45985</v>
      </c>
      <c r="D270" t="inlineStr">
        <is>
          <t>ÖREBRO LÄN</t>
        </is>
      </c>
      <c r="E270" t="inlineStr">
        <is>
          <t>ÖREBRO</t>
        </is>
      </c>
      <c r="G270" t="n">
        <v>6.3</v>
      </c>
      <c r="H270" t="n">
        <v>0</v>
      </c>
      <c r="I270" t="n">
        <v>0</v>
      </c>
      <c r="J270" t="n">
        <v>0</v>
      </c>
      <c r="K270" t="n">
        <v>0</v>
      </c>
      <c r="L270" t="n">
        <v>0</v>
      </c>
      <c r="M270" t="n">
        <v>0</v>
      </c>
      <c r="N270" t="n">
        <v>0</v>
      </c>
      <c r="O270" t="n">
        <v>0</v>
      </c>
      <c r="P270" t="n">
        <v>0</v>
      </c>
      <c r="Q270" t="n">
        <v>0</v>
      </c>
      <c r="R270" s="2" t="inlineStr"/>
    </row>
    <row r="271" ht="15" customHeight="1">
      <c r="A271" t="inlineStr">
        <is>
          <t>A 29701-2025</t>
        </is>
      </c>
      <c r="B271" s="1" t="n">
        <v>45825.55261574074</v>
      </c>
      <c r="C271" s="1" t="n">
        <v>45985</v>
      </c>
      <c r="D271" t="inlineStr">
        <is>
          <t>ÖREBRO LÄN</t>
        </is>
      </c>
      <c r="E271" t="inlineStr">
        <is>
          <t>ÖREBRO</t>
        </is>
      </c>
      <c r="G271" t="n">
        <v>5.8</v>
      </c>
      <c r="H271" t="n">
        <v>0</v>
      </c>
      <c r="I271" t="n">
        <v>0</v>
      </c>
      <c r="J271" t="n">
        <v>0</v>
      </c>
      <c r="K271" t="n">
        <v>0</v>
      </c>
      <c r="L271" t="n">
        <v>0</v>
      </c>
      <c r="M271" t="n">
        <v>0</v>
      </c>
      <c r="N271" t="n">
        <v>0</v>
      </c>
      <c r="O271" t="n">
        <v>0</v>
      </c>
      <c r="P271" t="n">
        <v>0</v>
      </c>
      <c r="Q271" t="n">
        <v>0</v>
      </c>
      <c r="R271" s="2" t="inlineStr"/>
    </row>
    <row r="272" ht="15" customHeight="1">
      <c r="A272" t="inlineStr">
        <is>
          <t>A 40051-2024</t>
        </is>
      </c>
      <c r="B272" s="1" t="n">
        <v>45553</v>
      </c>
      <c r="C272" s="1" t="n">
        <v>45985</v>
      </c>
      <c r="D272" t="inlineStr">
        <is>
          <t>ÖREBRO LÄN</t>
        </is>
      </c>
      <c r="E272" t="inlineStr">
        <is>
          <t>ÖREBRO</t>
        </is>
      </c>
      <c r="G272" t="n">
        <v>3.5</v>
      </c>
      <c r="H272" t="n">
        <v>0</v>
      </c>
      <c r="I272" t="n">
        <v>0</v>
      </c>
      <c r="J272" t="n">
        <v>0</v>
      </c>
      <c r="K272" t="n">
        <v>0</v>
      </c>
      <c r="L272" t="n">
        <v>0</v>
      </c>
      <c r="M272" t="n">
        <v>0</v>
      </c>
      <c r="N272" t="n">
        <v>0</v>
      </c>
      <c r="O272" t="n">
        <v>0</v>
      </c>
      <c r="P272" t="n">
        <v>0</v>
      </c>
      <c r="Q272" t="n">
        <v>0</v>
      </c>
      <c r="R272" s="2" t="inlineStr"/>
    </row>
    <row r="273" ht="15" customHeight="1">
      <c r="A273" t="inlineStr">
        <is>
          <t>A 41543-2024</t>
        </is>
      </c>
      <c r="B273" s="1" t="n">
        <v>45560</v>
      </c>
      <c r="C273" s="1" t="n">
        <v>45985</v>
      </c>
      <c r="D273" t="inlineStr">
        <is>
          <t>ÖREBRO LÄN</t>
        </is>
      </c>
      <c r="E273" t="inlineStr">
        <is>
          <t>ÖREBRO</t>
        </is>
      </c>
      <c r="G273" t="n">
        <v>2.8</v>
      </c>
      <c r="H273" t="n">
        <v>0</v>
      </c>
      <c r="I273" t="n">
        <v>0</v>
      </c>
      <c r="J273" t="n">
        <v>0</v>
      </c>
      <c r="K273" t="n">
        <v>0</v>
      </c>
      <c r="L273" t="n">
        <v>0</v>
      </c>
      <c r="M273" t="n">
        <v>0</v>
      </c>
      <c r="N273" t="n">
        <v>0</v>
      </c>
      <c r="O273" t="n">
        <v>0</v>
      </c>
      <c r="P273" t="n">
        <v>0</v>
      </c>
      <c r="Q273" t="n">
        <v>0</v>
      </c>
      <c r="R273" s="2" t="inlineStr"/>
    </row>
    <row r="274" ht="15" customHeight="1">
      <c r="A274" t="inlineStr">
        <is>
          <t>A 10799-2024</t>
        </is>
      </c>
      <c r="B274" s="1" t="n">
        <v>45369</v>
      </c>
      <c r="C274" s="1" t="n">
        <v>45985</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16694-2025</t>
        </is>
      </c>
      <c r="B275" s="1" t="n">
        <v>45754.46480324074</v>
      </c>
      <c r="C275" s="1" t="n">
        <v>45985</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30550-2025</t>
        </is>
      </c>
      <c r="B276" s="1" t="n">
        <v>45831.38224537037</v>
      </c>
      <c r="C276" s="1" t="n">
        <v>45985</v>
      </c>
      <c r="D276" t="inlineStr">
        <is>
          <t>ÖREBRO LÄN</t>
        </is>
      </c>
      <c r="E276" t="inlineStr">
        <is>
          <t>ÖREBRO</t>
        </is>
      </c>
      <c r="G276" t="n">
        <v>1.8</v>
      </c>
      <c r="H276" t="n">
        <v>0</v>
      </c>
      <c r="I276" t="n">
        <v>0</v>
      </c>
      <c r="J276" t="n">
        <v>0</v>
      </c>
      <c r="K276" t="n">
        <v>0</v>
      </c>
      <c r="L276" t="n">
        <v>0</v>
      </c>
      <c r="M276" t="n">
        <v>0</v>
      </c>
      <c r="N276" t="n">
        <v>0</v>
      </c>
      <c r="O276" t="n">
        <v>0</v>
      </c>
      <c r="P276" t="n">
        <v>0</v>
      </c>
      <c r="Q276" t="n">
        <v>0</v>
      </c>
      <c r="R276" s="2" t="inlineStr"/>
    </row>
    <row r="277" ht="15" customHeight="1">
      <c r="A277" t="inlineStr">
        <is>
          <t>A 30731-2025</t>
        </is>
      </c>
      <c r="B277" s="1" t="n">
        <v>45831.57280092593</v>
      </c>
      <c r="C277" s="1" t="n">
        <v>45985</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49465-2024</t>
        </is>
      </c>
      <c r="B278" s="1" t="n">
        <v>45596</v>
      </c>
      <c r="C278" s="1" t="n">
        <v>45985</v>
      </c>
      <c r="D278" t="inlineStr">
        <is>
          <t>ÖREBRO LÄN</t>
        </is>
      </c>
      <c r="E278" t="inlineStr">
        <is>
          <t>ÖREBRO</t>
        </is>
      </c>
      <c r="F278" t="inlineStr">
        <is>
          <t>Övriga Aktiebolag</t>
        </is>
      </c>
      <c r="G278" t="n">
        <v>21</v>
      </c>
      <c r="H278" t="n">
        <v>0</v>
      </c>
      <c r="I278" t="n">
        <v>0</v>
      </c>
      <c r="J278" t="n">
        <v>0</v>
      </c>
      <c r="K278" t="n">
        <v>0</v>
      </c>
      <c r="L278" t="n">
        <v>0</v>
      </c>
      <c r="M278" t="n">
        <v>0</v>
      </c>
      <c r="N278" t="n">
        <v>0</v>
      </c>
      <c r="O278" t="n">
        <v>0</v>
      </c>
      <c r="P278" t="n">
        <v>0</v>
      </c>
      <c r="Q278" t="n">
        <v>0</v>
      </c>
      <c r="R278" s="2" t="inlineStr"/>
    </row>
    <row r="279" ht="15" customHeight="1">
      <c r="A279" t="inlineStr">
        <is>
          <t>A 30951-2025</t>
        </is>
      </c>
      <c r="B279" s="1" t="n">
        <v>45832.43225694444</v>
      </c>
      <c r="C279" s="1" t="n">
        <v>45985</v>
      </c>
      <c r="D279" t="inlineStr">
        <is>
          <t>ÖREBRO LÄN</t>
        </is>
      </c>
      <c r="E279" t="inlineStr">
        <is>
          <t>ÖREBRO</t>
        </is>
      </c>
      <c r="F279" t="inlineStr">
        <is>
          <t>Övriga Aktiebolag</t>
        </is>
      </c>
      <c r="G279" t="n">
        <v>2.3</v>
      </c>
      <c r="H279" t="n">
        <v>0</v>
      </c>
      <c r="I279" t="n">
        <v>0</v>
      </c>
      <c r="J279" t="n">
        <v>0</v>
      </c>
      <c r="K279" t="n">
        <v>0</v>
      </c>
      <c r="L279" t="n">
        <v>0</v>
      </c>
      <c r="M279" t="n">
        <v>0</v>
      </c>
      <c r="N279" t="n">
        <v>0</v>
      </c>
      <c r="O279" t="n">
        <v>0</v>
      </c>
      <c r="P279" t="n">
        <v>0</v>
      </c>
      <c r="Q279" t="n">
        <v>0</v>
      </c>
      <c r="R279" s="2" t="inlineStr"/>
    </row>
    <row r="280" ht="15" customHeight="1">
      <c r="A280" t="inlineStr">
        <is>
          <t>A 31066-2025</t>
        </is>
      </c>
      <c r="B280" s="1" t="n">
        <v>45832</v>
      </c>
      <c r="C280" s="1" t="n">
        <v>45985</v>
      </c>
      <c r="D280" t="inlineStr">
        <is>
          <t>ÖREBRO LÄN</t>
        </is>
      </c>
      <c r="E280" t="inlineStr">
        <is>
          <t>ÖREBRO</t>
        </is>
      </c>
      <c r="G280" t="n">
        <v>11.1</v>
      </c>
      <c r="H280" t="n">
        <v>0</v>
      </c>
      <c r="I280" t="n">
        <v>0</v>
      </c>
      <c r="J280" t="n">
        <v>0</v>
      </c>
      <c r="K280" t="n">
        <v>0</v>
      </c>
      <c r="L280" t="n">
        <v>0</v>
      </c>
      <c r="M280" t="n">
        <v>0</v>
      </c>
      <c r="N280" t="n">
        <v>0</v>
      </c>
      <c r="O280" t="n">
        <v>0</v>
      </c>
      <c r="P280" t="n">
        <v>0</v>
      </c>
      <c r="Q280" t="n">
        <v>0</v>
      </c>
      <c r="R280" s="2" t="inlineStr"/>
    </row>
    <row r="281" ht="15" customHeight="1">
      <c r="A281" t="inlineStr">
        <is>
          <t>A 31233-2025</t>
        </is>
      </c>
      <c r="B281" s="1" t="n">
        <v>45832.83341435185</v>
      </c>
      <c r="C281" s="1" t="n">
        <v>45985</v>
      </c>
      <c r="D281" t="inlineStr">
        <is>
          <t>ÖREBRO LÄN</t>
        </is>
      </c>
      <c r="E281" t="inlineStr">
        <is>
          <t>ÖREBRO</t>
        </is>
      </c>
      <c r="F281" t="inlineStr">
        <is>
          <t>Övriga Aktiebolag</t>
        </is>
      </c>
      <c r="G281" t="n">
        <v>2</v>
      </c>
      <c r="H281" t="n">
        <v>0</v>
      </c>
      <c r="I281" t="n">
        <v>0</v>
      </c>
      <c r="J281" t="n">
        <v>0</v>
      </c>
      <c r="K281" t="n">
        <v>0</v>
      </c>
      <c r="L281" t="n">
        <v>0</v>
      </c>
      <c r="M281" t="n">
        <v>0</v>
      </c>
      <c r="N281" t="n">
        <v>0</v>
      </c>
      <c r="O281" t="n">
        <v>0</v>
      </c>
      <c r="P281" t="n">
        <v>0</v>
      </c>
      <c r="Q281" t="n">
        <v>0</v>
      </c>
      <c r="R281" s="2" t="inlineStr"/>
    </row>
    <row r="282" ht="15" customHeight="1">
      <c r="A282" t="inlineStr">
        <is>
          <t>A 59121-2024</t>
        </is>
      </c>
      <c r="B282" s="1" t="n">
        <v>45637.37755787037</v>
      </c>
      <c r="C282" s="1" t="n">
        <v>45985</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49215-2023</t>
        </is>
      </c>
      <c r="B283" s="1" t="n">
        <v>45210.61050925926</v>
      </c>
      <c r="C283" s="1" t="n">
        <v>45985</v>
      </c>
      <c r="D283" t="inlineStr">
        <is>
          <t>ÖREBRO LÄN</t>
        </is>
      </c>
      <c r="E283" t="inlineStr">
        <is>
          <t>ÖREBRO</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31232-2025</t>
        </is>
      </c>
      <c r="B284" s="1" t="n">
        <v>45832.8252199074</v>
      </c>
      <c r="C284" s="1" t="n">
        <v>45985</v>
      </c>
      <c r="D284" t="inlineStr">
        <is>
          <t>ÖREBRO LÄN</t>
        </is>
      </c>
      <c r="E284" t="inlineStr">
        <is>
          <t>ÖREBRO</t>
        </is>
      </c>
      <c r="F284" t="inlineStr">
        <is>
          <t>Övriga Aktiebolag</t>
        </is>
      </c>
      <c r="G284" t="n">
        <v>2.1</v>
      </c>
      <c r="H284" t="n">
        <v>0</v>
      </c>
      <c r="I284" t="n">
        <v>0</v>
      </c>
      <c r="J284" t="n">
        <v>0</v>
      </c>
      <c r="K284" t="n">
        <v>0</v>
      </c>
      <c r="L284" t="n">
        <v>0</v>
      </c>
      <c r="M284" t="n">
        <v>0</v>
      </c>
      <c r="N284" t="n">
        <v>0</v>
      </c>
      <c r="O284" t="n">
        <v>0</v>
      </c>
      <c r="P284" t="n">
        <v>0</v>
      </c>
      <c r="Q284" t="n">
        <v>0</v>
      </c>
      <c r="R284" s="2" t="inlineStr"/>
    </row>
    <row r="285" ht="15" customHeight="1">
      <c r="A285" t="inlineStr">
        <is>
          <t>A 17983-2025</t>
        </is>
      </c>
      <c r="B285" s="1" t="n">
        <v>45761.38829861111</v>
      </c>
      <c r="C285" s="1" t="n">
        <v>45985</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31237-2025</t>
        </is>
      </c>
      <c r="B286" s="1" t="n">
        <v>45832.84313657408</v>
      </c>
      <c r="C286" s="1" t="n">
        <v>45985</v>
      </c>
      <c r="D286" t="inlineStr">
        <is>
          <t>ÖREBRO LÄN</t>
        </is>
      </c>
      <c r="E286" t="inlineStr">
        <is>
          <t>ÖREBRO</t>
        </is>
      </c>
      <c r="F286" t="inlineStr">
        <is>
          <t>Övriga Aktiebolag</t>
        </is>
      </c>
      <c r="G286" t="n">
        <v>1.7</v>
      </c>
      <c r="H286" t="n">
        <v>0</v>
      </c>
      <c r="I286" t="n">
        <v>0</v>
      </c>
      <c r="J286" t="n">
        <v>0</v>
      </c>
      <c r="K286" t="n">
        <v>0</v>
      </c>
      <c r="L286" t="n">
        <v>0</v>
      </c>
      <c r="M286" t="n">
        <v>0</v>
      </c>
      <c r="N286" t="n">
        <v>0</v>
      </c>
      <c r="O286" t="n">
        <v>0</v>
      </c>
      <c r="P286" t="n">
        <v>0</v>
      </c>
      <c r="Q286" t="n">
        <v>0</v>
      </c>
      <c r="R286" s="2" t="inlineStr"/>
    </row>
    <row r="287" ht="15" customHeight="1">
      <c r="A287" t="inlineStr">
        <is>
          <t>A 30743-2025</t>
        </is>
      </c>
      <c r="B287" s="1" t="n">
        <v>45831</v>
      </c>
      <c r="C287" s="1" t="n">
        <v>45985</v>
      </c>
      <c r="D287" t="inlineStr">
        <is>
          <t>ÖREBRO LÄN</t>
        </is>
      </c>
      <c r="E287" t="inlineStr">
        <is>
          <t>ÖREBRO</t>
        </is>
      </c>
      <c r="G287" t="n">
        <v>2.9</v>
      </c>
      <c r="H287" t="n">
        <v>0</v>
      </c>
      <c r="I287" t="n">
        <v>0</v>
      </c>
      <c r="J287" t="n">
        <v>0</v>
      </c>
      <c r="K287" t="n">
        <v>0</v>
      </c>
      <c r="L287" t="n">
        <v>0</v>
      </c>
      <c r="M287" t="n">
        <v>0</v>
      </c>
      <c r="N287" t="n">
        <v>0</v>
      </c>
      <c r="O287" t="n">
        <v>0</v>
      </c>
      <c r="P287" t="n">
        <v>0</v>
      </c>
      <c r="Q287" t="n">
        <v>0</v>
      </c>
      <c r="R287" s="2" t="inlineStr"/>
    </row>
    <row r="288" ht="15" customHeight="1">
      <c r="A288" t="inlineStr">
        <is>
          <t>A 53443-2025</t>
        </is>
      </c>
      <c r="B288" s="1" t="n">
        <v>45959.6444675926</v>
      </c>
      <c r="C288" s="1" t="n">
        <v>45985</v>
      </c>
      <c r="D288" t="inlineStr">
        <is>
          <t>ÖREBRO LÄN</t>
        </is>
      </c>
      <c r="E288" t="inlineStr">
        <is>
          <t>ÖREBRO</t>
        </is>
      </c>
      <c r="G288" t="n">
        <v>2.8</v>
      </c>
      <c r="H288" t="n">
        <v>0</v>
      </c>
      <c r="I288" t="n">
        <v>0</v>
      </c>
      <c r="J288" t="n">
        <v>0</v>
      </c>
      <c r="K288" t="n">
        <v>0</v>
      </c>
      <c r="L288" t="n">
        <v>0</v>
      </c>
      <c r="M288" t="n">
        <v>0</v>
      </c>
      <c r="N288" t="n">
        <v>0</v>
      </c>
      <c r="O288" t="n">
        <v>0</v>
      </c>
      <c r="P288" t="n">
        <v>0</v>
      </c>
      <c r="Q288" t="n">
        <v>0</v>
      </c>
      <c r="R288" s="2" t="inlineStr"/>
    </row>
    <row r="289" ht="15" customHeight="1">
      <c r="A289" t="inlineStr">
        <is>
          <t>A 44875-2025</t>
        </is>
      </c>
      <c r="B289" s="1" t="n">
        <v>45918.47043981482</v>
      </c>
      <c r="C289" s="1" t="n">
        <v>45985</v>
      </c>
      <c r="D289" t="inlineStr">
        <is>
          <t>ÖREBRO LÄN</t>
        </is>
      </c>
      <c r="E289" t="inlineStr">
        <is>
          <t>ÖREBRO</t>
        </is>
      </c>
      <c r="G289" t="n">
        <v>1.4</v>
      </c>
      <c r="H289" t="n">
        <v>0</v>
      </c>
      <c r="I289" t="n">
        <v>0</v>
      </c>
      <c r="J289" t="n">
        <v>0</v>
      </c>
      <c r="K289" t="n">
        <v>0</v>
      </c>
      <c r="L289" t="n">
        <v>0</v>
      </c>
      <c r="M289" t="n">
        <v>0</v>
      </c>
      <c r="N289" t="n">
        <v>0</v>
      </c>
      <c r="O289" t="n">
        <v>0</v>
      </c>
      <c r="P289" t="n">
        <v>0</v>
      </c>
      <c r="Q289" t="n">
        <v>0</v>
      </c>
      <c r="R289" s="2" t="inlineStr"/>
    </row>
    <row r="290" ht="15" customHeight="1">
      <c r="A290" t="inlineStr">
        <is>
          <t>A 53350-2025</t>
        </is>
      </c>
      <c r="B290" s="1" t="n">
        <v>45959.43827546296</v>
      </c>
      <c r="C290" s="1" t="n">
        <v>45985</v>
      </c>
      <c r="D290" t="inlineStr">
        <is>
          <t>ÖREBRO LÄN</t>
        </is>
      </c>
      <c r="E290" t="inlineStr">
        <is>
          <t>ÖREBRO</t>
        </is>
      </c>
      <c r="G290" t="n">
        <v>4.1</v>
      </c>
      <c r="H290" t="n">
        <v>0</v>
      </c>
      <c r="I290" t="n">
        <v>0</v>
      </c>
      <c r="J290" t="n">
        <v>0</v>
      </c>
      <c r="K290" t="n">
        <v>0</v>
      </c>
      <c r="L290" t="n">
        <v>0</v>
      </c>
      <c r="M290" t="n">
        <v>0</v>
      </c>
      <c r="N290" t="n">
        <v>0</v>
      </c>
      <c r="O290" t="n">
        <v>0</v>
      </c>
      <c r="P290" t="n">
        <v>0</v>
      </c>
      <c r="Q290" t="n">
        <v>0</v>
      </c>
      <c r="R290" s="2" t="inlineStr"/>
    </row>
    <row r="291" ht="15" customHeight="1">
      <c r="A291" t="inlineStr">
        <is>
          <t>A 53715-2025</t>
        </is>
      </c>
      <c r="B291" s="1" t="n">
        <v>45960.61763888889</v>
      </c>
      <c r="C291" s="1" t="n">
        <v>45985</v>
      </c>
      <c r="D291" t="inlineStr">
        <is>
          <t>ÖREBRO LÄN</t>
        </is>
      </c>
      <c r="E291" t="inlineStr">
        <is>
          <t>ÖREBRO</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8571-2021</t>
        </is>
      </c>
      <c r="B292" s="1" t="n">
        <v>44245</v>
      </c>
      <c r="C292" s="1" t="n">
        <v>45985</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32218-2025</t>
        </is>
      </c>
      <c r="B293" s="1" t="n">
        <v>45835.58880787037</v>
      </c>
      <c r="C293" s="1" t="n">
        <v>45985</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53343-2025</t>
        </is>
      </c>
      <c r="B294" s="1" t="n">
        <v>45959.42025462963</v>
      </c>
      <c r="C294" s="1" t="n">
        <v>45985</v>
      </c>
      <c r="D294" t="inlineStr">
        <is>
          <t>ÖREBRO LÄN</t>
        </is>
      </c>
      <c r="E294" t="inlineStr">
        <is>
          <t>ÖREBRO</t>
        </is>
      </c>
      <c r="G294" t="n">
        <v>0.5</v>
      </c>
      <c r="H294" t="n">
        <v>0</v>
      </c>
      <c r="I294" t="n">
        <v>0</v>
      </c>
      <c r="J294" t="n">
        <v>0</v>
      </c>
      <c r="K294" t="n">
        <v>0</v>
      </c>
      <c r="L294" t="n">
        <v>0</v>
      </c>
      <c r="M294" t="n">
        <v>0</v>
      </c>
      <c r="N294" t="n">
        <v>0</v>
      </c>
      <c r="O294" t="n">
        <v>0</v>
      </c>
      <c r="P294" t="n">
        <v>0</v>
      </c>
      <c r="Q294" t="n">
        <v>0</v>
      </c>
      <c r="R294" s="2" t="inlineStr"/>
    </row>
    <row r="295" ht="15" customHeight="1">
      <c r="A295" t="inlineStr">
        <is>
          <t>A 55692-2023</t>
        </is>
      </c>
      <c r="B295" s="1" t="n">
        <v>45239</v>
      </c>
      <c r="C295" s="1" t="n">
        <v>45985</v>
      </c>
      <c r="D295" t="inlineStr">
        <is>
          <t>ÖREBRO LÄN</t>
        </is>
      </c>
      <c r="E295" t="inlineStr">
        <is>
          <t>ÖREBRO</t>
        </is>
      </c>
      <c r="F295" t="inlineStr">
        <is>
          <t>Övriga Aktiebolag</t>
        </is>
      </c>
      <c r="G295" t="n">
        <v>0.4</v>
      </c>
      <c r="H295" t="n">
        <v>0</v>
      </c>
      <c r="I295" t="n">
        <v>0</v>
      </c>
      <c r="J295" t="n">
        <v>0</v>
      </c>
      <c r="K295" t="n">
        <v>0</v>
      </c>
      <c r="L295" t="n">
        <v>0</v>
      </c>
      <c r="M295" t="n">
        <v>0</v>
      </c>
      <c r="N295" t="n">
        <v>0</v>
      </c>
      <c r="O295" t="n">
        <v>0</v>
      </c>
      <c r="P295" t="n">
        <v>0</v>
      </c>
      <c r="Q295" t="n">
        <v>0</v>
      </c>
      <c r="R295" s="2" t="inlineStr"/>
    </row>
    <row r="296" ht="15" customHeight="1">
      <c r="A296" t="inlineStr">
        <is>
          <t>A 32188-2025</t>
        </is>
      </c>
      <c r="B296" s="1" t="n">
        <v>45835.56965277778</v>
      </c>
      <c r="C296" s="1" t="n">
        <v>45985</v>
      </c>
      <c r="D296" t="inlineStr">
        <is>
          <t>ÖREBRO LÄN</t>
        </is>
      </c>
      <c r="E296" t="inlineStr">
        <is>
          <t>ÖREBRO</t>
        </is>
      </c>
      <c r="G296" t="n">
        <v>2.9</v>
      </c>
      <c r="H296" t="n">
        <v>0</v>
      </c>
      <c r="I296" t="n">
        <v>0</v>
      </c>
      <c r="J296" t="n">
        <v>0</v>
      </c>
      <c r="K296" t="n">
        <v>0</v>
      </c>
      <c r="L296" t="n">
        <v>0</v>
      </c>
      <c r="M296" t="n">
        <v>0</v>
      </c>
      <c r="N296" t="n">
        <v>0</v>
      </c>
      <c r="O296" t="n">
        <v>0</v>
      </c>
      <c r="P296" t="n">
        <v>0</v>
      </c>
      <c r="Q296" t="n">
        <v>0</v>
      </c>
      <c r="R296" s="2" t="inlineStr"/>
    </row>
    <row r="297" ht="15" customHeight="1">
      <c r="A297" t="inlineStr">
        <is>
          <t>A 32195-2025</t>
        </is>
      </c>
      <c r="B297" s="1" t="n">
        <v>45835.57407407407</v>
      </c>
      <c r="C297" s="1" t="n">
        <v>45985</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14715-2024</t>
        </is>
      </c>
      <c r="B298" s="1" t="n">
        <v>45397.5500462963</v>
      </c>
      <c r="C298" s="1" t="n">
        <v>45985</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53719-2025</t>
        </is>
      </c>
      <c r="B299" s="1" t="n">
        <v>45960.62042824074</v>
      </c>
      <c r="C299" s="1" t="n">
        <v>45985</v>
      </c>
      <c r="D299" t="inlineStr">
        <is>
          <t>ÖREBRO LÄN</t>
        </is>
      </c>
      <c r="E299" t="inlineStr">
        <is>
          <t>ÖREBRO</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33191-2025</t>
        </is>
      </c>
      <c r="B300" s="1" t="n">
        <v>45840.6003587963</v>
      </c>
      <c r="C300" s="1" t="n">
        <v>45985</v>
      </c>
      <c r="D300" t="inlineStr">
        <is>
          <t>ÖREBRO LÄN</t>
        </is>
      </c>
      <c r="E300" t="inlineStr">
        <is>
          <t>ÖREBRO</t>
        </is>
      </c>
      <c r="G300" t="n">
        <v>2.6</v>
      </c>
      <c r="H300" t="n">
        <v>0</v>
      </c>
      <c r="I300" t="n">
        <v>0</v>
      </c>
      <c r="J300" t="n">
        <v>0</v>
      </c>
      <c r="K300" t="n">
        <v>0</v>
      </c>
      <c r="L300" t="n">
        <v>0</v>
      </c>
      <c r="M300" t="n">
        <v>0</v>
      </c>
      <c r="N300" t="n">
        <v>0</v>
      </c>
      <c r="O300" t="n">
        <v>0</v>
      </c>
      <c r="P300" t="n">
        <v>0</v>
      </c>
      <c r="Q300" t="n">
        <v>0</v>
      </c>
      <c r="R300" s="2" t="inlineStr"/>
    </row>
    <row r="301" ht="15" customHeight="1">
      <c r="A301" t="inlineStr">
        <is>
          <t>A 44960-2025</t>
        </is>
      </c>
      <c r="B301" s="1" t="n">
        <v>45918.61577546296</v>
      </c>
      <c r="C301" s="1" t="n">
        <v>45985</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53342-2025</t>
        </is>
      </c>
      <c r="B302" s="1" t="n">
        <v>45959.41769675926</v>
      </c>
      <c r="C302" s="1" t="n">
        <v>45985</v>
      </c>
      <c r="D302" t="inlineStr">
        <is>
          <t>ÖREBRO LÄN</t>
        </is>
      </c>
      <c r="E302" t="inlineStr">
        <is>
          <t>ÖREBRO</t>
        </is>
      </c>
      <c r="G302" t="n">
        <v>4.1</v>
      </c>
      <c r="H302" t="n">
        <v>0</v>
      </c>
      <c r="I302" t="n">
        <v>0</v>
      </c>
      <c r="J302" t="n">
        <v>0</v>
      </c>
      <c r="K302" t="n">
        <v>0</v>
      </c>
      <c r="L302" t="n">
        <v>0</v>
      </c>
      <c r="M302" t="n">
        <v>0</v>
      </c>
      <c r="N302" t="n">
        <v>0</v>
      </c>
      <c r="O302" t="n">
        <v>0</v>
      </c>
      <c r="P302" t="n">
        <v>0</v>
      </c>
      <c r="Q302" t="n">
        <v>0</v>
      </c>
      <c r="R302" s="2" t="inlineStr"/>
    </row>
    <row r="303" ht="15" customHeight="1">
      <c r="A303" t="inlineStr">
        <is>
          <t>A 53437-2025</t>
        </is>
      </c>
      <c r="B303" s="1" t="n">
        <v>45959.63440972222</v>
      </c>
      <c r="C303" s="1" t="n">
        <v>45985</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12682-2023</t>
        </is>
      </c>
      <c r="B304" s="1" t="n">
        <v>45000.6115625</v>
      </c>
      <c r="C304" s="1" t="n">
        <v>45985</v>
      </c>
      <c r="D304" t="inlineStr">
        <is>
          <t>ÖREBRO LÄN</t>
        </is>
      </c>
      <c r="E304" t="inlineStr">
        <is>
          <t>ÖREBRO</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13592-2023</t>
        </is>
      </c>
      <c r="B305" s="1" t="n">
        <v>45006.56870370371</v>
      </c>
      <c r="C305" s="1" t="n">
        <v>45985</v>
      </c>
      <c r="D305" t="inlineStr">
        <is>
          <t>ÖREBRO LÄN</t>
        </is>
      </c>
      <c r="E305" t="inlineStr">
        <is>
          <t>ÖREBRO</t>
        </is>
      </c>
      <c r="G305" t="n">
        <v>2</v>
      </c>
      <c r="H305" t="n">
        <v>0</v>
      </c>
      <c r="I305" t="n">
        <v>0</v>
      </c>
      <c r="J305" t="n">
        <v>0</v>
      </c>
      <c r="K305" t="n">
        <v>0</v>
      </c>
      <c r="L305" t="n">
        <v>0</v>
      </c>
      <c r="M305" t="n">
        <v>0</v>
      </c>
      <c r="N305" t="n">
        <v>0</v>
      </c>
      <c r="O305" t="n">
        <v>0</v>
      </c>
      <c r="P305" t="n">
        <v>0</v>
      </c>
      <c r="Q305" t="n">
        <v>0</v>
      </c>
      <c r="R305" s="2" t="inlineStr"/>
    </row>
    <row r="306" ht="15" customHeight="1">
      <c r="A306" t="inlineStr">
        <is>
          <t>A 32426-2025</t>
        </is>
      </c>
      <c r="B306" s="1" t="n">
        <v>45838.36179398148</v>
      </c>
      <c r="C306" s="1" t="n">
        <v>45985</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10368-2021</t>
        </is>
      </c>
      <c r="B307" s="1" t="n">
        <v>44257</v>
      </c>
      <c r="C307" s="1" t="n">
        <v>45985</v>
      </c>
      <c r="D307" t="inlineStr">
        <is>
          <t>ÖREBRO LÄN</t>
        </is>
      </c>
      <c r="E307" t="inlineStr">
        <is>
          <t>ÖREBRO</t>
        </is>
      </c>
      <c r="G307" t="n">
        <v>1.2</v>
      </c>
      <c r="H307" t="n">
        <v>0</v>
      </c>
      <c r="I307" t="n">
        <v>0</v>
      </c>
      <c r="J307" t="n">
        <v>0</v>
      </c>
      <c r="K307" t="n">
        <v>0</v>
      </c>
      <c r="L307" t="n">
        <v>0</v>
      </c>
      <c r="M307" t="n">
        <v>0</v>
      </c>
      <c r="N307" t="n">
        <v>0</v>
      </c>
      <c r="O307" t="n">
        <v>0</v>
      </c>
      <c r="P307" t="n">
        <v>0</v>
      </c>
      <c r="Q307" t="n">
        <v>0</v>
      </c>
      <c r="R307" s="2" t="inlineStr"/>
    </row>
    <row r="308" ht="15" customHeight="1">
      <c r="A308" t="inlineStr">
        <is>
          <t>A 32904-2025</t>
        </is>
      </c>
      <c r="B308" s="1" t="n">
        <v>45839</v>
      </c>
      <c r="C308" s="1" t="n">
        <v>45985</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59736-2023</t>
        </is>
      </c>
      <c r="B309" s="1" t="n">
        <v>45257.374375</v>
      </c>
      <c r="C309" s="1" t="n">
        <v>45985</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54205-2025</t>
        </is>
      </c>
      <c r="B310" s="1" t="n">
        <v>45964.58512731481</v>
      </c>
      <c r="C310" s="1" t="n">
        <v>45985</v>
      </c>
      <c r="D310" t="inlineStr">
        <is>
          <t>ÖREBRO LÄN</t>
        </is>
      </c>
      <c r="E310" t="inlineStr">
        <is>
          <t>ÖREBRO</t>
        </is>
      </c>
      <c r="G310" t="n">
        <v>24.3</v>
      </c>
      <c r="H310" t="n">
        <v>0</v>
      </c>
      <c r="I310" t="n">
        <v>0</v>
      </c>
      <c r="J310" t="n">
        <v>0</v>
      </c>
      <c r="K310" t="n">
        <v>0</v>
      </c>
      <c r="L310" t="n">
        <v>0</v>
      </c>
      <c r="M310" t="n">
        <v>0</v>
      </c>
      <c r="N310" t="n">
        <v>0</v>
      </c>
      <c r="O310" t="n">
        <v>0</v>
      </c>
      <c r="P310" t="n">
        <v>0</v>
      </c>
      <c r="Q310" t="n">
        <v>0</v>
      </c>
      <c r="R310" s="2" t="inlineStr"/>
    </row>
    <row r="311" ht="15" customHeight="1">
      <c r="A311" t="inlineStr">
        <is>
          <t>A 55355-2024</t>
        </is>
      </c>
      <c r="B311" s="1" t="n">
        <v>45621.80475694445</v>
      </c>
      <c r="C311" s="1" t="n">
        <v>45985</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49029-2024</t>
        </is>
      </c>
      <c r="B312" s="1" t="n">
        <v>45594</v>
      </c>
      <c r="C312" s="1" t="n">
        <v>45985</v>
      </c>
      <c r="D312" t="inlineStr">
        <is>
          <t>ÖREBRO LÄN</t>
        </is>
      </c>
      <c r="E312" t="inlineStr">
        <is>
          <t>ÖREBRO</t>
        </is>
      </c>
      <c r="G312" t="n">
        <v>3.7</v>
      </c>
      <c r="H312" t="n">
        <v>0</v>
      </c>
      <c r="I312" t="n">
        <v>0</v>
      </c>
      <c r="J312" t="n">
        <v>0</v>
      </c>
      <c r="K312" t="n">
        <v>0</v>
      </c>
      <c r="L312" t="n">
        <v>0</v>
      </c>
      <c r="M312" t="n">
        <v>0</v>
      </c>
      <c r="N312" t="n">
        <v>0</v>
      </c>
      <c r="O312" t="n">
        <v>0</v>
      </c>
      <c r="P312" t="n">
        <v>0</v>
      </c>
      <c r="Q312" t="n">
        <v>0</v>
      </c>
      <c r="R312" s="2" t="inlineStr"/>
    </row>
    <row r="313" ht="15" customHeight="1">
      <c r="A313" t="inlineStr">
        <is>
          <t>A 20115-2024</t>
        </is>
      </c>
      <c r="B313" s="1" t="n">
        <v>45434</v>
      </c>
      <c r="C313" s="1" t="n">
        <v>45985</v>
      </c>
      <c r="D313" t="inlineStr">
        <is>
          <t>ÖREBRO LÄN</t>
        </is>
      </c>
      <c r="E313" t="inlineStr">
        <is>
          <t>ÖREBRO</t>
        </is>
      </c>
      <c r="G313" t="n">
        <v>1.7</v>
      </c>
      <c r="H313" t="n">
        <v>0</v>
      </c>
      <c r="I313" t="n">
        <v>0</v>
      </c>
      <c r="J313" t="n">
        <v>0</v>
      </c>
      <c r="K313" t="n">
        <v>0</v>
      </c>
      <c r="L313" t="n">
        <v>0</v>
      </c>
      <c r="M313" t="n">
        <v>0</v>
      </c>
      <c r="N313" t="n">
        <v>0</v>
      </c>
      <c r="O313" t="n">
        <v>0</v>
      </c>
      <c r="P313" t="n">
        <v>0</v>
      </c>
      <c r="Q313" t="n">
        <v>0</v>
      </c>
      <c r="R313" s="2" t="inlineStr"/>
    </row>
    <row r="314" ht="15" customHeight="1">
      <c r="A314" t="inlineStr">
        <is>
          <t>A 55875-2024</t>
        </is>
      </c>
      <c r="B314" s="1" t="n">
        <v>45623.55375</v>
      </c>
      <c r="C314" s="1" t="n">
        <v>45985</v>
      </c>
      <c r="D314" t="inlineStr">
        <is>
          <t>ÖREBRO LÄN</t>
        </is>
      </c>
      <c r="E314" t="inlineStr">
        <is>
          <t>ÖREBRO</t>
        </is>
      </c>
      <c r="G314" t="n">
        <v>3.5</v>
      </c>
      <c r="H314" t="n">
        <v>0</v>
      </c>
      <c r="I314" t="n">
        <v>0</v>
      </c>
      <c r="J314" t="n">
        <v>0</v>
      </c>
      <c r="K314" t="n">
        <v>0</v>
      </c>
      <c r="L314" t="n">
        <v>0</v>
      </c>
      <c r="M314" t="n">
        <v>0</v>
      </c>
      <c r="N314" t="n">
        <v>0</v>
      </c>
      <c r="O314" t="n">
        <v>0</v>
      </c>
      <c r="P314" t="n">
        <v>0</v>
      </c>
      <c r="Q314" t="n">
        <v>0</v>
      </c>
      <c r="R314" s="2" t="inlineStr"/>
    </row>
    <row r="315" ht="15" customHeight="1">
      <c r="A315" t="inlineStr">
        <is>
          <t>A 23710-2022</t>
        </is>
      </c>
      <c r="B315" s="1" t="n">
        <v>44722</v>
      </c>
      <c r="C315" s="1" t="n">
        <v>45985</v>
      </c>
      <c r="D315" t="inlineStr">
        <is>
          <t>ÖREBRO LÄN</t>
        </is>
      </c>
      <c r="E315" t="inlineStr">
        <is>
          <t>ÖREBRO</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48687-2024</t>
        </is>
      </c>
      <c r="B316" s="1" t="n">
        <v>45593.49899305555</v>
      </c>
      <c r="C316" s="1" t="n">
        <v>45985</v>
      </c>
      <c r="D316" t="inlineStr">
        <is>
          <t>ÖREBRO LÄN</t>
        </is>
      </c>
      <c r="E316" t="inlineStr">
        <is>
          <t>ÖREBRO</t>
        </is>
      </c>
      <c r="F316" t="inlineStr">
        <is>
          <t>Övriga Aktiebolag</t>
        </is>
      </c>
      <c r="G316" t="n">
        <v>3.8</v>
      </c>
      <c r="H316" t="n">
        <v>0</v>
      </c>
      <c r="I316" t="n">
        <v>0</v>
      </c>
      <c r="J316" t="n">
        <v>0</v>
      </c>
      <c r="K316" t="n">
        <v>0</v>
      </c>
      <c r="L316" t="n">
        <v>0</v>
      </c>
      <c r="M316" t="n">
        <v>0</v>
      </c>
      <c r="N316" t="n">
        <v>0</v>
      </c>
      <c r="O316" t="n">
        <v>0</v>
      </c>
      <c r="P316" t="n">
        <v>0</v>
      </c>
      <c r="Q316" t="n">
        <v>0</v>
      </c>
      <c r="R316" s="2" t="inlineStr"/>
    </row>
    <row r="317" ht="15" customHeight="1">
      <c r="A317" t="inlineStr">
        <is>
          <t>A 10470-2025</t>
        </is>
      </c>
      <c r="B317" s="1" t="n">
        <v>45720</v>
      </c>
      <c r="C317" s="1" t="n">
        <v>45985</v>
      </c>
      <c r="D317" t="inlineStr">
        <is>
          <t>ÖREBRO LÄN</t>
        </is>
      </c>
      <c r="E317" t="inlineStr">
        <is>
          <t>ÖREBRO</t>
        </is>
      </c>
      <c r="G317" t="n">
        <v>11.5</v>
      </c>
      <c r="H317" t="n">
        <v>0</v>
      </c>
      <c r="I317" t="n">
        <v>0</v>
      </c>
      <c r="J317" t="n">
        <v>0</v>
      </c>
      <c r="K317" t="n">
        <v>0</v>
      </c>
      <c r="L317" t="n">
        <v>0</v>
      </c>
      <c r="M317" t="n">
        <v>0</v>
      </c>
      <c r="N317" t="n">
        <v>0</v>
      </c>
      <c r="O317" t="n">
        <v>0</v>
      </c>
      <c r="P317" t="n">
        <v>0</v>
      </c>
      <c r="Q317" t="n">
        <v>0</v>
      </c>
      <c r="R317" s="2" t="inlineStr"/>
    </row>
    <row r="318" ht="15" customHeight="1">
      <c r="A318" t="inlineStr">
        <is>
          <t>A 46056-2024</t>
        </is>
      </c>
      <c r="B318" s="1" t="n">
        <v>45580.91502314815</v>
      </c>
      <c r="C318" s="1" t="n">
        <v>45985</v>
      </c>
      <c r="D318" t="inlineStr">
        <is>
          <t>ÖREBRO LÄN</t>
        </is>
      </c>
      <c r="E318" t="inlineStr">
        <is>
          <t>ÖREBRO</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13355-2023</t>
        </is>
      </c>
      <c r="B319" s="1" t="n">
        <v>45004</v>
      </c>
      <c r="C319" s="1" t="n">
        <v>45985</v>
      </c>
      <c r="D319" t="inlineStr">
        <is>
          <t>ÖREBRO LÄN</t>
        </is>
      </c>
      <c r="E319" t="inlineStr">
        <is>
          <t>ÖREBRO</t>
        </is>
      </c>
      <c r="G319" t="n">
        <v>2.3</v>
      </c>
      <c r="H319" t="n">
        <v>0</v>
      </c>
      <c r="I319" t="n">
        <v>0</v>
      </c>
      <c r="J319" t="n">
        <v>0</v>
      </c>
      <c r="K319" t="n">
        <v>0</v>
      </c>
      <c r="L319" t="n">
        <v>0</v>
      </c>
      <c r="M319" t="n">
        <v>0</v>
      </c>
      <c r="N319" t="n">
        <v>0</v>
      </c>
      <c r="O319" t="n">
        <v>0</v>
      </c>
      <c r="P319" t="n">
        <v>0</v>
      </c>
      <c r="Q319" t="n">
        <v>0</v>
      </c>
      <c r="R319" s="2" t="inlineStr"/>
    </row>
    <row r="320" ht="15" customHeight="1">
      <c r="A320" t="inlineStr">
        <is>
          <t>A 6522-2023</t>
        </is>
      </c>
      <c r="B320" s="1" t="n">
        <v>44966</v>
      </c>
      <c r="C320" s="1" t="n">
        <v>45985</v>
      </c>
      <c r="D320" t="inlineStr">
        <is>
          <t>ÖREBRO LÄN</t>
        </is>
      </c>
      <c r="E320" t="inlineStr">
        <is>
          <t>ÖREBRO</t>
        </is>
      </c>
      <c r="G320" t="n">
        <v>4.4</v>
      </c>
      <c r="H320" t="n">
        <v>0</v>
      </c>
      <c r="I320" t="n">
        <v>0</v>
      </c>
      <c r="J320" t="n">
        <v>0</v>
      </c>
      <c r="K320" t="n">
        <v>0</v>
      </c>
      <c r="L320" t="n">
        <v>0</v>
      </c>
      <c r="M320" t="n">
        <v>0</v>
      </c>
      <c r="N320" t="n">
        <v>0</v>
      </c>
      <c r="O320" t="n">
        <v>0</v>
      </c>
      <c r="P320" t="n">
        <v>0</v>
      </c>
      <c r="Q320" t="n">
        <v>0</v>
      </c>
      <c r="R320" s="2" t="inlineStr"/>
    </row>
    <row r="321" ht="15" customHeight="1">
      <c r="A321" t="inlineStr">
        <is>
          <t>A 56040-2024</t>
        </is>
      </c>
      <c r="B321" s="1" t="n">
        <v>45624.3344212963</v>
      </c>
      <c r="C321" s="1" t="n">
        <v>45985</v>
      </c>
      <c r="D321" t="inlineStr">
        <is>
          <t>ÖREBRO LÄN</t>
        </is>
      </c>
      <c r="E321" t="inlineStr">
        <is>
          <t>ÖREBRO</t>
        </is>
      </c>
      <c r="G321" t="n">
        <v>1.2</v>
      </c>
      <c r="H321" t="n">
        <v>0</v>
      </c>
      <c r="I321" t="n">
        <v>0</v>
      </c>
      <c r="J321" t="n">
        <v>0</v>
      </c>
      <c r="K321" t="n">
        <v>0</v>
      </c>
      <c r="L321" t="n">
        <v>0</v>
      </c>
      <c r="M321" t="n">
        <v>0</v>
      </c>
      <c r="N321" t="n">
        <v>0</v>
      </c>
      <c r="O321" t="n">
        <v>0</v>
      </c>
      <c r="P321" t="n">
        <v>0</v>
      </c>
      <c r="Q321" t="n">
        <v>0</v>
      </c>
      <c r="R321" s="2" t="inlineStr"/>
    </row>
    <row r="322" ht="15" customHeight="1">
      <c r="A322" t="inlineStr">
        <is>
          <t>A 52444-2024</t>
        </is>
      </c>
      <c r="B322" s="1" t="n">
        <v>45609.48894675926</v>
      </c>
      <c r="C322" s="1" t="n">
        <v>45985</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54485-2025</t>
        </is>
      </c>
      <c r="B323" s="1" t="n">
        <v>45965.59295138889</v>
      </c>
      <c r="C323" s="1" t="n">
        <v>45985</v>
      </c>
      <c r="D323" t="inlineStr">
        <is>
          <t>ÖREBRO LÄN</t>
        </is>
      </c>
      <c r="E323" t="inlineStr">
        <is>
          <t>ÖREBRO</t>
        </is>
      </c>
      <c r="F323" t="inlineStr">
        <is>
          <t>Allmännings- och besparingsskogar</t>
        </is>
      </c>
      <c r="G323" t="n">
        <v>1.7</v>
      </c>
      <c r="H323" t="n">
        <v>0</v>
      </c>
      <c r="I323" t="n">
        <v>0</v>
      </c>
      <c r="J323" t="n">
        <v>0</v>
      </c>
      <c r="K323" t="n">
        <v>0</v>
      </c>
      <c r="L323" t="n">
        <v>0</v>
      </c>
      <c r="M323" t="n">
        <v>0</v>
      </c>
      <c r="N323" t="n">
        <v>0</v>
      </c>
      <c r="O323" t="n">
        <v>0</v>
      </c>
      <c r="P323" t="n">
        <v>0</v>
      </c>
      <c r="Q323" t="n">
        <v>0</v>
      </c>
      <c r="R323" s="2" t="inlineStr"/>
    </row>
    <row r="324" ht="15" customHeight="1">
      <c r="A324" t="inlineStr">
        <is>
          <t>A 35062-2025</t>
        </is>
      </c>
      <c r="B324" s="1" t="n">
        <v>45852</v>
      </c>
      <c r="C324" s="1" t="n">
        <v>45985</v>
      </c>
      <c r="D324" t="inlineStr">
        <is>
          <t>ÖREBRO LÄN</t>
        </is>
      </c>
      <c r="E324" t="inlineStr">
        <is>
          <t>ÖREBRO</t>
        </is>
      </c>
      <c r="G324" t="n">
        <v>2.8</v>
      </c>
      <c r="H324" t="n">
        <v>0</v>
      </c>
      <c r="I324" t="n">
        <v>0</v>
      </c>
      <c r="J324" t="n">
        <v>0</v>
      </c>
      <c r="K324" t="n">
        <v>0</v>
      </c>
      <c r="L324" t="n">
        <v>0</v>
      </c>
      <c r="M324" t="n">
        <v>0</v>
      </c>
      <c r="N324" t="n">
        <v>0</v>
      </c>
      <c r="O324" t="n">
        <v>0</v>
      </c>
      <c r="P324" t="n">
        <v>0</v>
      </c>
      <c r="Q324" t="n">
        <v>0</v>
      </c>
      <c r="R324" s="2" t="inlineStr"/>
    </row>
    <row r="325" ht="15" customHeight="1">
      <c r="A325" t="inlineStr">
        <is>
          <t>A 60128-2023</t>
        </is>
      </c>
      <c r="B325" s="1" t="n">
        <v>45258</v>
      </c>
      <c r="C325" s="1" t="n">
        <v>45985</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16140-2023</t>
        </is>
      </c>
      <c r="B326" s="1" t="n">
        <v>45027.6433912037</v>
      </c>
      <c r="C326" s="1" t="n">
        <v>45985</v>
      </c>
      <c r="D326" t="inlineStr">
        <is>
          <t>ÖREBRO LÄN</t>
        </is>
      </c>
      <c r="E326" t="inlineStr">
        <is>
          <t>ÖREBRO</t>
        </is>
      </c>
      <c r="G326" t="n">
        <v>2</v>
      </c>
      <c r="H326" t="n">
        <v>0</v>
      </c>
      <c r="I326" t="n">
        <v>0</v>
      </c>
      <c r="J326" t="n">
        <v>0</v>
      </c>
      <c r="K326" t="n">
        <v>0</v>
      </c>
      <c r="L326" t="n">
        <v>0</v>
      </c>
      <c r="M326" t="n">
        <v>0</v>
      </c>
      <c r="N326" t="n">
        <v>0</v>
      </c>
      <c r="O326" t="n">
        <v>0</v>
      </c>
      <c r="P326" t="n">
        <v>0</v>
      </c>
      <c r="Q326" t="n">
        <v>0</v>
      </c>
      <c r="R326" s="2" t="inlineStr"/>
    </row>
    <row r="327" ht="15" customHeight="1">
      <c r="A327" t="inlineStr">
        <is>
          <t>A 55003-2025</t>
        </is>
      </c>
      <c r="B327" s="1" t="n">
        <v>45967</v>
      </c>
      <c r="C327" s="1" t="n">
        <v>45985</v>
      </c>
      <c r="D327" t="inlineStr">
        <is>
          <t>ÖREBRO LÄN</t>
        </is>
      </c>
      <c r="E327" t="inlineStr">
        <is>
          <t>ÖREBRO</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28821-2025</t>
        </is>
      </c>
      <c r="B328" s="1" t="n">
        <v>45820</v>
      </c>
      <c r="C328" s="1" t="n">
        <v>45985</v>
      </c>
      <c r="D328" t="inlineStr">
        <is>
          <t>ÖREBRO LÄN</t>
        </is>
      </c>
      <c r="E328" t="inlineStr">
        <is>
          <t>ÖREBRO</t>
        </is>
      </c>
      <c r="G328" t="n">
        <v>12.6</v>
      </c>
      <c r="H328" t="n">
        <v>0</v>
      </c>
      <c r="I328" t="n">
        <v>0</v>
      </c>
      <c r="J328" t="n">
        <v>0</v>
      </c>
      <c r="K328" t="n">
        <v>0</v>
      </c>
      <c r="L328" t="n">
        <v>0</v>
      </c>
      <c r="M328" t="n">
        <v>0</v>
      </c>
      <c r="N328" t="n">
        <v>0</v>
      </c>
      <c r="O328" t="n">
        <v>0</v>
      </c>
      <c r="P328" t="n">
        <v>0</v>
      </c>
      <c r="Q328" t="n">
        <v>0</v>
      </c>
      <c r="R328" s="2" t="inlineStr"/>
    </row>
    <row r="329" ht="15" customHeight="1">
      <c r="A329" t="inlineStr">
        <is>
          <t>A 35637-2025</t>
        </is>
      </c>
      <c r="B329" s="1" t="n">
        <v>45859.46859953704</v>
      </c>
      <c r="C329" s="1" t="n">
        <v>45985</v>
      </c>
      <c r="D329" t="inlineStr">
        <is>
          <t>ÖREBRO LÄN</t>
        </is>
      </c>
      <c r="E329" t="inlineStr">
        <is>
          <t>ÖREBRO</t>
        </is>
      </c>
      <c r="G329" t="n">
        <v>2.1</v>
      </c>
      <c r="H329" t="n">
        <v>0</v>
      </c>
      <c r="I329" t="n">
        <v>0</v>
      </c>
      <c r="J329" t="n">
        <v>0</v>
      </c>
      <c r="K329" t="n">
        <v>0</v>
      </c>
      <c r="L329" t="n">
        <v>0</v>
      </c>
      <c r="M329" t="n">
        <v>0</v>
      </c>
      <c r="N329" t="n">
        <v>0</v>
      </c>
      <c r="O329" t="n">
        <v>0</v>
      </c>
      <c r="P329" t="n">
        <v>0</v>
      </c>
      <c r="Q329" t="n">
        <v>0</v>
      </c>
      <c r="R329" s="2" t="inlineStr"/>
    </row>
    <row r="330" ht="15" customHeight="1">
      <c r="A330" t="inlineStr">
        <is>
          <t>A 6752-2022</t>
        </is>
      </c>
      <c r="B330" s="1" t="n">
        <v>44602.48082175926</v>
      </c>
      <c r="C330" s="1" t="n">
        <v>45985</v>
      </c>
      <c r="D330" t="inlineStr">
        <is>
          <t>ÖREBRO LÄN</t>
        </is>
      </c>
      <c r="E330" t="inlineStr">
        <is>
          <t>ÖREBRO</t>
        </is>
      </c>
      <c r="G330" t="n">
        <v>3.1</v>
      </c>
      <c r="H330" t="n">
        <v>0</v>
      </c>
      <c r="I330" t="n">
        <v>0</v>
      </c>
      <c r="J330" t="n">
        <v>0</v>
      </c>
      <c r="K330" t="n">
        <v>0</v>
      </c>
      <c r="L330" t="n">
        <v>0</v>
      </c>
      <c r="M330" t="n">
        <v>0</v>
      </c>
      <c r="N330" t="n">
        <v>0</v>
      </c>
      <c r="O330" t="n">
        <v>0</v>
      </c>
      <c r="P330" t="n">
        <v>0</v>
      </c>
      <c r="Q330" t="n">
        <v>0</v>
      </c>
      <c r="R330" s="2" t="inlineStr"/>
    </row>
    <row r="331" ht="15" customHeight="1">
      <c r="A331" t="inlineStr">
        <is>
          <t>A 35928-2025</t>
        </is>
      </c>
      <c r="B331" s="1" t="n">
        <v>45862</v>
      </c>
      <c r="C331" s="1" t="n">
        <v>45985</v>
      </c>
      <c r="D331" t="inlineStr">
        <is>
          <t>ÖREBRO LÄN</t>
        </is>
      </c>
      <c r="E331" t="inlineStr">
        <is>
          <t>ÖREBRO</t>
        </is>
      </c>
      <c r="G331" t="n">
        <v>4.4</v>
      </c>
      <c r="H331" t="n">
        <v>0</v>
      </c>
      <c r="I331" t="n">
        <v>0</v>
      </c>
      <c r="J331" t="n">
        <v>0</v>
      </c>
      <c r="K331" t="n">
        <v>0</v>
      </c>
      <c r="L331" t="n">
        <v>0</v>
      </c>
      <c r="M331" t="n">
        <v>0</v>
      </c>
      <c r="N331" t="n">
        <v>0</v>
      </c>
      <c r="O331" t="n">
        <v>0</v>
      </c>
      <c r="P331" t="n">
        <v>0</v>
      </c>
      <c r="Q331" t="n">
        <v>0</v>
      </c>
      <c r="R331" s="2" t="inlineStr"/>
    </row>
    <row r="332" ht="15" customHeight="1">
      <c r="A332" t="inlineStr">
        <is>
          <t>A 55453-2024</t>
        </is>
      </c>
      <c r="B332" s="1" t="n">
        <v>45622.42097222222</v>
      </c>
      <c r="C332" s="1" t="n">
        <v>45985</v>
      </c>
      <c r="D332" t="inlineStr">
        <is>
          <t>ÖREBRO LÄN</t>
        </is>
      </c>
      <c r="E332" t="inlineStr">
        <is>
          <t>ÖREBRO</t>
        </is>
      </c>
      <c r="G332" t="n">
        <v>8.5</v>
      </c>
      <c r="H332" t="n">
        <v>0</v>
      </c>
      <c r="I332" t="n">
        <v>0</v>
      </c>
      <c r="J332" t="n">
        <v>0</v>
      </c>
      <c r="K332" t="n">
        <v>0</v>
      </c>
      <c r="L332" t="n">
        <v>0</v>
      </c>
      <c r="M332" t="n">
        <v>0</v>
      </c>
      <c r="N332" t="n">
        <v>0</v>
      </c>
      <c r="O332" t="n">
        <v>0</v>
      </c>
      <c r="P332" t="n">
        <v>0</v>
      </c>
      <c r="Q332" t="n">
        <v>0</v>
      </c>
      <c r="R332" s="2" t="inlineStr"/>
    </row>
    <row r="333" ht="15" customHeight="1">
      <c r="A333" t="inlineStr">
        <is>
          <t>A 34056-2023</t>
        </is>
      </c>
      <c r="B333" s="1" t="n">
        <v>45135</v>
      </c>
      <c r="C333" s="1" t="n">
        <v>45985</v>
      </c>
      <c r="D333" t="inlineStr">
        <is>
          <t>ÖREBRO LÄN</t>
        </is>
      </c>
      <c r="E333" t="inlineStr">
        <is>
          <t>ÖREBRO</t>
        </is>
      </c>
      <c r="F333" t="inlineStr">
        <is>
          <t>Övriga Aktiebolag</t>
        </is>
      </c>
      <c r="G333" t="n">
        <v>4.1</v>
      </c>
      <c r="H333" t="n">
        <v>0</v>
      </c>
      <c r="I333" t="n">
        <v>0</v>
      </c>
      <c r="J333" t="n">
        <v>0</v>
      </c>
      <c r="K333" t="n">
        <v>0</v>
      </c>
      <c r="L333" t="n">
        <v>0</v>
      </c>
      <c r="M333" t="n">
        <v>0</v>
      </c>
      <c r="N333" t="n">
        <v>0</v>
      </c>
      <c r="O333" t="n">
        <v>0</v>
      </c>
      <c r="P333" t="n">
        <v>0</v>
      </c>
      <c r="Q333" t="n">
        <v>0</v>
      </c>
      <c r="R333" s="2" t="inlineStr"/>
    </row>
    <row r="334" ht="15" customHeight="1">
      <c r="A334" t="inlineStr">
        <is>
          <t>A 33457-2023</t>
        </is>
      </c>
      <c r="B334" s="1" t="n">
        <v>45131</v>
      </c>
      <c r="C334" s="1" t="n">
        <v>45985</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45237-2023</t>
        </is>
      </c>
      <c r="B335" s="1" t="n">
        <v>45191</v>
      </c>
      <c r="C335" s="1" t="n">
        <v>45985</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5946-2021</t>
        </is>
      </c>
      <c r="B336" s="1" t="n">
        <v>44230</v>
      </c>
      <c r="C336" s="1" t="n">
        <v>45985</v>
      </c>
      <c r="D336" t="inlineStr">
        <is>
          <t>ÖREBRO LÄN</t>
        </is>
      </c>
      <c r="E336" t="inlineStr">
        <is>
          <t>ÖREBRO</t>
        </is>
      </c>
      <c r="G336" t="n">
        <v>1.3</v>
      </c>
      <c r="H336" t="n">
        <v>0</v>
      </c>
      <c r="I336" t="n">
        <v>0</v>
      </c>
      <c r="J336" t="n">
        <v>0</v>
      </c>
      <c r="K336" t="n">
        <v>0</v>
      </c>
      <c r="L336" t="n">
        <v>0</v>
      </c>
      <c r="M336" t="n">
        <v>0</v>
      </c>
      <c r="N336" t="n">
        <v>0</v>
      </c>
      <c r="O336" t="n">
        <v>0</v>
      </c>
      <c r="P336" t="n">
        <v>0</v>
      </c>
      <c r="Q336" t="n">
        <v>0</v>
      </c>
      <c r="R336" s="2" t="inlineStr"/>
    </row>
    <row r="337" ht="15" customHeight="1">
      <c r="A337" t="inlineStr">
        <is>
          <t>A 51180-2023</t>
        </is>
      </c>
      <c r="B337" s="1" t="n">
        <v>45219</v>
      </c>
      <c r="C337" s="1" t="n">
        <v>45985</v>
      </c>
      <c r="D337" t="inlineStr">
        <is>
          <t>ÖREBRO LÄN</t>
        </is>
      </c>
      <c r="E337" t="inlineStr">
        <is>
          <t>ÖREBRO</t>
        </is>
      </c>
      <c r="G337" t="n">
        <v>6.5</v>
      </c>
      <c r="H337" t="n">
        <v>0</v>
      </c>
      <c r="I337" t="n">
        <v>0</v>
      </c>
      <c r="J337" t="n">
        <v>0</v>
      </c>
      <c r="K337" t="n">
        <v>0</v>
      </c>
      <c r="L337" t="n">
        <v>0</v>
      </c>
      <c r="M337" t="n">
        <v>0</v>
      </c>
      <c r="N337" t="n">
        <v>0</v>
      </c>
      <c r="O337" t="n">
        <v>0</v>
      </c>
      <c r="P337" t="n">
        <v>0</v>
      </c>
      <c r="Q337" t="n">
        <v>0</v>
      </c>
      <c r="R337" s="2" t="inlineStr"/>
    </row>
    <row r="338" ht="15" customHeight="1">
      <c r="A338" t="inlineStr">
        <is>
          <t>A 60028-2024</t>
        </is>
      </c>
      <c r="B338" s="1" t="n">
        <v>45642</v>
      </c>
      <c r="C338" s="1" t="n">
        <v>45985</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33294-2023</t>
        </is>
      </c>
      <c r="B339" s="1" t="n">
        <v>45127</v>
      </c>
      <c r="C339" s="1" t="n">
        <v>45985</v>
      </c>
      <c r="D339" t="inlineStr">
        <is>
          <t>ÖREBRO LÄN</t>
        </is>
      </c>
      <c r="E339" t="inlineStr">
        <is>
          <t>ÖREBRO</t>
        </is>
      </c>
      <c r="F339" t="inlineStr">
        <is>
          <t>Övriga Aktiebolag</t>
        </is>
      </c>
      <c r="G339" t="n">
        <v>6.7</v>
      </c>
      <c r="H339" t="n">
        <v>0</v>
      </c>
      <c r="I339" t="n">
        <v>0</v>
      </c>
      <c r="J339" t="n">
        <v>0</v>
      </c>
      <c r="K339" t="n">
        <v>0</v>
      </c>
      <c r="L339" t="n">
        <v>0</v>
      </c>
      <c r="M339" t="n">
        <v>0</v>
      </c>
      <c r="N339" t="n">
        <v>0</v>
      </c>
      <c r="O339" t="n">
        <v>0</v>
      </c>
      <c r="P339" t="n">
        <v>0</v>
      </c>
      <c r="Q339" t="n">
        <v>0</v>
      </c>
      <c r="R339" s="2" t="inlineStr"/>
    </row>
    <row r="340" ht="15" customHeight="1">
      <c r="A340" t="inlineStr">
        <is>
          <t>A 32025-2024</t>
        </is>
      </c>
      <c r="B340" s="1" t="n">
        <v>45510.65754629629</v>
      </c>
      <c r="C340" s="1" t="n">
        <v>45985</v>
      </c>
      <c r="D340" t="inlineStr">
        <is>
          <t>ÖREBRO LÄN</t>
        </is>
      </c>
      <c r="E340" t="inlineStr">
        <is>
          <t>ÖREBRO</t>
        </is>
      </c>
      <c r="G340" t="n">
        <v>4</v>
      </c>
      <c r="H340" t="n">
        <v>0</v>
      </c>
      <c r="I340" t="n">
        <v>0</v>
      </c>
      <c r="J340" t="n">
        <v>0</v>
      </c>
      <c r="K340" t="n">
        <v>0</v>
      </c>
      <c r="L340" t="n">
        <v>0</v>
      </c>
      <c r="M340" t="n">
        <v>0</v>
      </c>
      <c r="N340" t="n">
        <v>0</v>
      </c>
      <c r="O340" t="n">
        <v>0</v>
      </c>
      <c r="P340" t="n">
        <v>0</v>
      </c>
      <c r="Q340" t="n">
        <v>0</v>
      </c>
      <c r="R340" s="2" t="inlineStr"/>
    </row>
    <row r="341" ht="15" customHeight="1">
      <c r="A341" t="inlineStr">
        <is>
          <t>A 13857-2022</t>
        </is>
      </c>
      <c r="B341" s="1" t="n">
        <v>44649</v>
      </c>
      <c r="C341" s="1" t="n">
        <v>45985</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55748-2025</t>
        </is>
      </c>
      <c r="B342" s="1" t="n">
        <v>45972.57893518519</v>
      </c>
      <c r="C342" s="1" t="n">
        <v>45985</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61078-2024</t>
        </is>
      </c>
      <c r="B343" s="1" t="n">
        <v>45645.51034722223</v>
      </c>
      <c r="C343" s="1" t="n">
        <v>45985</v>
      </c>
      <c r="D343" t="inlineStr">
        <is>
          <t>ÖREBRO LÄN</t>
        </is>
      </c>
      <c r="E343" t="inlineStr">
        <is>
          <t>ÖREBRO</t>
        </is>
      </c>
      <c r="G343" t="n">
        <v>4.1</v>
      </c>
      <c r="H343" t="n">
        <v>0</v>
      </c>
      <c r="I343" t="n">
        <v>0</v>
      </c>
      <c r="J343" t="n">
        <v>0</v>
      </c>
      <c r="K343" t="n">
        <v>0</v>
      </c>
      <c r="L343" t="n">
        <v>0</v>
      </c>
      <c r="M343" t="n">
        <v>0</v>
      </c>
      <c r="N343" t="n">
        <v>0</v>
      </c>
      <c r="O343" t="n">
        <v>0</v>
      </c>
      <c r="P343" t="n">
        <v>0</v>
      </c>
      <c r="Q343" t="n">
        <v>0</v>
      </c>
      <c r="R343" s="2" t="inlineStr"/>
    </row>
    <row r="344" ht="15" customHeight="1">
      <c r="A344" t="inlineStr">
        <is>
          <t>A 12871-2021</t>
        </is>
      </c>
      <c r="B344" s="1" t="n">
        <v>44271.42121527778</v>
      </c>
      <c r="C344" s="1" t="n">
        <v>45985</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13158-2024</t>
        </is>
      </c>
      <c r="B345" s="1" t="n">
        <v>45386.38728009259</v>
      </c>
      <c r="C345" s="1" t="n">
        <v>45985</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36448-2025</t>
        </is>
      </c>
      <c r="B346" s="1" t="n">
        <v>45869.41929398148</v>
      </c>
      <c r="C346" s="1" t="n">
        <v>45985</v>
      </c>
      <c r="D346" t="inlineStr">
        <is>
          <t>ÖREBRO LÄN</t>
        </is>
      </c>
      <c r="E346" t="inlineStr">
        <is>
          <t>ÖREBRO</t>
        </is>
      </c>
      <c r="F346" t="inlineStr">
        <is>
          <t>Övriga Aktiebolag</t>
        </is>
      </c>
      <c r="G346" t="n">
        <v>4.3</v>
      </c>
      <c r="H346" t="n">
        <v>0</v>
      </c>
      <c r="I346" t="n">
        <v>0</v>
      </c>
      <c r="J346" t="n">
        <v>0</v>
      </c>
      <c r="K346" t="n">
        <v>0</v>
      </c>
      <c r="L346" t="n">
        <v>0</v>
      </c>
      <c r="M346" t="n">
        <v>0</v>
      </c>
      <c r="N346" t="n">
        <v>0</v>
      </c>
      <c r="O346" t="n">
        <v>0</v>
      </c>
      <c r="P346" t="n">
        <v>0</v>
      </c>
      <c r="Q346" t="n">
        <v>0</v>
      </c>
      <c r="R346" s="2" t="inlineStr"/>
    </row>
    <row r="347" ht="15" customHeight="1">
      <c r="A347" t="inlineStr">
        <is>
          <t>A 55750-2025</t>
        </is>
      </c>
      <c r="B347" s="1" t="n">
        <v>45972.58171296296</v>
      </c>
      <c r="C347" s="1" t="n">
        <v>45985</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36447-2025</t>
        </is>
      </c>
      <c r="B348" s="1" t="n">
        <v>45869.41387731482</v>
      </c>
      <c r="C348" s="1" t="n">
        <v>45985</v>
      </c>
      <c r="D348" t="inlineStr">
        <is>
          <t>ÖREBRO LÄN</t>
        </is>
      </c>
      <c r="E348" t="inlineStr">
        <is>
          <t>ÖREBRO</t>
        </is>
      </c>
      <c r="F348" t="inlineStr">
        <is>
          <t>Övriga Aktiebolag</t>
        </is>
      </c>
      <c r="G348" t="n">
        <v>12.6</v>
      </c>
      <c r="H348" t="n">
        <v>0</v>
      </c>
      <c r="I348" t="n">
        <v>0</v>
      </c>
      <c r="J348" t="n">
        <v>0</v>
      </c>
      <c r="K348" t="n">
        <v>0</v>
      </c>
      <c r="L348" t="n">
        <v>0</v>
      </c>
      <c r="M348" t="n">
        <v>0</v>
      </c>
      <c r="N348" t="n">
        <v>0</v>
      </c>
      <c r="O348" t="n">
        <v>0</v>
      </c>
      <c r="P348" t="n">
        <v>0</v>
      </c>
      <c r="Q348" t="n">
        <v>0</v>
      </c>
      <c r="R348" s="2" t="inlineStr"/>
    </row>
    <row r="349" ht="15" customHeight="1">
      <c r="A349" t="inlineStr">
        <is>
          <t>A 13181-2023</t>
        </is>
      </c>
      <c r="B349" s="1" t="n">
        <v>45002.60659722222</v>
      </c>
      <c r="C349" s="1" t="n">
        <v>45985</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25996-2024</t>
        </is>
      </c>
      <c r="B350" s="1" t="n">
        <v>45467.89081018518</v>
      </c>
      <c r="C350" s="1" t="n">
        <v>45985</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16676-2025</t>
        </is>
      </c>
      <c r="B351" s="1" t="n">
        <v>45754.44658564815</v>
      </c>
      <c r="C351" s="1" t="n">
        <v>45985</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23741-2022</t>
        </is>
      </c>
      <c r="B352" s="1" t="n">
        <v>44722</v>
      </c>
      <c r="C352" s="1" t="n">
        <v>45985</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8274-2025</t>
        </is>
      </c>
      <c r="B353" s="1" t="n">
        <v>45708</v>
      </c>
      <c r="C353" s="1" t="n">
        <v>45985</v>
      </c>
      <c r="D353" t="inlineStr">
        <is>
          <t>ÖREBRO LÄN</t>
        </is>
      </c>
      <c r="E353" t="inlineStr">
        <is>
          <t>ÖREBRO</t>
        </is>
      </c>
      <c r="G353" t="n">
        <v>5.8</v>
      </c>
      <c r="H353" t="n">
        <v>0</v>
      </c>
      <c r="I353" t="n">
        <v>0</v>
      </c>
      <c r="J353" t="n">
        <v>0</v>
      </c>
      <c r="K353" t="n">
        <v>0</v>
      </c>
      <c r="L353" t="n">
        <v>0</v>
      </c>
      <c r="M353" t="n">
        <v>0</v>
      </c>
      <c r="N353" t="n">
        <v>0</v>
      </c>
      <c r="O353" t="n">
        <v>0</v>
      </c>
      <c r="P353" t="n">
        <v>0</v>
      </c>
      <c r="Q353" t="n">
        <v>0</v>
      </c>
      <c r="R353" s="2" t="inlineStr"/>
    </row>
    <row r="354" ht="15" customHeight="1">
      <c r="A354" t="inlineStr">
        <is>
          <t>A 58620-2024</t>
        </is>
      </c>
      <c r="B354" s="1" t="n">
        <v>45635.56246527778</v>
      </c>
      <c r="C354" s="1" t="n">
        <v>45985</v>
      </c>
      <c r="D354" t="inlineStr">
        <is>
          <t>ÖREBRO LÄN</t>
        </is>
      </c>
      <c r="E354" t="inlineStr">
        <is>
          <t>ÖREBRO</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55879-2025</t>
        </is>
      </c>
      <c r="B355" s="1" t="n">
        <v>45973.36508101852</v>
      </c>
      <c r="C355" s="1" t="n">
        <v>45985</v>
      </c>
      <c r="D355" t="inlineStr">
        <is>
          <t>ÖREBRO LÄN</t>
        </is>
      </c>
      <c r="E355" t="inlineStr">
        <is>
          <t>ÖREBRO</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7141-2025</t>
        </is>
      </c>
      <c r="B356" s="1" t="n">
        <v>45702</v>
      </c>
      <c r="C356" s="1" t="n">
        <v>45985</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59024-2024</t>
        </is>
      </c>
      <c r="B357" s="1" t="n">
        <v>45636.68505787037</v>
      </c>
      <c r="C357" s="1" t="n">
        <v>45985</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13657-2025</t>
        </is>
      </c>
      <c r="B358" s="1" t="n">
        <v>45736.7427662037</v>
      </c>
      <c r="C358" s="1" t="n">
        <v>45985</v>
      </c>
      <c r="D358" t="inlineStr">
        <is>
          <t>ÖREBRO LÄN</t>
        </is>
      </c>
      <c r="E358" t="inlineStr">
        <is>
          <t>ÖREBRO</t>
        </is>
      </c>
      <c r="G358" t="n">
        <v>3.8</v>
      </c>
      <c r="H358" t="n">
        <v>0</v>
      </c>
      <c r="I358" t="n">
        <v>0</v>
      </c>
      <c r="J358" t="n">
        <v>0</v>
      </c>
      <c r="K358" t="n">
        <v>0</v>
      </c>
      <c r="L358" t="n">
        <v>0</v>
      </c>
      <c r="M358" t="n">
        <v>0</v>
      </c>
      <c r="N358" t="n">
        <v>0</v>
      </c>
      <c r="O358" t="n">
        <v>0</v>
      </c>
      <c r="P358" t="n">
        <v>0</v>
      </c>
      <c r="Q358" t="n">
        <v>0</v>
      </c>
      <c r="R358" s="2" t="inlineStr"/>
    </row>
    <row r="359" ht="15" customHeight="1">
      <c r="A359" t="inlineStr">
        <is>
          <t>A 57867-2024</t>
        </is>
      </c>
      <c r="B359" s="1" t="n">
        <v>45631.43864583333</v>
      </c>
      <c r="C359" s="1" t="n">
        <v>45985</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29138-2022</t>
        </is>
      </c>
      <c r="B360" s="1" t="n">
        <v>44750</v>
      </c>
      <c r="C360" s="1" t="n">
        <v>45985</v>
      </c>
      <c r="D360" t="inlineStr">
        <is>
          <t>ÖREBRO LÄN</t>
        </is>
      </c>
      <c r="E360" t="inlineStr">
        <is>
          <t>ÖREBRO</t>
        </is>
      </c>
      <c r="G360" t="n">
        <v>3.3</v>
      </c>
      <c r="H360" t="n">
        <v>0</v>
      </c>
      <c r="I360" t="n">
        <v>0</v>
      </c>
      <c r="J360" t="n">
        <v>0</v>
      </c>
      <c r="K360" t="n">
        <v>0</v>
      </c>
      <c r="L360" t="n">
        <v>0</v>
      </c>
      <c r="M360" t="n">
        <v>0</v>
      </c>
      <c r="N360" t="n">
        <v>0</v>
      </c>
      <c r="O360" t="n">
        <v>0</v>
      </c>
      <c r="P360" t="n">
        <v>0</v>
      </c>
      <c r="Q360" t="n">
        <v>0</v>
      </c>
      <c r="R360" s="2" t="inlineStr"/>
    </row>
    <row r="361" ht="15" customHeight="1">
      <c r="A361" t="inlineStr">
        <is>
          <t>A 29143-2022</t>
        </is>
      </c>
      <c r="B361" s="1" t="n">
        <v>44750</v>
      </c>
      <c r="C361" s="1" t="n">
        <v>45985</v>
      </c>
      <c r="D361" t="inlineStr">
        <is>
          <t>ÖREBRO LÄN</t>
        </is>
      </c>
      <c r="E361" t="inlineStr">
        <is>
          <t>ÖREBRO</t>
        </is>
      </c>
      <c r="G361" t="n">
        <v>5.6</v>
      </c>
      <c r="H361" t="n">
        <v>0</v>
      </c>
      <c r="I361" t="n">
        <v>0</v>
      </c>
      <c r="J361" t="n">
        <v>0</v>
      </c>
      <c r="K361" t="n">
        <v>0</v>
      </c>
      <c r="L361" t="n">
        <v>0</v>
      </c>
      <c r="M361" t="n">
        <v>0</v>
      </c>
      <c r="N361" t="n">
        <v>0</v>
      </c>
      <c r="O361" t="n">
        <v>0</v>
      </c>
      <c r="P361" t="n">
        <v>0</v>
      </c>
      <c r="Q361" t="n">
        <v>0</v>
      </c>
      <c r="R361" s="2" t="inlineStr"/>
    </row>
    <row r="362" ht="15" customHeight="1">
      <c r="A362" t="inlineStr">
        <is>
          <t>A 55888-2025</t>
        </is>
      </c>
      <c r="B362" s="1" t="n">
        <v>45973.37163194444</v>
      </c>
      <c r="C362" s="1" t="n">
        <v>45985</v>
      </c>
      <c r="D362" t="inlineStr">
        <is>
          <t>ÖREBRO LÄN</t>
        </is>
      </c>
      <c r="E362" t="inlineStr">
        <is>
          <t>ÖREBRO</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45985</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29554-2025</t>
        </is>
      </c>
      <c r="B364" s="1" t="n">
        <v>45825</v>
      </c>
      <c r="C364" s="1" t="n">
        <v>45985</v>
      </c>
      <c r="D364" t="inlineStr">
        <is>
          <t>ÖREBRO LÄN</t>
        </is>
      </c>
      <c r="E364" t="inlineStr">
        <is>
          <t>ÖREBRO</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3120-2022</t>
        </is>
      </c>
      <c r="B365" s="1" t="n">
        <v>44582</v>
      </c>
      <c r="C365" s="1" t="n">
        <v>45985</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58606-2024</t>
        </is>
      </c>
      <c r="B366" s="1" t="n">
        <v>45635.54747685185</v>
      </c>
      <c r="C366" s="1" t="n">
        <v>45985</v>
      </c>
      <c r="D366" t="inlineStr">
        <is>
          <t>ÖREBRO LÄN</t>
        </is>
      </c>
      <c r="E366" t="inlineStr">
        <is>
          <t>ÖREBRO</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11663-2024</t>
        </is>
      </c>
      <c r="B367" s="1" t="n">
        <v>45373</v>
      </c>
      <c r="C367" s="1" t="n">
        <v>45985</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26101-2022</t>
        </is>
      </c>
      <c r="B368" s="1" t="n">
        <v>44734</v>
      </c>
      <c r="C368" s="1" t="n">
        <v>45985</v>
      </c>
      <c r="D368" t="inlineStr">
        <is>
          <t>ÖREBRO LÄN</t>
        </is>
      </c>
      <c r="E368" t="inlineStr">
        <is>
          <t>ÖREBRO</t>
        </is>
      </c>
      <c r="G368" t="n">
        <v>15.8</v>
      </c>
      <c r="H368" t="n">
        <v>0</v>
      </c>
      <c r="I368" t="n">
        <v>0</v>
      </c>
      <c r="J368" t="n">
        <v>0</v>
      </c>
      <c r="K368" t="n">
        <v>0</v>
      </c>
      <c r="L368" t="n">
        <v>0</v>
      </c>
      <c r="M368" t="n">
        <v>0</v>
      </c>
      <c r="N368" t="n">
        <v>0</v>
      </c>
      <c r="O368" t="n">
        <v>0</v>
      </c>
      <c r="P368" t="n">
        <v>0</v>
      </c>
      <c r="Q368" t="n">
        <v>0</v>
      </c>
      <c r="R368" s="2" t="inlineStr"/>
    </row>
    <row r="369" ht="15" customHeight="1">
      <c r="A369" t="inlineStr">
        <is>
          <t>A 58486-2024</t>
        </is>
      </c>
      <c r="B369" s="1" t="n">
        <v>45635</v>
      </c>
      <c r="C369" s="1" t="n">
        <v>45985</v>
      </c>
      <c r="D369" t="inlineStr">
        <is>
          <t>ÖREBRO LÄN</t>
        </is>
      </c>
      <c r="E369" t="inlineStr">
        <is>
          <t>ÖREBRO</t>
        </is>
      </c>
      <c r="G369" t="n">
        <v>1.7</v>
      </c>
      <c r="H369" t="n">
        <v>0</v>
      </c>
      <c r="I369" t="n">
        <v>0</v>
      </c>
      <c r="J369" t="n">
        <v>0</v>
      </c>
      <c r="K369" t="n">
        <v>0</v>
      </c>
      <c r="L369" t="n">
        <v>0</v>
      </c>
      <c r="M369" t="n">
        <v>0</v>
      </c>
      <c r="N369" t="n">
        <v>0</v>
      </c>
      <c r="O369" t="n">
        <v>0</v>
      </c>
      <c r="P369" t="n">
        <v>0</v>
      </c>
      <c r="Q369" t="n">
        <v>0</v>
      </c>
      <c r="R369" s="2" t="inlineStr"/>
    </row>
    <row r="370" ht="15" customHeight="1">
      <c r="A370" t="inlineStr">
        <is>
          <t>A 14053-2025</t>
        </is>
      </c>
      <c r="B370" s="1" t="n">
        <v>45739</v>
      </c>
      <c r="C370" s="1" t="n">
        <v>45985</v>
      </c>
      <c r="D370" t="inlineStr">
        <is>
          <t>ÖREBRO LÄN</t>
        </is>
      </c>
      <c r="E370" t="inlineStr">
        <is>
          <t>ÖREBRO</t>
        </is>
      </c>
      <c r="G370" t="n">
        <v>3.5</v>
      </c>
      <c r="H370" t="n">
        <v>0</v>
      </c>
      <c r="I370" t="n">
        <v>0</v>
      </c>
      <c r="J370" t="n">
        <v>0</v>
      </c>
      <c r="K370" t="n">
        <v>0</v>
      </c>
      <c r="L370" t="n">
        <v>0</v>
      </c>
      <c r="M370" t="n">
        <v>0</v>
      </c>
      <c r="N370" t="n">
        <v>0</v>
      </c>
      <c r="O370" t="n">
        <v>0</v>
      </c>
      <c r="P370" t="n">
        <v>0</v>
      </c>
      <c r="Q370" t="n">
        <v>0</v>
      </c>
      <c r="R370" s="2" t="inlineStr"/>
    </row>
    <row r="371" ht="15" customHeight="1">
      <c r="A371" t="inlineStr">
        <is>
          <t>A 35345-2024</t>
        </is>
      </c>
      <c r="B371" s="1" t="n">
        <v>45530</v>
      </c>
      <c r="C371" s="1" t="n">
        <v>45985</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123-2025</t>
        </is>
      </c>
      <c r="B372" s="1" t="n">
        <v>45659.54851851852</v>
      </c>
      <c r="C372" s="1" t="n">
        <v>45985</v>
      </c>
      <c r="D372" t="inlineStr">
        <is>
          <t>ÖREBRO LÄN</t>
        </is>
      </c>
      <c r="E372" t="inlineStr">
        <is>
          <t>ÖREBRO</t>
        </is>
      </c>
      <c r="G372" t="n">
        <v>1.6</v>
      </c>
      <c r="H372" t="n">
        <v>0</v>
      </c>
      <c r="I372" t="n">
        <v>0</v>
      </c>
      <c r="J372" t="n">
        <v>0</v>
      </c>
      <c r="K372" t="n">
        <v>0</v>
      </c>
      <c r="L372" t="n">
        <v>0</v>
      </c>
      <c r="M372" t="n">
        <v>0</v>
      </c>
      <c r="N372" t="n">
        <v>0</v>
      </c>
      <c r="O372" t="n">
        <v>0</v>
      </c>
      <c r="P372" t="n">
        <v>0</v>
      </c>
      <c r="Q372" t="n">
        <v>0</v>
      </c>
      <c r="R372" s="2" t="inlineStr"/>
    </row>
    <row r="373" ht="15" customHeight="1">
      <c r="A373" t="inlineStr">
        <is>
          <t>A 48454-2025</t>
        </is>
      </c>
      <c r="B373" s="1" t="n">
        <v>45935.80164351852</v>
      </c>
      <c r="C373" s="1" t="n">
        <v>45985</v>
      </c>
      <c r="D373" t="inlineStr">
        <is>
          <t>ÖREBRO LÄN</t>
        </is>
      </c>
      <c r="E373" t="inlineStr">
        <is>
          <t>ÖREBRO</t>
        </is>
      </c>
      <c r="F373" t="inlineStr">
        <is>
          <t>Övriga Aktiebolag</t>
        </is>
      </c>
      <c r="G373" t="n">
        <v>18.1</v>
      </c>
      <c r="H373" t="n">
        <v>0</v>
      </c>
      <c r="I373" t="n">
        <v>0</v>
      </c>
      <c r="J373" t="n">
        <v>0</v>
      </c>
      <c r="K373" t="n">
        <v>0</v>
      </c>
      <c r="L373" t="n">
        <v>0</v>
      </c>
      <c r="M373" t="n">
        <v>0</v>
      </c>
      <c r="N373" t="n">
        <v>0</v>
      </c>
      <c r="O373" t="n">
        <v>0</v>
      </c>
      <c r="P373" t="n">
        <v>0</v>
      </c>
      <c r="Q373" t="n">
        <v>0</v>
      </c>
      <c r="R373" s="2" t="inlineStr"/>
    </row>
    <row r="374" ht="15" customHeight="1">
      <c r="A374" t="inlineStr">
        <is>
          <t>A 30472-2022</t>
        </is>
      </c>
      <c r="B374" s="1" t="n">
        <v>44761.70467592592</v>
      </c>
      <c r="C374" s="1" t="n">
        <v>45985</v>
      </c>
      <c r="D374" t="inlineStr">
        <is>
          <t>ÖREBRO LÄN</t>
        </is>
      </c>
      <c r="E374" t="inlineStr">
        <is>
          <t>ÖREBRO</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6869-2025</t>
        </is>
      </c>
      <c r="B375" s="1" t="n">
        <v>45700</v>
      </c>
      <c r="C375" s="1" t="n">
        <v>45985</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57869-2024</t>
        </is>
      </c>
      <c r="B376" s="1" t="n">
        <v>45631.44207175926</v>
      </c>
      <c r="C376" s="1" t="n">
        <v>45985</v>
      </c>
      <c r="D376" t="inlineStr">
        <is>
          <t>ÖREBRO LÄN</t>
        </is>
      </c>
      <c r="E376" t="inlineStr">
        <is>
          <t>ÖREBRO</t>
        </is>
      </c>
      <c r="G376" t="n">
        <v>1.4</v>
      </c>
      <c r="H376" t="n">
        <v>0</v>
      </c>
      <c r="I376" t="n">
        <v>0</v>
      </c>
      <c r="J376" t="n">
        <v>0</v>
      </c>
      <c r="K376" t="n">
        <v>0</v>
      </c>
      <c r="L376" t="n">
        <v>0</v>
      </c>
      <c r="M376" t="n">
        <v>0</v>
      </c>
      <c r="N376" t="n">
        <v>0</v>
      </c>
      <c r="O376" t="n">
        <v>0</v>
      </c>
      <c r="P376" t="n">
        <v>0</v>
      </c>
      <c r="Q376" t="n">
        <v>0</v>
      </c>
      <c r="R376" s="2" t="inlineStr"/>
    </row>
    <row r="377" ht="15" customHeight="1">
      <c r="A377" t="inlineStr">
        <is>
          <t>A 37277-2022</t>
        </is>
      </c>
      <c r="B377" s="1" t="n">
        <v>44807.49150462963</v>
      </c>
      <c r="C377" s="1" t="n">
        <v>45985</v>
      </c>
      <c r="D377" t="inlineStr">
        <is>
          <t>ÖREBRO LÄN</t>
        </is>
      </c>
      <c r="E377" t="inlineStr">
        <is>
          <t>ÖREBRO</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27956-2023</t>
        </is>
      </c>
      <c r="B378" s="1" t="n">
        <v>45098</v>
      </c>
      <c r="C378" s="1" t="n">
        <v>45985</v>
      </c>
      <c r="D378" t="inlineStr">
        <is>
          <t>ÖREBRO LÄN</t>
        </is>
      </c>
      <c r="E378" t="inlineStr">
        <is>
          <t>ÖREBRO</t>
        </is>
      </c>
      <c r="G378" t="n">
        <v>0.8</v>
      </c>
      <c r="H378" t="n">
        <v>0</v>
      </c>
      <c r="I378" t="n">
        <v>0</v>
      </c>
      <c r="J378" t="n">
        <v>0</v>
      </c>
      <c r="K378" t="n">
        <v>0</v>
      </c>
      <c r="L378" t="n">
        <v>0</v>
      </c>
      <c r="M378" t="n">
        <v>0</v>
      </c>
      <c r="N378" t="n">
        <v>0</v>
      </c>
      <c r="O378" t="n">
        <v>0</v>
      </c>
      <c r="P378" t="n">
        <v>0</v>
      </c>
      <c r="Q378" t="n">
        <v>0</v>
      </c>
      <c r="R378" s="2" t="inlineStr"/>
    </row>
    <row r="379" ht="15" customHeight="1">
      <c r="A379" t="inlineStr">
        <is>
          <t>A 51331-2023</t>
        </is>
      </c>
      <c r="B379" s="1" t="n">
        <v>45219</v>
      </c>
      <c r="C379" s="1" t="n">
        <v>45985</v>
      </c>
      <c r="D379" t="inlineStr">
        <is>
          <t>ÖREBRO LÄN</t>
        </is>
      </c>
      <c r="E379" t="inlineStr">
        <is>
          <t>ÖREBRO</t>
        </is>
      </c>
      <c r="F379" t="inlineStr">
        <is>
          <t>Kommuner</t>
        </is>
      </c>
      <c r="G379" t="n">
        <v>1.3</v>
      </c>
      <c r="H379" t="n">
        <v>0</v>
      </c>
      <c r="I379" t="n">
        <v>0</v>
      </c>
      <c r="J379" t="n">
        <v>0</v>
      </c>
      <c r="K379" t="n">
        <v>0</v>
      </c>
      <c r="L379" t="n">
        <v>0</v>
      </c>
      <c r="M379" t="n">
        <v>0</v>
      </c>
      <c r="N379" t="n">
        <v>0</v>
      </c>
      <c r="O379" t="n">
        <v>0</v>
      </c>
      <c r="P379" t="n">
        <v>0</v>
      </c>
      <c r="Q379" t="n">
        <v>0</v>
      </c>
      <c r="R379" s="2" t="inlineStr"/>
    </row>
    <row r="380" ht="15" customHeight="1">
      <c r="A380" t="inlineStr">
        <is>
          <t>A 66799-2020</t>
        </is>
      </c>
      <c r="B380" s="1" t="n">
        <v>44179</v>
      </c>
      <c r="C380" s="1" t="n">
        <v>45985</v>
      </c>
      <c r="D380" t="inlineStr">
        <is>
          <t>ÖREBRO LÄN</t>
        </is>
      </c>
      <c r="E380" t="inlineStr">
        <is>
          <t>ÖREBRO</t>
        </is>
      </c>
      <c r="G380" t="n">
        <v>5.2</v>
      </c>
      <c r="H380" t="n">
        <v>0</v>
      </c>
      <c r="I380" t="n">
        <v>0</v>
      </c>
      <c r="J380" t="n">
        <v>0</v>
      </c>
      <c r="K380" t="n">
        <v>0</v>
      </c>
      <c r="L380" t="n">
        <v>0</v>
      </c>
      <c r="M380" t="n">
        <v>0</v>
      </c>
      <c r="N380" t="n">
        <v>0</v>
      </c>
      <c r="O380" t="n">
        <v>0</v>
      </c>
      <c r="P380" t="n">
        <v>0</v>
      </c>
      <c r="Q380" t="n">
        <v>0</v>
      </c>
      <c r="R380" s="2" t="inlineStr"/>
    </row>
    <row r="381" ht="15" customHeight="1">
      <c r="A381" t="inlineStr">
        <is>
          <t>A 40588-2021</t>
        </is>
      </c>
      <c r="B381" s="1" t="n">
        <v>44420</v>
      </c>
      <c r="C381" s="1" t="n">
        <v>45985</v>
      </c>
      <c r="D381" t="inlineStr">
        <is>
          <t>ÖREBRO LÄN</t>
        </is>
      </c>
      <c r="E381" t="inlineStr">
        <is>
          <t>ÖREBRO</t>
        </is>
      </c>
      <c r="G381" t="n">
        <v>1.1</v>
      </c>
      <c r="H381" t="n">
        <v>0</v>
      </c>
      <c r="I381" t="n">
        <v>0</v>
      </c>
      <c r="J381" t="n">
        <v>0</v>
      </c>
      <c r="K381" t="n">
        <v>0</v>
      </c>
      <c r="L381" t="n">
        <v>0</v>
      </c>
      <c r="M381" t="n">
        <v>0</v>
      </c>
      <c r="N381" t="n">
        <v>0</v>
      </c>
      <c r="O381" t="n">
        <v>0</v>
      </c>
      <c r="P381" t="n">
        <v>0</v>
      </c>
      <c r="Q381" t="n">
        <v>0</v>
      </c>
      <c r="R381" s="2" t="inlineStr"/>
    </row>
    <row r="382" ht="15" customHeight="1">
      <c r="A382" t="inlineStr">
        <is>
          <t>A 38057-2025</t>
        </is>
      </c>
      <c r="B382" s="1" t="n">
        <v>45882.42570601852</v>
      </c>
      <c r="C382" s="1" t="n">
        <v>45985</v>
      </c>
      <c r="D382" t="inlineStr">
        <is>
          <t>ÖREBRO LÄN</t>
        </is>
      </c>
      <c r="E382" t="inlineStr">
        <is>
          <t>ÖREBRO</t>
        </is>
      </c>
      <c r="G382" t="n">
        <v>3</v>
      </c>
      <c r="H382" t="n">
        <v>0</v>
      </c>
      <c r="I382" t="n">
        <v>0</v>
      </c>
      <c r="J382" t="n">
        <v>0</v>
      </c>
      <c r="K382" t="n">
        <v>0</v>
      </c>
      <c r="L382" t="n">
        <v>0</v>
      </c>
      <c r="M382" t="n">
        <v>0</v>
      </c>
      <c r="N382" t="n">
        <v>0</v>
      </c>
      <c r="O382" t="n">
        <v>0</v>
      </c>
      <c r="P382" t="n">
        <v>0</v>
      </c>
      <c r="Q382" t="n">
        <v>0</v>
      </c>
      <c r="R382" s="2" t="inlineStr"/>
    </row>
    <row r="383" ht="15" customHeight="1">
      <c r="A383" t="inlineStr">
        <is>
          <t>A 40231-2022</t>
        </is>
      </c>
      <c r="B383" s="1" t="n">
        <v>44820</v>
      </c>
      <c r="C383" s="1" t="n">
        <v>45985</v>
      </c>
      <c r="D383" t="inlineStr">
        <is>
          <t>ÖREBRO LÄN</t>
        </is>
      </c>
      <c r="E383" t="inlineStr">
        <is>
          <t>ÖREBRO</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4284-2025</t>
        </is>
      </c>
      <c r="B384" s="1" t="n">
        <v>45685</v>
      </c>
      <c r="C384" s="1" t="n">
        <v>45985</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8331-2021</t>
        </is>
      </c>
      <c r="B385" s="1" t="n">
        <v>44244</v>
      </c>
      <c r="C385" s="1" t="n">
        <v>45985</v>
      </c>
      <c r="D385" t="inlineStr">
        <is>
          <t>ÖREBRO LÄN</t>
        </is>
      </c>
      <c r="E385" t="inlineStr">
        <is>
          <t>ÖREBRO</t>
        </is>
      </c>
      <c r="G385" t="n">
        <v>9.1</v>
      </c>
      <c r="H385" t="n">
        <v>0</v>
      </c>
      <c r="I385" t="n">
        <v>0</v>
      </c>
      <c r="J385" t="n">
        <v>0</v>
      </c>
      <c r="K385" t="n">
        <v>0</v>
      </c>
      <c r="L385" t="n">
        <v>0</v>
      </c>
      <c r="M385" t="n">
        <v>0</v>
      </c>
      <c r="N385" t="n">
        <v>0</v>
      </c>
      <c r="O385" t="n">
        <v>0</v>
      </c>
      <c r="P385" t="n">
        <v>0</v>
      </c>
      <c r="Q385" t="n">
        <v>0</v>
      </c>
      <c r="R385" s="2" t="inlineStr"/>
    </row>
    <row r="386" ht="15" customHeight="1">
      <c r="A386" t="inlineStr">
        <is>
          <t>A 8332-2021</t>
        </is>
      </c>
      <c r="B386" s="1" t="n">
        <v>44244</v>
      </c>
      <c r="C386" s="1" t="n">
        <v>45985</v>
      </c>
      <c r="D386" t="inlineStr">
        <is>
          <t>ÖREBRO LÄN</t>
        </is>
      </c>
      <c r="E386" t="inlineStr">
        <is>
          <t>ÖREBRO</t>
        </is>
      </c>
      <c r="G386" t="n">
        <v>11</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45985</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57537-2025</t>
        </is>
      </c>
      <c r="B388" s="1" t="n">
        <v>45980.6446875</v>
      </c>
      <c r="C388" s="1" t="n">
        <v>45985</v>
      </c>
      <c r="D388" t="inlineStr">
        <is>
          <t>ÖREBRO LÄN</t>
        </is>
      </c>
      <c r="E388" t="inlineStr">
        <is>
          <t>ÖREBRO</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42623-2022</t>
        </is>
      </c>
      <c r="B389" s="1" t="n">
        <v>44831</v>
      </c>
      <c r="C389" s="1" t="n">
        <v>45985</v>
      </c>
      <c r="D389" t="inlineStr">
        <is>
          <t>ÖREBRO LÄN</t>
        </is>
      </c>
      <c r="E389" t="inlineStr">
        <is>
          <t>ÖREBRO</t>
        </is>
      </c>
      <c r="G389" t="n">
        <v>3.6</v>
      </c>
      <c r="H389" t="n">
        <v>0</v>
      </c>
      <c r="I389" t="n">
        <v>0</v>
      </c>
      <c r="J389" t="n">
        <v>0</v>
      </c>
      <c r="K389" t="n">
        <v>0</v>
      </c>
      <c r="L389" t="n">
        <v>0</v>
      </c>
      <c r="M389" t="n">
        <v>0</v>
      </c>
      <c r="N389" t="n">
        <v>0</v>
      </c>
      <c r="O389" t="n">
        <v>0</v>
      </c>
      <c r="P389" t="n">
        <v>0</v>
      </c>
      <c r="Q389" t="n">
        <v>0</v>
      </c>
      <c r="R389" s="2" t="inlineStr"/>
    </row>
    <row r="390" ht="15" customHeight="1">
      <c r="A390" t="inlineStr">
        <is>
          <t>A 3763-2025</t>
        </is>
      </c>
      <c r="B390" s="1" t="n">
        <v>45681</v>
      </c>
      <c r="C390" s="1" t="n">
        <v>45985</v>
      </c>
      <c r="D390" t="inlineStr">
        <is>
          <t>ÖREBRO LÄN</t>
        </is>
      </c>
      <c r="E390" t="inlineStr">
        <is>
          <t>ÖREBRO</t>
        </is>
      </c>
      <c r="G390" t="n">
        <v>10.1</v>
      </c>
      <c r="H390" t="n">
        <v>0</v>
      </c>
      <c r="I390" t="n">
        <v>0</v>
      </c>
      <c r="J390" t="n">
        <v>0</v>
      </c>
      <c r="K390" t="n">
        <v>0</v>
      </c>
      <c r="L390" t="n">
        <v>0</v>
      </c>
      <c r="M390" t="n">
        <v>0</v>
      </c>
      <c r="N390" t="n">
        <v>0</v>
      </c>
      <c r="O390" t="n">
        <v>0</v>
      </c>
      <c r="P390" t="n">
        <v>0</v>
      </c>
      <c r="Q390" t="n">
        <v>0</v>
      </c>
      <c r="R390" s="2" t="inlineStr"/>
    </row>
    <row r="391" ht="15" customHeight="1">
      <c r="A391" t="inlineStr">
        <is>
          <t>A 10829-2023</t>
        </is>
      </c>
      <c r="B391" s="1" t="n">
        <v>44990.88512731482</v>
      </c>
      <c r="C391" s="1" t="n">
        <v>45985</v>
      </c>
      <c r="D391" t="inlineStr">
        <is>
          <t>ÖREBRO LÄN</t>
        </is>
      </c>
      <c r="E391" t="inlineStr">
        <is>
          <t>ÖREBRO</t>
        </is>
      </c>
      <c r="G391" t="n">
        <v>4.4</v>
      </c>
      <c r="H391" t="n">
        <v>0</v>
      </c>
      <c r="I391" t="n">
        <v>0</v>
      </c>
      <c r="J391" t="n">
        <v>0</v>
      </c>
      <c r="K391" t="n">
        <v>0</v>
      </c>
      <c r="L391" t="n">
        <v>0</v>
      </c>
      <c r="M391" t="n">
        <v>0</v>
      </c>
      <c r="N391" t="n">
        <v>0</v>
      </c>
      <c r="O391" t="n">
        <v>0</v>
      </c>
      <c r="P391" t="n">
        <v>0</v>
      </c>
      <c r="Q391" t="n">
        <v>0</v>
      </c>
      <c r="R391" s="2" t="inlineStr"/>
    </row>
    <row r="392" ht="15" customHeight="1">
      <c r="A392" t="inlineStr">
        <is>
          <t>A 10831-2023</t>
        </is>
      </c>
      <c r="B392" s="1" t="n">
        <v>44990.90357638889</v>
      </c>
      <c r="C392" s="1" t="n">
        <v>45985</v>
      </c>
      <c r="D392" t="inlineStr">
        <is>
          <t>ÖREBRO LÄN</t>
        </is>
      </c>
      <c r="E392" t="inlineStr">
        <is>
          <t>ÖREBRO</t>
        </is>
      </c>
      <c r="G392" t="n">
        <v>1.9</v>
      </c>
      <c r="H392" t="n">
        <v>0</v>
      </c>
      <c r="I392" t="n">
        <v>0</v>
      </c>
      <c r="J392" t="n">
        <v>0</v>
      </c>
      <c r="K392" t="n">
        <v>0</v>
      </c>
      <c r="L392" t="n">
        <v>0</v>
      </c>
      <c r="M392" t="n">
        <v>0</v>
      </c>
      <c r="N392" t="n">
        <v>0</v>
      </c>
      <c r="O392" t="n">
        <v>0</v>
      </c>
      <c r="P392" t="n">
        <v>0</v>
      </c>
      <c r="Q392" t="n">
        <v>0</v>
      </c>
      <c r="R392" s="2" t="inlineStr"/>
    </row>
    <row r="393" ht="15" customHeight="1">
      <c r="A393" t="inlineStr">
        <is>
          <t>A 16165-2023</t>
        </is>
      </c>
      <c r="B393" s="1" t="n">
        <v>45027</v>
      </c>
      <c r="C393" s="1" t="n">
        <v>45985</v>
      </c>
      <c r="D393" t="inlineStr">
        <is>
          <t>ÖREBRO LÄN</t>
        </is>
      </c>
      <c r="E393" t="inlineStr">
        <is>
          <t>ÖREBRO</t>
        </is>
      </c>
      <c r="G393" t="n">
        <v>11</v>
      </c>
      <c r="H393" t="n">
        <v>0</v>
      </c>
      <c r="I393" t="n">
        <v>0</v>
      </c>
      <c r="J393" t="n">
        <v>0</v>
      </c>
      <c r="K393" t="n">
        <v>0</v>
      </c>
      <c r="L393" t="n">
        <v>0</v>
      </c>
      <c r="M393" t="n">
        <v>0</v>
      </c>
      <c r="N393" t="n">
        <v>0</v>
      </c>
      <c r="O393" t="n">
        <v>0</v>
      </c>
      <c r="P393" t="n">
        <v>0</v>
      </c>
      <c r="Q393" t="n">
        <v>0</v>
      </c>
      <c r="R393" s="2" t="inlineStr"/>
    </row>
    <row r="394" ht="15" customHeight="1">
      <c r="A394" t="inlineStr">
        <is>
          <t>A 57247-2022</t>
        </is>
      </c>
      <c r="B394" s="1" t="n">
        <v>44895.73065972222</v>
      </c>
      <c r="C394" s="1" t="n">
        <v>45985</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46757-2021</t>
        </is>
      </c>
      <c r="B395" s="1" t="n">
        <v>44445</v>
      </c>
      <c r="C395" s="1" t="n">
        <v>45985</v>
      </c>
      <c r="D395" t="inlineStr">
        <is>
          <t>ÖREBRO LÄN</t>
        </is>
      </c>
      <c r="E395" t="inlineStr">
        <is>
          <t>ÖREBRO</t>
        </is>
      </c>
      <c r="G395" t="n">
        <v>5.6</v>
      </c>
      <c r="H395" t="n">
        <v>0</v>
      </c>
      <c r="I395" t="n">
        <v>0</v>
      </c>
      <c r="J395" t="n">
        <v>0</v>
      </c>
      <c r="K395" t="n">
        <v>0</v>
      </c>
      <c r="L395" t="n">
        <v>0</v>
      </c>
      <c r="M395" t="n">
        <v>0</v>
      </c>
      <c r="N395" t="n">
        <v>0</v>
      </c>
      <c r="O395" t="n">
        <v>0</v>
      </c>
      <c r="P395" t="n">
        <v>0</v>
      </c>
      <c r="Q395" t="n">
        <v>0</v>
      </c>
      <c r="R395" s="2" t="inlineStr"/>
    </row>
    <row r="396" ht="15" customHeight="1">
      <c r="A396" t="inlineStr">
        <is>
          <t>A 30374-2023</t>
        </is>
      </c>
      <c r="B396" s="1" t="n">
        <v>45111</v>
      </c>
      <c r="C396" s="1" t="n">
        <v>45985</v>
      </c>
      <c r="D396" t="inlineStr">
        <is>
          <t>ÖREBRO LÄN</t>
        </is>
      </c>
      <c r="E396" t="inlineStr">
        <is>
          <t>ÖREBRO</t>
        </is>
      </c>
      <c r="F396" t="inlineStr">
        <is>
          <t>Övriga Aktiebolag</t>
        </is>
      </c>
      <c r="G396" t="n">
        <v>2.3</v>
      </c>
      <c r="H396" t="n">
        <v>0</v>
      </c>
      <c r="I396" t="n">
        <v>0</v>
      </c>
      <c r="J396" t="n">
        <v>0</v>
      </c>
      <c r="K396" t="n">
        <v>0</v>
      </c>
      <c r="L396" t="n">
        <v>0</v>
      </c>
      <c r="M396" t="n">
        <v>0</v>
      </c>
      <c r="N396" t="n">
        <v>0</v>
      </c>
      <c r="O396" t="n">
        <v>0</v>
      </c>
      <c r="P396" t="n">
        <v>0</v>
      </c>
      <c r="Q396" t="n">
        <v>0</v>
      </c>
      <c r="R396" s="2" t="inlineStr"/>
    </row>
    <row r="397" ht="15" customHeight="1">
      <c r="A397" t="inlineStr">
        <is>
          <t>A 54678-2023</t>
        </is>
      </c>
      <c r="B397" s="1" t="n">
        <v>45235</v>
      </c>
      <c r="C397" s="1" t="n">
        <v>45985</v>
      </c>
      <c r="D397" t="inlineStr">
        <is>
          <t>ÖREBRO LÄN</t>
        </is>
      </c>
      <c r="E397" t="inlineStr">
        <is>
          <t>ÖREBRO</t>
        </is>
      </c>
      <c r="G397" t="n">
        <v>1.7</v>
      </c>
      <c r="H397" t="n">
        <v>0</v>
      </c>
      <c r="I397" t="n">
        <v>0</v>
      </c>
      <c r="J397" t="n">
        <v>0</v>
      </c>
      <c r="K397" t="n">
        <v>0</v>
      </c>
      <c r="L397" t="n">
        <v>0</v>
      </c>
      <c r="M397" t="n">
        <v>0</v>
      </c>
      <c r="N397" t="n">
        <v>0</v>
      </c>
      <c r="O397" t="n">
        <v>0</v>
      </c>
      <c r="P397" t="n">
        <v>0</v>
      </c>
      <c r="Q397" t="n">
        <v>0</v>
      </c>
      <c r="R397" s="2" t="inlineStr"/>
    </row>
    <row r="398" ht="15" customHeight="1">
      <c r="A398" t="inlineStr">
        <is>
          <t>A 58219-2024</t>
        </is>
      </c>
      <c r="B398" s="1" t="n">
        <v>45632</v>
      </c>
      <c r="C398" s="1" t="n">
        <v>45985</v>
      </c>
      <c r="D398" t="inlineStr">
        <is>
          <t>ÖREBRO LÄN</t>
        </is>
      </c>
      <c r="E398" t="inlineStr">
        <is>
          <t>ÖREBRO</t>
        </is>
      </c>
      <c r="G398" t="n">
        <v>1.1</v>
      </c>
      <c r="H398" t="n">
        <v>0</v>
      </c>
      <c r="I398" t="n">
        <v>0</v>
      </c>
      <c r="J398" t="n">
        <v>0</v>
      </c>
      <c r="K398" t="n">
        <v>0</v>
      </c>
      <c r="L398" t="n">
        <v>0</v>
      </c>
      <c r="M398" t="n">
        <v>0</v>
      </c>
      <c r="N398" t="n">
        <v>0</v>
      </c>
      <c r="O398" t="n">
        <v>0</v>
      </c>
      <c r="P398" t="n">
        <v>0</v>
      </c>
      <c r="Q398" t="n">
        <v>0</v>
      </c>
      <c r="R398" s="2" t="inlineStr"/>
    </row>
    <row r="399" ht="15" customHeight="1">
      <c r="A399" t="inlineStr">
        <is>
          <t>A 42518-2021</t>
        </is>
      </c>
      <c r="B399" s="1" t="n">
        <v>44427.81496527778</v>
      </c>
      <c r="C399" s="1" t="n">
        <v>45985</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14545-2023</t>
        </is>
      </c>
      <c r="B400" s="1" t="n">
        <v>45013.34895833334</v>
      </c>
      <c r="C400" s="1" t="n">
        <v>45985</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27112-2023</t>
        </is>
      </c>
      <c r="B401" s="1" t="n">
        <v>45096</v>
      </c>
      <c r="C401" s="1" t="n">
        <v>45985</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14524-2025</t>
        </is>
      </c>
      <c r="B402" s="1" t="n">
        <v>45741.64815972222</v>
      </c>
      <c r="C402" s="1" t="n">
        <v>45985</v>
      </c>
      <c r="D402" t="inlineStr">
        <is>
          <t>ÖREBRO LÄN</t>
        </is>
      </c>
      <c r="E402" t="inlineStr">
        <is>
          <t>ÖREBRO</t>
        </is>
      </c>
      <c r="G402" t="n">
        <v>2.8</v>
      </c>
      <c r="H402" t="n">
        <v>0</v>
      </c>
      <c r="I402" t="n">
        <v>0</v>
      </c>
      <c r="J402" t="n">
        <v>0</v>
      </c>
      <c r="K402" t="n">
        <v>0</v>
      </c>
      <c r="L402" t="n">
        <v>0</v>
      </c>
      <c r="M402" t="n">
        <v>0</v>
      </c>
      <c r="N402" t="n">
        <v>0</v>
      </c>
      <c r="O402" t="n">
        <v>0</v>
      </c>
      <c r="P402" t="n">
        <v>0</v>
      </c>
      <c r="Q402" t="n">
        <v>0</v>
      </c>
      <c r="R402" s="2" t="inlineStr"/>
    </row>
    <row r="403" ht="15" customHeight="1">
      <c r="A403" t="inlineStr">
        <is>
          <t>A 46834-2022</t>
        </is>
      </c>
      <c r="B403" s="1" t="n">
        <v>44851</v>
      </c>
      <c r="C403" s="1" t="n">
        <v>45985</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57638-2022</t>
        </is>
      </c>
      <c r="B404" s="1" t="n">
        <v>44897</v>
      </c>
      <c r="C404" s="1" t="n">
        <v>45985</v>
      </c>
      <c r="D404" t="inlineStr">
        <is>
          <t>ÖREBRO LÄN</t>
        </is>
      </c>
      <c r="E404" t="inlineStr">
        <is>
          <t>ÖREBRO</t>
        </is>
      </c>
      <c r="G404" t="n">
        <v>1.6</v>
      </c>
      <c r="H404" t="n">
        <v>0</v>
      </c>
      <c r="I404" t="n">
        <v>0</v>
      </c>
      <c r="J404" t="n">
        <v>0</v>
      </c>
      <c r="K404" t="n">
        <v>0</v>
      </c>
      <c r="L404" t="n">
        <v>0</v>
      </c>
      <c r="M404" t="n">
        <v>0</v>
      </c>
      <c r="N404" t="n">
        <v>0</v>
      </c>
      <c r="O404" t="n">
        <v>0</v>
      </c>
      <c r="P404" t="n">
        <v>0</v>
      </c>
      <c r="Q404" t="n">
        <v>0</v>
      </c>
      <c r="R404" s="2" t="inlineStr"/>
    </row>
    <row r="405" ht="15" customHeight="1">
      <c r="A405" t="inlineStr">
        <is>
          <t>A 2152-2023</t>
        </is>
      </c>
      <c r="B405" s="1" t="n">
        <v>44941.55056712963</v>
      </c>
      <c r="C405" s="1" t="n">
        <v>45985</v>
      </c>
      <c r="D405" t="inlineStr">
        <is>
          <t>ÖREBRO LÄN</t>
        </is>
      </c>
      <c r="E405" t="inlineStr">
        <is>
          <t>ÖREBRO</t>
        </is>
      </c>
      <c r="G405" t="n">
        <v>8</v>
      </c>
      <c r="H405" t="n">
        <v>0</v>
      </c>
      <c r="I405" t="n">
        <v>0</v>
      </c>
      <c r="J405" t="n">
        <v>0</v>
      </c>
      <c r="K405" t="n">
        <v>0</v>
      </c>
      <c r="L405" t="n">
        <v>0</v>
      </c>
      <c r="M405" t="n">
        <v>0</v>
      </c>
      <c r="N405" t="n">
        <v>0</v>
      </c>
      <c r="O405" t="n">
        <v>0</v>
      </c>
      <c r="P405" t="n">
        <v>0</v>
      </c>
      <c r="Q405" t="n">
        <v>0</v>
      </c>
      <c r="R405" s="2" t="inlineStr"/>
    </row>
    <row r="406" ht="15" customHeight="1">
      <c r="A406" t="inlineStr">
        <is>
          <t>A 55745-2023</t>
        </is>
      </c>
      <c r="B406" s="1" t="n">
        <v>45239.44811342593</v>
      </c>
      <c r="C406" s="1" t="n">
        <v>45985</v>
      </c>
      <c r="D406" t="inlineStr">
        <is>
          <t>ÖREBRO LÄN</t>
        </is>
      </c>
      <c r="E406" t="inlineStr">
        <is>
          <t>ÖREBRO</t>
        </is>
      </c>
      <c r="G406" t="n">
        <v>13.3</v>
      </c>
      <c r="H406" t="n">
        <v>0</v>
      </c>
      <c r="I406" t="n">
        <v>0</v>
      </c>
      <c r="J406" t="n">
        <v>0</v>
      </c>
      <c r="K406" t="n">
        <v>0</v>
      </c>
      <c r="L406" t="n">
        <v>0</v>
      </c>
      <c r="M406" t="n">
        <v>0</v>
      </c>
      <c r="N406" t="n">
        <v>0</v>
      </c>
      <c r="O406" t="n">
        <v>0</v>
      </c>
      <c r="P406" t="n">
        <v>0</v>
      </c>
      <c r="Q406" t="n">
        <v>0</v>
      </c>
      <c r="R406" s="2" t="inlineStr"/>
    </row>
    <row r="407" ht="15" customHeight="1">
      <c r="A407" t="inlineStr">
        <is>
          <t>A 71285-2021</t>
        </is>
      </c>
      <c r="B407" s="1" t="n">
        <v>44539.62236111111</v>
      </c>
      <c r="C407" s="1" t="n">
        <v>45985</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60289-2023</t>
        </is>
      </c>
      <c r="B408" s="1" t="n">
        <v>45257</v>
      </c>
      <c r="C408" s="1" t="n">
        <v>45985</v>
      </c>
      <c r="D408" t="inlineStr">
        <is>
          <t>ÖREBRO LÄN</t>
        </is>
      </c>
      <c r="E408" t="inlineStr">
        <is>
          <t>ÖREBRO</t>
        </is>
      </c>
      <c r="G408" t="n">
        <v>10.9</v>
      </c>
      <c r="H408" t="n">
        <v>0</v>
      </c>
      <c r="I408" t="n">
        <v>0</v>
      </c>
      <c r="J408" t="n">
        <v>0</v>
      </c>
      <c r="K408" t="n">
        <v>0</v>
      </c>
      <c r="L408" t="n">
        <v>0</v>
      </c>
      <c r="M408" t="n">
        <v>0</v>
      </c>
      <c r="N408" t="n">
        <v>0</v>
      </c>
      <c r="O408" t="n">
        <v>0</v>
      </c>
      <c r="P408" t="n">
        <v>0</v>
      </c>
      <c r="Q408" t="n">
        <v>0</v>
      </c>
      <c r="R408" s="2" t="inlineStr"/>
    </row>
    <row r="409" ht="15" customHeight="1">
      <c r="A409" t="inlineStr">
        <is>
          <t>A 12099-2023</t>
        </is>
      </c>
      <c r="B409" s="1" t="n">
        <v>44998.37043981482</v>
      </c>
      <c r="C409" s="1" t="n">
        <v>45985</v>
      </c>
      <c r="D409" t="inlineStr">
        <is>
          <t>ÖREBRO LÄN</t>
        </is>
      </c>
      <c r="E409" t="inlineStr">
        <is>
          <t>ÖREBRO</t>
        </is>
      </c>
      <c r="G409" t="n">
        <v>0.9</v>
      </c>
      <c r="H409" t="n">
        <v>0</v>
      </c>
      <c r="I409" t="n">
        <v>0</v>
      </c>
      <c r="J409" t="n">
        <v>0</v>
      </c>
      <c r="K409" t="n">
        <v>0</v>
      </c>
      <c r="L409" t="n">
        <v>0</v>
      </c>
      <c r="M409" t="n">
        <v>0</v>
      </c>
      <c r="N409" t="n">
        <v>0</v>
      </c>
      <c r="O409" t="n">
        <v>0</v>
      </c>
      <c r="P409" t="n">
        <v>0</v>
      </c>
      <c r="Q409" t="n">
        <v>0</v>
      </c>
      <c r="R409" s="2" t="inlineStr"/>
    </row>
    <row r="410" ht="15" customHeight="1">
      <c r="A410" t="inlineStr">
        <is>
          <t>A 58277-2022</t>
        </is>
      </c>
      <c r="B410" s="1" t="n">
        <v>44901.48108796297</v>
      </c>
      <c r="C410" s="1" t="n">
        <v>45985</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31906-2023</t>
        </is>
      </c>
      <c r="B411" s="1" t="n">
        <v>45118.8353125</v>
      </c>
      <c r="C411" s="1" t="n">
        <v>45985</v>
      </c>
      <c r="D411" t="inlineStr">
        <is>
          <t>ÖREBRO LÄN</t>
        </is>
      </c>
      <c r="E411" t="inlineStr">
        <is>
          <t>ÖREBRO</t>
        </is>
      </c>
      <c r="G411" t="n">
        <v>9</v>
      </c>
      <c r="H411" t="n">
        <v>0</v>
      </c>
      <c r="I411" t="n">
        <v>0</v>
      </c>
      <c r="J411" t="n">
        <v>0</v>
      </c>
      <c r="K411" t="n">
        <v>0</v>
      </c>
      <c r="L411" t="n">
        <v>0</v>
      </c>
      <c r="M411" t="n">
        <v>0</v>
      </c>
      <c r="N411" t="n">
        <v>0</v>
      </c>
      <c r="O411" t="n">
        <v>0</v>
      </c>
      <c r="P411" t="n">
        <v>0</v>
      </c>
      <c r="Q411" t="n">
        <v>0</v>
      </c>
      <c r="R411" s="2" t="inlineStr"/>
    </row>
    <row r="412" ht="15" customHeight="1">
      <c r="A412" t="inlineStr">
        <is>
          <t>A 6387-2021</t>
        </is>
      </c>
      <c r="B412" s="1" t="n">
        <v>44235</v>
      </c>
      <c r="C412" s="1" t="n">
        <v>45985</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10937-2024</t>
        </is>
      </c>
      <c r="B413" s="1" t="n">
        <v>45370.44461805555</v>
      </c>
      <c r="C413" s="1" t="n">
        <v>45985</v>
      </c>
      <c r="D413" t="inlineStr">
        <is>
          <t>ÖREBRO LÄN</t>
        </is>
      </c>
      <c r="E413" t="inlineStr">
        <is>
          <t>ÖREBRO</t>
        </is>
      </c>
      <c r="G413" t="n">
        <v>4.3</v>
      </c>
      <c r="H413" t="n">
        <v>0</v>
      </c>
      <c r="I413" t="n">
        <v>0</v>
      </c>
      <c r="J413" t="n">
        <v>0</v>
      </c>
      <c r="K413" t="n">
        <v>0</v>
      </c>
      <c r="L413" t="n">
        <v>0</v>
      </c>
      <c r="M413" t="n">
        <v>0</v>
      </c>
      <c r="N413" t="n">
        <v>0</v>
      </c>
      <c r="O413" t="n">
        <v>0</v>
      </c>
      <c r="P413" t="n">
        <v>0</v>
      </c>
      <c r="Q413" t="n">
        <v>0</v>
      </c>
      <c r="R413" s="2" t="inlineStr"/>
    </row>
    <row r="414" ht="15" customHeight="1">
      <c r="A414" t="inlineStr">
        <is>
          <t>A 22079-2023</t>
        </is>
      </c>
      <c r="B414" s="1" t="n">
        <v>45069</v>
      </c>
      <c r="C414" s="1" t="n">
        <v>45985</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52447-2024</t>
        </is>
      </c>
      <c r="B415" s="1" t="n">
        <v>45609.49157407408</v>
      </c>
      <c r="C415" s="1" t="n">
        <v>45985</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3841-2023</t>
        </is>
      </c>
      <c r="B416" s="1" t="n">
        <v>44951</v>
      </c>
      <c r="C416" s="1" t="n">
        <v>45985</v>
      </c>
      <c r="D416" t="inlineStr">
        <is>
          <t>ÖREBRO LÄN</t>
        </is>
      </c>
      <c r="E416" t="inlineStr">
        <is>
          <t>ÖREBRO</t>
        </is>
      </c>
      <c r="G416" t="n">
        <v>4.3</v>
      </c>
      <c r="H416" t="n">
        <v>0</v>
      </c>
      <c r="I416" t="n">
        <v>0</v>
      </c>
      <c r="J416" t="n">
        <v>0</v>
      </c>
      <c r="K416" t="n">
        <v>0</v>
      </c>
      <c r="L416" t="n">
        <v>0</v>
      </c>
      <c r="M416" t="n">
        <v>0</v>
      </c>
      <c r="N416" t="n">
        <v>0</v>
      </c>
      <c r="O416" t="n">
        <v>0</v>
      </c>
      <c r="P416" t="n">
        <v>0</v>
      </c>
      <c r="Q416" t="n">
        <v>0</v>
      </c>
      <c r="R416" s="2" t="inlineStr"/>
    </row>
    <row r="417" ht="15" customHeight="1">
      <c r="A417" t="inlineStr">
        <is>
          <t>A 38489-2023</t>
        </is>
      </c>
      <c r="B417" s="1" t="n">
        <v>45162</v>
      </c>
      <c r="C417" s="1" t="n">
        <v>45985</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70719-2021</t>
        </is>
      </c>
      <c r="B418" s="1" t="n">
        <v>44537</v>
      </c>
      <c r="C418" s="1" t="n">
        <v>45985</v>
      </c>
      <c r="D418" t="inlineStr">
        <is>
          <t>ÖREBRO LÄN</t>
        </is>
      </c>
      <c r="E418" t="inlineStr">
        <is>
          <t>ÖREBRO</t>
        </is>
      </c>
      <c r="G418" t="n">
        <v>4.3</v>
      </c>
      <c r="H418" t="n">
        <v>0</v>
      </c>
      <c r="I418" t="n">
        <v>0</v>
      </c>
      <c r="J418" t="n">
        <v>0</v>
      </c>
      <c r="K418" t="n">
        <v>0</v>
      </c>
      <c r="L418" t="n">
        <v>0</v>
      </c>
      <c r="M418" t="n">
        <v>0</v>
      </c>
      <c r="N418" t="n">
        <v>0</v>
      </c>
      <c r="O418" t="n">
        <v>0</v>
      </c>
      <c r="P418" t="n">
        <v>0</v>
      </c>
      <c r="Q418" t="n">
        <v>0</v>
      </c>
      <c r="R418" s="2" t="inlineStr"/>
    </row>
    <row r="419" ht="15" customHeight="1">
      <c r="A419" t="inlineStr">
        <is>
          <t>A 38573-2023</t>
        </is>
      </c>
      <c r="B419" s="1" t="n">
        <v>45162.61837962963</v>
      </c>
      <c r="C419" s="1" t="n">
        <v>45985</v>
      </c>
      <c r="D419" t="inlineStr">
        <is>
          <t>ÖREBRO LÄN</t>
        </is>
      </c>
      <c r="E419" t="inlineStr">
        <is>
          <t>ÖREBRO</t>
        </is>
      </c>
      <c r="G419" t="n">
        <v>2.2</v>
      </c>
      <c r="H419" t="n">
        <v>0</v>
      </c>
      <c r="I419" t="n">
        <v>0</v>
      </c>
      <c r="J419" t="n">
        <v>0</v>
      </c>
      <c r="K419" t="n">
        <v>0</v>
      </c>
      <c r="L419" t="n">
        <v>0</v>
      </c>
      <c r="M419" t="n">
        <v>0</v>
      </c>
      <c r="N419" t="n">
        <v>0</v>
      </c>
      <c r="O419" t="n">
        <v>0</v>
      </c>
      <c r="P419" t="n">
        <v>0</v>
      </c>
      <c r="Q419" t="n">
        <v>0</v>
      </c>
      <c r="R419" s="2" t="inlineStr"/>
    </row>
    <row r="420" ht="15" customHeight="1">
      <c r="A420" t="inlineStr">
        <is>
          <t>A 4757-2024</t>
        </is>
      </c>
      <c r="B420" s="1" t="n">
        <v>45328</v>
      </c>
      <c r="C420" s="1" t="n">
        <v>45985</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48140-2024</t>
        </is>
      </c>
      <c r="B421" s="1" t="n">
        <v>45589.66474537037</v>
      </c>
      <c r="C421" s="1" t="n">
        <v>45985</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2658-2023</t>
        </is>
      </c>
      <c r="B422" s="1" t="n">
        <v>44944</v>
      </c>
      <c r="C422" s="1" t="n">
        <v>45985</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11565-2023</t>
        </is>
      </c>
      <c r="B423" s="1" t="n">
        <v>44994</v>
      </c>
      <c r="C423" s="1" t="n">
        <v>45985</v>
      </c>
      <c r="D423" t="inlineStr">
        <is>
          <t>ÖREBRO LÄN</t>
        </is>
      </c>
      <c r="E423" t="inlineStr">
        <is>
          <t>ÖREBRO</t>
        </is>
      </c>
      <c r="G423" t="n">
        <v>4.7</v>
      </c>
      <c r="H423" t="n">
        <v>0</v>
      </c>
      <c r="I423" t="n">
        <v>0</v>
      </c>
      <c r="J423" t="n">
        <v>0</v>
      </c>
      <c r="K423" t="n">
        <v>0</v>
      </c>
      <c r="L423" t="n">
        <v>0</v>
      </c>
      <c r="M423" t="n">
        <v>0</v>
      </c>
      <c r="N423" t="n">
        <v>0</v>
      </c>
      <c r="O423" t="n">
        <v>0</v>
      </c>
      <c r="P423" t="n">
        <v>0</v>
      </c>
      <c r="Q423" t="n">
        <v>0</v>
      </c>
      <c r="R423" s="2" t="inlineStr"/>
    </row>
    <row r="424" ht="15" customHeight="1">
      <c r="A424" t="inlineStr">
        <is>
          <t>A 16736-2023</t>
        </is>
      </c>
      <c r="B424" s="1" t="n">
        <v>45030.72328703704</v>
      </c>
      <c r="C424" s="1" t="n">
        <v>45985</v>
      </c>
      <c r="D424" t="inlineStr">
        <is>
          <t>ÖREBRO LÄN</t>
        </is>
      </c>
      <c r="E424" t="inlineStr">
        <is>
          <t>ÖREBRO</t>
        </is>
      </c>
      <c r="G424" t="n">
        <v>4</v>
      </c>
      <c r="H424" t="n">
        <v>0</v>
      </c>
      <c r="I424" t="n">
        <v>0</v>
      </c>
      <c r="J424" t="n">
        <v>0</v>
      </c>
      <c r="K424" t="n">
        <v>0</v>
      </c>
      <c r="L424" t="n">
        <v>0</v>
      </c>
      <c r="M424" t="n">
        <v>0</v>
      </c>
      <c r="N424" t="n">
        <v>0</v>
      </c>
      <c r="O424" t="n">
        <v>0</v>
      </c>
      <c r="P424" t="n">
        <v>0</v>
      </c>
      <c r="Q424" t="n">
        <v>0</v>
      </c>
      <c r="R424" s="2" t="inlineStr"/>
    </row>
    <row r="425" ht="15" customHeight="1">
      <c r="A425" t="inlineStr">
        <is>
          <t>A 2630-2023</t>
        </is>
      </c>
      <c r="B425" s="1" t="n">
        <v>44944.39105324074</v>
      </c>
      <c r="C425" s="1" t="n">
        <v>45985</v>
      </c>
      <c r="D425" t="inlineStr">
        <is>
          <t>ÖREBRO LÄN</t>
        </is>
      </c>
      <c r="E425" t="inlineStr">
        <is>
          <t>ÖREBRO</t>
        </is>
      </c>
      <c r="G425" t="n">
        <v>6.1</v>
      </c>
      <c r="H425" t="n">
        <v>0</v>
      </c>
      <c r="I425" t="n">
        <v>0</v>
      </c>
      <c r="J425" t="n">
        <v>0</v>
      </c>
      <c r="K425" t="n">
        <v>0</v>
      </c>
      <c r="L425" t="n">
        <v>0</v>
      </c>
      <c r="M425" t="n">
        <v>0</v>
      </c>
      <c r="N425" t="n">
        <v>0</v>
      </c>
      <c r="O425" t="n">
        <v>0</v>
      </c>
      <c r="P425" t="n">
        <v>0</v>
      </c>
      <c r="Q425" t="n">
        <v>0</v>
      </c>
      <c r="R425" s="2" t="inlineStr"/>
    </row>
    <row r="426" ht="15" customHeight="1">
      <c r="A426" t="inlineStr">
        <is>
          <t>A 30015-2023</t>
        </is>
      </c>
      <c r="B426" s="1" t="n">
        <v>45109</v>
      </c>
      <c r="C426" s="1" t="n">
        <v>45985</v>
      </c>
      <c r="D426" t="inlineStr">
        <is>
          <t>ÖREBRO LÄN</t>
        </is>
      </c>
      <c r="E426" t="inlineStr">
        <is>
          <t>ÖREBRO</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37968-2024</t>
        </is>
      </c>
      <c r="B427" s="1" t="n">
        <v>45544</v>
      </c>
      <c r="C427" s="1" t="n">
        <v>45985</v>
      </c>
      <c r="D427" t="inlineStr">
        <is>
          <t>ÖREBRO LÄN</t>
        </is>
      </c>
      <c r="E427" t="inlineStr">
        <is>
          <t>ÖREBRO</t>
        </is>
      </c>
      <c r="G427" t="n">
        <v>2</v>
      </c>
      <c r="H427" t="n">
        <v>0</v>
      </c>
      <c r="I427" t="n">
        <v>0</v>
      </c>
      <c r="J427" t="n">
        <v>0</v>
      </c>
      <c r="K427" t="n">
        <v>0</v>
      </c>
      <c r="L427" t="n">
        <v>0</v>
      </c>
      <c r="M427" t="n">
        <v>0</v>
      </c>
      <c r="N427" t="n">
        <v>0</v>
      </c>
      <c r="O427" t="n">
        <v>0</v>
      </c>
      <c r="P427" t="n">
        <v>0</v>
      </c>
      <c r="Q427" t="n">
        <v>0</v>
      </c>
      <c r="R427" s="2" t="inlineStr"/>
    </row>
    <row r="428" ht="15" customHeight="1">
      <c r="A428" t="inlineStr">
        <is>
          <t>A 31326-2024</t>
        </is>
      </c>
      <c r="B428" s="1" t="n">
        <v>45504.5934375</v>
      </c>
      <c r="C428" s="1" t="n">
        <v>45985</v>
      </c>
      <c r="D428" t="inlineStr">
        <is>
          <t>ÖREBRO LÄN</t>
        </is>
      </c>
      <c r="E428" t="inlineStr">
        <is>
          <t>ÖREBRO</t>
        </is>
      </c>
      <c r="G428" t="n">
        <v>6.4</v>
      </c>
      <c r="H428" t="n">
        <v>0</v>
      </c>
      <c r="I428" t="n">
        <v>0</v>
      </c>
      <c r="J428" t="n">
        <v>0</v>
      </c>
      <c r="K428" t="n">
        <v>0</v>
      </c>
      <c r="L428" t="n">
        <v>0</v>
      </c>
      <c r="M428" t="n">
        <v>0</v>
      </c>
      <c r="N428" t="n">
        <v>0</v>
      </c>
      <c r="O428" t="n">
        <v>0</v>
      </c>
      <c r="P428" t="n">
        <v>0</v>
      </c>
      <c r="Q428" t="n">
        <v>0</v>
      </c>
      <c r="R428" s="2" t="inlineStr"/>
    </row>
    <row r="429" ht="15" customHeight="1">
      <c r="A429" t="inlineStr">
        <is>
          <t>A 22045-2024</t>
        </is>
      </c>
      <c r="B429" s="1" t="n">
        <v>45443.61171296296</v>
      </c>
      <c r="C429" s="1" t="n">
        <v>45985</v>
      </c>
      <c r="D429" t="inlineStr">
        <is>
          <t>ÖREBRO LÄN</t>
        </is>
      </c>
      <c r="E429" t="inlineStr">
        <is>
          <t>ÖREBRO</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58684-2023</t>
        </is>
      </c>
      <c r="B430" s="1" t="n">
        <v>45251</v>
      </c>
      <c r="C430" s="1" t="n">
        <v>45985</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38898-2023</t>
        </is>
      </c>
      <c r="B431" s="1" t="n">
        <v>45163</v>
      </c>
      <c r="C431" s="1" t="n">
        <v>45985</v>
      </c>
      <c r="D431" t="inlineStr">
        <is>
          <t>ÖREBRO LÄN</t>
        </is>
      </c>
      <c r="E431" t="inlineStr">
        <is>
          <t>ÖREBRO</t>
        </is>
      </c>
      <c r="G431" t="n">
        <v>5.1</v>
      </c>
      <c r="H431" t="n">
        <v>0</v>
      </c>
      <c r="I431" t="n">
        <v>0</v>
      </c>
      <c r="J431" t="n">
        <v>0</v>
      </c>
      <c r="K431" t="n">
        <v>0</v>
      </c>
      <c r="L431" t="n">
        <v>0</v>
      </c>
      <c r="M431" t="n">
        <v>0</v>
      </c>
      <c r="N431" t="n">
        <v>0</v>
      </c>
      <c r="O431" t="n">
        <v>0</v>
      </c>
      <c r="P431" t="n">
        <v>0</v>
      </c>
      <c r="Q431" t="n">
        <v>0</v>
      </c>
      <c r="R431" s="2" t="inlineStr"/>
    </row>
    <row r="432" ht="15" customHeight="1">
      <c r="A432" t="inlineStr">
        <is>
          <t>A 13321-2024</t>
        </is>
      </c>
      <c r="B432" s="1" t="n">
        <v>45386.83142361111</v>
      </c>
      <c r="C432" s="1" t="n">
        <v>45985</v>
      </c>
      <c r="D432" t="inlineStr">
        <is>
          <t>ÖREBRO LÄN</t>
        </is>
      </c>
      <c r="E432" t="inlineStr">
        <is>
          <t>ÖREBRO</t>
        </is>
      </c>
      <c r="G432" t="n">
        <v>13.1</v>
      </c>
      <c r="H432" t="n">
        <v>0</v>
      </c>
      <c r="I432" t="n">
        <v>0</v>
      </c>
      <c r="J432" t="n">
        <v>0</v>
      </c>
      <c r="K432" t="n">
        <v>0</v>
      </c>
      <c r="L432" t="n">
        <v>0</v>
      </c>
      <c r="M432" t="n">
        <v>0</v>
      </c>
      <c r="N432" t="n">
        <v>0</v>
      </c>
      <c r="O432" t="n">
        <v>0</v>
      </c>
      <c r="P432" t="n">
        <v>0</v>
      </c>
      <c r="Q432" t="n">
        <v>0</v>
      </c>
      <c r="R432" s="2" t="inlineStr"/>
    </row>
    <row r="433" ht="15" customHeight="1">
      <c r="A433" t="inlineStr">
        <is>
          <t>A 38583-2023</t>
        </is>
      </c>
      <c r="B433" s="1" t="n">
        <v>45162.62861111111</v>
      </c>
      <c r="C433" s="1" t="n">
        <v>45985</v>
      </c>
      <c r="D433" t="inlineStr">
        <is>
          <t>ÖREBRO LÄN</t>
        </is>
      </c>
      <c r="E433" t="inlineStr">
        <is>
          <t>ÖREBRO</t>
        </is>
      </c>
      <c r="G433" t="n">
        <v>5.7</v>
      </c>
      <c r="H433" t="n">
        <v>0</v>
      </c>
      <c r="I433" t="n">
        <v>0</v>
      </c>
      <c r="J433" t="n">
        <v>0</v>
      </c>
      <c r="K433" t="n">
        <v>0</v>
      </c>
      <c r="L433" t="n">
        <v>0</v>
      </c>
      <c r="M433" t="n">
        <v>0</v>
      </c>
      <c r="N433" t="n">
        <v>0</v>
      </c>
      <c r="O433" t="n">
        <v>0</v>
      </c>
      <c r="P433" t="n">
        <v>0</v>
      </c>
      <c r="Q433" t="n">
        <v>0</v>
      </c>
      <c r="R433" s="2" t="inlineStr"/>
    </row>
    <row r="434" ht="15" customHeight="1">
      <c r="A434" t="inlineStr">
        <is>
          <t>A 14291-2023</t>
        </is>
      </c>
      <c r="B434" s="1" t="n">
        <v>45010</v>
      </c>
      <c r="C434" s="1" t="n">
        <v>45985</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9314-2023</t>
        </is>
      </c>
      <c r="B435" s="1" t="n">
        <v>44980.67747685185</v>
      </c>
      <c r="C435" s="1" t="n">
        <v>45985</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33455-2023</t>
        </is>
      </c>
      <c r="B436" s="1" t="n">
        <v>45130.98962962963</v>
      </c>
      <c r="C436" s="1" t="n">
        <v>45985</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21306-2024</t>
        </is>
      </c>
      <c r="B437" s="1" t="n">
        <v>45440.67883101852</v>
      </c>
      <c r="C437" s="1" t="n">
        <v>45985</v>
      </c>
      <c r="D437" t="inlineStr">
        <is>
          <t>ÖREBRO LÄN</t>
        </is>
      </c>
      <c r="E437" t="inlineStr">
        <is>
          <t>ÖREBRO</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7634-2024</t>
        </is>
      </c>
      <c r="B438" s="1" t="n">
        <v>45348</v>
      </c>
      <c r="C438" s="1" t="n">
        <v>45985</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5324-2024</t>
        </is>
      </c>
      <c r="B439" s="1" t="n">
        <v>45331</v>
      </c>
      <c r="C439" s="1" t="n">
        <v>45985</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52401-2024</t>
        </is>
      </c>
      <c r="B440" s="1" t="n">
        <v>45609.44553240741</v>
      </c>
      <c r="C440" s="1" t="n">
        <v>45985</v>
      </c>
      <c r="D440" t="inlineStr">
        <is>
          <t>ÖREBRO LÄN</t>
        </is>
      </c>
      <c r="E440" t="inlineStr">
        <is>
          <t>ÖREBRO</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14963-2025</t>
        </is>
      </c>
      <c r="B441" s="1" t="n">
        <v>45743.58699074074</v>
      </c>
      <c r="C441" s="1" t="n">
        <v>45985</v>
      </c>
      <c r="D441" t="inlineStr">
        <is>
          <t>ÖREBRO LÄN</t>
        </is>
      </c>
      <c r="E441" t="inlineStr">
        <is>
          <t>ÖREBRO</t>
        </is>
      </c>
      <c r="G441" t="n">
        <v>9.1</v>
      </c>
      <c r="H441" t="n">
        <v>0</v>
      </c>
      <c r="I441" t="n">
        <v>0</v>
      </c>
      <c r="J441" t="n">
        <v>0</v>
      </c>
      <c r="K441" t="n">
        <v>0</v>
      </c>
      <c r="L441" t="n">
        <v>0</v>
      </c>
      <c r="M441" t="n">
        <v>0</v>
      </c>
      <c r="N441" t="n">
        <v>0</v>
      </c>
      <c r="O441" t="n">
        <v>0</v>
      </c>
      <c r="P441" t="n">
        <v>0</v>
      </c>
      <c r="Q441" t="n">
        <v>0</v>
      </c>
      <c r="R441" s="2" t="inlineStr"/>
    </row>
    <row r="442" ht="15" customHeight="1">
      <c r="A442" t="inlineStr">
        <is>
          <t>A 55357-2024</t>
        </is>
      </c>
      <c r="B442" s="1" t="n">
        <v>45621.81126157408</v>
      </c>
      <c r="C442" s="1" t="n">
        <v>45985</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38422-2023</t>
        </is>
      </c>
      <c r="B443" s="1" t="n">
        <v>45162.36422453704</v>
      </c>
      <c r="C443" s="1" t="n">
        <v>45985</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46518-2023</t>
        </is>
      </c>
      <c r="B444" s="1" t="n">
        <v>45197.72777777778</v>
      </c>
      <c r="C444" s="1" t="n">
        <v>45985</v>
      </c>
      <c r="D444" t="inlineStr">
        <is>
          <t>ÖREBRO LÄN</t>
        </is>
      </c>
      <c r="E444" t="inlineStr">
        <is>
          <t>ÖREBRO</t>
        </is>
      </c>
      <c r="G444" t="n">
        <v>2.2</v>
      </c>
      <c r="H444" t="n">
        <v>0</v>
      </c>
      <c r="I444" t="n">
        <v>0</v>
      </c>
      <c r="J444" t="n">
        <v>0</v>
      </c>
      <c r="K444" t="n">
        <v>0</v>
      </c>
      <c r="L444" t="n">
        <v>0</v>
      </c>
      <c r="M444" t="n">
        <v>0</v>
      </c>
      <c r="N444" t="n">
        <v>0</v>
      </c>
      <c r="O444" t="n">
        <v>0</v>
      </c>
      <c r="P444" t="n">
        <v>0</v>
      </c>
      <c r="Q444" t="n">
        <v>0</v>
      </c>
      <c r="R444" s="2" t="inlineStr"/>
    </row>
    <row r="445" ht="15" customHeight="1">
      <c r="A445" t="inlineStr">
        <is>
          <t>A 41703-2024</t>
        </is>
      </c>
      <c r="B445" s="1" t="n">
        <v>45560</v>
      </c>
      <c r="C445" s="1" t="n">
        <v>45985</v>
      </c>
      <c r="D445" t="inlineStr">
        <is>
          <t>ÖREBRO LÄN</t>
        </is>
      </c>
      <c r="E445" t="inlineStr">
        <is>
          <t>ÖREBRO</t>
        </is>
      </c>
      <c r="G445" t="n">
        <v>6.4</v>
      </c>
      <c r="H445" t="n">
        <v>0</v>
      </c>
      <c r="I445" t="n">
        <v>0</v>
      </c>
      <c r="J445" t="n">
        <v>0</v>
      </c>
      <c r="K445" t="n">
        <v>0</v>
      </c>
      <c r="L445" t="n">
        <v>0</v>
      </c>
      <c r="M445" t="n">
        <v>0</v>
      </c>
      <c r="N445" t="n">
        <v>0</v>
      </c>
      <c r="O445" t="n">
        <v>0</v>
      </c>
      <c r="P445" t="n">
        <v>0</v>
      </c>
      <c r="Q445" t="n">
        <v>0</v>
      </c>
      <c r="R445" s="2" t="inlineStr"/>
    </row>
    <row r="446" ht="15" customHeight="1">
      <c r="A446" t="inlineStr">
        <is>
          <t>A 19763-2024</t>
        </is>
      </c>
      <c r="B446" s="1" t="n">
        <v>45432</v>
      </c>
      <c r="C446" s="1" t="n">
        <v>45985</v>
      </c>
      <c r="D446" t="inlineStr">
        <is>
          <t>ÖREBRO LÄN</t>
        </is>
      </c>
      <c r="E446" t="inlineStr">
        <is>
          <t>ÖREBRO</t>
        </is>
      </c>
      <c r="G446" t="n">
        <v>1.9</v>
      </c>
      <c r="H446" t="n">
        <v>0</v>
      </c>
      <c r="I446" t="n">
        <v>0</v>
      </c>
      <c r="J446" t="n">
        <v>0</v>
      </c>
      <c r="K446" t="n">
        <v>0</v>
      </c>
      <c r="L446" t="n">
        <v>0</v>
      </c>
      <c r="M446" t="n">
        <v>0</v>
      </c>
      <c r="N446" t="n">
        <v>0</v>
      </c>
      <c r="O446" t="n">
        <v>0</v>
      </c>
      <c r="P446" t="n">
        <v>0</v>
      </c>
      <c r="Q446" t="n">
        <v>0</v>
      </c>
      <c r="R446" s="2" t="inlineStr"/>
    </row>
    <row r="447" ht="15" customHeight="1">
      <c r="A447" t="inlineStr">
        <is>
          <t>A 31247-2023</t>
        </is>
      </c>
      <c r="B447" s="1" t="n">
        <v>45114</v>
      </c>
      <c r="C447" s="1" t="n">
        <v>45985</v>
      </c>
      <c r="D447" t="inlineStr">
        <is>
          <t>ÖREBRO LÄN</t>
        </is>
      </c>
      <c r="E447" t="inlineStr">
        <is>
          <t>ÖREBRO</t>
        </is>
      </c>
      <c r="F447" t="inlineStr">
        <is>
          <t>Allmännings- och besparingsskogar</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36635-2023</t>
        </is>
      </c>
      <c r="B448" s="1" t="n">
        <v>45153</v>
      </c>
      <c r="C448" s="1" t="n">
        <v>45985</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54149-2024</t>
        </is>
      </c>
      <c r="B449" s="1" t="n">
        <v>45616</v>
      </c>
      <c r="C449" s="1" t="n">
        <v>45985</v>
      </c>
      <c r="D449" t="inlineStr">
        <is>
          <t>ÖREBRO LÄN</t>
        </is>
      </c>
      <c r="E449" t="inlineStr">
        <is>
          <t>ÖREBRO</t>
        </is>
      </c>
      <c r="G449" t="n">
        <v>2.7</v>
      </c>
      <c r="H449" t="n">
        <v>0</v>
      </c>
      <c r="I449" t="n">
        <v>0</v>
      </c>
      <c r="J449" t="n">
        <v>0</v>
      </c>
      <c r="K449" t="n">
        <v>0</v>
      </c>
      <c r="L449" t="n">
        <v>0</v>
      </c>
      <c r="M449" t="n">
        <v>0</v>
      </c>
      <c r="N449" t="n">
        <v>0</v>
      </c>
      <c r="O449" t="n">
        <v>0</v>
      </c>
      <c r="P449" t="n">
        <v>0</v>
      </c>
      <c r="Q449" t="n">
        <v>0</v>
      </c>
      <c r="R449" s="2" t="inlineStr"/>
    </row>
    <row r="450" ht="15" customHeight="1">
      <c r="A450" t="inlineStr">
        <is>
          <t>A 49797-2024</t>
        </is>
      </c>
      <c r="B450" s="1" t="n">
        <v>45597.37265046296</v>
      </c>
      <c r="C450" s="1" t="n">
        <v>45985</v>
      </c>
      <c r="D450" t="inlineStr">
        <is>
          <t>ÖREBRO LÄN</t>
        </is>
      </c>
      <c r="E450" t="inlineStr">
        <is>
          <t>ÖREBRO</t>
        </is>
      </c>
      <c r="G450" t="n">
        <v>11.6</v>
      </c>
      <c r="H450" t="n">
        <v>0</v>
      </c>
      <c r="I450" t="n">
        <v>0</v>
      </c>
      <c r="J450" t="n">
        <v>0</v>
      </c>
      <c r="K450" t="n">
        <v>0</v>
      </c>
      <c r="L450" t="n">
        <v>0</v>
      </c>
      <c r="M450" t="n">
        <v>0</v>
      </c>
      <c r="N450" t="n">
        <v>0</v>
      </c>
      <c r="O450" t="n">
        <v>0</v>
      </c>
      <c r="P450" t="n">
        <v>0</v>
      </c>
      <c r="Q450" t="n">
        <v>0</v>
      </c>
      <c r="R450" s="2" t="inlineStr"/>
    </row>
    <row r="451" ht="15" customHeight="1">
      <c r="A451" t="inlineStr">
        <is>
          <t>A 32086-2023</t>
        </is>
      </c>
      <c r="B451" s="1" t="n">
        <v>45119.59789351852</v>
      </c>
      <c r="C451" s="1" t="n">
        <v>45985</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13856-2022</t>
        </is>
      </c>
      <c r="B452" s="1" t="n">
        <v>44649.6965162037</v>
      </c>
      <c r="C452" s="1" t="n">
        <v>45985</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23863-2023</t>
        </is>
      </c>
      <c r="B453" s="1" t="n">
        <v>45078.48994212963</v>
      </c>
      <c r="C453" s="1" t="n">
        <v>45985</v>
      </c>
      <c r="D453" t="inlineStr">
        <is>
          <t>ÖREBRO LÄN</t>
        </is>
      </c>
      <c r="E453" t="inlineStr">
        <is>
          <t>ÖREBRO</t>
        </is>
      </c>
      <c r="F453" t="inlineStr">
        <is>
          <t>Övriga Aktiebolag</t>
        </is>
      </c>
      <c r="G453" t="n">
        <v>5.9</v>
      </c>
      <c r="H453" t="n">
        <v>0</v>
      </c>
      <c r="I453" t="n">
        <v>0</v>
      </c>
      <c r="J453" t="n">
        <v>0</v>
      </c>
      <c r="K453" t="n">
        <v>0</v>
      </c>
      <c r="L453" t="n">
        <v>0</v>
      </c>
      <c r="M453" t="n">
        <v>0</v>
      </c>
      <c r="N453" t="n">
        <v>0</v>
      </c>
      <c r="O453" t="n">
        <v>0</v>
      </c>
      <c r="P453" t="n">
        <v>0</v>
      </c>
      <c r="Q453" t="n">
        <v>0</v>
      </c>
      <c r="R453" s="2" t="inlineStr"/>
    </row>
    <row r="454" ht="15" customHeight="1">
      <c r="A454" t="inlineStr">
        <is>
          <t>A 39130-2023</t>
        </is>
      </c>
      <c r="B454" s="1" t="n">
        <v>45165</v>
      </c>
      <c r="C454" s="1" t="n">
        <v>45985</v>
      </c>
      <c r="D454" t="inlineStr">
        <is>
          <t>ÖREBRO LÄN</t>
        </is>
      </c>
      <c r="E454" t="inlineStr">
        <is>
          <t>ÖREBRO</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13599-2025</t>
        </is>
      </c>
      <c r="B455" s="1" t="n">
        <v>45736.60597222222</v>
      </c>
      <c r="C455" s="1" t="n">
        <v>45985</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50375-2024</t>
        </is>
      </c>
      <c r="B456" s="1" t="n">
        <v>45601.29311342593</v>
      </c>
      <c r="C456" s="1" t="n">
        <v>45985</v>
      </c>
      <c r="D456" t="inlineStr">
        <is>
          <t>ÖREBRO LÄN</t>
        </is>
      </c>
      <c r="E456" t="inlineStr">
        <is>
          <t>ÖREBRO</t>
        </is>
      </c>
      <c r="G456" t="n">
        <v>5</v>
      </c>
      <c r="H456" t="n">
        <v>0</v>
      </c>
      <c r="I456" t="n">
        <v>0</v>
      </c>
      <c r="J456" t="n">
        <v>0</v>
      </c>
      <c r="K456" t="n">
        <v>0</v>
      </c>
      <c r="L456" t="n">
        <v>0</v>
      </c>
      <c r="M456" t="n">
        <v>0</v>
      </c>
      <c r="N456" t="n">
        <v>0</v>
      </c>
      <c r="O456" t="n">
        <v>0</v>
      </c>
      <c r="P456" t="n">
        <v>0</v>
      </c>
      <c r="Q456" t="n">
        <v>0</v>
      </c>
      <c r="R456" s="2" t="inlineStr"/>
    </row>
    <row r="457" ht="15" customHeight="1">
      <c r="A457" t="inlineStr">
        <is>
          <t>A 52391-2024</t>
        </is>
      </c>
      <c r="B457" s="1" t="n">
        <v>45609.43180555556</v>
      </c>
      <c r="C457" s="1" t="n">
        <v>45985</v>
      </c>
      <c r="D457" t="inlineStr">
        <is>
          <t>ÖREBRO LÄN</t>
        </is>
      </c>
      <c r="E457" t="inlineStr">
        <is>
          <t>ÖREBRO</t>
        </is>
      </c>
      <c r="G457" t="n">
        <v>1.2</v>
      </c>
      <c r="H457" t="n">
        <v>0</v>
      </c>
      <c r="I457" t="n">
        <v>0</v>
      </c>
      <c r="J457" t="n">
        <v>0</v>
      </c>
      <c r="K457" t="n">
        <v>0</v>
      </c>
      <c r="L457" t="n">
        <v>0</v>
      </c>
      <c r="M457" t="n">
        <v>0</v>
      </c>
      <c r="N457" t="n">
        <v>0</v>
      </c>
      <c r="O457" t="n">
        <v>0</v>
      </c>
      <c r="P457" t="n">
        <v>0</v>
      </c>
      <c r="Q457" t="n">
        <v>0</v>
      </c>
      <c r="R457" s="2" t="inlineStr"/>
    </row>
    <row r="458" ht="15" customHeight="1">
      <c r="A458" t="inlineStr">
        <is>
          <t>A 58532-2024</t>
        </is>
      </c>
      <c r="B458" s="1" t="n">
        <v>45635.44899305556</v>
      </c>
      <c r="C458" s="1" t="n">
        <v>45985</v>
      </c>
      <c r="D458" t="inlineStr">
        <is>
          <t>ÖREBRO LÄN</t>
        </is>
      </c>
      <c r="E458" t="inlineStr">
        <is>
          <t>ÖREBRO</t>
        </is>
      </c>
      <c r="F458" t="inlineStr">
        <is>
          <t>Sveaskog</t>
        </is>
      </c>
      <c r="G458" t="n">
        <v>5.2</v>
      </c>
      <c r="H458" t="n">
        <v>0</v>
      </c>
      <c r="I458" t="n">
        <v>0</v>
      </c>
      <c r="J458" t="n">
        <v>0</v>
      </c>
      <c r="K458" t="n">
        <v>0</v>
      </c>
      <c r="L458" t="n">
        <v>0</v>
      </c>
      <c r="M458" t="n">
        <v>0</v>
      </c>
      <c r="N458" t="n">
        <v>0</v>
      </c>
      <c r="O458" t="n">
        <v>0</v>
      </c>
      <c r="P458" t="n">
        <v>0</v>
      </c>
      <c r="Q458" t="n">
        <v>0</v>
      </c>
      <c r="R458" s="2" t="inlineStr"/>
    </row>
    <row r="459" ht="15" customHeight="1">
      <c r="A459" t="inlineStr">
        <is>
          <t>A 20150-2024</t>
        </is>
      </c>
      <c r="B459" s="1" t="n">
        <v>45434.57969907407</v>
      </c>
      <c r="C459" s="1" t="n">
        <v>45985</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58208-2024</t>
        </is>
      </c>
      <c r="B460" s="1" t="n">
        <v>45632</v>
      </c>
      <c r="C460" s="1" t="n">
        <v>45985</v>
      </c>
      <c r="D460" t="inlineStr">
        <is>
          <t>ÖREBRO LÄN</t>
        </is>
      </c>
      <c r="E460" t="inlineStr">
        <is>
          <t>ÖREBRO</t>
        </is>
      </c>
      <c r="G460" t="n">
        <v>3.1</v>
      </c>
      <c r="H460" t="n">
        <v>0</v>
      </c>
      <c r="I460" t="n">
        <v>0</v>
      </c>
      <c r="J460" t="n">
        <v>0</v>
      </c>
      <c r="K460" t="n">
        <v>0</v>
      </c>
      <c r="L460" t="n">
        <v>0</v>
      </c>
      <c r="M460" t="n">
        <v>0</v>
      </c>
      <c r="N460" t="n">
        <v>0</v>
      </c>
      <c r="O460" t="n">
        <v>0</v>
      </c>
      <c r="P460" t="n">
        <v>0</v>
      </c>
      <c r="Q460" t="n">
        <v>0</v>
      </c>
      <c r="R460" s="2" t="inlineStr"/>
    </row>
    <row r="461" ht="15" customHeight="1">
      <c r="A461" t="inlineStr">
        <is>
          <t>A 19388-2024</t>
        </is>
      </c>
      <c r="B461" s="1" t="n">
        <v>45429.37775462963</v>
      </c>
      <c r="C461" s="1" t="n">
        <v>45985</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7506-2025</t>
        </is>
      </c>
      <c r="B462" s="1" t="n">
        <v>45705</v>
      </c>
      <c r="C462" s="1" t="n">
        <v>45985</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4344-2025</t>
        </is>
      </c>
      <c r="B463" s="1" t="n">
        <v>45685</v>
      </c>
      <c r="C463" s="1" t="n">
        <v>45985</v>
      </c>
      <c r="D463" t="inlineStr">
        <is>
          <t>ÖREBRO LÄN</t>
        </is>
      </c>
      <c r="E463" t="inlineStr">
        <is>
          <t>ÖREBRO</t>
        </is>
      </c>
      <c r="G463" t="n">
        <v>1.6</v>
      </c>
      <c r="H463" t="n">
        <v>0</v>
      </c>
      <c r="I463" t="n">
        <v>0</v>
      </c>
      <c r="J463" t="n">
        <v>0</v>
      </c>
      <c r="K463" t="n">
        <v>0</v>
      </c>
      <c r="L463" t="n">
        <v>0</v>
      </c>
      <c r="M463" t="n">
        <v>0</v>
      </c>
      <c r="N463" t="n">
        <v>0</v>
      </c>
      <c r="O463" t="n">
        <v>0</v>
      </c>
      <c r="P463" t="n">
        <v>0</v>
      </c>
      <c r="Q463" t="n">
        <v>0</v>
      </c>
      <c r="R463" s="2" t="inlineStr"/>
    </row>
    <row r="464" ht="15" customHeight="1">
      <c r="A464" t="inlineStr">
        <is>
          <t>A 16300-2022</t>
        </is>
      </c>
      <c r="B464" s="1" t="n">
        <v>44670</v>
      </c>
      <c r="C464" s="1" t="n">
        <v>45985</v>
      </c>
      <c r="D464" t="inlineStr">
        <is>
          <t>ÖREBRO LÄN</t>
        </is>
      </c>
      <c r="E464" t="inlineStr">
        <is>
          <t>ÖREBRO</t>
        </is>
      </c>
      <c r="G464" t="n">
        <v>0.8</v>
      </c>
      <c r="H464" t="n">
        <v>0</v>
      </c>
      <c r="I464" t="n">
        <v>0</v>
      </c>
      <c r="J464" t="n">
        <v>0</v>
      </c>
      <c r="K464" t="n">
        <v>0</v>
      </c>
      <c r="L464" t="n">
        <v>0</v>
      </c>
      <c r="M464" t="n">
        <v>0</v>
      </c>
      <c r="N464" t="n">
        <v>0</v>
      </c>
      <c r="O464" t="n">
        <v>0</v>
      </c>
      <c r="P464" t="n">
        <v>0</v>
      </c>
      <c r="Q464" t="n">
        <v>0</v>
      </c>
      <c r="R464" s="2" t="inlineStr"/>
    </row>
    <row r="465" ht="15" customHeight="1">
      <c r="A465" t="inlineStr">
        <is>
          <t>A 16958-2022</t>
        </is>
      </c>
      <c r="B465" s="1" t="n">
        <v>44676.50481481481</v>
      </c>
      <c r="C465" s="1" t="n">
        <v>45985</v>
      </c>
      <c r="D465" t="inlineStr">
        <is>
          <t>ÖREBRO LÄN</t>
        </is>
      </c>
      <c r="E465" t="inlineStr">
        <is>
          <t>ÖREBRO</t>
        </is>
      </c>
      <c r="G465" t="n">
        <v>3.1</v>
      </c>
      <c r="H465" t="n">
        <v>0</v>
      </c>
      <c r="I465" t="n">
        <v>0</v>
      </c>
      <c r="J465" t="n">
        <v>0</v>
      </c>
      <c r="K465" t="n">
        <v>0</v>
      </c>
      <c r="L465" t="n">
        <v>0</v>
      </c>
      <c r="M465" t="n">
        <v>0</v>
      </c>
      <c r="N465" t="n">
        <v>0</v>
      </c>
      <c r="O465" t="n">
        <v>0</v>
      </c>
      <c r="P465" t="n">
        <v>0</v>
      </c>
      <c r="Q465" t="n">
        <v>0</v>
      </c>
      <c r="R465" s="2" t="inlineStr"/>
    </row>
    <row r="466" ht="15" customHeight="1">
      <c r="A466" t="inlineStr">
        <is>
          <t>A 55472-2023</t>
        </is>
      </c>
      <c r="B466" s="1" t="n">
        <v>45238</v>
      </c>
      <c r="C466" s="1" t="n">
        <v>45985</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54925-2023</t>
        </is>
      </c>
      <c r="B467" s="1" t="n">
        <v>45229</v>
      </c>
      <c r="C467" s="1" t="n">
        <v>45985</v>
      </c>
      <c r="D467" t="inlineStr">
        <is>
          <t>ÖREBRO LÄN</t>
        </is>
      </c>
      <c r="E467" t="inlineStr">
        <is>
          <t>ÖREBRO</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8568-2021</t>
        </is>
      </c>
      <c r="B468" s="1" t="n">
        <v>44245</v>
      </c>
      <c r="C468" s="1" t="n">
        <v>45985</v>
      </c>
      <c r="D468" t="inlineStr">
        <is>
          <t>ÖREBRO LÄN</t>
        </is>
      </c>
      <c r="E468" t="inlineStr">
        <is>
          <t>ÖREBRO</t>
        </is>
      </c>
      <c r="G468" t="n">
        <v>4.8</v>
      </c>
      <c r="H468" t="n">
        <v>0</v>
      </c>
      <c r="I468" t="n">
        <v>0</v>
      </c>
      <c r="J468" t="n">
        <v>0</v>
      </c>
      <c r="K468" t="n">
        <v>0</v>
      </c>
      <c r="L468" t="n">
        <v>0</v>
      </c>
      <c r="M468" t="n">
        <v>0</v>
      </c>
      <c r="N468" t="n">
        <v>0</v>
      </c>
      <c r="O468" t="n">
        <v>0</v>
      </c>
      <c r="P468" t="n">
        <v>0</v>
      </c>
      <c r="Q468" t="n">
        <v>0</v>
      </c>
      <c r="R468" s="2" t="inlineStr"/>
    </row>
    <row r="469" ht="15" customHeight="1">
      <c r="A469" t="inlineStr">
        <is>
          <t>A 16961-2022</t>
        </is>
      </c>
      <c r="B469" s="1" t="n">
        <v>44676</v>
      </c>
      <c r="C469" s="1" t="n">
        <v>45985</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45985</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13700-2024</t>
        </is>
      </c>
      <c r="B471" s="1" t="n">
        <v>45390.59277777778</v>
      </c>
      <c r="C471" s="1" t="n">
        <v>45985</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3659-2025</t>
        </is>
      </c>
      <c r="B472" s="1" t="n">
        <v>45681</v>
      </c>
      <c r="C472" s="1" t="n">
        <v>45985</v>
      </c>
      <c r="D472" t="inlineStr">
        <is>
          <t>ÖREBRO LÄN</t>
        </is>
      </c>
      <c r="E472" t="inlineStr">
        <is>
          <t>ÖREBRO</t>
        </is>
      </c>
      <c r="G472" t="n">
        <v>15.8</v>
      </c>
      <c r="H472" t="n">
        <v>0</v>
      </c>
      <c r="I472" t="n">
        <v>0</v>
      </c>
      <c r="J472" t="n">
        <v>0</v>
      </c>
      <c r="K472" t="n">
        <v>0</v>
      </c>
      <c r="L472" t="n">
        <v>0</v>
      </c>
      <c r="M472" t="n">
        <v>0</v>
      </c>
      <c r="N472" t="n">
        <v>0</v>
      </c>
      <c r="O472" t="n">
        <v>0</v>
      </c>
      <c r="P472" t="n">
        <v>0</v>
      </c>
      <c r="Q472" t="n">
        <v>0</v>
      </c>
      <c r="R472" s="2" t="inlineStr"/>
    </row>
    <row r="473" ht="15" customHeight="1">
      <c r="A473" t="inlineStr">
        <is>
          <t>A 1014-2024</t>
        </is>
      </c>
      <c r="B473" s="1" t="n">
        <v>45301</v>
      </c>
      <c r="C473" s="1" t="n">
        <v>45985</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8374-2021</t>
        </is>
      </c>
      <c r="B474" s="1" t="n">
        <v>44244</v>
      </c>
      <c r="C474" s="1" t="n">
        <v>45985</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767-2024</t>
        </is>
      </c>
      <c r="B475" s="1" t="n">
        <v>45300.51892361111</v>
      </c>
      <c r="C475" s="1" t="n">
        <v>45985</v>
      </c>
      <c r="D475" t="inlineStr">
        <is>
          <t>ÖREBRO LÄN</t>
        </is>
      </c>
      <c r="E475" t="inlineStr">
        <is>
          <t>ÖREBRO</t>
        </is>
      </c>
      <c r="G475" t="n">
        <v>2</v>
      </c>
      <c r="H475" t="n">
        <v>0</v>
      </c>
      <c r="I475" t="n">
        <v>0</v>
      </c>
      <c r="J475" t="n">
        <v>0</v>
      </c>
      <c r="K475" t="n">
        <v>0</v>
      </c>
      <c r="L475" t="n">
        <v>0</v>
      </c>
      <c r="M475" t="n">
        <v>0</v>
      </c>
      <c r="N475" t="n">
        <v>0</v>
      </c>
      <c r="O475" t="n">
        <v>0</v>
      </c>
      <c r="P475" t="n">
        <v>0</v>
      </c>
      <c r="Q475" t="n">
        <v>0</v>
      </c>
      <c r="R475" s="2" t="inlineStr"/>
    </row>
    <row r="476" ht="15" customHeight="1">
      <c r="A476" t="inlineStr">
        <is>
          <t>A 44511-2023</t>
        </is>
      </c>
      <c r="B476" s="1" t="n">
        <v>45189</v>
      </c>
      <c r="C476" s="1" t="n">
        <v>45985</v>
      </c>
      <c r="D476" t="inlineStr">
        <is>
          <t>ÖREBRO LÄN</t>
        </is>
      </c>
      <c r="E476" t="inlineStr">
        <is>
          <t>ÖREBRO</t>
        </is>
      </c>
      <c r="F476" t="inlineStr">
        <is>
          <t>Allmännings- och besparingsskogar</t>
        </is>
      </c>
      <c r="G476" t="n">
        <v>2.7</v>
      </c>
      <c r="H476" t="n">
        <v>0</v>
      </c>
      <c r="I476" t="n">
        <v>0</v>
      </c>
      <c r="J476" t="n">
        <v>0</v>
      </c>
      <c r="K476" t="n">
        <v>0</v>
      </c>
      <c r="L476" t="n">
        <v>0</v>
      </c>
      <c r="M476" t="n">
        <v>0</v>
      </c>
      <c r="N476" t="n">
        <v>0</v>
      </c>
      <c r="O476" t="n">
        <v>0</v>
      </c>
      <c r="P476" t="n">
        <v>0</v>
      </c>
      <c r="Q476" t="n">
        <v>0</v>
      </c>
      <c r="R476" s="2" t="inlineStr"/>
    </row>
    <row r="477" ht="15" customHeight="1">
      <c r="A477" t="inlineStr">
        <is>
          <t>A 53234-2023</t>
        </is>
      </c>
      <c r="B477" s="1" t="n">
        <v>45229</v>
      </c>
      <c r="C477" s="1" t="n">
        <v>45985</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8512-2025</t>
        </is>
      </c>
      <c r="B478" s="1" t="n">
        <v>45709.54873842592</v>
      </c>
      <c r="C478" s="1" t="n">
        <v>45985</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28054-2022</t>
        </is>
      </c>
      <c r="B479" s="1" t="n">
        <v>44746.41938657407</v>
      </c>
      <c r="C479" s="1" t="n">
        <v>45985</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1647-2024</t>
        </is>
      </c>
      <c r="B480" s="1" t="n">
        <v>45306</v>
      </c>
      <c r="C480" s="1" t="n">
        <v>45985</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57485-2023</t>
        </is>
      </c>
      <c r="B481" s="1" t="n">
        <v>45246</v>
      </c>
      <c r="C481" s="1" t="n">
        <v>45985</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58032-2023</t>
        </is>
      </c>
      <c r="B482" s="1" t="n">
        <v>45247</v>
      </c>
      <c r="C482" s="1" t="n">
        <v>45985</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58035-2023</t>
        </is>
      </c>
      <c r="B483" s="1" t="n">
        <v>45247</v>
      </c>
      <c r="C483" s="1" t="n">
        <v>45985</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35829-2024</t>
        </is>
      </c>
      <c r="B484" s="1" t="n">
        <v>45532</v>
      </c>
      <c r="C484" s="1" t="n">
        <v>45985</v>
      </c>
      <c r="D484" t="inlineStr">
        <is>
          <t>ÖREBRO LÄN</t>
        </is>
      </c>
      <c r="E484" t="inlineStr">
        <is>
          <t>ÖREBRO</t>
        </is>
      </c>
      <c r="G484" t="n">
        <v>4.6</v>
      </c>
      <c r="H484" t="n">
        <v>0</v>
      </c>
      <c r="I484" t="n">
        <v>0</v>
      </c>
      <c r="J484" t="n">
        <v>0</v>
      </c>
      <c r="K484" t="n">
        <v>0</v>
      </c>
      <c r="L484" t="n">
        <v>0</v>
      </c>
      <c r="M484" t="n">
        <v>0</v>
      </c>
      <c r="N484" t="n">
        <v>0</v>
      </c>
      <c r="O484" t="n">
        <v>0</v>
      </c>
      <c r="P484" t="n">
        <v>0</v>
      </c>
      <c r="Q484" t="n">
        <v>0</v>
      </c>
      <c r="R484" s="2" t="inlineStr"/>
    </row>
    <row r="485" ht="15" customHeight="1">
      <c r="A485" t="inlineStr">
        <is>
          <t>A 35833-2024</t>
        </is>
      </c>
      <c r="B485" s="1" t="n">
        <v>45532.68699074074</v>
      </c>
      <c r="C485" s="1" t="n">
        <v>45985</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14717-2024</t>
        </is>
      </c>
      <c r="B486" s="1" t="n">
        <v>45397.55104166667</v>
      </c>
      <c r="C486" s="1" t="n">
        <v>45985</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5133-2024</t>
        </is>
      </c>
      <c r="B487" s="1" t="n">
        <v>45330</v>
      </c>
      <c r="C487" s="1" t="n">
        <v>45985</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14432-2023</t>
        </is>
      </c>
      <c r="B488" s="1" t="n">
        <v>45012</v>
      </c>
      <c r="C488" s="1" t="n">
        <v>45985</v>
      </c>
      <c r="D488" t="inlineStr">
        <is>
          <t>ÖREBRO LÄN</t>
        </is>
      </c>
      <c r="E488" t="inlineStr">
        <is>
          <t>ÖREBRO</t>
        </is>
      </c>
      <c r="G488" t="n">
        <v>3.3</v>
      </c>
      <c r="H488" t="n">
        <v>0</v>
      </c>
      <c r="I488" t="n">
        <v>0</v>
      </c>
      <c r="J488" t="n">
        <v>0</v>
      </c>
      <c r="K488" t="n">
        <v>0</v>
      </c>
      <c r="L488" t="n">
        <v>0</v>
      </c>
      <c r="M488" t="n">
        <v>0</v>
      </c>
      <c r="N488" t="n">
        <v>0</v>
      </c>
      <c r="O488" t="n">
        <v>0</v>
      </c>
      <c r="P488" t="n">
        <v>0</v>
      </c>
      <c r="Q488" t="n">
        <v>0</v>
      </c>
      <c r="R488" s="2" t="inlineStr"/>
    </row>
    <row r="489" ht="15" customHeight="1">
      <c r="A489" t="inlineStr">
        <is>
          <t>A 10339-2023</t>
        </is>
      </c>
      <c r="B489" s="1" t="n">
        <v>44987</v>
      </c>
      <c r="C489" s="1" t="n">
        <v>45985</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190-2024</t>
        </is>
      </c>
      <c r="B490" s="1" t="n">
        <v>45294.61858796296</v>
      </c>
      <c r="C490" s="1" t="n">
        <v>45985</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62497-2023</t>
        </is>
      </c>
      <c r="B491" s="1" t="n">
        <v>45268.59935185185</v>
      </c>
      <c r="C491" s="1" t="n">
        <v>45985</v>
      </c>
      <c r="D491" t="inlineStr">
        <is>
          <t>ÖREBRO LÄN</t>
        </is>
      </c>
      <c r="E491" t="inlineStr">
        <is>
          <t>ÖREBRO</t>
        </is>
      </c>
      <c r="F491" t="inlineStr">
        <is>
          <t>Övriga Aktiebolag</t>
        </is>
      </c>
      <c r="G491" t="n">
        <v>3.2</v>
      </c>
      <c r="H491" t="n">
        <v>0</v>
      </c>
      <c r="I491" t="n">
        <v>0</v>
      </c>
      <c r="J491" t="n">
        <v>0</v>
      </c>
      <c r="K491" t="n">
        <v>0</v>
      </c>
      <c r="L491" t="n">
        <v>0</v>
      </c>
      <c r="M491" t="n">
        <v>0</v>
      </c>
      <c r="N491" t="n">
        <v>0</v>
      </c>
      <c r="O491" t="n">
        <v>0</v>
      </c>
      <c r="P491" t="n">
        <v>0</v>
      </c>
      <c r="Q491" t="n">
        <v>0</v>
      </c>
      <c r="R491" s="2" t="inlineStr"/>
    </row>
    <row r="492" ht="15" customHeight="1">
      <c r="A492" t="inlineStr">
        <is>
          <t>A 43399-2022</t>
        </is>
      </c>
      <c r="B492" s="1" t="n">
        <v>44834</v>
      </c>
      <c r="C492" s="1" t="n">
        <v>45985</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63142-2023</t>
        </is>
      </c>
      <c r="B493" s="1" t="n">
        <v>45273</v>
      </c>
      <c r="C493" s="1" t="n">
        <v>45985</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37021-2024</t>
        </is>
      </c>
      <c r="B494" s="1" t="n">
        <v>45539.38146990741</v>
      </c>
      <c r="C494" s="1" t="n">
        <v>45985</v>
      </c>
      <c r="D494" t="inlineStr">
        <is>
          <t>ÖREBRO LÄN</t>
        </is>
      </c>
      <c r="E494" t="inlineStr">
        <is>
          <t>ÖREBRO</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23573-2023</t>
        </is>
      </c>
      <c r="B495" s="1" t="n">
        <v>45077.41672453703</v>
      </c>
      <c r="C495" s="1" t="n">
        <v>45985</v>
      </c>
      <c r="D495" t="inlineStr">
        <is>
          <t>ÖREBRO LÄN</t>
        </is>
      </c>
      <c r="E495" t="inlineStr">
        <is>
          <t>ÖREBRO</t>
        </is>
      </c>
      <c r="G495" t="n">
        <v>2.9</v>
      </c>
      <c r="H495" t="n">
        <v>0</v>
      </c>
      <c r="I495" t="n">
        <v>0</v>
      </c>
      <c r="J495" t="n">
        <v>0</v>
      </c>
      <c r="K495" t="n">
        <v>0</v>
      </c>
      <c r="L495" t="n">
        <v>0</v>
      </c>
      <c r="M495" t="n">
        <v>0</v>
      </c>
      <c r="N495" t="n">
        <v>0</v>
      </c>
      <c r="O495" t="n">
        <v>0</v>
      </c>
      <c r="P495" t="n">
        <v>0</v>
      </c>
      <c r="Q495" t="n">
        <v>0</v>
      </c>
      <c r="R495" s="2" t="inlineStr"/>
    </row>
    <row r="496" ht="15" customHeight="1">
      <c r="A496" t="inlineStr">
        <is>
          <t>A 13762-2023</t>
        </is>
      </c>
      <c r="B496" s="1" t="n">
        <v>45007.43729166667</v>
      </c>
      <c r="C496" s="1" t="n">
        <v>45985</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5129-2024</t>
        </is>
      </c>
      <c r="B497" s="1" t="n">
        <v>45330</v>
      </c>
      <c r="C497" s="1" t="n">
        <v>45985</v>
      </c>
      <c r="D497" t="inlineStr">
        <is>
          <t>ÖREBRO LÄN</t>
        </is>
      </c>
      <c r="E497" t="inlineStr">
        <is>
          <t>ÖREBRO</t>
        </is>
      </c>
      <c r="G497" t="n">
        <v>0.5</v>
      </c>
      <c r="H497" t="n">
        <v>0</v>
      </c>
      <c r="I497" t="n">
        <v>0</v>
      </c>
      <c r="J497" t="n">
        <v>0</v>
      </c>
      <c r="K497" t="n">
        <v>0</v>
      </c>
      <c r="L497" t="n">
        <v>0</v>
      </c>
      <c r="M497" t="n">
        <v>0</v>
      </c>
      <c r="N497" t="n">
        <v>0</v>
      </c>
      <c r="O497" t="n">
        <v>0</v>
      </c>
      <c r="P497" t="n">
        <v>0</v>
      </c>
      <c r="Q497" t="n">
        <v>0</v>
      </c>
      <c r="R497" s="2" t="inlineStr"/>
    </row>
    <row r="498" ht="15" customHeight="1">
      <c r="A498" t="inlineStr">
        <is>
          <t>A 1492-2022</t>
        </is>
      </c>
      <c r="B498" s="1" t="n">
        <v>44573</v>
      </c>
      <c r="C498" s="1" t="n">
        <v>45985</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59026-2024</t>
        </is>
      </c>
      <c r="B499" s="1" t="n">
        <v>45636.6875</v>
      </c>
      <c r="C499" s="1" t="n">
        <v>45985</v>
      </c>
      <c r="D499" t="inlineStr">
        <is>
          <t>ÖREBRO LÄN</t>
        </is>
      </c>
      <c r="E499" t="inlineStr">
        <is>
          <t>ÖREBRO</t>
        </is>
      </c>
      <c r="G499" t="n">
        <v>0.9</v>
      </c>
      <c r="H499" t="n">
        <v>0</v>
      </c>
      <c r="I499" t="n">
        <v>0</v>
      </c>
      <c r="J499" t="n">
        <v>0</v>
      </c>
      <c r="K499" t="n">
        <v>0</v>
      </c>
      <c r="L499" t="n">
        <v>0</v>
      </c>
      <c r="M499" t="n">
        <v>0</v>
      </c>
      <c r="N499" t="n">
        <v>0</v>
      </c>
      <c r="O499" t="n">
        <v>0</v>
      </c>
      <c r="P499" t="n">
        <v>0</v>
      </c>
      <c r="Q499" t="n">
        <v>0</v>
      </c>
      <c r="R499" s="2" t="inlineStr"/>
    </row>
    <row r="500" ht="15" customHeight="1">
      <c r="A500" t="inlineStr">
        <is>
          <t>A 52623-2024</t>
        </is>
      </c>
      <c r="B500" s="1" t="n">
        <v>45609</v>
      </c>
      <c r="C500" s="1" t="n">
        <v>45985</v>
      </c>
      <c r="D500" t="inlineStr">
        <is>
          <t>ÖREBRO LÄN</t>
        </is>
      </c>
      <c r="E500" t="inlineStr">
        <is>
          <t>ÖREBRO</t>
        </is>
      </c>
      <c r="F500" t="inlineStr">
        <is>
          <t>Kommuner</t>
        </is>
      </c>
      <c r="G500" t="n">
        <v>1.7</v>
      </c>
      <c r="H500" t="n">
        <v>0</v>
      </c>
      <c r="I500" t="n">
        <v>0</v>
      </c>
      <c r="J500" t="n">
        <v>0</v>
      </c>
      <c r="K500" t="n">
        <v>0</v>
      </c>
      <c r="L500" t="n">
        <v>0</v>
      </c>
      <c r="M500" t="n">
        <v>0</v>
      </c>
      <c r="N500" t="n">
        <v>0</v>
      </c>
      <c r="O500" t="n">
        <v>0</v>
      </c>
      <c r="P500" t="n">
        <v>0</v>
      </c>
      <c r="Q500" t="n">
        <v>0</v>
      </c>
      <c r="R500" s="2" t="inlineStr"/>
    </row>
    <row r="501" ht="15" customHeight="1">
      <c r="A501" t="inlineStr">
        <is>
          <t>A 62511-2023</t>
        </is>
      </c>
      <c r="B501" s="1" t="n">
        <v>45268.61855324074</v>
      </c>
      <c r="C501" s="1" t="n">
        <v>45985</v>
      </c>
      <c r="D501" t="inlineStr">
        <is>
          <t>ÖREBRO LÄN</t>
        </is>
      </c>
      <c r="E501" t="inlineStr">
        <is>
          <t>ÖREBRO</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40522-2024</t>
        </is>
      </c>
      <c r="B502" s="1" t="n">
        <v>45555.59717592593</v>
      </c>
      <c r="C502" s="1" t="n">
        <v>45985</v>
      </c>
      <c r="D502" t="inlineStr">
        <is>
          <t>ÖREBRO LÄN</t>
        </is>
      </c>
      <c r="E502" t="inlineStr">
        <is>
          <t>ÖREBRO</t>
        </is>
      </c>
      <c r="G502" t="n">
        <v>5.1</v>
      </c>
      <c r="H502" t="n">
        <v>0</v>
      </c>
      <c r="I502" t="n">
        <v>0</v>
      </c>
      <c r="J502" t="n">
        <v>0</v>
      </c>
      <c r="K502" t="n">
        <v>0</v>
      </c>
      <c r="L502" t="n">
        <v>0</v>
      </c>
      <c r="M502" t="n">
        <v>0</v>
      </c>
      <c r="N502" t="n">
        <v>0</v>
      </c>
      <c r="O502" t="n">
        <v>0</v>
      </c>
      <c r="P502" t="n">
        <v>0</v>
      </c>
      <c r="Q502" t="n">
        <v>0</v>
      </c>
      <c r="R502" s="2" t="inlineStr"/>
    </row>
    <row r="503" ht="15" customHeight="1">
      <c r="A503" t="inlineStr">
        <is>
          <t>A 33577-2023</t>
        </is>
      </c>
      <c r="B503" s="1" t="n">
        <v>45131</v>
      </c>
      <c r="C503" s="1" t="n">
        <v>45985</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18360-2024</t>
        </is>
      </c>
      <c r="B504" s="1" t="n">
        <v>45422</v>
      </c>
      <c r="C504" s="1" t="n">
        <v>45985</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7611-2024</t>
        </is>
      </c>
      <c r="B505" s="1" t="n">
        <v>45348.58864583333</v>
      </c>
      <c r="C505" s="1" t="n">
        <v>45985</v>
      </c>
      <c r="D505" t="inlineStr">
        <is>
          <t>ÖREBRO LÄN</t>
        </is>
      </c>
      <c r="E505" t="inlineStr">
        <is>
          <t>ÖREBRO</t>
        </is>
      </c>
      <c r="G505" t="n">
        <v>4.2</v>
      </c>
      <c r="H505" t="n">
        <v>0</v>
      </c>
      <c r="I505" t="n">
        <v>0</v>
      </c>
      <c r="J505" t="n">
        <v>0</v>
      </c>
      <c r="K505" t="n">
        <v>0</v>
      </c>
      <c r="L505" t="n">
        <v>0</v>
      </c>
      <c r="M505" t="n">
        <v>0</v>
      </c>
      <c r="N505" t="n">
        <v>0</v>
      </c>
      <c r="O505" t="n">
        <v>0</v>
      </c>
      <c r="P505" t="n">
        <v>0</v>
      </c>
      <c r="Q505" t="n">
        <v>0</v>
      </c>
      <c r="R505" s="2" t="inlineStr"/>
    </row>
    <row r="506" ht="15" customHeight="1">
      <c r="A506" t="inlineStr">
        <is>
          <t>A 13347-2023</t>
        </is>
      </c>
      <c r="B506" s="1" t="n">
        <v>45004</v>
      </c>
      <c r="C506" s="1" t="n">
        <v>45985</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187-2024</t>
        </is>
      </c>
      <c r="B507" s="1" t="n">
        <v>45294</v>
      </c>
      <c r="C507" s="1" t="n">
        <v>45985</v>
      </c>
      <c r="D507" t="inlineStr">
        <is>
          <t>ÖREBRO LÄN</t>
        </is>
      </c>
      <c r="E507" t="inlineStr">
        <is>
          <t>ÖREBRO</t>
        </is>
      </c>
      <c r="G507" t="n">
        <v>5.9</v>
      </c>
      <c r="H507" t="n">
        <v>0</v>
      </c>
      <c r="I507" t="n">
        <v>0</v>
      </c>
      <c r="J507" t="n">
        <v>0</v>
      </c>
      <c r="K507" t="n">
        <v>0</v>
      </c>
      <c r="L507" t="n">
        <v>0</v>
      </c>
      <c r="M507" t="n">
        <v>0</v>
      </c>
      <c r="N507" t="n">
        <v>0</v>
      </c>
      <c r="O507" t="n">
        <v>0</v>
      </c>
      <c r="P507" t="n">
        <v>0</v>
      </c>
      <c r="Q507" t="n">
        <v>0</v>
      </c>
      <c r="R507" s="2" t="inlineStr"/>
    </row>
    <row r="508" ht="15" customHeight="1">
      <c r="A508" t="inlineStr">
        <is>
          <t>A 10832-2023</t>
        </is>
      </c>
      <c r="B508" s="1" t="n">
        <v>44990.91711805556</v>
      </c>
      <c r="C508" s="1" t="n">
        <v>45985</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2596-2022</t>
        </is>
      </c>
      <c r="B509" s="1" t="n">
        <v>44580</v>
      </c>
      <c r="C509" s="1" t="n">
        <v>45985</v>
      </c>
      <c r="D509" t="inlineStr">
        <is>
          <t>ÖREBRO LÄN</t>
        </is>
      </c>
      <c r="E509" t="inlineStr">
        <is>
          <t>ÖREBRO</t>
        </is>
      </c>
      <c r="G509" t="n">
        <v>4.3</v>
      </c>
      <c r="H509" t="n">
        <v>0</v>
      </c>
      <c r="I509" t="n">
        <v>0</v>
      </c>
      <c r="J509" t="n">
        <v>0</v>
      </c>
      <c r="K509" t="n">
        <v>0</v>
      </c>
      <c r="L509" t="n">
        <v>0</v>
      </c>
      <c r="M509" t="n">
        <v>0</v>
      </c>
      <c r="N509" t="n">
        <v>0</v>
      </c>
      <c r="O509" t="n">
        <v>0</v>
      </c>
      <c r="P509" t="n">
        <v>0</v>
      </c>
      <c r="Q509" t="n">
        <v>0</v>
      </c>
      <c r="R509" s="2" t="inlineStr"/>
    </row>
    <row r="510" ht="15" customHeight="1">
      <c r="A510" t="inlineStr">
        <is>
          <t>A 5338-2024</t>
        </is>
      </c>
      <c r="B510" s="1" t="n">
        <v>45331</v>
      </c>
      <c r="C510" s="1" t="n">
        <v>45985</v>
      </c>
      <c r="D510" t="inlineStr">
        <is>
          <t>ÖREBRO LÄN</t>
        </is>
      </c>
      <c r="E510" t="inlineStr">
        <is>
          <t>ÖREBRO</t>
        </is>
      </c>
      <c r="G510" t="n">
        <v>0.6</v>
      </c>
      <c r="H510" t="n">
        <v>0</v>
      </c>
      <c r="I510" t="n">
        <v>0</v>
      </c>
      <c r="J510" t="n">
        <v>0</v>
      </c>
      <c r="K510" t="n">
        <v>0</v>
      </c>
      <c r="L510" t="n">
        <v>0</v>
      </c>
      <c r="M510" t="n">
        <v>0</v>
      </c>
      <c r="N510" t="n">
        <v>0</v>
      </c>
      <c r="O510" t="n">
        <v>0</v>
      </c>
      <c r="P510" t="n">
        <v>0</v>
      </c>
      <c r="Q510" t="n">
        <v>0</v>
      </c>
      <c r="R510" s="2" t="inlineStr"/>
    </row>
    <row r="511" ht="15" customHeight="1">
      <c r="A511" t="inlineStr">
        <is>
          <t>A 14487-2023</t>
        </is>
      </c>
      <c r="B511" s="1" t="n">
        <v>45012</v>
      </c>
      <c r="C511" s="1" t="n">
        <v>45985</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8565-2021</t>
        </is>
      </c>
      <c r="B512" s="1" t="n">
        <v>44245</v>
      </c>
      <c r="C512" s="1" t="n">
        <v>45985</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4970-2022</t>
        </is>
      </c>
      <c r="B513" s="1" t="n">
        <v>44593.51175925926</v>
      </c>
      <c r="C513" s="1" t="n">
        <v>45985</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18047-2023</t>
        </is>
      </c>
      <c r="B514" s="1" t="n">
        <v>45040</v>
      </c>
      <c r="C514" s="1" t="n">
        <v>45985</v>
      </c>
      <c r="D514" t="inlineStr">
        <is>
          <t>ÖREBRO LÄN</t>
        </is>
      </c>
      <c r="E514" t="inlineStr">
        <is>
          <t>ÖREBRO</t>
        </is>
      </c>
      <c r="G514" t="n">
        <v>3.9</v>
      </c>
      <c r="H514" t="n">
        <v>0</v>
      </c>
      <c r="I514" t="n">
        <v>0</v>
      </c>
      <c r="J514" t="n">
        <v>0</v>
      </c>
      <c r="K514" t="n">
        <v>0</v>
      </c>
      <c r="L514" t="n">
        <v>0</v>
      </c>
      <c r="M514" t="n">
        <v>0</v>
      </c>
      <c r="N514" t="n">
        <v>0</v>
      </c>
      <c r="O514" t="n">
        <v>0</v>
      </c>
      <c r="P514" t="n">
        <v>0</v>
      </c>
      <c r="Q514" t="n">
        <v>0</v>
      </c>
      <c r="R514" s="2" t="inlineStr"/>
    </row>
    <row r="515" ht="15" customHeight="1">
      <c r="A515" t="inlineStr">
        <is>
          <t>A 3789-2023</t>
        </is>
      </c>
      <c r="B515" s="1" t="n">
        <v>44951</v>
      </c>
      <c r="C515" s="1" t="n">
        <v>45985</v>
      </c>
      <c r="D515" t="inlineStr">
        <is>
          <t>ÖREBRO LÄN</t>
        </is>
      </c>
      <c r="E515" t="inlineStr">
        <is>
          <t>ÖREBRO</t>
        </is>
      </c>
      <c r="G515" t="n">
        <v>7.5</v>
      </c>
      <c r="H515" t="n">
        <v>0</v>
      </c>
      <c r="I515" t="n">
        <v>0</v>
      </c>
      <c r="J515" t="n">
        <v>0</v>
      </c>
      <c r="K515" t="n">
        <v>0</v>
      </c>
      <c r="L515" t="n">
        <v>0</v>
      </c>
      <c r="M515" t="n">
        <v>0</v>
      </c>
      <c r="N515" t="n">
        <v>0</v>
      </c>
      <c r="O515" t="n">
        <v>0</v>
      </c>
      <c r="P515" t="n">
        <v>0</v>
      </c>
      <c r="Q515" t="n">
        <v>0</v>
      </c>
      <c r="R515" s="2" t="inlineStr"/>
    </row>
    <row r="516" ht="15" customHeight="1">
      <c r="A516" t="inlineStr">
        <is>
          <t>A 5026-2022</t>
        </is>
      </c>
      <c r="B516" s="1" t="n">
        <v>44593.63974537037</v>
      </c>
      <c r="C516" s="1" t="n">
        <v>45985</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54917-2023</t>
        </is>
      </c>
      <c r="B517" s="1" t="n">
        <v>45229</v>
      </c>
      <c r="C517" s="1" t="n">
        <v>45985</v>
      </c>
      <c r="D517" t="inlineStr">
        <is>
          <t>ÖREBRO LÄN</t>
        </is>
      </c>
      <c r="E517" t="inlineStr">
        <is>
          <t>ÖREBRO</t>
        </is>
      </c>
      <c r="G517" t="n">
        <v>3.1</v>
      </c>
      <c r="H517" t="n">
        <v>0</v>
      </c>
      <c r="I517" t="n">
        <v>0</v>
      </c>
      <c r="J517" t="n">
        <v>0</v>
      </c>
      <c r="K517" t="n">
        <v>0</v>
      </c>
      <c r="L517" t="n">
        <v>0</v>
      </c>
      <c r="M517" t="n">
        <v>0</v>
      </c>
      <c r="N517" t="n">
        <v>0</v>
      </c>
      <c r="O517" t="n">
        <v>0</v>
      </c>
      <c r="P517" t="n">
        <v>0</v>
      </c>
      <c r="Q517" t="n">
        <v>0</v>
      </c>
      <c r="R517" s="2" t="inlineStr"/>
    </row>
    <row r="518" ht="15" customHeight="1">
      <c r="A518" t="inlineStr">
        <is>
          <t>A 72329-2021</t>
        </is>
      </c>
      <c r="B518" s="1" t="n">
        <v>44545.46072916667</v>
      </c>
      <c r="C518" s="1" t="n">
        <v>45985</v>
      </c>
      <c r="D518" t="inlineStr">
        <is>
          <t>ÖREBRO LÄN</t>
        </is>
      </c>
      <c r="E518" t="inlineStr">
        <is>
          <t>ÖREBRO</t>
        </is>
      </c>
      <c r="G518" t="n">
        <v>0.5</v>
      </c>
      <c r="H518" t="n">
        <v>0</v>
      </c>
      <c r="I518" t="n">
        <v>0</v>
      </c>
      <c r="J518" t="n">
        <v>0</v>
      </c>
      <c r="K518" t="n">
        <v>0</v>
      </c>
      <c r="L518" t="n">
        <v>0</v>
      </c>
      <c r="M518" t="n">
        <v>0</v>
      </c>
      <c r="N518" t="n">
        <v>0</v>
      </c>
      <c r="O518" t="n">
        <v>0</v>
      </c>
      <c r="P518" t="n">
        <v>0</v>
      </c>
      <c r="Q518" t="n">
        <v>0</v>
      </c>
      <c r="R518" s="2" t="inlineStr"/>
    </row>
    <row r="519" ht="15" customHeight="1">
      <c r="A519" t="inlineStr">
        <is>
          <t>A 43803-2023</t>
        </is>
      </c>
      <c r="B519" s="1" t="n">
        <v>45187</v>
      </c>
      <c r="C519" s="1" t="n">
        <v>45985</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15789-2023</t>
        </is>
      </c>
      <c r="B520" s="1" t="n">
        <v>45021.71539351852</v>
      </c>
      <c r="C520" s="1" t="n">
        <v>45985</v>
      </c>
      <c r="D520" t="inlineStr">
        <is>
          <t>ÖREBRO LÄN</t>
        </is>
      </c>
      <c r="E520" t="inlineStr">
        <is>
          <t>ÖREBRO</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58539-2024</t>
        </is>
      </c>
      <c r="B521" s="1" t="n">
        <v>45635.45157407408</v>
      </c>
      <c r="C521" s="1" t="n">
        <v>45985</v>
      </c>
      <c r="D521" t="inlineStr">
        <is>
          <t>ÖREBRO LÄN</t>
        </is>
      </c>
      <c r="E521" t="inlineStr">
        <is>
          <t>ÖREBRO</t>
        </is>
      </c>
      <c r="F521" t="inlineStr">
        <is>
          <t>Sveaskog</t>
        </is>
      </c>
      <c r="G521" t="n">
        <v>4.1</v>
      </c>
      <c r="H521" t="n">
        <v>0</v>
      </c>
      <c r="I521" t="n">
        <v>0</v>
      </c>
      <c r="J521" t="n">
        <v>0</v>
      </c>
      <c r="K521" t="n">
        <v>0</v>
      </c>
      <c r="L521" t="n">
        <v>0</v>
      </c>
      <c r="M521" t="n">
        <v>0</v>
      </c>
      <c r="N521" t="n">
        <v>0</v>
      </c>
      <c r="O521" t="n">
        <v>0</v>
      </c>
      <c r="P521" t="n">
        <v>0</v>
      </c>
      <c r="Q521" t="n">
        <v>0</v>
      </c>
      <c r="R521" s="2" t="inlineStr"/>
    </row>
    <row r="522" ht="15" customHeight="1">
      <c r="A522" t="inlineStr">
        <is>
          <t>A 59757-2023</t>
        </is>
      </c>
      <c r="B522" s="1" t="n">
        <v>45257.40833333333</v>
      </c>
      <c r="C522" s="1" t="n">
        <v>45985</v>
      </c>
      <c r="D522" t="inlineStr">
        <is>
          <t>ÖREBRO LÄN</t>
        </is>
      </c>
      <c r="E522" t="inlineStr">
        <is>
          <t>ÖREBRO</t>
        </is>
      </c>
      <c r="G522" t="n">
        <v>1</v>
      </c>
      <c r="H522" t="n">
        <v>0</v>
      </c>
      <c r="I522" t="n">
        <v>0</v>
      </c>
      <c r="J522" t="n">
        <v>0</v>
      </c>
      <c r="K522" t="n">
        <v>0</v>
      </c>
      <c r="L522" t="n">
        <v>0</v>
      </c>
      <c r="M522" t="n">
        <v>0</v>
      </c>
      <c r="N522" t="n">
        <v>0</v>
      </c>
      <c r="O522" t="n">
        <v>0</v>
      </c>
      <c r="P522" t="n">
        <v>0</v>
      </c>
      <c r="Q522" t="n">
        <v>0</v>
      </c>
      <c r="R522" s="2" t="inlineStr"/>
    </row>
    <row r="523" ht="15" customHeight="1">
      <c r="A523" t="inlineStr">
        <is>
          <t>A 17869-2024</t>
        </is>
      </c>
      <c r="B523" s="1" t="n">
        <v>45419</v>
      </c>
      <c r="C523" s="1" t="n">
        <v>45985</v>
      </c>
      <c r="D523" t="inlineStr">
        <is>
          <t>ÖREBRO LÄN</t>
        </is>
      </c>
      <c r="E523" t="inlineStr">
        <is>
          <t>ÖREBRO</t>
        </is>
      </c>
      <c r="G523" t="n">
        <v>3.7</v>
      </c>
      <c r="H523" t="n">
        <v>0</v>
      </c>
      <c r="I523" t="n">
        <v>0</v>
      </c>
      <c r="J523" t="n">
        <v>0</v>
      </c>
      <c r="K523" t="n">
        <v>0</v>
      </c>
      <c r="L523" t="n">
        <v>0</v>
      </c>
      <c r="M523" t="n">
        <v>0</v>
      </c>
      <c r="N523" t="n">
        <v>0</v>
      </c>
      <c r="O523" t="n">
        <v>0</v>
      </c>
      <c r="P523" t="n">
        <v>0</v>
      </c>
      <c r="Q523" t="n">
        <v>0</v>
      </c>
      <c r="R523" s="2" t="inlineStr"/>
    </row>
    <row r="524" ht="15" customHeight="1">
      <c r="A524" t="inlineStr">
        <is>
          <t>A 71272-2021</t>
        </is>
      </c>
      <c r="B524" s="1" t="n">
        <v>44539.61571759259</v>
      </c>
      <c r="C524" s="1" t="n">
        <v>45985</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4557-2023</t>
        </is>
      </c>
      <c r="B525" s="1" t="n">
        <v>44956.6655787037</v>
      </c>
      <c r="C525" s="1" t="n">
        <v>45985</v>
      </c>
      <c r="D525" t="inlineStr">
        <is>
          <t>ÖREBRO LÄN</t>
        </is>
      </c>
      <c r="E525" t="inlineStr">
        <is>
          <t>ÖREBRO</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60100-2022</t>
        </is>
      </c>
      <c r="B526" s="1" t="n">
        <v>44902</v>
      </c>
      <c r="C526" s="1" t="n">
        <v>45985</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17465-2023</t>
        </is>
      </c>
      <c r="B527" s="1" t="n">
        <v>45036</v>
      </c>
      <c r="C527" s="1" t="n">
        <v>45985</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6213-2021</t>
        </is>
      </c>
      <c r="B528" s="1" t="n">
        <v>44232</v>
      </c>
      <c r="C528" s="1" t="n">
        <v>45985</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52016-2024</t>
        </is>
      </c>
      <c r="B529" s="1" t="n">
        <v>45607.81917824074</v>
      </c>
      <c r="C529" s="1" t="n">
        <v>45985</v>
      </c>
      <c r="D529" t="inlineStr">
        <is>
          <t>ÖREBRO LÄN</t>
        </is>
      </c>
      <c r="E529" t="inlineStr">
        <is>
          <t>ÖREBRO</t>
        </is>
      </c>
      <c r="G529" t="n">
        <v>1.9</v>
      </c>
      <c r="H529" t="n">
        <v>0</v>
      </c>
      <c r="I529" t="n">
        <v>0</v>
      </c>
      <c r="J529" t="n">
        <v>0</v>
      </c>
      <c r="K529" t="n">
        <v>0</v>
      </c>
      <c r="L529" t="n">
        <v>0</v>
      </c>
      <c r="M529" t="n">
        <v>0</v>
      </c>
      <c r="N529" t="n">
        <v>0</v>
      </c>
      <c r="O529" t="n">
        <v>0</v>
      </c>
      <c r="P529" t="n">
        <v>0</v>
      </c>
      <c r="Q529" t="n">
        <v>0</v>
      </c>
      <c r="R529" s="2" t="inlineStr"/>
    </row>
    <row r="530" ht="15" customHeight="1">
      <c r="A530" t="inlineStr">
        <is>
          <t>A 52477-2024</t>
        </is>
      </c>
      <c r="B530" s="1" t="n">
        <v>45609</v>
      </c>
      <c r="C530" s="1" t="n">
        <v>45985</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53558-2023</t>
        </is>
      </c>
      <c r="B531" s="1" t="n">
        <v>45230.47266203703</v>
      </c>
      <c r="C531" s="1" t="n">
        <v>45985</v>
      </c>
      <c r="D531" t="inlineStr">
        <is>
          <t>ÖREBRO LÄN</t>
        </is>
      </c>
      <c r="E531" t="inlineStr">
        <is>
          <t>ÖREBRO</t>
        </is>
      </c>
      <c r="F531" t="inlineStr">
        <is>
          <t>Övriga Aktiebolag</t>
        </is>
      </c>
      <c r="G531" t="n">
        <v>4.7</v>
      </c>
      <c r="H531" t="n">
        <v>0</v>
      </c>
      <c r="I531" t="n">
        <v>0</v>
      </c>
      <c r="J531" t="n">
        <v>0</v>
      </c>
      <c r="K531" t="n">
        <v>0</v>
      </c>
      <c r="L531" t="n">
        <v>0</v>
      </c>
      <c r="M531" t="n">
        <v>0</v>
      </c>
      <c r="N531" t="n">
        <v>0</v>
      </c>
      <c r="O531" t="n">
        <v>0</v>
      </c>
      <c r="P531" t="n">
        <v>0</v>
      </c>
      <c r="Q531" t="n">
        <v>0</v>
      </c>
      <c r="R531" s="2" t="inlineStr"/>
    </row>
    <row r="532" ht="15" customHeight="1">
      <c r="A532" t="inlineStr">
        <is>
          <t>A 35843-2022</t>
        </is>
      </c>
      <c r="B532" s="1" t="n">
        <v>44802</v>
      </c>
      <c r="C532" s="1" t="n">
        <v>45985</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51373-2023</t>
        </is>
      </c>
      <c r="B533" s="1" t="n">
        <v>45213</v>
      </c>
      <c r="C533" s="1" t="n">
        <v>45985</v>
      </c>
      <c r="D533" t="inlineStr">
        <is>
          <t>ÖREBRO LÄN</t>
        </is>
      </c>
      <c r="E533" t="inlineStr">
        <is>
          <t>ÖREBRO</t>
        </is>
      </c>
      <c r="G533" t="n">
        <v>5.9</v>
      </c>
      <c r="H533" t="n">
        <v>0</v>
      </c>
      <c r="I533" t="n">
        <v>0</v>
      </c>
      <c r="J533" t="n">
        <v>0</v>
      </c>
      <c r="K533" t="n">
        <v>0</v>
      </c>
      <c r="L533" t="n">
        <v>0</v>
      </c>
      <c r="M533" t="n">
        <v>0</v>
      </c>
      <c r="N533" t="n">
        <v>0</v>
      </c>
      <c r="O533" t="n">
        <v>0</v>
      </c>
      <c r="P533" t="n">
        <v>0</v>
      </c>
      <c r="Q533" t="n">
        <v>0</v>
      </c>
      <c r="R533" s="2" t="inlineStr"/>
    </row>
    <row r="534" ht="15" customHeight="1">
      <c r="A534" t="inlineStr">
        <is>
          <t>A 1257-2022</t>
        </is>
      </c>
      <c r="B534" s="1" t="n">
        <v>44572</v>
      </c>
      <c r="C534" s="1" t="n">
        <v>45985</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40656-2023</t>
        </is>
      </c>
      <c r="B535" s="1" t="n">
        <v>45170</v>
      </c>
      <c r="C535" s="1" t="n">
        <v>45985</v>
      </c>
      <c r="D535" t="inlineStr">
        <is>
          <t>ÖREBRO LÄN</t>
        </is>
      </c>
      <c r="E535" t="inlineStr">
        <is>
          <t>ÖREBRO</t>
        </is>
      </c>
      <c r="F535" t="inlineStr">
        <is>
          <t>Övriga Aktiebolag</t>
        </is>
      </c>
      <c r="G535" t="n">
        <v>0.8</v>
      </c>
      <c r="H535" t="n">
        <v>0</v>
      </c>
      <c r="I535" t="n">
        <v>0</v>
      </c>
      <c r="J535" t="n">
        <v>0</v>
      </c>
      <c r="K535" t="n">
        <v>0</v>
      </c>
      <c r="L535" t="n">
        <v>0</v>
      </c>
      <c r="M535" t="n">
        <v>0</v>
      </c>
      <c r="N535" t="n">
        <v>0</v>
      </c>
      <c r="O535" t="n">
        <v>0</v>
      </c>
      <c r="P535" t="n">
        <v>0</v>
      </c>
      <c r="Q535" t="n">
        <v>0</v>
      </c>
      <c r="R535" s="2" t="inlineStr"/>
    </row>
    <row r="536" ht="15" customHeight="1">
      <c r="A536" t="inlineStr">
        <is>
          <t>A 22677-2022</t>
        </is>
      </c>
      <c r="B536" s="1" t="n">
        <v>44714</v>
      </c>
      <c r="C536" s="1" t="n">
        <v>45985</v>
      </c>
      <c r="D536" t="inlineStr">
        <is>
          <t>ÖREBRO LÄN</t>
        </is>
      </c>
      <c r="E536" t="inlineStr">
        <is>
          <t>ÖREBRO</t>
        </is>
      </c>
      <c r="G536" t="n">
        <v>2.3</v>
      </c>
      <c r="H536" t="n">
        <v>0</v>
      </c>
      <c r="I536" t="n">
        <v>0</v>
      </c>
      <c r="J536" t="n">
        <v>0</v>
      </c>
      <c r="K536" t="n">
        <v>0</v>
      </c>
      <c r="L536" t="n">
        <v>0</v>
      </c>
      <c r="M536" t="n">
        <v>0</v>
      </c>
      <c r="N536" t="n">
        <v>0</v>
      </c>
      <c r="O536" t="n">
        <v>0</v>
      </c>
      <c r="P536" t="n">
        <v>0</v>
      </c>
      <c r="Q536" t="n">
        <v>0</v>
      </c>
      <c r="R536" s="2" t="inlineStr"/>
    </row>
    <row r="537" ht="15" customHeight="1">
      <c r="A537" t="inlineStr">
        <is>
          <t>A 71288-2021</t>
        </is>
      </c>
      <c r="B537" s="1" t="n">
        <v>44539.62481481482</v>
      </c>
      <c r="C537" s="1" t="n">
        <v>45985</v>
      </c>
      <c r="D537" t="inlineStr">
        <is>
          <t>ÖREBRO LÄN</t>
        </is>
      </c>
      <c r="E537" t="inlineStr">
        <is>
          <t>ÖREBRO</t>
        </is>
      </c>
      <c r="G537" t="n">
        <v>3.9</v>
      </c>
      <c r="H537" t="n">
        <v>0</v>
      </c>
      <c r="I537" t="n">
        <v>0</v>
      </c>
      <c r="J537" t="n">
        <v>0</v>
      </c>
      <c r="K537" t="n">
        <v>0</v>
      </c>
      <c r="L537" t="n">
        <v>0</v>
      </c>
      <c r="M537" t="n">
        <v>0</v>
      </c>
      <c r="N537" t="n">
        <v>0</v>
      </c>
      <c r="O537" t="n">
        <v>0</v>
      </c>
      <c r="P537" t="n">
        <v>0</v>
      </c>
      <c r="Q537" t="n">
        <v>0</v>
      </c>
      <c r="R537" s="2" t="inlineStr"/>
    </row>
    <row r="538" ht="15" customHeight="1">
      <c r="A538" t="inlineStr">
        <is>
          <t>A 10830-2023</t>
        </is>
      </c>
      <c r="B538" s="1" t="n">
        <v>44990.89752314815</v>
      </c>
      <c r="C538" s="1" t="n">
        <v>45985</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7692-2023</t>
        </is>
      </c>
      <c r="B539" s="1" t="n">
        <v>44972.7762962963</v>
      </c>
      <c r="C539" s="1" t="n">
        <v>45985</v>
      </c>
      <c r="D539" t="inlineStr">
        <is>
          <t>ÖREBRO LÄN</t>
        </is>
      </c>
      <c r="E539" t="inlineStr">
        <is>
          <t>ÖREBRO</t>
        </is>
      </c>
      <c r="G539" t="n">
        <v>1.5</v>
      </c>
      <c r="H539" t="n">
        <v>0</v>
      </c>
      <c r="I539" t="n">
        <v>0</v>
      </c>
      <c r="J539" t="n">
        <v>0</v>
      </c>
      <c r="K539" t="n">
        <v>0</v>
      </c>
      <c r="L539" t="n">
        <v>0</v>
      </c>
      <c r="M539" t="n">
        <v>0</v>
      </c>
      <c r="N539" t="n">
        <v>0</v>
      </c>
      <c r="O539" t="n">
        <v>0</v>
      </c>
      <c r="P539" t="n">
        <v>0</v>
      </c>
      <c r="Q539" t="n">
        <v>0</v>
      </c>
      <c r="R539" s="2" t="inlineStr"/>
    </row>
    <row r="540" ht="15" customHeight="1">
      <c r="A540" t="inlineStr">
        <is>
          <t>A 31240-2023</t>
        </is>
      </c>
      <c r="B540" s="1" t="n">
        <v>45114</v>
      </c>
      <c r="C540" s="1" t="n">
        <v>45985</v>
      </c>
      <c r="D540" t="inlineStr">
        <is>
          <t>ÖREBRO LÄN</t>
        </is>
      </c>
      <c r="E540" t="inlineStr">
        <is>
          <t>ÖREBRO</t>
        </is>
      </c>
      <c r="F540" t="inlineStr">
        <is>
          <t>Allmännings- och besparingsskogar</t>
        </is>
      </c>
      <c r="G540" t="n">
        <v>6.2</v>
      </c>
      <c r="H540" t="n">
        <v>0</v>
      </c>
      <c r="I540" t="n">
        <v>0</v>
      </c>
      <c r="J540" t="n">
        <v>0</v>
      </c>
      <c r="K540" t="n">
        <v>0</v>
      </c>
      <c r="L540" t="n">
        <v>0</v>
      </c>
      <c r="M540" t="n">
        <v>0</v>
      </c>
      <c r="N540" t="n">
        <v>0</v>
      </c>
      <c r="O540" t="n">
        <v>0</v>
      </c>
      <c r="P540" t="n">
        <v>0</v>
      </c>
      <c r="Q540" t="n">
        <v>0</v>
      </c>
      <c r="R540" s="2" t="inlineStr"/>
    </row>
    <row r="541" ht="15" customHeight="1">
      <c r="A541" t="inlineStr">
        <is>
          <t>A 50026-2024</t>
        </is>
      </c>
      <c r="B541" s="1" t="n">
        <v>45599.60541666667</v>
      </c>
      <c r="C541" s="1" t="n">
        <v>45985</v>
      </c>
      <c r="D541" t="inlineStr">
        <is>
          <t>ÖREBRO LÄN</t>
        </is>
      </c>
      <c r="E541" t="inlineStr">
        <is>
          <t>ÖREBRO</t>
        </is>
      </c>
      <c r="G541" t="n">
        <v>2.2</v>
      </c>
      <c r="H541" t="n">
        <v>0</v>
      </c>
      <c r="I541" t="n">
        <v>0</v>
      </c>
      <c r="J541" t="n">
        <v>0</v>
      </c>
      <c r="K541" t="n">
        <v>0</v>
      </c>
      <c r="L541" t="n">
        <v>0</v>
      </c>
      <c r="M541" t="n">
        <v>0</v>
      </c>
      <c r="N541" t="n">
        <v>0</v>
      </c>
      <c r="O541" t="n">
        <v>0</v>
      </c>
      <c r="P541" t="n">
        <v>0</v>
      </c>
      <c r="Q541" t="n">
        <v>0</v>
      </c>
      <c r="R541" s="2" t="inlineStr"/>
    </row>
    <row r="542" ht="15" customHeight="1">
      <c r="A542" t="inlineStr">
        <is>
          <t>A 18449-2023</t>
        </is>
      </c>
      <c r="B542" s="1" t="n">
        <v>45042.5203125</v>
      </c>
      <c r="C542" s="1" t="n">
        <v>45985</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16936-2023</t>
        </is>
      </c>
      <c r="B543" s="1" t="n">
        <v>45033.63005787037</v>
      </c>
      <c r="C543" s="1" t="n">
        <v>45985</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58145-2024</t>
        </is>
      </c>
      <c r="B544" s="1" t="n">
        <v>45632.43230324074</v>
      </c>
      <c r="C544" s="1" t="n">
        <v>45985</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64730-2023</t>
        </is>
      </c>
      <c r="B545" s="1" t="n">
        <v>45281</v>
      </c>
      <c r="C545" s="1" t="n">
        <v>45985</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44284-2022</t>
        </is>
      </c>
      <c r="B546" s="1" t="n">
        <v>44839.59194444444</v>
      </c>
      <c r="C546" s="1" t="n">
        <v>45985</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14544-2023</t>
        </is>
      </c>
      <c r="B547" s="1" t="n">
        <v>45013</v>
      </c>
      <c r="C547" s="1" t="n">
        <v>45985</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15682-2023</t>
        </is>
      </c>
      <c r="B548" s="1" t="n">
        <v>45021</v>
      </c>
      <c r="C548" s="1" t="n">
        <v>45985</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4416-2023</t>
        </is>
      </c>
      <c r="B549" s="1" t="n">
        <v>44956</v>
      </c>
      <c r="C549" s="1" t="n">
        <v>45985</v>
      </c>
      <c r="D549" t="inlineStr">
        <is>
          <t>ÖREBRO LÄN</t>
        </is>
      </c>
      <c r="E549" t="inlineStr">
        <is>
          <t>ÖREBRO</t>
        </is>
      </c>
      <c r="G549" t="n">
        <v>0.7</v>
      </c>
      <c r="H549" t="n">
        <v>0</v>
      </c>
      <c r="I549" t="n">
        <v>0</v>
      </c>
      <c r="J549" t="n">
        <v>0</v>
      </c>
      <c r="K549" t="n">
        <v>0</v>
      </c>
      <c r="L549" t="n">
        <v>0</v>
      </c>
      <c r="M549" t="n">
        <v>0</v>
      </c>
      <c r="N549" t="n">
        <v>0</v>
      </c>
      <c r="O549" t="n">
        <v>0</v>
      </c>
      <c r="P549" t="n">
        <v>0</v>
      </c>
      <c r="Q549" t="n">
        <v>0</v>
      </c>
      <c r="R549" s="2" t="inlineStr"/>
    </row>
    <row r="550" ht="15" customHeight="1">
      <c r="A550" t="inlineStr">
        <is>
          <t>A 49062-2023</t>
        </is>
      </c>
      <c r="B550" s="1" t="n">
        <v>45210.35119212963</v>
      </c>
      <c r="C550" s="1" t="n">
        <v>45985</v>
      </c>
      <c r="D550" t="inlineStr">
        <is>
          <t>ÖREBRO LÄN</t>
        </is>
      </c>
      <c r="E550" t="inlineStr">
        <is>
          <t>ÖREBRO</t>
        </is>
      </c>
      <c r="G550" t="n">
        <v>1.6</v>
      </c>
      <c r="H550" t="n">
        <v>0</v>
      </c>
      <c r="I550" t="n">
        <v>0</v>
      </c>
      <c r="J550" t="n">
        <v>0</v>
      </c>
      <c r="K550" t="n">
        <v>0</v>
      </c>
      <c r="L550" t="n">
        <v>0</v>
      </c>
      <c r="M550" t="n">
        <v>0</v>
      </c>
      <c r="N550" t="n">
        <v>0</v>
      </c>
      <c r="O550" t="n">
        <v>0</v>
      </c>
      <c r="P550" t="n">
        <v>0</v>
      </c>
      <c r="Q550" t="n">
        <v>0</v>
      </c>
      <c r="R550" s="2" t="inlineStr"/>
    </row>
    <row r="551" ht="15" customHeight="1">
      <c r="A551" t="inlineStr">
        <is>
          <t>A 32321-2023</t>
        </is>
      </c>
      <c r="B551" s="1" t="n">
        <v>45120</v>
      </c>
      <c r="C551" s="1" t="n">
        <v>45985</v>
      </c>
      <c r="D551" t="inlineStr">
        <is>
          <t>ÖREBRO LÄN</t>
        </is>
      </c>
      <c r="E551" t="inlineStr">
        <is>
          <t>ÖREBRO</t>
        </is>
      </c>
      <c r="G551" t="n">
        <v>3.4</v>
      </c>
      <c r="H551" t="n">
        <v>0</v>
      </c>
      <c r="I551" t="n">
        <v>0</v>
      </c>
      <c r="J551" t="n">
        <v>0</v>
      </c>
      <c r="K551" t="n">
        <v>0</v>
      </c>
      <c r="L551" t="n">
        <v>0</v>
      </c>
      <c r="M551" t="n">
        <v>0</v>
      </c>
      <c r="N551" t="n">
        <v>0</v>
      </c>
      <c r="O551" t="n">
        <v>0</v>
      </c>
      <c r="P551" t="n">
        <v>0</v>
      </c>
      <c r="Q551" t="n">
        <v>0</v>
      </c>
      <c r="R551" s="2" t="inlineStr"/>
    </row>
    <row r="552" ht="15" customHeight="1">
      <c r="A552" t="inlineStr">
        <is>
          <t>A 2095-2025</t>
        </is>
      </c>
      <c r="B552" s="1" t="n">
        <v>45672</v>
      </c>
      <c r="C552" s="1" t="n">
        <v>45985</v>
      </c>
      <c r="D552" t="inlineStr">
        <is>
          <t>ÖREBRO LÄN</t>
        </is>
      </c>
      <c r="E552" t="inlineStr">
        <is>
          <t>ÖREBRO</t>
        </is>
      </c>
      <c r="G552" t="n">
        <v>1.2</v>
      </c>
      <c r="H552" t="n">
        <v>0</v>
      </c>
      <c r="I552" t="n">
        <v>0</v>
      </c>
      <c r="J552" t="n">
        <v>0</v>
      </c>
      <c r="K552" t="n">
        <v>0</v>
      </c>
      <c r="L552" t="n">
        <v>0</v>
      </c>
      <c r="M552" t="n">
        <v>0</v>
      </c>
      <c r="N552" t="n">
        <v>0</v>
      </c>
      <c r="O552" t="n">
        <v>0</v>
      </c>
      <c r="P552" t="n">
        <v>0</v>
      </c>
      <c r="Q552" t="n">
        <v>0</v>
      </c>
      <c r="R552" s="2" t="inlineStr"/>
    </row>
    <row r="553" ht="15" customHeight="1">
      <c r="A553" t="inlineStr">
        <is>
          <t>A 71275-2021</t>
        </is>
      </c>
      <c r="B553" s="1" t="n">
        <v>44539</v>
      </c>
      <c r="C553" s="1" t="n">
        <v>45985</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58608-2024</t>
        </is>
      </c>
      <c r="B554" s="1" t="n">
        <v>45635.55185185185</v>
      </c>
      <c r="C554" s="1" t="n">
        <v>45985</v>
      </c>
      <c r="D554" t="inlineStr">
        <is>
          <t>ÖREBRO LÄN</t>
        </is>
      </c>
      <c r="E554" t="inlineStr">
        <is>
          <t>ÖREBRO</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2153-2023</t>
        </is>
      </c>
      <c r="B555" s="1" t="n">
        <v>44941</v>
      </c>
      <c r="C555" s="1" t="n">
        <v>45985</v>
      </c>
      <c r="D555" t="inlineStr">
        <is>
          <t>ÖREBRO LÄN</t>
        </is>
      </c>
      <c r="E555" t="inlineStr">
        <is>
          <t>ÖREBRO</t>
        </is>
      </c>
      <c r="G555" t="n">
        <v>6.3</v>
      </c>
      <c r="H555" t="n">
        <v>0</v>
      </c>
      <c r="I555" t="n">
        <v>0</v>
      </c>
      <c r="J555" t="n">
        <v>0</v>
      </c>
      <c r="K555" t="n">
        <v>0</v>
      </c>
      <c r="L555" t="n">
        <v>0</v>
      </c>
      <c r="M555" t="n">
        <v>0</v>
      </c>
      <c r="N555" t="n">
        <v>0</v>
      </c>
      <c r="O555" t="n">
        <v>0</v>
      </c>
      <c r="P555" t="n">
        <v>0</v>
      </c>
      <c r="Q555" t="n">
        <v>0</v>
      </c>
      <c r="R555" s="2" t="inlineStr"/>
    </row>
    <row r="556" ht="15" customHeight="1">
      <c r="A556" t="inlineStr">
        <is>
          <t>A 2069-2025</t>
        </is>
      </c>
      <c r="B556" s="1" t="n">
        <v>45672.56614583333</v>
      </c>
      <c r="C556" s="1" t="n">
        <v>45985</v>
      </c>
      <c r="D556" t="inlineStr">
        <is>
          <t>ÖREBRO LÄN</t>
        </is>
      </c>
      <c r="E556" t="inlineStr">
        <is>
          <t>ÖREBRO</t>
        </is>
      </c>
      <c r="G556" t="n">
        <v>3.8</v>
      </c>
      <c r="H556" t="n">
        <v>0</v>
      </c>
      <c r="I556" t="n">
        <v>0</v>
      </c>
      <c r="J556" t="n">
        <v>0</v>
      </c>
      <c r="K556" t="n">
        <v>0</v>
      </c>
      <c r="L556" t="n">
        <v>0</v>
      </c>
      <c r="M556" t="n">
        <v>0</v>
      </c>
      <c r="N556" t="n">
        <v>0</v>
      </c>
      <c r="O556" t="n">
        <v>0</v>
      </c>
      <c r="P556" t="n">
        <v>0</v>
      </c>
      <c r="Q556" t="n">
        <v>0</v>
      </c>
      <c r="R556" s="2" t="inlineStr"/>
    </row>
    <row r="557" ht="15" customHeight="1">
      <c r="A557" t="inlineStr">
        <is>
          <t>A 852-2025</t>
        </is>
      </c>
      <c r="B557" s="1" t="n">
        <v>45665.60148148148</v>
      </c>
      <c r="C557" s="1" t="n">
        <v>45985</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50398-2022</t>
        </is>
      </c>
      <c r="B558" s="1" t="n">
        <v>44861</v>
      </c>
      <c r="C558" s="1" t="n">
        <v>45985</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52441-2024</t>
        </is>
      </c>
      <c r="B559" s="1" t="n">
        <v>45609.48451388889</v>
      </c>
      <c r="C559" s="1" t="n">
        <v>45985</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52499-2024</t>
        </is>
      </c>
      <c r="B560" s="1" t="n">
        <v>45609.58422453704</v>
      </c>
      <c r="C560" s="1" t="n">
        <v>45985</v>
      </c>
      <c r="D560" t="inlineStr">
        <is>
          <t>ÖREBRO LÄN</t>
        </is>
      </c>
      <c r="E560" t="inlineStr">
        <is>
          <t>ÖREBRO</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8008-2024</t>
        </is>
      </c>
      <c r="B561" s="1" t="n">
        <v>45350.6794212963</v>
      </c>
      <c r="C561" s="1" t="n">
        <v>45985</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18181-2024</t>
        </is>
      </c>
      <c r="B562" s="1" t="n">
        <v>45420.64561342593</v>
      </c>
      <c r="C562" s="1" t="n">
        <v>45985</v>
      </c>
      <c r="D562" t="inlineStr">
        <is>
          <t>ÖREBRO LÄN</t>
        </is>
      </c>
      <c r="E562" t="inlineStr">
        <is>
          <t>ÖREBRO</t>
        </is>
      </c>
      <c r="G562" t="n">
        <v>7.6</v>
      </c>
      <c r="H562" t="n">
        <v>0</v>
      </c>
      <c r="I562" t="n">
        <v>0</v>
      </c>
      <c r="J562" t="n">
        <v>0</v>
      </c>
      <c r="K562" t="n">
        <v>0</v>
      </c>
      <c r="L562" t="n">
        <v>0</v>
      </c>
      <c r="M562" t="n">
        <v>0</v>
      </c>
      <c r="N562" t="n">
        <v>0</v>
      </c>
      <c r="O562" t="n">
        <v>0</v>
      </c>
      <c r="P562" t="n">
        <v>0</v>
      </c>
      <c r="Q562" t="n">
        <v>0</v>
      </c>
      <c r="R562" s="2" t="inlineStr"/>
    </row>
    <row r="563" ht="15" customHeight="1">
      <c r="A563" t="inlineStr">
        <is>
          <t>A 38415-2023</t>
        </is>
      </c>
      <c r="B563" s="1" t="n">
        <v>45162.35502314815</v>
      </c>
      <c r="C563" s="1" t="n">
        <v>45985</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16374-2022</t>
        </is>
      </c>
      <c r="B564" s="1" t="n">
        <v>44671</v>
      </c>
      <c r="C564" s="1" t="n">
        <v>45985</v>
      </c>
      <c r="D564" t="inlineStr">
        <is>
          <t>ÖREBRO LÄN</t>
        </is>
      </c>
      <c r="E564" t="inlineStr">
        <is>
          <t>ÖREBRO</t>
        </is>
      </c>
      <c r="F564" t="inlineStr">
        <is>
          <t>Övriga Aktiebolag</t>
        </is>
      </c>
      <c r="G564" t="n">
        <v>30.3</v>
      </c>
      <c r="H564" t="n">
        <v>0</v>
      </c>
      <c r="I564" t="n">
        <v>0</v>
      </c>
      <c r="J564" t="n">
        <v>0</v>
      </c>
      <c r="K564" t="n">
        <v>0</v>
      </c>
      <c r="L564" t="n">
        <v>0</v>
      </c>
      <c r="M564" t="n">
        <v>0</v>
      </c>
      <c r="N564" t="n">
        <v>0</v>
      </c>
      <c r="O564" t="n">
        <v>0</v>
      </c>
      <c r="P564" t="n">
        <v>0</v>
      </c>
      <c r="Q564" t="n">
        <v>0</v>
      </c>
      <c r="R564" s="2" t="inlineStr"/>
    </row>
    <row r="565" ht="15" customHeight="1">
      <c r="A565" t="inlineStr">
        <is>
          <t>A 9704-2023</t>
        </is>
      </c>
      <c r="B565" s="1" t="n">
        <v>44984</v>
      </c>
      <c r="C565" s="1" t="n">
        <v>45985</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19180-2025</t>
        </is>
      </c>
      <c r="B566" s="1" t="n">
        <v>45769.40133101852</v>
      </c>
      <c r="C566" s="1" t="n">
        <v>45985</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46052-2024</t>
        </is>
      </c>
      <c r="B567" s="1" t="n">
        <v>45580.89116898148</v>
      </c>
      <c r="C567" s="1" t="n">
        <v>45985</v>
      </c>
      <c r="D567" t="inlineStr">
        <is>
          <t>ÖREBRO LÄN</t>
        </is>
      </c>
      <c r="E567" t="inlineStr">
        <is>
          <t>ÖREBRO</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45985</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37022-2024</t>
        </is>
      </c>
      <c r="B569" s="1" t="n">
        <v>45539.3822337963</v>
      </c>
      <c r="C569" s="1" t="n">
        <v>45985</v>
      </c>
      <c r="D569" t="inlineStr">
        <is>
          <t>ÖREBRO LÄN</t>
        </is>
      </c>
      <c r="E569" t="inlineStr">
        <is>
          <t>ÖREBRO</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37024-2024</t>
        </is>
      </c>
      <c r="B570" s="1" t="n">
        <v>45539.38329861111</v>
      </c>
      <c r="C570" s="1" t="n">
        <v>45985</v>
      </c>
      <c r="D570" t="inlineStr">
        <is>
          <t>ÖREBRO LÄN</t>
        </is>
      </c>
      <c r="E570" t="inlineStr">
        <is>
          <t>ÖREBRO</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38075-2022</t>
        </is>
      </c>
      <c r="B571" s="1" t="n">
        <v>44811</v>
      </c>
      <c r="C571" s="1" t="n">
        <v>45985</v>
      </c>
      <c r="D571" t="inlineStr">
        <is>
          <t>ÖREBRO LÄN</t>
        </is>
      </c>
      <c r="E571" t="inlineStr">
        <is>
          <t>ÖREBRO</t>
        </is>
      </c>
      <c r="G571" t="n">
        <v>0.2</v>
      </c>
      <c r="H571" t="n">
        <v>0</v>
      </c>
      <c r="I571" t="n">
        <v>0</v>
      </c>
      <c r="J571" t="n">
        <v>0</v>
      </c>
      <c r="K571" t="n">
        <v>0</v>
      </c>
      <c r="L571" t="n">
        <v>0</v>
      </c>
      <c r="M571" t="n">
        <v>0</v>
      </c>
      <c r="N571" t="n">
        <v>0</v>
      </c>
      <c r="O571" t="n">
        <v>0</v>
      </c>
      <c r="P571" t="n">
        <v>0</v>
      </c>
      <c r="Q571" t="n">
        <v>0</v>
      </c>
      <c r="R571" s="2" t="inlineStr"/>
    </row>
    <row r="572" ht="15" customHeight="1">
      <c r="A572" t="inlineStr">
        <is>
          <t>A 11382-2023</t>
        </is>
      </c>
      <c r="B572" s="1" t="n">
        <v>44993.45635416666</v>
      </c>
      <c r="C572" s="1" t="n">
        <v>45985</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20121-2024</t>
        </is>
      </c>
      <c r="B573" s="1" t="n">
        <v>45434</v>
      </c>
      <c r="C573" s="1" t="n">
        <v>45985</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26117-2021</t>
        </is>
      </c>
      <c r="B574" s="1" t="n">
        <v>44345</v>
      </c>
      <c r="C574" s="1" t="n">
        <v>45985</v>
      </c>
      <c r="D574" t="inlineStr">
        <is>
          <t>ÖREBRO LÄN</t>
        </is>
      </c>
      <c r="E574" t="inlineStr">
        <is>
          <t>ÖREBRO</t>
        </is>
      </c>
      <c r="G574" t="n">
        <v>8.1</v>
      </c>
      <c r="H574" t="n">
        <v>0</v>
      </c>
      <c r="I574" t="n">
        <v>0</v>
      </c>
      <c r="J574" t="n">
        <v>0</v>
      </c>
      <c r="K574" t="n">
        <v>0</v>
      </c>
      <c r="L574" t="n">
        <v>0</v>
      </c>
      <c r="M574" t="n">
        <v>0</v>
      </c>
      <c r="N574" t="n">
        <v>0</v>
      </c>
      <c r="O574" t="n">
        <v>0</v>
      </c>
      <c r="P574" t="n">
        <v>0</v>
      </c>
      <c r="Q574" t="n">
        <v>0</v>
      </c>
      <c r="R574" s="2" t="inlineStr"/>
    </row>
    <row r="575" ht="15" customHeight="1">
      <c r="A575" t="inlineStr">
        <is>
          <t>A 55943-2024</t>
        </is>
      </c>
      <c r="B575" s="1" t="n">
        <v>45623.61278935185</v>
      </c>
      <c r="C575" s="1" t="n">
        <v>45985</v>
      </c>
      <c r="D575" t="inlineStr">
        <is>
          <t>ÖREBRO LÄN</t>
        </is>
      </c>
      <c r="E575" t="inlineStr">
        <is>
          <t>ÖREBRO</t>
        </is>
      </c>
      <c r="G575" t="n">
        <v>4.8</v>
      </c>
      <c r="H575" t="n">
        <v>0</v>
      </c>
      <c r="I575" t="n">
        <v>0</v>
      </c>
      <c r="J575" t="n">
        <v>0</v>
      </c>
      <c r="K575" t="n">
        <v>0</v>
      </c>
      <c r="L575" t="n">
        <v>0</v>
      </c>
      <c r="M575" t="n">
        <v>0</v>
      </c>
      <c r="N575" t="n">
        <v>0</v>
      </c>
      <c r="O575" t="n">
        <v>0</v>
      </c>
      <c r="P575" t="n">
        <v>0</v>
      </c>
      <c r="Q575" t="n">
        <v>0</v>
      </c>
      <c r="R575" s="2" t="inlineStr"/>
    </row>
    <row r="576" ht="15" customHeight="1">
      <c r="A576" t="inlineStr">
        <is>
          <t>A 1013-2024</t>
        </is>
      </c>
      <c r="B576" s="1" t="n">
        <v>45301</v>
      </c>
      <c r="C576" s="1" t="n">
        <v>45985</v>
      </c>
      <c r="D576" t="inlineStr">
        <is>
          <t>ÖREBRO LÄN</t>
        </is>
      </c>
      <c r="E576" t="inlineStr">
        <is>
          <t>ÖREBRO</t>
        </is>
      </c>
      <c r="G576" t="n">
        <v>2.6</v>
      </c>
      <c r="H576" t="n">
        <v>0</v>
      </c>
      <c r="I576" t="n">
        <v>0</v>
      </c>
      <c r="J576" t="n">
        <v>0</v>
      </c>
      <c r="K576" t="n">
        <v>0</v>
      </c>
      <c r="L576" t="n">
        <v>0</v>
      </c>
      <c r="M576" t="n">
        <v>0</v>
      </c>
      <c r="N576" t="n">
        <v>0</v>
      </c>
      <c r="O576" t="n">
        <v>0</v>
      </c>
      <c r="P576" t="n">
        <v>0</v>
      </c>
      <c r="Q576" t="n">
        <v>0</v>
      </c>
      <c r="R576" s="2" t="inlineStr"/>
    </row>
    <row r="577" ht="15" customHeight="1">
      <c r="A577" t="inlineStr">
        <is>
          <t>A 13623-2024</t>
        </is>
      </c>
      <c r="B577" s="1" t="n">
        <v>45390.38626157407</v>
      </c>
      <c r="C577" s="1" t="n">
        <v>45985</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5330-2024</t>
        </is>
      </c>
      <c r="B578" s="1" t="n">
        <v>45331.4187962963</v>
      </c>
      <c r="C578" s="1" t="n">
        <v>45985</v>
      </c>
      <c r="D578" t="inlineStr">
        <is>
          <t>ÖREBRO LÄN</t>
        </is>
      </c>
      <c r="E578" t="inlineStr">
        <is>
          <t>ÖREBRO</t>
        </is>
      </c>
      <c r="G578" t="n">
        <v>1.4</v>
      </c>
      <c r="H578" t="n">
        <v>0</v>
      </c>
      <c r="I578" t="n">
        <v>0</v>
      </c>
      <c r="J578" t="n">
        <v>0</v>
      </c>
      <c r="K578" t="n">
        <v>0</v>
      </c>
      <c r="L578" t="n">
        <v>0</v>
      </c>
      <c r="M578" t="n">
        <v>0</v>
      </c>
      <c r="N578" t="n">
        <v>0</v>
      </c>
      <c r="O578" t="n">
        <v>0</v>
      </c>
      <c r="P578" t="n">
        <v>0</v>
      </c>
      <c r="Q578" t="n">
        <v>0</v>
      </c>
      <c r="R578" s="2" t="inlineStr"/>
    </row>
    <row r="579" ht="15" customHeight="1">
      <c r="A579" t="inlineStr">
        <is>
          <t>A 6794-2025</t>
        </is>
      </c>
      <c r="B579" s="1" t="n">
        <v>45700.66429398148</v>
      </c>
      <c r="C579" s="1" t="n">
        <v>45985</v>
      </c>
      <c r="D579" t="inlineStr">
        <is>
          <t>ÖREBRO LÄN</t>
        </is>
      </c>
      <c r="E579" t="inlineStr">
        <is>
          <t>ÖREBRO</t>
        </is>
      </c>
      <c r="G579" t="n">
        <v>1</v>
      </c>
      <c r="H579" t="n">
        <v>0</v>
      </c>
      <c r="I579" t="n">
        <v>0</v>
      </c>
      <c r="J579" t="n">
        <v>0</v>
      </c>
      <c r="K579" t="n">
        <v>0</v>
      </c>
      <c r="L579" t="n">
        <v>0</v>
      </c>
      <c r="M579" t="n">
        <v>0</v>
      </c>
      <c r="N579" t="n">
        <v>0</v>
      </c>
      <c r="O579" t="n">
        <v>0</v>
      </c>
      <c r="P579" t="n">
        <v>0</v>
      </c>
      <c r="Q579" t="n">
        <v>0</v>
      </c>
      <c r="R579" s="2" t="inlineStr"/>
    </row>
    <row r="580" ht="15" customHeight="1">
      <c r="A580" t="inlineStr">
        <is>
          <t>A 3-2024</t>
        </is>
      </c>
      <c r="B580" s="1" t="n">
        <v>45292</v>
      </c>
      <c r="C580" s="1" t="n">
        <v>45985</v>
      </c>
      <c r="D580" t="inlineStr">
        <is>
          <t>ÖREBRO LÄN</t>
        </is>
      </c>
      <c r="E580" t="inlineStr">
        <is>
          <t>ÖREBRO</t>
        </is>
      </c>
      <c r="G580" t="n">
        <v>2.7</v>
      </c>
      <c r="H580" t="n">
        <v>0</v>
      </c>
      <c r="I580" t="n">
        <v>0</v>
      </c>
      <c r="J580" t="n">
        <v>0</v>
      </c>
      <c r="K580" t="n">
        <v>0</v>
      </c>
      <c r="L580" t="n">
        <v>0</v>
      </c>
      <c r="M580" t="n">
        <v>0</v>
      </c>
      <c r="N580" t="n">
        <v>0</v>
      </c>
      <c r="O580" t="n">
        <v>0</v>
      </c>
      <c r="P580" t="n">
        <v>0</v>
      </c>
      <c r="Q580" t="n">
        <v>0</v>
      </c>
      <c r="R580" s="2" t="inlineStr"/>
    </row>
    <row r="581" ht="15" customHeight="1">
      <c r="A581" t="inlineStr">
        <is>
          <t>A 5619-2023</t>
        </is>
      </c>
      <c r="B581" s="1" t="n">
        <v>44958</v>
      </c>
      <c r="C581" s="1" t="n">
        <v>45985</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5578-2024</t>
        </is>
      </c>
      <c r="B582" s="1" t="n">
        <v>45334.49104166667</v>
      </c>
      <c r="C582" s="1" t="n">
        <v>45985</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37786-2024</t>
        </is>
      </c>
      <c r="B583" s="1" t="n">
        <v>45542.82987268519</v>
      </c>
      <c r="C583" s="1" t="n">
        <v>45985</v>
      </c>
      <c r="D583" t="inlineStr">
        <is>
          <t>ÖREBRO LÄN</t>
        </is>
      </c>
      <c r="E583" t="inlineStr">
        <is>
          <t>ÖREBRO</t>
        </is>
      </c>
      <c r="G583" t="n">
        <v>3.1</v>
      </c>
      <c r="H583" t="n">
        <v>0</v>
      </c>
      <c r="I583" t="n">
        <v>0</v>
      </c>
      <c r="J583" t="n">
        <v>0</v>
      </c>
      <c r="K583" t="n">
        <v>0</v>
      </c>
      <c r="L583" t="n">
        <v>0</v>
      </c>
      <c r="M583" t="n">
        <v>0</v>
      </c>
      <c r="N583" t="n">
        <v>0</v>
      </c>
      <c r="O583" t="n">
        <v>0</v>
      </c>
      <c r="P583" t="n">
        <v>0</v>
      </c>
      <c r="Q583" t="n">
        <v>0</v>
      </c>
      <c r="R583" s="2" t="inlineStr"/>
    </row>
    <row r="584" ht="15" customHeight="1">
      <c r="A584" t="inlineStr">
        <is>
          <t>A 58615-2024</t>
        </is>
      </c>
      <c r="B584" s="1" t="n">
        <v>45635.5587037037</v>
      </c>
      <c r="C584" s="1" t="n">
        <v>45985</v>
      </c>
      <c r="D584" t="inlineStr">
        <is>
          <t>ÖREBRO LÄN</t>
        </is>
      </c>
      <c r="E584" t="inlineStr">
        <is>
          <t>ÖREBRO</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45517-2023</t>
        </is>
      </c>
      <c r="B585" s="1" t="n">
        <v>45194.49594907407</v>
      </c>
      <c r="C585" s="1" t="n">
        <v>45985</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3652-2022</t>
        </is>
      </c>
      <c r="B586" s="1" t="n">
        <v>44586.46921296296</v>
      </c>
      <c r="C586" s="1" t="n">
        <v>45985</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25407-2021</t>
        </is>
      </c>
      <c r="B587" s="1" t="n">
        <v>44342</v>
      </c>
      <c r="C587" s="1" t="n">
        <v>45985</v>
      </c>
      <c r="D587" t="inlineStr">
        <is>
          <t>ÖREBRO LÄN</t>
        </is>
      </c>
      <c r="E587" t="inlineStr">
        <is>
          <t>ÖREBRO</t>
        </is>
      </c>
      <c r="F587" t="inlineStr">
        <is>
          <t>Kommuner</t>
        </is>
      </c>
      <c r="G587" t="n">
        <v>7.2</v>
      </c>
      <c r="H587" t="n">
        <v>0</v>
      </c>
      <c r="I587" t="n">
        <v>0</v>
      </c>
      <c r="J587" t="n">
        <v>0</v>
      </c>
      <c r="K587" t="n">
        <v>0</v>
      </c>
      <c r="L587" t="n">
        <v>0</v>
      </c>
      <c r="M587" t="n">
        <v>0</v>
      </c>
      <c r="N587" t="n">
        <v>0</v>
      </c>
      <c r="O587" t="n">
        <v>0</v>
      </c>
      <c r="P587" t="n">
        <v>0</v>
      </c>
      <c r="Q587" t="n">
        <v>0</v>
      </c>
      <c r="R587" s="2" t="inlineStr"/>
    </row>
    <row r="588" ht="15" customHeight="1">
      <c r="A588" t="inlineStr">
        <is>
          <t>A 12245-2023</t>
        </is>
      </c>
      <c r="B588" s="1" t="n">
        <v>44998.64402777778</v>
      </c>
      <c r="C588" s="1" t="n">
        <v>45985</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7134-2025</t>
        </is>
      </c>
      <c r="B589" s="1" t="n">
        <v>45702</v>
      </c>
      <c r="C589" s="1" t="n">
        <v>45985</v>
      </c>
      <c r="D589" t="inlineStr">
        <is>
          <t>ÖREBRO LÄN</t>
        </is>
      </c>
      <c r="E589" t="inlineStr">
        <is>
          <t>ÖREBRO</t>
        </is>
      </c>
      <c r="F589" t="inlineStr">
        <is>
          <t>Övriga Aktiebolag</t>
        </is>
      </c>
      <c r="G589" t="n">
        <v>2.1</v>
      </c>
      <c r="H589" t="n">
        <v>0</v>
      </c>
      <c r="I589" t="n">
        <v>0</v>
      </c>
      <c r="J589" t="n">
        <v>0</v>
      </c>
      <c r="K589" t="n">
        <v>0</v>
      </c>
      <c r="L589" t="n">
        <v>0</v>
      </c>
      <c r="M589" t="n">
        <v>0</v>
      </c>
      <c r="N589" t="n">
        <v>0</v>
      </c>
      <c r="O589" t="n">
        <v>0</v>
      </c>
      <c r="P589" t="n">
        <v>0</v>
      </c>
      <c r="Q589" t="n">
        <v>0</v>
      </c>
      <c r="R589" s="2" t="inlineStr"/>
    </row>
    <row r="590" ht="15" customHeight="1">
      <c r="A590" t="inlineStr">
        <is>
          <t>A 60506-2024</t>
        </is>
      </c>
      <c r="B590" s="1" t="n">
        <v>45643.66630787037</v>
      </c>
      <c r="C590" s="1" t="n">
        <v>45985</v>
      </c>
      <c r="D590" t="inlineStr">
        <is>
          <t>ÖREBRO LÄN</t>
        </is>
      </c>
      <c r="E590" t="inlineStr">
        <is>
          <t>ÖREBRO</t>
        </is>
      </c>
      <c r="G590" t="n">
        <v>5.8</v>
      </c>
      <c r="H590" t="n">
        <v>0</v>
      </c>
      <c r="I590" t="n">
        <v>0</v>
      </c>
      <c r="J590" t="n">
        <v>0</v>
      </c>
      <c r="K590" t="n">
        <v>0</v>
      </c>
      <c r="L590" t="n">
        <v>0</v>
      </c>
      <c r="M590" t="n">
        <v>0</v>
      </c>
      <c r="N590" t="n">
        <v>0</v>
      </c>
      <c r="O590" t="n">
        <v>0</v>
      </c>
      <c r="P590" t="n">
        <v>0</v>
      </c>
      <c r="Q590" t="n">
        <v>0</v>
      </c>
      <c r="R590" s="2" t="inlineStr"/>
    </row>
    <row r="591" ht="15" customHeight="1">
      <c r="A591" t="inlineStr">
        <is>
          <t>A 29978-2024</t>
        </is>
      </c>
      <c r="B591" s="1" t="n">
        <v>45488.48340277778</v>
      </c>
      <c r="C591" s="1" t="n">
        <v>45985</v>
      </c>
      <c r="D591" t="inlineStr">
        <is>
          <t>ÖREBRO LÄN</t>
        </is>
      </c>
      <c r="E591" t="inlineStr">
        <is>
          <t>ÖREBRO</t>
        </is>
      </c>
      <c r="G591" t="n">
        <v>1.8</v>
      </c>
      <c r="H591" t="n">
        <v>0</v>
      </c>
      <c r="I591" t="n">
        <v>0</v>
      </c>
      <c r="J591" t="n">
        <v>0</v>
      </c>
      <c r="K591" t="n">
        <v>0</v>
      </c>
      <c r="L591" t="n">
        <v>0</v>
      </c>
      <c r="M591" t="n">
        <v>0</v>
      </c>
      <c r="N591" t="n">
        <v>0</v>
      </c>
      <c r="O591" t="n">
        <v>0</v>
      </c>
      <c r="P591" t="n">
        <v>0</v>
      </c>
      <c r="Q591" t="n">
        <v>0</v>
      </c>
      <c r="R591" s="2" t="inlineStr"/>
    </row>
    <row r="592" ht="15" customHeight="1">
      <c r="A592" t="inlineStr">
        <is>
          <t>A 30903-2024</t>
        </is>
      </c>
      <c r="B592" s="1" t="n">
        <v>45498.49946759259</v>
      </c>
      <c r="C592" s="1" t="n">
        <v>45985</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58611-2024</t>
        </is>
      </c>
      <c r="B593" s="1" t="n">
        <v>45635.55555555555</v>
      </c>
      <c r="C593" s="1" t="n">
        <v>45985</v>
      </c>
      <c r="D593" t="inlineStr">
        <is>
          <t>ÖREBRO LÄN</t>
        </is>
      </c>
      <c r="E593" t="inlineStr">
        <is>
          <t>ÖREBRO</t>
        </is>
      </c>
      <c r="F593" t="inlineStr">
        <is>
          <t>Sveaskog</t>
        </is>
      </c>
      <c r="G593" t="n">
        <v>0.3</v>
      </c>
      <c r="H593" t="n">
        <v>0</v>
      </c>
      <c r="I593" t="n">
        <v>0</v>
      </c>
      <c r="J593" t="n">
        <v>0</v>
      </c>
      <c r="K593" t="n">
        <v>0</v>
      </c>
      <c r="L593" t="n">
        <v>0</v>
      </c>
      <c r="M593" t="n">
        <v>0</v>
      </c>
      <c r="N593" t="n">
        <v>0</v>
      </c>
      <c r="O593" t="n">
        <v>0</v>
      </c>
      <c r="P593" t="n">
        <v>0</v>
      </c>
      <c r="Q593" t="n">
        <v>0</v>
      </c>
      <c r="R593" s="2" t="inlineStr"/>
    </row>
    <row r="594" ht="15" customHeight="1">
      <c r="A594" t="inlineStr">
        <is>
          <t>A 20146-2024</t>
        </is>
      </c>
      <c r="B594" s="1" t="n">
        <v>45434.57641203704</v>
      </c>
      <c r="C594" s="1" t="n">
        <v>45985</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53143-2023</t>
        </is>
      </c>
      <c r="B595" s="1" t="n">
        <v>45229</v>
      </c>
      <c r="C595" s="1" t="n">
        <v>45985</v>
      </c>
      <c r="D595" t="inlineStr">
        <is>
          <t>ÖREBRO LÄN</t>
        </is>
      </c>
      <c r="E595" t="inlineStr">
        <is>
          <t>ÖREBRO</t>
        </is>
      </c>
      <c r="G595" t="n">
        <v>3.3</v>
      </c>
      <c r="H595" t="n">
        <v>0</v>
      </c>
      <c r="I595" t="n">
        <v>0</v>
      </c>
      <c r="J595" t="n">
        <v>0</v>
      </c>
      <c r="K595" t="n">
        <v>0</v>
      </c>
      <c r="L595" t="n">
        <v>0</v>
      </c>
      <c r="M595" t="n">
        <v>0</v>
      </c>
      <c r="N595" t="n">
        <v>0</v>
      </c>
      <c r="O595" t="n">
        <v>0</v>
      </c>
      <c r="P595" t="n">
        <v>0</v>
      </c>
      <c r="Q595" t="n">
        <v>0</v>
      </c>
      <c r="R595" s="2" t="inlineStr"/>
    </row>
    <row r="596" ht="15" customHeight="1">
      <c r="A596" t="inlineStr">
        <is>
          <t>A 8656-2025</t>
        </is>
      </c>
      <c r="B596" s="1" t="n">
        <v>45712.38268518518</v>
      </c>
      <c r="C596" s="1" t="n">
        <v>45985</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5762-2025</t>
        </is>
      </c>
      <c r="B597" s="1" t="n">
        <v>45694.57181712963</v>
      </c>
      <c r="C597" s="1" t="n">
        <v>45985</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62794-2021</t>
        </is>
      </c>
      <c r="B598" s="1" t="n">
        <v>44504</v>
      </c>
      <c r="C598" s="1" t="n">
        <v>45985</v>
      </c>
      <c r="D598" t="inlineStr">
        <is>
          <t>ÖREBRO LÄN</t>
        </is>
      </c>
      <c r="E598" t="inlineStr">
        <is>
          <t>ÖREBRO</t>
        </is>
      </c>
      <c r="G598" t="n">
        <v>3.3</v>
      </c>
      <c r="H598" t="n">
        <v>0</v>
      </c>
      <c r="I598" t="n">
        <v>0</v>
      </c>
      <c r="J598" t="n">
        <v>0</v>
      </c>
      <c r="K598" t="n">
        <v>0</v>
      </c>
      <c r="L598" t="n">
        <v>0</v>
      </c>
      <c r="M598" t="n">
        <v>0</v>
      </c>
      <c r="N598" t="n">
        <v>0</v>
      </c>
      <c r="O598" t="n">
        <v>0</v>
      </c>
      <c r="P598" t="n">
        <v>0</v>
      </c>
      <c r="Q598" t="n">
        <v>0</v>
      </c>
      <c r="R598" s="2" t="inlineStr"/>
    </row>
    <row r="599" ht="15" customHeight="1">
      <c r="A599" t="inlineStr">
        <is>
          <t>A 52612-2024</t>
        </is>
      </c>
      <c r="B599" s="1" t="n">
        <v>45609</v>
      </c>
      <c r="C599" s="1" t="n">
        <v>45985</v>
      </c>
      <c r="D599" t="inlineStr">
        <is>
          <t>ÖREBRO LÄN</t>
        </is>
      </c>
      <c r="E599" t="inlineStr">
        <is>
          <t>ÖREBRO</t>
        </is>
      </c>
      <c r="F599" t="inlineStr">
        <is>
          <t>Kommuner</t>
        </is>
      </c>
      <c r="G599" t="n">
        <v>5.5</v>
      </c>
      <c r="H599" t="n">
        <v>0</v>
      </c>
      <c r="I599" t="n">
        <v>0</v>
      </c>
      <c r="J599" t="n">
        <v>0</v>
      </c>
      <c r="K599" t="n">
        <v>0</v>
      </c>
      <c r="L599" t="n">
        <v>0</v>
      </c>
      <c r="M599" t="n">
        <v>0</v>
      </c>
      <c r="N599" t="n">
        <v>0</v>
      </c>
      <c r="O599" t="n">
        <v>0</v>
      </c>
      <c r="P599" t="n">
        <v>0</v>
      </c>
      <c r="Q599" t="n">
        <v>0</v>
      </c>
      <c r="R599" s="2" t="inlineStr"/>
    </row>
    <row r="600" ht="15" customHeight="1">
      <c r="A600" t="inlineStr">
        <is>
          <t>A 5795-2024</t>
        </is>
      </c>
      <c r="B600" s="1" t="n">
        <v>45335.4531712963</v>
      </c>
      <c r="C600" s="1" t="n">
        <v>45985</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37771-2024</t>
        </is>
      </c>
      <c r="B601" s="1" t="n">
        <v>45542.31359953704</v>
      </c>
      <c r="C601" s="1" t="n">
        <v>45985</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15652-2025</t>
        </is>
      </c>
      <c r="B602" s="1" t="n">
        <v>45748</v>
      </c>
      <c r="C602" s="1" t="n">
        <v>45985</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2076-2025</t>
        </is>
      </c>
      <c r="B603" s="1" t="n">
        <v>45672</v>
      </c>
      <c r="C603" s="1" t="n">
        <v>45985</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14960-2025</t>
        </is>
      </c>
      <c r="B604" s="1" t="n">
        <v>45743.5853125</v>
      </c>
      <c r="C604" s="1" t="n">
        <v>45985</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60022-2024</t>
        </is>
      </c>
      <c r="B605" s="1" t="n">
        <v>45642</v>
      </c>
      <c r="C605" s="1" t="n">
        <v>45985</v>
      </c>
      <c r="D605" t="inlineStr">
        <is>
          <t>ÖREBRO LÄN</t>
        </is>
      </c>
      <c r="E605" t="inlineStr">
        <is>
          <t>ÖREBRO</t>
        </is>
      </c>
      <c r="G605" t="n">
        <v>1.7</v>
      </c>
      <c r="H605" t="n">
        <v>0</v>
      </c>
      <c r="I605" t="n">
        <v>0</v>
      </c>
      <c r="J605" t="n">
        <v>0</v>
      </c>
      <c r="K605" t="n">
        <v>0</v>
      </c>
      <c r="L605" t="n">
        <v>0</v>
      </c>
      <c r="M605" t="n">
        <v>0</v>
      </c>
      <c r="N605" t="n">
        <v>0</v>
      </c>
      <c r="O605" t="n">
        <v>0</v>
      </c>
      <c r="P605" t="n">
        <v>0</v>
      </c>
      <c r="Q605" t="n">
        <v>0</v>
      </c>
      <c r="R605" s="2" t="inlineStr"/>
    </row>
    <row r="606" ht="15" customHeight="1">
      <c r="A606" t="inlineStr">
        <is>
          <t>A 21097-2025</t>
        </is>
      </c>
      <c r="B606" s="1" t="n">
        <v>45777.63863425926</v>
      </c>
      <c r="C606" s="1" t="n">
        <v>45985</v>
      </c>
      <c r="D606" t="inlineStr">
        <is>
          <t>ÖREBRO LÄN</t>
        </is>
      </c>
      <c r="E606" t="inlineStr">
        <is>
          <t>ÖREBRO</t>
        </is>
      </c>
      <c r="G606" t="n">
        <v>2.1</v>
      </c>
      <c r="H606" t="n">
        <v>0</v>
      </c>
      <c r="I606" t="n">
        <v>0</v>
      </c>
      <c r="J606" t="n">
        <v>0</v>
      </c>
      <c r="K606" t="n">
        <v>0</v>
      </c>
      <c r="L606" t="n">
        <v>0</v>
      </c>
      <c r="M606" t="n">
        <v>0</v>
      </c>
      <c r="N606" t="n">
        <v>0</v>
      </c>
      <c r="O606" t="n">
        <v>0</v>
      </c>
      <c r="P606" t="n">
        <v>0</v>
      </c>
      <c r="Q606" t="n">
        <v>0</v>
      </c>
      <c r="R606" s="2" t="inlineStr"/>
    </row>
    <row r="607" ht="15" customHeight="1">
      <c r="A607" t="inlineStr">
        <is>
          <t>A 35819-2024</t>
        </is>
      </c>
      <c r="B607" s="1" t="n">
        <v>45532</v>
      </c>
      <c r="C607" s="1" t="n">
        <v>45985</v>
      </c>
      <c r="D607" t="inlineStr">
        <is>
          <t>ÖREBRO LÄN</t>
        </is>
      </c>
      <c r="E607" t="inlineStr">
        <is>
          <t>ÖREBRO</t>
        </is>
      </c>
      <c r="G607" t="n">
        <v>6.4</v>
      </c>
      <c r="H607" t="n">
        <v>0</v>
      </c>
      <c r="I607" t="n">
        <v>0</v>
      </c>
      <c r="J607" t="n">
        <v>0</v>
      </c>
      <c r="K607" t="n">
        <v>0</v>
      </c>
      <c r="L607" t="n">
        <v>0</v>
      </c>
      <c r="M607" t="n">
        <v>0</v>
      </c>
      <c r="N607" t="n">
        <v>0</v>
      </c>
      <c r="O607" t="n">
        <v>0</v>
      </c>
      <c r="P607" t="n">
        <v>0</v>
      </c>
      <c r="Q607" t="n">
        <v>0</v>
      </c>
      <c r="R607" s="2" t="inlineStr"/>
    </row>
    <row r="608" ht="15" customHeight="1">
      <c r="A608" t="inlineStr">
        <is>
          <t>A 32076-2023</t>
        </is>
      </c>
      <c r="B608" s="1" t="n">
        <v>45119.58324074074</v>
      </c>
      <c r="C608" s="1" t="n">
        <v>45985</v>
      </c>
      <c r="D608" t="inlineStr">
        <is>
          <t>ÖREBRO LÄN</t>
        </is>
      </c>
      <c r="E608" t="inlineStr">
        <is>
          <t>ÖREBRO</t>
        </is>
      </c>
      <c r="G608" t="n">
        <v>1.1</v>
      </c>
      <c r="H608" t="n">
        <v>0</v>
      </c>
      <c r="I608" t="n">
        <v>0</v>
      </c>
      <c r="J608" t="n">
        <v>0</v>
      </c>
      <c r="K608" t="n">
        <v>0</v>
      </c>
      <c r="L608" t="n">
        <v>0</v>
      </c>
      <c r="M608" t="n">
        <v>0</v>
      </c>
      <c r="N608" t="n">
        <v>0</v>
      </c>
      <c r="O608" t="n">
        <v>0</v>
      </c>
      <c r="P608" t="n">
        <v>0</v>
      </c>
      <c r="Q608" t="n">
        <v>0</v>
      </c>
      <c r="R608" s="2" t="inlineStr"/>
    </row>
    <row r="609">
      <c r="A609" t="inlineStr">
        <is>
          <t>A 764-2024</t>
        </is>
      </c>
      <c r="B609" s="1" t="n">
        <v>45300.51512731481</v>
      </c>
      <c r="C609" s="1" t="n">
        <v>45985</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2025-11-24T10:22:15Z</dcterms:created>
  <dcterms:modified xmlns:dcterms="http://purl.org/dc/terms/" xmlns:xsi="http://www.w3.org/2001/XMLSchema-instance" xsi:type="dcterms:W3CDTF">2025-11-24T10:22:15Z</dcterms:modified>
</cp:coreProperties>
</file>