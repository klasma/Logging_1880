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45732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45732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45732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45732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45732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45732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45732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45732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45732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45732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45732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45732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51530-2024</t>
        </is>
      </c>
      <c r="B29" s="1" t="n">
        <v>45604</v>
      </c>
      <c r="C29" s="1" t="n">
        <v>45732</v>
      </c>
      <c r="D29" t="inlineStr">
        <is>
          <t>ÖREBRO LÄN</t>
        </is>
      </c>
      <c r="E29" t="inlineStr">
        <is>
          <t>ÖREBRO</t>
        </is>
      </c>
      <c r="F29" t="inlineStr">
        <is>
          <t>Kommuner</t>
        </is>
      </c>
      <c r="G29" t="n">
        <v>15.4</v>
      </c>
      <c r="H29" t="n">
        <v>1</v>
      </c>
      <c r="I29" t="n">
        <v>0</v>
      </c>
      <c r="J29" t="n">
        <v>3</v>
      </c>
      <c r="K29" t="n">
        <v>0</v>
      </c>
      <c r="L29" t="n">
        <v>0</v>
      </c>
      <c r="M29" t="n">
        <v>0</v>
      </c>
      <c r="N29" t="n">
        <v>0</v>
      </c>
      <c r="O29" t="n">
        <v>3</v>
      </c>
      <c r="P29" t="n">
        <v>0</v>
      </c>
      <c r="Q29" t="n">
        <v>4</v>
      </c>
      <c r="R29" s="2" t="inlineStr">
        <is>
          <t>Leptoporus mollis
Tallticka
Ullticka
Revlummer</t>
        </is>
      </c>
      <c r="S29">
        <f>HYPERLINK("https://klasma.github.io/Logging_1880/artfynd/A 51530-2024 artfynd.xlsx", "A 51530-2024")</f>
        <v/>
      </c>
      <c r="T29">
        <f>HYPERLINK("https://klasma.github.io/Logging_1880/kartor/A 51530-2024 karta.png", "A 51530-2024")</f>
        <v/>
      </c>
      <c r="V29">
        <f>HYPERLINK("https://klasma.github.io/Logging_1880/klagomål/A 51530-2024 FSC-klagomål.docx", "A 51530-2024")</f>
        <v/>
      </c>
      <c r="W29">
        <f>HYPERLINK("https://klasma.github.io/Logging_1880/klagomålsmail/A 51530-2024 FSC-klagomål mail.docx", "A 51530-2024")</f>
        <v/>
      </c>
      <c r="X29">
        <f>HYPERLINK("https://klasma.github.io/Logging_1880/tillsyn/A 51530-2024 tillsynsbegäran.docx", "A 51530-2024")</f>
        <v/>
      </c>
      <c r="Y29">
        <f>HYPERLINK("https://klasma.github.io/Logging_1880/tillsynsmail/A 51530-2024 tillsynsbegäran mail.docx", "A 51530-2024")</f>
        <v/>
      </c>
    </row>
    <row r="30" ht="15" customHeight="1">
      <c r="A30" t="inlineStr">
        <is>
          <t>A 1309-2020</t>
        </is>
      </c>
      <c r="B30" s="1" t="n">
        <v>43843</v>
      </c>
      <c r="C30" s="1" t="n">
        <v>45732</v>
      </c>
      <c r="D30" t="inlineStr">
        <is>
          <t>ÖREBRO LÄN</t>
        </is>
      </c>
      <c r="E30" t="inlineStr">
        <is>
          <t>ÖREBRO</t>
        </is>
      </c>
      <c r="G30" t="n">
        <v>16.5</v>
      </c>
      <c r="H30" t="n">
        <v>1</v>
      </c>
      <c r="I30" t="n">
        <v>1</v>
      </c>
      <c r="J30" t="n">
        <v>1</v>
      </c>
      <c r="K30" t="n">
        <v>0</v>
      </c>
      <c r="L30" t="n">
        <v>0</v>
      </c>
      <c r="M30" t="n">
        <v>0</v>
      </c>
      <c r="N30" t="n">
        <v>0</v>
      </c>
      <c r="O30" t="n">
        <v>1</v>
      </c>
      <c r="P30" t="n">
        <v>0</v>
      </c>
      <c r="Q30" t="n">
        <v>3</v>
      </c>
      <c r="R30" s="2" t="inlineStr">
        <is>
          <t>Vedskivlav
Nästlav
Revlummer</t>
        </is>
      </c>
      <c r="S30">
        <f>HYPERLINK("https://klasma.github.io/Logging_1880/artfynd/A 1309-2020 artfynd.xlsx", "A 1309-2020")</f>
        <v/>
      </c>
      <c r="T30">
        <f>HYPERLINK("https://klasma.github.io/Logging_1880/kartor/A 1309-2020 karta.png", "A 1309-2020")</f>
        <v/>
      </c>
      <c r="V30">
        <f>HYPERLINK("https://klasma.github.io/Logging_1880/klagomål/A 1309-2020 FSC-klagomål.docx", "A 1309-2020")</f>
        <v/>
      </c>
      <c r="W30">
        <f>HYPERLINK("https://klasma.github.io/Logging_1880/klagomålsmail/A 1309-2020 FSC-klagomål mail.docx", "A 1309-2020")</f>
        <v/>
      </c>
      <c r="X30">
        <f>HYPERLINK("https://klasma.github.io/Logging_1880/tillsyn/A 1309-2020 tillsynsbegäran.docx", "A 1309-2020")</f>
        <v/>
      </c>
      <c r="Y30">
        <f>HYPERLINK("https://klasma.github.io/Logging_1880/tillsynsmail/A 1309-2020 tillsynsbegäran mail.docx", "A 1309-2020")</f>
        <v/>
      </c>
    </row>
    <row r="31" ht="15" customHeight="1">
      <c r="A31" t="inlineStr">
        <is>
          <t>A 20838-2021</t>
        </is>
      </c>
      <c r="B31" s="1" t="n">
        <v>44319</v>
      </c>
      <c r="C31" s="1" t="n">
        <v>45732</v>
      </c>
      <c r="D31" t="inlineStr">
        <is>
          <t>ÖREBRO LÄN</t>
        </is>
      </c>
      <c r="E31" t="inlineStr">
        <is>
          <t>ÖREBRO</t>
        </is>
      </c>
      <c r="G31" t="n">
        <v>1.9</v>
      </c>
      <c r="H31" t="n">
        <v>0</v>
      </c>
      <c r="I31" t="n">
        <v>3</v>
      </c>
      <c r="J31" t="n">
        <v>0</v>
      </c>
      <c r="K31" t="n">
        <v>0</v>
      </c>
      <c r="L31" t="n">
        <v>0</v>
      </c>
      <c r="M31" t="n">
        <v>0</v>
      </c>
      <c r="N31" t="n">
        <v>0</v>
      </c>
      <c r="O31" t="n">
        <v>0</v>
      </c>
      <c r="P31" t="n">
        <v>0</v>
      </c>
      <c r="Q31" t="n">
        <v>3</v>
      </c>
      <c r="R31" s="2" t="inlineStr">
        <is>
          <t>Fjällig taggsvamp s.str.
Rödgul trumpetsvamp
Toppvaxskivling</t>
        </is>
      </c>
      <c r="S31">
        <f>HYPERLINK("https://klasma.github.io/Logging_1880/artfynd/A 20838-2021 artfynd.xlsx", "A 20838-2021")</f>
        <v/>
      </c>
      <c r="T31">
        <f>HYPERLINK("https://klasma.github.io/Logging_1880/kartor/A 20838-2021 karta.png", "A 20838-2021")</f>
        <v/>
      </c>
      <c r="V31">
        <f>HYPERLINK("https://klasma.github.io/Logging_1880/klagomål/A 20838-2021 FSC-klagomål.docx", "A 20838-2021")</f>
        <v/>
      </c>
      <c r="W31">
        <f>HYPERLINK("https://klasma.github.io/Logging_1880/klagomålsmail/A 20838-2021 FSC-klagomål mail.docx", "A 20838-2021")</f>
        <v/>
      </c>
      <c r="X31">
        <f>HYPERLINK("https://klasma.github.io/Logging_1880/tillsyn/A 20838-2021 tillsynsbegäran.docx", "A 20838-2021")</f>
        <v/>
      </c>
      <c r="Y31">
        <f>HYPERLINK("https://klasma.github.io/Logging_1880/tillsynsmail/A 20838-2021 tillsynsbegäran mail.docx", "A 20838-2021")</f>
        <v/>
      </c>
    </row>
    <row r="32" ht="15" customHeight="1">
      <c r="A32" t="inlineStr">
        <is>
          <t>A 29487-2022</t>
        </is>
      </c>
      <c r="B32" s="1" t="n">
        <v>44753</v>
      </c>
      <c r="C32" s="1" t="n">
        <v>45732</v>
      </c>
      <c r="D32" t="inlineStr">
        <is>
          <t>ÖREBRO LÄN</t>
        </is>
      </c>
      <c r="E32" t="inlineStr">
        <is>
          <t>ÖREBRO</t>
        </is>
      </c>
      <c r="F32" t="inlineStr">
        <is>
          <t>Kommuner</t>
        </is>
      </c>
      <c r="G32" t="n">
        <v>0.7</v>
      </c>
      <c r="H32" t="n">
        <v>0</v>
      </c>
      <c r="I32" t="n">
        <v>2</v>
      </c>
      <c r="J32" t="n">
        <v>1</v>
      </c>
      <c r="K32" t="n">
        <v>0</v>
      </c>
      <c r="L32" t="n">
        <v>0</v>
      </c>
      <c r="M32" t="n">
        <v>0</v>
      </c>
      <c r="N32" t="n">
        <v>0</v>
      </c>
      <c r="O32" t="n">
        <v>1</v>
      </c>
      <c r="P32" t="n">
        <v>0</v>
      </c>
      <c r="Q32" t="n">
        <v>3</v>
      </c>
      <c r="R32" s="2" t="inlineStr">
        <is>
          <t>Svartvit taggsvamp
Fjällig taggsvamp s.str.
Rödgul trumpetsvamp</t>
        </is>
      </c>
      <c r="S32">
        <f>HYPERLINK("https://klasma.github.io/Logging_1880/artfynd/A 29487-2022 artfynd.xlsx", "A 29487-2022")</f>
        <v/>
      </c>
      <c r="T32">
        <f>HYPERLINK("https://klasma.github.io/Logging_1880/kartor/A 29487-2022 karta.png", "A 29487-2022")</f>
        <v/>
      </c>
      <c r="V32">
        <f>HYPERLINK("https://klasma.github.io/Logging_1880/klagomål/A 29487-2022 FSC-klagomål.docx", "A 29487-2022")</f>
        <v/>
      </c>
      <c r="W32">
        <f>HYPERLINK("https://klasma.github.io/Logging_1880/klagomålsmail/A 29487-2022 FSC-klagomål mail.docx", "A 29487-2022")</f>
        <v/>
      </c>
      <c r="X32">
        <f>HYPERLINK("https://klasma.github.io/Logging_1880/tillsyn/A 29487-2022 tillsynsbegäran.docx", "A 29487-2022")</f>
        <v/>
      </c>
      <c r="Y32">
        <f>HYPERLINK("https://klasma.github.io/Logging_1880/tillsynsmail/A 29487-2022 tillsynsbegäran mail.docx", "A 29487-2022")</f>
        <v/>
      </c>
    </row>
    <row r="33" ht="15" customHeight="1">
      <c r="A33" t="inlineStr">
        <is>
          <t>A 3758-2023</t>
        </is>
      </c>
      <c r="B33" s="1" t="n">
        <v>44951</v>
      </c>
      <c r="C33" s="1" t="n">
        <v>45732</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45732</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31234-2023</t>
        </is>
      </c>
      <c r="B35" s="1" t="n">
        <v>45114</v>
      </c>
      <c r="C35" s="1" t="n">
        <v>45732</v>
      </c>
      <c r="D35" t="inlineStr">
        <is>
          <t>ÖREBRO LÄN</t>
        </is>
      </c>
      <c r="E35" t="inlineStr">
        <is>
          <t>ÖREBRO</t>
        </is>
      </c>
      <c r="F35" t="inlineStr">
        <is>
          <t>Allmännings- och besparingsskogar</t>
        </is>
      </c>
      <c r="G35" t="n">
        <v>30.5</v>
      </c>
      <c r="H35" t="n">
        <v>3</v>
      </c>
      <c r="I35" t="n">
        <v>0</v>
      </c>
      <c r="J35" t="n">
        <v>2</v>
      </c>
      <c r="K35" t="n">
        <v>0</v>
      </c>
      <c r="L35" t="n">
        <v>0</v>
      </c>
      <c r="M35" t="n">
        <v>0</v>
      </c>
      <c r="N35" t="n">
        <v>0</v>
      </c>
      <c r="O35" t="n">
        <v>2</v>
      </c>
      <c r="P35" t="n">
        <v>0</v>
      </c>
      <c r="Q35" t="n">
        <v>3</v>
      </c>
      <c r="R35" s="2" t="inlineStr">
        <is>
          <t>Havsörn
Spillkråka
Trana</t>
        </is>
      </c>
      <c r="S35">
        <f>HYPERLINK("https://klasma.github.io/Logging_1880/artfynd/A 31234-2023 artfynd.xlsx", "A 31234-2023")</f>
        <v/>
      </c>
      <c r="T35">
        <f>HYPERLINK("https://klasma.github.io/Logging_1880/kartor/A 31234-2023 karta.png", "A 31234-2023")</f>
        <v/>
      </c>
      <c r="V35">
        <f>HYPERLINK("https://klasma.github.io/Logging_1880/klagomål/A 31234-2023 FSC-klagomål.docx", "A 31234-2023")</f>
        <v/>
      </c>
      <c r="W35">
        <f>HYPERLINK("https://klasma.github.io/Logging_1880/klagomålsmail/A 31234-2023 FSC-klagomål mail.docx", "A 31234-2023")</f>
        <v/>
      </c>
      <c r="X35">
        <f>HYPERLINK("https://klasma.github.io/Logging_1880/tillsyn/A 31234-2023 tillsynsbegäran.docx", "A 31234-2023")</f>
        <v/>
      </c>
      <c r="Y35">
        <f>HYPERLINK("https://klasma.github.io/Logging_1880/tillsynsmail/A 31234-2023 tillsynsbegäran mail.docx", "A 31234-2023")</f>
        <v/>
      </c>
      <c r="Z35">
        <f>HYPERLINK("https://klasma.github.io/Logging_1880/fåglar/A 31234-2023 prioriterade fågelarter.docx", "A 31234-2023")</f>
        <v/>
      </c>
    </row>
    <row r="36" ht="15" customHeight="1">
      <c r="A36" t="inlineStr">
        <is>
          <t>A 50096-2023</t>
        </is>
      </c>
      <c r="B36" s="1" t="n">
        <v>45215</v>
      </c>
      <c r="C36" s="1" t="n">
        <v>45732</v>
      </c>
      <c r="D36" t="inlineStr">
        <is>
          <t>ÖREBRO LÄN</t>
        </is>
      </c>
      <c r="E36" t="inlineStr">
        <is>
          <t>ÖREBRO</t>
        </is>
      </c>
      <c r="F36" t="inlineStr">
        <is>
          <t>Övriga Aktiebolag</t>
        </is>
      </c>
      <c r="G36" t="n">
        <v>2.3</v>
      </c>
      <c r="H36" t="n">
        <v>3</v>
      </c>
      <c r="I36" t="n">
        <v>0</v>
      </c>
      <c r="J36" t="n">
        <v>2</v>
      </c>
      <c r="K36" t="n">
        <v>0</v>
      </c>
      <c r="L36" t="n">
        <v>0</v>
      </c>
      <c r="M36" t="n">
        <v>0</v>
      </c>
      <c r="N36" t="n">
        <v>0</v>
      </c>
      <c r="O36" t="n">
        <v>2</v>
      </c>
      <c r="P36" t="n">
        <v>0</v>
      </c>
      <c r="Q36" t="n">
        <v>3</v>
      </c>
      <c r="R36" s="2" t="inlineStr">
        <is>
          <t>Fiskmås
Skrattmås
Sångsvan</t>
        </is>
      </c>
      <c r="S36">
        <f>HYPERLINK("https://klasma.github.io/Logging_1880/artfynd/A 50096-2023 artfynd.xlsx", "A 50096-2023")</f>
        <v/>
      </c>
      <c r="T36">
        <f>HYPERLINK("https://klasma.github.io/Logging_1880/kartor/A 50096-2023 karta.png", "A 50096-2023")</f>
        <v/>
      </c>
      <c r="V36">
        <f>HYPERLINK("https://klasma.github.io/Logging_1880/klagomål/A 50096-2023 FSC-klagomål.docx", "A 50096-2023")</f>
        <v/>
      </c>
      <c r="W36">
        <f>HYPERLINK("https://klasma.github.io/Logging_1880/klagomålsmail/A 50096-2023 FSC-klagomål mail.docx", "A 50096-2023")</f>
        <v/>
      </c>
      <c r="X36">
        <f>HYPERLINK("https://klasma.github.io/Logging_1880/tillsyn/A 50096-2023 tillsynsbegäran.docx", "A 50096-2023")</f>
        <v/>
      </c>
      <c r="Y36">
        <f>HYPERLINK("https://klasma.github.io/Logging_1880/tillsynsmail/A 50096-2023 tillsynsbegäran mail.docx", "A 50096-2023")</f>
        <v/>
      </c>
      <c r="Z36">
        <f>HYPERLINK("https://klasma.github.io/Logging_1880/fåglar/A 50096-2023 prioriterade fågelarter.docx", "A 50096-2023")</f>
        <v/>
      </c>
    </row>
    <row r="37" ht="15" customHeight="1">
      <c r="A37" t="inlineStr">
        <is>
          <t>A 575-2024</t>
        </is>
      </c>
      <c r="B37" s="1" t="n">
        <v>45299</v>
      </c>
      <c r="C37" s="1" t="n">
        <v>45732</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17074-2024</t>
        </is>
      </c>
      <c r="B38" s="1" t="n">
        <v>45412</v>
      </c>
      <c r="C38" s="1" t="n">
        <v>45732</v>
      </c>
      <c r="D38" t="inlineStr">
        <is>
          <t>ÖREBRO LÄN</t>
        </is>
      </c>
      <c r="E38" t="inlineStr">
        <is>
          <t>ÖREBRO</t>
        </is>
      </c>
      <c r="F38" t="inlineStr">
        <is>
          <t>Sveaskog</t>
        </is>
      </c>
      <c r="G38" t="n">
        <v>7.2</v>
      </c>
      <c r="H38" t="n">
        <v>1</v>
      </c>
      <c r="I38" t="n">
        <v>2</v>
      </c>
      <c r="J38" t="n">
        <v>0</v>
      </c>
      <c r="K38" t="n">
        <v>0</v>
      </c>
      <c r="L38" t="n">
        <v>1</v>
      </c>
      <c r="M38" t="n">
        <v>0</v>
      </c>
      <c r="N38" t="n">
        <v>0</v>
      </c>
      <c r="O38" t="n">
        <v>1</v>
      </c>
      <c r="P38" t="n">
        <v>1</v>
      </c>
      <c r="Q38" t="n">
        <v>3</v>
      </c>
      <c r="R38" s="2" t="inlineStr">
        <is>
          <t>Ask
Hässleklocka
Skogsknipprot</t>
        </is>
      </c>
      <c r="S38">
        <f>HYPERLINK("https://klasma.github.io/Logging_1880/artfynd/A 17074-2024 artfynd.xlsx", "A 17074-2024")</f>
        <v/>
      </c>
      <c r="T38">
        <f>HYPERLINK("https://klasma.github.io/Logging_1880/kartor/A 17074-2024 karta.png", "A 17074-2024")</f>
        <v/>
      </c>
      <c r="V38">
        <f>HYPERLINK("https://klasma.github.io/Logging_1880/klagomål/A 17074-2024 FSC-klagomål.docx", "A 17074-2024")</f>
        <v/>
      </c>
      <c r="W38">
        <f>HYPERLINK("https://klasma.github.io/Logging_1880/klagomålsmail/A 17074-2024 FSC-klagomål mail.docx", "A 17074-2024")</f>
        <v/>
      </c>
      <c r="X38">
        <f>HYPERLINK("https://klasma.github.io/Logging_1880/tillsyn/A 17074-2024 tillsynsbegäran.docx", "A 17074-2024")</f>
        <v/>
      </c>
      <c r="Y38">
        <f>HYPERLINK("https://klasma.github.io/Logging_1880/tillsynsmail/A 17074-2024 tillsynsbegäran mail.docx", "A 17074-2024")</f>
        <v/>
      </c>
    </row>
    <row r="39" ht="15" customHeight="1">
      <c r="A39" t="inlineStr">
        <is>
          <t>A 31991-2024</t>
        </is>
      </c>
      <c r="B39" s="1" t="n">
        <v>45510</v>
      </c>
      <c r="C39" s="1" t="n">
        <v>45732</v>
      </c>
      <c r="D39" t="inlineStr">
        <is>
          <t>ÖREBRO LÄN</t>
        </is>
      </c>
      <c r="E39" t="inlineStr">
        <is>
          <t>ÖREBRO</t>
        </is>
      </c>
      <c r="G39" t="n">
        <v>1.9</v>
      </c>
      <c r="H39" t="n">
        <v>0</v>
      </c>
      <c r="I39" t="n">
        <v>3</v>
      </c>
      <c r="J39" t="n">
        <v>0</v>
      </c>
      <c r="K39" t="n">
        <v>0</v>
      </c>
      <c r="L39" t="n">
        <v>0</v>
      </c>
      <c r="M39" t="n">
        <v>0</v>
      </c>
      <c r="N39" t="n">
        <v>0</v>
      </c>
      <c r="O39" t="n">
        <v>0</v>
      </c>
      <c r="P39" t="n">
        <v>0</v>
      </c>
      <c r="Q39" t="n">
        <v>3</v>
      </c>
      <c r="R39" s="2" t="inlineStr">
        <is>
          <t>Dvärgtufs
Fransig jordstjärna
Tibast</t>
        </is>
      </c>
      <c r="S39">
        <f>HYPERLINK("https://klasma.github.io/Logging_1880/artfynd/A 31991-2024 artfynd.xlsx", "A 31991-2024")</f>
        <v/>
      </c>
      <c r="T39">
        <f>HYPERLINK("https://klasma.github.io/Logging_1880/kartor/A 31991-2024 karta.png", "A 31991-2024")</f>
        <v/>
      </c>
      <c r="V39">
        <f>HYPERLINK("https://klasma.github.io/Logging_1880/klagomål/A 31991-2024 FSC-klagomål.docx", "A 31991-2024")</f>
        <v/>
      </c>
      <c r="W39">
        <f>HYPERLINK("https://klasma.github.io/Logging_1880/klagomålsmail/A 31991-2024 FSC-klagomål mail.docx", "A 31991-2024")</f>
        <v/>
      </c>
      <c r="X39">
        <f>HYPERLINK("https://klasma.github.io/Logging_1880/tillsyn/A 31991-2024 tillsynsbegäran.docx", "A 31991-2024")</f>
        <v/>
      </c>
      <c r="Y39">
        <f>HYPERLINK("https://klasma.github.io/Logging_1880/tillsynsmail/A 31991-2024 tillsynsbegäran mail.docx", "A 31991-2024")</f>
        <v/>
      </c>
    </row>
    <row r="40" ht="15" customHeight="1">
      <c r="A40" t="inlineStr">
        <is>
          <t>A 20603-2019</t>
        </is>
      </c>
      <c r="B40" s="1" t="n">
        <v>43572</v>
      </c>
      <c r="C40" s="1" t="n">
        <v>45732</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45732</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45732</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45732</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45732</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45732</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45732</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45732</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45732</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45732</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45732</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45732</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45732</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45732</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45732</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45732</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45732</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45732</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45732</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45732</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45732</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45732</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45732</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45732</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45732</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45732</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45732</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45732</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45732</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45732</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45732</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45732</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45732</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45732</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45732</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45732</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45732</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45732</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45732</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45732</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45732</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45732</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45732</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45732</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45732</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45732</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45732</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45732</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45732</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45732</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45732</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45732</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45732</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45732</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45732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45732</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45732</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45732</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45732</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45732</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45732</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45732</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45732</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45732</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45732</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45732</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45732</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45732</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45732</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45732</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45732</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45732</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45732</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45732</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45732</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45732</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45732</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45732</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45732</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45732</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45732</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45732</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45732</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45732</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45732</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45732</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45732</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45732</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45732</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45732</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45732</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45732</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45732</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45732</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45732</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45732</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45732</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45732</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45732</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45732</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45732</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45732</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45732</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45732</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45732</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45732</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45732</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45732</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45732</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45732</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45732</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45732</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45732</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45732</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45732</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45732</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45732</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45732</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45732</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45732</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45732</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45732</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45732</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45732</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45732</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45732</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45732</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45732</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45732</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45732</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45732</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45732</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45732</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45732</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45732</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45732</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45732</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45732</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45732</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45732</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45732</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45732</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45732</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45732</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45732</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45732</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45732</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45732</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45732</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45732</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45732</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45732</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45732</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45732</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45732</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45732</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45732</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45732</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45732</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45732</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45732</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45732</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45732</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45732</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45732</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45732</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45732</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45732</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45732</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45732</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45732</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45732</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45732</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45732</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45732</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45732</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45732</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45732</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45732</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45732</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45732</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45732</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45732</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45732</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45732</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45732</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45732</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45732</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45732</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45732</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45732</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45732</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45732</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45732</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45732</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45732</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45732</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45732</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45732</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45732</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45732</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45732</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45732</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45732</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45732</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45732</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45732</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45732</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45732</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45732</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45732</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45732</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45732</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45732</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45732</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45732</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45732</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45732</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45732</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45732</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45732</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45732</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45732</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45732</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45732</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45732</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45732</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45732</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45732</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45732</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45732</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45732</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45732</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45732</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45732</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45732</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45732</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45732</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45732</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45732</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45732</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45732</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45732</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45732</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45732</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45732</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45732</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45732</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45732</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45732</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45732</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45732</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45732</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45732</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45732</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45732</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45732</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45732</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45732</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45732</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45732</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45732</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45732</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45732</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45732</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45732</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45732</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45732</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45732</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45732</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45732</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45732</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45732</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45732</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45732</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45732</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45732</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45732</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45732</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45732</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45732</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45732</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45732</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45732</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45732</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45732</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45732</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45732</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45732</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45732</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45732</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45732</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45732</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45732</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45732</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45732</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45732</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45732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45732</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45732</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45732</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45732</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45732</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45732</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45732</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45732</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45732</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45732</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45732</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45732</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45732</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45732</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45732</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45732</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45732</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45732</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45732</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45732</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45732</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45732</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45732</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45732</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45732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45732</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45732</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45732</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45732</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45732</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45732</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45732</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45732</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45732</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45732</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45732</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45732</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45732</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45732</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45732</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45732</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45732</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45732</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45732</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45732</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45732</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45732</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45732</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45732</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45732</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45732</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45732</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45732</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45732</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45732</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45732</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45732</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45732</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45732</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45732</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45732</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45732</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45732</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45732</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45732</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45732</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45732</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45732</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45732</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45732</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45732</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45732</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45732</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45732</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45732</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45732</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45732</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45732</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45732</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45732</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45732</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45732</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45732</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45732</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45732</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45732</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45732</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45732</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45732</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45732</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45732</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45732</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45732</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45732</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45732</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45732</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45732</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45732</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45732</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45732</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45732</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45732</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45732</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45732</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45732</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45732</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45732</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45732</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45732</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45732</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45732</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45732</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45732</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45732</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45732</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45732</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45732</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45732</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45732</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45732</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45732</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45732</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45732</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45732</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45732</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45732</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45732</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45732</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45732</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45732</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45732</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45732</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45732</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45732</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45732</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45732</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45732</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45732</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45732</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45732</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45732</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45732</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45732</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45732</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45732</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45732</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45732</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45732</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45732</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45732</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45732</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45732</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45732</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45732</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45732</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45732</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45732</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45732</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45732</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45732</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45732</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45732</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45732</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45732</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45732</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45732</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45732</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45732</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45732</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45732</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45732</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45732</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45732</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45732</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45732</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45732</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45732</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45732</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45732</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45732</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45732</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45732</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45732</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45732</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45732</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45732</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45732</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45732</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45732</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45732</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45732</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45732</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45732</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45732</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45732</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45732</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45732</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45732</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45732</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45732</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45732</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45732</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45732</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45732</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45732</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45732</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45732</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45732</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45732</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45732</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45732</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45732</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45732</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45732</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45732</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45732</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45732</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45732</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45732</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45732</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45732</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45732</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45732</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45732</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45732</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45732</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45732</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45732</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45732</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45732</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45732</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45732</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45732</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45732</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45732</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45732</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45732</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45732</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45732</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45732</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45732</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45732</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45732</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45732</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45732</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45732</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45732</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45732</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45732</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45732</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45732</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45732</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45732</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45732</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45732</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45732</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45732</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45732</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45732</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45732</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45732</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45732</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45732</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45732</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45732</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45732</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45732</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45732</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45732</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45732</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45732</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45732</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45732</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45732</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45732</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45732</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45732</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45732</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45732</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45732</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45732</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45732</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45732</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45732</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45732</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45732</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45732</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45732</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45732</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45732</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45732</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45732</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45732</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45732</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45732</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45732</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45732</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45732</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45732</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45732</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45732</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45732</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45732</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45732</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45732</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45732</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45732</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45732</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45732</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45732</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45732</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45732</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45732</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45732</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45732</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45732</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45732</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45732</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45732</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45732</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45732</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45732</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45732</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45732</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45732</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45732</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45732</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45732</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45732</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45732</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45732</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45732</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45732</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45732</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45732</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45732</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45732</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45732</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45732</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45732</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45732</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45732</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45732</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45732</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45732</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45732</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45732</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45732</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45732</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45732</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45732</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45732</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45732</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45732</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45732</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45732</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45732</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45732</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45732</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45732</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45732</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45732</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45732</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45732</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45732</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45732</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45732</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45732</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45732</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45732</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45732</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45732</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45732</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45732</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45732</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45732</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45732</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45732</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45732</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45732</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45732</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45732</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45732</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45732</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45732</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45732</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45732</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45732</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45732</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45732</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45732</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45732</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45732</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45732</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45732</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45732</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45732</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45732</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45732</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45732</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45732</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45732</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45732</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45732</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45732</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45732</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45732</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45732</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45732</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45732</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45732</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45732</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45732</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45732</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45732</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45732</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45732</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45732</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45732</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45732</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45732</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45732</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45732</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45732</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45732</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45732</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45732</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45732</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45732</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45732</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45732</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45732</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45732</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45732</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45732</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45732</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45732</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45732</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45732</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45732</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45732</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45732</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45732</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45732</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45732</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45732</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45732</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45732</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45732</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45732</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45732</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45732</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45732</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45732</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45732</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45732</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45732</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45732</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45732</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45732</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45732</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45732</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45732</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45732</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45732</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45732</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45732</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45732</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45732</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45732</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45732</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45732</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45732</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45732</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45732</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45732</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45732</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45732</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45732</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45732</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45732</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45732</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45732</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45732</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45732</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45732</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45732</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45732</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45732</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45732</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45732</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45732</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45732</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45732</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45732</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45732</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45732</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45732</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45732</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45732</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45732</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45732</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45732</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45732</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45732</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45732</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45732</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45732</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45732</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45732</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45732</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45732</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45732</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45732</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45732</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45732</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45732</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45732</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45732</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45732</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45732</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45732</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45732</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45732</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45732</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45732</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45732</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45732</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45732</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45732</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45732</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45732</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45732</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45732</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45732</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45732</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45732</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45732</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45732</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45732</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45732</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45732</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45732</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45732</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45732</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45732</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45732</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45732</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45732</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45732</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45732</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45732</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45732</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45732</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45732</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45732</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45732</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45732</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45732</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45732</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45732</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45732</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45732</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45732</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45732</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45732</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45732</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45732</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45732</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45732</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45732</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45732</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45732</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45732</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45732</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45732</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45732</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45732</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45732</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45732</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45732</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45732</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45732</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45732</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45732</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45732</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45732</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45732</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45732</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45732</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45732</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45732</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45732</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45732</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45732</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45732</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45732</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45732</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45732</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45732</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45732</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45732</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45732</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45732</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45732</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45732</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45732</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45732</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45732</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45732</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45732</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45732</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45732</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45732</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45732</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45732</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45732</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45732</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45732</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45732</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45732</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45732</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45732</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45732</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45732</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45732</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45732</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45732</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45732</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45732</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45732</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45732</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45732</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45732</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45732</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45732</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45732</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45732</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45732</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45732</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45732</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45732</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45732</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45732</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45732</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45732</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45732</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45732</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45732</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45732</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45732</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45732</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45732</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45732</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45732</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45732</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45732</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45732</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45732</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45732</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45732</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45732</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45732</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45732</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45732</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45732</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45732</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45732</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45732</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45732</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45732</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45732</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45732</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45732</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45732</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45732</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45732</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45732</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45732</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45732</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45732</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45732</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45732</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45732</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45732</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45732</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45732</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45732</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45732</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45732</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45732</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45732</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45732</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45732</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45732</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45732</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45732</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45732</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45732</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45732</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45732</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45732</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45732</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45732</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45732</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45732</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45732</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45732</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45732</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45732</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45732</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45732</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45732</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45732</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45732</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45732</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45732</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45732</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45732</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45732</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45732</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45732</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45732</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45732</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45732</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45732</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45732</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45732</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45732</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45732</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45732</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45732</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45732</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45732</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45732</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45732</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45732</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45732</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45732</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45732</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45732</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45732</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45732</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45732</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45732</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45732</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45732</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45732</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45732</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45732</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45732</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45732</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45732</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45732</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45732</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45732</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45732</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45732</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45732</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45732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45732</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45732</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45732</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45732</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45732</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45732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45732</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45732</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45732</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45732</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45732</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45732</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45732</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45732</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45732</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45732</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45732</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45732</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45732</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45732</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45732</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45732</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45732</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45732</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45732</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45732</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45732</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45732</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45732</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45732</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45732</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45732</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45732</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45732</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45732</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7134-2025</t>
        </is>
      </c>
      <c r="B1133" s="1" t="n">
        <v>45702</v>
      </c>
      <c r="C1133" s="1" t="n">
        <v>45732</v>
      </c>
      <c r="D1133" t="inlineStr">
        <is>
          <t>ÖREBRO LÄN</t>
        </is>
      </c>
      <c r="E1133" t="inlineStr">
        <is>
          <t>ÖREBRO</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7404-2025</t>
        </is>
      </c>
      <c r="B1134" s="1" t="n">
        <v>45705</v>
      </c>
      <c r="C1134" s="1" t="n">
        <v>45732</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7506-2025</t>
        </is>
      </c>
      <c r="B1135" s="1" t="n">
        <v>45705</v>
      </c>
      <c r="C1135" s="1" t="n">
        <v>45732</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45732</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45732</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45732</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45732</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45732</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45732</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45732</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11067-2025</t>
        </is>
      </c>
      <c r="B1143" s="1" t="n">
        <v>45723</v>
      </c>
      <c r="C1143" s="1" t="n">
        <v>45732</v>
      </c>
      <c r="D1143" t="inlineStr">
        <is>
          <t>ÖREBRO LÄN</t>
        </is>
      </c>
      <c r="E1143" t="inlineStr">
        <is>
          <t>ÖREBRO</t>
        </is>
      </c>
      <c r="G1143" t="n">
        <v>3.1</v>
      </c>
      <c r="H1143" t="n">
        <v>0</v>
      </c>
      <c r="I1143" t="n">
        <v>0</v>
      </c>
      <c r="J1143" t="n">
        <v>0</v>
      </c>
      <c r="K1143" t="n">
        <v>0</v>
      </c>
      <c r="L1143" t="n">
        <v>0</v>
      </c>
      <c r="M1143" t="n">
        <v>0</v>
      </c>
      <c r="N1143" t="n">
        <v>0</v>
      </c>
      <c r="O1143" t="n">
        <v>0</v>
      </c>
      <c r="P1143" t="n">
        <v>0</v>
      </c>
      <c r="Q1143" t="n">
        <v>0</v>
      </c>
      <c r="R1143" s="2" t="inlineStr"/>
    </row>
    <row r="1144">
      <c r="A1144" t="inlineStr">
        <is>
          <t>A 10992-2025</t>
        </is>
      </c>
      <c r="B1144" s="1" t="n">
        <v>45723</v>
      </c>
      <c r="C1144" s="1" t="n">
        <v>45732</v>
      </c>
      <c r="D1144" t="inlineStr">
        <is>
          <t>ÖREBRO LÄN</t>
        </is>
      </c>
      <c r="E1144" t="inlineStr">
        <is>
          <t>ÖREBRO</t>
        </is>
      </c>
      <c r="G1144" t="n">
        <v>9.5</v>
      </c>
      <c r="H1144" t="n">
        <v>0</v>
      </c>
      <c r="I1144" t="n">
        <v>0</v>
      </c>
      <c r="J1144" t="n">
        <v>0</v>
      </c>
      <c r="K1144" t="n">
        <v>0</v>
      </c>
      <c r="L1144" t="n">
        <v>0</v>
      </c>
      <c r="M1144" t="n">
        <v>0</v>
      </c>
      <c r="N1144" t="n">
        <v>0</v>
      </c>
      <c r="O1144" t="n">
        <v>0</v>
      </c>
      <c r="P1144" t="n">
        <v>0</v>
      </c>
      <c r="Q1144" t="n">
        <v>0</v>
      </c>
      <c r="R1144" s="2" t="inlineStr"/>
      <c r="U1144">
        <f>HYPERLINK("https://klasma.github.io/Logging_1880/knärot/A 10992-2025 karta knärot.png", "A 10992-2025")</f>
        <v/>
      </c>
      <c r="V1144">
        <f>HYPERLINK("https://klasma.github.io/Logging_1880/klagomål/A 10992-2025 FSC-klagomål.docx", "A 10992-2025")</f>
        <v/>
      </c>
      <c r="W1144">
        <f>HYPERLINK("https://klasma.github.io/Logging_1880/klagomålsmail/A 10992-2025 FSC-klagomål mail.docx", "A 10992-2025")</f>
        <v/>
      </c>
      <c r="X1144">
        <f>HYPERLINK("https://klasma.github.io/Logging_1880/tillsyn/A 10992-2025 tillsynsbegäran.docx", "A 10992-2025")</f>
        <v/>
      </c>
      <c r="Y1144">
        <f>HYPERLINK("https://klasma.github.io/Logging_1880/tillsynsmail/A 10992-2025 tillsynsbegäran mail.docx", "A 10992-2025")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2025-03-16T17:10:10Z</dcterms:created>
  <dcterms:modified xmlns:dcterms="http://purl.org/dc/terms/" xmlns:xsi="http://www.w3.org/2001/XMLSchema-instance" xsi:type="dcterms:W3CDTF">2025-03-16T17:10:11Z</dcterms:modified>
</cp:coreProperties>
</file>