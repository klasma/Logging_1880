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45995</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45995</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45995</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45995</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45995</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45995</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12974-2022</t>
        </is>
      </c>
      <c r="B12" s="1" t="n">
        <v>44643.38490740741</v>
      </c>
      <c r="C12" s="1" t="n">
        <v>45995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51530-2024</t>
        </is>
      </c>
      <c r="B13" s="1" t="n">
        <v>45604</v>
      </c>
      <c r="C13" s="1" t="n">
        <v>45995</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33069-2025</t>
        </is>
      </c>
      <c r="B14" s="1" t="n">
        <v>45840</v>
      </c>
      <c r="C14" s="1" t="n">
        <v>45995</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45995</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45995</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45995</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29487-2022</t>
        </is>
      </c>
      <c r="B18" s="1" t="n">
        <v>44753</v>
      </c>
      <c r="C18" s="1" t="n">
        <v>45995</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45995</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13627-2025</t>
        </is>
      </c>
      <c r="B20" s="1" t="n">
        <v>45736</v>
      </c>
      <c r="C20" s="1" t="n">
        <v>45995</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45995</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45995</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59517-2025</t>
        </is>
      </c>
      <c r="B23" s="1" t="n">
        <v>45989.65462962963</v>
      </c>
      <c r="C23" s="1" t="n">
        <v>45995</v>
      </c>
      <c r="D23" t="inlineStr">
        <is>
          <t>ÖREBRO LÄN</t>
        </is>
      </c>
      <c r="E23" t="inlineStr">
        <is>
          <t>ÖREBRO</t>
        </is>
      </c>
      <c r="F23" t="inlineStr">
        <is>
          <t>Sveaskog</t>
        </is>
      </c>
      <c r="G23" t="n">
        <v>3.7</v>
      </c>
      <c r="H23" t="n">
        <v>0</v>
      </c>
      <c r="I23" t="n">
        <v>1</v>
      </c>
      <c r="J23" t="n">
        <v>1</v>
      </c>
      <c r="K23" t="n">
        <v>1</v>
      </c>
      <c r="L23" t="n">
        <v>0</v>
      </c>
      <c r="M23" t="n">
        <v>0</v>
      </c>
      <c r="N23" t="n">
        <v>0</v>
      </c>
      <c r="O23" t="n">
        <v>2</v>
      </c>
      <c r="P23" t="n">
        <v>1</v>
      </c>
      <c r="Q23" t="n">
        <v>3</v>
      </c>
      <c r="R23" s="2" t="inlineStr">
        <is>
          <t>Porslinsblå spindling
Gul taggsvamp
Rödgul trumpetsvamp</t>
        </is>
      </c>
      <c r="S23">
        <f>HYPERLINK("https://klasma.github.io/Logging_1880/artfynd/A 59517-2025 artfynd.xlsx", "A 59517-2025")</f>
        <v/>
      </c>
      <c r="T23">
        <f>HYPERLINK("https://klasma.github.io/Logging_1880/kartor/A 59517-2025 karta.png", "A 59517-2025")</f>
        <v/>
      </c>
      <c r="V23">
        <f>HYPERLINK("https://klasma.github.io/Logging_1880/klagomål/A 59517-2025 FSC-klagomål.docx", "A 59517-2025")</f>
        <v/>
      </c>
      <c r="W23">
        <f>HYPERLINK("https://klasma.github.io/Logging_1880/klagomålsmail/A 59517-2025 FSC-klagomål mail.docx", "A 59517-2025")</f>
        <v/>
      </c>
      <c r="X23">
        <f>HYPERLINK("https://klasma.github.io/Logging_1880/tillsyn/A 59517-2025 tillsynsbegäran.docx", "A 59517-2025")</f>
        <v/>
      </c>
      <c r="Y23">
        <f>HYPERLINK("https://klasma.github.io/Logging_1880/tillsynsmail/A 59517-2025 tillsynsbegäran mail.docx", "A 59517-2025")</f>
        <v/>
      </c>
    </row>
    <row r="24" ht="15" customHeight="1">
      <c r="A24" t="inlineStr">
        <is>
          <t>A 575-2024</t>
        </is>
      </c>
      <c r="B24" s="1" t="n">
        <v>45299</v>
      </c>
      <c r="C24" s="1" t="n">
        <v>45995</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35098-2025</t>
        </is>
      </c>
      <c r="B25" s="1" t="n">
        <v>45852.5469212963</v>
      </c>
      <c r="C25" s="1" t="n">
        <v>45995</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29478-2022</t>
        </is>
      </c>
      <c r="B26" s="1" t="n">
        <v>44753</v>
      </c>
      <c r="C26" s="1" t="n">
        <v>45995</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32782-2022</t>
        </is>
      </c>
      <c r="B27" s="1" t="n">
        <v>44783</v>
      </c>
      <c r="C27" s="1" t="n">
        <v>45995</v>
      </c>
      <c r="D27" t="inlineStr">
        <is>
          <t>ÖREBRO LÄN</t>
        </is>
      </c>
      <c r="E27" t="inlineStr">
        <is>
          <t>ÖREBRO</t>
        </is>
      </c>
      <c r="G27" t="n">
        <v>2.8</v>
      </c>
      <c r="H27" t="n">
        <v>1</v>
      </c>
      <c r="I27" t="n">
        <v>0</v>
      </c>
      <c r="J27" t="n">
        <v>1</v>
      </c>
      <c r="K27" t="n">
        <v>0</v>
      </c>
      <c r="L27" t="n">
        <v>0</v>
      </c>
      <c r="M27" t="n">
        <v>0</v>
      </c>
      <c r="N27" t="n">
        <v>0</v>
      </c>
      <c r="O27" t="n">
        <v>1</v>
      </c>
      <c r="P27" t="n">
        <v>0</v>
      </c>
      <c r="Q27" t="n">
        <v>2</v>
      </c>
      <c r="R27" s="2" t="inlineStr">
        <is>
          <t>Loppstarr
Blåsippa</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49552-2022</t>
        </is>
      </c>
      <c r="B28" s="1" t="n">
        <v>44862.31013888889</v>
      </c>
      <c r="C28" s="1" t="n">
        <v>45995</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2586-2021</t>
        </is>
      </c>
      <c r="B29" s="1" t="n">
        <v>44214</v>
      </c>
      <c r="C29" s="1" t="n">
        <v>45995</v>
      </c>
      <c r="D29" t="inlineStr">
        <is>
          <t>ÖREBRO LÄN</t>
        </is>
      </c>
      <c r="E29" t="inlineStr">
        <is>
          <t>ÖREBRO</t>
        </is>
      </c>
      <c r="G29" t="n">
        <v>8</v>
      </c>
      <c r="H29" t="n">
        <v>1</v>
      </c>
      <c r="I29" t="n">
        <v>0</v>
      </c>
      <c r="J29" t="n">
        <v>1</v>
      </c>
      <c r="K29" t="n">
        <v>0</v>
      </c>
      <c r="L29" t="n">
        <v>0</v>
      </c>
      <c r="M29" t="n">
        <v>0</v>
      </c>
      <c r="N29" t="n">
        <v>0</v>
      </c>
      <c r="O29" t="n">
        <v>1</v>
      </c>
      <c r="P29" t="n">
        <v>0</v>
      </c>
      <c r="Q29" t="n">
        <v>2</v>
      </c>
      <c r="R29" s="2" t="inlineStr">
        <is>
          <t>Tallticka
Fläcknycklar</t>
        </is>
      </c>
      <c r="S29">
        <f>HYPERLINK("https://klasma.github.io/Logging_1880/artfynd/A 2586-2021 artfynd.xlsx", "A 2586-2021")</f>
        <v/>
      </c>
      <c r="T29">
        <f>HYPERLINK("https://klasma.github.io/Logging_1880/kartor/A 2586-2021 karta.png", "A 2586-2021")</f>
        <v/>
      </c>
      <c r="V29">
        <f>HYPERLINK("https://klasma.github.io/Logging_1880/klagomål/A 2586-2021 FSC-klagomål.docx", "A 2586-2021")</f>
        <v/>
      </c>
      <c r="W29">
        <f>HYPERLINK("https://klasma.github.io/Logging_1880/klagomålsmail/A 2586-2021 FSC-klagomål mail.docx", "A 2586-2021")</f>
        <v/>
      </c>
      <c r="X29">
        <f>HYPERLINK("https://klasma.github.io/Logging_1880/tillsyn/A 2586-2021 tillsynsbegäran.docx", "A 2586-2021")</f>
        <v/>
      </c>
      <c r="Y29">
        <f>HYPERLINK("https://klasma.github.io/Logging_1880/tillsynsmail/A 2586-2021 tillsynsbegäran mail.docx", "A 2586-2021")</f>
        <v/>
      </c>
    </row>
    <row r="30" ht="15" customHeight="1">
      <c r="A30" t="inlineStr">
        <is>
          <t>A 13458-2024</t>
        </is>
      </c>
      <c r="B30" s="1" t="n">
        <v>45387.54642361111</v>
      </c>
      <c r="C30" s="1" t="n">
        <v>45995</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22577-2024</t>
        </is>
      </c>
      <c r="B31" s="1" t="n">
        <v>45447</v>
      </c>
      <c r="C31" s="1" t="n">
        <v>45995</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13395-2024</t>
        </is>
      </c>
      <c r="B32" s="1" t="n">
        <v>45387.42296296296</v>
      </c>
      <c r="C32" s="1" t="n">
        <v>45995</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52400-2024</t>
        </is>
      </c>
      <c r="B33" s="1" t="n">
        <v>45609.44461805555</v>
      </c>
      <c r="C33" s="1" t="n">
        <v>45995</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14956-2025</t>
        </is>
      </c>
      <c r="B34" s="1" t="n">
        <v>45743.58409722222</v>
      </c>
      <c r="C34" s="1" t="n">
        <v>45995</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58837-2025</t>
        </is>
      </c>
      <c r="B35" s="1" t="n">
        <v>45987.35875</v>
      </c>
      <c r="C35" s="1" t="n">
        <v>45995</v>
      </c>
      <c r="D35" t="inlineStr">
        <is>
          <t>ÖREBRO LÄN</t>
        </is>
      </c>
      <c r="E35" t="inlineStr">
        <is>
          <t>ÖREBRO</t>
        </is>
      </c>
      <c r="G35" t="n">
        <v>3.8</v>
      </c>
      <c r="H35" t="n">
        <v>1</v>
      </c>
      <c r="I35" t="n">
        <v>0</v>
      </c>
      <c r="J35" t="n">
        <v>1</v>
      </c>
      <c r="K35" t="n">
        <v>0</v>
      </c>
      <c r="L35" t="n">
        <v>0</v>
      </c>
      <c r="M35" t="n">
        <v>0</v>
      </c>
      <c r="N35" t="n">
        <v>0</v>
      </c>
      <c r="O35" t="n">
        <v>1</v>
      </c>
      <c r="P35" t="n">
        <v>0</v>
      </c>
      <c r="Q35" t="n">
        <v>2</v>
      </c>
      <c r="R35" s="2" t="inlineStr">
        <is>
          <t>Svartöra
Kungsfågel</t>
        </is>
      </c>
      <c r="S35">
        <f>HYPERLINK("https://klasma.github.io/Logging_1880/artfynd/A 58837-2025 artfynd.xlsx", "A 58837-2025")</f>
        <v/>
      </c>
      <c r="T35">
        <f>HYPERLINK("https://klasma.github.io/Logging_1880/kartor/A 58837-2025 karta.png", "A 58837-2025")</f>
        <v/>
      </c>
      <c r="V35">
        <f>HYPERLINK("https://klasma.github.io/Logging_1880/klagomål/A 58837-2025 FSC-klagomål.docx", "A 58837-2025")</f>
        <v/>
      </c>
      <c r="W35">
        <f>HYPERLINK("https://klasma.github.io/Logging_1880/klagomålsmail/A 58837-2025 FSC-klagomål mail.docx", "A 58837-2025")</f>
        <v/>
      </c>
      <c r="X35">
        <f>HYPERLINK("https://klasma.github.io/Logging_1880/tillsyn/A 58837-2025 tillsynsbegäran.docx", "A 58837-2025")</f>
        <v/>
      </c>
      <c r="Y35">
        <f>HYPERLINK("https://klasma.github.io/Logging_1880/tillsynsmail/A 58837-2025 tillsynsbegäran mail.docx", "A 58837-2025")</f>
        <v/>
      </c>
      <c r="Z35">
        <f>HYPERLINK("https://klasma.github.io/Logging_1880/fåglar/A 58837-2025 prioriterade fågelarter.docx", "A 58837-2025")</f>
        <v/>
      </c>
    </row>
    <row r="36" ht="15" customHeight="1">
      <c r="A36" t="inlineStr">
        <is>
          <t>A 59519-2025</t>
        </is>
      </c>
      <c r="B36" s="1" t="n">
        <v>45989.65541666667</v>
      </c>
      <c r="C36" s="1" t="n">
        <v>45995</v>
      </c>
      <c r="D36" t="inlineStr">
        <is>
          <t>ÖREBRO LÄN</t>
        </is>
      </c>
      <c r="E36" t="inlineStr">
        <is>
          <t>ÖREBRO</t>
        </is>
      </c>
      <c r="F36" t="inlineStr">
        <is>
          <t>Sveaskog</t>
        </is>
      </c>
      <c r="G36" t="n">
        <v>2.5</v>
      </c>
      <c r="H36" t="n">
        <v>2</v>
      </c>
      <c r="I36" t="n">
        <v>0</v>
      </c>
      <c r="J36" t="n">
        <v>0</v>
      </c>
      <c r="K36" t="n">
        <v>0</v>
      </c>
      <c r="L36" t="n">
        <v>0</v>
      </c>
      <c r="M36" t="n">
        <v>0</v>
      </c>
      <c r="N36" t="n">
        <v>0</v>
      </c>
      <c r="O36" t="n">
        <v>0</v>
      </c>
      <c r="P36" t="n">
        <v>0</v>
      </c>
      <c r="Q36" t="n">
        <v>2</v>
      </c>
      <c r="R36" s="2" t="inlineStr">
        <is>
          <t>Hasselmus
Blåsippa</t>
        </is>
      </c>
      <c r="S36">
        <f>HYPERLINK("https://klasma.github.io/Logging_1880/artfynd/A 59519-2025 artfynd.xlsx", "A 59519-2025")</f>
        <v/>
      </c>
      <c r="T36">
        <f>HYPERLINK("https://klasma.github.io/Logging_1880/kartor/A 59519-2025 karta.png", "A 59519-2025")</f>
        <v/>
      </c>
      <c r="V36">
        <f>HYPERLINK("https://klasma.github.io/Logging_1880/klagomål/A 59519-2025 FSC-klagomål.docx", "A 59519-2025")</f>
        <v/>
      </c>
      <c r="W36">
        <f>HYPERLINK("https://klasma.github.io/Logging_1880/klagomålsmail/A 59519-2025 FSC-klagomål mail.docx", "A 59519-2025")</f>
        <v/>
      </c>
      <c r="X36">
        <f>HYPERLINK("https://klasma.github.io/Logging_1880/tillsyn/A 59519-2025 tillsynsbegäran.docx", "A 59519-2025")</f>
        <v/>
      </c>
      <c r="Y36">
        <f>HYPERLINK("https://klasma.github.io/Logging_1880/tillsynsmail/A 59519-2025 tillsynsbegäran mail.docx", "A 59519-2025")</f>
        <v/>
      </c>
    </row>
    <row r="37" ht="15" customHeight="1">
      <c r="A37" t="inlineStr">
        <is>
          <t>A 51550-2025</t>
        </is>
      </c>
      <c r="B37" s="1" t="n">
        <v>45950.83359953704</v>
      </c>
      <c r="C37" s="1" t="n">
        <v>45995</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8267-2021</t>
        </is>
      </c>
      <c r="B38" s="1" t="n">
        <v>44244</v>
      </c>
      <c r="C38" s="1" t="n">
        <v>45995</v>
      </c>
      <c r="D38" t="inlineStr">
        <is>
          <t>ÖREBRO LÄN</t>
        </is>
      </c>
      <c r="E38" t="inlineStr">
        <is>
          <t>ÖREBRO</t>
        </is>
      </c>
      <c r="G38" t="n">
        <v>2.5</v>
      </c>
      <c r="H38" t="n">
        <v>1</v>
      </c>
      <c r="I38" t="n">
        <v>1</v>
      </c>
      <c r="J38" t="n">
        <v>0</v>
      </c>
      <c r="K38" t="n">
        <v>0</v>
      </c>
      <c r="L38" t="n">
        <v>0</v>
      </c>
      <c r="M38" t="n">
        <v>0</v>
      </c>
      <c r="N38" t="n">
        <v>0</v>
      </c>
      <c r="O38" t="n">
        <v>0</v>
      </c>
      <c r="P38" t="n">
        <v>0</v>
      </c>
      <c r="Q38" t="n">
        <v>2</v>
      </c>
      <c r="R38" s="2" t="inlineStr">
        <is>
          <t>Svart trolldruva
Blåsippa</t>
        </is>
      </c>
      <c r="S38">
        <f>HYPERLINK("https://klasma.github.io/Logging_1880/artfynd/A 8267-2021 artfynd.xlsx", "A 8267-2021")</f>
        <v/>
      </c>
      <c r="T38">
        <f>HYPERLINK("https://klasma.github.io/Logging_1880/kartor/A 8267-2021 karta.png", "A 8267-2021")</f>
        <v/>
      </c>
      <c r="V38">
        <f>HYPERLINK("https://klasma.github.io/Logging_1880/klagomål/A 8267-2021 FSC-klagomål.docx", "A 8267-2021")</f>
        <v/>
      </c>
      <c r="W38">
        <f>HYPERLINK("https://klasma.github.io/Logging_1880/klagomålsmail/A 8267-2021 FSC-klagomål mail.docx", "A 8267-2021")</f>
        <v/>
      </c>
      <c r="X38">
        <f>HYPERLINK("https://klasma.github.io/Logging_1880/tillsyn/A 8267-2021 tillsynsbegäran.docx", "A 8267-2021")</f>
        <v/>
      </c>
      <c r="Y38">
        <f>HYPERLINK("https://klasma.github.io/Logging_1880/tillsynsmail/A 8267-2021 tillsynsbegäran mail.docx", "A 8267-2021")</f>
        <v/>
      </c>
    </row>
    <row r="39" ht="15" customHeight="1">
      <c r="A39" t="inlineStr">
        <is>
          <t>A 37019-2024</t>
        </is>
      </c>
      <c r="B39" s="1" t="n">
        <v>45539.37905092593</v>
      </c>
      <c r="C39" s="1" t="n">
        <v>45995</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30409-2025</t>
        </is>
      </c>
      <c r="B40" s="1" t="n">
        <v>45827.59738425926</v>
      </c>
      <c r="C40" s="1" t="n">
        <v>45995</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7608-2024</t>
        </is>
      </c>
      <c r="B41" s="1" t="n">
        <v>45348</v>
      </c>
      <c r="C41" s="1" t="n">
        <v>45995</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29704-2022</t>
        </is>
      </c>
      <c r="B42" s="1" t="n">
        <v>44755</v>
      </c>
      <c r="C42" s="1" t="n">
        <v>45995</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4943-2022</t>
        </is>
      </c>
      <c r="B43" s="1" t="n">
        <v>44593</v>
      </c>
      <c r="C43" s="1" t="n">
        <v>45995</v>
      </c>
      <c r="D43" t="inlineStr">
        <is>
          <t>ÖREBRO LÄN</t>
        </is>
      </c>
      <c r="E43" t="inlineStr">
        <is>
          <t>ÖREBRO</t>
        </is>
      </c>
      <c r="G43" t="n">
        <v>1.1</v>
      </c>
      <c r="H43" t="n">
        <v>0</v>
      </c>
      <c r="I43" t="n">
        <v>0</v>
      </c>
      <c r="J43" t="n">
        <v>1</v>
      </c>
      <c r="K43" t="n">
        <v>0</v>
      </c>
      <c r="L43" t="n">
        <v>0</v>
      </c>
      <c r="M43" t="n">
        <v>0</v>
      </c>
      <c r="N43" t="n">
        <v>0</v>
      </c>
      <c r="O43" t="n">
        <v>1</v>
      </c>
      <c r="P43" t="n">
        <v>0</v>
      </c>
      <c r="Q43" t="n">
        <v>1</v>
      </c>
      <c r="R43" s="2" t="inlineStr">
        <is>
          <t>Skinntagging</t>
        </is>
      </c>
      <c r="S43">
        <f>HYPERLINK("https://klasma.github.io/Logging_1880/artfynd/A 4943-2022 artfynd.xlsx", "A 4943-2022")</f>
        <v/>
      </c>
      <c r="T43">
        <f>HYPERLINK("https://klasma.github.io/Logging_1880/kartor/A 4943-2022 karta.png", "A 4943-2022")</f>
        <v/>
      </c>
      <c r="V43">
        <f>HYPERLINK("https://klasma.github.io/Logging_1880/klagomål/A 4943-2022 FSC-klagomål.docx", "A 4943-2022")</f>
        <v/>
      </c>
      <c r="W43">
        <f>HYPERLINK("https://klasma.github.io/Logging_1880/klagomålsmail/A 4943-2022 FSC-klagomål mail.docx", "A 4943-2022")</f>
        <v/>
      </c>
      <c r="X43">
        <f>HYPERLINK("https://klasma.github.io/Logging_1880/tillsyn/A 4943-2022 tillsynsbegäran.docx", "A 4943-2022")</f>
        <v/>
      </c>
      <c r="Y43">
        <f>HYPERLINK("https://klasma.github.io/Logging_1880/tillsynsmail/A 4943-2022 tillsynsbegäran mail.docx", "A 4943-2022")</f>
        <v/>
      </c>
    </row>
    <row r="44" ht="15" customHeight="1">
      <c r="A44" t="inlineStr">
        <is>
          <t>A 6926-2021</t>
        </is>
      </c>
      <c r="B44" s="1" t="n">
        <v>44237</v>
      </c>
      <c r="C44" s="1" t="n">
        <v>45995</v>
      </c>
      <c r="D44" t="inlineStr">
        <is>
          <t>ÖREBRO LÄN</t>
        </is>
      </c>
      <c r="E44" t="inlineStr">
        <is>
          <t>ÖREBRO</t>
        </is>
      </c>
      <c r="G44" t="n">
        <v>0.9</v>
      </c>
      <c r="H44" t="n">
        <v>1</v>
      </c>
      <c r="I44" t="n">
        <v>1</v>
      </c>
      <c r="J44" t="n">
        <v>0</v>
      </c>
      <c r="K44" t="n">
        <v>0</v>
      </c>
      <c r="L44" t="n">
        <v>0</v>
      </c>
      <c r="M44" t="n">
        <v>0</v>
      </c>
      <c r="N44" t="n">
        <v>0</v>
      </c>
      <c r="O44" t="n">
        <v>0</v>
      </c>
      <c r="P44" t="n">
        <v>0</v>
      </c>
      <c r="Q44" t="n">
        <v>1</v>
      </c>
      <c r="R44" s="2" t="inlineStr">
        <is>
          <t>Skogsknipprot</t>
        </is>
      </c>
      <c r="S44">
        <f>HYPERLINK("https://klasma.github.io/Logging_1880/artfynd/A 6926-2021 artfynd.xlsx", "A 6926-2021")</f>
        <v/>
      </c>
      <c r="T44">
        <f>HYPERLINK("https://klasma.github.io/Logging_1880/kartor/A 6926-2021 karta.png", "A 6926-2021")</f>
        <v/>
      </c>
      <c r="V44">
        <f>HYPERLINK("https://klasma.github.io/Logging_1880/klagomål/A 6926-2021 FSC-klagomål.docx", "A 6926-2021")</f>
        <v/>
      </c>
      <c r="W44">
        <f>HYPERLINK("https://klasma.github.io/Logging_1880/klagomålsmail/A 6926-2021 FSC-klagomål mail.docx", "A 6926-2021")</f>
        <v/>
      </c>
      <c r="X44">
        <f>HYPERLINK("https://klasma.github.io/Logging_1880/tillsyn/A 6926-2021 tillsynsbegäran.docx", "A 6926-2021")</f>
        <v/>
      </c>
      <c r="Y44">
        <f>HYPERLINK("https://klasma.github.io/Logging_1880/tillsynsmail/A 6926-2021 tillsynsbegäran mail.docx", "A 6926-2021")</f>
        <v/>
      </c>
    </row>
    <row r="45" ht="15" customHeight="1">
      <c r="A45" t="inlineStr">
        <is>
          <t>A 32105-2023</t>
        </is>
      </c>
      <c r="B45" s="1" t="n">
        <v>45119</v>
      </c>
      <c r="C45" s="1" t="n">
        <v>45995</v>
      </c>
      <c r="D45" t="inlineStr">
        <is>
          <t>ÖREBRO LÄN</t>
        </is>
      </c>
      <c r="E45" t="inlineStr">
        <is>
          <t>ÖREBRO</t>
        </is>
      </c>
      <c r="G45" t="n">
        <v>1.3</v>
      </c>
      <c r="H45" t="n">
        <v>1</v>
      </c>
      <c r="I45" t="n">
        <v>0</v>
      </c>
      <c r="J45" t="n">
        <v>1</v>
      </c>
      <c r="K45" t="n">
        <v>0</v>
      </c>
      <c r="L45" t="n">
        <v>0</v>
      </c>
      <c r="M45" t="n">
        <v>0</v>
      </c>
      <c r="N45" t="n">
        <v>0</v>
      </c>
      <c r="O45" t="n">
        <v>1</v>
      </c>
      <c r="P45" t="n">
        <v>0</v>
      </c>
      <c r="Q45" t="n">
        <v>1</v>
      </c>
      <c r="R45" s="2" t="inlineStr">
        <is>
          <t>Rödvingetrast</t>
        </is>
      </c>
      <c r="S45">
        <f>HYPERLINK("https://klasma.github.io/Logging_1880/artfynd/A 32105-2023 artfynd.xlsx", "A 32105-2023")</f>
        <v/>
      </c>
      <c r="T45">
        <f>HYPERLINK("https://klasma.github.io/Logging_1880/kartor/A 32105-2023 karta.png", "A 32105-2023")</f>
        <v/>
      </c>
      <c r="V45">
        <f>HYPERLINK("https://klasma.github.io/Logging_1880/klagomål/A 32105-2023 FSC-klagomål.docx", "A 32105-2023")</f>
        <v/>
      </c>
      <c r="W45">
        <f>HYPERLINK("https://klasma.github.io/Logging_1880/klagomålsmail/A 32105-2023 FSC-klagomål mail.docx", "A 32105-2023")</f>
        <v/>
      </c>
      <c r="X45">
        <f>HYPERLINK("https://klasma.github.io/Logging_1880/tillsyn/A 32105-2023 tillsynsbegäran.docx", "A 32105-2023")</f>
        <v/>
      </c>
      <c r="Y45">
        <f>HYPERLINK("https://klasma.github.io/Logging_1880/tillsynsmail/A 32105-2023 tillsynsbegäran mail.docx", "A 32105-2023")</f>
        <v/>
      </c>
      <c r="Z45">
        <f>HYPERLINK("https://klasma.github.io/Logging_1880/fåglar/A 32105-2023 prioriterade fågelarter.docx", "A 32105-2023")</f>
        <v/>
      </c>
    </row>
    <row r="46" ht="15" customHeight="1">
      <c r="A46" t="inlineStr">
        <is>
          <t>A 43332-2022</t>
        </is>
      </c>
      <c r="B46" s="1" t="n">
        <v>44834</v>
      </c>
      <c r="C46" s="1" t="n">
        <v>45995</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23998-2025</t>
        </is>
      </c>
      <c r="B47" s="1" t="n">
        <v>45796.42209490741</v>
      </c>
      <c r="C47" s="1" t="n">
        <v>45995</v>
      </c>
      <c r="D47" t="inlineStr">
        <is>
          <t>ÖREBRO LÄN</t>
        </is>
      </c>
      <c r="E47" t="inlineStr">
        <is>
          <t>ÖREBRO</t>
        </is>
      </c>
      <c r="G47" t="n">
        <v>4.7</v>
      </c>
      <c r="H47" t="n">
        <v>0</v>
      </c>
      <c r="I47" t="n">
        <v>1</v>
      </c>
      <c r="J47" t="n">
        <v>0</v>
      </c>
      <c r="K47" t="n">
        <v>0</v>
      </c>
      <c r="L47" t="n">
        <v>0</v>
      </c>
      <c r="M47" t="n">
        <v>0</v>
      </c>
      <c r="N47" t="n">
        <v>0</v>
      </c>
      <c r="O47" t="n">
        <v>0</v>
      </c>
      <c r="P47" t="n">
        <v>0</v>
      </c>
      <c r="Q47" t="n">
        <v>1</v>
      </c>
      <c r="R47" s="2" t="inlineStr">
        <is>
          <t>Kambräken</t>
        </is>
      </c>
      <c r="S47">
        <f>HYPERLINK("https://klasma.github.io/Logging_1880/artfynd/A 23998-2025 artfynd.xlsx", "A 23998-2025")</f>
        <v/>
      </c>
      <c r="T47">
        <f>HYPERLINK("https://klasma.github.io/Logging_1880/kartor/A 23998-2025 karta.png", "A 23998-2025")</f>
        <v/>
      </c>
      <c r="V47">
        <f>HYPERLINK("https://klasma.github.io/Logging_1880/klagomål/A 23998-2025 FSC-klagomål.docx", "A 23998-2025")</f>
        <v/>
      </c>
      <c r="W47">
        <f>HYPERLINK("https://klasma.github.io/Logging_1880/klagomålsmail/A 23998-2025 FSC-klagomål mail.docx", "A 23998-2025")</f>
        <v/>
      </c>
      <c r="X47">
        <f>HYPERLINK("https://klasma.github.io/Logging_1880/tillsyn/A 23998-2025 tillsynsbegäran.docx", "A 23998-2025")</f>
        <v/>
      </c>
      <c r="Y47">
        <f>HYPERLINK("https://klasma.github.io/Logging_1880/tillsynsmail/A 23998-2025 tillsynsbegäran mail.docx", "A 23998-2025")</f>
        <v/>
      </c>
    </row>
    <row r="48" ht="15" customHeight="1">
      <c r="A48" t="inlineStr">
        <is>
          <t>A 44744-2024</t>
        </is>
      </c>
      <c r="B48" s="1" t="n">
        <v>45574.59789351852</v>
      </c>
      <c r="C48" s="1" t="n">
        <v>45995</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20032-2023</t>
        </is>
      </c>
      <c r="B49" s="1" t="n">
        <v>45054</v>
      </c>
      <c r="C49" s="1" t="n">
        <v>45995</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11501-2025</t>
        </is>
      </c>
      <c r="B50" s="1" t="n">
        <v>45726</v>
      </c>
      <c r="C50" s="1" t="n">
        <v>45995</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22604-2024</t>
        </is>
      </c>
      <c r="B51" s="1" t="n">
        <v>45447</v>
      </c>
      <c r="C51" s="1" t="n">
        <v>45995</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4014-2021</t>
        </is>
      </c>
      <c r="B52" s="1" t="n">
        <v>44218</v>
      </c>
      <c r="C52" s="1" t="n">
        <v>45995</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30725-2023</t>
        </is>
      </c>
      <c r="B53" s="1" t="n">
        <v>45112.61451388889</v>
      </c>
      <c r="C53" s="1" t="n">
        <v>45995</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45995</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45995</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42636-2023</t>
        </is>
      </c>
      <c r="B56" s="1" t="n">
        <v>45181.49559027778</v>
      </c>
      <c r="C56" s="1" t="n">
        <v>45995</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45995</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58832-2025</t>
        </is>
      </c>
      <c r="B58" s="1" t="n">
        <v>45987.35384259259</v>
      </c>
      <c r="C58" s="1" t="n">
        <v>45995</v>
      </c>
      <c r="D58" t="inlineStr">
        <is>
          <t>ÖREBRO LÄN</t>
        </is>
      </c>
      <c r="E58" t="inlineStr">
        <is>
          <t>ÖREBRO</t>
        </is>
      </c>
      <c r="G58" t="n">
        <v>0.9</v>
      </c>
      <c r="H58" t="n">
        <v>1</v>
      </c>
      <c r="I58" t="n">
        <v>0</v>
      </c>
      <c r="J58" t="n">
        <v>0</v>
      </c>
      <c r="K58" t="n">
        <v>0</v>
      </c>
      <c r="L58" t="n">
        <v>1</v>
      </c>
      <c r="M58" t="n">
        <v>0</v>
      </c>
      <c r="N58" t="n">
        <v>0</v>
      </c>
      <c r="O58" t="n">
        <v>1</v>
      </c>
      <c r="P58" t="n">
        <v>1</v>
      </c>
      <c r="Q58" t="n">
        <v>1</v>
      </c>
      <c r="R58" s="2" t="inlineStr">
        <is>
          <t>Mosippa</t>
        </is>
      </c>
      <c r="S58">
        <f>HYPERLINK("https://klasma.github.io/Logging_1880/artfynd/A 58832-2025 artfynd.xlsx", "A 58832-2025")</f>
        <v/>
      </c>
      <c r="T58">
        <f>HYPERLINK("https://klasma.github.io/Logging_1880/kartor/A 58832-2025 karta.png", "A 58832-2025")</f>
        <v/>
      </c>
      <c r="V58">
        <f>HYPERLINK("https://klasma.github.io/Logging_1880/klagomål/A 58832-2025 FSC-klagomål.docx", "A 58832-2025")</f>
        <v/>
      </c>
      <c r="W58">
        <f>HYPERLINK("https://klasma.github.io/Logging_1880/klagomålsmail/A 58832-2025 FSC-klagomål mail.docx", "A 58832-2025")</f>
        <v/>
      </c>
      <c r="X58">
        <f>HYPERLINK("https://klasma.github.io/Logging_1880/tillsyn/A 58832-2025 tillsynsbegäran.docx", "A 58832-2025")</f>
        <v/>
      </c>
      <c r="Y58">
        <f>HYPERLINK("https://klasma.github.io/Logging_1880/tillsynsmail/A 58832-2025 tillsynsbegäran mail.docx", "A 58832-2025")</f>
        <v/>
      </c>
    </row>
    <row r="59" ht="15" customHeight="1">
      <c r="A59" t="inlineStr">
        <is>
          <t>A 50499-2025</t>
        </is>
      </c>
      <c r="B59" s="1" t="n">
        <v>45945.41712962963</v>
      </c>
      <c r="C59" s="1" t="n">
        <v>45995</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26890-2022</t>
        </is>
      </c>
      <c r="B60" s="1" t="n">
        <v>44740</v>
      </c>
      <c r="C60" s="1" t="n">
        <v>45995</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59516-2025</t>
        </is>
      </c>
      <c r="B61" s="1" t="n">
        <v>45989.65396990741</v>
      </c>
      <c r="C61" s="1" t="n">
        <v>45995</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15621-2021</t>
        </is>
      </c>
      <c r="B62" s="1" t="n">
        <v>44285</v>
      </c>
      <c r="C62" s="1" t="n">
        <v>45995</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57920-2024</t>
        </is>
      </c>
      <c r="B63" s="1" t="n">
        <v>45631.50894675926</v>
      </c>
      <c r="C63" s="1" t="n">
        <v>45995</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28936-2025</t>
        </is>
      </c>
      <c r="B64" s="1" t="n">
        <v>45820.69287037037</v>
      </c>
      <c r="C64" s="1" t="n">
        <v>45995</v>
      </c>
      <c r="D64" t="inlineStr">
        <is>
          <t>ÖREBRO LÄN</t>
        </is>
      </c>
      <c r="E64" t="inlineStr">
        <is>
          <t>ÖREBRO</t>
        </is>
      </c>
      <c r="G64" t="n">
        <v>0.9</v>
      </c>
      <c r="H64" t="n">
        <v>1</v>
      </c>
      <c r="I64" t="n">
        <v>0</v>
      </c>
      <c r="J64" t="n">
        <v>0</v>
      </c>
      <c r="K64" t="n">
        <v>0</v>
      </c>
      <c r="L64" t="n">
        <v>0</v>
      </c>
      <c r="M64" t="n">
        <v>0</v>
      </c>
      <c r="N64" t="n">
        <v>0</v>
      </c>
      <c r="O64" t="n">
        <v>0</v>
      </c>
      <c r="P64" t="n">
        <v>0</v>
      </c>
      <c r="Q64" t="n">
        <v>1</v>
      </c>
      <c r="R64" s="2" t="inlineStr">
        <is>
          <t>Kungsfågel</t>
        </is>
      </c>
      <c r="S64">
        <f>HYPERLINK("https://klasma.github.io/Logging_1880/artfynd/A 28936-2025 artfynd.xlsx", "A 28936-2025")</f>
        <v/>
      </c>
      <c r="T64">
        <f>HYPERLINK("https://klasma.github.io/Logging_1880/kartor/A 28936-2025 karta.png", "A 28936-2025")</f>
        <v/>
      </c>
      <c r="V64">
        <f>HYPERLINK("https://klasma.github.io/Logging_1880/klagomål/A 28936-2025 FSC-klagomål.docx", "A 28936-2025")</f>
        <v/>
      </c>
      <c r="W64">
        <f>HYPERLINK("https://klasma.github.io/Logging_1880/klagomålsmail/A 28936-2025 FSC-klagomål mail.docx", "A 28936-2025")</f>
        <v/>
      </c>
      <c r="X64">
        <f>HYPERLINK("https://klasma.github.io/Logging_1880/tillsyn/A 28936-2025 tillsynsbegäran.docx", "A 28936-2025")</f>
        <v/>
      </c>
      <c r="Y64">
        <f>HYPERLINK("https://klasma.github.io/Logging_1880/tillsynsmail/A 28936-2025 tillsynsbegäran mail.docx", "A 28936-2025")</f>
        <v/>
      </c>
      <c r="Z64">
        <f>HYPERLINK("https://klasma.github.io/Logging_1880/fåglar/A 28936-2025 prioriterade fågelarter.docx", "A 28936-2025")</f>
        <v/>
      </c>
    </row>
    <row r="65" ht="15" customHeight="1">
      <c r="A65" t="inlineStr">
        <is>
          <t>A 2077-2023</t>
        </is>
      </c>
      <c r="B65" s="1" t="n">
        <v>44939</v>
      </c>
      <c r="C65" s="1" t="n">
        <v>45995</v>
      </c>
      <c r="D65" t="inlineStr">
        <is>
          <t>ÖREBRO LÄN</t>
        </is>
      </c>
      <c r="E65" t="inlineStr">
        <is>
          <t>ÖREBRO</t>
        </is>
      </c>
      <c r="G65" t="n">
        <v>1.4</v>
      </c>
      <c r="H65" t="n">
        <v>1</v>
      </c>
      <c r="I65" t="n">
        <v>0</v>
      </c>
      <c r="J65" t="n">
        <v>1</v>
      </c>
      <c r="K65" t="n">
        <v>0</v>
      </c>
      <c r="L65" t="n">
        <v>0</v>
      </c>
      <c r="M65" t="n">
        <v>0</v>
      </c>
      <c r="N65" t="n">
        <v>0</v>
      </c>
      <c r="O65" t="n">
        <v>1</v>
      </c>
      <c r="P65" t="n">
        <v>0</v>
      </c>
      <c r="Q65" t="n">
        <v>1</v>
      </c>
      <c r="R65" s="2" t="inlineStr">
        <is>
          <t>Rödvingetrast</t>
        </is>
      </c>
      <c r="S65">
        <f>HYPERLINK("https://klasma.github.io/Logging_1880/artfynd/A 2077-2023 artfynd.xlsx", "A 2077-2023")</f>
        <v/>
      </c>
      <c r="T65">
        <f>HYPERLINK("https://klasma.github.io/Logging_1880/kartor/A 2077-2023 karta.png", "A 2077-2023")</f>
        <v/>
      </c>
      <c r="V65">
        <f>HYPERLINK("https://klasma.github.io/Logging_1880/klagomål/A 2077-2023 FSC-klagomål.docx", "A 2077-2023")</f>
        <v/>
      </c>
      <c r="W65">
        <f>HYPERLINK("https://klasma.github.io/Logging_1880/klagomålsmail/A 2077-2023 FSC-klagomål mail.docx", "A 2077-2023")</f>
        <v/>
      </c>
      <c r="X65">
        <f>HYPERLINK("https://klasma.github.io/Logging_1880/tillsyn/A 2077-2023 tillsynsbegäran.docx", "A 2077-2023")</f>
        <v/>
      </c>
      <c r="Y65">
        <f>HYPERLINK("https://klasma.github.io/Logging_1880/tillsynsmail/A 2077-2023 tillsynsbegäran mail.docx", "A 2077-2023")</f>
        <v/>
      </c>
      <c r="Z65">
        <f>HYPERLINK("https://klasma.github.io/Logging_1880/fåglar/A 2077-2023 prioriterade fågelarter.docx", "A 2077-2023")</f>
        <v/>
      </c>
    </row>
    <row r="66" ht="15" customHeight="1">
      <c r="A66" t="inlineStr">
        <is>
          <t>A 44389-2021</t>
        </is>
      </c>
      <c r="B66" s="1" t="n">
        <v>44435</v>
      </c>
      <c r="C66" s="1" t="n">
        <v>45995</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32226-2025</t>
        </is>
      </c>
      <c r="B67" s="1" t="n">
        <v>45835.59478009259</v>
      </c>
      <c r="C67" s="1" t="n">
        <v>45995</v>
      </c>
      <c r="D67" t="inlineStr">
        <is>
          <t>ÖREBRO LÄN</t>
        </is>
      </c>
      <c r="E67" t="inlineStr">
        <is>
          <t>ÖREBRO</t>
        </is>
      </c>
      <c r="G67" t="n">
        <v>1.2</v>
      </c>
      <c r="H67" t="n">
        <v>0</v>
      </c>
      <c r="I67" t="n">
        <v>0</v>
      </c>
      <c r="J67" t="n">
        <v>1</v>
      </c>
      <c r="K67" t="n">
        <v>0</v>
      </c>
      <c r="L67" t="n">
        <v>0</v>
      </c>
      <c r="M67" t="n">
        <v>0</v>
      </c>
      <c r="N67" t="n">
        <v>0</v>
      </c>
      <c r="O67" t="n">
        <v>1</v>
      </c>
      <c r="P67" t="n">
        <v>0</v>
      </c>
      <c r="Q67" t="n">
        <v>1</v>
      </c>
      <c r="R67" s="2" t="inlineStr">
        <is>
          <t>Dofttaggsvamp</t>
        </is>
      </c>
      <c r="S67">
        <f>HYPERLINK("https://klasma.github.io/Logging_1880/artfynd/A 32226-2025 artfynd.xlsx", "A 32226-2025")</f>
        <v/>
      </c>
      <c r="T67">
        <f>HYPERLINK("https://klasma.github.io/Logging_1880/kartor/A 32226-2025 karta.png", "A 32226-2025")</f>
        <v/>
      </c>
      <c r="V67">
        <f>HYPERLINK("https://klasma.github.io/Logging_1880/klagomål/A 32226-2025 FSC-klagomål.docx", "A 32226-2025")</f>
        <v/>
      </c>
      <c r="W67">
        <f>HYPERLINK("https://klasma.github.io/Logging_1880/klagomålsmail/A 32226-2025 FSC-klagomål mail.docx", "A 32226-2025")</f>
        <v/>
      </c>
      <c r="X67">
        <f>HYPERLINK("https://klasma.github.io/Logging_1880/tillsyn/A 32226-2025 tillsynsbegäran.docx", "A 32226-2025")</f>
        <v/>
      </c>
      <c r="Y67">
        <f>HYPERLINK("https://klasma.github.io/Logging_1880/tillsynsmail/A 32226-2025 tillsynsbegäran mail.docx", "A 32226-2025")</f>
        <v/>
      </c>
    </row>
    <row r="68" ht="15" customHeight="1">
      <c r="A68" t="inlineStr">
        <is>
          <t>A 32204-2025</t>
        </is>
      </c>
      <c r="B68" s="1" t="n">
        <v>45835.58074074074</v>
      </c>
      <c r="C68" s="1" t="n">
        <v>45995</v>
      </c>
      <c r="D68" t="inlineStr">
        <is>
          <t>ÖREBRO LÄN</t>
        </is>
      </c>
      <c r="E68" t="inlineStr">
        <is>
          <t>ÖREBRO</t>
        </is>
      </c>
      <c r="G68" t="n">
        <v>3.4</v>
      </c>
      <c r="H68" t="n">
        <v>1</v>
      </c>
      <c r="I68" t="n">
        <v>0</v>
      </c>
      <c r="J68" t="n">
        <v>0</v>
      </c>
      <c r="K68" t="n">
        <v>0</v>
      </c>
      <c r="L68" t="n">
        <v>0</v>
      </c>
      <c r="M68" t="n">
        <v>0</v>
      </c>
      <c r="N68" t="n">
        <v>0</v>
      </c>
      <c r="O68" t="n">
        <v>0</v>
      </c>
      <c r="P68" t="n">
        <v>0</v>
      </c>
      <c r="Q68" t="n">
        <v>1</v>
      </c>
      <c r="R68" s="2" t="inlineStr">
        <is>
          <t>Tjäder</t>
        </is>
      </c>
      <c r="S68">
        <f>HYPERLINK("https://klasma.github.io/Logging_1880/artfynd/A 32204-2025 artfynd.xlsx", "A 32204-2025")</f>
        <v/>
      </c>
      <c r="T68">
        <f>HYPERLINK("https://klasma.github.io/Logging_1880/kartor/A 32204-2025 karta.png", "A 32204-2025")</f>
        <v/>
      </c>
      <c r="V68">
        <f>HYPERLINK("https://klasma.github.io/Logging_1880/klagomål/A 32204-2025 FSC-klagomål.docx", "A 32204-2025")</f>
        <v/>
      </c>
      <c r="W68">
        <f>HYPERLINK("https://klasma.github.io/Logging_1880/klagomålsmail/A 32204-2025 FSC-klagomål mail.docx", "A 32204-2025")</f>
        <v/>
      </c>
      <c r="X68">
        <f>HYPERLINK("https://klasma.github.io/Logging_1880/tillsyn/A 32204-2025 tillsynsbegäran.docx", "A 32204-2025")</f>
        <v/>
      </c>
      <c r="Y68">
        <f>HYPERLINK("https://klasma.github.io/Logging_1880/tillsynsmail/A 32204-2025 tillsynsbegäran mail.docx", "A 32204-2025")</f>
        <v/>
      </c>
      <c r="Z68">
        <f>HYPERLINK("https://klasma.github.io/Logging_1880/fåglar/A 32204-2025 prioriterade fågelarter.docx", "A 32204-2025")</f>
        <v/>
      </c>
    </row>
    <row r="69" ht="15" customHeight="1">
      <c r="A69" t="inlineStr">
        <is>
          <t>A 31695-2024</t>
        </is>
      </c>
      <c r="B69" s="1" t="n">
        <v>45508</v>
      </c>
      <c r="C69" s="1" t="n">
        <v>45995</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9406-2021</t>
        </is>
      </c>
      <c r="B70" s="1" t="n">
        <v>44251</v>
      </c>
      <c r="C70" s="1" t="n">
        <v>45995</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45995</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45995</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45995</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45995</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45995</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45995</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45995</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45995</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45995</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45995</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45995</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45995</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45995</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45995</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65592-2020</t>
        </is>
      </c>
      <c r="B85" s="1" t="n">
        <v>44173</v>
      </c>
      <c r="C85" s="1" t="n">
        <v>45995</v>
      </c>
      <c r="D85" t="inlineStr">
        <is>
          <t>ÖREBRO LÄN</t>
        </is>
      </c>
      <c r="E85" t="inlineStr">
        <is>
          <t>ÖREBRO</t>
        </is>
      </c>
      <c r="G85" t="n">
        <v>8.9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45995</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45995</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45995</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45995</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45995</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45995</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45995</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45995</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45995</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45995</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45995</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45995</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45995</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45995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45995</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45995</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45995</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45995</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45995</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45995</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45995</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45995</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45995</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45995</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45995</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45995</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45995</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45995</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45995</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45995</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45995</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45995</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45995</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45995</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58138-2021</t>
        </is>
      </c>
      <c r="B121" s="1" t="n">
        <v>44487</v>
      </c>
      <c r="C121" s="1" t="n">
        <v>45995</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16258-2022</t>
        </is>
      </c>
      <c r="B122" s="1" t="n">
        <v>44670</v>
      </c>
      <c r="C122" s="1" t="n">
        <v>45995</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7117-2021</t>
        </is>
      </c>
      <c r="B123" s="1" t="n">
        <v>44238</v>
      </c>
      <c r="C123" s="1" t="n">
        <v>45995</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45995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45995</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13631-2022</t>
        </is>
      </c>
      <c r="B126" s="1" t="n">
        <v>44648</v>
      </c>
      <c r="C126" s="1" t="n">
        <v>45995</v>
      </c>
      <c r="D126" t="inlineStr">
        <is>
          <t>ÖREBRO LÄN</t>
        </is>
      </c>
      <c r="E126" t="inlineStr">
        <is>
          <t>ÖREBRO</t>
        </is>
      </c>
      <c r="G126" t="n">
        <v>10.4</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45995</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45995</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6752-2022</t>
        </is>
      </c>
      <c r="B129" s="1" t="n">
        <v>44602.48082175926</v>
      </c>
      <c r="C129" s="1" t="n">
        <v>45995</v>
      </c>
      <c r="D129" t="inlineStr">
        <is>
          <t>ÖREBRO LÄN</t>
        </is>
      </c>
      <c r="E129" t="inlineStr">
        <is>
          <t>ÖREBRO</t>
        </is>
      </c>
      <c r="G129" t="n">
        <v>3.1</v>
      </c>
      <c r="H129" t="n">
        <v>0</v>
      </c>
      <c r="I129" t="n">
        <v>0</v>
      </c>
      <c r="J129" t="n">
        <v>0</v>
      </c>
      <c r="K129" t="n">
        <v>0</v>
      </c>
      <c r="L129" t="n">
        <v>0</v>
      </c>
      <c r="M129" t="n">
        <v>0</v>
      </c>
      <c r="N129" t="n">
        <v>0</v>
      </c>
      <c r="O129" t="n">
        <v>0</v>
      </c>
      <c r="P129" t="n">
        <v>0</v>
      </c>
      <c r="Q129" t="n">
        <v>0</v>
      </c>
      <c r="R129" s="2" t="inlineStr"/>
    </row>
    <row r="130" ht="15" customHeight="1">
      <c r="A130" t="inlineStr">
        <is>
          <t>A 57343-2021</t>
        </is>
      </c>
      <c r="B130" s="1" t="n">
        <v>44482</v>
      </c>
      <c r="C130" s="1" t="n">
        <v>45995</v>
      </c>
      <c r="D130" t="inlineStr">
        <is>
          <t>ÖREBRO LÄN</t>
        </is>
      </c>
      <c r="E130" t="inlineStr">
        <is>
          <t>ÖREBRO</t>
        </is>
      </c>
      <c r="G130" t="n">
        <v>3.3</v>
      </c>
      <c r="H130" t="n">
        <v>0</v>
      </c>
      <c r="I130" t="n">
        <v>0</v>
      </c>
      <c r="J130" t="n">
        <v>0</v>
      </c>
      <c r="K130" t="n">
        <v>0</v>
      </c>
      <c r="L130" t="n">
        <v>0</v>
      </c>
      <c r="M130" t="n">
        <v>0</v>
      </c>
      <c r="N130" t="n">
        <v>0</v>
      </c>
      <c r="O130" t="n">
        <v>0</v>
      </c>
      <c r="P130" t="n">
        <v>0</v>
      </c>
      <c r="Q130" t="n">
        <v>0</v>
      </c>
      <c r="R130" s="2" t="inlineStr"/>
    </row>
    <row r="131" ht="15" customHeight="1">
      <c r="A131" t="inlineStr">
        <is>
          <t>A 26118-2021</t>
        </is>
      </c>
      <c r="B131" s="1" t="n">
        <v>44345</v>
      </c>
      <c r="C131" s="1" t="n">
        <v>45995</v>
      </c>
      <c r="D131" t="inlineStr">
        <is>
          <t>ÖREBRO LÄN</t>
        </is>
      </c>
      <c r="E131" t="inlineStr">
        <is>
          <t>ÖREBRO</t>
        </is>
      </c>
      <c r="G131" t="n">
        <v>2.2</v>
      </c>
      <c r="H131" t="n">
        <v>0</v>
      </c>
      <c r="I131" t="n">
        <v>0</v>
      </c>
      <c r="J131" t="n">
        <v>0</v>
      </c>
      <c r="K131" t="n">
        <v>0</v>
      </c>
      <c r="L131" t="n">
        <v>0</v>
      </c>
      <c r="M131" t="n">
        <v>0</v>
      </c>
      <c r="N131" t="n">
        <v>0</v>
      </c>
      <c r="O131" t="n">
        <v>0</v>
      </c>
      <c r="P131" t="n">
        <v>0</v>
      </c>
      <c r="Q131" t="n">
        <v>0</v>
      </c>
      <c r="R131" s="2" t="inlineStr"/>
    </row>
    <row r="132" ht="15" customHeight="1">
      <c r="A132" t="inlineStr">
        <is>
          <t>A 26119-2021</t>
        </is>
      </c>
      <c r="B132" s="1" t="n">
        <v>44345.33282407407</v>
      </c>
      <c r="C132" s="1" t="n">
        <v>45995</v>
      </c>
      <c r="D132" t="inlineStr">
        <is>
          <t>ÖREBRO LÄN</t>
        </is>
      </c>
      <c r="E132" t="inlineStr">
        <is>
          <t>ÖREBRO</t>
        </is>
      </c>
      <c r="G132" t="n">
        <v>1.6</v>
      </c>
      <c r="H132" t="n">
        <v>0</v>
      </c>
      <c r="I132" t="n">
        <v>0</v>
      </c>
      <c r="J132" t="n">
        <v>0</v>
      </c>
      <c r="K132" t="n">
        <v>0</v>
      </c>
      <c r="L132" t="n">
        <v>0</v>
      </c>
      <c r="M132" t="n">
        <v>0</v>
      </c>
      <c r="N132" t="n">
        <v>0</v>
      </c>
      <c r="O132" t="n">
        <v>0</v>
      </c>
      <c r="P132" t="n">
        <v>0</v>
      </c>
      <c r="Q132" t="n">
        <v>0</v>
      </c>
      <c r="R132" s="2" t="inlineStr"/>
    </row>
    <row r="133" ht="15" customHeight="1">
      <c r="A133" t="inlineStr">
        <is>
          <t>A 69613-2020</t>
        </is>
      </c>
      <c r="B133" s="1" t="n">
        <v>44195</v>
      </c>
      <c r="C133" s="1" t="n">
        <v>45995</v>
      </c>
      <c r="D133" t="inlineStr">
        <is>
          <t>ÖREBRO LÄN</t>
        </is>
      </c>
      <c r="E133" t="inlineStr">
        <is>
          <t>ÖREBRO</t>
        </is>
      </c>
      <c r="G133" t="n">
        <v>4.7</v>
      </c>
      <c r="H133" t="n">
        <v>0</v>
      </c>
      <c r="I133" t="n">
        <v>0</v>
      </c>
      <c r="J133" t="n">
        <v>0</v>
      </c>
      <c r="K133" t="n">
        <v>0</v>
      </c>
      <c r="L133" t="n">
        <v>0</v>
      </c>
      <c r="M133" t="n">
        <v>0</v>
      </c>
      <c r="N133" t="n">
        <v>0</v>
      </c>
      <c r="O133" t="n">
        <v>0</v>
      </c>
      <c r="P133" t="n">
        <v>0</v>
      </c>
      <c r="Q133" t="n">
        <v>0</v>
      </c>
      <c r="R133" s="2" t="inlineStr"/>
    </row>
    <row r="134" ht="15" customHeight="1">
      <c r="A134" t="inlineStr">
        <is>
          <t>A 34056-2023</t>
        </is>
      </c>
      <c r="B134" s="1" t="n">
        <v>45135</v>
      </c>
      <c r="C134" s="1" t="n">
        <v>45995</v>
      </c>
      <c r="D134" t="inlineStr">
        <is>
          <t>ÖREBRO LÄN</t>
        </is>
      </c>
      <c r="E134" t="inlineStr">
        <is>
          <t>ÖREBRO</t>
        </is>
      </c>
      <c r="F134" t="inlineStr">
        <is>
          <t>Övriga Aktiebolag</t>
        </is>
      </c>
      <c r="G134" t="n">
        <v>4.1</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45995</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33457-2023</t>
        </is>
      </c>
      <c r="B136" s="1" t="n">
        <v>45131</v>
      </c>
      <c r="C136" s="1" t="n">
        <v>45995</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30760-2022</t>
        </is>
      </c>
      <c r="B137" s="1" t="n">
        <v>44764.51827546296</v>
      </c>
      <c r="C137" s="1" t="n">
        <v>45995</v>
      </c>
      <c r="D137" t="inlineStr">
        <is>
          <t>ÖREBRO LÄN</t>
        </is>
      </c>
      <c r="E137" t="inlineStr">
        <is>
          <t>ÖREBRO</t>
        </is>
      </c>
      <c r="G137" t="n">
        <v>4</v>
      </c>
      <c r="H137" t="n">
        <v>0</v>
      </c>
      <c r="I137" t="n">
        <v>0</v>
      </c>
      <c r="J137" t="n">
        <v>0</v>
      </c>
      <c r="K137" t="n">
        <v>0</v>
      </c>
      <c r="L137" t="n">
        <v>0</v>
      </c>
      <c r="M137" t="n">
        <v>0</v>
      </c>
      <c r="N137" t="n">
        <v>0</v>
      </c>
      <c r="O137" t="n">
        <v>0</v>
      </c>
      <c r="P137" t="n">
        <v>0</v>
      </c>
      <c r="Q137" t="n">
        <v>0</v>
      </c>
      <c r="R137" s="2" t="inlineStr"/>
    </row>
    <row r="138" ht="15" customHeight="1">
      <c r="A138" t="inlineStr">
        <is>
          <t>A 45237-2023</t>
        </is>
      </c>
      <c r="B138" s="1" t="n">
        <v>45191</v>
      </c>
      <c r="C138" s="1" t="n">
        <v>45995</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29490-2022</t>
        </is>
      </c>
      <c r="B139" s="1" t="n">
        <v>44753</v>
      </c>
      <c r="C139" s="1" t="n">
        <v>45995</v>
      </c>
      <c r="D139" t="inlineStr">
        <is>
          <t>ÖREBRO LÄN</t>
        </is>
      </c>
      <c r="E139" t="inlineStr">
        <is>
          <t>ÖREBRO</t>
        </is>
      </c>
      <c r="F139" t="inlineStr">
        <is>
          <t>Kommuner</t>
        </is>
      </c>
      <c r="G139" t="n">
        <v>0.3</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45995</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5946-2021</t>
        </is>
      </c>
      <c r="B141" s="1" t="n">
        <v>44230</v>
      </c>
      <c r="C141" s="1" t="n">
        <v>45995</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51180-2023</t>
        </is>
      </c>
      <c r="B142" s="1" t="n">
        <v>45219</v>
      </c>
      <c r="C142" s="1" t="n">
        <v>45995</v>
      </c>
      <c r="D142" t="inlineStr">
        <is>
          <t>ÖREBRO LÄN</t>
        </is>
      </c>
      <c r="E142" t="inlineStr">
        <is>
          <t>ÖREBRO</t>
        </is>
      </c>
      <c r="G142" t="n">
        <v>6.5</v>
      </c>
      <c r="H142" t="n">
        <v>0</v>
      </c>
      <c r="I142" t="n">
        <v>0</v>
      </c>
      <c r="J142" t="n">
        <v>0</v>
      </c>
      <c r="K142" t="n">
        <v>0</v>
      </c>
      <c r="L142" t="n">
        <v>0</v>
      </c>
      <c r="M142" t="n">
        <v>0</v>
      </c>
      <c r="N142" t="n">
        <v>0</v>
      </c>
      <c r="O142" t="n">
        <v>0</v>
      </c>
      <c r="P142" t="n">
        <v>0</v>
      </c>
      <c r="Q142" t="n">
        <v>0</v>
      </c>
      <c r="R142" s="2" t="inlineStr"/>
    </row>
    <row r="143" ht="15" customHeight="1">
      <c r="A143" t="inlineStr">
        <is>
          <t>A 16261-2022</t>
        </is>
      </c>
      <c r="B143" s="1" t="n">
        <v>44670</v>
      </c>
      <c r="C143" s="1" t="n">
        <v>45995</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37395-2021</t>
        </is>
      </c>
      <c r="B144" s="1" t="n">
        <v>44398</v>
      </c>
      <c r="C144" s="1" t="n">
        <v>45995</v>
      </c>
      <c r="D144" t="inlineStr">
        <is>
          <t>ÖREBRO LÄN</t>
        </is>
      </c>
      <c r="E144" t="inlineStr">
        <is>
          <t>ÖREBRO</t>
        </is>
      </c>
      <c r="G144" t="n">
        <v>3</v>
      </c>
      <c r="H144" t="n">
        <v>0</v>
      </c>
      <c r="I144" t="n">
        <v>0</v>
      </c>
      <c r="J144" t="n">
        <v>0</v>
      </c>
      <c r="K144" t="n">
        <v>0</v>
      </c>
      <c r="L144" t="n">
        <v>0</v>
      </c>
      <c r="M144" t="n">
        <v>0</v>
      </c>
      <c r="N144" t="n">
        <v>0</v>
      </c>
      <c r="O144" t="n">
        <v>0</v>
      </c>
      <c r="P144" t="n">
        <v>0</v>
      </c>
      <c r="Q144" t="n">
        <v>0</v>
      </c>
      <c r="R144" s="2" t="inlineStr"/>
    </row>
    <row r="145" ht="15" customHeight="1">
      <c r="A145" t="inlineStr">
        <is>
          <t>A 44165-2022</t>
        </is>
      </c>
      <c r="B145" s="1" t="n">
        <v>44839</v>
      </c>
      <c r="C145" s="1" t="n">
        <v>45995</v>
      </c>
      <c r="D145" t="inlineStr">
        <is>
          <t>ÖREBRO LÄN</t>
        </is>
      </c>
      <c r="E145" t="inlineStr">
        <is>
          <t>ÖREBRO</t>
        </is>
      </c>
      <c r="G145" t="n">
        <v>0.5</v>
      </c>
      <c r="H145" t="n">
        <v>0</v>
      </c>
      <c r="I145" t="n">
        <v>0</v>
      </c>
      <c r="J145" t="n">
        <v>0</v>
      </c>
      <c r="K145" t="n">
        <v>0</v>
      </c>
      <c r="L145" t="n">
        <v>0</v>
      </c>
      <c r="M145" t="n">
        <v>0</v>
      </c>
      <c r="N145" t="n">
        <v>0</v>
      </c>
      <c r="O145" t="n">
        <v>0</v>
      </c>
      <c r="P145" t="n">
        <v>0</v>
      </c>
      <c r="Q145" t="n">
        <v>0</v>
      </c>
      <c r="R145" s="2" t="inlineStr"/>
    </row>
    <row r="146" ht="15" customHeight="1">
      <c r="A146" t="inlineStr">
        <is>
          <t>A 60028-2024</t>
        </is>
      </c>
      <c r="B146" s="1" t="n">
        <v>45642</v>
      </c>
      <c r="C146" s="1" t="n">
        <v>45995</v>
      </c>
      <c r="D146" t="inlineStr">
        <is>
          <t>ÖREBRO LÄN</t>
        </is>
      </c>
      <c r="E146" t="inlineStr">
        <is>
          <t>ÖREBRO</t>
        </is>
      </c>
      <c r="G146" t="n">
        <v>1.7</v>
      </c>
      <c r="H146" t="n">
        <v>0</v>
      </c>
      <c r="I146" t="n">
        <v>0</v>
      </c>
      <c r="J146" t="n">
        <v>0</v>
      </c>
      <c r="K146" t="n">
        <v>0</v>
      </c>
      <c r="L146" t="n">
        <v>0</v>
      </c>
      <c r="M146" t="n">
        <v>0</v>
      </c>
      <c r="N146" t="n">
        <v>0</v>
      </c>
      <c r="O146" t="n">
        <v>0</v>
      </c>
      <c r="P146" t="n">
        <v>0</v>
      </c>
      <c r="Q146" t="n">
        <v>0</v>
      </c>
      <c r="R146" s="2" t="inlineStr"/>
    </row>
    <row r="147" ht="15" customHeight="1">
      <c r="A147" t="inlineStr">
        <is>
          <t>A 33294-2023</t>
        </is>
      </c>
      <c r="B147" s="1" t="n">
        <v>45127</v>
      </c>
      <c r="C147" s="1" t="n">
        <v>45995</v>
      </c>
      <c r="D147" t="inlineStr">
        <is>
          <t>ÖREBRO LÄN</t>
        </is>
      </c>
      <c r="E147" t="inlineStr">
        <is>
          <t>ÖREBRO</t>
        </is>
      </c>
      <c r="F147" t="inlineStr">
        <is>
          <t>Övriga Aktiebolag</t>
        </is>
      </c>
      <c r="G147" t="n">
        <v>6.7</v>
      </c>
      <c r="H147" t="n">
        <v>0</v>
      </c>
      <c r="I147" t="n">
        <v>0</v>
      </c>
      <c r="J147" t="n">
        <v>0</v>
      </c>
      <c r="K147" t="n">
        <v>0</v>
      </c>
      <c r="L147" t="n">
        <v>0</v>
      </c>
      <c r="M147" t="n">
        <v>0</v>
      </c>
      <c r="N147" t="n">
        <v>0</v>
      </c>
      <c r="O147" t="n">
        <v>0</v>
      </c>
      <c r="P147" t="n">
        <v>0</v>
      </c>
      <c r="Q147" t="n">
        <v>0</v>
      </c>
      <c r="R147" s="2" t="inlineStr"/>
    </row>
    <row r="148" ht="15" customHeight="1">
      <c r="A148" t="inlineStr">
        <is>
          <t>A 61232-2021</t>
        </is>
      </c>
      <c r="B148" s="1" t="n">
        <v>44498</v>
      </c>
      <c r="C148" s="1" t="n">
        <v>45995</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45995</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66936-2021</t>
        </is>
      </c>
      <c r="B150" s="1" t="n">
        <v>44522.56349537037</v>
      </c>
      <c r="C150" s="1" t="n">
        <v>45995</v>
      </c>
      <c r="D150" t="inlineStr">
        <is>
          <t>ÖREBRO LÄN</t>
        </is>
      </c>
      <c r="E150" t="inlineStr">
        <is>
          <t>ÖREBRO</t>
        </is>
      </c>
      <c r="G150" t="n">
        <v>6.8</v>
      </c>
      <c r="H150" t="n">
        <v>0</v>
      </c>
      <c r="I150" t="n">
        <v>0</v>
      </c>
      <c r="J150" t="n">
        <v>0</v>
      </c>
      <c r="K150" t="n">
        <v>0</v>
      </c>
      <c r="L150" t="n">
        <v>0</v>
      </c>
      <c r="M150" t="n">
        <v>0</v>
      </c>
      <c r="N150" t="n">
        <v>0</v>
      </c>
      <c r="O150" t="n">
        <v>0</v>
      </c>
      <c r="P150" t="n">
        <v>0</v>
      </c>
      <c r="Q150" t="n">
        <v>0</v>
      </c>
      <c r="R150" s="2" t="inlineStr"/>
    </row>
    <row r="151" ht="15" customHeight="1">
      <c r="A151" t="inlineStr">
        <is>
          <t>A 44131-2022</t>
        </is>
      </c>
      <c r="B151" s="1" t="n">
        <v>44839</v>
      </c>
      <c r="C151" s="1" t="n">
        <v>45995</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4766-2022</t>
        </is>
      </c>
      <c r="B152" s="1" t="n">
        <v>44592</v>
      </c>
      <c r="C152" s="1" t="n">
        <v>45995</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57498-2021</t>
        </is>
      </c>
      <c r="B153" s="1" t="n">
        <v>44483</v>
      </c>
      <c r="C153" s="1" t="n">
        <v>45995</v>
      </c>
      <c r="D153" t="inlineStr">
        <is>
          <t>ÖREBRO LÄN</t>
        </is>
      </c>
      <c r="E153" t="inlineStr">
        <is>
          <t>ÖREBRO</t>
        </is>
      </c>
      <c r="F153" t="inlineStr">
        <is>
          <t>Övriga Aktiebolag</t>
        </is>
      </c>
      <c r="G153" t="n">
        <v>2.7</v>
      </c>
      <c r="H153" t="n">
        <v>0</v>
      </c>
      <c r="I153" t="n">
        <v>0</v>
      </c>
      <c r="J153" t="n">
        <v>0</v>
      </c>
      <c r="K153" t="n">
        <v>0</v>
      </c>
      <c r="L153" t="n">
        <v>0</v>
      </c>
      <c r="M153" t="n">
        <v>0</v>
      </c>
      <c r="N153" t="n">
        <v>0</v>
      </c>
      <c r="O153" t="n">
        <v>0</v>
      </c>
      <c r="P153" t="n">
        <v>0</v>
      </c>
      <c r="Q153" t="n">
        <v>0</v>
      </c>
      <c r="R153" s="2" t="inlineStr"/>
    </row>
    <row r="154" ht="15" customHeight="1">
      <c r="A154" t="inlineStr">
        <is>
          <t>A 13857-2022</t>
        </is>
      </c>
      <c r="B154" s="1" t="n">
        <v>44649</v>
      </c>
      <c r="C154" s="1" t="n">
        <v>45995</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51268-2022</t>
        </is>
      </c>
      <c r="B155" s="1" t="n">
        <v>44868</v>
      </c>
      <c r="C155" s="1" t="n">
        <v>45995</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15682-2023</t>
        </is>
      </c>
      <c r="B156" s="1" t="n">
        <v>45021</v>
      </c>
      <c r="C156" s="1" t="n">
        <v>45995</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4416-2023</t>
        </is>
      </c>
      <c r="B157" s="1" t="n">
        <v>44956</v>
      </c>
      <c r="C157" s="1" t="n">
        <v>45995</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18321-2022</t>
        </is>
      </c>
      <c r="B158" s="1" t="n">
        <v>44685</v>
      </c>
      <c r="C158" s="1" t="n">
        <v>45995</v>
      </c>
      <c r="D158" t="inlineStr">
        <is>
          <t>ÖREBRO LÄN</t>
        </is>
      </c>
      <c r="E158" t="inlineStr">
        <is>
          <t>ÖREBRO</t>
        </is>
      </c>
      <c r="G158" t="n">
        <v>2.1</v>
      </c>
      <c r="H158" t="n">
        <v>0</v>
      </c>
      <c r="I158" t="n">
        <v>0</v>
      </c>
      <c r="J158" t="n">
        <v>0</v>
      </c>
      <c r="K158" t="n">
        <v>0</v>
      </c>
      <c r="L158" t="n">
        <v>0</v>
      </c>
      <c r="M158" t="n">
        <v>0</v>
      </c>
      <c r="N158" t="n">
        <v>0</v>
      </c>
      <c r="O158" t="n">
        <v>0</v>
      </c>
      <c r="P158" t="n">
        <v>0</v>
      </c>
      <c r="Q158" t="n">
        <v>0</v>
      </c>
      <c r="R158" s="2" t="inlineStr"/>
    </row>
    <row r="159" ht="15" customHeight="1">
      <c r="A159" t="inlineStr">
        <is>
          <t>A 49062-2023</t>
        </is>
      </c>
      <c r="B159" s="1" t="n">
        <v>45210.35119212963</v>
      </c>
      <c r="C159" s="1" t="n">
        <v>45995</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40312-2021</t>
        </is>
      </c>
      <c r="B160" s="1" t="n">
        <v>44419</v>
      </c>
      <c r="C160" s="1" t="n">
        <v>45995</v>
      </c>
      <c r="D160" t="inlineStr">
        <is>
          <t>ÖREBRO LÄN</t>
        </is>
      </c>
      <c r="E160" t="inlineStr">
        <is>
          <t>ÖREBRO</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61078-2024</t>
        </is>
      </c>
      <c r="B161" s="1" t="n">
        <v>45645.51034722223</v>
      </c>
      <c r="C161" s="1" t="n">
        <v>45995</v>
      </c>
      <c r="D161" t="inlineStr">
        <is>
          <t>ÖREBRO LÄN</t>
        </is>
      </c>
      <c r="E161" t="inlineStr">
        <is>
          <t>ÖREBRO</t>
        </is>
      </c>
      <c r="G161" t="n">
        <v>4.1</v>
      </c>
      <c r="H161" t="n">
        <v>0</v>
      </c>
      <c r="I161" t="n">
        <v>0</v>
      </c>
      <c r="J161" t="n">
        <v>0</v>
      </c>
      <c r="K161" t="n">
        <v>0</v>
      </c>
      <c r="L161" t="n">
        <v>0</v>
      </c>
      <c r="M161" t="n">
        <v>0</v>
      </c>
      <c r="N161" t="n">
        <v>0</v>
      </c>
      <c r="O161" t="n">
        <v>0</v>
      </c>
      <c r="P161" t="n">
        <v>0</v>
      </c>
      <c r="Q161" t="n">
        <v>0</v>
      </c>
      <c r="R161" s="2" t="inlineStr"/>
    </row>
    <row r="162" ht="15" customHeight="1">
      <c r="A162" t="inlineStr">
        <is>
          <t>A 12478-2022</t>
        </is>
      </c>
      <c r="B162" s="1" t="n">
        <v>44638</v>
      </c>
      <c r="C162" s="1" t="n">
        <v>45995</v>
      </c>
      <c r="D162" t="inlineStr">
        <is>
          <t>ÖREBRO LÄN</t>
        </is>
      </c>
      <c r="E162" t="inlineStr">
        <is>
          <t>ÖREBRO</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5401-2022</t>
        </is>
      </c>
      <c r="B163" s="1" t="n">
        <v>44595</v>
      </c>
      <c r="C163" s="1" t="n">
        <v>45995</v>
      </c>
      <c r="D163" t="inlineStr">
        <is>
          <t>ÖREBRO LÄN</t>
        </is>
      </c>
      <c r="E163" t="inlineStr">
        <is>
          <t>ÖREBRO</t>
        </is>
      </c>
      <c r="G163" t="n">
        <v>2.3</v>
      </c>
      <c r="H163" t="n">
        <v>0</v>
      </c>
      <c r="I163" t="n">
        <v>0</v>
      </c>
      <c r="J163" t="n">
        <v>0</v>
      </c>
      <c r="K163" t="n">
        <v>0</v>
      </c>
      <c r="L163" t="n">
        <v>0</v>
      </c>
      <c r="M163" t="n">
        <v>0</v>
      </c>
      <c r="N163" t="n">
        <v>0</v>
      </c>
      <c r="O163" t="n">
        <v>0</v>
      </c>
      <c r="P163" t="n">
        <v>0</v>
      </c>
      <c r="Q163" t="n">
        <v>0</v>
      </c>
      <c r="R163" s="2" t="inlineStr"/>
    </row>
    <row r="164" ht="15" customHeight="1">
      <c r="A164" t="inlineStr">
        <is>
          <t>A 12871-2021</t>
        </is>
      </c>
      <c r="B164" s="1" t="n">
        <v>44271.42121527778</v>
      </c>
      <c r="C164" s="1" t="n">
        <v>45995</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13158-2024</t>
        </is>
      </c>
      <c r="B165" s="1" t="n">
        <v>45386.38728009259</v>
      </c>
      <c r="C165" s="1" t="n">
        <v>45995</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13181-2023</t>
        </is>
      </c>
      <c r="B166" s="1" t="n">
        <v>45002.60659722222</v>
      </c>
      <c r="C166" s="1" t="n">
        <v>45995</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25996-2024</t>
        </is>
      </c>
      <c r="B167" s="1" t="n">
        <v>45467.89081018518</v>
      </c>
      <c r="C167" s="1" t="n">
        <v>45995</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16676-2025</t>
        </is>
      </c>
      <c r="B168" s="1" t="n">
        <v>45754.44658564815</v>
      </c>
      <c r="C168" s="1" t="n">
        <v>45995</v>
      </c>
      <c r="D168" t="inlineStr">
        <is>
          <t>ÖREBRO LÄN</t>
        </is>
      </c>
      <c r="E168" t="inlineStr">
        <is>
          <t>ÖREBRO</t>
        </is>
      </c>
      <c r="G168" t="n">
        <v>5.8</v>
      </c>
      <c r="H168" t="n">
        <v>0</v>
      </c>
      <c r="I168" t="n">
        <v>0</v>
      </c>
      <c r="J168" t="n">
        <v>0</v>
      </c>
      <c r="K168" t="n">
        <v>0</v>
      </c>
      <c r="L168" t="n">
        <v>0</v>
      </c>
      <c r="M168" t="n">
        <v>0</v>
      </c>
      <c r="N168" t="n">
        <v>0</v>
      </c>
      <c r="O168" t="n">
        <v>0</v>
      </c>
      <c r="P168" t="n">
        <v>0</v>
      </c>
      <c r="Q168" t="n">
        <v>0</v>
      </c>
      <c r="R168" s="2" t="inlineStr"/>
    </row>
    <row r="169" ht="15" customHeight="1">
      <c r="A169" t="inlineStr">
        <is>
          <t>A 3087-2021</t>
        </is>
      </c>
      <c r="B169" s="1" t="n">
        <v>44216</v>
      </c>
      <c r="C169" s="1" t="n">
        <v>45995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32231-2022</t>
        </is>
      </c>
      <c r="B170" s="1" t="n">
        <v>44781</v>
      </c>
      <c r="C170" s="1" t="n">
        <v>45995</v>
      </c>
      <c r="D170" t="inlineStr">
        <is>
          <t>ÖREBRO LÄN</t>
        </is>
      </c>
      <c r="E170" t="inlineStr">
        <is>
          <t>ÖREBRO</t>
        </is>
      </c>
      <c r="G170" t="n">
        <v>1</v>
      </c>
      <c r="H170" t="n">
        <v>0</v>
      </c>
      <c r="I170" t="n">
        <v>0</v>
      </c>
      <c r="J170" t="n">
        <v>0</v>
      </c>
      <c r="K170" t="n">
        <v>0</v>
      </c>
      <c r="L170" t="n">
        <v>0</v>
      </c>
      <c r="M170" t="n">
        <v>0</v>
      </c>
      <c r="N170" t="n">
        <v>0</v>
      </c>
      <c r="O170" t="n">
        <v>0</v>
      </c>
      <c r="P170" t="n">
        <v>0</v>
      </c>
      <c r="Q170" t="n">
        <v>0</v>
      </c>
      <c r="R170" s="2" t="inlineStr"/>
    </row>
    <row r="171" ht="15" customHeight="1">
      <c r="A171" t="inlineStr">
        <is>
          <t>A 32247-2022</t>
        </is>
      </c>
      <c r="B171" s="1" t="n">
        <v>44781</v>
      </c>
      <c r="C171" s="1" t="n">
        <v>45995</v>
      </c>
      <c r="D171" t="inlineStr">
        <is>
          <t>ÖREBRO LÄN</t>
        </is>
      </c>
      <c r="E171" t="inlineStr">
        <is>
          <t>ÖREBRO</t>
        </is>
      </c>
      <c r="G171" t="n">
        <v>3</v>
      </c>
      <c r="H171" t="n">
        <v>0</v>
      </c>
      <c r="I171" t="n">
        <v>0</v>
      </c>
      <c r="J171" t="n">
        <v>0</v>
      </c>
      <c r="K171" t="n">
        <v>0</v>
      </c>
      <c r="L171" t="n">
        <v>0</v>
      </c>
      <c r="M171" t="n">
        <v>0</v>
      </c>
      <c r="N171" t="n">
        <v>0</v>
      </c>
      <c r="O171" t="n">
        <v>0</v>
      </c>
      <c r="P171" t="n">
        <v>0</v>
      </c>
      <c r="Q171" t="n">
        <v>0</v>
      </c>
      <c r="R171" s="2" t="inlineStr"/>
    </row>
    <row r="172" ht="15" customHeight="1">
      <c r="A172" t="inlineStr">
        <is>
          <t>A 23741-2022</t>
        </is>
      </c>
      <c r="B172" s="1" t="n">
        <v>44722</v>
      </c>
      <c r="C172" s="1" t="n">
        <v>45995</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8274-2025</t>
        </is>
      </c>
      <c r="B173" s="1" t="n">
        <v>45708</v>
      </c>
      <c r="C173" s="1" t="n">
        <v>45995</v>
      </c>
      <c r="D173" t="inlineStr">
        <is>
          <t>ÖREBRO LÄN</t>
        </is>
      </c>
      <c r="E173" t="inlineStr">
        <is>
          <t>ÖREBRO</t>
        </is>
      </c>
      <c r="G173" t="n">
        <v>5.8</v>
      </c>
      <c r="H173" t="n">
        <v>0</v>
      </c>
      <c r="I173" t="n">
        <v>0</v>
      </c>
      <c r="J173" t="n">
        <v>0</v>
      </c>
      <c r="K173" t="n">
        <v>0</v>
      </c>
      <c r="L173" t="n">
        <v>0</v>
      </c>
      <c r="M173" t="n">
        <v>0</v>
      </c>
      <c r="N173" t="n">
        <v>0</v>
      </c>
      <c r="O173" t="n">
        <v>0</v>
      </c>
      <c r="P173" t="n">
        <v>0</v>
      </c>
      <c r="Q173" t="n">
        <v>0</v>
      </c>
      <c r="R173" s="2" t="inlineStr"/>
    </row>
    <row r="174" ht="15" customHeight="1">
      <c r="A174" t="inlineStr">
        <is>
          <t>A 58620-2024</t>
        </is>
      </c>
      <c r="B174" s="1" t="n">
        <v>45635.56246527778</v>
      </c>
      <c r="C174" s="1" t="n">
        <v>45995</v>
      </c>
      <c r="D174" t="inlineStr">
        <is>
          <t>ÖREBRO LÄN</t>
        </is>
      </c>
      <c r="E174" t="inlineStr">
        <is>
          <t>ÖREBRO</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41553-2022</t>
        </is>
      </c>
      <c r="B175" s="1" t="n">
        <v>44827.3940625</v>
      </c>
      <c r="C175" s="1" t="n">
        <v>45995</v>
      </c>
      <c r="D175" t="inlineStr">
        <is>
          <t>ÖREBRO LÄN</t>
        </is>
      </c>
      <c r="E175" t="inlineStr">
        <is>
          <t>ÖREBRO</t>
        </is>
      </c>
      <c r="G175" t="n">
        <v>3.7</v>
      </c>
      <c r="H175" t="n">
        <v>0</v>
      </c>
      <c r="I175" t="n">
        <v>0</v>
      </c>
      <c r="J175" t="n">
        <v>0</v>
      </c>
      <c r="K175" t="n">
        <v>0</v>
      </c>
      <c r="L175" t="n">
        <v>0</v>
      </c>
      <c r="M175" t="n">
        <v>0</v>
      </c>
      <c r="N175" t="n">
        <v>0</v>
      </c>
      <c r="O175" t="n">
        <v>0</v>
      </c>
      <c r="P175" t="n">
        <v>0</v>
      </c>
      <c r="Q175" t="n">
        <v>0</v>
      </c>
      <c r="R175" s="2" t="inlineStr"/>
    </row>
    <row r="176" ht="15" customHeight="1">
      <c r="A176" t="inlineStr">
        <is>
          <t>A 14562-2022</t>
        </is>
      </c>
      <c r="B176" s="1" t="n">
        <v>44655</v>
      </c>
      <c r="C176" s="1" t="n">
        <v>45995</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19978-2025</t>
        </is>
      </c>
      <c r="B177" s="1" t="n">
        <v>45771.7062037037</v>
      </c>
      <c r="C177" s="1" t="n">
        <v>45995</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32321-2023</t>
        </is>
      </c>
      <c r="B178" s="1" t="n">
        <v>45120</v>
      </c>
      <c r="C178" s="1" t="n">
        <v>45995</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19458-2022</t>
        </is>
      </c>
      <c r="B179" s="1" t="n">
        <v>44693</v>
      </c>
      <c r="C179" s="1" t="n">
        <v>45995</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7141-2025</t>
        </is>
      </c>
      <c r="B180" s="1" t="n">
        <v>45702</v>
      </c>
      <c r="C180" s="1" t="n">
        <v>45995</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59024-2024</t>
        </is>
      </c>
      <c r="B181" s="1" t="n">
        <v>45636.68505787037</v>
      </c>
      <c r="C181" s="1" t="n">
        <v>45995</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19831-2021</t>
        </is>
      </c>
      <c r="B182" s="1" t="n">
        <v>44313</v>
      </c>
      <c r="C182" s="1" t="n">
        <v>45995</v>
      </c>
      <c r="D182" t="inlineStr">
        <is>
          <t>ÖREBRO LÄN</t>
        </is>
      </c>
      <c r="E182" t="inlineStr">
        <is>
          <t>ÖREBRO</t>
        </is>
      </c>
      <c r="G182" t="n">
        <v>3.2</v>
      </c>
      <c r="H182" t="n">
        <v>0</v>
      </c>
      <c r="I182" t="n">
        <v>0</v>
      </c>
      <c r="J182" t="n">
        <v>0</v>
      </c>
      <c r="K182" t="n">
        <v>0</v>
      </c>
      <c r="L182" t="n">
        <v>0</v>
      </c>
      <c r="M182" t="n">
        <v>0</v>
      </c>
      <c r="N182" t="n">
        <v>0</v>
      </c>
      <c r="O182" t="n">
        <v>0</v>
      </c>
      <c r="P182" t="n">
        <v>0</v>
      </c>
      <c r="Q182" t="n">
        <v>0</v>
      </c>
      <c r="R182" s="2" t="inlineStr"/>
    </row>
    <row r="183" ht="15" customHeight="1">
      <c r="A183" t="inlineStr">
        <is>
          <t>A 13657-2025</t>
        </is>
      </c>
      <c r="B183" s="1" t="n">
        <v>45736.7427662037</v>
      </c>
      <c r="C183" s="1" t="n">
        <v>45995</v>
      </c>
      <c r="D183" t="inlineStr">
        <is>
          <t>ÖREBRO LÄN</t>
        </is>
      </c>
      <c r="E183" t="inlineStr">
        <is>
          <t>ÖREBRO</t>
        </is>
      </c>
      <c r="G183" t="n">
        <v>3.8</v>
      </c>
      <c r="H183" t="n">
        <v>0</v>
      </c>
      <c r="I183" t="n">
        <v>0</v>
      </c>
      <c r="J183" t="n">
        <v>0</v>
      </c>
      <c r="K183" t="n">
        <v>0</v>
      </c>
      <c r="L183" t="n">
        <v>0</v>
      </c>
      <c r="M183" t="n">
        <v>0</v>
      </c>
      <c r="N183" t="n">
        <v>0</v>
      </c>
      <c r="O183" t="n">
        <v>0</v>
      </c>
      <c r="P183" t="n">
        <v>0</v>
      </c>
      <c r="Q183" t="n">
        <v>0</v>
      </c>
      <c r="R183" s="2" t="inlineStr"/>
    </row>
    <row r="184" ht="15" customHeight="1">
      <c r="A184" t="inlineStr">
        <is>
          <t>A 57867-2024</t>
        </is>
      </c>
      <c r="B184" s="1" t="n">
        <v>45631.43864583333</v>
      </c>
      <c r="C184" s="1" t="n">
        <v>45995</v>
      </c>
      <c r="D184" t="inlineStr">
        <is>
          <t>ÖREBRO LÄN</t>
        </is>
      </c>
      <c r="E184" t="inlineStr">
        <is>
          <t>ÖREBRO</t>
        </is>
      </c>
      <c r="G184" t="n">
        <v>1.5</v>
      </c>
      <c r="H184" t="n">
        <v>0</v>
      </c>
      <c r="I184" t="n">
        <v>0</v>
      </c>
      <c r="J184" t="n">
        <v>0</v>
      </c>
      <c r="K184" t="n">
        <v>0</v>
      </c>
      <c r="L184" t="n">
        <v>0</v>
      </c>
      <c r="M184" t="n">
        <v>0</v>
      </c>
      <c r="N184" t="n">
        <v>0</v>
      </c>
      <c r="O184" t="n">
        <v>0</v>
      </c>
      <c r="P184" t="n">
        <v>0</v>
      </c>
      <c r="Q184" t="n">
        <v>0</v>
      </c>
      <c r="R184" s="2" t="inlineStr"/>
    </row>
    <row r="185" ht="15" customHeight="1">
      <c r="A185" t="inlineStr">
        <is>
          <t>A 29138-2022</t>
        </is>
      </c>
      <c r="B185" s="1" t="n">
        <v>44750</v>
      </c>
      <c r="C185" s="1" t="n">
        <v>45995</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29143-2022</t>
        </is>
      </c>
      <c r="B186" s="1" t="n">
        <v>44750</v>
      </c>
      <c r="C186" s="1" t="n">
        <v>45995</v>
      </c>
      <c r="D186" t="inlineStr">
        <is>
          <t>ÖREBRO LÄN</t>
        </is>
      </c>
      <c r="E186" t="inlineStr">
        <is>
          <t>ÖREBRO</t>
        </is>
      </c>
      <c r="G186" t="n">
        <v>5.6</v>
      </c>
      <c r="H186" t="n">
        <v>0</v>
      </c>
      <c r="I186" t="n">
        <v>0</v>
      </c>
      <c r="J186" t="n">
        <v>0</v>
      </c>
      <c r="K186" t="n">
        <v>0</v>
      </c>
      <c r="L186" t="n">
        <v>0</v>
      </c>
      <c r="M186" t="n">
        <v>0</v>
      </c>
      <c r="N186" t="n">
        <v>0</v>
      </c>
      <c r="O186" t="n">
        <v>0</v>
      </c>
      <c r="P186" t="n">
        <v>0</v>
      </c>
      <c r="Q186" t="n">
        <v>0</v>
      </c>
      <c r="R186" s="2" t="inlineStr"/>
    </row>
    <row r="187" ht="15" customHeight="1">
      <c r="A187" t="inlineStr">
        <is>
          <t>A 5357-2024</t>
        </is>
      </c>
      <c r="B187" s="1" t="n">
        <v>45331</v>
      </c>
      <c r="C187" s="1" t="n">
        <v>45995</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15354-2024</t>
        </is>
      </c>
      <c r="B188" s="1" t="n">
        <v>45400.85319444445</v>
      </c>
      <c r="C188" s="1" t="n">
        <v>45995</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11067-2025</t>
        </is>
      </c>
      <c r="B189" s="1" t="n">
        <v>45723</v>
      </c>
      <c r="C189" s="1" t="n">
        <v>45995</v>
      </c>
      <c r="D189" t="inlineStr">
        <is>
          <t>ÖREBRO LÄN</t>
        </is>
      </c>
      <c r="E189" t="inlineStr">
        <is>
          <t>ÖREBRO</t>
        </is>
      </c>
      <c r="G189" t="n">
        <v>3.1</v>
      </c>
      <c r="H189" t="n">
        <v>0</v>
      </c>
      <c r="I189" t="n">
        <v>0</v>
      </c>
      <c r="J189" t="n">
        <v>0</v>
      </c>
      <c r="K189" t="n">
        <v>0</v>
      </c>
      <c r="L189" t="n">
        <v>0</v>
      </c>
      <c r="M189" t="n">
        <v>0</v>
      </c>
      <c r="N189" t="n">
        <v>0</v>
      </c>
      <c r="O189" t="n">
        <v>0</v>
      </c>
      <c r="P189" t="n">
        <v>0</v>
      </c>
      <c r="Q189" t="n">
        <v>0</v>
      </c>
      <c r="R189" s="2" t="inlineStr"/>
    </row>
    <row r="190" ht="15" customHeight="1">
      <c r="A190" t="inlineStr">
        <is>
          <t>A 9585-2025</t>
        </is>
      </c>
      <c r="B190" s="1" t="n">
        <v>45715.63409722222</v>
      </c>
      <c r="C190" s="1" t="n">
        <v>45995</v>
      </c>
      <c r="D190" t="inlineStr">
        <is>
          <t>ÖREBRO LÄN</t>
        </is>
      </c>
      <c r="E190" t="inlineStr">
        <is>
          <t>ÖREBRO</t>
        </is>
      </c>
      <c r="G190" t="n">
        <v>3.4</v>
      </c>
      <c r="H190" t="n">
        <v>0</v>
      </c>
      <c r="I190" t="n">
        <v>0</v>
      </c>
      <c r="J190" t="n">
        <v>0</v>
      </c>
      <c r="K190" t="n">
        <v>0</v>
      </c>
      <c r="L190" t="n">
        <v>0</v>
      </c>
      <c r="M190" t="n">
        <v>0</v>
      </c>
      <c r="N190" t="n">
        <v>0</v>
      </c>
      <c r="O190" t="n">
        <v>0</v>
      </c>
      <c r="P190" t="n">
        <v>0</v>
      </c>
      <c r="Q190" t="n">
        <v>0</v>
      </c>
      <c r="R190" s="2" t="inlineStr"/>
    </row>
    <row r="191" ht="15" customHeight="1">
      <c r="A191" t="inlineStr">
        <is>
          <t>A 21983-2021</t>
        </is>
      </c>
      <c r="B191" s="1" t="n">
        <v>44323</v>
      </c>
      <c r="C191" s="1" t="n">
        <v>45995</v>
      </c>
      <c r="D191" t="inlineStr">
        <is>
          <t>ÖREBRO LÄN</t>
        </is>
      </c>
      <c r="E191" t="inlineStr">
        <is>
          <t>ÖREBRO</t>
        </is>
      </c>
      <c r="F191" t="inlineStr">
        <is>
          <t>Övriga Aktiebolag</t>
        </is>
      </c>
      <c r="G191" t="n">
        <v>0.7</v>
      </c>
      <c r="H191" t="n">
        <v>0</v>
      </c>
      <c r="I191" t="n">
        <v>0</v>
      </c>
      <c r="J191" t="n">
        <v>0</v>
      </c>
      <c r="K191" t="n">
        <v>0</v>
      </c>
      <c r="L191" t="n">
        <v>0</v>
      </c>
      <c r="M191" t="n">
        <v>0</v>
      </c>
      <c r="N191" t="n">
        <v>0</v>
      </c>
      <c r="O191" t="n">
        <v>0</v>
      </c>
      <c r="P191" t="n">
        <v>0</v>
      </c>
      <c r="Q191" t="n">
        <v>0</v>
      </c>
      <c r="R191" s="2" t="inlineStr"/>
    </row>
    <row r="192" ht="15" customHeight="1">
      <c r="A192" t="inlineStr">
        <is>
          <t>A 66799-2020</t>
        </is>
      </c>
      <c r="B192" s="1" t="n">
        <v>44179</v>
      </c>
      <c r="C192" s="1" t="n">
        <v>45995</v>
      </c>
      <c r="D192" t="inlineStr">
        <is>
          <t>ÖREBRO LÄN</t>
        </is>
      </c>
      <c r="E192" t="inlineStr">
        <is>
          <t>ÖREBRO</t>
        </is>
      </c>
      <c r="G192" t="n">
        <v>5.2</v>
      </c>
      <c r="H192" t="n">
        <v>0</v>
      </c>
      <c r="I192" t="n">
        <v>0</v>
      </c>
      <c r="J192" t="n">
        <v>0</v>
      </c>
      <c r="K192" t="n">
        <v>0</v>
      </c>
      <c r="L192" t="n">
        <v>0</v>
      </c>
      <c r="M192" t="n">
        <v>0</v>
      </c>
      <c r="N192" t="n">
        <v>0</v>
      </c>
      <c r="O192" t="n">
        <v>0</v>
      </c>
      <c r="P192" t="n">
        <v>0</v>
      </c>
      <c r="Q192" t="n">
        <v>0</v>
      </c>
      <c r="R192" s="2" t="inlineStr"/>
    </row>
    <row r="193" ht="15" customHeight="1">
      <c r="A193" t="inlineStr">
        <is>
          <t>A 6879-2024</t>
        </is>
      </c>
      <c r="B193" s="1" t="n">
        <v>45342.85280092592</v>
      </c>
      <c r="C193" s="1" t="n">
        <v>45995</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681-2024</t>
        </is>
      </c>
      <c r="B194" s="1" t="n">
        <v>45300</v>
      </c>
      <c r="C194" s="1" t="n">
        <v>45995</v>
      </c>
      <c r="D194" t="inlineStr">
        <is>
          <t>ÖREBRO LÄN</t>
        </is>
      </c>
      <c r="E194" t="inlineStr">
        <is>
          <t>ÖREBRO</t>
        </is>
      </c>
      <c r="G194" t="n">
        <v>3.3</v>
      </c>
      <c r="H194" t="n">
        <v>0</v>
      </c>
      <c r="I194" t="n">
        <v>0</v>
      </c>
      <c r="J194" t="n">
        <v>0</v>
      </c>
      <c r="K194" t="n">
        <v>0</v>
      </c>
      <c r="L194" t="n">
        <v>0</v>
      </c>
      <c r="M194" t="n">
        <v>0</v>
      </c>
      <c r="N194" t="n">
        <v>0</v>
      </c>
      <c r="O194" t="n">
        <v>0</v>
      </c>
      <c r="P194" t="n">
        <v>0</v>
      </c>
      <c r="Q194" t="n">
        <v>0</v>
      </c>
      <c r="R194" s="2" t="inlineStr"/>
    </row>
    <row r="195" ht="15" customHeight="1">
      <c r="A195" t="inlineStr">
        <is>
          <t>A 3120-2022</t>
        </is>
      </c>
      <c r="B195" s="1" t="n">
        <v>44582</v>
      </c>
      <c r="C195" s="1" t="n">
        <v>45995</v>
      </c>
      <c r="D195" t="inlineStr">
        <is>
          <t>ÖREBRO LÄN</t>
        </is>
      </c>
      <c r="E195" t="inlineStr">
        <is>
          <t>ÖREBRO</t>
        </is>
      </c>
      <c r="G195" t="n">
        <v>0.6</v>
      </c>
      <c r="H195" t="n">
        <v>0</v>
      </c>
      <c r="I195" t="n">
        <v>0</v>
      </c>
      <c r="J195" t="n">
        <v>0</v>
      </c>
      <c r="K195" t="n">
        <v>0</v>
      </c>
      <c r="L195" t="n">
        <v>0</v>
      </c>
      <c r="M195" t="n">
        <v>0</v>
      </c>
      <c r="N195" t="n">
        <v>0</v>
      </c>
      <c r="O195" t="n">
        <v>0</v>
      </c>
      <c r="P195" t="n">
        <v>0</v>
      </c>
      <c r="Q195" t="n">
        <v>0</v>
      </c>
      <c r="R195" s="2" t="inlineStr"/>
    </row>
    <row r="196" ht="15" customHeight="1">
      <c r="A196" t="inlineStr">
        <is>
          <t>A 58606-2024</t>
        </is>
      </c>
      <c r="B196" s="1" t="n">
        <v>45635.54747685185</v>
      </c>
      <c r="C196" s="1" t="n">
        <v>45995</v>
      </c>
      <c r="D196" t="inlineStr">
        <is>
          <t>ÖREBRO LÄN</t>
        </is>
      </c>
      <c r="E196" t="inlineStr">
        <is>
          <t>ÖREBRO</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13169-2024</t>
        </is>
      </c>
      <c r="B197" s="1" t="n">
        <v>45386.40489583334</v>
      </c>
      <c r="C197" s="1" t="n">
        <v>45995</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2095-2025</t>
        </is>
      </c>
      <c r="B198" s="1" t="n">
        <v>45672</v>
      </c>
      <c r="C198" s="1" t="n">
        <v>45995</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38057-2025</t>
        </is>
      </c>
      <c r="B199" s="1" t="n">
        <v>45882.42570601852</v>
      </c>
      <c r="C199" s="1" t="n">
        <v>45995</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26101-2022</t>
        </is>
      </c>
      <c r="B200" s="1" t="n">
        <v>44734</v>
      </c>
      <c r="C200" s="1" t="n">
        <v>45995</v>
      </c>
      <c r="D200" t="inlineStr">
        <is>
          <t>ÖREBRO LÄN</t>
        </is>
      </c>
      <c r="E200" t="inlineStr">
        <is>
          <t>ÖREBRO</t>
        </is>
      </c>
      <c r="G200" t="n">
        <v>15.8</v>
      </c>
      <c r="H200" t="n">
        <v>0</v>
      </c>
      <c r="I200" t="n">
        <v>0</v>
      </c>
      <c r="J200" t="n">
        <v>0</v>
      </c>
      <c r="K200" t="n">
        <v>0</v>
      </c>
      <c r="L200" t="n">
        <v>0</v>
      </c>
      <c r="M200" t="n">
        <v>0</v>
      </c>
      <c r="N200" t="n">
        <v>0</v>
      </c>
      <c r="O200" t="n">
        <v>0</v>
      </c>
      <c r="P200" t="n">
        <v>0</v>
      </c>
      <c r="Q200" t="n">
        <v>0</v>
      </c>
      <c r="R200" s="2" t="inlineStr"/>
    </row>
    <row r="201" ht="15" customHeight="1">
      <c r="A201" t="inlineStr">
        <is>
          <t>A 5125-2024</t>
        </is>
      </c>
      <c r="B201" s="1" t="n">
        <v>45330</v>
      </c>
      <c r="C201" s="1" t="n">
        <v>45995</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14234-2024</t>
        </is>
      </c>
      <c r="B202" s="1" t="n">
        <v>45393.46980324074</v>
      </c>
      <c r="C202" s="1" t="n">
        <v>45995</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58486-2024</t>
        </is>
      </c>
      <c r="B203" s="1" t="n">
        <v>45635</v>
      </c>
      <c r="C203" s="1" t="n">
        <v>45995</v>
      </c>
      <c r="D203" t="inlineStr">
        <is>
          <t>ÖREBRO LÄN</t>
        </is>
      </c>
      <c r="E203" t="inlineStr">
        <is>
          <t>ÖREBRO</t>
        </is>
      </c>
      <c r="G203" t="n">
        <v>1.7</v>
      </c>
      <c r="H203" t="n">
        <v>0</v>
      </c>
      <c r="I203" t="n">
        <v>0</v>
      </c>
      <c r="J203" t="n">
        <v>0</v>
      </c>
      <c r="K203" t="n">
        <v>0</v>
      </c>
      <c r="L203" t="n">
        <v>0</v>
      </c>
      <c r="M203" t="n">
        <v>0</v>
      </c>
      <c r="N203" t="n">
        <v>0</v>
      </c>
      <c r="O203" t="n">
        <v>0</v>
      </c>
      <c r="P203" t="n">
        <v>0</v>
      </c>
      <c r="Q203" t="n">
        <v>0</v>
      </c>
      <c r="R203" s="2" t="inlineStr"/>
    </row>
    <row r="204" ht="15" customHeight="1">
      <c r="A204" t="inlineStr">
        <is>
          <t>A 14053-2025</t>
        </is>
      </c>
      <c r="B204" s="1" t="n">
        <v>45739</v>
      </c>
      <c r="C204" s="1" t="n">
        <v>45995</v>
      </c>
      <c r="D204" t="inlineStr">
        <is>
          <t>ÖREBRO LÄN</t>
        </is>
      </c>
      <c r="E204" t="inlineStr">
        <is>
          <t>ÖREBRO</t>
        </is>
      </c>
      <c r="G204" t="n">
        <v>3.5</v>
      </c>
      <c r="H204" t="n">
        <v>0</v>
      </c>
      <c r="I204" t="n">
        <v>0</v>
      </c>
      <c r="J204" t="n">
        <v>0</v>
      </c>
      <c r="K204" t="n">
        <v>0</v>
      </c>
      <c r="L204" t="n">
        <v>0</v>
      </c>
      <c r="M204" t="n">
        <v>0</v>
      </c>
      <c r="N204" t="n">
        <v>0</v>
      </c>
      <c r="O204" t="n">
        <v>0</v>
      </c>
      <c r="P204" t="n">
        <v>0</v>
      </c>
      <c r="Q204" t="n">
        <v>0</v>
      </c>
      <c r="R204" s="2" t="inlineStr"/>
    </row>
    <row r="205" ht="15" customHeight="1">
      <c r="A205" t="inlineStr">
        <is>
          <t>A 52256-2023</t>
        </is>
      </c>
      <c r="B205" s="1" t="n">
        <v>45224.51471064815</v>
      </c>
      <c r="C205" s="1" t="n">
        <v>45995</v>
      </c>
      <c r="D205" t="inlineStr">
        <is>
          <t>ÖREBRO LÄN</t>
        </is>
      </c>
      <c r="E205" t="inlineStr">
        <is>
          <t>ÖREBRO</t>
        </is>
      </c>
      <c r="G205" t="n">
        <v>2.8</v>
      </c>
      <c r="H205" t="n">
        <v>0</v>
      </c>
      <c r="I205" t="n">
        <v>0</v>
      </c>
      <c r="J205" t="n">
        <v>0</v>
      </c>
      <c r="K205" t="n">
        <v>0</v>
      </c>
      <c r="L205" t="n">
        <v>0</v>
      </c>
      <c r="M205" t="n">
        <v>0</v>
      </c>
      <c r="N205" t="n">
        <v>0</v>
      </c>
      <c r="O205" t="n">
        <v>0</v>
      </c>
      <c r="P205" t="n">
        <v>0</v>
      </c>
      <c r="Q205" t="n">
        <v>0</v>
      </c>
      <c r="R205" s="2" t="inlineStr"/>
    </row>
    <row r="206" ht="15" customHeight="1">
      <c r="A206" t="inlineStr">
        <is>
          <t>A 35345-2024</t>
        </is>
      </c>
      <c r="B206" s="1" t="n">
        <v>45530</v>
      </c>
      <c r="C206" s="1" t="n">
        <v>45995</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71275-2021</t>
        </is>
      </c>
      <c r="B207" s="1" t="n">
        <v>44539</v>
      </c>
      <c r="C207" s="1" t="n">
        <v>45995</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123-2025</t>
        </is>
      </c>
      <c r="B208" s="1" t="n">
        <v>45659.54851851852</v>
      </c>
      <c r="C208" s="1" t="n">
        <v>45995</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30472-2022</t>
        </is>
      </c>
      <c r="B209" s="1" t="n">
        <v>44761.70467592592</v>
      </c>
      <c r="C209" s="1" t="n">
        <v>45995</v>
      </c>
      <c r="D209" t="inlineStr">
        <is>
          <t>ÖREBRO LÄN</t>
        </is>
      </c>
      <c r="E209" t="inlineStr">
        <is>
          <t>ÖREBRO</t>
        </is>
      </c>
      <c r="F209" t="inlineStr">
        <is>
          <t>Övriga Aktiebolag</t>
        </is>
      </c>
      <c r="G209" t="n">
        <v>5.6</v>
      </c>
      <c r="H209" t="n">
        <v>0</v>
      </c>
      <c r="I209" t="n">
        <v>0</v>
      </c>
      <c r="J209" t="n">
        <v>0</v>
      </c>
      <c r="K209" t="n">
        <v>0</v>
      </c>
      <c r="L209" t="n">
        <v>0</v>
      </c>
      <c r="M209" t="n">
        <v>0</v>
      </c>
      <c r="N209" t="n">
        <v>0</v>
      </c>
      <c r="O209" t="n">
        <v>0</v>
      </c>
      <c r="P209" t="n">
        <v>0</v>
      </c>
      <c r="Q209" t="n">
        <v>0</v>
      </c>
      <c r="R209" s="2" t="inlineStr"/>
    </row>
    <row r="210" ht="15" customHeight="1">
      <c r="A210" t="inlineStr">
        <is>
          <t>A 6869-2025</t>
        </is>
      </c>
      <c r="B210" s="1" t="n">
        <v>45700</v>
      </c>
      <c r="C210" s="1" t="n">
        <v>45995</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57869-2024</t>
        </is>
      </c>
      <c r="B211" s="1" t="n">
        <v>45631.44207175926</v>
      </c>
      <c r="C211" s="1" t="n">
        <v>45995</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58608-2024</t>
        </is>
      </c>
      <c r="B212" s="1" t="n">
        <v>45635.55185185185</v>
      </c>
      <c r="C212" s="1" t="n">
        <v>45995</v>
      </c>
      <c r="D212" t="inlineStr">
        <is>
          <t>ÖREBRO LÄN</t>
        </is>
      </c>
      <c r="E212" t="inlineStr">
        <is>
          <t>ÖREBRO</t>
        </is>
      </c>
      <c r="F212" t="inlineStr">
        <is>
          <t>Sveaskog</t>
        </is>
      </c>
      <c r="G212" t="n">
        <v>0.3</v>
      </c>
      <c r="H212" t="n">
        <v>0</v>
      </c>
      <c r="I212" t="n">
        <v>0</v>
      </c>
      <c r="J212" t="n">
        <v>0</v>
      </c>
      <c r="K212" t="n">
        <v>0</v>
      </c>
      <c r="L212" t="n">
        <v>0</v>
      </c>
      <c r="M212" t="n">
        <v>0</v>
      </c>
      <c r="N212" t="n">
        <v>0</v>
      </c>
      <c r="O212" t="n">
        <v>0</v>
      </c>
      <c r="P212" t="n">
        <v>0</v>
      </c>
      <c r="Q212" t="n">
        <v>0</v>
      </c>
      <c r="R212" s="2" t="inlineStr"/>
    </row>
    <row r="213" ht="15" customHeight="1">
      <c r="A213" t="inlineStr">
        <is>
          <t>A 2153-2023</t>
        </is>
      </c>
      <c r="B213" s="1" t="n">
        <v>44941</v>
      </c>
      <c r="C213" s="1" t="n">
        <v>45995</v>
      </c>
      <c r="D213" t="inlineStr">
        <is>
          <t>ÖREBRO LÄN</t>
        </is>
      </c>
      <c r="E213" t="inlineStr">
        <is>
          <t>ÖREBRO</t>
        </is>
      </c>
      <c r="G213" t="n">
        <v>6.3</v>
      </c>
      <c r="H213" t="n">
        <v>0</v>
      </c>
      <c r="I213" t="n">
        <v>0</v>
      </c>
      <c r="J213" t="n">
        <v>0</v>
      </c>
      <c r="K213" t="n">
        <v>0</v>
      </c>
      <c r="L213" t="n">
        <v>0</v>
      </c>
      <c r="M213" t="n">
        <v>0</v>
      </c>
      <c r="N213" t="n">
        <v>0</v>
      </c>
      <c r="O213" t="n">
        <v>0</v>
      </c>
      <c r="P213" t="n">
        <v>0</v>
      </c>
      <c r="Q213" t="n">
        <v>0</v>
      </c>
      <c r="R213" s="2" t="inlineStr"/>
    </row>
    <row r="214" ht="15" customHeight="1">
      <c r="A214" t="inlineStr">
        <is>
          <t>A 55593-2022</t>
        </is>
      </c>
      <c r="B214" s="1" t="n">
        <v>44888</v>
      </c>
      <c r="C214" s="1" t="n">
        <v>45995</v>
      </c>
      <c r="D214" t="inlineStr">
        <is>
          <t>ÖREBRO LÄN</t>
        </is>
      </c>
      <c r="E214" t="inlineStr">
        <is>
          <t>ÖREBRO</t>
        </is>
      </c>
      <c r="G214" t="n">
        <v>3.6</v>
      </c>
      <c r="H214" t="n">
        <v>0</v>
      </c>
      <c r="I214" t="n">
        <v>0</v>
      </c>
      <c r="J214" t="n">
        <v>0</v>
      </c>
      <c r="K214" t="n">
        <v>0</v>
      </c>
      <c r="L214" t="n">
        <v>0</v>
      </c>
      <c r="M214" t="n">
        <v>0</v>
      </c>
      <c r="N214" t="n">
        <v>0</v>
      </c>
      <c r="O214" t="n">
        <v>0</v>
      </c>
      <c r="P214" t="n">
        <v>0</v>
      </c>
      <c r="Q214" t="n">
        <v>0</v>
      </c>
      <c r="R214" s="2" t="inlineStr"/>
    </row>
    <row r="215" ht="15" customHeight="1">
      <c r="A215" t="inlineStr">
        <is>
          <t>A 50446-2023</t>
        </is>
      </c>
      <c r="B215" s="1" t="n">
        <v>45216</v>
      </c>
      <c r="C215" s="1" t="n">
        <v>45995</v>
      </c>
      <c r="D215" t="inlineStr">
        <is>
          <t>ÖREBRO LÄN</t>
        </is>
      </c>
      <c r="E215" t="inlineStr">
        <is>
          <t>ÖREBRO</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50450-2023</t>
        </is>
      </c>
      <c r="B216" s="1" t="n">
        <v>45216.73533564815</v>
      </c>
      <c r="C216" s="1" t="n">
        <v>45995</v>
      </c>
      <c r="D216" t="inlineStr">
        <is>
          <t>ÖREBRO LÄN</t>
        </is>
      </c>
      <c r="E216" t="inlineStr">
        <is>
          <t>ÖREBRO</t>
        </is>
      </c>
      <c r="F216" t="inlineStr">
        <is>
          <t>Övriga Aktiebolag</t>
        </is>
      </c>
      <c r="G216" t="n">
        <v>0.8</v>
      </c>
      <c r="H216" t="n">
        <v>0</v>
      </c>
      <c r="I216" t="n">
        <v>0</v>
      </c>
      <c r="J216" t="n">
        <v>0</v>
      </c>
      <c r="K216" t="n">
        <v>0</v>
      </c>
      <c r="L216" t="n">
        <v>0</v>
      </c>
      <c r="M216" t="n">
        <v>0</v>
      </c>
      <c r="N216" t="n">
        <v>0</v>
      </c>
      <c r="O216" t="n">
        <v>0</v>
      </c>
      <c r="P216" t="n">
        <v>0</v>
      </c>
      <c r="Q216" t="n">
        <v>0</v>
      </c>
      <c r="R216" s="2" t="inlineStr"/>
    </row>
    <row r="217" ht="15" customHeight="1">
      <c r="A217" t="inlineStr">
        <is>
          <t>A 37277-2022</t>
        </is>
      </c>
      <c r="B217" s="1" t="n">
        <v>44807.49150462963</v>
      </c>
      <c r="C217" s="1" t="n">
        <v>45995</v>
      </c>
      <c r="D217" t="inlineStr">
        <is>
          <t>ÖREBRO LÄN</t>
        </is>
      </c>
      <c r="E217" t="inlineStr">
        <is>
          <t>ÖREBRO</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43612-2022</t>
        </is>
      </c>
      <c r="B218" s="1" t="n">
        <v>44837</v>
      </c>
      <c r="C218" s="1" t="n">
        <v>45995</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27956-2023</t>
        </is>
      </c>
      <c r="B219" s="1" t="n">
        <v>45098</v>
      </c>
      <c r="C219" s="1" t="n">
        <v>45995</v>
      </c>
      <c r="D219" t="inlineStr">
        <is>
          <t>ÖREBRO LÄN</t>
        </is>
      </c>
      <c r="E219" t="inlineStr">
        <is>
          <t>ÖREBRO</t>
        </is>
      </c>
      <c r="G219" t="n">
        <v>0.8</v>
      </c>
      <c r="H219" t="n">
        <v>0</v>
      </c>
      <c r="I219" t="n">
        <v>0</v>
      </c>
      <c r="J219" t="n">
        <v>0</v>
      </c>
      <c r="K219" t="n">
        <v>0</v>
      </c>
      <c r="L219" t="n">
        <v>0</v>
      </c>
      <c r="M219" t="n">
        <v>0</v>
      </c>
      <c r="N219" t="n">
        <v>0</v>
      </c>
      <c r="O219" t="n">
        <v>0</v>
      </c>
      <c r="P219" t="n">
        <v>0</v>
      </c>
      <c r="Q219" t="n">
        <v>0</v>
      </c>
      <c r="R219" s="2" t="inlineStr"/>
    </row>
    <row r="220" ht="15" customHeight="1">
      <c r="A220" t="inlineStr">
        <is>
          <t>A 51331-2023</t>
        </is>
      </c>
      <c r="B220" s="1" t="n">
        <v>45219</v>
      </c>
      <c r="C220" s="1" t="n">
        <v>45995</v>
      </c>
      <c r="D220" t="inlineStr">
        <is>
          <t>ÖREBRO LÄN</t>
        </is>
      </c>
      <c r="E220" t="inlineStr">
        <is>
          <t>ÖREBRO</t>
        </is>
      </c>
      <c r="F220" t="inlineStr">
        <is>
          <t>Kommuner</t>
        </is>
      </c>
      <c r="G220" t="n">
        <v>1.3</v>
      </c>
      <c r="H220" t="n">
        <v>0</v>
      </c>
      <c r="I220" t="n">
        <v>0</v>
      </c>
      <c r="J220" t="n">
        <v>0</v>
      </c>
      <c r="K220" t="n">
        <v>0</v>
      </c>
      <c r="L220" t="n">
        <v>0</v>
      </c>
      <c r="M220" t="n">
        <v>0</v>
      </c>
      <c r="N220" t="n">
        <v>0</v>
      </c>
      <c r="O220" t="n">
        <v>0</v>
      </c>
      <c r="P220" t="n">
        <v>0</v>
      </c>
      <c r="Q220" t="n">
        <v>0</v>
      </c>
      <c r="R220" s="2" t="inlineStr"/>
    </row>
    <row r="221" ht="15" customHeight="1">
      <c r="A221" t="inlineStr">
        <is>
          <t>A 40588-2021</t>
        </is>
      </c>
      <c r="B221" s="1" t="n">
        <v>44420</v>
      </c>
      <c r="C221" s="1" t="n">
        <v>45995</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42138-2024</t>
        </is>
      </c>
      <c r="B222" s="1" t="n">
        <v>45562.41854166667</v>
      </c>
      <c r="C222" s="1" t="n">
        <v>45995</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34874-2022</t>
        </is>
      </c>
      <c r="B223" s="1" t="n">
        <v>44796</v>
      </c>
      <c r="C223" s="1" t="n">
        <v>45995</v>
      </c>
      <c r="D223" t="inlineStr">
        <is>
          <t>ÖREBRO LÄN</t>
        </is>
      </c>
      <c r="E223" t="inlineStr">
        <is>
          <t>ÖREBRO</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41678-2024</t>
        </is>
      </c>
      <c r="B224" s="1" t="n">
        <v>45560</v>
      </c>
      <c r="C224" s="1" t="n">
        <v>45995</v>
      </c>
      <c r="D224" t="inlineStr">
        <is>
          <t>ÖREBRO LÄN</t>
        </is>
      </c>
      <c r="E224" t="inlineStr">
        <is>
          <t>ÖREBRO</t>
        </is>
      </c>
      <c r="G224" t="n">
        <v>11.3</v>
      </c>
      <c r="H224" t="n">
        <v>0</v>
      </c>
      <c r="I224" t="n">
        <v>0</v>
      </c>
      <c r="J224" t="n">
        <v>0</v>
      </c>
      <c r="K224" t="n">
        <v>0</v>
      </c>
      <c r="L224" t="n">
        <v>0</v>
      </c>
      <c r="M224" t="n">
        <v>0</v>
      </c>
      <c r="N224" t="n">
        <v>0</v>
      </c>
      <c r="O224" t="n">
        <v>0</v>
      </c>
      <c r="P224" t="n">
        <v>0</v>
      </c>
      <c r="Q224" t="n">
        <v>0</v>
      </c>
      <c r="R224" s="2" t="inlineStr"/>
    </row>
    <row r="225" ht="15" customHeight="1">
      <c r="A225" t="inlineStr">
        <is>
          <t>A 18550-2025</t>
        </is>
      </c>
      <c r="B225" s="1" t="n">
        <v>45763.43422453704</v>
      </c>
      <c r="C225" s="1" t="n">
        <v>45995</v>
      </c>
      <c r="D225" t="inlineStr">
        <is>
          <t>ÖREBRO LÄN</t>
        </is>
      </c>
      <c r="E225" t="inlineStr">
        <is>
          <t>ÖREBRO</t>
        </is>
      </c>
      <c r="G225" t="n">
        <v>11.5</v>
      </c>
      <c r="H225" t="n">
        <v>0</v>
      </c>
      <c r="I225" t="n">
        <v>0</v>
      </c>
      <c r="J225" t="n">
        <v>0</v>
      </c>
      <c r="K225" t="n">
        <v>0</v>
      </c>
      <c r="L225" t="n">
        <v>0</v>
      </c>
      <c r="M225" t="n">
        <v>0</v>
      </c>
      <c r="N225" t="n">
        <v>0</v>
      </c>
      <c r="O225" t="n">
        <v>0</v>
      </c>
      <c r="P225" t="n">
        <v>0</v>
      </c>
      <c r="Q225" t="n">
        <v>0</v>
      </c>
      <c r="R225" s="2" t="inlineStr"/>
    </row>
    <row r="226" ht="15" customHeight="1">
      <c r="A226" t="inlineStr">
        <is>
          <t>A 40231-2022</t>
        </is>
      </c>
      <c r="B226" s="1" t="n">
        <v>44820</v>
      </c>
      <c r="C226" s="1" t="n">
        <v>45995</v>
      </c>
      <c r="D226" t="inlineStr">
        <is>
          <t>ÖREBRO LÄN</t>
        </is>
      </c>
      <c r="E226" t="inlineStr">
        <is>
          <t>ÖREBRO</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4284-2025</t>
        </is>
      </c>
      <c r="B227" s="1" t="n">
        <v>45685</v>
      </c>
      <c r="C227" s="1" t="n">
        <v>45995</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8331-2021</t>
        </is>
      </c>
      <c r="B228" s="1" t="n">
        <v>44244</v>
      </c>
      <c r="C228" s="1" t="n">
        <v>45995</v>
      </c>
      <c r="D228" t="inlineStr">
        <is>
          <t>ÖREBRO LÄN</t>
        </is>
      </c>
      <c r="E228" t="inlineStr">
        <is>
          <t>ÖREBRO</t>
        </is>
      </c>
      <c r="G228" t="n">
        <v>9.1</v>
      </c>
      <c r="H228" t="n">
        <v>0</v>
      </c>
      <c r="I228" t="n">
        <v>0</v>
      </c>
      <c r="J228" t="n">
        <v>0</v>
      </c>
      <c r="K228" t="n">
        <v>0</v>
      </c>
      <c r="L228" t="n">
        <v>0</v>
      </c>
      <c r="M228" t="n">
        <v>0</v>
      </c>
      <c r="N228" t="n">
        <v>0</v>
      </c>
      <c r="O228" t="n">
        <v>0</v>
      </c>
      <c r="P228" t="n">
        <v>0</v>
      </c>
      <c r="Q228" t="n">
        <v>0</v>
      </c>
      <c r="R228" s="2" t="inlineStr"/>
    </row>
    <row r="229" ht="15" customHeight="1">
      <c r="A229" t="inlineStr">
        <is>
          <t>A 8332-2021</t>
        </is>
      </c>
      <c r="B229" s="1" t="n">
        <v>44244</v>
      </c>
      <c r="C229" s="1" t="n">
        <v>45995</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61593-2023</t>
        </is>
      </c>
      <c r="B230" s="1" t="n">
        <v>45265</v>
      </c>
      <c r="C230" s="1" t="n">
        <v>45995</v>
      </c>
      <c r="D230" t="inlineStr">
        <is>
          <t>ÖREBRO LÄN</t>
        </is>
      </c>
      <c r="E230" t="inlineStr">
        <is>
          <t>ÖREBRO</t>
        </is>
      </c>
      <c r="G230" t="n">
        <v>2.5</v>
      </c>
      <c r="H230" t="n">
        <v>0</v>
      </c>
      <c r="I230" t="n">
        <v>0</v>
      </c>
      <c r="J230" t="n">
        <v>0</v>
      </c>
      <c r="K230" t="n">
        <v>0</v>
      </c>
      <c r="L230" t="n">
        <v>0</v>
      </c>
      <c r="M230" t="n">
        <v>0</v>
      </c>
      <c r="N230" t="n">
        <v>0</v>
      </c>
      <c r="O230" t="n">
        <v>0</v>
      </c>
      <c r="P230" t="n">
        <v>0</v>
      </c>
      <c r="Q230" t="n">
        <v>0</v>
      </c>
      <c r="R230" s="2" t="inlineStr"/>
    </row>
    <row r="231" ht="15" customHeight="1">
      <c r="A231" t="inlineStr">
        <is>
          <t>A 39003-2025</t>
        </is>
      </c>
      <c r="B231" s="1" t="n">
        <v>45888.34467592592</v>
      </c>
      <c r="C231" s="1" t="n">
        <v>45995</v>
      </c>
      <c r="D231" t="inlineStr">
        <is>
          <t>ÖREBRO LÄN</t>
        </is>
      </c>
      <c r="E231" t="inlineStr">
        <is>
          <t>ÖREBRO</t>
        </is>
      </c>
      <c r="G231" t="n">
        <v>3.7</v>
      </c>
      <c r="H231" t="n">
        <v>0</v>
      </c>
      <c r="I231" t="n">
        <v>0</v>
      </c>
      <c r="J231" t="n">
        <v>0</v>
      </c>
      <c r="K231" t="n">
        <v>0</v>
      </c>
      <c r="L231" t="n">
        <v>0</v>
      </c>
      <c r="M231" t="n">
        <v>0</v>
      </c>
      <c r="N231" t="n">
        <v>0</v>
      </c>
      <c r="O231" t="n">
        <v>0</v>
      </c>
      <c r="P231" t="n">
        <v>0</v>
      </c>
      <c r="Q231" t="n">
        <v>0</v>
      </c>
      <c r="R231" s="2" t="inlineStr"/>
    </row>
    <row r="232" ht="15" customHeight="1">
      <c r="A232" t="inlineStr">
        <is>
          <t>A 15422-2022</t>
        </is>
      </c>
      <c r="B232" s="1" t="n">
        <v>44659.63753472222</v>
      </c>
      <c r="C232" s="1" t="n">
        <v>45995</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25443-2021</t>
        </is>
      </c>
      <c r="B233" s="1" t="n">
        <v>44342</v>
      </c>
      <c r="C233" s="1" t="n">
        <v>45995</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13418-2024</t>
        </is>
      </c>
      <c r="B234" s="1" t="n">
        <v>45387.46482638889</v>
      </c>
      <c r="C234" s="1" t="n">
        <v>45995</v>
      </c>
      <c r="D234" t="inlineStr">
        <is>
          <t>ÖREBRO LÄN</t>
        </is>
      </c>
      <c r="E234" t="inlineStr">
        <is>
          <t>ÖREBRO</t>
        </is>
      </c>
      <c r="G234" t="n">
        <v>4.2</v>
      </c>
      <c r="H234" t="n">
        <v>0</v>
      </c>
      <c r="I234" t="n">
        <v>0</v>
      </c>
      <c r="J234" t="n">
        <v>0</v>
      </c>
      <c r="K234" t="n">
        <v>0</v>
      </c>
      <c r="L234" t="n">
        <v>0</v>
      </c>
      <c r="M234" t="n">
        <v>0</v>
      </c>
      <c r="N234" t="n">
        <v>0</v>
      </c>
      <c r="O234" t="n">
        <v>0</v>
      </c>
      <c r="P234" t="n">
        <v>0</v>
      </c>
      <c r="Q234" t="n">
        <v>0</v>
      </c>
      <c r="R234" s="2" t="inlineStr"/>
    </row>
    <row r="235" ht="15" customHeight="1">
      <c r="A235" t="inlineStr">
        <is>
          <t>A 46323-2024</t>
        </is>
      </c>
      <c r="B235" s="1" t="n">
        <v>45581.84538194445</v>
      </c>
      <c r="C235" s="1" t="n">
        <v>45995</v>
      </c>
      <c r="D235" t="inlineStr">
        <is>
          <t>ÖREBRO LÄN</t>
        </is>
      </c>
      <c r="E235" t="inlineStr">
        <is>
          <t>ÖREBRO</t>
        </is>
      </c>
      <c r="F235" t="inlineStr">
        <is>
          <t>Övriga Aktiebolag</t>
        </is>
      </c>
      <c r="G235" t="n">
        <v>1.4</v>
      </c>
      <c r="H235" t="n">
        <v>0</v>
      </c>
      <c r="I235" t="n">
        <v>0</v>
      </c>
      <c r="J235" t="n">
        <v>0</v>
      </c>
      <c r="K235" t="n">
        <v>0</v>
      </c>
      <c r="L235" t="n">
        <v>0</v>
      </c>
      <c r="M235" t="n">
        <v>0</v>
      </c>
      <c r="N235" t="n">
        <v>0</v>
      </c>
      <c r="O235" t="n">
        <v>0</v>
      </c>
      <c r="P235" t="n">
        <v>0</v>
      </c>
      <c r="Q235" t="n">
        <v>0</v>
      </c>
      <c r="R235" s="2" t="inlineStr"/>
    </row>
    <row r="236" ht="15" customHeight="1">
      <c r="A236" t="inlineStr">
        <is>
          <t>A 38842-2022</t>
        </is>
      </c>
      <c r="B236" s="1" t="n">
        <v>44814</v>
      </c>
      <c r="C236" s="1" t="n">
        <v>45995</v>
      </c>
      <c r="D236" t="inlineStr">
        <is>
          <t>ÖREBRO LÄN</t>
        </is>
      </c>
      <c r="E236" t="inlineStr">
        <is>
          <t>ÖREBRO</t>
        </is>
      </c>
      <c r="G236" t="n">
        <v>5</v>
      </c>
      <c r="H236" t="n">
        <v>0</v>
      </c>
      <c r="I236" t="n">
        <v>0</v>
      </c>
      <c r="J236" t="n">
        <v>0</v>
      </c>
      <c r="K236" t="n">
        <v>0</v>
      </c>
      <c r="L236" t="n">
        <v>0</v>
      </c>
      <c r="M236" t="n">
        <v>0</v>
      </c>
      <c r="N236" t="n">
        <v>0</v>
      </c>
      <c r="O236" t="n">
        <v>0</v>
      </c>
      <c r="P236" t="n">
        <v>0</v>
      </c>
      <c r="Q236" t="n">
        <v>0</v>
      </c>
      <c r="R236" s="2" t="inlineStr"/>
    </row>
    <row r="237" ht="15" customHeight="1">
      <c r="A237" t="inlineStr">
        <is>
          <t>A 2069-2025</t>
        </is>
      </c>
      <c r="B237" s="1" t="n">
        <v>45672.56614583333</v>
      </c>
      <c r="C237" s="1" t="n">
        <v>45995</v>
      </c>
      <c r="D237" t="inlineStr">
        <is>
          <t>ÖREBRO LÄN</t>
        </is>
      </c>
      <c r="E237" t="inlineStr">
        <is>
          <t>ÖREBRO</t>
        </is>
      </c>
      <c r="G237" t="n">
        <v>3.8</v>
      </c>
      <c r="H237" t="n">
        <v>0</v>
      </c>
      <c r="I237" t="n">
        <v>0</v>
      </c>
      <c r="J237" t="n">
        <v>0</v>
      </c>
      <c r="K237" t="n">
        <v>0</v>
      </c>
      <c r="L237" t="n">
        <v>0</v>
      </c>
      <c r="M237" t="n">
        <v>0</v>
      </c>
      <c r="N237" t="n">
        <v>0</v>
      </c>
      <c r="O237" t="n">
        <v>0</v>
      </c>
      <c r="P237" t="n">
        <v>0</v>
      </c>
      <c r="Q237" t="n">
        <v>0</v>
      </c>
      <c r="R237" s="2" t="inlineStr"/>
    </row>
    <row r="238" ht="15" customHeight="1">
      <c r="A238" t="inlineStr">
        <is>
          <t>A 852-2025</t>
        </is>
      </c>
      <c r="B238" s="1" t="n">
        <v>45665.60148148148</v>
      </c>
      <c r="C238" s="1" t="n">
        <v>45995</v>
      </c>
      <c r="D238" t="inlineStr">
        <is>
          <t>ÖREBRO LÄN</t>
        </is>
      </c>
      <c r="E238" t="inlineStr">
        <is>
          <t>ÖREBRO</t>
        </is>
      </c>
      <c r="G238" t="n">
        <v>2.9</v>
      </c>
      <c r="H238" t="n">
        <v>0</v>
      </c>
      <c r="I238" t="n">
        <v>0</v>
      </c>
      <c r="J238" t="n">
        <v>0</v>
      </c>
      <c r="K238" t="n">
        <v>0</v>
      </c>
      <c r="L238" t="n">
        <v>0</v>
      </c>
      <c r="M238" t="n">
        <v>0</v>
      </c>
      <c r="N238" t="n">
        <v>0</v>
      </c>
      <c r="O238" t="n">
        <v>0</v>
      </c>
      <c r="P238" t="n">
        <v>0</v>
      </c>
      <c r="Q238" t="n">
        <v>0</v>
      </c>
      <c r="R238" s="2" t="inlineStr"/>
    </row>
    <row r="239" ht="15" customHeight="1">
      <c r="A239" t="inlineStr">
        <is>
          <t>A 39446-2025</t>
        </is>
      </c>
      <c r="B239" s="1" t="n">
        <v>45889.70388888889</v>
      </c>
      <c r="C239" s="1" t="n">
        <v>45995</v>
      </c>
      <c r="D239" t="inlineStr">
        <is>
          <t>ÖREBRO LÄN</t>
        </is>
      </c>
      <c r="E239" t="inlineStr">
        <is>
          <t>ÖREBRO</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50398-2022</t>
        </is>
      </c>
      <c r="B240" s="1" t="n">
        <v>44861</v>
      </c>
      <c r="C240" s="1" t="n">
        <v>45995</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39479-2025</t>
        </is>
      </c>
      <c r="B241" s="1" t="n">
        <v>45890.34752314815</v>
      </c>
      <c r="C241" s="1" t="n">
        <v>45995</v>
      </c>
      <c r="D241" t="inlineStr">
        <is>
          <t>ÖREBRO LÄN</t>
        </is>
      </c>
      <c r="E241" t="inlineStr">
        <is>
          <t>ÖREBRO</t>
        </is>
      </c>
      <c r="G241" t="n">
        <v>0.7</v>
      </c>
      <c r="H241" t="n">
        <v>0</v>
      </c>
      <c r="I241" t="n">
        <v>0</v>
      </c>
      <c r="J241" t="n">
        <v>0</v>
      </c>
      <c r="K241" t="n">
        <v>0</v>
      </c>
      <c r="L241" t="n">
        <v>0</v>
      </c>
      <c r="M241" t="n">
        <v>0</v>
      </c>
      <c r="N241" t="n">
        <v>0</v>
      </c>
      <c r="O241" t="n">
        <v>0</v>
      </c>
      <c r="P241" t="n">
        <v>0</v>
      </c>
      <c r="Q241" t="n">
        <v>0</v>
      </c>
      <c r="R241" s="2" t="inlineStr"/>
    </row>
    <row r="242" ht="15" customHeight="1">
      <c r="A242" t="inlineStr">
        <is>
          <t>A 40597-2021</t>
        </is>
      </c>
      <c r="B242" s="1" t="n">
        <v>44420</v>
      </c>
      <c r="C242" s="1" t="n">
        <v>45995</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52441-2024</t>
        </is>
      </c>
      <c r="B243" s="1" t="n">
        <v>45609.48451388889</v>
      </c>
      <c r="C243" s="1" t="n">
        <v>45995</v>
      </c>
      <c r="D243" t="inlineStr">
        <is>
          <t>ÖREBRO LÄN</t>
        </is>
      </c>
      <c r="E243" t="inlineStr">
        <is>
          <t>ÖREBRO</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52499-2024</t>
        </is>
      </c>
      <c r="B244" s="1" t="n">
        <v>45609.58422453704</v>
      </c>
      <c r="C244" s="1" t="n">
        <v>45995</v>
      </c>
      <c r="D244" t="inlineStr">
        <is>
          <t>ÖREBRO LÄN</t>
        </is>
      </c>
      <c r="E244" t="inlineStr">
        <is>
          <t>ÖREBRO</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42623-2022</t>
        </is>
      </c>
      <c r="B245" s="1" t="n">
        <v>44831</v>
      </c>
      <c r="C245" s="1" t="n">
        <v>45995</v>
      </c>
      <c r="D245" t="inlineStr">
        <is>
          <t>ÖREBRO LÄN</t>
        </is>
      </c>
      <c r="E245" t="inlineStr">
        <is>
          <t>ÖREBRO</t>
        </is>
      </c>
      <c r="G245" t="n">
        <v>3.6</v>
      </c>
      <c r="H245" t="n">
        <v>0</v>
      </c>
      <c r="I245" t="n">
        <v>0</v>
      </c>
      <c r="J245" t="n">
        <v>0</v>
      </c>
      <c r="K245" t="n">
        <v>0</v>
      </c>
      <c r="L245" t="n">
        <v>0</v>
      </c>
      <c r="M245" t="n">
        <v>0</v>
      </c>
      <c r="N245" t="n">
        <v>0</v>
      </c>
      <c r="O245" t="n">
        <v>0</v>
      </c>
      <c r="P245" t="n">
        <v>0</v>
      </c>
      <c r="Q245" t="n">
        <v>0</v>
      </c>
      <c r="R245" s="2" t="inlineStr"/>
    </row>
    <row r="246" ht="15" customHeight="1">
      <c r="A246" t="inlineStr">
        <is>
          <t>A 8575-2021</t>
        </is>
      </c>
      <c r="B246" s="1" t="n">
        <v>44245</v>
      </c>
      <c r="C246" s="1" t="n">
        <v>45995</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3763-2025</t>
        </is>
      </c>
      <c r="B247" s="1" t="n">
        <v>45681</v>
      </c>
      <c r="C247" s="1" t="n">
        <v>45995</v>
      </c>
      <c r="D247" t="inlineStr">
        <is>
          <t>ÖREBRO LÄN</t>
        </is>
      </c>
      <c r="E247" t="inlineStr">
        <is>
          <t>ÖREBRO</t>
        </is>
      </c>
      <c r="G247" t="n">
        <v>10.1</v>
      </c>
      <c r="H247" t="n">
        <v>0</v>
      </c>
      <c r="I247" t="n">
        <v>0</v>
      </c>
      <c r="J247" t="n">
        <v>0</v>
      </c>
      <c r="K247" t="n">
        <v>0</v>
      </c>
      <c r="L247" t="n">
        <v>0</v>
      </c>
      <c r="M247" t="n">
        <v>0</v>
      </c>
      <c r="N247" t="n">
        <v>0</v>
      </c>
      <c r="O247" t="n">
        <v>0</v>
      </c>
      <c r="P247" t="n">
        <v>0</v>
      </c>
      <c r="Q247" t="n">
        <v>0</v>
      </c>
      <c r="R247" s="2" t="inlineStr"/>
    </row>
    <row r="248" ht="15" customHeight="1">
      <c r="A248" t="inlineStr">
        <is>
          <t>A 26338-2021</t>
        </is>
      </c>
      <c r="B248" s="1" t="n">
        <v>44347</v>
      </c>
      <c r="C248" s="1" t="n">
        <v>45995</v>
      </c>
      <c r="D248" t="inlineStr">
        <is>
          <t>ÖREBRO LÄN</t>
        </is>
      </c>
      <c r="E248" t="inlineStr">
        <is>
          <t>ÖREBRO</t>
        </is>
      </c>
      <c r="G248" t="n">
        <v>0.5</v>
      </c>
      <c r="H248" t="n">
        <v>0</v>
      </c>
      <c r="I248" t="n">
        <v>0</v>
      </c>
      <c r="J248" t="n">
        <v>0</v>
      </c>
      <c r="K248" t="n">
        <v>0</v>
      </c>
      <c r="L248" t="n">
        <v>0</v>
      </c>
      <c r="M248" t="n">
        <v>0</v>
      </c>
      <c r="N248" t="n">
        <v>0</v>
      </c>
      <c r="O248" t="n">
        <v>0</v>
      </c>
      <c r="P248" t="n">
        <v>0</v>
      </c>
      <c r="Q248" t="n">
        <v>0</v>
      </c>
      <c r="R248" s="2" t="inlineStr"/>
    </row>
    <row r="249" ht="15" customHeight="1">
      <c r="A249" t="inlineStr">
        <is>
          <t>A 8008-2024</t>
        </is>
      </c>
      <c r="B249" s="1" t="n">
        <v>45350.6794212963</v>
      </c>
      <c r="C249" s="1" t="n">
        <v>45995</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48644-2024</t>
        </is>
      </c>
      <c r="B250" s="1" t="n">
        <v>45593.47466435185</v>
      </c>
      <c r="C250" s="1" t="n">
        <v>45995</v>
      </c>
      <c r="D250" t="inlineStr">
        <is>
          <t>ÖREBRO LÄN</t>
        </is>
      </c>
      <c r="E250" t="inlineStr">
        <is>
          <t>ÖREBRO</t>
        </is>
      </c>
      <c r="F250" t="inlineStr">
        <is>
          <t>Övriga Aktiebolag</t>
        </is>
      </c>
      <c r="G250" t="n">
        <v>1.1</v>
      </c>
      <c r="H250" t="n">
        <v>0</v>
      </c>
      <c r="I250" t="n">
        <v>0</v>
      </c>
      <c r="J250" t="n">
        <v>0</v>
      </c>
      <c r="K250" t="n">
        <v>0</v>
      </c>
      <c r="L250" t="n">
        <v>0</v>
      </c>
      <c r="M250" t="n">
        <v>0</v>
      </c>
      <c r="N250" t="n">
        <v>0</v>
      </c>
      <c r="O250" t="n">
        <v>0</v>
      </c>
      <c r="P250" t="n">
        <v>0</v>
      </c>
      <c r="Q250" t="n">
        <v>0</v>
      </c>
      <c r="R250" s="2" t="inlineStr"/>
    </row>
    <row r="251" ht="15" customHeight="1">
      <c r="A251" t="inlineStr">
        <is>
          <t>A 71266-2021</t>
        </is>
      </c>
      <c r="B251" s="1" t="n">
        <v>44539</v>
      </c>
      <c r="C251" s="1" t="n">
        <v>45995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71267-2021</t>
        </is>
      </c>
      <c r="B252" s="1" t="n">
        <v>44539</v>
      </c>
      <c r="C252" s="1" t="n">
        <v>45995</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71280-2021</t>
        </is>
      </c>
      <c r="B253" s="1" t="n">
        <v>44539</v>
      </c>
      <c r="C253" s="1" t="n">
        <v>45995</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18181-2024</t>
        </is>
      </c>
      <c r="B254" s="1" t="n">
        <v>45420.64561342593</v>
      </c>
      <c r="C254" s="1" t="n">
        <v>45995</v>
      </c>
      <c r="D254" t="inlineStr">
        <is>
          <t>ÖREBRO LÄN</t>
        </is>
      </c>
      <c r="E254" t="inlineStr">
        <is>
          <t>ÖREBRO</t>
        </is>
      </c>
      <c r="G254" t="n">
        <v>7.6</v>
      </c>
      <c r="H254" t="n">
        <v>0</v>
      </c>
      <c r="I254" t="n">
        <v>0</v>
      </c>
      <c r="J254" t="n">
        <v>0</v>
      </c>
      <c r="K254" t="n">
        <v>0</v>
      </c>
      <c r="L254" t="n">
        <v>0</v>
      </c>
      <c r="M254" t="n">
        <v>0</v>
      </c>
      <c r="N254" t="n">
        <v>0</v>
      </c>
      <c r="O254" t="n">
        <v>0</v>
      </c>
      <c r="P254" t="n">
        <v>0</v>
      </c>
      <c r="Q254" t="n">
        <v>0</v>
      </c>
      <c r="R254" s="2" t="inlineStr"/>
    </row>
    <row r="255" ht="15" customHeight="1">
      <c r="A255" t="inlineStr">
        <is>
          <t>A 38415-2023</t>
        </is>
      </c>
      <c r="B255" s="1" t="n">
        <v>45162.35502314815</v>
      </c>
      <c r="C255" s="1" t="n">
        <v>45995</v>
      </c>
      <c r="D255" t="inlineStr">
        <is>
          <t>ÖREBRO LÄN</t>
        </is>
      </c>
      <c r="E255" t="inlineStr">
        <is>
          <t>ÖREBRO</t>
        </is>
      </c>
      <c r="G255" t="n">
        <v>2.6</v>
      </c>
      <c r="H255" t="n">
        <v>0</v>
      </c>
      <c r="I255" t="n">
        <v>0</v>
      </c>
      <c r="J255" t="n">
        <v>0</v>
      </c>
      <c r="K255" t="n">
        <v>0</v>
      </c>
      <c r="L255" t="n">
        <v>0</v>
      </c>
      <c r="M255" t="n">
        <v>0</v>
      </c>
      <c r="N255" t="n">
        <v>0</v>
      </c>
      <c r="O255" t="n">
        <v>0</v>
      </c>
      <c r="P255" t="n">
        <v>0</v>
      </c>
      <c r="Q255" t="n">
        <v>0</v>
      </c>
      <c r="R255" s="2" t="inlineStr"/>
    </row>
    <row r="256" ht="15" customHeight="1">
      <c r="A256" t="inlineStr">
        <is>
          <t>A 16374-2022</t>
        </is>
      </c>
      <c r="B256" s="1" t="n">
        <v>44671</v>
      </c>
      <c r="C256" s="1" t="n">
        <v>45995</v>
      </c>
      <c r="D256" t="inlineStr">
        <is>
          <t>ÖREBRO LÄN</t>
        </is>
      </c>
      <c r="E256" t="inlineStr">
        <is>
          <t>ÖREBRO</t>
        </is>
      </c>
      <c r="F256" t="inlineStr">
        <is>
          <t>Övriga Aktiebolag</t>
        </is>
      </c>
      <c r="G256" t="n">
        <v>30.3</v>
      </c>
      <c r="H256" t="n">
        <v>0</v>
      </c>
      <c r="I256" t="n">
        <v>0</v>
      </c>
      <c r="J256" t="n">
        <v>0</v>
      </c>
      <c r="K256" t="n">
        <v>0</v>
      </c>
      <c r="L256" t="n">
        <v>0</v>
      </c>
      <c r="M256" t="n">
        <v>0</v>
      </c>
      <c r="N256" t="n">
        <v>0</v>
      </c>
      <c r="O256" t="n">
        <v>0</v>
      </c>
      <c r="P256" t="n">
        <v>0</v>
      </c>
      <c r="Q256" t="n">
        <v>0</v>
      </c>
      <c r="R256" s="2" t="inlineStr"/>
    </row>
    <row r="257" ht="15" customHeight="1">
      <c r="A257" t="inlineStr">
        <is>
          <t>A 10829-2023</t>
        </is>
      </c>
      <c r="B257" s="1" t="n">
        <v>44990.88512731482</v>
      </c>
      <c r="C257" s="1" t="n">
        <v>45995</v>
      </c>
      <c r="D257" t="inlineStr">
        <is>
          <t>ÖREBRO LÄN</t>
        </is>
      </c>
      <c r="E257" t="inlineStr">
        <is>
          <t>ÖREBRO</t>
        </is>
      </c>
      <c r="G257" t="n">
        <v>4.4</v>
      </c>
      <c r="H257" t="n">
        <v>0</v>
      </c>
      <c r="I257" t="n">
        <v>0</v>
      </c>
      <c r="J257" t="n">
        <v>0</v>
      </c>
      <c r="K257" t="n">
        <v>0</v>
      </c>
      <c r="L257" t="n">
        <v>0</v>
      </c>
      <c r="M257" t="n">
        <v>0</v>
      </c>
      <c r="N257" t="n">
        <v>0</v>
      </c>
      <c r="O257" t="n">
        <v>0</v>
      </c>
      <c r="P257" t="n">
        <v>0</v>
      </c>
      <c r="Q257" t="n">
        <v>0</v>
      </c>
      <c r="R257" s="2" t="inlineStr"/>
    </row>
    <row r="258" ht="15" customHeight="1">
      <c r="A258" t="inlineStr">
        <is>
          <t>A 10831-2023</t>
        </is>
      </c>
      <c r="B258" s="1" t="n">
        <v>44990.90357638889</v>
      </c>
      <c r="C258" s="1" t="n">
        <v>45995</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9704-2023</t>
        </is>
      </c>
      <c r="B259" s="1" t="n">
        <v>44984</v>
      </c>
      <c r="C259" s="1" t="n">
        <v>45995</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19180-2025</t>
        </is>
      </c>
      <c r="B260" s="1" t="n">
        <v>45769.40133101852</v>
      </c>
      <c r="C260" s="1" t="n">
        <v>45995</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46052-2024</t>
        </is>
      </c>
      <c r="B261" s="1" t="n">
        <v>45580.89116898148</v>
      </c>
      <c r="C261" s="1" t="n">
        <v>45995</v>
      </c>
      <c r="D261" t="inlineStr">
        <is>
          <t>ÖREBRO LÄN</t>
        </is>
      </c>
      <c r="E261" t="inlineStr">
        <is>
          <t>ÖREBRO</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16165-2023</t>
        </is>
      </c>
      <c r="B262" s="1" t="n">
        <v>45027</v>
      </c>
      <c r="C262" s="1" t="n">
        <v>45995</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58527-2024</t>
        </is>
      </c>
      <c r="B263" s="1" t="n">
        <v>45635.44388888889</v>
      </c>
      <c r="C263" s="1" t="n">
        <v>45995</v>
      </c>
      <c r="D263" t="inlineStr">
        <is>
          <t>ÖREBRO LÄN</t>
        </is>
      </c>
      <c r="E263" t="inlineStr">
        <is>
          <t>ÖREBRO</t>
        </is>
      </c>
      <c r="F263" t="inlineStr">
        <is>
          <t>Sveaskog</t>
        </is>
      </c>
      <c r="G263" t="n">
        <v>6.4</v>
      </c>
      <c r="H263" t="n">
        <v>0</v>
      </c>
      <c r="I263" t="n">
        <v>0</v>
      </c>
      <c r="J263" t="n">
        <v>0</v>
      </c>
      <c r="K263" t="n">
        <v>0</v>
      </c>
      <c r="L263" t="n">
        <v>0</v>
      </c>
      <c r="M263" t="n">
        <v>0</v>
      </c>
      <c r="N263" t="n">
        <v>0</v>
      </c>
      <c r="O263" t="n">
        <v>0</v>
      </c>
      <c r="P263" t="n">
        <v>0</v>
      </c>
      <c r="Q263" t="n">
        <v>0</v>
      </c>
      <c r="R263" s="2" t="inlineStr"/>
    </row>
    <row r="264" ht="15" customHeight="1">
      <c r="A264" t="inlineStr">
        <is>
          <t>A 48581-2024</t>
        </is>
      </c>
      <c r="B264" s="1" t="n">
        <v>45593.41642361111</v>
      </c>
      <c r="C264" s="1" t="n">
        <v>45995</v>
      </c>
      <c r="D264" t="inlineStr">
        <is>
          <t>ÖREBRO LÄN</t>
        </is>
      </c>
      <c r="E264" t="inlineStr">
        <is>
          <t>ÖREBRO</t>
        </is>
      </c>
      <c r="G264" t="n">
        <v>0.7</v>
      </c>
      <c r="H264" t="n">
        <v>0</v>
      </c>
      <c r="I264" t="n">
        <v>0</v>
      </c>
      <c r="J264" t="n">
        <v>0</v>
      </c>
      <c r="K264" t="n">
        <v>0</v>
      </c>
      <c r="L264" t="n">
        <v>0</v>
      </c>
      <c r="M264" t="n">
        <v>0</v>
      </c>
      <c r="N264" t="n">
        <v>0</v>
      </c>
      <c r="O264" t="n">
        <v>0</v>
      </c>
      <c r="P264" t="n">
        <v>0</v>
      </c>
      <c r="Q264" t="n">
        <v>0</v>
      </c>
      <c r="R264" s="2" t="inlineStr"/>
    </row>
    <row r="265" ht="15" customHeight="1">
      <c r="A265" t="inlineStr">
        <is>
          <t>A 57247-2022</t>
        </is>
      </c>
      <c r="B265" s="1" t="n">
        <v>44895.73065972222</v>
      </c>
      <c r="C265" s="1" t="n">
        <v>45995</v>
      </c>
      <c r="D265" t="inlineStr">
        <is>
          <t>ÖREBRO LÄN</t>
        </is>
      </c>
      <c r="E265" t="inlineStr">
        <is>
          <t>ÖREBRO</t>
        </is>
      </c>
      <c r="G265" t="n">
        <v>1.6</v>
      </c>
      <c r="H265" t="n">
        <v>0</v>
      </c>
      <c r="I265" t="n">
        <v>0</v>
      </c>
      <c r="J265" t="n">
        <v>0</v>
      </c>
      <c r="K265" t="n">
        <v>0</v>
      </c>
      <c r="L265" t="n">
        <v>0</v>
      </c>
      <c r="M265" t="n">
        <v>0</v>
      </c>
      <c r="N265" t="n">
        <v>0</v>
      </c>
      <c r="O265" t="n">
        <v>0</v>
      </c>
      <c r="P265" t="n">
        <v>0</v>
      </c>
      <c r="Q265" t="n">
        <v>0</v>
      </c>
      <c r="R265" s="2" t="inlineStr"/>
    </row>
    <row r="266" ht="15" customHeight="1">
      <c r="A266" t="inlineStr">
        <is>
          <t>A 40330-2025</t>
        </is>
      </c>
      <c r="B266" s="1" t="n">
        <v>45895.4531712963</v>
      </c>
      <c r="C266" s="1" t="n">
        <v>45995</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37022-2024</t>
        </is>
      </c>
      <c r="B267" s="1" t="n">
        <v>45539.3822337963</v>
      </c>
      <c r="C267" s="1" t="n">
        <v>45995</v>
      </c>
      <c r="D267" t="inlineStr">
        <is>
          <t>ÖREBRO LÄN</t>
        </is>
      </c>
      <c r="E267" t="inlineStr">
        <is>
          <t>ÖREBRO</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37024-2024</t>
        </is>
      </c>
      <c r="B268" s="1" t="n">
        <v>45539.38329861111</v>
      </c>
      <c r="C268" s="1" t="n">
        <v>45995</v>
      </c>
      <c r="D268" t="inlineStr">
        <is>
          <t>ÖREBRO LÄN</t>
        </is>
      </c>
      <c r="E268" t="inlineStr">
        <is>
          <t>ÖREBRO</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38075-2022</t>
        </is>
      </c>
      <c r="B269" s="1" t="n">
        <v>44811</v>
      </c>
      <c r="C269" s="1" t="n">
        <v>45995</v>
      </c>
      <c r="D269" t="inlineStr">
        <is>
          <t>ÖREBRO LÄN</t>
        </is>
      </c>
      <c r="E269" t="inlineStr">
        <is>
          <t>ÖREBRO</t>
        </is>
      </c>
      <c r="G269" t="n">
        <v>0.2</v>
      </c>
      <c r="H269" t="n">
        <v>0</v>
      </c>
      <c r="I269" t="n">
        <v>0</v>
      </c>
      <c r="J269" t="n">
        <v>0</v>
      </c>
      <c r="K269" t="n">
        <v>0</v>
      </c>
      <c r="L269" t="n">
        <v>0</v>
      </c>
      <c r="M269" t="n">
        <v>0</v>
      </c>
      <c r="N269" t="n">
        <v>0</v>
      </c>
      <c r="O269" t="n">
        <v>0</v>
      </c>
      <c r="P269" t="n">
        <v>0</v>
      </c>
      <c r="Q269" t="n">
        <v>0</v>
      </c>
      <c r="R269" s="2" t="inlineStr"/>
    </row>
    <row r="270" ht="15" customHeight="1">
      <c r="A270" t="inlineStr">
        <is>
          <t>A 11382-2023</t>
        </is>
      </c>
      <c r="B270" s="1" t="n">
        <v>44993.45635416666</v>
      </c>
      <c r="C270" s="1" t="n">
        <v>45995</v>
      </c>
      <c r="D270" t="inlineStr">
        <is>
          <t>ÖREBRO LÄN</t>
        </is>
      </c>
      <c r="E270" t="inlineStr">
        <is>
          <t>ÖREBRO</t>
        </is>
      </c>
      <c r="G270" t="n">
        <v>3.3</v>
      </c>
      <c r="H270" t="n">
        <v>0</v>
      </c>
      <c r="I270" t="n">
        <v>0</v>
      </c>
      <c r="J270" t="n">
        <v>0</v>
      </c>
      <c r="K270" t="n">
        <v>0</v>
      </c>
      <c r="L270" t="n">
        <v>0</v>
      </c>
      <c r="M270" t="n">
        <v>0</v>
      </c>
      <c r="N270" t="n">
        <v>0</v>
      </c>
      <c r="O270" t="n">
        <v>0</v>
      </c>
      <c r="P270" t="n">
        <v>0</v>
      </c>
      <c r="Q270" t="n">
        <v>0</v>
      </c>
      <c r="R270" s="2" t="inlineStr"/>
    </row>
    <row r="271" ht="15" customHeight="1">
      <c r="A271" t="inlineStr">
        <is>
          <t>A 40332-2025</t>
        </is>
      </c>
      <c r="B271" s="1" t="n">
        <v>45895.46060185185</v>
      </c>
      <c r="C271" s="1" t="n">
        <v>45995</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47047-2022</t>
        </is>
      </c>
      <c r="B272" s="1" t="n">
        <v>44852.39063657408</v>
      </c>
      <c r="C272" s="1" t="n">
        <v>45995</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20121-2024</t>
        </is>
      </c>
      <c r="B273" s="1" t="n">
        <v>45434</v>
      </c>
      <c r="C273" s="1" t="n">
        <v>45995</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21036-2024</t>
        </is>
      </c>
      <c r="B274" s="1" t="n">
        <v>45439.65954861111</v>
      </c>
      <c r="C274" s="1" t="n">
        <v>45995</v>
      </c>
      <c r="D274" t="inlineStr">
        <is>
          <t>ÖREBRO LÄN</t>
        </is>
      </c>
      <c r="E274" t="inlineStr">
        <is>
          <t>ÖREBRO</t>
        </is>
      </c>
      <c r="F274" t="inlineStr">
        <is>
          <t>Övriga Aktiebolag</t>
        </is>
      </c>
      <c r="G274" t="n">
        <v>5.7</v>
      </c>
      <c r="H274" t="n">
        <v>0</v>
      </c>
      <c r="I274" t="n">
        <v>0</v>
      </c>
      <c r="J274" t="n">
        <v>0</v>
      </c>
      <c r="K274" t="n">
        <v>0</v>
      </c>
      <c r="L274" t="n">
        <v>0</v>
      </c>
      <c r="M274" t="n">
        <v>0</v>
      </c>
      <c r="N274" t="n">
        <v>0</v>
      </c>
      <c r="O274" t="n">
        <v>0</v>
      </c>
      <c r="P274" t="n">
        <v>0</v>
      </c>
      <c r="Q274" t="n">
        <v>0</v>
      </c>
      <c r="R274" s="2" t="inlineStr"/>
    </row>
    <row r="275" ht="15" customHeight="1">
      <c r="A275" t="inlineStr">
        <is>
          <t>A 26117-2021</t>
        </is>
      </c>
      <c r="B275" s="1" t="n">
        <v>44345</v>
      </c>
      <c r="C275" s="1" t="n">
        <v>45995</v>
      </c>
      <c r="D275" t="inlineStr">
        <is>
          <t>ÖREBRO LÄN</t>
        </is>
      </c>
      <c r="E275" t="inlineStr">
        <is>
          <t>ÖREBRO</t>
        </is>
      </c>
      <c r="G275" t="n">
        <v>8.1</v>
      </c>
      <c r="H275" t="n">
        <v>0</v>
      </c>
      <c r="I275" t="n">
        <v>0</v>
      </c>
      <c r="J275" t="n">
        <v>0</v>
      </c>
      <c r="K275" t="n">
        <v>0</v>
      </c>
      <c r="L275" t="n">
        <v>0</v>
      </c>
      <c r="M275" t="n">
        <v>0</v>
      </c>
      <c r="N275" t="n">
        <v>0</v>
      </c>
      <c r="O275" t="n">
        <v>0</v>
      </c>
      <c r="P275" t="n">
        <v>0</v>
      </c>
      <c r="Q275" t="n">
        <v>0</v>
      </c>
      <c r="R275" s="2" t="inlineStr"/>
    </row>
    <row r="276" ht="15" customHeight="1">
      <c r="A276" t="inlineStr">
        <is>
          <t>A 16739-2023</t>
        </is>
      </c>
      <c r="B276" s="1" t="n">
        <v>45030.72627314815</v>
      </c>
      <c r="C276" s="1" t="n">
        <v>45995</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55943-2024</t>
        </is>
      </c>
      <c r="B277" s="1" t="n">
        <v>45623.61278935185</v>
      </c>
      <c r="C277" s="1" t="n">
        <v>45995</v>
      </c>
      <c r="D277" t="inlineStr">
        <is>
          <t>ÖREBRO LÄN</t>
        </is>
      </c>
      <c r="E277" t="inlineStr">
        <is>
          <t>ÖREBRO</t>
        </is>
      </c>
      <c r="G277" t="n">
        <v>4.8</v>
      </c>
      <c r="H277" t="n">
        <v>0</v>
      </c>
      <c r="I277" t="n">
        <v>0</v>
      </c>
      <c r="J277" t="n">
        <v>0</v>
      </c>
      <c r="K277" t="n">
        <v>0</v>
      </c>
      <c r="L277" t="n">
        <v>0</v>
      </c>
      <c r="M277" t="n">
        <v>0</v>
      </c>
      <c r="N277" t="n">
        <v>0</v>
      </c>
      <c r="O277" t="n">
        <v>0</v>
      </c>
      <c r="P277" t="n">
        <v>0</v>
      </c>
      <c r="Q277" t="n">
        <v>0</v>
      </c>
      <c r="R277" s="2" t="inlineStr"/>
    </row>
    <row r="278" ht="15" customHeight="1">
      <c r="A278" t="inlineStr">
        <is>
          <t>A 1013-2024</t>
        </is>
      </c>
      <c r="B278" s="1" t="n">
        <v>45301</v>
      </c>
      <c r="C278" s="1" t="n">
        <v>45995</v>
      </c>
      <c r="D278" t="inlineStr">
        <is>
          <t>ÖREBRO LÄN</t>
        </is>
      </c>
      <c r="E278" t="inlineStr">
        <is>
          <t>ÖREBRO</t>
        </is>
      </c>
      <c r="G278" t="n">
        <v>2.6</v>
      </c>
      <c r="H278" t="n">
        <v>0</v>
      </c>
      <c r="I278" t="n">
        <v>0</v>
      </c>
      <c r="J278" t="n">
        <v>0</v>
      </c>
      <c r="K278" t="n">
        <v>0</v>
      </c>
      <c r="L278" t="n">
        <v>0</v>
      </c>
      <c r="M278" t="n">
        <v>0</v>
      </c>
      <c r="N278" t="n">
        <v>0</v>
      </c>
      <c r="O278" t="n">
        <v>0</v>
      </c>
      <c r="P278" t="n">
        <v>0</v>
      </c>
      <c r="Q278" t="n">
        <v>0</v>
      </c>
      <c r="R278" s="2" t="inlineStr"/>
    </row>
    <row r="279" ht="15" customHeight="1">
      <c r="A279" t="inlineStr">
        <is>
          <t>A 2771-2023</t>
        </is>
      </c>
      <c r="B279" s="1" t="n">
        <v>44944.64704861111</v>
      </c>
      <c r="C279" s="1" t="n">
        <v>45995</v>
      </c>
      <c r="D279" t="inlineStr">
        <is>
          <t>ÖREBRO LÄN</t>
        </is>
      </c>
      <c r="E279" t="inlineStr">
        <is>
          <t>ÖREBRO</t>
        </is>
      </c>
      <c r="G279" t="n">
        <v>15.4</v>
      </c>
      <c r="H279" t="n">
        <v>0</v>
      </c>
      <c r="I279" t="n">
        <v>0</v>
      </c>
      <c r="J279" t="n">
        <v>0</v>
      </c>
      <c r="K279" t="n">
        <v>0</v>
      </c>
      <c r="L279" t="n">
        <v>0</v>
      </c>
      <c r="M279" t="n">
        <v>0</v>
      </c>
      <c r="N279" t="n">
        <v>0</v>
      </c>
      <c r="O279" t="n">
        <v>0</v>
      </c>
      <c r="P279" t="n">
        <v>0</v>
      </c>
      <c r="Q279" t="n">
        <v>0</v>
      </c>
      <c r="R279" s="2" t="inlineStr"/>
    </row>
    <row r="280" ht="15" customHeight="1">
      <c r="A280" t="inlineStr">
        <is>
          <t>A 46757-2021</t>
        </is>
      </c>
      <c r="B280" s="1" t="n">
        <v>44445</v>
      </c>
      <c r="C280" s="1" t="n">
        <v>45995</v>
      </c>
      <c r="D280" t="inlineStr">
        <is>
          <t>ÖREBRO LÄN</t>
        </is>
      </c>
      <c r="E280" t="inlineStr">
        <is>
          <t>ÖREBRO</t>
        </is>
      </c>
      <c r="G280" t="n">
        <v>5.6</v>
      </c>
      <c r="H280" t="n">
        <v>0</v>
      </c>
      <c r="I280" t="n">
        <v>0</v>
      </c>
      <c r="J280" t="n">
        <v>0</v>
      </c>
      <c r="K280" t="n">
        <v>0</v>
      </c>
      <c r="L280" t="n">
        <v>0</v>
      </c>
      <c r="M280" t="n">
        <v>0</v>
      </c>
      <c r="N280" t="n">
        <v>0</v>
      </c>
      <c r="O280" t="n">
        <v>0</v>
      </c>
      <c r="P280" t="n">
        <v>0</v>
      </c>
      <c r="Q280" t="n">
        <v>0</v>
      </c>
      <c r="R280" s="2" t="inlineStr"/>
    </row>
    <row r="281" ht="15" customHeight="1">
      <c r="A281" t="inlineStr">
        <is>
          <t>A 13623-2024</t>
        </is>
      </c>
      <c r="B281" s="1" t="n">
        <v>45390.38626157407</v>
      </c>
      <c r="C281" s="1" t="n">
        <v>45995</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41669-2025</t>
        </is>
      </c>
      <c r="B282" s="1" t="n">
        <v>45902.36149305556</v>
      </c>
      <c r="C282" s="1" t="n">
        <v>45995</v>
      </c>
      <c r="D282" t="inlineStr">
        <is>
          <t>ÖREBRO LÄN</t>
        </is>
      </c>
      <c r="E282" t="inlineStr">
        <is>
          <t>ÖREBRO</t>
        </is>
      </c>
      <c r="G282" t="n">
        <v>2.8</v>
      </c>
      <c r="H282" t="n">
        <v>0</v>
      </c>
      <c r="I282" t="n">
        <v>0</v>
      </c>
      <c r="J282" t="n">
        <v>0</v>
      </c>
      <c r="K282" t="n">
        <v>0</v>
      </c>
      <c r="L282" t="n">
        <v>0</v>
      </c>
      <c r="M282" t="n">
        <v>0</v>
      </c>
      <c r="N282" t="n">
        <v>0</v>
      </c>
      <c r="O282" t="n">
        <v>0</v>
      </c>
      <c r="P282" t="n">
        <v>0</v>
      </c>
      <c r="Q282" t="n">
        <v>0</v>
      </c>
      <c r="R282" s="2" t="inlineStr"/>
    </row>
    <row r="283" ht="15" customHeight="1">
      <c r="A283" t="inlineStr">
        <is>
          <t>A 41412-2025</t>
        </is>
      </c>
      <c r="B283" s="1" t="n">
        <v>45901.3549537037</v>
      </c>
      <c r="C283" s="1" t="n">
        <v>45995</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12017-2024</t>
        </is>
      </c>
      <c r="B284" s="1" t="n">
        <v>45377</v>
      </c>
      <c r="C284" s="1" t="n">
        <v>45995</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56077-2022</t>
        </is>
      </c>
      <c r="B285" s="1" t="n">
        <v>44889.60872685185</v>
      </c>
      <c r="C285" s="1" t="n">
        <v>45995</v>
      </c>
      <c r="D285" t="inlineStr">
        <is>
          <t>ÖREBRO LÄN</t>
        </is>
      </c>
      <c r="E285" t="inlineStr">
        <is>
          <t>ÖREBRO</t>
        </is>
      </c>
      <c r="F285" t="inlineStr">
        <is>
          <t>Övriga Aktiebolag</t>
        </is>
      </c>
      <c r="G285" t="n">
        <v>2.5</v>
      </c>
      <c r="H285" t="n">
        <v>0</v>
      </c>
      <c r="I285" t="n">
        <v>0</v>
      </c>
      <c r="J285" t="n">
        <v>0</v>
      </c>
      <c r="K285" t="n">
        <v>0</v>
      </c>
      <c r="L285" t="n">
        <v>0</v>
      </c>
      <c r="M285" t="n">
        <v>0</v>
      </c>
      <c r="N285" t="n">
        <v>0</v>
      </c>
      <c r="O285" t="n">
        <v>0</v>
      </c>
      <c r="P285" t="n">
        <v>0</v>
      </c>
      <c r="Q285" t="n">
        <v>0</v>
      </c>
      <c r="R285" s="2" t="inlineStr"/>
    </row>
    <row r="286" ht="15" customHeight="1">
      <c r="A286" t="inlineStr">
        <is>
          <t>A 30374-2023</t>
        </is>
      </c>
      <c r="B286" s="1" t="n">
        <v>45111</v>
      </c>
      <c r="C286" s="1" t="n">
        <v>45995</v>
      </c>
      <c r="D286" t="inlineStr">
        <is>
          <t>ÖREBRO LÄN</t>
        </is>
      </c>
      <c r="E286" t="inlineStr">
        <is>
          <t>ÖREBRO</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9609-2023</t>
        </is>
      </c>
      <c r="B287" s="1" t="n">
        <v>44983.93344907407</v>
      </c>
      <c r="C287" s="1" t="n">
        <v>45995</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70707-2021</t>
        </is>
      </c>
      <c r="B288" s="1" t="n">
        <v>44537</v>
      </c>
      <c r="C288" s="1" t="n">
        <v>45995</v>
      </c>
      <c r="D288" t="inlineStr">
        <is>
          <t>ÖREBRO LÄN</t>
        </is>
      </c>
      <c r="E288" t="inlineStr">
        <is>
          <t>ÖREBRO</t>
        </is>
      </c>
      <c r="G288" t="n">
        <v>13.2</v>
      </c>
      <c r="H288" t="n">
        <v>0</v>
      </c>
      <c r="I288" t="n">
        <v>0</v>
      </c>
      <c r="J288" t="n">
        <v>0</v>
      </c>
      <c r="K288" t="n">
        <v>0</v>
      </c>
      <c r="L288" t="n">
        <v>0</v>
      </c>
      <c r="M288" t="n">
        <v>0</v>
      </c>
      <c r="N288" t="n">
        <v>0</v>
      </c>
      <c r="O288" t="n">
        <v>0</v>
      </c>
      <c r="P288" t="n">
        <v>0</v>
      </c>
      <c r="Q288" t="n">
        <v>0</v>
      </c>
      <c r="R288" s="2" t="inlineStr"/>
    </row>
    <row r="289" ht="15" customHeight="1">
      <c r="A289" t="inlineStr">
        <is>
          <t>A 57243-2022</t>
        </is>
      </c>
      <c r="B289" s="1" t="n">
        <v>44895.71835648148</v>
      </c>
      <c r="C289" s="1" t="n">
        <v>45995</v>
      </c>
      <c r="D289" t="inlineStr">
        <is>
          <t>ÖREBRO LÄN</t>
        </is>
      </c>
      <c r="E289" t="inlineStr">
        <is>
          <t>ÖREBRO</t>
        </is>
      </c>
      <c r="G289" t="n">
        <v>6</v>
      </c>
      <c r="H289" t="n">
        <v>0</v>
      </c>
      <c r="I289" t="n">
        <v>0</v>
      </c>
      <c r="J289" t="n">
        <v>0</v>
      </c>
      <c r="K289" t="n">
        <v>0</v>
      </c>
      <c r="L289" t="n">
        <v>0</v>
      </c>
      <c r="M289" t="n">
        <v>0</v>
      </c>
      <c r="N289" t="n">
        <v>0</v>
      </c>
      <c r="O289" t="n">
        <v>0</v>
      </c>
      <c r="P289" t="n">
        <v>0</v>
      </c>
      <c r="Q289" t="n">
        <v>0</v>
      </c>
      <c r="R289" s="2" t="inlineStr"/>
    </row>
    <row r="290" ht="15" customHeight="1">
      <c r="A290" t="inlineStr">
        <is>
          <t>A 58621-2024</t>
        </is>
      </c>
      <c r="B290" s="1" t="n">
        <v>45635.56321759259</v>
      </c>
      <c r="C290" s="1" t="n">
        <v>45995</v>
      </c>
      <c r="D290" t="inlineStr">
        <is>
          <t>ÖREBRO LÄN</t>
        </is>
      </c>
      <c r="E290" t="inlineStr">
        <is>
          <t>ÖREBRO</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58216-2024</t>
        </is>
      </c>
      <c r="B291" s="1" t="n">
        <v>45632</v>
      </c>
      <c r="C291" s="1" t="n">
        <v>45995</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54678-2023</t>
        </is>
      </c>
      <c r="B292" s="1" t="n">
        <v>45235</v>
      </c>
      <c r="C292" s="1" t="n">
        <v>45995</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5330-2024</t>
        </is>
      </c>
      <c r="B293" s="1" t="n">
        <v>45331.4187962963</v>
      </c>
      <c r="C293" s="1" t="n">
        <v>45995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45995</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45995</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45995</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6794-2025</t>
        </is>
      </c>
      <c r="B297" s="1" t="n">
        <v>45700.66429398148</v>
      </c>
      <c r="C297" s="1" t="n">
        <v>45995</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541-2025</t>
        </is>
      </c>
      <c r="B298" s="1" t="n">
        <v>45664.52034722222</v>
      </c>
      <c r="C298" s="1" t="n">
        <v>45995</v>
      </c>
      <c r="D298" t="inlineStr">
        <is>
          <t>ÖREBRO LÄN</t>
        </is>
      </c>
      <c r="E298" t="inlineStr">
        <is>
          <t>ÖREBRO</t>
        </is>
      </c>
      <c r="G298" t="n">
        <v>2.2</v>
      </c>
      <c r="H298" t="n">
        <v>0</v>
      </c>
      <c r="I298" t="n">
        <v>0</v>
      </c>
      <c r="J298" t="n">
        <v>0</v>
      </c>
      <c r="K298" t="n">
        <v>0</v>
      </c>
      <c r="L298" t="n">
        <v>0</v>
      </c>
      <c r="M298" t="n">
        <v>0</v>
      </c>
      <c r="N298" t="n">
        <v>0</v>
      </c>
      <c r="O298" t="n">
        <v>0</v>
      </c>
      <c r="P298" t="n">
        <v>0</v>
      </c>
      <c r="Q298" t="n">
        <v>0</v>
      </c>
      <c r="R298" s="2" t="inlineStr"/>
    </row>
    <row r="299" ht="15" customHeight="1">
      <c r="A299" t="inlineStr">
        <is>
          <t>A 19553-2023</t>
        </is>
      </c>
      <c r="B299" s="1" t="n">
        <v>45050</v>
      </c>
      <c r="C299" s="1" t="n">
        <v>45995</v>
      </c>
      <c r="D299" t="inlineStr">
        <is>
          <t>ÖREBRO LÄN</t>
        </is>
      </c>
      <c r="E299" t="inlineStr">
        <is>
          <t>ÖREBRO</t>
        </is>
      </c>
      <c r="G299" t="n">
        <v>2.1</v>
      </c>
      <c r="H299" t="n">
        <v>0</v>
      </c>
      <c r="I299" t="n">
        <v>0</v>
      </c>
      <c r="J299" t="n">
        <v>0</v>
      </c>
      <c r="K299" t="n">
        <v>0</v>
      </c>
      <c r="L299" t="n">
        <v>0</v>
      </c>
      <c r="M299" t="n">
        <v>0</v>
      </c>
      <c r="N299" t="n">
        <v>0</v>
      </c>
      <c r="O299" t="n">
        <v>0</v>
      </c>
      <c r="P299" t="n">
        <v>0</v>
      </c>
      <c r="Q299" t="n">
        <v>0</v>
      </c>
      <c r="R299" s="2" t="inlineStr"/>
    </row>
    <row r="300" ht="15" customHeight="1">
      <c r="A300" t="inlineStr">
        <is>
          <t>A 37025-2024</t>
        </is>
      </c>
      <c r="B300" s="1" t="n">
        <v>45539.3840162037</v>
      </c>
      <c r="C300" s="1" t="n">
        <v>45995</v>
      </c>
      <c r="D300" t="inlineStr">
        <is>
          <t>ÖREBRO LÄN</t>
        </is>
      </c>
      <c r="E300" t="inlineStr">
        <is>
          <t>ÖREBRO</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37027-2024</t>
        </is>
      </c>
      <c r="B301" s="1" t="n">
        <v>45539.38487268519</v>
      </c>
      <c r="C301" s="1" t="n">
        <v>45995</v>
      </c>
      <c r="D301" t="inlineStr">
        <is>
          <t>ÖREBRO LÄN</t>
        </is>
      </c>
      <c r="E301" t="inlineStr">
        <is>
          <t>ÖREBRO</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23594-2023</t>
        </is>
      </c>
      <c r="B302" s="1" t="n">
        <v>45077</v>
      </c>
      <c r="C302" s="1" t="n">
        <v>45995</v>
      </c>
      <c r="D302" t="inlineStr">
        <is>
          <t>ÖREBRO LÄN</t>
        </is>
      </c>
      <c r="E302" t="inlineStr">
        <is>
          <t>ÖREBRO</t>
        </is>
      </c>
      <c r="G302" t="n">
        <v>9.9</v>
      </c>
      <c r="H302" t="n">
        <v>0</v>
      </c>
      <c r="I302" t="n">
        <v>0</v>
      </c>
      <c r="J302" t="n">
        <v>0</v>
      </c>
      <c r="K302" t="n">
        <v>0</v>
      </c>
      <c r="L302" t="n">
        <v>0</v>
      </c>
      <c r="M302" t="n">
        <v>0</v>
      </c>
      <c r="N302" t="n">
        <v>0</v>
      </c>
      <c r="O302" t="n">
        <v>0</v>
      </c>
      <c r="P302" t="n">
        <v>0</v>
      </c>
      <c r="Q302" t="n">
        <v>0</v>
      </c>
      <c r="R302" s="2" t="inlineStr"/>
    </row>
    <row r="303" ht="15" customHeight="1">
      <c r="A303" t="inlineStr">
        <is>
          <t>A 8022-2022</t>
        </is>
      </c>
      <c r="B303" s="1" t="n">
        <v>44609</v>
      </c>
      <c r="C303" s="1" t="n">
        <v>45995</v>
      </c>
      <c r="D303" t="inlineStr">
        <is>
          <t>ÖREBRO LÄN</t>
        </is>
      </c>
      <c r="E303" t="inlineStr">
        <is>
          <t>ÖREBRO</t>
        </is>
      </c>
      <c r="G303" t="n">
        <v>5.6</v>
      </c>
      <c r="H303" t="n">
        <v>0</v>
      </c>
      <c r="I303" t="n">
        <v>0</v>
      </c>
      <c r="J303" t="n">
        <v>0</v>
      </c>
      <c r="K303" t="n">
        <v>0</v>
      </c>
      <c r="L303" t="n">
        <v>0</v>
      </c>
      <c r="M303" t="n">
        <v>0</v>
      </c>
      <c r="N303" t="n">
        <v>0</v>
      </c>
      <c r="O303" t="n">
        <v>0</v>
      </c>
      <c r="P303" t="n">
        <v>0</v>
      </c>
      <c r="Q303" t="n">
        <v>0</v>
      </c>
      <c r="R303" s="2" t="inlineStr"/>
    </row>
    <row r="304" ht="15" customHeight="1">
      <c r="A304" t="inlineStr">
        <is>
          <t>A 47193-2023</t>
        </is>
      </c>
      <c r="B304" s="1" t="n">
        <v>45202.3074537037</v>
      </c>
      <c r="C304" s="1" t="n">
        <v>45995</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58219-2024</t>
        </is>
      </c>
      <c r="B305" s="1" t="n">
        <v>45632</v>
      </c>
      <c r="C305" s="1" t="n">
        <v>45995</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58598-2022</t>
        </is>
      </c>
      <c r="B306" s="1" t="n">
        <v>44902</v>
      </c>
      <c r="C306" s="1" t="n">
        <v>45995</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52135-2025</t>
        </is>
      </c>
      <c r="B307" s="1" t="n">
        <v>45952.84231481481</v>
      </c>
      <c r="C307" s="1" t="n">
        <v>45995</v>
      </c>
      <c r="D307" t="inlineStr">
        <is>
          <t>ÖREBRO LÄN</t>
        </is>
      </c>
      <c r="E307" t="inlineStr">
        <is>
          <t>ÖREBRO</t>
        </is>
      </c>
      <c r="G307" t="n">
        <v>4</v>
      </c>
      <c r="H307" t="n">
        <v>0</v>
      </c>
      <c r="I307" t="n">
        <v>0</v>
      </c>
      <c r="J307" t="n">
        <v>0</v>
      </c>
      <c r="K307" t="n">
        <v>0</v>
      </c>
      <c r="L307" t="n">
        <v>0</v>
      </c>
      <c r="M307" t="n">
        <v>0</v>
      </c>
      <c r="N307" t="n">
        <v>0</v>
      </c>
      <c r="O307" t="n">
        <v>0</v>
      </c>
      <c r="P307" t="n">
        <v>0</v>
      </c>
      <c r="Q307" t="n">
        <v>0</v>
      </c>
      <c r="R307" s="2" t="inlineStr"/>
    </row>
    <row r="308" ht="15" customHeight="1">
      <c r="A308" t="inlineStr">
        <is>
          <t>A 42518-2021</t>
        </is>
      </c>
      <c r="B308" s="1" t="n">
        <v>44427.81496527778</v>
      </c>
      <c r="C308" s="1" t="n">
        <v>45995</v>
      </c>
      <c r="D308" t="inlineStr">
        <is>
          <t>ÖREBRO LÄN</t>
        </is>
      </c>
      <c r="E308" t="inlineStr">
        <is>
          <t>ÖREBRO</t>
        </is>
      </c>
      <c r="G308" t="n">
        <v>4.5</v>
      </c>
      <c r="H308" t="n">
        <v>0</v>
      </c>
      <c r="I308" t="n">
        <v>0</v>
      </c>
      <c r="J308" t="n">
        <v>0</v>
      </c>
      <c r="K308" t="n">
        <v>0</v>
      </c>
      <c r="L308" t="n">
        <v>0</v>
      </c>
      <c r="M308" t="n">
        <v>0</v>
      </c>
      <c r="N308" t="n">
        <v>0</v>
      </c>
      <c r="O308" t="n">
        <v>0</v>
      </c>
      <c r="P308" t="n">
        <v>0</v>
      </c>
      <c r="Q308" t="n">
        <v>0</v>
      </c>
      <c r="R308" s="2" t="inlineStr"/>
    </row>
    <row r="309" ht="15" customHeight="1">
      <c r="A309" t="inlineStr">
        <is>
          <t>A 14545-2023</t>
        </is>
      </c>
      <c r="B309" s="1" t="n">
        <v>45013.34895833334</v>
      </c>
      <c r="C309" s="1" t="n">
        <v>45995</v>
      </c>
      <c r="D309" t="inlineStr">
        <is>
          <t>ÖREBRO LÄN</t>
        </is>
      </c>
      <c r="E309" t="inlineStr">
        <is>
          <t>ÖREBRO</t>
        </is>
      </c>
      <c r="G309" t="n">
        <v>2.5</v>
      </c>
      <c r="H309" t="n">
        <v>0</v>
      </c>
      <c r="I309" t="n">
        <v>0</v>
      </c>
      <c r="J309" t="n">
        <v>0</v>
      </c>
      <c r="K309" t="n">
        <v>0</v>
      </c>
      <c r="L309" t="n">
        <v>0</v>
      </c>
      <c r="M309" t="n">
        <v>0</v>
      </c>
      <c r="N309" t="n">
        <v>0</v>
      </c>
      <c r="O309" t="n">
        <v>0</v>
      </c>
      <c r="P309" t="n">
        <v>0</v>
      </c>
      <c r="Q309" t="n">
        <v>0</v>
      </c>
      <c r="R309" s="2" t="inlineStr"/>
    </row>
    <row r="310" ht="15" customHeight="1">
      <c r="A310" t="inlineStr">
        <is>
          <t>A 71206-2021</t>
        </is>
      </c>
      <c r="B310" s="1" t="n">
        <v>44539</v>
      </c>
      <c r="C310" s="1" t="n">
        <v>45995</v>
      </c>
      <c r="D310" t="inlineStr">
        <is>
          <t>ÖREBRO LÄN</t>
        </is>
      </c>
      <c r="E310" t="inlineStr">
        <is>
          <t>ÖREBRO</t>
        </is>
      </c>
      <c r="G310" t="n">
        <v>2.5</v>
      </c>
      <c r="H310" t="n">
        <v>0</v>
      </c>
      <c r="I310" t="n">
        <v>0</v>
      </c>
      <c r="J310" t="n">
        <v>0</v>
      </c>
      <c r="K310" t="n">
        <v>0</v>
      </c>
      <c r="L310" t="n">
        <v>0</v>
      </c>
      <c r="M310" t="n">
        <v>0</v>
      </c>
      <c r="N310" t="n">
        <v>0</v>
      </c>
      <c r="O310" t="n">
        <v>0</v>
      </c>
      <c r="P310" t="n">
        <v>0</v>
      </c>
      <c r="Q310" t="n">
        <v>0</v>
      </c>
      <c r="R310" s="2" t="inlineStr"/>
    </row>
    <row r="311" ht="15" customHeight="1">
      <c r="A311" t="inlineStr">
        <is>
          <t>A 27112-2023</t>
        </is>
      </c>
      <c r="B311" s="1" t="n">
        <v>45096</v>
      </c>
      <c r="C311" s="1" t="n">
        <v>45995</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14524-2025</t>
        </is>
      </c>
      <c r="B312" s="1" t="n">
        <v>45741.64815972222</v>
      </c>
      <c r="C312" s="1" t="n">
        <v>45995</v>
      </c>
      <c r="D312" t="inlineStr">
        <is>
          <t>ÖREBRO LÄN</t>
        </is>
      </c>
      <c r="E312" t="inlineStr">
        <is>
          <t>ÖREBRO</t>
        </is>
      </c>
      <c r="G312" t="n">
        <v>2.8</v>
      </c>
      <c r="H312" t="n">
        <v>0</v>
      </c>
      <c r="I312" t="n">
        <v>0</v>
      </c>
      <c r="J312" t="n">
        <v>0</v>
      </c>
      <c r="K312" t="n">
        <v>0</v>
      </c>
      <c r="L312" t="n">
        <v>0</v>
      </c>
      <c r="M312" t="n">
        <v>0</v>
      </c>
      <c r="N312" t="n">
        <v>0</v>
      </c>
      <c r="O312" t="n">
        <v>0</v>
      </c>
      <c r="P312" t="n">
        <v>0</v>
      </c>
      <c r="Q312" t="n">
        <v>0</v>
      </c>
      <c r="R312" s="2" t="inlineStr"/>
    </row>
    <row r="313" ht="15" customHeight="1">
      <c r="A313" t="inlineStr">
        <is>
          <t>A 46834-2022</t>
        </is>
      </c>
      <c r="B313" s="1" t="n">
        <v>44851</v>
      </c>
      <c r="C313" s="1" t="n">
        <v>45995</v>
      </c>
      <c r="D313" t="inlineStr">
        <is>
          <t>ÖREBRO LÄN</t>
        </is>
      </c>
      <c r="E313" t="inlineStr">
        <is>
          <t>ÖREBRO</t>
        </is>
      </c>
      <c r="G313" t="n">
        <v>1.6</v>
      </c>
      <c r="H313" t="n">
        <v>0</v>
      </c>
      <c r="I313" t="n">
        <v>0</v>
      </c>
      <c r="J313" t="n">
        <v>0</v>
      </c>
      <c r="K313" t="n">
        <v>0</v>
      </c>
      <c r="L313" t="n">
        <v>0</v>
      </c>
      <c r="M313" t="n">
        <v>0</v>
      </c>
      <c r="N313" t="n">
        <v>0</v>
      </c>
      <c r="O313" t="n">
        <v>0</v>
      </c>
      <c r="P313" t="n">
        <v>0</v>
      </c>
      <c r="Q313" t="n">
        <v>0</v>
      </c>
      <c r="R313" s="2" t="inlineStr"/>
    </row>
    <row r="314" ht="15" customHeight="1">
      <c r="A314" t="inlineStr">
        <is>
          <t>A 16739-2022</t>
        </is>
      </c>
      <c r="B314" s="1" t="n">
        <v>44673</v>
      </c>
      <c r="C314" s="1" t="n">
        <v>45995</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57638-2022</t>
        </is>
      </c>
      <c r="B315" s="1" t="n">
        <v>44897</v>
      </c>
      <c r="C315" s="1" t="n">
        <v>45995</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52382-2025</t>
        </is>
      </c>
      <c r="B316" s="1" t="n">
        <v>45953.9559837963</v>
      </c>
      <c r="C316" s="1" t="n">
        <v>45995</v>
      </c>
      <c r="D316" t="inlineStr">
        <is>
          <t>ÖREBRO LÄN</t>
        </is>
      </c>
      <c r="E316" t="inlineStr">
        <is>
          <t>ÖREBRO</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3-2024</t>
        </is>
      </c>
      <c r="B317" s="1" t="n">
        <v>45292</v>
      </c>
      <c r="C317" s="1" t="n">
        <v>45995</v>
      </c>
      <c r="D317" t="inlineStr">
        <is>
          <t>ÖREBRO LÄN</t>
        </is>
      </c>
      <c r="E317" t="inlineStr">
        <is>
          <t>ÖREBRO</t>
        </is>
      </c>
      <c r="G317" t="n">
        <v>2.7</v>
      </c>
      <c r="H317" t="n">
        <v>0</v>
      </c>
      <c r="I317" t="n">
        <v>0</v>
      </c>
      <c r="J317" t="n">
        <v>0</v>
      </c>
      <c r="K317" t="n">
        <v>0</v>
      </c>
      <c r="L317" t="n">
        <v>0</v>
      </c>
      <c r="M317" t="n">
        <v>0</v>
      </c>
      <c r="N317" t="n">
        <v>0</v>
      </c>
      <c r="O317" t="n">
        <v>0</v>
      </c>
      <c r="P317" t="n">
        <v>0</v>
      </c>
      <c r="Q317" t="n">
        <v>0</v>
      </c>
      <c r="R317" s="2" t="inlineStr"/>
    </row>
    <row r="318" ht="15" customHeight="1">
      <c r="A318" t="inlineStr">
        <is>
          <t>A 2152-2023</t>
        </is>
      </c>
      <c r="B318" s="1" t="n">
        <v>44941.55056712963</v>
      </c>
      <c r="C318" s="1" t="n">
        <v>45995</v>
      </c>
      <c r="D318" t="inlineStr">
        <is>
          <t>ÖREBRO LÄN</t>
        </is>
      </c>
      <c r="E318" t="inlineStr">
        <is>
          <t>ÖREBRO</t>
        </is>
      </c>
      <c r="G318" t="n">
        <v>8</v>
      </c>
      <c r="H318" t="n">
        <v>0</v>
      </c>
      <c r="I318" t="n">
        <v>0</v>
      </c>
      <c r="J318" t="n">
        <v>0</v>
      </c>
      <c r="K318" t="n">
        <v>0</v>
      </c>
      <c r="L318" t="n">
        <v>0</v>
      </c>
      <c r="M318" t="n">
        <v>0</v>
      </c>
      <c r="N318" t="n">
        <v>0</v>
      </c>
      <c r="O318" t="n">
        <v>0</v>
      </c>
      <c r="P318" t="n">
        <v>0</v>
      </c>
      <c r="Q318" t="n">
        <v>0</v>
      </c>
      <c r="R318" s="2" t="inlineStr"/>
    </row>
    <row r="319" ht="15" customHeight="1">
      <c r="A319" t="inlineStr">
        <is>
          <t>A 9379-2024</t>
        </is>
      </c>
      <c r="B319" s="1" t="n">
        <v>45359.37298611111</v>
      </c>
      <c r="C319" s="1" t="n">
        <v>45995</v>
      </c>
      <c r="D319" t="inlineStr">
        <is>
          <t>ÖREBRO LÄN</t>
        </is>
      </c>
      <c r="E319" t="inlineStr">
        <is>
          <t>ÖREBRO</t>
        </is>
      </c>
      <c r="G319" t="n">
        <v>2.4</v>
      </c>
      <c r="H319" t="n">
        <v>0</v>
      </c>
      <c r="I319" t="n">
        <v>0</v>
      </c>
      <c r="J319" t="n">
        <v>0</v>
      </c>
      <c r="K319" t="n">
        <v>0</v>
      </c>
      <c r="L319" t="n">
        <v>0</v>
      </c>
      <c r="M319" t="n">
        <v>0</v>
      </c>
      <c r="N319" t="n">
        <v>0</v>
      </c>
      <c r="O319" t="n">
        <v>0</v>
      </c>
      <c r="P319" t="n">
        <v>0</v>
      </c>
      <c r="Q319" t="n">
        <v>0</v>
      </c>
      <c r="R319" s="2" t="inlineStr"/>
    </row>
    <row r="320" ht="15" customHeight="1">
      <c r="A320" t="inlineStr">
        <is>
          <t>A 5398-2022</t>
        </is>
      </c>
      <c r="B320" s="1" t="n">
        <v>44595.3353587963</v>
      </c>
      <c r="C320" s="1" t="n">
        <v>45995</v>
      </c>
      <c r="D320" t="inlineStr">
        <is>
          <t>ÖREBRO LÄN</t>
        </is>
      </c>
      <c r="E320" t="inlineStr">
        <is>
          <t>ÖREBRO</t>
        </is>
      </c>
      <c r="G320" t="n">
        <v>2.1</v>
      </c>
      <c r="H320" t="n">
        <v>0</v>
      </c>
      <c r="I320" t="n">
        <v>0</v>
      </c>
      <c r="J320" t="n">
        <v>0</v>
      </c>
      <c r="K320" t="n">
        <v>0</v>
      </c>
      <c r="L320" t="n">
        <v>0</v>
      </c>
      <c r="M320" t="n">
        <v>0</v>
      </c>
      <c r="N320" t="n">
        <v>0</v>
      </c>
      <c r="O320" t="n">
        <v>0</v>
      </c>
      <c r="P320" t="n">
        <v>0</v>
      </c>
      <c r="Q320" t="n">
        <v>0</v>
      </c>
      <c r="R320" s="2" t="inlineStr"/>
    </row>
    <row r="321" ht="15" customHeight="1">
      <c r="A321" t="inlineStr">
        <is>
          <t>A 55745-2023</t>
        </is>
      </c>
      <c r="B321" s="1" t="n">
        <v>45239.44811342593</v>
      </c>
      <c r="C321" s="1" t="n">
        <v>45995</v>
      </c>
      <c r="D321" t="inlineStr">
        <is>
          <t>ÖREBRO LÄN</t>
        </is>
      </c>
      <c r="E321" t="inlineStr">
        <is>
          <t>ÖREBRO</t>
        </is>
      </c>
      <c r="G321" t="n">
        <v>13.3</v>
      </c>
      <c r="H321" t="n">
        <v>0</v>
      </c>
      <c r="I321" t="n">
        <v>0</v>
      </c>
      <c r="J321" t="n">
        <v>0</v>
      </c>
      <c r="K321" t="n">
        <v>0</v>
      </c>
      <c r="L321" t="n">
        <v>0</v>
      </c>
      <c r="M321" t="n">
        <v>0</v>
      </c>
      <c r="N321" t="n">
        <v>0</v>
      </c>
      <c r="O321" t="n">
        <v>0</v>
      </c>
      <c r="P321" t="n">
        <v>0</v>
      </c>
      <c r="Q321" t="n">
        <v>0</v>
      </c>
      <c r="R321" s="2" t="inlineStr"/>
    </row>
    <row r="322" ht="15" customHeight="1">
      <c r="A322" t="inlineStr">
        <is>
          <t>A 71285-2021</t>
        </is>
      </c>
      <c r="B322" s="1" t="n">
        <v>44539.62236111111</v>
      </c>
      <c r="C322" s="1" t="n">
        <v>45995</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41995-2024</t>
        </is>
      </c>
      <c r="B323" s="1" t="n">
        <v>45561.6475462963</v>
      </c>
      <c r="C323" s="1" t="n">
        <v>45995</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5619-2023</t>
        </is>
      </c>
      <c r="B324" s="1" t="n">
        <v>44958</v>
      </c>
      <c r="C324" s="1" t="n">
        <v>45995</v>
      </c>
      <c r="D324" t="inlineStr">
        <is>
          <t>ÖREBRO LÄN</t>
        </is>
      </c>
      <c r="E324" t="inlineStr">
        <is>
          <t>ÖREBRO</t>
        </is>
      </c>
      <c r="G324" t="n">
        <v>27</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45995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45995</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2318-2023</t>
        </is>
      </c>
      <c r="B327" s="1" t="n">
        <v>44942</v>
      </c>
      <c r="C327" s="1" t="n">
        <v>45995</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60289-2023</t>
        </is>
      </c>
      <c r="B328" s="1" t="n">
        <v>45257</v>
      </c>
      <c r="C328" s="1" t="n">
        <v>45995</v>
      </c>
      <c r="D328" t="inlineStr">
        <is>
          <t>ÖREBRO LÄN</t>
        </is>
      </c>
      <c r="E328" t="inlineStr">
        <is>
          <t>ÖREBRO</t>
        </is>
      </c>
      <c r="G328" t="n">
        <v>10.9</v>
      </c>
      <c r="H328" t="n">
        <v>0</v>
      </c>
      <c r="I328" t="n">
        <v>0</v>
      </c>
      <c r="J328" t="n">
        <v>0</v>
      </c>
      <c r="K328" t="n">
        <v>0</v>
      </c>
      <c r="L328" t="n">
        <v>0</v>
      </c>
      <c r="M328" t="n">
        <v>0</v>
      </c>
      <c r="N328" t="n">
        <v>0</v>
      </c>
      <c r="O328" t="n">
        <v>0</v>
      </c>
      <c r="P328" t="n">
        <v>0</v>
      </c>
      <c r="Q328" t="n">
        <v>0</v>
      </c>
      <c r="R328" s="2" t="inlineStr"/>
    </row>
    <row r="329" ht="15" customHeight="1">
      <c r="A329" t="inlineStr">
        <is>
          <t>A 12099-2023</t>
        </is>
      </c>
      <c r="B329" s="1" t="n">
        <v>44998.37043981482</v>
      </c>
      <c r="C329" s="1" t="n">
        <v>45995</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5764-2022</t>
        </is>
      </c>
      <c r="B330" s="1" t="n">
        <v>44596</v>
      </c>
      <c r="C330" s="1" t="n">
        <v>45995</v>
      </c>
      <c r="D330" t="inlineStr">
        <is>
          <t>ÖREBRO LÄN</t>
        </is>
      </c>
      <c r="E330" t="inlineStr">
        <is>
          <t>ÖREBRO</t>
        </is>
      </c>
      <c r="G330" t="n">
        <v>3.5</v>
      </c>
      <c r="H330" t="n">
        <v>0</v>
      </c>
      <c r="I330" t="n">
        <v>0</v>
      </c>
      <c r="J330" t="n">
        <v>0</v>
      </c>
      <c r="K330" t="n">
        <v>0</v>
      </c>
      <c r="L330" t="n">
        <v>0</v>
      </c>
      <c r="M330" t="n">
        <v>0</v>
      </c>
      <c r="N330" t="n">
        <v>0</v>
      </c>
      <c r="O330" t="n">
        <v>0</v>
      </c>
      <c r="P330" t="n">
        <v>0</v>
      </c>
      <c r="Q330" t="n">
        <v>0</v>
      </c>
      <c r="R330" s="2" t="inlineStr"/>
    </row>
    <row r="331" ht="15" customHeight="1">
      <c r="A331" t="inlineStr">
        <is>
          <t>A 45027-2024</t>
        </is>
      </c>
      <c r="B331" s="1" t="n">
        <v>45575</v>
      </c>
      <c r="C331" s="1" t="n">
        <v>45995</v>
      </c>
      <c r="D331" t="inlineStr">
        <is>
          <t>ÖREBRO LÄN</t>
        </is>
      </c>
      <c r="E331" t="inlineStr">
        <is>
          <t>ÖREBRO</t>
        </is>
      </c>
      <c r="G331" t="n">
        <v>6.3</v>
      </c>
      <c r="H331" t="n">
        <v>0</v>
      </c>
      <c r="I331" t="n">
        <v>0</v>
      </c>
      <c r="J331" t="n">
        <v>0</v>
      </c>
      <c r="K331" t="n">
        <v>0</v>
      </c>
      <c r="L331" t="n">
        <v>0</v>
      </c>
      <c r="M331" t="n">
        <v>0</v>
      </c>
      <c r="N331" t="n">
        <v>0</v>
      </c>
      <c r="O331" t="n">
        <v>0</v>
      </c>
      <c r="P331" t="n">
        <v>0</v>
      </c>
      <c r="Q331" t="n">
        <v>0</v>
      </c>
      <c r="R331" s="2" t="inlineStr"/>
    </row>
    <row r="332" ht="15" customHeight="1">
      <c r="A332" t="inlineStr">
        <is>
          <t>A 40051-2024</t>
        </is>
      </c>
      <c r="B332" s="1" t="n">
        <v>45553</v>
      </c>
      <c r="C332" s="1" t="n">
        <v>45995</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41543-2024</t>
        </is>
      </c>
      <c r="B333" s="1" t="n">
        <v>45560</v>
      </c>
      <c r="C333" s="1" t="n">
        <v>45995</v>
      </c>
      <c r="D333" t="inlineStr">
        <is>
          <t>ÖREBRO LÄN</t>
        </is>
      </c>
      <c r="E333" t="inlineStr">
        <is>
          <t>ÖREBRO</t>
        </is>
      </c>
      <c r="G333" t="n">
        <v>2.8</v>
      </c>
      <c r="H333" t="n">
        <v>0</v>
      </c>
      <c r="I333" t="n">
        <v>0</v>
      </c>
      <c r="J333" t="n">
        <v>0</v>
      </c>
      <c r="K333" t="n">
        <v>0</v>
      </c>
      <c r="L333" t="n">
        <v>0</v>
      </c>
      <c r="M333" t="n">
        <v>0</v>
      </c>
      <c r="N333" t="n">
        <v>0</v>
      </c>
      <c r="O333" t="n">
        <v>0</v>
      </c>
      <c r="P333" t="n">
        <v>0</v>
      </c>
      <c r="Q333" t="n">
        <v>0</v>
      </c>
      <c r="R333" s="2" t="inlineStr"/>
    </row>
    <row r="334" ht="15" customHeight="1">
      <c r="A334" t="inlineStr">
        <is>
          <t>A 10799-2024</t>
        </is>
      </c>
      <c r="B334" s="1" t="n">
        <v>45369</v>
      </c>
      <c r="C334" s="1" t="n">
        <v>45995</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58277-2022</t>
        </is>
      </c>
      <c r="B335" s="1" t="n">
        <v>44901.48108796297</v>
      </c>
      <c r="C335" s="1" t="n">
        <v>45995</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16694-2025</t>
        </is>
      </c>
      <c r="B336" s="1" t="n">
        <v>45754.46480324074</v>
      </c>
      <c r="C336" s="1" t="n">
        <v>45995</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49465-2024</t>
        </is>
      </c>
      <c r="B337" s="1" t="n">
        <v>45596</v>
      </c>
      <c r="C337" s="1" t="n">
        <v>45995</v>
      </c>
      <c r="D337" t="inlineStr">
        <is>
          <t>ÖREBRO LÄN</t>
        </is>
      </c>
      <c r="E337" t="inlineStr">
        <is>
          <t>ÖREBRO</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30743-2025</t>
        </is>
      </c>
      <c r="B338" s="1" t="n">
        <v>45831</v>
      </c>
      <c r="C338" s="1" t="n">
        <v>45995</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31906-2023</t>
        </is>
      </c>
      <c r="B339" s="1" t="n">
        <v>45118.8353125</v>
      </c>
      <c r="C339" s="1" t="n">
        <v>45995</v>
      </c>
      <c r="D339" t="inlineStr">
        <is>
          <t>ÖREBRO LÄN</t>
        </is>
      </c>
      <c r="E339" t="inlineStr">
        <is>
          <t>ÖREBRO</t>
        </is>
      </c>
      <c r="G339" t="n">
        <v>9</v>
      </c>
      <c r="H339" t="n">
        <v>0</v>
      </c>
      <c r="I339" t="n">
        <v>0</v>
      </c>
      <c r="J339" t="n">
        <v>0</v>
      </c>
      <c r="K339" t="n">
        <v>0</v>
      </c>
      <c r="L339" t="n">
        <v>0</v>
      </c>
      <c r="M339" t="n">
        <v>0</v>
      </c>
      <c r="N339" t="n">
        <v>0</v>
      </c>
      <c r="O339" t="n">
        <v>0</v>
      </c>
      <c r="P339" t="n">
        <v>0</v>
      </c>
      <c r="Q339" t="n">
        <v>0</v>
      </c>
      <c r="R339" s="2" t="inlineStr"/>
    </row>
    <row r="340" ht="15" customHeight="1">
      <c r="A340" t="inlineStr">
        <is>
          <t>A 53443-2025</t>
        </is>
      </c>
      <c r="B340" s="1" t="n">
        <v>45959.6444675926</v>
      </c>
      <c r="C340" s="1" t="n">
        <v>45995</v>
      </c>
      <c r="D340" t="inlineStr">
        <is>
          <t>ÖREBRO LÄN</t>
        </is>
      </c>
      <c r="E340" t="inlineStr">
        <is>
          <t>ÖREBRO</t>
        </is>
      </c>
      <c r="G340" t="n">
        <v>2.8</v>
      </c>
      <c r="H340" t="n">
        <v>0</v>
      </c>
      <c r="I340" t="n">
        <v>0</v>
      </c>
      <c r="J340" t="n">
        <v>0</v>
      </c>
      <c r="K340" t="n">
        <v>0</v>
      </c>
      <c r="L340" t="n">
        <v>0</v>
      </c>
      <c r="M340" t="n">
        <v>0</v>
      </c>
      <c r="N340" t="n">
        <v>0</v>
      </c>
      <c r="O340" t="n">
        <v>0</v>
      </c>
      <c r="P340" t="n">
        <v>0</v>
      </c>
      <c r="Q340" t="n">
        <v>0</v>
      </c>
      <c r="R340" s="2" t="inlineStr"/>
    </row>
    <row r="341" ht="15" customHeight="1">
      <c r="A341" t="inlineStr">
        <is>
          <t>A 5578-2024</t>
        </is>
      </c>
      <c r="B341" s="1" t="n">
        <v>45334.49104166667</v>
      </c>
      <c r="C341" s="1" t="n">
        <v>45995</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44875-2025</t>
        </is>
      </c>
      <c r="B342" s="1" t="n">
        <v>45918.47043981482</v>
      </c>
      <c r="C342" s="1" t="n">
        <v>45995</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53350-2025</t>
        </is>
      </c>
      <c r="B343" s="1" t="n">
        <v>45959.43827546296</v>
      </c>
      <c r="C343" s="1" t="n">
        <v>45995</v>
      </c>
      <c r="D343" t="inlineStr">
        <is>
          <t>ÖREBRO LÄN</t>
        </is>
      </c>
      <c r="E343" t="inlineStr">
        <is>
          <t>ÖREBRO</t>
        </is>
      </c>
      <c r="G343" t="n">
        <v>4.1</v>
      </c>
      <c r="H343" t="n">
        <v>0</v>
      </c>
      <c r="I343" t="n">
        <v>0</v>
      </c>
      <c r="J343" t="n">
        <v>0</v>
      </c>
      <c r="K343" t="n">
        <v>0</v>
      </c>
      <c r="L343" t="n">
        <v>0</v>
      </c>
      <c r="M343" t="n">
        <v>0</v>
      </c>
      <c r="N343" t="n">
        <v>0</v>
      </c>
      <c r="O343" t="n">
        <v>0</v>
      </c>
      <c r="P343" t="n">
        <v>0</v>
      </c>
      <c r="Q343" t="n">
        <v>0</v>
      </c>
      <c r="R343" s="2" t="inlineStr"/>
    </row>
    <row r="344" ht="15" customHeight="1">
      <c r="A344" t="inlineStr">
        <is>
          <t>A 53715-2025</t>
        </is>
      </c>
      <c r="B344" s="1" t="n">
        <v>45960.61763888889</v>
      </c>
      <c r="C344" s="1" t="n">
        <v>45995</v>
      </c>
      <c r="D344" t="inlineStr">
        <is>
          <t>ÖREBRO LÄN</t>
        </is>
      </c>
      <c r="E344" t="inlineStr">
        <is>
          <t>ÖREBRO</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45995</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53343-2025</t>
        </is>
      </c>
      <c r="B346" s="1" t="n">
        <v>45959.42025462963</v>
      </c>
      <c r="C346" s="1" t="n">
        <v>45995</v>
      </c>
      <c r="D346" t="inlineStr">
        <is>
          <t>ÖREBRO LÄN</t>
        </is>
      </c>
      <c r="E346" t="inlineStr">
        <is>
          <t>ÖREBRO</t>
        </is>
      </c>
      <c r="G346" t="n">
        <v>0.5</v>
      </c>
      <c r="H346" t="n">
        <v>0</v>
      </c>
      <c r="I346" t="n">
        <v>0</v>
      </c>
      <c r="J346" t="n">
        <v>0</v>
      </c>
      <c r="K346" t="n">
        <v>0</v>
      </c>
      <c r="L346" t="n">
        <v>0</v>
      </c>
      <c r="M346" t="n">
        <v>0</v>
      </c>
      <c r="N346" t="n">
        <v>0</v>
      </c>
      <c r="O346" t="n">
        <v>0</v>
      </c>
      <c r="P346" t="n">
        <v>0</v>
      </c>
      <c r="Q346" t="n">
        <v>0</v>
      </c>
      <c r="R346" s="2" t="inlineStr"/>
    </row>
    <row r="347" ht="15" customHeight="1">
      <c r="A347" t="inlineStr">
        <is>
          <t>A 10937-2024</t>
        </is>
      </c>
      <c r="B347" s="1" t="n">
        <v>45370.44461805555</v>
      </c>
      <c r="C347" s="1" t="n">
        <v>45995</v>
      </c>
      <c r="D347" t="inlineStr">
        <is>
          <t>ÖREBRO LÄN</t>
        </is>
      </c>
      <c r="E347" t="inlineStr">
        <is>
          <t>ÖREBRO</t>
        </is>
      </c>
      <c r="G347" t="n">
        <v>4.3</v>
      </c>
      <c r="H347" t="n">
        <v>0</v>
      </c>
      <c r="I347" t="n">
        <v>0</v>
      </c>
      <c r="J347" t="n">
        <v>0</v>
      </c>
      <c r="K347" t="n">
        <v>0</v>
      </c>
      <c r="L347" t="n">
        <v>0</v>
      </c>
      <c r="M347" t="n">
        <v>0</v>
      </c>
      <c r="N347" t="n">
        <v>0</v>
      </c>
      <c r="O347" t="n">
        <v>0</v>
      </c>
      <c r="P347" t="n">
        <v>0</v>
      </c>
      <c r="Q347" t="n">
        <v>0</v>
      </c>
      <c r="R347" s="2" t="inlineStr"/>
    </row>
    <row r="348" ht="15" customHeight="1">
      <c r="A348" t="inlineStr">
        <is>
          <t>A 22079-2023</t>
        </is>
      </c>
      <c r="B348" s="1" t="n">
        <v>45069</v>
      </c>
      <c r="C348" s="1" t="n">
        <v>45995</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59121-2024</t>
        </is>
      </c>
      <c r="B349" s="1" t="n">
        <v>45637.37755787037</v>
      </c>
      <c r="C349" s="1" t="n">
        <v>45995</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49215-2023</t>
        </is>
      </c>
      <c r="B350" s="1" t="n">
        <v>45210.61050925926</v>
      </c>
      <c r="C350" s="1" t="n">
        <v>45995</v>
      </c>
      <c r="D350" t="inlineStr">
        <is>
          <t>ÖREBRO LÄN</t>
        </is>
      </c>
      <c r="E350" t="inlineStr">
        <is>
          <t>ÖREBRO</t>
        </is>
      </c>
      <c r="F350" t="inlineStr">
        <is>
          <t>Övriga Aktiebolag</t>
        </is>
      </c>
      <c r="G350" t="n">
        <v>4.2</v>
      </c>
      <c r="H350" t="n">
        <v>0</v>
      </c>
      <c r="I350" t="n">
        <v>0</v>
      </c>
      <c r="J350" t="n">
        <v>0</v>
      </c>
      <c r="K350" t="n">
        <v>0</v>
      </c>
      <c r="L350" t="n">
        <v>0</v>
      </c>
      <c r="M350" t="n">
        <v>0</v>
      </c>
      <c r="N350" t="n">
        <v>0</v>
      </c>
      <c r="O350" t="n">
        <v>0</v>
      </c>
      <c r="P350" t="n">
        <v>0</v>
      </c>
      <c r="Q350" t="n">
        <v>0</v>
      </c>
      <c r="R350" s="2" t="inlineStr"/>
    </row>
    <row r="351" ht="15" customHeight="1">
      <c r="A351" t="inlineStr">
        <is>
          <t>A 52447-2024</t>
        </is>
      </c>
      <c r="B351" s="1" t="n">
        <v>45609.49157407408</v>
      </c>
      <c r="C351" s="1" t="n">
        <v>45995</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17983-2025</t>
        </is>
      </c>
      <c r="B352" s="1" t="n">
        <v>45761.38829861111</v>
      </c>
      <c r="C352" s="1" t="n">
        <v>45995</v>
      </c>
      <c r="D352" t="inlineStr">
        <is>
          <t>ÖREBRO LÄN</t>
        </is>
      </c>
      <c r="E352" t="inlineStr">
        <is>
          <t>ÖREBRO</t>
        </is>
      </c>
      <c r="G352" t="n">
        <v>0.8</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45995</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3841-2023</t>
        </is>
      </c>
      <c r="B354" s="1" t="n">
        <v>44951</v>
      </c>
      <c r="C354" s="1" t="n">
        <v>45995</v>
      </c>
      <c r="D354" t="inlineStr">
        <is>
          <t>ÖREBRO LÄN</t>
        </is>
      </c>
      <c r="E354" t="inlineStr">
        <is>
          <t>ÖREBRO</t>
        </is>
      </c>
      <c r="G354" t="n">
        <v>4.3</v>
      </c>
      <c r="H354" t="n">
        <v>0</v>
      </c>
      <c r="I354" t="n">
        <v>0</v>
      </c>
      <c r="J354" t="n">
        <v>0</v>
      </c>
      <c r="K354" t="n">
        <v>0</v>
      </c>
      <c r="L354" t="n">
        <v>0</v>
      </c>
      <c r="M354" t="n">
        <v>0</v>
      </c>
      <c r="N354" t="n">
        <v>0</v>
      </c>
      <c r="O354" t="n">
        <v>0</v>
      </c>
      <c r="P354" t="n">
        <v>0</v>
      </c>
      <c r="Q354" t="n">
        <v>0</v>
      </c>
      <c r="R354" s="2" t="inlineStr"/>
    </row>
    <row r="355" ht="15" customHeight="1">
      <c r="A355" t="inlineStr">
        <is>
          <t>A 44960-2025</t>
        </is>
      </c>
      <c r="B355" s="1" t="n">
        <v>45918.61577546296</v>
      </c>
      <c r="C355" s="1" t="n">
        <v>45995</v>
      </c>
      <c r="D355" t="inlineStr">
        <is>
          <t>ÖREBRO LÄN</t>
        </is>
      </c>
      <c r="E355" t="inlineStr">
        <is>
          <t>ÖREBRO</t>
        </is>
      </c>
      <c r="G355" t="n">
        <v>1.5</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45995</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53437-2025</t>
        </is>
      </c>
      <c r="B357" s="1" t="n">
        <v>45959.63440972222</v>
      </c>
      <c r="C357" s="1" t="n">
        <v>45995</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8571-2021</t>
        </is>
      </c>
      <c r="B358" s="1" t="n">
        <v>44245</v>
      </c>
      <c r="C358" s="1" t="n">
        <v>45995</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38489-2023</t>
        </is>
      </c>
      <c r="B359" s="1" t="n">
        <v>45162</v>
      </c>
      <c r="C359" s="1" t="n">
        <v>45995</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55692-2023</t>
        </is>
      </c>
      <c r="B360" s="1" t="n">
        <v>45239</v>
      </c>
      <c r="C360" s="1" t="n">
        <v>45995</v>
      </c>
      <c r="D360" t="inlineStr">
        <is>
          <t>ÖREBRO LÄN</t>
        </is>
      </c>
      <c r="E360" t="inlineStr">
        <is>
          <t>ÖREBRO</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70719-2021</t>
        </is>
      </c>
      <c r="B361" s="1" t="n">
        <v>44537</v>
      </c>
      <c r="C361" s="1" t="n">
        <v>45995</v>
      </c>
      <c r="D361" t="inlineStr">
        <is>
          <t>ÖREBRO LÄN</t>
        </is>
      </c>
      <c r="E361" t="inlineStr">
        <is>
          <t>ÖREBRO</t>
        </is>
      </c>
      <c r="G361" t="n">
        <v>4.3</v>
      </c>
      <c r="H361" t="n">
        <v>0</v>
      </c>
      <c r="I361" t="n">
        <v>0</v>
      </c>
      <c r="J361" t="n">
        <v>0</v>
      </c>
      <c r="K361" t="n">
        <v>0</v>
      </c>
      <c r="L361" t="n">
        <v>0</v>
      </c>
      <c r="M361" t="n">
        <v>0</v>
      </c>
      <c r="N361" t="n">
        <v>0</v>
      </c>
      <c r="O361" t="n">
        <v>0</v>
      </c>
      <c r="P361" t="n">
        <v>0</v>
      </c>
      <c r="Q361" t="n">
        <v>0</v>
      </c>
      <c r="R361" s="2" t="inlineStr"/>
    </row>
    <row r="362" ht="15" customHeight="1">
      <c r="A362" t="inlineStr">
        <is>
          <t>A 38573-2023</t>
        </is>
      </c>
      <c r="B362" s="1" t="n">
        <v>45162.61837962963</v>
      </c>
      <c r="C362" s="1" t="n">
        <v>45995</v>
      </c>
      <c r="D362" t="inlineStr">
        <is>
          <t>ÖREBRO LÄN</t>
        </is>
      </c>
      <c r="E362" t="inlineStr">
        <is>
          <t>ÖREBRO</t>
        </is>
      </c>
      <c r="G362" t="n">
        <v>2.2</v>
      </c>
      <c r="H362" t="n">
        <v>0</v>
      </c>
      <c r="I362" t="n">
        <v>0</v>
      </c>
      <c r="J362" t="n">
        <v>0</v>
      </c>
      <c r="K362" t="n">
        <v>0</v>
      </c>
      <c r="L362" t="n">
        <v>0</v>
      </c>
      <c r="M362" t="n">
        <v>0</v>
      </c>
      <c r="N362" t="n">
        <v>0</v>
      </c>
      <c r="O362" t="n">
        <v>0</v>
      </c>
      <c r="P362" t="n">
        <v>0</v>
      </c>
      <c r="Q362" t="n">
        <v>0</v>
      </c>
      <c r="R362" s="2" t="inlineStr"/>
    </row>
    <row r="363" ht="15" customHeight="1">
      <c r="A363" t="inlineStr">
        <is>
          <t>A 14715-2024</t>
        </is>
      </c>
      <c r="B363" s="1" t="n">
        <v>45397.5500462963</v>
      </c>
      <c r="C363" s="1" t="n">
        <v>45995</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4757-2024</t>
        </is>
      </c>
      <c r="B364" s="1" t="n">
        <v>45328</v>
      </c>
      <c r="C364" s="1" t="n">
        <v>45995</v>
      </c>
      <c r="D364" t="inlineStr">
        <is>
          <t>ÖREBRO LÄN</t>
        </is>
      </c>
      <c r="E364" t="inlineStr">
        <is>
          <t>ÖREBRO</t>
        </is>
      </c>
      <c r="G364" t="n">
        <v>1.9</v>
      </c>
      <c r="H364" t="n">
        <v>0</v>
      </c>
      <c r="I364" t="n">
        <v>0</v>
      </c>
      <c r="J364" t="n">
        <v>0</v>
      </c>
      <c r="K364" t="n">
        <v>0</v>
      </c>
      <c r="L364" t="n">
        <v>0</v>
      </c>
      <c r="M364" t="n">
        <v>0</v>
      </c>
      <c r="N364" t="n">
        <v>0</v>
      </c>
      <c r="O364" t="n">
        <v>0</v>
      </c>
      <c r="P364" t="n">
        <v>0</v>
      </c>
      <c r="Q364" t="n">
        <v>0</v>
      </c>
      <c r="R364" s="2" t="inlineStr"/>
    </row>
    <row r="365" ht="15" customHeight="1">
      <c r="A365" t="inlineStr">
        <is>
          <t>A 54205-2025</t>
        </is>
      </c>
      <c r="B365" s="1" t="n">
        <v>45964.58512731481</v>
      </c>
      <c r="C365" s="1" t="n">
        <v>45995</v>
      </c>
      <c r="D365" t="inlineStr">
        <is>
          <t>ÖREBRO LÄN</t>
        </is>
      </c>
      <c r="E365" t="inlineStr">
        <is>
          <t>ÖREBRO</t>
        </is>
      </c>
      <c r="G365" t="n">
        <v>24.3</v>
      </c>
      <c r="H365" t="n">
        <v>0</v>
      </c>
      <c r="I365" t="n">
        <v>0</v>
      </c>
      <c r="J365" t="n">
        <v>0</v>
      </c>
      <c r="K365" t="n">
        <v>0</v>
      </c>
      <c r="L365" t="n">
        <v>0</v>
      </c>
      <c r="M365" t="n">
        <v>0</v>
      </c>
      <c r="N365" t="n">
        <v>0</v>
      </c>
      <c r="O365" t="n">
        <v>0</v>
      </c>
      <c r="P365" t="n">
        <v>0</v>
      </c>
      <c r="Q365" t="n">
        <v>0</v>
      </c>
      <c r="R365" s="2" t="inlineStr"/>
    </row>
    <row r="366" ht="15" customHeight="1">
      <c r="A366" t="inlineStr">
        <is>
          <t>A 37786-2024</t>
        </is>
      </c>
      <c r="B366" s="1" t="n">
        <v>45542.82987268519</v>
      </c>
      <c r="C366" s="1" t="n">
        <v>45995</v>
      </c>
      <c r="D366" t="inlineStr">
        <is>
          <t>ÖREBRO LÄN</t>
        </is>
      </c>
      <c r="E366" t="inlineStr">
        <is>
          <t>ÖREBRO</t>
        </is>
      </c>
      <c r="G366" t="n">
        <v>3.1</v>
      </c>
      <c r="H366" t="n">
        <v>0</v>
      </c>
      <c r="I366" t="n">
        <v>0</v>
      </c>
      <c r="J366" t="n">
        <v>0</v>
      </c>
      <c r="K366" t="n">
        <v>0</v>
      </c>
      <c r="L366" t="n">
        <v>0</v>
      </c>
      <c r="M366" t="n">
        <v>0</v>
      </c>
      <c r="N366" t="n">
        <v>0</v>
      </c>
      <c r="O366" t="n">
        <v>0</v>
      </c>
      <c r="P366" t="n">
        <v>0</v>
      </c>
      <c r="Q366" t="n">
        <v>0</v>
      </c>
      <c r="R366" s="2" t="inlineStr"/>
    </row>
    <row r="367" ht="15" customHeight="1">
      <c r="A367" t="inlineStr">
        <is>
          <t>A 12682-2023</t>
        </is>
      </c>
      <c r="B367" s="1" t="n">
        <v>45000.6115625</v>
      </c>
      <c r="C367" s="1" t="n">
        <v>45995</v>
      </c>
      <c r="D367" t="inlineStr">
        <is>
          <t>ÖREBRO LÄN</t>
        </is>
      </c>
      <c r="E367" t="inlineStr">
        <is>
          <t>ÖREBRO</t>
        </is>
      </c>
      <c r="F367" t="inlineStr">
        <is>
          <t>Övriga Aktiebolag</t>
        </is>
      </c>
      <c r="G367" t="n">
        <v>4.4</v>
      </c>
      <c r="H367" t="n">
        <v>0</v>
      </c>
      <c r="I367" t="n">
        <v>0</v>
      </c>
      <c r="J367" t="n">
        <v>0</v>
      </c>
      <c r="K367" t="n">
        <v>0</v>
      </c>
      <c r="L367" t="n">
        <v>0</v>
      </c>
      <c r="M367" t="n">
        <v>0</v>
      </c>
      <c r="N367" t="n">
        <v>0</v>
      </c>
      <c r="O367" t="n">
        <v>0</v>
      </c>
      <c r="P367" t="n">
        <v>0</v>
      </c>
      <c r="Q367" t="n">
        <v>0</v>
      </c>
      <c r="R367" s="2" t="inlineStr"/>
    </row>
    <row r="368" ht="15" customHeight="1">
      <c r="A368" t="inlineStr">
        <is>
          <t>A 13592-2023</t>
        </is>
      </c>
      <c r="B368" s="1" t="n">
        <v>45006.56870370371</v>
      </c>
      <c r="C368" s="1" t="n">
        <v>45995</v>
      </c>
      <c r="D368" t="inlineStr">
        <is>
          <t>ÖREBRO LÄN</t>
        </is>
      </c>
      <c r="E368" t="inlineStr">
        <is>
          <t>ÖREBRO</t>
        </is>
      </c>
      <c r="G368" t="n">
        <v>2</v>
      </c>
      <c r="H368" t="n">
        <v>0</v>
      </c>
      <c r="I368" t="n">
        <v>0</v>
      </c>
      <c r="J368" t="n">
        <v>0</v>
      </c>
      <c r="K368" t="n">
        <v>0</v>
      </c>
      <c r="L368" t="n">
        <v>0</v>
      </c>
      <c r="M368" t="n">
        <v>0</v>
      </c>
      <c r="N368" t="n">
        <v>0</v>
      </c>
      <c r="O368" t="n">
        <v>0</v>
      </c>
      <c r="P368" t="n">
        <v>0</v>
      </c>
      <c r="Q368" t="n">
        <v>0</v>
      </c>
      <c r="R368" s="2" t="inlineStr"/>
    </row>
    <row r="369" ht="15" customHeight="1">
      <c r="A369" t="inlineStr">
        <is>
          <t>A 48140-2024</t>
        </is>
      </c>
      <c r="B369" s="1" t="n">
        <v>45589.66474537037</v>
      </c>
      <c r="C369" s="1" t="n">
        <v>45995</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2658-2023</t>
        </is>
      </c>
      <c r="B370" s="1" t="n">
        <v>44944</v>
      </c>
      <c r="C370" s="1" t="n">
        <v>45995</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45995</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11565-2023</t>
        </is>
      </c>
      <c r="B372" s="1" t="n">
        <v>44994</v>
      </c>
      <c r="C372" s="1" t="n">
        <v>45995</v>
      </c>
      <c r="D372" t="inlineStr">
        <is>
          <t>ÖREBRO LÄN</t>
        </is>
      </c>
      <c r="E372" t="inlineStr">
        <is>
          <t>ÖREBRO</t>
        </is>
      </c>
      <c r="G372" t="n">
        <v>4.7</v>
      </c>
      <c r="H372" t="n">
        <v>0</v>
      </c>
      <c r="I372" t="n">
        <v>0</v>
      </c>
      <c r="J372" t="n">
        <v>0</v>
      </c>
      <c r="K372" t="n">
        <v>0</v>
      </c>
      <c r="L372" t="n">
        <v>0</v>
      </c>
      <c r="M372" t="n">
        <v>0</v>
      </c>
      <c r="N372" t="n">
        <v>0</v>
      </c>
      <c r="O372" t="n">
        <v>0</v>
      </c>
      <c r="P372" t="n">
        <v>0</v>
      </c>
      <c r="Q372" t="n">
        <v>0</v>
      </c>
      <c r="R372" s="2" t="inlineStr"/>
    </row>
    <row r="373" ht="15" customHeight="1">
      <c r="A373" t="inlineStr">
        <is>
          <t>A 16736-2023</t>
        </is>
      </c>
      <c r="B373" s="1" t="n">
        <v>45030.72328703704</v>
      </c>
      <c r="C373" s="1" t="n">
        <v>45995</v>
      </c>
      <c r="D373" t="inlineStr">
        <is>
          <t>ÖREBRO LÄN</t>
        </is>
      </c>
      <c r="E373" t="inlineStr">
        <is>
          <t>ÖREBRO</t>
        </is>
      </c>
      <c r="G373" t="n">
        <v>4</v>
      </c>
      <c r="H373" t="n">
        <v>0</v>
      </c>
      <c r="I373" t="n">
        <v>0</v>
      </c>
      <c r="J373" t="n">
        <v>0</v>
      </c>
      <c r="K373" t="n">
        <v>0</v>
      </c>
      <c r="L373" t="n">
        <v>0</v>
      </c>
      <c r="M373" t="n">
        <v>0</v>
      </c>
      <c r="N373" t="n">
        <v>0</v>
      </c>
      <c r="O373" t="n">
        <v>0</v>
      </c>
      <c r="P373" t="n">
        <v>0</v>
      </c>
      <c r="Q373" t="n">
        <v>0</v>
      </c>
      <c r="R373" s="2" t="inlineStr"/>
    </row>
    <row r="374" ht="15" customHeight="1">
      <c r="A374" t="inlineStr">
        <is>
          <t>A 2630-2023</t>
        </is>
      </c>
      <c r="B374" s="1" t="n">
        <v>44944.39105324074</v>
      </c>
      <c r="C374" s="1" t="n">
        <v>45995</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59736-2023</t>
        </is>
      </c>
      <c r="B375" s="1" t="n">
        <v>45257.374375</v>
      </c>
      <c r="C375" s="1" t="n">
        <v>45995</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30015-2023</t>
        </is>
      </c>
      <c r="B376" s="1" t="n">
        <v>45109</v>
      </c>
      <c r="C376" s="1" t="n">
        <v>45995</v>
      </c>
      <c r="D376" t="inlineStr">
        <is>
          <t>ÖREBRO LÄN</t>
        </is>
      </c>
      <c r="E376" t="inlineStr">
        <is>
          <t>ÖREBRO</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37968-2024</t>
        </is>
      </c>
      <c r="B377" s="1" t="n">
        <v>45544</v>
      </c>
      <c r="C377" s="1" t="n">
        <v>45995</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55355-2024</t>
        </is>
      </c>
      <c r="B378" s="1" t="n">
        <v>45621.80475694445</v>
      </c>
      <c r="C378" s="1" t="n">
        <v>45995</v>
      </c>
      <c r="D378" t="inlineStr">
        <is>
          <t>ÖREBRO LÄN</t>
        </is>
      </c>
      <c r="E378" t="inlineStr">
        <is>
          <t>ÖREBRO</t>
        </is>
      </c>
      <c r="G378" t="n">
        <v>1.6</v>
      </c>
      <c r="H378" t="n">
        <v>0</v>
      </c>
      <c r="I378" t="n">
        <v>0</v>
      </c>
      <c r="J378" t="n">
        <v>0</v>
      </c>
      <c r="K378" t="n">
        <v>0</v>
      </c>
      <c r="L378" t="n">
        <v>0</v>
      </c>
      <c r="M378" t="n">
        <v>0</v>
      </c>
      <c r="N378" t="n">
        <v>0</v>
      </c>
      <c r="O378" t="n">
        <v>0</v>
      </c>
      <c r="P378" t="n">
        <v>0</v>
      </c>
      <c r="Q378" t="n">
        <v>0</v>
      </c>
      <c r="R378" s="2" t="inlineStr"/>
    </row>
    <row r="379" ht="15" customHeight="1">
      <c r="A379" t="inlineStr">
        <is>
          <t>A 58615-2024</t>
        </is>
      </c>
      <c r="B379" s="1" t="n">
        <v>45635.5587037037</v>
      </c>
      <c r="C379" s="1" t="n">
        <v>45995</v>
      </c>
      <c r="D379" t="inlineStr">
        <is>
          <t>ÖREBRO LÄN</t>
        </is>
      </c>
      <c r="E379" t="inlineStr">
        <is>
          <t>ÖREBRO</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49029-2024</t>
        </is>
      </c>
      <c r="B380" s="1" t="n">
        <v>45594</v>
      </c>
      <c r="C380" s="1" t="n">
        <v>45995</v>
      </c>
      <c r="D380" t="inlineStr">
        <is>
          <t>ÖREBRO LÄN</t>
        </is>
      </c>
      <c r="E380" t="inlineStr">
        <is>
          <t>ÖREBRO</t>
        </is>
      </c>
      <c r="G380" t="n">
        <v>3.7</v>
      </c>
      <c r="H380" t="n">
        <v>0</v>
      </c>
      <c r="I380" t="n">
        <v>0</v>
      </c>
      <c r="J380" t="n">
        <v>0</v>
      </c>
      <c r="K380" t="n">
        <v>0</v>
      </c>
      <c r="L380" t="n">
        <v>0</v>
      </c>
      <c r="M380" t="n">
        <v>0</v>
      </c>
      <c r="N380" t="n">
        <v>0</v>
      </c>
      <c r="O380" t="n">
        <v>0</v>
      </c>
      <c r="P380" t="n">
        <v>0</v>
      </c>
      <c r="Q380" t="n">
        <v>0</v>
      </c>
      <c r="R380" s="2" t="inlineStr"/>
    </row>
    <row r="381" ht="15" customHeight="1">
      <c r="A381" t="inlineStr">
        <is>
          <t>A 45517-2023</t>
        </is>
      </c>
      <c r="B381" s="1" t="n">
        <v>45194.49594907407</v>
      </c>
      <c r="C381" s="1" t="n">
        <v>45995</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3652-2022</t>
        </is>
      </c>
      <c r="B382" s="1" t="n">
        <v>44586.46921296296</v>
      </c>
      <c r="C382" s="1" t="n">
        <v>45995</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25407-2021</t>
        </is>
      </c>
      <c r="B383" s="1" t="n">
        <v>44342</v>
      </c>
      <c r="C383" s="1" t="n">
        <v>45995</v>
      </c>
      <c r="D383" t="inlineStr">
        <is>
          <t>ÖREBRO LÄN</t>
        </is>
      </c>
      <c r="E383" t="inlineStr">
        <is>
          <t>ÖREBRO</t>
        </is>
      </c>
      <c r="F383" t="inlineStr">
        <is>
          <t>Kommuner</t>
        </is>
      </c>
      <c r="G383" t="n">
        <v>7.2</v>
      </c>
      <c r="H383" t="n">
        <v>0</v>
      </c>
      <c r="I383" t="n">
        <v>0</v>
      </c>
      <c r="J383" t="n">
        <v>0</v>
      </c>
      <c r="K383" t="n">
        <v>0</v>
      </c>
      <c r="L383" t="n">
        <v>0</v>
      </c>
      <c r="M383" t="n">
        <v>0</v>
      </c>
      <c r="N383" t="n">
        <v>0</v>
      </c>
      <c r="O383" t="n">
        <v>0</v>
      </c>
      <c r="P383" t="n">
        <v>0</v>
      </c>
      <c r="Q383" t="n">
        <v>0</v>
      </c>
      <c r="R383" s="2" t="inlineStr"/>
    </row>
    <row r="384" ht="15" customHeight="1">
      <c r="A384" t="inlineStr">
        <is>
          <t>A 31326-2024</t>
        </is>
      </c>
      <c r="B384" s="1" t="n">
        <v>45504.5934375</v>
      </c>
      <c r="C384" s="1" t="n">
        <v>45995</v>
      </c>
      <c r="D384" t="inlineStr">
        <is>
          <t>ÖREBRO LÄN</t>
        </is>
      </c>
      <c r="E384" t="inlineStr">
        <is>
          <t>ÖREBRO</t>
        </is>
      </c>
      <c r="G384" t="n">
        <v>6.4</v>
      </c>
      <c r="H384" t="n">
        <v>0</v>
      </c>
      <c r="I384" t="n">
        <v>0</v>
      </c>
      <c r="J384" t="n">
        <v>0</v>
      </c>
      <c r="K384" t="n">
        <v>0</v>
      </c>
      <c r="L384" t="n">
        <v>0</v>
      </c>
      <c r="M384" t="n">
        <v>0</v>
      </c>
      <c r="N384" t="n">
        <v>0</v>
      </c>
      <c r="O384" t="n">
        <v>0</v>
      </c>
      <c r="P384" t="n">
        <v>0</v>
      </c>
      <c r="Q384" t="n">
        <v>0</v>
      </c>
      <c r="R384" s="2" t="inlineStr"/>
    </row>
    <row r="385" ht="15" customHeight="1">
      <c r="A385" t="inlineStr">
        <is>
          <t>A 12245-2023</t>
        </is>
      </c>
      <c r="B385" s="1" t="n">
        <v>44998.64402777778</v>
      </c>
      <c r="C385" s="1" t="n">
        <v>45995</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20115-2024</t>
        </is>
      </c>
      <c r="B386" s="1" t="n">
        <v>45434</v>
      </c>
      <c r="C386" s="1" t="n">
        <v>45995</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54485-2025</t>
        </is>
      </c>
      <c r="B387" s="1" t="n">
        <v>45965.59295138889</v>
      </c>
      <c r="C387" s="1" t="n">
        <v>45995</v>
      </c>
      <c r="D387" t="inlineStr">
        <is>
          <t>ÖREBRO LÄN</t>
        </is>
      </c>
      <c r="E387" t="inlineStr">
        <is>
          <t>ÖREBRO</t>
        </is>
      </c>
      <c r="F387" t="inlineStr">
        <is>
          <t>Allmännings- och besparingsskogar</t>
        </is>
      </c>
      <c r="G387" t="n">
        <v>1.7</v>
      </c>
      <c r="H387" t="n">
        <v>0</v>
      </c>
      <c r="I387" t="n">
        <v>0</v>
      </c>
      <c r="J387" t="n">
        <v>0</v>
      </c>
      <c r="K387" t="n">
        <v>0</v>
      </c>
      <c r="L387" t="n">
        <v>0</v>
      </c>
      <c r="M387" t="n">
        <v>0</v>
      </c>
      <c r="N387" t="n">
        <v>0</v>
      </c>
      <c r="O387" t="n">
        <v>0</v>
      </c>
      <c r="P387" t="n">
        <v>0</v>
      </c>
      <c r="Q387" t="n">
        <v>0</v>
      </c>
      <c r="R387" s="2" t="inlineStr"/>
    </row>
    <row r="388" ht="15" customHeight="1">
      <c r="A388" t="inlineStr">
        <is>
          <t>A 7134-2025</t>
        </is>
      </c>
      <c r="B388" s="1" t="n">
        <v>45702</v>
      </c>
      <c r="C388" s="1" t="n">
        <v>45995</v>
      </c>
      <c r="D388" t="inlineStr">
        <is>
          <t>ÖREBRO LÄN</t>
        </is>
      </c>
      <c r="E388" t="inlineStr">
        <is>
          <t>ÖREBRO</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60506-2024</t>
        </is>
      </c>
      <c r="B389" s="1" t="n">
        <v>45643.66630787037</v>
      </c>
      <c r="C389" s="1" t="n">
        <v>45995</v>
      </c>
      <c r="D389" t="inlineStr">
        <is>
          <t>ÖREBRO LÄN</t>
        </is>
      </c>
      <c r="E389" t="inlineStr">
        <is>
          <t>ÖREBRO</t>
        </is>
      </c>
      <c r="G389" t="n">
        <v>5.8</v>
      </c>
      <c r="H389" t="n">
        <v>0</v>
      </c>
      <c r="I389" t="n">
        <v>0</v>
      </c>
      <c r="J389" t="n">
        <v>0</v>
      </c>
      <c r="K389" t="n">
        <v>0</v>
      </c>
      <c r="L389" t="n">
        <v>0</v>
      </c>
      <c r="M389" t="n">
        <v>0</v>
      </c>
      <c r="N389" t="n">
        <v>0</v>
      </c>
      <c r="O389" t="n">
        <v>0</v>
      </c>
      <c r="P389" t="n">
        <v>0</v>
      </c>
      <c r="Q389" t="n">
        <v>0</v>
      </c>
      <c r="R389" s="2" t="inlineStr"/>
    </row>
    <row r="390" ht="15" customHeight="1">
      <c r="A390" t="inlineStr">
        <is>
          <t>A 55875-2024</t>
        </is>
      </c>
      <c r="B390" s="1" t="n">
        <v>45623.55375</v>
      </c>
      <c r="C390" s="1" t="n">
        <v>45995</v>
      </c>
      <c r="D390" t="inlineStr">
        <is>
          <t>ÖREBRO LÄN</t>
        </is>
      </c>
      <c r="E390" t="inlineStr">
        <is>
          <t>ÖREBRO</t>
        </is>
      </c>
      <c r="G390" t="n">
        <v>3.5</v>
      </c>
      <c r="H390" t="n">
        <v>0</v>
      </c>
      <c r="I390" t="n">
        <v>0</v>
      </c>
      <c r="J390" t="n">
        <v>0</v>
      </c>
      <c r="K390" t="n">
        <v>0</v>
      </c>
      <c r="L390" t="n">
        <v>0</v>
      </c>
      <c r="M390" t="n">
        <v>0</v>
      </c>
      <c r="N390" t="n">
        <v>0</v>
      </c>
      <c r="O390" t="n">
        <v>0</v>
      </c>
      <c r="P390" t="n">
        <v>0</v>
      </c>
      <c r="Q390" t="n">
        <v>0</v>
      </c>
      <c r="R390" s="2" t="inlineStr"/>
    </row>
    <row r="391" ht="15" customHeight="1">
      <c r="A391" t="inlineStr">
        <is>
          <t>A 23710-2022</t>
        </is>
      </c>
      <c r="B391" s="1" t="n">
        <v>44722</v>
      </c>
      <c r="C391" s="1" t="n">
        <v>45995</v>
      </c>
      <c r="D391" t="inlineStr">
        <is>
          <t>ÖREBRO LÄN</t>
        </is>
      </c>
      <c r="E391" t="inlineStr">
        <is>
          <t>ÖREBRO</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10470-2025</t>
        </is>
      </c>
      <c r="B392" s="1" t="n">
        <v>45720</v>
      </c>
      <c r="C392" s="1" t="n">
        <v>45995</v>
      </c>
      <c r="D392" t="inlineStr">
        <is>
          <t>ÖREBRO LÄN</t>
        </is>
      </c>
      <c r="E392" t="inlineStr">
        <is>
          <t>ÖREBRO</t>
        </is>
      </c>
      <c r="G392" t="n">
        <v>11.5</v>
      </c>
      <c r="H392" t="n">
        <v>0</v>
      </c>
      <c r="I392" t="n">
        <v>0</v>
      </c>
      <c r="J392" t="n">
        <v>0</v>
      </c>
      <c r="K392" t="n">
        <v>0</v>
      </c>
      <c r="L392" t="n">
        <v>0</v>
      </c>
      <c r="M392" t="n">
        <v>0</v>
      </c>
      <c r="N392" t="n">
        <v>0</v>
      </c>
      <c r="O392" t="n">
        <v>0</v>
      </c>
      <c r="P392" t="n">
        <v>0</v>
      </c>
      <c r="Q392" t="n">
        <v>0</v>
      </c>
      <c r="R392" s="2" t="inlineStr"/>
    </row>
    <row r="393" ht="15" customHeight="1">
      <c r="A393" t="inlineStr">
        <is>
          <t>A 46056-2024</t>
        </is>
      </c>
      <c r="B393" s="1" t="n">
        <v>45580.91502314815</v>
      </c>
      <c r="C393" s="1" t="n">
        <v>45995</v>
      </c>
      <c r="D393" t="inlineStr">
        <is>
          <t>ÖREBRO LÄN</t>
        </is>
      </c>
      <c r="E393" t="inlineStr">
        <is>
          <t>ÖREBRO</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13355-2023</t>
        </is>
      </c>
      <c r="B394" s="1" t="n">
        <v>45004</v>
      </c>
      <c r="C394" s="1" t="n">
        <v>45995</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6522-2023</t>
        </is>
      </c>
      <c r="B395" s="1" t="n">
        <v>44966</v>
      </c>
      <c r="C395" s="1" t="n">
        <v>45995</v>
      </c>
      <c r="D395" t="inlineStr">
        <is>
          <t>ÖREBRO LÄN</t>
        </is>
      </c>
      <c r="E395" t="inlineStr">
        <is>
          <t>ÖREBRO</t>
        </is>
      </c>
      <c r="G395" t="n">
        <v>4.4</v>
      </c>
      <c r="H395" t="n">
        <v>0</v>
      </c>
      <c r="I395" t="n">
        <v>0</v>
      </c>
      <c r="J395" t="n">
        <v>0</v>
      </c>
      <c r="K395" t="n">
        <v>0</v>
      </c>
      <c r="L395" t="n">
        <v>0</v>
      </c>
      <c r="M395" t="n">
        <v>0</v>
      </c>
      <c r="N395" t="n">
        <v>0</v>
      </c>
      <c r="O395" t="n">
        <v>0</v>
      </c>
      <c r="P395" t="n">
        <v>0</v>
      </c>
      <c r="Q395" t="n">
        <v>0</v>
      </c>
      <c r="R395" s="2" t="inlineStr"/>
    </row>
    <row r="396" ht="15" customHeight="1">
      <c r="A396" t="inlineStr">
        <is>
          <t>A 56040-2024</t>
        </is>
      </c>
      <c r="B396" s="1" t="n">
        <v>45624.3344212963</v>
      </c>
      <c r="C396" s="1" t="n">
        <v>45995</v>
      </c>
      <c r="D396" t="inlineStr">
        <is>
          <t>ÖREBRO LÄN</t>
        </is>
      </c>
      <c r="E396" t="inlineStr">
        <is>
          <t>ÖREBRO</t>
        </is>
      </c>
      <c r="G396" t="n">
        <v>1.2</v>
      </c>
      <c r="H396" t="n">
        <v>0</v>
      </c>
      <c r="I396" t="n">
        <v>0</v>
      </c>
      <c r="J396" t="n">
        <v>0</v>
      </c>
      <c r="K396" t="n">
        <v>0</v>
      </c>
      <c r="L396" t="n">
        <v>0</v>
      </c>
      <c r="M396" t="n">
        <v>0</v>
      </c>
      <c r="N396" t="n">
        <v>0</v>
      </c>
      <c r="O396" t="n">
        <v>0</v>
      </c>
      <c r="P396" t="n">
        <v>0</v>
      </c>
      <c r="Q396" t="n">
        <v>0</v>
      </c>
      <c r="R396" s="2" t="inlineStr"/>
    </row>
    <row r="397" ht="15" customHeight="1">
      <c r="A397" t="inlineStr">
        <is>
          <t>A 29978-2024</t>
        </is>
      </c>
      <c r="B397" s="1" t="n">
        <v>45488.48340277778</v>
      </c>
      <c r="C397" s="1" t="n">
        <v>45995</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52444-2024</t>
        </is>
      </c>
      <c r="B398" s="1" t="n">
        <v>45609.48894675926</v>
      </c>
      <c r="C398" s="1" t="n">
        <v>45995</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55003-2025</t>
        </is>
      </c>
      <c r="B399" s="1" t="n">
        <v>45967</v>
      </c>
      <c r="C399" s="1" t="n">
        <v>45995</v>
      </c>
      <c r="D399" t="inlineStr">
        <is>
          <t>ÖREBRO LÄN</t>
        </is>
      </c>
      <c r="E399" t="inlineStr">
        <is>
          <t>ÖREBRO</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30903-2024</t>
        </is>
      </c>
      <c r="B400" s="1" t="n">
        <v>45498.49946759259</v>
      </c>
      <c r="C400" s="1" t="n">
        <v>45995</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58611-2024</t>
        </is>
      </c>
      <c r="B401" s="1" t="n">
        <v>45635.55555555555</v>
      </c>
      <c r="C401" s="1" t="n">
        <v>45995</v>
      </c>
      <c r="D401" t="inlineStr">
        <is>
          <t>ÖREBRO LÄN</t>
        </is>
      </c>
      <c r="E401" t="inlineStr">
        <is>
          <t>ÖREBRO</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60128-2023</t>
        </is>
      </c>
      <c r="B402" s="1" t="n">
        <v>45258</v>
      </c>
      <c r="C402" s="1" t="n">
        <v>45995</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16140-2023</t>
        </is>
      </c>
      <c r="B403" s="1" t="n">
        <v>45027.6433912037</v>
      </c>
      <c r="C403" s="1" t="n">
        <v>45995</v>
      </c>
      <c r="D403" t="inlineStr">
        <is>
          <t>ÖREBRO LÄN</t>
        </is>
      </c>
      <c r="E403" t="inlineStr">
        <is>
          <t>ÖREBRO</t>
        </is>
      </c>
      <c r="G403" t="n">
        <v>2</v>
      </c>
      <c r="H403" t="n">
        <v>0</v>
      </c>
      <c r="I403" t="n">
        <v>0</v>
      </c>
      <c r="J403" t="n">
        <v>0</v>
      </c>
      <c r="K403" t="n">
        <v>0</v>
      </c>
      <c r="L403" t="n">
        <v>0</v>
      </c>
      <c r="M403" t="n">
        <v>0</v>
      </c>
      <c r="N403" t="n">
        <v>0</v>
      </c>
      <c r="O403" t="n">
        <v>0</v>
      </c>
      <c r="P403" t="n">
        <v>0</v>
      </c>
      <c r="Q403" t="n">
        <v>0</v>
      </c>
      <c r="R403" s="2" t="inlineStr"/>
    </row>
    <row r="404" ht="15" customHeight="1">
      <c r="A404" t="inlineStr">
        <is>
          <t>A 22045-2024</t>
        </is>
      </c>
      <c r="B404" s="1" t="n">
        <v>45443.61171296296</v>
      </c>
      <c r="C404" s="1" t="n">
        <v>45995</v>
      </c>
      <c r="D404" t="inlineStr">
        <is>
          <t>ÖREBRO LÄN</t>
        </is>
      </c>
      <c r="E404" t="inlineStr">
        <is>
          <t>ÖREBRO</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20146-2024</t>
        </is>
      </c>
      <c r="B405" s="1" t="n">
        <v>45434.57641203704</v>
      </c>
      <c r="C405" s="1" t="n">
        <v>45995</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55748-2025</t>
        </is>
      </c>
      <c r="B406" s="1" t="n">
        <v>45972.57893518519</v>
      </c>
      <c r="C406" s="1" t="n">
        <v>45995</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53143-2023</t>
        </is>
      </c>
      <c r="B407" s="1" t="n">
        <v>45229</v>
      </c>
      <c r="C407" s="1" t="n">
        <v>45995</v>
      </c>
      <c r="D407" t="inlineStr">
        <is>
          <t>ÖREBRO LÄN</t>
        </is>
      </c>
      <c r="E407" t="inlineStr">
        <is>
          <t>ÖREBRO</t>
        </is>
      </c>
      <c r="G407" t="n">
        <v>3.3</v>
      </c>
      <c r="H407" t="n">
        <v>0</v>
      </c>
      <c r="I407" t="n">
        <v>0</v>
      </c>
      <c r="J407" t="n">
        <v>0</v>
      </c>
      <c r="K407" t="n">
        <v>0</v>
      </c>
      <c r="L407" t="n">
        <v>0</v>
      </c>
      <c r="M407" t="n">
        <v>0</v>
      </c>
      <c r="N407" t="n">
        <v>0</v>
      </c>
      <c r="O407" t="n">
        <v>0</v>
      </c>
      <c r="P407" t="n">
        <v>0</v>
      </c>
      <c r="Q407" t="n">
        <v>0</v>
      </c>
      <c r="R407" s="2" t="inlineStr"/>
    </row>
    <row r="408" ht="15" customHeight="1">
      <c r="A408" t="inlineStr">
        <is>
          <t>A 58684-2023</t>
        </is>
      </c>
      <c r="B408" s="1" t="n">
        <v>45251</v>
      </c>
      <c r="C408" s="1" t="n">
        <v>45995</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8656-2025</t>
        </is>
      </c>
      <c r="B409" s="1" t="n">
        <v>45712.38268518518</v>
      </c>
      <c r="C409" s="1" t="n">
        <v>45995</v>
      </c>
      <c r="D409" t="inlineStr">
        <is>
          <t>ÖREBRO LÄN</t>
        </is>
      </c>
      <c r="E409" t="inlineStr">
        <is>
          <t>ÖREBRO</t>
        </is>
      </c>
      <c r="G409" t="n">
        <v>2.7</v>
      </c>
      <c r="H409" t="n">
        <v>0</v>
      </c>
      <c r="I409" t="n">
        <v>0</v>
      </c>
      <c r="J409" t="n">
        <v>0</v>
      </c>
      <c r="K409" t="n">
        <v>0</v>
      </c>
      <c r="L409" t="n">
        <v>0</v>
      </c>
      <c r="M409" t="n">
        <v>0</v>
      </c>
      <c r="N409" t="n">
        <v>0</v>
      </c>
      <c r="O409" t="n">
        <v>0</v>
      </c>
      <c r="P409" t="n">
        <v>0</v>
      </c>
      <c r="Q409" t="n">
        <v>0</v>
      </c>
      <c r="R409" s="2" t="inlineStr"/>
    </row>
    <row r="410" ht="15" customHeight="1">
      <c r="A410" t="inlineStr">
        <is>
          <t>A 38898-2023</t>
        </is>
      </c>
      <c r="B410" s="1" t="n">
        <v>45163</v>
      </c>
      <c r="C410" s="1" t="n">
        <v>45995</v>
      </c>
      <c r="D410" t="inlineStr">
        <is>
          <t>ÖREBRO LÄN</t>
        </is>
      </c>
      <c r="E410" t="inlineStr">
        <is>
          <t>ÖREBRO</t>
        </is>
      </c>
      <c r="G410" t="n">
        <v>5.1</v>
      </c>
      <c r="H410" t="n">
        <v>0</v>
      </c>
      <c r="I410" t="n">
        <v>0</v>
      </c>
      <c r="J410" t="n">
        <v>0</v>
      </c>
      <c r="K410" t="n">
        <v>0</v>
      </c>
      <c r="L410" t="n">
        <v>0</v>
      </c>
      <c r="M410" t="n">
        <v>0</v>
      </c>
      <c r="N410" t="n">
        <v>0</v>
      </c>
      <c r="O410" t="n">
        <v>0</v>
      </c>
      <c r="P410" t="n">
        <v>0</v>
      </c>
      <c r="Q410" t="n">
        <v>0</v>
      </c>
      <c r="R410" s="2" t="inlineStr"/>
    </row>
    <row r="411" ht="15" customHeight="1">
      <c r="A411" t="inlineStr">
        <is>
          <t>A 55750-2025</t>
        </is>
      </c>
      <c r="B411" s="1" t="n">
        <v>45972.58171296296</v>
      </c>
      <c r="C411" s="1" t="n">
        <v>45995</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13321-2024</t>
        </is>
      </c>
      <c r="B412" s="1" t="n">
        <v>45386.83142361111</v>
      </c>
      <c r="C412" s="1" t="n">
        <v>45995</v>
      </c>
      <c r="D412" t="inlineStr">
        <is>
          <t>ÖREBRO LÄN</t>
        </is>
      </c>
      <c r="E412" t="inlineStr">
        <is>
          <t>ÖREBRO</t>
        </is>
      </c>
      <c r="G412" t="n">
        <v>13.1</v>
      </c>
      <c r="H412" t="n">
        <v>0</v>
      </c>
      <c r="I412" t="n">
        <v>0</v>
      </c>
      <c r="J412" t="n">
        <v>0</v>
      </c>
      <c r="K412" t="n">
        <v>0</v>
      </c>
      <c r="L412" t="n">
        <v>0</v>
      </c>
      <c r="M412" t="n">
        <v>0</v>
      </c>
      <c r="N412" t="n">
        <v>0</v>
      </c>
      <c r="O412" t="n">
        <v>0</v>
      </c>
      <c r="P412" t="n">
        <v>0</v>
      </c>
      <c r="Q412" t="n">
        <v>0</v>
      </c>
      <c r="R412" s="2" t="inlineStr"/>
    </row>
    <row r="413" ht="15" customHeight="1">
      <c r="A413" t="inlineStr">
        <is>
          <t>A 38583-2023</t>
        </is>
      </c>
      <c r="B413" s="1" t="n">
        <v>45162.62861111111</v>
      </c>
      <c r="C413" s="1" t="n">
        <v>45995</v>
      </c>
      <c r="D413" t="inlineStr">
        <is>
          <t>ÖREBRO LÄN</t>
        </is>
      </c>
      <c r="E413" t="inlineStr">
        <is>
          <t>ÖREBRO</t>
        </is>
      </c>
      <c r="G413" t="n">
        <v>5.7</v>
      </c>
      <c r="H413" t="n">
        <v>0</v>
      </c>
      <c r="I413" t="n">
        <v>0</v>
      </c>
      <c r="J413" t="n">
        <v>0</v>
      </c>
      <c r="K413" t="n">
        <v>0</v>
      </c>
      <c r="L413" t="n">
        <v>0</v>
      </c>
      <c r="M413" t="n">
        <v>0</v>
      </c>
      <c r="N413" t="n">
        <v>0</v>
      </c>
      <c r="O413" t="n">
        <v>0</v>
      </c>
      <c r="P413" t="n">
        <v>0</v>
      </c>
      <c r="Q413" t="n">
        <v>0</v>
      </c>
      <c r="R413" s="2" t="inlineStr"/>
    </row>
    <row r="414" ht="15" customHeight="1">
      <c r="A414" t="inlineStr">
        <is>
          <t>A 5762-2025</t>
        </is>
      </c>
      <c r="B414" s="1" t="n">
        <v>45694.57181712963</v>
      </c>
      <c r="C414" s="1" t="n">
        <v>45995</v>
      </c>
      <c r="D414" t="inlineStr">
        <is>
          <t>ÖREBRO LÄN</t>
        </is>
      </c>
      <c r="E414" t="inlineStr">
        <is>
          <t>ÖREBRO</t>
        </is>
      </c>
      <c r="F414" t="inlineStr">
        <is>
          <t>Övriga Aktiebolag</t>
        </is>
      </c>
      <c r="G414" t="n">
        <v>1.5</v>
      </c>
      <c r="H414" t="n">
        <v>0</v>
      </c>
      <c r="I414" t="n">
        <v>0</v>
      </c>
      <c r="J414" t="n">
        <v>0</v>
      </c>
      <c r="K414" t="n">
        <v>0</v>
      </c>
      <c r="L414" t="n">
        <v>0</v>
      </c>
      <c r="M414" t="n">
        <v>0</v>
      </c>
      <c r="N414" t="n">
        <v>0</v>
      </c>
      <c r="O414" t="n">
        <v>0</v>
      </c>
      <c r="P414" t="n">
        <v>0</v>
      </c>
      <c r="Q414" t="n">
        <v>0</v>
      </c>
      <c r="R414" s="2" t="inlineStr"/>
    </row>
    <row r="415" ht="15" customHeight="1">
      <c r="A415" t="inlineStr">
        <is>
          <t>A 14291-2023</t>
        </is>
      </c>
      <c r="B415" s="1" t="n">
        <v>45010</v>
      </c>
      <c r="C415" s="1" t="n">
        <v>45995</v>
      </c>
      <c r="D415" t="inlineStr">
        <is>
          <t>ÖREBRO LÄN</t>
        </is>
      </c>
      <c r="E415" t="inlineStr">
        <is>
          <t>ÖREBRO</t>
        </is>
      </c>
      <c r="G415" t="n">
        <v>0.8</v>
      </c>
      <c r="H415" t="n">
        <v>0</v>
      </c>
      <c r="I415" t="n">
        <v>0</v>
      </c>
      <c r="J415" t="n">
        <v>0</v>
      </c>
      <c r="K415" t="n">
        <v>0</v>
      </c>
      <c r="L415" t="n">
        <v>0</v>
      </c>
      <c r="M415" t="n">
        <v>0</v>
      </c>
      <c r="N415" t="n">
        <v>0</v>
      </c>
      <c r="O415" t="n">
        <v>0</v>
      </c>
      <c r="P415" t="n">
        <v>0</v>
      </c>
      <c r="Q415" t="n">
        <v>0</v>
      </c>
      <c r="R415" s="2" t="inlineStr"/>
    </row>
    <row r="416" ht="15" customHeight="1">
      <c r="A416" t="inlineStr">
        <is>
          <t>A 55879-2025</t>
        </is>
      </c>
      <c r="B416" s="1" t="n">
        <v>45973.36508101852</v>
      </c>
      <c r="C416" s="1" t="n">
        <v>45995</v>
      </c>
      <c r="D416" t="inlineStr">
        <is>
          <t>ÖREBRO LÄN</t>
        </is>
      </c>
      <c r="E416" t="inlineStr">
        <is>
          <t>ÖREBRO</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9314-2023</t>
        </is>
      </c>
      <c r="B417" s="1" t="n">
        <v>44980.67747685185</v>
      </c>
      <c r="C417" s="1" t="n">
        <v>45995</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45995</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33455-2023</t>
        </is>
      </c>
      <c r="B419" s="1" t="n">
        <v>45130.98962962963</v>
      </c>
      <c r="C419" s="1" t="n">
        <v>45995</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21306-2024</t>
        </is>
      </c>
      <c r="B420" s="1" t="n">
        <v>45440.67883101852</v>
      </c>
      <c r="C420" s="1" t="n">
        <v>45995</v>
      </c>
      <c r="D420" t="inlineStr">
        <is>
          <t>ÖREBRO LÄN</t>
        </is>
      </c>
      <c r="E420" t="inlineStr">
        <is>
          <t>ÖREBRO</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52612-2024</t>
        </is>
      </c>
      <c r="B421" s="1" t="n">
        <v>45609</v>
      </c>
      <c r="C421" s="1" t="n">
        <v>45995</v>
      </c>
      <c r="D421" t="inlineStr">
        <is>
          <t>ÖREBRO LÄN</t>
        </is>
      </c>
      <c r="E421" t="inlineStr">
        <is>
          <t>ÖREBRO</t>
        </is>
      </c>
      <c r="F421" t="inlineStr">
        <is>
          <t>Kommuner</t>
        </is>
      </c>
      <c r="G421" t="n">
        <v>5.5</v>
      </c>
      <c r="H421" t="n">
        <v>0</v>
      </c>
      <c r="I421" t="n">
        <v>0</v>
      </c>
      <c r="J421" t="n">
        <v>0</v>
      </c>
      <c r="K421" t="n">
        <v>0</v>
      </c>
      <c r="L421" t="n">
        <v>0</v>
      </c>
      <c r="M421" t="n">
        <v>0</v>
      </c>
      <c r="N421" t="n">
        <v>0</v>
      </c>
      <c r="O421" t="n">
        <v>0</v>
      </c>
      <c r="P421" t="n">
        <v>0</v>
      </c>
      <c r="Q421" t="n">
        <v>0</v>
      </c>
      <c r="R421" s="2" t="inlineStr"/>
    </row>
    <row r="422" ht="15" customHeight="1">
      <c r="A422" t="inlineStr">
        <is>
          <t>A 5795-2024</t>
        </is>
      </c>
      <c r="B422" s="1" t="n">
        <v>45335.4531712963</v>
      </c>
      <c r="C422" s="1" t="n">
        <v>45995</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37771-2024</t>
        </is>
      </c>
      <c r="B423" s="1" t="n">
        <v>45542.31359953704</v>
      </c>
      <c r="C423" s="1" t="n">
        <v>45995</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15652-2025</t>
        </is>
      </c>
      <c r="B424" s="1" t="n">
        <v>45748</v>
      </c>
      <c r="C424" s="1" t="n">
        <v>45995</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7634-2024</t>
        </is>
      </c>
      <c r="B425" s="1" t="n">
        <v>45348</v>
      </c>
      <c r="C425" s="1" t="n">
        <v>45995</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5324-2024</t>
        </is>
      </c>
      <c r="B426" s="1" t="n">
        <v>45331</v>
      </c>
      <c r="C426" s="1" t="n">
        <v>45995</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52401-2024</t>
        </is>
      </c>
      <c r="B427" s="1" t="n">
        <v>45609.44553240741</v>
      </c>
      <c r="C427" s="1" t="n">
        <v>45995</v>
      </c>
      <c r="D427" t="inlineStr">
        <is>
          <t>ÖREBRO LÄN</t>
        </is>
      </c>
      <c r="E427" t="inlineStr">
        <is>
          <t>ÖREBRO</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2076-2025</t>
        </is>
      </c>
      <c r="B428" s="1" t="n">
        <v>45672</v>
      </c>
      <c r="C428" s="1" t="n">
        <v>45995</v>
      </c>
      <c r="D428" t="inlineStr">
        <is>
          <t>ÖREBRO LÄN</t>
        </is>
      </c>
      <c r="E428" t="inlineStr">
        <is>
          <t>ÖREBRO</t>
        </is>
      </c>
      <c r="G428" t="n">
        <v>1</v>
      </c>
      <c r="H428" t="n">
        <v>0</v>
      </c>
      <c r="I428" t="n">
        <v>0</v>
      </c>
      <c r="J428" t="n">
        <v>0</v>
      </c>
      <c r="K428" t="n">
        <v>0</v>
      </c>
      <c r="L428" t="n">
        <v>0</v>
      </c>
      <c r="M428" t="n">
        <v>0</v>
      </c>
      <c r="N428" t="n">
        <v>0</v>
      </c>
      <c r="O428" t="n">
        <v>0</v>
      </c>
      <c r="P428" t="n">
        <v>0</v>
      </c>
      <c r="Q428" t="n">
        <v>0</v>
      </c>
      <c r="R428" s="2" t="inlineStr"/>
    </row>
    <row r="429" ht="15" customHeight="1">
      <c r="A429" t="inlineStr">
        <is>
          <t>A 14960-2025</t>
        </is>
      </c>
      <c r="B429" s="1" t="n">
        <v>45743.5853125</v>
      </c>
      <c r="C429" s="1" t="n">
        <v>45995</v>
      </c>
      <c r="D429" t="inlineStr">
        <is>
          <t>ÖREBRO LÄN</t>
        </is>
      </c>
      <c r="E429" t="inlineStr">
        <is>
          <t>ÖREBRO</t>
        </is>
      </c>
      <c r="G429" t="n">
        <v>1.6</v>
      </c>
      <c r="H429" t="n">
        <v>0</v>
      </c>
      <c r="I429" t="n">
        <v>0</v>
      </c>
      <c r="J429" t="n">
        <v>0</v>
      </c>
      <c r="K429" t="n">
        <v>0</v>
      </c>
      <c r="L429" t="n">
        <v>0</v>
      </c>
      <c r="M429" t="n">
        <v>0</v>
      </c>
      <c r="N429" t="n">
        <v>0</v>
      </c>
      <c r="O429" t="n">
        <v>0</v>
      </c>
      <c r="P429" t="n">
        <v>0</v>
      </c>
      <c r="Q429" t="n">
        <v>0</v>
      </c>
      <c r="R429" s="2" t="inlineStr"/>
    </row>
    <row r="430" ht="15" customHeight="1">
      <c r="A430" t="inlineStr">
        <is>
          <t>A 60022-2024</t>
        </is>
      </c>
      <c r="B430" s="1" t="n">
        <v>45642</v>
      </c>
      <c r="C430" s="1" t="n">
        <v>45995</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55888-2025</t>
        </is>
      </c>
      <c r="B431" s="1" t="n">
        <v>45973.37163194444</v>
      </c>
      <c r="C431" s="1" t="n">
        <v>45995</v>
      </c>
      <c r="D431" t="inlineStr">
        <is>
          <t>ÖREBRO LÄN</t>
        </is>
      </c>
      <c r="E431" t="inlineStr">
        <is>
          <t>ÖREBRO</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21097-2025</t>
        </is>
      </c>
      <c r="B432" s="1" t="n">
        <v>45777.63863425926</v>
      </c>
      <c r="C432" s="1" t="n">
        <v>45995</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14963-2025</t>
        </is>
      </c>
      <c r="B433" s="1" t="n">
        <v>45743.58699074074</v>
      </c>
      <c r="C433" s="1" t="n">
        <v>45995</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11663-2024</t>
        </is>
      </c>
      <c r="B434" s="1" t="n">
        <v>45373</v>
      </c>
      <c r="C434" s="1" t="n">
        <v>45995</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55357-2024</t>
        </is>
      </c>
      <c r="B435" s="1" t="n">
        <v>45621.81126157408</v>
      </c>
      <c r="C435" s="1" t="n">
        <v>45995</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35819-2024</t>
        </is>
      </c>
      <c r="B436" s="1" t="n">
        <v>45532</v>
      </c>
      <c r="C436" s="1" t="n">
        <v>45995</v>
      </c>
      <c r="D436" t="inlineStr">
        <is>
          <t>ÖREBRO LÄN</t>
        </is>
      </c>
      <c r="E436" t="inlineStr">
        <is>
          <t>ÖREBRO</t>
        </is>
      </c>
      <c r="G436" t="n">
        <v>6.4</v>
      </c>
      <c r="H436" t="n">
        <v>0</v>
      </c>
      <c r="I436" t="n">
        <v>0</v>
      </c>
      <c r="J436" t="n">
        <v>0</v>
      </c>
      <c r="K436" t="n">
        <v>0</v>
      </c>
      <c r="L436" t="n">
        <v>0</v>
      </c>
      <c r="M436" t="n">
        <v>0</v>
      </c>
      <c r="N436" t="n">
        <v>0</v>
      </c>
      <c r="O436" t="n">
        <v>0</v>
      </c>
      <c r="P436" t="n">
        <v>0</v>
      </c>
      <c r="Q436" t="n">
        <v>0</v>
      </c>
      <c r="R436" s="2" t="inlineStr"/>
    </row>
    <row r="437" ht="15" customHeight="1">
      <c r="A437" t="inlineStr">
        <is>
          <t>A 38422-2023</t>
        </is>
      </c>
      <c r="B437" s="1" t="n">
        <v>45162.36422453704</v>
      </c>
      <c r="C437" s="1" t="n">
        <v>45995</v>
      </c>
      <c r="D437" t="inlineStr">
        <is>
          <t>ÖREBRO LÄN</t>
        </is>
      </c>
      <c r="E437" t="inlineStr">
        <is>
          <t>ÖREBRO</t>
        </is>
      </c>
      <c r="G437" t="n">
        <v>8</v>
      </c>
      <c r="H437" t="n">
        <v>0</v>
      </c>
      <c r="I437" t="n">
        <v>0</v>
      </c>
      <c r="J437" t="n">
        <v>0</v>
      </c>
      <c r="K437" t="n">
        <v>0</v>
      </c>
      <c r="L437" t="n">
        <v>0</v>
      </c>
      <c r="M437" t="n">
        <v>0</v>
      </c>
      <c r="N437" t="n">
        <v>0</v>
      </c>
      <c r="O437" t="n">
        <v>0</v>
      </c>
      <c r="P437" t="n">
        <v>0</v>
      </c>
      <c r="Q437" t="n">
        <v>0</v>
      </c>
      <c r="R437" s="2" t="inlineStr"/>
    </row>
    <row r="438" ht="15" customHeight="1">
      <c r="A438" t="inlineStr">
        <is>
          <t>A 32076-2023</t>
        </is>
      </c>
      <c r="B438" s="1" t="n">
        <v>45119.58324074074</v>
      </c>
      <c r="C438" s="1" t="n">
        <v>45995</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46518-2023</t>
        </is>
      </c>
      <c r="B439" s="1" t="n">
        <v>45197.72777777778</v>
      </c>
      <c r="C439" s="1" t="n">
        <v>45995</v>
      </c>
      <c r="D439" t="inlineStr">
        <is>
          <t>ÖREBRO LÄN</t>
        </is>
      </c>
      <c r="E439" t="inlineStr">
        <is>
          <t>ÖREBRO</t>
        </is>
      </c>
      <c r="G439" t="n">
        <v>2.2</v>
      </c>
      <c r="H439" t="n">
        <v>0</v>
      </c>
      <c r="I439" t="n">
        <v>0</v>
      </c>
      <c r="J439" t="n">
        <v>0</v>
      </c>
      <c r="K439" t="n">
        <v>0</v>
      </c>
      <c r="L439" t="n">
        <v>0</v>
      </c>
      <c r="M439" t="n">
        <v>0</v>
      </c>
      <c r="N439" t="n">
        <v>0</v>
      </c>
      <c r="O439" t="n">
        <v>0</v>
      </c>
      <c r="P439" t="n">
        <v>0</v>
      </c>
      <c r="Q439" t="n">
        <v>0</v>
      </c>
      <c r="R439" s="2" t="inlineStr"/>
    </row>
    <row r="440" ht="15" customHeight="1">
      <c r="A440" t="inlineStr">
        <is>
          <t>A 48454-2025</t>
        </is>
      </c>
      <c r="B440" s="1" t="n">
        <v>45935.80164351852</v>
      </c>
      <c r="C440" s="1" t="n">
        <v>45995</v>
      </c>
      <c r="D440" t="inlineStr">
        <is>
          <t>ÖREBRO LÄN</t>
        </is>
      </c>
      <c r="E440" t="inlineStr">
        <is>
          <t>ÖREBRO</t>
        </is>
      </c>
      <c r="F440" t="inlineStr">
        <is>
          <t>Övriga Aktiebolag</t>
        </is>
      </c>
      <c r="G440" t="n">
        <v>18.1</v>
      </c>
      <c r="H440" t="n">
        <v>0</v>
      </c>
      <c r="I440" t="n">
        <v>0</v>
      </c>
      <c r="J440" t="n">
        <v>0</v>
      </c>
      <c r="K440" t="n">
        <v>0</v>
      </c>
      <c r="L440" t="n">
        <v>0</v>
      </c>
      <c r="M440" t="n">
        <v>0</v>
      </c>
      <c r="N440" t="n">
        <v>0</v>
      </c>
      <c r="O440" t="n">
        <v>0</v>
      </c>
      <c r="P440" t="n">
        <v>0</v>
      </c>
      <c r="Q440" t="n">
        <v>0</v>
      </c>
      <c r="R440" s="2" t="inlineStr"/>
    </row>
    <row r="441" ht="15" customHeight="1">
      <c r="A441" t="inlineStr">
        <is>
          <t>A 41703-2024</t>
        </is>
      </c>
      <c r="B441" s="1" t="n">
        <v>45560</v>
      </c>
      <c r="C441" s="1" t="n">
        <v>45995</v>
      </c>
      <c r="D441" t="inlineStr">
        <is>
          <t>ÖREBRO LÄN</t>
        </is>
      </c>
      <c r="E441" t="inlineStr">
        <is>
          <t>ÖREBRO</t>
        </is>
      </c>
      <c r="G441" t="n">
        <v>6.4</v>
      </c>
      <c r="H441" t="n">
        <v>0</v>
      </c>
      <c r="I441" t="n">
        <v>0</v>
      </c>
      <c r="J441" t="n">
        <v>0</v>
      </c>
      <c r="K441" t="n">
        <v>0</v>
      </c>
      <c r="L441" t="n">
        <v>0</v>
      </c>
      <c r="M441" t="n">
        <v>0</v>
      </c>
      <c r="N441" t="n">
        <v>0</v>
      </c>
      <c r="O441" t="n">
        <v>0</v>
      </c>
      <c r="P441" t="n">
        <v>0</v>
      </c>
      <c r="Q441" t="n">
        <v>0</v>
      </c>
      <c r="R441" s="2" t="inlineStr"/>
    </row>
    <row r="442" ht="15" customHeight="1">
      <c r="A442" t="inlineStr">
        <is>
          <t>A 764-2024</t>
        </is>
      </c>
      <c r="B442" s="1" t="n">
        <v>45300.51512731481</v>
      </c>
      <c r="C442" s="1" t="n">
        <v>45995</v>
      </c>
      <c r="D442" t="inlineStr">
        <is>
          <t>ÖREBRO LÄN</t>
        </is>
      </c>
      <c r="E442" t="inlineStr">
        <is>
          <t>ÖREBRO</t>
        </is>
      </c>
      <c r="G442" t="n">
        <v>2</v>
      </c>
      <c r="H442" t="n">
        <v>0</v>
      </c>
      <c r="I442" t="n">
        <v>0</v>
      </c>
      <c r="J442" t="n">
        <v>0</v>
      </c>
      <c r="K442" t="n">
        <v>0</v>
      </c>
      <c r="L442" t="n">
        <v>0</v>
      </c>
      <c r="M442" t="n">
        <v>0</v>
      </c>
      <c r="N442" t="n">
        <v>0</v>
      </c>
      <c r="O442" t="n">
        <v>0</v>
      </c>
      <c r="P442" t="n">
        <v>0</v>
      </c>
      <c r="Q442" t="n">
        <v>0</v>
      </c>
      <c r="R442" s="2" t="inlineStr"/>
    </row>
    <row r="443" ht="15" customHeight="1">
      <c r="A443" t="inlineStr">
        <is>
          <t>A 19763-2024</t>
        </is>
      </c>
      <c r="B443" s="1" t="n">
        <v>45432</v>
      </c>
      <c r="C443" s="1" t="n">
        <v>45995</v>
      </c>
      <c r="D443" t="inlineStr">
        <is>
          <t>ÖREBRO LÄN</t>
        </is>
      </c>
      <c r="E443" t="inlineStr">
        <is>
          <t>ÖREBRO</t>
        </is>
      </c>
      <c r="G443" t="n">
        <v>1.9</v>
      </c>
      <c r="H443" t="n">
        <v>0</v>
      </c>
      <c r="I443" t="n">
        <v>0</v>
      </c>
      <c r="J443" t="n">
        <v>0</v>
      </c>
      <c r="K443" t="n">
        <v>0</v>
      </c>
      <c r="L443" t="n">
        <v>0</v>
      </c>
      <c r="M443" t="n">
        <v>0</v>
      </c>
      <c r="N443" t="n">
        <v>0</v>
      </c>
      <c r="O443" t="n">
        <v>0</v>
      </c>
      <c r="P443" t="n">
        <v>0</v>
      </c>
      <c r="Q443" t="n">
        <v>0</v>
      </c>
      <c r="R443" s="2" t="inlineStr"/>
    </row>
    <row r="444" ht="15" customHeight="1">
      <c r="A444" t="inlineStr">
        <is>
          <t>A 31247-2023</t>
        </is>
      </c>
      <c r="B444" s="1" t="n">
        <v>45114</v>
      </c>
      <c r="C444" s="1" t="n">
        <v>45995</v>
      </c>
      <c r="D444" t="inlineStr">
        <is>
          <t>ÖREBRO LÄN</t>
        </is>
      </c>
      <c r="E444" t="inlineStr">
        <is>
          <t>ÖREBRO</t>
        </is>
      </c>
      <c r="F444" t="inlineStr">
        <is>
          <t>Allmännings- och besparingsskogar</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36635-2023</t>
        </is>
      </c>
      <c r="B445" s="1" t="n">
        <v>45153</v>
      </c>
      <c r="C445" s="1" t="n">
        <v>45995</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54149-2024</t>
        </is>
      </c>
      <c r="B446" s="1" t="n">
        <v>45616</v>
      </c>
      <c r="C446" s="1" t="n">
        <v>45995</v>
      </c>
      <c r="D446" t="inlineStr">
        <is>
          <t>ÖREBRO LÄN</t>
        </is>
      </c>
      <c r="E446" t="inlineStr">
        <is>
          <t>ÖREBRO</t>
        </is>
      </c>
      <c r="G446" t="n">
        <v>2.7</v>
      </c>
      <c r="H446" t="n">
        <v>0</v>
      </c>
      <c r="I446" t="n">
        <v>0</v>
      </c>
      <c r="J446" t="n">
        <v>0</v>
      </c>
      <c r="K446" t="n">
        <v>0</v>
      </c>
      <c r="L446" t="n">
        <v>0</v>
      </c>
      <c r="M446" t="n">
        <v>0</v>
      </c>
      <c r="N446" t="n">
        <v>0</v>
      </c>
      <c r="O446" t="n">
        <v>0</v>
      </c>
      <c r="P446" t="n">
        <v>0</v>
      </c>
      <c r="Q446" t="n">
        <v>0</v>
      </c>
      <c r="R446" s="2" t="inlineStr"/>
    </row>
    <row r="447" ht="15" customHeight="1">
      <c r="A447" t="inlineStr">
        <is>
          <t>A 58644-2023</t>
        </is>
      </c>
      <c r="B447" s="1" t="n">
        <v>45251.58716435185</v>
      </c>
      <c r="C447" s="1" t="n">
        <v>45995</v>
      </c>
      <c r="D447" t="inlineStr">
        <is>
          <t>ÖREBRO LÄN</t>
        </is>
      </c>
      <c r="E447" t="inlineStr">
        <is>
          <t>ÖREBRO</t>
        </is>
      </c>
      <c r="F447" t="inlineStr">
        <is>
          <t>Övriga Aktiebolag</t>
        </is>
      </c>
      <c r="G447" t="n">
        <v>1.9</v>
      </c>
      <c r="H447" t="n">
        <v>0</v>
      </c>
      <c r="I447" t="n">
        <v>0</v>
      </c>
      <c r="J447" t="n">
        <v>0</v>
      </c>
      <c r="K447" t="n">
        <v>0</v>
      </c>
      <c r="L447" t="n">
        <v>0</v>
      </c>
      <c r="M447" t="n">
        <v>0</v>
      </c>
      <c r="N447" t="n">
        <v>0</v>
      </c>
      <c r="O447" t="n">
        <v>0</v>
      </c>
      <c r="P447" t="n">
        <v>0</v>
      </c>
      <c r="Q447" t="n">
        <v>0</v>
      </c>
      <c r="R447" s="2" t="inlineStr"/>
    </row>
    <row r="448" ht="15" customHeight="1">
      <c r="A448" t="inlineStr">
        <is>
          <t>A 49797-2024</t>
        </is>
      </c>
      <c r="B448" s="1" t="n">
        <v>45597.37265046296</v>
      </c>
      <c r="C448" s="1" t="n">
        <v>45995</v>
      </c>
      <c r="D448" t="inlineStr">
        <is>
          <t>ÖREBRO LÄN</t>
        </is>
      </c>
      <c r="E448" t="inlineStr">
        <is>
          <t>ÖREBRO</t>
        </is>
      </c>
      <c r="G448" t="n">
        <v>11.6</v>
      </c>
      <c r="H448" t="n">
        <v>0</v>
      </c>
      <c r="I448" t="n">
        <v>0</v>
      </c>
      <c r="J448" t="n">
        <v>0</v>
      </c>
      <c r="K448" t="n">
        <v>0</v>
      </c>
      <c r="L448" t="n">
        <v>0</v>
      </c>
      <c r="M448" t="n">
        <v>0</v>
      </c>
      <c r="N448" t="n">
        <v>0</v>
      </c>
      <c r="O448" t="n">
        <v>0</v>
      </c>
      <c r="P448" t="n">
        <v>0</v>
      </c>
      <c r="Q448" t="n">
        <v>0</v>
      </c>
      <c r="R448" s="2" t="inlineStr"/>
    </row>
    <row r="449" ht="15" customHeight="1">
      <c r="A449" t="inlineStr">
        <is>
          <t>A 32086-2023</t>
        </is>
      </c>
      <c r="B449" s="1" t="n">
        <v>45119.59789351852</v>
      </c>
      <c r="C449" s="1" t="n">
        <v>45995</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13856-2022</t>
        </is>
      </c>
      <c r="B450" s="1" t="n">
        <v>44649.6965162037</v>
      </c>
      <c r="C450" s="1" t="n">
        <v>45995</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21338-2025</t>
        </is>
      </c>
      <c r="B451" s="1" t="n">
        <v>45780</v>
      </c>
      <c r="C451" s="1" t="n">
        <v>45995</v>
      </c>
      <c r="D451" t="inlineStr">
        <is>
          <t>ÖREBRO LÄN</t>
        </is>
      </c>
      <c r="E451" t="inlineStr">
        <is>
          <t>ÖREBRO</t>
        </is>
      </c>
      <c r="G451" t="n">
        <v>3.2</v>
      </c>
      <c r="H451" t="n">
        <v>0</v>
      </c>
      <c r="I451" t="n">
        <v>0</v>
      </c>
      <c r="J451" t="n">
        <v>0</v>
      </c>
      <c r="K451" t="n">
        <v>0</v>
      </c>
      <c r="L451" t="n">
        <v>0</v>
      </c>
      <c r="M451" t="n">
        <v>0</v>
      </c>
      <c r="N451" t="n">
        <v>0</v>
      </c>
      <c r="O451" t="n">
        <v>0</v>
      </c>
      <c r="P451" t="n">
        <v>0</v>
      </c>
      <c r="Q451" t="n">
        <v>0</v>
      </c>
      <c r="R451" s="2" t="inlineStr"/>
    </row>
    <row r="452" ht="15" customHeight="1">
      <c r="A452" t="inlineStr">
        <is>
          <t>A 23863-2023</t>
        </is>
      </c>
      <c r="B452" s="1" t="n">
        <v>45078.48994212963</v>
      </c>
      <c r="C452" s="1" t="n">
        <v>45995</v>
      </c>
      <c r="D452" t="inlineStr">
        <is>
          <t>ÖREBRO LÄN</t>
        </is>
      </c>
      <c r="E452" t="inlineStr">
        <is>
          <t>ÖREBRO</t>
        </is>
      </c>
      <c r="F452" t="inlineStr">
        <is>
          <t>Övriga Aktiebolag</t>
        </is>
      </c>
      <c r="G452" t="n">
        <v>5.9</v>
      </c>
      <c r="H452" t="n">
        <v>0</v>
      </c>
      <c r="I452" t="n">
        <v>0</v>
      </c>
      <c r="J452" t="n">
        <v>0</v>
      </c>
      <c r="K452" t="n">
        <v>0</v>
      </c>
      <c r="L452" t="n">
        <v>0</v>
      </c>
      <c r="M452" t="n">
        <v>0</v>
      </c>
      <c r="N452" t="n">
        <v>0</v>
      </c>
      <c r="O452" t="n">
        <v>0</v>
      </c>
      <c r="P452" t="n">
        <v>0</v>
      </c>
      <c r="Q452" t="n">
        <v>0</v>
      </c>
      <c r="R452" s="2" t="inlineStr"/>
    </row>
    <row r="453" ht="15" customHeight="1">
      <c r="A453" t="inlineStr">
        <is>
          <t>A 39130-2023</t>
        </is>
      </c>
      <c r="B453" s="1" t="n">
        <v>45165</v>
      </c>
      <c r="C453" s="1" t="n">
        <v>45995</v>
      </c>
      <c r="D453" t="inlineStr">
        <is>
          <t>ÖREBRO LÄN</t>
        </is>
      </c>
      <c r="E453" t="inlineStr">
        <is>
          <t>ÖREBRO</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57537-2025</t>
        </is>
      </c>
      <c r="B454" s="1" t="n">
        <v>45980.6446875</v>
      </c>
      <c r="C454" s="1" t="n">
        <v>45995</v>
      </c>
      <c r="D454" t="inlineStr">
        <is>
          <t>ÖREBRO LÄN</t>
        </is>
      </c>
      <c r="E454" t="inlineStr">
        <is>
          <t>ÖREBRO</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45995</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22755-2025</t>
        </is>
      </c>
      <c r="B456" s="1" t="n">
        <v>45789.61872685186</v>
      </c>
      <c r="C456" s="1" t="n">
        <v>45995</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44199-2024</t>
        </is>
      </c>
      <c r="B457" s="1" t="n">
        <v>45573</v>
      </c>
      <c r="C457" s="1" t="n">
        <v>45995</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34336-2024</t>
        </is>
      </c>
      <c r="B458" s="1" t="n">
        <v>45524.94774305556</v>
      </c>
      <c r="C458" s="1" t="n">
        <v>45995</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26443-2024</t>
        </is>
      </c>
      <c r="B459" s="1" t="n">
        <v>45469.49901620371</v>
      </c>
      <c r="C459" s="1" t="n">
        <v>45995</v>
      </c>
      <c r="D459" t="inlineStr">
        <is>
          <t>ÖREBRO LÄN</t>
        </is>
      </c>
      <c r="E459" t="inlineStr">
        <is>
          <t>ÖREBRO</t>
        </is>
      </c>
      <c r="G459" t="n">
        <v>5.7</v>
      </c>
      <c r="H459" t="n">
        <v>0</v>
      </c>
      <c r="I459" t="n">
        <v>0</v>
      </c>
      <c r="J459" t="n">
        <v>0</v>
      </c>
      <c r="K459" t="n">
        <v>0</v>
      </c>
      <c r="L459" t="n">
        <v>0</v>
      </c>
      <c r="M459" t="n">
        <v>0</v>
      </c>
      <c r="N459" t="n">
        <v>0</v>
      </c>
      <c r="O459" t="n">
        <v>0</v>
      </c>
      <c r="P459" t="n">
        <v>0</v>
      </c>
      <c r="Q459" t="n">
        <v>0</v>
      </c>
      <c r="R459" s="2" t="inlineStr"/>
    </row>
    <row r="460" ht="15" customHeight="1">
      <c r="A460" t="inlineStr">
        <is>
          <t>A 35477-2024</t>
        </is>
      </c>
      <c r="B460" s="1" t="n">
        <v>45531</v>
      </c>
      <c r="C460" s="1" t="n">
        <v>45995</v>
      </c>
      <c r="D460" t="inlineStr">
        <is>
          <t>ÖREBRO LÄN</t>
        </is>
      </c>
      <c r="E460" t="inlineStr">
        <is>
          <t>ÖREBRO</t>
        </is>
      </c>
      <c r="G460" t="n">
        <v>2.4</v>
      </c>
      <c r="H460" t="n">
        <v>0</v>
      </c>
      <c r="I460" t="n">
        <v>0</v>
      </c>
      <c r="J460" t="n">
        <v>0</v>
      </c>
      <c r="K460" t="n">
        <v>0</v>
      </c>
      <c r="L460" t="n">
        <v>0</v>
      </c>
      <c r="M460" t="n">
        <v>0</v>
      </c>
      <c r="N460" t="n">
        <v>0</v>
      </c>
      <c r="O460" t="n">
        <v>0</v>
      </c>
      <c r="P460" t="n">
        <v>0</v>
      </c>
      <c r="Q460" t="n">
        <v>0</v>
      </c>
      <c r="R460" s="2" t="inlineStr"/>
    </row>
    <row r="461" ht="15" customHeight="1">
      <c r="A461" t="inlineStr">
        <is>
          <t>A 22719-2025</t>
        </is>
      </c>
      <c r="B461" s="1" t="n">
        <v>45789</v>
      </c>
      <c r="C461" s="1" t="n">
        <v>45995</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30316-2024</t>
        </is>
      </c>
      <c r="B462" s="1" t="n">
        <v>45490</v>
      </c>
      <c r="C462" s="1" t="n">
        <v>45995</v>
      </c>
      <c r="D462" t="inlineStr">
        <is>
          <t>ÖREBRO LÄN</t>
        </is>
      </c>
      <c r="E462" t="inlineStr">
        <is>
          <t>ÖREBRO</t>
        </is>
      </c>
      <c r="G462" t="n">
        <v>5.5</v>
      </c>
      <c r="H462" t="n">
        <v>0</v>
      </c>
      <c r="I462" t="n">
        <v>0</v>
      </c>
      <c r="J462" t="n">
        <v>0</v>
      </c>
      <c r="K462" t="n">
        <v>0</v>
      </c>
      <c r="L462" t="n">
        <v>0</v>
      </c>
      <c r="M462" t="n">
        <v>0</v>
      </c>
      <c r="N462" t="n">
        <v>0</v>
      </c>
      <c r="O462" t="n">
        <v>0</v>
      </c>
      <c r="P462" t="n">
        <v>0</v>
      </c>
      <c r="Q462" t="n">
        <v>0</v>
      </c>
      <c r="R462" s="2" t="inlineStr"/>
    </row>
    <row r="463" ht="15" customHeight="1">
      <c r="A463" t="inlineStr">
        <is>
          <t>A 50375-2024</t>
        </is>
      </c>
      <c r="B463" s="1" t="n">
        <v>45601.29311342593</v>
      </c>
      <c r="C463" s="1" t="n">
        <v>45995</v>
      </c>
      <c r="D463" t="inlineStr">
        <is>
          <t>ÖREBRO LÄN</t>
        </is>
      </c>
      <c r="E463" t="inlineStr">
        <is>
          <t>ÖREBRO</t>
        </is>
      </c>
      <c r="G463" t="n">
        <v>5</v>
      </c>
      <c r="H463" t="n">
        <v>0</v>
      </c>
      <c r="I463" t="n">
        <v>0</v>
      </c>
      <c r="J463" t="n">
        <v>0</v>
      </c>
      <c r="K463" t="n">
        <v>0</v>
      </c>
      <c r="L463" t="n">
        <v>0</v>
      </c>
      <c r="M463" t="n">
        <v>0</v>
      </c>
      <c r="N463" t="n">
        <v>0</v>
      </c>
      <c r="O463" t="n">
        <v>0</v>
      </c>
      <c r="P463" t="n">
        <v>0</v>
      </c>
      <c r="Q463" t="n">
        <v>0</v>
      </c>
      <c r="R463" s="2" t="inlineStr"/>
    </row>
    <row r="464" ht="15" customHeight="1">
      <c r="A464" t="inlineStr">
        <is>
          <t>A 52391-2024</t>
        </is>
      </c>
      <c r="B464" s="1" t="n">
        <v>45609.43180555556</v>
      </c>
      <c r="C464" s="1" t="n">
        <v>45995</v>
      </c>
      <c r="D464" t="inlineStr">
        <is>
          <t>ÖREBRO LÄN</t>
        </is>
      </c>
      <c r="E464" t="inlineStr">
        <is>
          <t>ÖREBRO</t>
        </is>
      </c>
      <c r="G464" t="n">
        <v>1.2</v>
      </c>
      <c r="H464" t="n">
        <v>0</v>
      </c>
      <c r="I464" t="n">
        <v>0</v>
      </c>
      <c r="J464" t="n">
        <v>0</v>
      </c>
      <c r="K464" t="n">
        <v>0</v>
      </c>
      <c r="L464" t="n">
        <v>0</v>
      </c>
      <c r="M464" t="n">
        <v>0</v>
      </c>
      <c r="N464" t="n">
        <v>0</v>
      </c>
      <c r="O464" t="n">
        <v>0</v>
      </c>
      <c r="P464" t="n">
        <v>0</v>
      </c>
      <c r="Q464" t="n">
        <v>0</v>
      </c>
      <c r="R464" s="2" t="inlineStr"/>
    </row>
    <row r="465" ht="15" customHeight="1">
      <c r="A465" t="inlineStr">
        <is>
          <t>A 38790-2024</t>
        </is>
      </c>
      <c r="B465" s="1" t="n">
        <v>45547.48450231482</v>
      </c>
      <c r="C465" s="1" t="n">
        <v>45995</v>
      </c>
      <c r="D465" t="inlineStr">
        <is>
          <t>ÖREBRO LÄN</t>
        </is>
      </c>
      <c r="E465" t="inlineStr">
        <is>
          <t>ÖREBRO</t>
        </is>
      </c>
      <c r="G465" t="n">
        <v>2</v>
      </c>
      <c r="H465" t="n">
        <v>0</v>
      </c>
      <c r="I465" t="n">
        <v>0</v>
      </c>
      <c r="J465" t="n">
        <v>0</v>
      </c>
      <c r="K465" t="n">
        <v>0</v>
      </c>
      <c r="L465" t="n">
        <v>0</v>
      </c>
      <c r="M465" t="n">
        <v>0</v>
      </c>
      <c r="N465" t="n">
        <v>0</v>
      </c>
      <c r="O465" t="n">
        <v>0</v>
      </c>
      <c r="P465" t="n">
        <v>0</v>
      </c>
      <c r="Q465" t="n">
        <v>0</v>
      </c>
      <c r="R465" s="2" t="inlineStr"/>
    </row>
    <row r="466" ht="15" customHeight="1">
      <c r="A466" t="inlineStr">
        <is>
          <t>A 61279-2024</t>
        </is>
      </c>
      <c r="B466" s="1" t="n">
        <v>45645</v>
      </c>
      <c r="C466" s="1" t="n">
        <v>45995</v>
      </c>
      <c r="D466" t="inlineStr">
        <is>
          <t>ÖREBRO LÄN</t>
        </is>
      </c>
      <c r="E466" t="inlineStr">
        <is>
          <t>ÖREBRO</t>
        </is>
      </c>
      <c r="G466" t="n">
        <v>0.7</v>
      </c>
      <c r="H466" t="n">
        <v>0</v>
      </c>
      <c r="I466" t="n">
        <v>0</v>
      </c>
      <c r="J466" t="n">
        <v>0</v>
      </c>
      <c r="K466" t="n">
        <v>0</v>
      </c>
      <c r="L466" t="n">
        <v>0</v>
      </c>
      <c r="M466" t="n">
        <v>0</v>
      </c>
      <c r="N466" t="n">
        <v>0</v>
      </c>
      <c r="O466" t="n">
        <v>0</v>
      </c>
      <c r="P466" t="n">
        <v>0</v>
      </c>
      <c r="Q466" t="n">
        <v>0</v>
      </c>
      <c r="R466" s="2" t="inlineStr"/>
    </row>
    <row r="467" ht="15" customHeight="1">
      <c r="A467" t="inlineStr">
        <is>
          <t>A 71269-2021</t>
        </is>
      </c>
      <c r="B467" s="1" t="n">
        <v>44539</v>
      </c>
      <c r="C467" s="1" t="n">
        <v>45995</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15555-2025</t>
        </is>
      </c>
      <c r="B468" s="1" t="n">
        <v>45747.67768518518</v>
      </c>
      <c r="C468" s="1" t="n">
        <v>45995</v>
      </c>
      <c r="D468" t="inlineStr">
        <is>
          <t>ÖREBRO LÄN</t>
        </is>
      </c>
      <c r="E468" t="inlineStr">
        <is>
          <t>ÖREBRO</t>
        </is>
      </c>
      <c r="G468" t="n">
        <v>1.7</v>
      </c>
      <c r="H468" t="n">
        <v>0</v>
      </c>
      <c r="I468" t="n">
        <v>0</v>
      </c>
      <c r="J468" t="n">
        <v>0</v>
      </c>
      <c r="K468" t="n">
        <v>0</v>
      </c>
      <c r="L468" t="n">
        <v>0</v>
      </c>
      <c r="M468" t="n">
        <v>0</v>
      </c>
      <c r="N468" t="n">
        <v>0</v>
      </c>
      <c r="O468" t="n">
        <v>0</v>
      </c>
      <c r="P468" t="n">
        <v>0</v>
      </c>
      <c r="Q468" t="n">
        <v>0</v>
      </c>
      <c r="R468" s="2" t="inlineStr"/>
    </row>
    <row r="469" ht="15" customHeight="1">
      <c r="A469" t="inlineStr">
        <is>
          <t>A 58230-2025</t>
        </is>
      </c>
      <c r="B469" s="1" t="n">
        <v>45985.38037037037</v>
      </c>
      <c r="C469" s="1" t="n">
        <v>45995</v>
      </c>
      <c r="D469" t="inlineStr">
        <is>
          <t>ÖREBRO LÄN</t>
        </is>
      </c>
      <c r="E469" t="inlineStr">
        <is>
          <t>ÖREBRO</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58532-2024</t>
        </is>
      </c>
      <c r="B470" s="1" t="n">
        <v>45635.44899305556</v>
      </c>
      <c r="C470" s="1" t="n">
        <v>45995</v>
      </c>
      <c r="D470" t="inlineStr">
        <is>
          <t>ÖREBRO LÄN</t>
        </is>
      </c>
      <c r="E470" t="inlineStr">
        <is>
          <t>ÖREBRO</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58587-2025</t>
        </is>
      </c>
      <c r="B471" s="1" t="n">
        <v>45986.40208333333</v>
      </c>
      <c r="C471" s="1" t="n">
        <v>45995</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20150-2024</t>
        </is>
      </c>
      <c r="B472" s="1" t="n">
        <v>45434.57969907407</v>
      </c>
      <c r="C472" s="1" t="n">
        <v>45995</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5136-2024</t>
        </is>
      </c>
      <c r="B473" s="1" t="n">
        <v>45330</v>
      </c>
      <c r="C473" s="1" t="n">
        <v>45995</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50311-2025</t>
        </is>
      </c>
      <c r="B474" s="1" t="n">
        <v>45944</v>
      </c>
      <c r="C474" s="1" t="n">
        <v>45995</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58208-2024</t>
        </is>
      </c>
      <c r="B475" s="1" t="n">
        <v>45632</v>
      </c>
      <c r="C475" s="1" t="n">
        <v>45995</v>
      </c>
      <c r="D475" t="inlineStr">
        <is>
          <t>ÖREBRO LÄN</t>
        </is>
      </c>
      <c r="E475" t="inlineStr">
        <is>
          <t>ÖREBRO</t>
        </is>
      </c>
      <c r="G475" t="n">
        <v>3.1</v>
      </c>
      <c r="H475" t="n">
        <v>0</v>
      </c>
      <c r="I475" t="n">
        <v>0</v>
      </c>
      <c r="J475" t="n">
        <v>0</v>
      </c>
      <c r="K475" t="n">
        <v>0</v>
      </c>
      <c r="L475" t="n">
        <v>0</v>
      </c>
      <c r="M475" t="n">
        <v>0</v>
      </c>
      <c r="N475" t="n">
        <v>0</v>
      </c>
      <c r="O475" t="n">
        <v>0</v>
      </c>
      <c r="P475" t="n">
        <v>0</v>
      </c>
      <c r="Q475" t="n">
        <v>0</v>
      </c>
      <c r="R475" s="2" t="inlineStr"/>
    </row>
    <row r="476" ht="15" customHeight="1">
      <c r="A476" t="inlineStr">
        <is>
          <t>A 19388-2024</t>
        </is>
      </c>
      <c r="B476" s="1" t="n">
        <v>45429.37775462963</v>
      </c>
      <c r="C476" s="1" t="n">
        <v>45995</v>
      </c>
      <c r="D476" t="inlineStr">
        <is>
          <t>ÖREBRO LÄN</t>
        </is>
      </c>
      <c r="E476" t="inlineStr">
        <is>
          <t>ÖREBRO</t>
        </is>
      </c>
      <c r="G476" t="n">
        <v>4.3</v>
      </c>
      <c r="H476" t="n">
        <v>0</v>
      </c>
      <c r="I476" t="n">
        <v>0</v>
      </c>
      <c r="J476" t="n">
        <v>0</v>
      </c>
      <c r="K476" t="n">
        <v>0</v>
      </c>
      <c r="L476" t="n">
        <v>0</v>
      </c>
      <c r="M476" t="n">
        <v>0</v>
      </c>
      <c r="N476" t="n">
        <v>0</v>
      </c>
      <c r="O476" t="n">
        <v>0</v>
      </c>
      <c r="P476" t="n">
        <v>0</v>
      </c>
      <c r="Q476" t="n">
        <v>0</v>
      </c>
      <c r="R476" s="2" t="inlineStr"/>
    </row>
    <row r="477" ht="15" customHeight="1">
      <c r="A477" t="inlineStr">
        <is>
          <t>A 7506-2025</t>
        </is>
      </c>
      <c r="B477" s="1" t="n">
        <v>45705</v>
      </c>
      <c r="C477" s="1" t="n">
        <v>45995</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4344-2025</t>
        </is>
      </c>
      <c r="B478" s="1" t="n">
        <v>45685</v>
      </c>
      <c r="C478" s="1" t="n">
        <v>45995</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59145-2025</t>
        </is>
      </c>
      <c r="B479" s="1" t="n">
        <v>45988.52015046297</v>
      </c>
      <c r="C479" s="1" t="n">
        <v>45995</v>
      </c>
      <c r="D479" t="inlineStr">
        <is>
          <t>ÖREBRO LÄN</t>
        </is>
      </c>
      <c r="E479" t="inlineStr">
        <is>
          <t>ÖREBRO</t>
        </is>
      </c>
      <c r="G479" t="n">
        <v>0.8</v>
      </c>
      <c r="H479" t="n">
        <v>0</v>
      </c>
      <c r="I479" t="n">
        <v>0</v>
      </c>
      <c r="J479" t="n">
        <v>0</v>
      </c>
      <c r="K479" t="n">
        <v>0</v>
      </c>
      <c r="L479" t="n">
        <v>0</v>
      </c>
      <c r="M479" t="n">
        <v>0</v>
      </c>
      <c r="N479" t="n">
        <v>0</v>
      </c>
      <c r="O479" t="n">
        <v>0</v>
      </c>
      <c r="P479" t="n">
        <v>0</v>
      </c>
      <c r="Q479" t="n">
        <v>0</v>
      </c>
      <c r="R479" s="2" t="inlineStr"/>
    </row>
    <row r="480" ht="15" customHeight="1">
      <c r="A480" t="inlineStr">
        <is>
          <t>A 16300-2022</t>
        </is>
      </c>
      <c r="B480" s="1" t="n">
        <v>44670</v>
      </c>
      <c r="C480" s="1" t="n">
        <v>45995</v>
      </c>
      <c r="D480" t="inlineStr">
        <is>
          <t>ÖREBRO LÄN</t>
        </is>
      </c>
      <c r="E480" t="inlineStr">
        <is>
          <t>ÖREBRO</t>
        </is>
      </c>
      <c r="G480" t="n">
        <v>0.8</v>
      </c>
      <c r="H480" t="n">
        <v>0</v>
      </c>
      <c r="I480" t="n">
        <v>0</v>
      </c>
      <c r="J480" t="n">
        <v>0</v>
      </c>
      <c r="K480" t="n">
        <v>0</v>
      </c>
      <c r="L480" t="n">
        <v>0</v>
      </c>
      <c r="M480" t="n">
        <v>0</v>
      </c>
      <c r="N480" t="n">
        <v>0</v>
      </c>
      <c r="O480" t="n">
        <v>0</v>
      </c>
      <c r="P480" t="n">
        <v>0</v>
      </c>
      <c r="Q480" t="n">
        <v>0</v>
      </c>
      <c r="R480" s="2" t="inlineStr"/>
    </row>
    <row r="481" ht="15" customHeight="1">
      <c r="A481" t="inlineStr">
        <is>
          <t>A 4380-2025</t>
        </is>
      </c>
      <c r="B481" s="1" t="n">
        <v>45686.3959375</v>
      </c>
      <c r="C481" s="1" t="n">
        <v>45995</v>
      </c>
      <c r="D481" t="inlineStr">
        <is>
          <t>ÖREBRO LÄN</t>
        </is>
      </c>
      <c r="E481" t="inlineStr">
        <is>
          <t>ÖREBRO</t>
        </is>
      </c>
      <c r="G481" t="n">
        <v>3.2</v>
      </c>
      <c r="H481" t="n">
        <v>0</v>
      </c>
      <c r="I481" t="n">
        <v>0</v>
      </c>
      <c r="J481" t="n">
        <v>0</v>
      </c>
      <c r="K481" t="n">
        <v>0</v>
      </c>
      <c r="L481" t="n">
        <v>0</v>
      </c>
      <c r="M481" t="n">
        <v>0</v>
      </c>
      <c r="N481" t="n">
        <v>0</v>
      </c>
      <c r="O481" t="n">
        <v>0</v>
      </c>
      <c r="P481" t="n">
        <v>0</v>
      </c>
      <c r="Q481" t="n">
        <v>0</v>
      </c>
      <c r="R481" s="2" t="inlineStr"/>
    </row>
    <row r="482" ht="15" customHeight="1">
      <c r="A482" t="inlineStr">
        <is>
          <t>A 58838-2025</t>
        </is>
      </c>
      <c r="B482" s="1" t="n">
        <v>45987.35973379629</v>
      </c>
      <c r="C482" s="1" t="n">
        <v>45995</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44676.50481481481</v>
      </c>
      <c r="C483" s="1" t="n">
        <v>45995</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55472-2023</t>
        </is>
      </c>
      <c r="B484" s="1" t="n">
        <v>45238</v>
      </c>
      <c r="C484" s="1" t="n">
        <v>45995</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58835-2025</t>
        </is>
      </c>
      <c r="B485" s="1" t="n">
        <v>45987.35519675926</v>
      </c>
      <c r="C485" s="1" t="n">
        <v>45995</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54925-2023</t>
        </is>
      </c>
      <c r="B486" s="1" t="n">
        <v>45229</v>
      </c>
      <c r="C486" s="1" t="n">
        <v>45995</v>
      </c>
      <c r="D486" t="inlineStr">
        <is>
          <t>ÖREBRO LÄN</t>
        </is>
      </c>
      <c r="E486" t="inlineStr">
        <is>
          <t>ÖREBRO</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8568-2021</t>
        </is>
      </c>
      <c r="B487" s="1" t="n">
        <v>44245</v>
      </c>
      <c r="C487" s="1" t="n">
        <v>45995</v>
      </c>
      <c r="D487" t="inlineStr">
        <is>
          <t>ÖREBRO LÄN</t>
        </is>
      </c>
      <c r="E487" t="inlineStr">
        <is>
          <t>ÖREBRO</t>
        </is>
      </c>
      <c r="G487" t="n">
        <v>4.8</v>
      </c>
      <c r="H487" t="n">
        <v>0</v>
      </c>
      <c r="I487" t="n">
        <v>0</v>
      </c>
      <c r="J487" t="n">
        <v>0</v>
      </c>
      <c r="K487" t="n">
        <v>0</v>
      </c>
      <c r="L487" t="n">
        <v>0</v>
      </c>
      <c r="M487" t="n">
        <v>0</v>
      </c>
      <c r="N487" t="n">
        <v>0</v>
      </c>
      <c r="O487" t="n">
        <v>0</v>
      </c>
      <c r="P487" t="n">
        <v>0</v>
      </c>
      <c r="Q487" t="n">
        <v>0</v>
      </c>
      <c r="R487" s="2" t="inlineStr"/>
    </row>
    <row r="488" ht="15" customHeight="1">
      <c r="A488" t="inlineStr">
        <is>
          <t>A 16961-2022</t>
        </is>
      </c>
      <c r="B488" s="1" t="n">
        <v>44676</v>
      </c>
      <c r="C488" s="1" t="n">
        <v>45995</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34358-2022</t>
        </is>
      </c>
      <c r="B489" s="1" t="n">
        <v>44792.45494212963</v>
      </c>
      <c r="C489" s="1" t="n">
        <v>45995</v>
      </c>
      <c r="D489" t="inlineStr">
        <is>
          <t>ÖREBRO LÄN</t>
        </is>
      </c>
      <c r="E489" t="inlineStr">
        <is>
          <t>ÖREBRO</t>
        </is>
      </c>
      <c r="F489" t="inlineStr">
        <is>
          <t>Övriga Aktiebolag</t>
        </is>
      </c>
      <c r="G489" t="n">
        <v>3.4</v>
      </c>
      <c r="H489" t="n">
        <v>0</v>
      </c>
      <c r="I489" t="n">
        <v>0</v>
      </c>
      <c r="J489" t="n">
        <v>0</v>
      </c>
      <c r="K489" t="n">
        <v>0</v>
      </c>
      <c r="L489" t="n">
        <v>0</v>
      </c>
      <c r="M489" t="n">
        <v>0</v>
      </c>
      <c r="N489" t="n">
        <v>0</v>
      </c>
      <c r="O489" t="n">
        <v>0</v>
      </c>
      <c r="P489" t="n">
        <v>0</v>
      </c>
      <c r="Q489" t="n">
        <v>0</v>
      </c>
      <c r="R489" s="2" t="inlineStr"/>
    </row>
    <row r="490" ht="15" customHeight="1">
      <c r="A490" t="inlineStr">
        <is>
          <t>A 51249-2025</t>
        </is>
      </c>
      <c r="B490" s="1" t="n">
        <v>45948.45704861111</v>
      </c>
      <c r="C490" s="1" t="n">
        <v>45995</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59858-2025</t>
        </is>
      </c>
      <c r="B491" s="1" t="n">
        <v>45992.76758101852</v>
      </c>
      <c r="C491" s="1" t="n">
        <v>45995</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59859-2025</t>
        </is>
      </c>
      <c r="B492" s="1" t="n">
        <v>45992.7803125</v>
      </c>
      <c r="C492" s="1" t="n">
        <v>45995</v>
      </c>
      <c r="D492" t="inlineStr">
        <is>
          <t>ÖREBRO LÄN</t>
        </is>
      </c>
      <c r="E492" t="inlineStr">
        <is>
          <t>ÖREBRO</t>
        </is>
      </c>
      <c r="G492" t="n">
        <v>0.4</v>
      </c>
      <c r="H492" t="n">
        <v>0</v>
      </c>
      <c r="I492" t="n">
        <v>0</v>
      </c>
      <c r="J492" t="n">
        <v>0</v>
      </c>
      <c r="K492" t="n">
        <v>0</v>
      </c>
      <c r="L492" t="n">
        <v>0</v>
      </c>
      <c r="M492" t="n">
        <v>0</v>
      </c>
      <c r="N492" t="n">
        <v>0</v>
      </c>
      <c r="O492" t="n">
        <v>0</v>
      </c>
      <c r="P492" t="n">
        <v>0</v>
      </c>
      <c r="Q492" t="n">
        <v>0</v>
      </c>
      <c r="R492" s="2" t="inlineStr"/>
    </row>
    <row r="493" ht="15" customHeight="1">
      <c r="A493" t="inlineStr">
        <is>
          <t>A 59860-2025</t>
        </is>
      </c>
      <c r="B493" s="1" t="n">
        <v>45992.78351851852</v>
      </c>
      <c r="C493" s="1" t="n">
        <v>45995</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15695-2024</t>
        </is>
      </c>
      <c r="B494" s="1" t="n">
        <v>45404.45487268519</v>
      </c>
      <c r="C494" s="1" t="n">
        <v>45995</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15424-2022</t>
        </is>
      </c>
      <c r="B495" s="1" t="n">
        <v>44659</v>
      </c>
      <c r="C495" s="1" t="n">
        <v>45995</v>
      </c>
      <c r="D495" t="inlineStr">
        <is>
          <t>ÖREBRO LÄN</t>
        </is>
      </c>
      <c r="E495" t="inlineStr">
        <is>
          <t>ÖREBRO</t>
        </is>
      </c>
      <c r="G495" t="n">
        <v>2.2</v>
      </c>
      <c r="H495" t="n">
        <v>0</v>
      </c>
      <c r="I495" t="n">
        <v>0</v>
      </c>
      <c r="J495" t="n">
        <v>0</v>
      </c>
      <c r="K495" t="n">
        <v>0</v>
      </c>
      <c r="L495" t="n">
        <v>0</v>
      </c>
      <c r="M495" t="n">
        <v>0</v>
      </c>
      <c r="N495" t="n">
        <v>0</v>
      </c>
      <c r="O495" t="n">
        <v>0</v>
      </c>
      <c r="P495" t="n">
        <v>0</v>
      </c>
      <c r="Q495" t="n">
        <v>0</v>
      </c>
      <c r="R495" s="2" t="inlineStr"/>
    </row>
    <row r="496" ht="15" customHeight="1">
      <c r="A496" t="inlineStr">
        <is>
          <t>A 5406-2025</t>
        </is>
      </c>
      <c r="B496" s="1" t="n">
        <v>45692.64821759259</v>
      </c>
      <c r="C496" s="1" t="n">
        <v>45995</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13700-2024</t>
        </is>
      </c>
      <c r="B497" s="1" t="n">
        <v>45390.59277777778</v>
      </c>
      <c r="C497" s="1" t="n">
        <v>45995</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51248-2025</t>
        </is>
      </c>
      <c r="B498" s="1" t="n">
        <v>45948.450625</v>
      </c>
      <c r="C498" s="1" t="n">
        <v>45995</v>
      </c>
      <c r="D498" t="inlineStr">
        <is>
          <t>ÖREBRO LÄN</t>
        </is>
      </c>
      <c r="E498" t="inlineStr">
        <is>
          <t>ÖREBRO</t>
        </is>
      </c>
      <c r="G498" t="n">
        <v>4.4</v>
      </c>
      <c r="H498" t="n">
        <v>0</v>
      </c>
      <c r="I498" t="n">
        <v>0</v>
      </c>
      <c r="J498" t="n">
        <v>0</v>
      </c>
      <c r="K498" t="n">
        <v>0</v>
      </c>
      <c r="L498" t="n">
        <v>0</v>
      </c>
      <c r="M498" t="n">
        <v>0</v>
      </c>
      <c r="N498" t="n">
        <v>0</v>
      </c>
      <c r="O498" t="n">
        <v>0</v>
      </c>
      <c r="P498" t="n">
        <v>0</v>
      </c>
      <c r="Q498" t="n">
        <v>0</v>
      </c>
      <c r="R498" s="2" t="inlineStr"/>
    </row>
    <row r="499" ht="15" customHeight="1">
      <c r="A499" t="inlineStr">
        <is>
          <t>A 59515-2025</t>
        </is>
      </c>
      <c r="B499" s="1" t="n">
        <v>45989.65238425926</v>
      </c>
      <c r="C499" s="1" t="n">
        <v>45995</v>
      </c>
      <c r="D499" t="inlineStr">
        <is>
          <t>ÖREBRO LÄN</t>
        </is>
      </c>
      <c r="E499" t="inlineStr">
        <is>
          <t>ÖREBRO</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3659-2025</t>
        </is>
      </c>
      <c r="B500" s="1" t="n">
        <v>45681</v>
      </c>
      <c r="C500" s="1" t="n">
        <v>45995</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22348-2024</t>
        </is>
      </c>
      <c r="B501" s="1" t="n">
        <v>45446.61256944444</v>
      </c>
      <c r="C501" s="1" t="n">
        <v>45995</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59313-2025</t>
        </is>
      </c>
      <c r="B502" s="1" t="n">
        <v>45989.30920138889</v>
      </c>
      <c r="C502" s="1" t="n">
        <v>45995</v>
      </c>
      <c r="D502" t="inlineStr">
        <is>
          <t>ÖREBRO LÄN</t>
        </is>
      </c>
      <c r="E502" t="inlineStr">
        <is>
          <t>ÖREBRO</t>
        </is>
      </c>
      <c r="G502" t="n">
        <v>1.6</v>
      </c>
      <c r="H502" t="n">
        <v>0</v>
      </c>
      <c r="I502" t="n">
        <v>0</v>
      </c>
      <c r="J502" t="n">
        <v>0</v>
      </c>
      <c r="K502" t="n">
        <v>0</v>
      </c>
      <c r="L502" t="n">
        <v>0</v>
      </c>
      <c r="M502" t="n">
        <v>0</v>
      </c>
      <c r="N502" t="n">
        <v>0</v>
      </c>
      <c r="O502" t="n">
        <v>0</v>
      </c>
      <c r="P502" t="n">
        <v>0</v>
      </c>
      <c r="Q502" t="n">
        <v>0</v>
      </c>
      <c r="R502" s="2" t="inlineStr"/>
    </row>
    <row r="503" ht="15" customHeight="1">
      <c r="A503" t="inlineStr">
        <is>
          <t>A 52018-2024</t>
        </is>
      </c>
      <c r="B503" s="1" t="n">
        <v>45607.82974537037</v>
      </c>
      <c r="C503" s="1" t="n">
        <v>45995</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30089-2024</t>
        </is>
      </c>
      <c r="B504" s="1" t="n">
        <v>45485</v>
      </c>
      <c r="C504" s="1" t="n">
        <v>45995</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59856-2025</t>
        </is>
      </c>
      <c r="B505" s="1" t="n">
        <v>45992.74891203704</v>
      </c>
      <c r="C505" s="1" t="n">
        <v>45995</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1014-2024</t>
        </is>
      </c>
      <c r="B506" s="1" t="n">
        <v>45301</v>
      </c>
      <c r="C506" s="1" t="n">
        <v>45995</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59857-2025</t>
        </is>
      </c>
      <c r="B507" s="1" t="n">
        <v>45992.75820601852</v>
      </c>
      <c r="C507" s="1" t="n">
        <v>45995</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59312-2025</t>
        </is>
      </c>
      <c r="B508" s="1" t="n">
        <v>45989.30467592592</v>
      </c>
      <c r="C508" s="1" t="n">
        <v>45995</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8374-2021</t>
        </is>
      </c>
      <c r="B509" s="1" t="n">
        <v>44244</v>
      </c>
      <c r="C509" s="1" t="n">
        <v>45995</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71295-2021</t>
        </is>
      </c>
      <c r="B510" s="1" t="n">
        <v>44539.63009259259</v>
      </c>
      <c r="C510" s="1" t="n">
        <v>45995</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46030-2024</t>
        </is>
      </c>
      <c r="B511" s="1" t="n">
        <v>45580.70377314815</v>
      </c>
      <c r="C511" s="1" t="n">
        <v>45995</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5643-2025</t>
        </is>
      </c>
      <c r="B512" s="1" t="n">
        <v>45693</v>
      </c>
      <c r="C512" s="1" t="n">
        <v>45995</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767-2024</t>
        </is>
      </c>
      <c r="B513" s="1" t="n">
        <v>45300.51892361111</v>
      </c>
      <c r="C513" s="1" t="n">
        <v>45995</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44511-2023</t>
        </is>
      </c>
      <c r="B514" s="1" t="n">
        <v>45189</v>
      </c>
      <c r="C514" s="1" t="n">
        <v>45995</v>
      </c>
      <c r="D514" t="inlineStr">
        <is>
          <t>ÖREBRO LÄN</t>
        </is>
      </c>
      <c r="E514" t="inlineStr">
        <is>
          <t>ÖREBRO</t>
        </is>
      </c>
      <c r="F514" t="inlineStr">
        <is>
          <t>Allmännings- och besparingsskogar</t>
        </is>
      </c>
      <c r="G514" t="n">
        <v>2.7</v>
      </c>
      <c r="H514" t="n">
        <v>0</v>
      </c>
      <c r="I514" t="n">
        <v>0</v>
      </c>
      <c r="J514" t="n">
        <v>0</v>
      </c>
      <c r="K514" t="n">
        <v>0</v>
      </c>
      <c r="L514" t="n">
        <v>0</v>
      </c>
      <c r="M514" t="n">
        <v>0</v>
      </c>
      <c r="N514" t="n">
        <v>0</v>
      </c>
      <c r="O514" t="n">
        <v>0</v>
      </c>
      <c r="P514" t="n">
        <v>0</v>
      </c>
      <c r="Q514" t="n">
        <v>0</v>
      </c>
      <c r="R514" s="2" t="inlineStr"/>
    </row>
    <row r="515" ht="15" customHeight="1">
      <c r="A515" t="inlineStr">
        <is>
          <t>A 53234-2023</t>
        </is>
      </c>
      <c r="B515" s="1" t="n">
        <v>45229</v>
      </c>
      <c r="C515" s="1" t="n">
        <v>45995</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8512-2025</t>
        </is>
      </c>
      <c r="B516" s="1" t="n">
        <v>45709.54873842592</v>
      </c>
      <c r="C516" s="1" t="n">
        <v>45995</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11516-2024</t>
        </is>
      </c>
      <c r="B517" s="1" t="n">
        <v>45372</v>
      </c>
      <c r="C517" s="1" t="n">
        <v>45995</v>
      </c>
      <c r="D517" t="inlineStr">
        <is>
          <t>ÖREBRO LÄN</t>
        </is>
      </c>
      <c r="E517" t="inlineStr">
        <is>
          <t>ÖREBRO</t>
        </is>
      </c>
      <c r="G517" t="n">
        <v>10.7</v>
      </c>
      <c r="H517" t="n">
        <v>0</v>
      </c>
      <c r="I517" t="n">
        <v>0</v>
      </c>
      <c r="J517" t="n">
        <v>0</v>
      </c>
      <c r="K517" t="n">
        <v>0</v>
      </c>
      <c r="L517" t="n">
        <v>0</v>
      </c>
      <c r="M517" t="n">
        <v>0</v>
      </c>
      <c r="N517" t="n">
        <v>0</v>
      </c>
      <c r="O517" t="n">
        <v>0</v>
      </c>
      <c r="P517" t="n">
        <v>0</v>
      </c>
      <c r="Q517" t="n">
        <v>0</v>
      </c>
      <c r="R517" s="2" t="inlineStr"/>
    </row>
    <row r="518" ht="15" customHeight="1">
      <c r="A518" t="inlineStr">
        <is>
          <t>A 51925-2025</t>
        </is>
      </c>
      <c r="B518" s="1" t="n">
        <v>45952.49476851852</v>
      </c>
      <c r="C518" s="1" t="n">
        <v>45995</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5342-2024</t>
        </is>
      </c>
      <c r="B519" s="1" t="n">
        <v>45331.44145833333</v>
      </c>
      <c r="C519" s="1" t="n">
        <v>45995</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28054-2022</t>
        </is>
      </c>
      <c r="B520" s="1" t="n">
        <v>44746.41938657407</v>
      </c>
      <c r="C520" s="1" t="n">
        <v>45995</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1647-2024</t>
        </is>
      </c>
      <c r="B521" s="1" t="n">
        <v>45306</v>
      </c>
      <c r="C521" s="1" t="n">
        <v>45995</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57485-2023</t>
        </is>
      </c>
      <c r="B522" s="1" t="n">
        <v>45246</v>
      </c>
      <c r="C522" s="1" t="n">
        <v>45995</v>
      </c>
      <c r="D522" t="inlineStr">
        <is>
          <t>ÖREBRO LÄN</t>
        </is>
      </c>
      <c r="E522" t="inlineStr">
        <is>
          <t>ÖREBRO</t>
        </is>
      </c>
      <c r="G522" t="n">
        <v>0.9</v>
      </c>
      <c r="H522" t="n">
        <v>0</v>
      </c>
      <c r="I522" t="n">
        <v>0</v>
      </c>
      <c r="J522" t="n">
        <v>0</v>
      </c>
      <c r="K522" t="n">
        <v>0</v>
      </c>
      <c r="L522" t="n">
        <v>0</v>
      </c>
      <c r="M522" t="n">
        <v>0</v>
      </c>
      <c r="N522" t="n">
        <v>0</v>
      </c>
      <c r="O522" t="n">
        <v>0</v>
      </c>
      <c r="P522" t="n">
        <v>0</v>
      </c>
      <c r="Q522" t="n">
        <v>0</v>
      </c>
      <c r="R522" s="2" t="inlineStr"/>
    </row>
    <row r="523" ht="15" customHeight="1">
      <c r="A523" t="inlineStr">
        <is>
          <t>A 59938-2025</t>
        </is>
      </c>
      <c r="B523" s="1" t="n">
        <v>45993.42108796296</v>
      </c>
      <c r="C523" s="1" t="n">
        <v>45995</v>
      </c>
      <c r="D523" t="inlineStr">
        <is>
          <t>ÖREBRO LÄN</t>
        </is>
      </c>
      <c r="E523" t="inlineStr">
        <is>
          <t>ÖREBRO</t>
        </is>
      </c>
      <c r="G523" t="n">
        <v>1.5</v>
      </c>
      <c r="H523" t="n">
        <v>0</v>
      </c>
      <c r="I523" t="n">
        <v>0</v>
      </c>
      <c r="J523" t="n">
        <v>0</v>
      </c>
      <c r="K523" t="n">
        <v>0</v>
      </c>
      <c r="L523" t="n">
        <v>0</v>
      </c>
      <c r="M523" t="n">
        <v>0</v>
      </c>
      <c r="N523" t="n">
        <v>0</v>
      </c>
      <c r="O523" t="n">
        <v>0</v>
      </c>
      <c r="P523" t="n">
        <v>0</v>
      </c>
      <c r="Q523" t="n">
        <v>0</v>
      </c>
      <c r="R523" s="2" t="inlineStr"/>
    </row>
    <row r="524" ht="15" customHeight="1">
      <c r="A524" t="inlineStr">
        <is>
          <t>A 51923-2025</t>
        </is>
      </c>
      <c r="B524" s="1" t="n">
        <v>45952.49300925926</v>
      </c>
      <c r="C524" s="1" t="n">
        <v>45995</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51937-2025</t>
        </is>
      </c>
      <c r="B525" s="1" t="n">
        <v>45952.51270833334</v>
      </c>
      <c r="C525" s="1" t="n">
        <v>45995</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58032-2023</t>
        </is>
      </c>
      <c r="B526" s="1" t="n">
        <v>45247</v>
      </c>
      <c r="C526" s="1" t="n">
        <v>45995</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58035-2023</t>
        </is>
      </c>
      <c r="B527" s="1" t="n">
        <v>45247</v>
      </c>
      <c r="C527" s="1" t="n">
        <v>45995</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59937-2025</t>
        </is>
      </c>
      <c r="B528" s="1" t="n">
        <v>45993.41934027777</v>
      </c>
      <c r="C528" s="1" t="n">
        <v>45995</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35829-2024</t>
        </is>
      </c>
      <c r="B529" s="1" t="n">
        <v>45532</v>
      </c>
      <c r="C529" s="1" t="n">
        <v>45995</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35833-2024</t>
        </is>
      </c>
      <c r="B530" s="1" t="n">
        <v>45532.68699074074</v>
      </c>
      <c r="C530" s="1" t="n">
        <v>45995</v>
      </c>
      <c r="D530" t="inlineStr">
        <is>
          <t>ÖREBRO LÄN</t>
        </is>
      </c>
      <c r="E530" t="inlineStr">
        <is>
          <t>ÖREBRO</t>
        </is>
      </c>
      <c r="G530" t="n">
        <v>1.8</v>
      </c>
      <c r="H530" t="n">
        <v>0</v>
      </c>
      <c r="I530" t="n">
        <v>0</v>
      </c>
      <c r="J530" t="n">
        <v>0</v>
      </c>
      <c r="K530" t="n">
        <v>0</v>
      </c>
      <c r="L530" t="n">
        <v>0</v>
      </c>
      <c r="M530" t="n">
        <v>0</v>
      </c>
      <c r="N530" t="n">
        <v>0</v>
      </c>
      <c r="O530" t="n">
        <v>0</v>
      </c>
      <c r="P530" t="n">
        <v>0</v>
      </c>
      <c r="Q530" t="n">
        <v>0</v>
      </c>
      <c r="R530" s="2" t="inlineStr"/>
    </row>
    <row r="531" ht="15" customHeight="1">
      <c r="A531" t="inlineStr">
        <is>
          <t>A 14717-2024</t>
        </is>
      </c>
      <c r="B531" s="1" t="n">
        <v>45397.55104166667</v>
      </c>
      <c r="C531" s="1" t="n">
        <v>45995</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25578-2025</t>
        </is>
      </c>
      <c r="B532" s="1" t="n">
        <v>45803.47803240741</v>
      </c>
      <c r="C532" s="1" t="n">
        <v>45995</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25519-2025</t>
        </is>
      </c>
      <c r="B533" s="1" t="n">
        <v>45803.38447916666</v>
      </c>
      <c r="C533" s="1" t="n">
        <v>45995</v>
      </c>
      <c r="D533" t="inlineStr">
        <is>
          <t>ÖREBRO LÄN</t>
        </is>
      </c>
      <c r="E533" t="inlineStr">
        <is>
          <t>ÖREBRO</t>
        </is>
      </c>
      <c r="G533" t="n">
        <v>7.4</v>
      </c>
      <c r="H533" t="n">
        <v>0</v>
      </c>
      <c r="I533" t="n">
        <v>0</v>
      </c>
      <c r="J533" t="n">
        <v>0</v>
      </c>
      <c r="K533" t="n">
        <v>0</v>
      </c>
      <c r="L533" t="n">
        <v>0</v>
      </c>
      <c r="M533" t="n">
        <v>0</v>
      </c>
      <c r="N533" t="n">
        <v>0</v>
      </c>
      <c r="O533" t="n">
        <v>0</v>
      </c>
      <c r="P533" t="n">
        <v>0</v>
      </c>
      <c r="Q533" t="n">
        <v>0</v>
      </c>
      <c r="R533" s="2" t="inlineStr"/>
    </row>
    <row r="534" ht="15" customHeight="1">
      <c r="A534" t="inlineStr">
        <is>
          <t>A 5133-2024</t>
        </is>
      </c>
      <c r="B534" s="1" t="n">
        <v>45330</v>
      </c>
      <c r="C534" s="1" t="n">
        <v>45995</v>
      </c>
      <c r="D534" t="inlineStr">
        <is>
          <t>ÖREBRO LÄN</t>
        </is>
      </c>
      <c r="E534" t="inlineStr">
        <is>
          <t>ÖREBRO</t>
        </is>
      </c>
      <c r="G534" t="n">
        <v>0.5</v>
      </c>
      <c r="H534" t="n">
        <v>0</v>
      </c>
      <c r="I534" t="n">
        <v>0</v>
      </c>
      <c r="J534" t="n">
        <v>0</v>
      </c>
      <c r="K534" t="n">
        <v>0</v>
      </c>
      <c r="L534" t="n">
        <v>0</v>
      </c>
      <c r="M534" t="n">
        <v>0</v>
      </c>
      <c r="N534" t="n">
        <v>0</v>
      </c>
      <c r="O534" t="n">
        <v>0</v>
      </c>
      <c r="P534" t="n">
        <v>0</v>
      </c>
      <c r="Q534" t="n">
        <v>0</v>
      </c>
      <c r="R534" s="2" t="inlineStr"/>
    </row>
    <row r="535" ht="15" customHeight="1">
      <c r="A535" t="inlineStr">
        <is>
          <t>A 14432-2023</t>
        </is>
      </c>
      <c r="B535" s="1" t="n">
        <v>45012</v>
      </c>
      <c r="C535" s="1" t="n">
        <v>45995</v>
      </c>
      <c r="D535" t="inlineStr">
        <is>
          <t>ÖREBRO LÄN</t>
        </is>
      </c>
      <c r="E535" t="inlineStr">
        <is>
          <t>ÖREBRO</t>
        </is>
      </c>
      <c r="G535" t="n">
        <v>3.3</v>
      </c>
      <c r="H535" t="n">
        <v>0</v>
      </c>
      <c r="I535" t="n">
        <v>0</v>
      </c>
      <c r="J535" t="n">
        <v>0</v>
      </c>
      <c r="K535" t="n">
        <v>0</v>
      </c>
      <c r="L535" t="n">
        <v>0</v>
      </c>
      <c r="M535" t="n">
        <v>0</v>
      </c>
      <c r="N535" t="n">
        <v>0</v>
      </c>
      <c r="O535" t="n">
        <v>0</v>
      </c>
      <c r="P535" t="n">
        <v>0</v>
      </c>
      <c r="Q535" t="n">
        <v>0</v>
      </c>
      <c r="R535" s="2" t="inlineStr"/>
    </row>
    <row r="536" ht="15" customHeight="1">
      <c r="A536" t="inlineStr">
        <is>
          <t>A 10339-2023</t>
        </is>
      </c>
      <c r="B536" s="1" t="n">
        <v>44987</v>
      </c>
      <c r="C536" s="1" t="n">
        <v>45995</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190-2024</t>
        </is>
      </c>
      <c r="B537" s="1" t="n">
        <v>45294.61858796296</v>
      </c>
      <c r="C537" s="1" t="n">
        <v>45995</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62497-2023</t>
        </is>
      </c>
      <c r="B538" s="1" t="n">
        <v>45268.59935185185</v>
      </c>
      <c r="C538" s="1" t="n">
        <v>45995</v>
      </c>
      <c r="D538" t="inlineStr">
        <is>
          <t>ÖREBRO LÄN</t>
        </is>
      </c>
      <c r="E538" t="inlineStr">
        <is>
          <t>ÖREBRO</t>
        </is>
      </c>
      <c r="F538" t="inlineStr">
        <is>
          <t>Övriga Aktiebolag</t>
        </is>
      </c>
      <c r="G538" t="n">
        <v>3.2</v>
      </c>
      <c r="H538" t="n">
        <v>0</v>
      </c>
      <c r="I538" t="n">
        <v>0</v>
      </c>
      <c r="J538" t="n">
        <v>0</v>
      </c>
      <c r="K538" t="n">
        <v>0</v>
      </c>
      <c r="L538" t="n">
        <v>0</v>
      </c>
      <c r="M538" t="n">
        <v>0</v>
      </c>
      <c r="N538" t="n">
        <v>0</v>
      </c>
      <c r="O538" t="n">
        <v>0</v>
      </c>
      <c r="P538" t="n">
        <v>0</v>
      </c>
      <c r="Q538" t="n">
        <v>0</v>
      </c>
      <c r="R538" s="2" t="inlineStr"/>
    </row>
    <row r="539" ht="15" customHeight="1">
      <c r="A539" t="inlineStr">
        <is>
          <t>A 43399-2022</t>
        </is>
      </c>
      <c r="B539" s="1" t="n">
        <v>44834</v>
      </c>
      <c r="C539" s="1" t="n">
        <v>45995</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63142-2023</t>
        </is>
      </c>
      <c r="B540" s="1" t="n">
        <v>45273</v>
      </c>
      <c r="C540" s="1" t="n">
        <v>45995</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37021-2024</t>
        </is>
      </c>
      <c r="B541" s="1" t="n">
        <v>45539.38146990741</v>
      </c>
      <c r="C541" s="1" t="n">
        <v>45995</v>
      </c>
      <c r="D541" t="inlineStr">
        <is>
          <t>ÖREBRO LÄN</t>
        </is>
      </c>
      <c r="E541" t="inlineStr">
        <is>
          <t>ÖREBRO</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23573-2023</t>
        </is>
      </c>
      <c r="B542" s="1" t="n">
        <v>45077.41672453703</v>
      </c>
      <c r="C542" s="1" t="n">
        <v>45995</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13762-2023</t>
        </is>
      </c>
      <c r="B543" s="1" t="n">
        <v>45007.43729166667</v>
      </c>
      <c r="C543" s="1" t="n">
        <v>45995</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27220-2025</t>
        </is>
      </c>
      <c r="B544" s="1" t="n">
        <v>45812.42293981482</v>
      </c>
      <c r="C544" s="1" t="n">
        <v>45995</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5129-2024</t>
        </is>
      </c>
      <c r="B545" s="1" t="n">
        <v>45330</v>
      </c>
      <c r="C545" s="1" t="n">
        <v>45995</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27180-2025</t>
        </is>
      </c>
      <c r="B546" s="1" t="n">
        <v>45812.35736111111</v>
      </c>
      <c r="C546" s="1" t="n">
        <v>45995</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27215-2025</t>
        </is>
      </c>
      <c r="B547" s="1" t="n">
        <v>45812.41869212963</v>
      </c>
      <c r="C547" s="1" t="n">
        <v>45995</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27225-2025</t>
        </is>
      </c>
      <c r="B548" s="1" t="n">
        <v>45812.42856481481</v>
      </c>
      <c r="C548" s="1" t="n">
        <v>45995</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1492-2022</t>
        </is>
      </c>
      <c r="B549" s="1" t="n">
        <v>44573</v>
      </c>
      <c r="C549" s="1" t="n">
        <v>45995</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59026-2024</t>
        </is>
      </c>
      <c r="B550" s="1" t="n">
        <v>45636.6875</v>
      </c>
      <c r="C550" s="1" t="n">
        <v>45995</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52623-2024</t>
        </is>
      </c>
      <c r="B551" s="1" t="n">
        <v>45609</v>
      </c>
      <c r="C551" s="1" t="n">
        <v>45995</v>
      </c>
      <c r="D551" t="inlineStr">
        <is>
          <t>ÖREBRO LÄN</t>
        </is>
      </c>
      <c r="E551" t="inlineStr">
        <is>
          <t>ÖREBRO</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62511-2023</t>
        </is>
      </c>
      <c r="B552" s="1" t="n">
        <v>45268.61855324074</v>
      </c>
      <c r="C552" s="1" t="n">
        <v>45995</v>
      </c>
      <c r="D552" t="inlineStr">
        <is>
          <t>ÖREBRO LÄN</t>
        </is>
      </c>
      <c r="E552" t="inlineStr">
        <is>
          <t>ÖREBRO</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28120-2025</t>
        </is>
      </c>
      <c r="B553" s="1" t="n">
        <v>45818.30459490741</v>
      </c>
      <c r="C553" s="1" t="n">
        <v>45995</v>
      </c>
      <c r="D553" t="inlineStr">
        <is>
          <t>ÖREBRO LÄN</t>
        </is>
      </c>
      <c r="E553" t="inlineStr">
        <is>
          <t>ÖREBRO</t>
        </is>
      </c>
      <c r="G553" t="n">
        <v>1.5</v>
      </c>
      <c r="H553" t="n">
        <v>0</v>
      </c>
      <c r="I553" t="n">
        <v>0</v>
      </c>
      <c r="J553" t="n">
        <v>0</v>
      </c>
      <c r="K553" t="n">
        <v>0</v>
      </c>
      <c r="L553" t="n">
        <v>0</v>
      </c>
      <c r="M553" t="n">
        <v>0</v>
      </c>
      <c r="N553" t="n">
        <v>0</v>
      </c>
      <c r="O553" t="n">
        <v>0</v>
      </c>
      <c r="P553" t="n">
        <v>0</v>
      </c>
      <c r="Q553" t="n">
        <v>0</v>
      </c>
      <c r="R553" s="2" t="inlineStr"/>
    </row>
    <row r="554" ht="15" customHeight="1">
      <c r="A554" t="inlineStr">
        <is>
          <t>A 40522-2024</t>
        </is>
      </c>
      <c r="B554" s="1" t="n">
        <v>45555.59717592593</v>
      </c>
      <c r="C554" s="1" t="n">
        <v>45995</v>
      </c>
      <c r="D554" t="inlineStr">
        <is>
          <t>ÖREBRO LÄN</t>
        </is>
      </c>
      <c r="E554" t="inlineStr">
        <is>
          <t>ÖREBRO</t>
        </is>
      </c>
      <c r="G554" t="n">
        <v>5.1</v>
      </c>
      <c r="H554" t="n">
        <v>0</v>
      </c>
      <c r="I554" t="n">
        <v>0</v>
      </c>
      <c r="J554" t="n">
        <v>0</v>
      </c>
      <c r="K554" t="n">
        <v>0</v>
      </c>
      <c r="L554" t="n">
        <v>0</v>
      </c>
      <c r="M554" t="n">
        <v>0</v>
      </c>
      <c r="N554" t="n">
        <v>0</v>
      </c>
      <c r="O554" t="n">
        <v>0</v>
      </c>
      <c r="P554" t="n">
        <v>0</v>
      </c>
      <c r="Q554" t="n">
        <v>0</v>
      </c>
      <c r="R554" s="2" t="inlineStr"/>
    </row>
    <row r="555" ht="15" customHeight="1">
      <c r="A555" t="inlineStr">
        <is>
          <t>A 33577-2023</t>
        </is>
      </c>
      <c r="B555" s="1" t="n">
        <v>45131</v>
      </c>
      <c r="C555" s="1" t="n">
        <v>45995</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28938-2025</t>
        </is>
      </c>
      <c r="B556" s="1" t="n">
        <v>45820.70626157407</v>
      </c>
      <c r="C556" s="1" t="n">
        <v>45995</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18360-2024</t>
        </is>
      </c>
      <c r="B557" s="1" t="n">
        <v>45422</v>
      </c>
      <c r="C557" s="1" t="n">
        <v>45995</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7611-2024</t>
        </is>
      </c>
      <c r="B558" s="1" t="n">
        <v>45348.58864583333</v>
      </c>
      <c r="C558" s="1" t="n">
        <v>45995</v>
      </c>
      <c r="D558" t="inlineStr">
        <is>
          <t>ÖREBRO LÄN</t>
        </is>
      </c>
      <c r="E558" t="inlineStr">
        <is>
          <t>ÖREBRO</t>
        </is>
      </c>
      <c r="G558" t="n">
        <v>4.2</v>
      </c>
      <c r="H558" t="n">
        <v>0</v>
      </c>
      <c r="I558" t="n">
        <v>0</v>
      </c>
      <c r="J558" t="n">
        <v>0</v>
      </c>
      <c r="K558" t="n">
        <v>0</v>
      </c>
      <c r="L558" t="n">
        <v>0</v>
      </c>
      <c r="M558" t="n">
        <v>0</v>
      </c>
      <c r="N558" t="n">
        <v>0</v>
      </c>
      <c r="O558" t="n">
        <v>0</v>
      </c>
      <c r="P558" t="n">
        <v>0</v>
      </c>
      <c r="Q558" t="n">
        <v>0</v>
      </c>
      <c r="R558" s="2" t="inlineStr"/>
    </row>
    <row r="559" ht="15" customHeight="1">
      <c r="A559" t="inlineStr">
        <is>
          <t>A 13347-2023</t>
        </is>
      </c>
      <c r="B559" s="1" t="n">
        <v>45004</v>
      </c>
      <c r="C559" s="1" t="n">
        <v>45995</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28920-2025</t>
        </is>
      </c>
      <c r="B560" s="1" t="n">
        <v>45820.66532407407</v>
      </c>
      <c r="C560" s="1" t="n">
        <v>45995</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187-2024</t>
        </is>
      </c>
      <c r="B561" s="1" t="n">
        <v>45294</v>
      </c>
      <c r="C561" s="1" t="n">
        <v>45995</v>
      </c>
      <c r="D561" t="inlineStr">
        <is>
          <t>ÖREBRO LÄN</t>
        </is>
      </c>
      <c r="E561" t="inlineStr">
        <is>
          <t>ÖREBRO</t>
        </is>
      </c>
      <c r="G561" t="n">
        <v>5.9</v>
      </c>
      <c r="H561" t="n">
        <v>0</v>
      </c>
      <c r="I561" t="n">
        <v>0</v>
      </c>
      <c r="J561" t="n">
        <v>0</v>
      </c>
      <c r="K561" t="n">
        <v>0</v>
      </c>
      <c r="L561" t="n">
        <v>0</v>
      </c>
      <c r="M561" t="n">
        <v>0</v>
      </c>
      <c r="N561" t="n">
        <v>0</v>
      </c>
      <c r="O561" t="n">
        <v>0</v>
      </c>
      <c r="P561" t="n">
        <v>0</v>
      </c>
      <c r="Q561" t="n">
        <v>0</v>
      </c>
      <c r="R561" s="2" t="inlineStr"/>
    </row>
    <row r="562" ht="15" customHeight="1">
      <c r="A562" t="inlineStr">
        <is>
          <t>A 10832-2023</t>
        </is>
      </c>
      <c r="B562" s="1" t="n">
        <v>44990.91711805556</v>
      </c>
      <c r="C562" s="1" t="n">
        <v>45995</v>
      </c>
      <c r="D562" t="inlineStr">
        <is>
          <t>ÖREBRO LÄN</t>
        </is>
      </c>
      <c r="E562" t="inlineStr">
        <is>
          <t>ÖREBRO</t>
        </is>
      </c>
      <c r="G562" t="n">
        <v>1.4</v>
      </c>
      <c r="H562" t="n">
        <v>0</v>
      </c>
      <c r="I562" t="n">
        <v>0</v>
      </c>
      <c r="J562" t="n">
        <v>0</v>
      </c>
      <c r="K562" t="n">
        <v>0</v>
      </c>
      <c r="L562" t="n">
        <v>0</v>
      </c>
      <c r="M562" t="n">
        <v>0</v>
      </c>
      <c r="N562" t="n">
        <v>0</v>
      </c>
      <c r="O562" t="n">
        <v>0</v>
      </c>
      <c r="P562" t="n">
        <v>0</v>
      </c>
      <c r="Q562" t="n">
        <v>0</v>
      </c>
      <c r="R562" s="2" t="inlineStr"/>
    </row>
    <row r="563" ht="15" customHeight="1">
      <c r="A563" t="inlineStr">
        <is>
          <t>A 29286-2025</t>
        </is>
      </c>
      <c r="B563" s="1" t="n">
        <v>45824.43502314815</v>
      </c>
      <c r="C563" s="1" t="n">
        <v>45995</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2596-2022</t>
        </is>
      </c>
      <c r="B564" s="1" t="n">
        <v>44580</v>
      </c>
      <c r="C564" s="1" t="n">
        <v>45995</v>
      </c>
      <c r="D564" t="inlineStr">
        <is>
          <t>ÖREBRO LÄN</t>
        </is>
      </c>
      <c r="E564" t="inlineStr">
        <is>
          <t>ÖREBRO</t>
        </is>
      </c>
      <c r="G564" t="n">
        <v>4.3</v>
      </c>
      <c r="H564" t="n">
        <v>0</v>
      </c>
      <c r="I564" t="n">
        <v>0</v>
      </c>
      <c r="J564" t="n">
        <v>0</v>
      </c>
      <c r="K564" t="n">
        <v>0</v>
      </c>
      <c r="L564" t="n">
        <v>0</v>
      </c>
      <c r="M564" t="n">
        <v>0</v>
      </c>
      <c r="N564" t="n">
        <v>0</v>
      </c>
      <c r="O564" t="n">
        <v>0</v>
      </c>
      <c r="P564" t="n">
        <v>0</v>
      </c>
      <c r="Q564" t="n">
        <v>0</v>
      </c>
      <c r="R564" s="2" t="inlineStr"/>
    </row>
    <row r="565" ht="15" customHeight="1">
      <c r="A565" t="inlineStr">
        <is>
          <t>A 5338-2024</t>
        </is>
      </c>
      <c r="B565" s="1" t="n">
        <v>45331</v>
      </c>
      <c r="C565" s="1" t="n">
        <v>45995</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29339-2025</t>
        </is>
      </c>
      <c r="B566" s="1" t="n">
        <v>45824.5044212963</v>
      </c>
      <c r="C566" s="1" t="n">
        <v>45995</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14487-2023</t>
        </is>
      </c>
      <c r="B567" s="1" t="n">
        <v>45012</v>
      </c>
      <c r="C567" s="1" t="n">
        <v>45995</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60059-2023</t>
        </is>
      </c>
      <c r="B568" s="1" t="n">
        <v>45258.38157407408</v>
      </c>
      <c r="C568" s="1" t="n">
        <v>45995</v>
      </c>
      <c r="D568" t="inlineStr">
        <is>
          <t>ÖREBRO LÄN</t>
        </is>
      </c>
      <c r="E568" t="inlineStr">
        <is>
          <t>ÖREBRO</t>
        </is>
      </c>
      <c r="G568" t="n">
        <v>4</v>
      </c>
      <c r="H568" t="n">
        <v>0</v>
      </c>
      <c r="I568" t="n">
        <v>0</v>
      </c>
      <c r="J568" t="n">
        <v>0</v>
      </c>
      <c r="K568" t="n">
        <v>0</v>
      </c>
      <c r="L568" t="n">
        <v>0</v>
      </c>
      <c r="M568" t="n">
        <v>0</v>
      </c>
      <c r="N568" t="n">
        <v>0</v>
      </c>
      <c r="O568" t="n">
        <v>0</v>
      </c>
      <c r="P568" t="n">
        <v>0</v>
      </c>
      <c r="Q568" t="n">
        <v>0</v>
      </c>
      <c r="R568" s="2" t="inlineStr"/>
    </row>
    <row r="569" ht="15" customHeight="1">
      <c r="A569" t="inlineStr">
        <is>
          <t>A 8565-2021</t>
        </is>
      </c>
      <c r="B569" s="1" t="n">
        <v>44245</v>
      </c>
      <c r="C569" s="1" t="n">
        <v>45995</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4970-2022</t>
        </is>
      </c>
      <c r="B570" s="1" t="n">
        <v>44593.51175925926</v>
      </c>
      <c r="C570" s="1" t="n">
        <v>45995</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18047-2023</t>
        </is>
      </c>
      <c r="B571" s="1" t="n">
        <v>45040</v>
      </c>
      <c r="C571" s="1" t="n">
        <v>45995</v>
      </c>
      <c r="D571" t="inlineStr">
        <is>
          <t>ÖREBRO LÄN</t>
        </is>
      </c>
      <c r="E571" t="inlineStr">
        <is>
          <t>ÖREBRO</t>
        </is>
      </c>
      <c r="G571" t="n">
        <v>3.9</v>
      </c>
      <c r="H571" t="n">
        <v>0</v>
      </c>
      <c r="I571" t="n">
        <v>0</v>
      </c>
      <c r="J571" t="n">
        <v>0</v>
      </c>
      <c r="K571" t="n">
        <v>0</v>
      </c>
      <c r="L571" t="n">
        <v>0</v>
      </c>
      <c r="M571" t="n">
        <v>0</v>
      </c>
      <c r="N571" t="n">
        <v>0</v>
      </c>
      <c r="O571" t="n">
        <v>0</v>
      </c>
      <c r="P571" t="n">
        <v>0</v>
      </c>
      <c r="Q571" t="n">
        <v>0</v>
      </c>
      <c r="R571" s="2" t="inlineStr"/>
    </row>
    <row r="572" ht="15" customHeight="1">
      <c r="A572" t="inlineStr">
        <is>
          <t>A 26858-2024</t>
        </is>
      </c>
      <c r="B572" s="1" t="n">
        <v>45470</v>
      </c>
      <c r="C572" s="1" t="n">
        <v>45995</v>
      </c>
      <c r="D572" t="inlineStr">
        <is>
          <t>ÖREBRO LÄN</t>
        </is>
      </c>
      <c r="E572" t="inlineStr">
        <is>
          <t>ÖREBRO</t>
        </is>
      </c>
      <c r="G572" t="n">
        <v>2.3</v>
      </c>
      <c r="H572" t="n">
        <v>0</v>
      </c>
      <c r="I572" t="n">
        <v>0</v>
      </c>
      <c r="J572" t="n">
        <v>0</v>
      </c>
      <c r="K572" t="n">
        <v>0</v>
      </c>
      <c r="L572" t="n">
        <v>0</v>
      </c>
      <c r="M572" t="n">
        <v>0</v>
      </c>
      <c r="N572" t="n">
        <v>0</v>
      </c>
      <c r="O572" t="n">
        <v>0</v>
      </c>
      <c r="P572" t="n">
        <v>0</v>
      </c>
      <c r="Q572" t="n">
        <v>0</v>
      </c>
      <c r="R572" s="2" t="inlineStr"/>
    </row>
    <row r="573" ht="15" customHeight="1">
      <c r="A573" t="inlineStr">
        <is>
          <t>A 3789-2023</t>
        </is>
      </c>
      <c r="B573" s="1" t="n">
        <v>44951</v>
      </c>
      <c r="C573" s="1" t="n">
        <v>45995</v>
      </c>
      <c r="D573" t="inlineStr">
        <is>
          <t>ÖREBRO LÄN</t>
        </is>
      </c>
      <c r="E573" t="inlineStr">
        <is>
          <t>ÖREBRO</t>
        </is>
      </c>
      <c r="G573" t="n">
        <v>7.5</v>
      </c>
      <c r="H573" t="n">
        <v>0</v>
      </c>
      <c r="I573" t="n">
        <v>0</v>
      </c>
      <c r="J573" t="n">
        <v>0</v>
      </c>
      <c r="K573" t="n">
        <v>0</v>
      </c>
      <c r="L573" t="n">
        <v>0</v>
      </c>
      <c r="M573" t="n">
        <v>0</v>
      </c>
      <c r="N573" t="n">
        <v>0</v>
      </c>
      <c r="O573" t="n">
        <v>0</v>
      </c>
      <c r="P573" t="n">
        <v>0</v>
      </c>
      <c r="Q573" t="n">
        <v>0</v>
      </c>
      <c r="R573" s="2" t="inlineStr"/>
    </row>
    <row r="574" ht="15" customHeight="1">
      <c r="A574" t="inlineStr">
        <is>
          <t>A 29701-2025</t>
        </is>
      </c>
      <c r="B574" s="1" t="n">
        <v>45825.55261574074</v>
      </c>
      <c r="C574" s="1" t="n">
        <v>45995</v>
      </c>
      <c r="D574" t="inlineStr">
        <is>
          <t>ÖREBRO LÄN</t>
        </is>
      </c>
      <c r="E574" t="inlineStr">
        <is>
          <t>ÖREBRO</t>
        </is>
      </c>
      <c r="G574" t="n">
        <v>5.8</v>
      </c>
      <c r="H574" t="n">
        <v>0</v>
      </c>
      <c r="I574" t="n">
        <v>0</v>
      </c>
      <c r="J574" t="n">
        <v>0</v>
      </c>
      <c r="K574" t="n">
        <v>0</v>
      </c>
      <c r="L574" t="n">
        <v>0</v>
      </c>
      <c r="M574" t="n">
        <v>0</v>
      </c>
      <c r="N574" t="n">
        <v>0</v>
      </c>
      <c r="O574" t="n">
        <v>0</v>
      </c>
      <c r="P574" t="n">
        <v>0</v>
      </c>
      <c r="Q574" t="n">
        <v>0</v>
      </c>
      <c r="R574" s="2" t="inlineStr"/>
    </row>
    <row r="575" ht="15" customHeight="1">
      <c r="A575" t="inlineStr">
        <is>
          <t>A 5026-2022</t>
        </is>
      </c>
      <c r="B575" s="1" t="n">
        <v>44593.63974537037</v>
      </c>
      <c r="C575" s="1" t="n">
        <v>45995</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30550-2025</t>
        </is>
      </c>
      <c r="B576" s="1" t="n">
        <v>45831.38224537037</v>
      </c>
      <c r="C576" s="1" t="n">
        <v>45995</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30731-2025</t>
        </is>
      </c>
      <c r="B577" s="1" t="n">
        <v>45831.57280092593</v>
      </c>
      <c r="C577" s="1" t="n">
        <v>45995</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30951-2025</t>
        </is>
      </c>
      <c r="B578" s="1" t="n">
        <v>45832.43225694444</v>
      </c>
      <c r="C578" s="1" t="n">
        <v>45995</v>
      </c>
      <c r="D578" t="inlineStr">
        <is>
          <t>ÖREBRO LÄN</t>
        </is>
      </c>
      <c r="E578" t="inlineStr">
        <is>
          <t>ÖREBRO</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31066-2025</t>
        </is>
      </c>
      <c r="B579" s="1" t="n">
        <v>45832</v>
      </c>
      <c r="C579" s="1" t="n">
        <v>45995</v>
      </c>
      <c r="D579" t="inlineStr">
        <is>
          <t>ÖREBRO LÄN</t>
        </is>
      </c>
      <c r="E579" t="inlineStr">
        <is>
          <t>ÖREBRO</t>
        </is>
      </c>
      <c r="G579" t="n">
        <v>11.1</v>
      </c>
      <c r="H579" t="n">
        <v>0</v>
      </c>
      <c r="I579" t="n">
        <v>0</v>
      </c>
      <c r="J579" t="n">
        <v>0</v>
      </c>
      <c r="K579" t="n">
        <v>0</v>
      </c>
      <c r="L579" t="n">
        <v>0</v>
      </c>
      <c r="M579" t="n">
        <v>0</v>
      </c>
      <c r="N579" t="n">
        <v>0</v>
      </c>
      <c r="O579" t="n">
        <v>0</v>
      </c>
      <c r="P579" t="n">
        <v>0</v>
      </c>
      <c r="Q579" t="n">
        <v>0</v>
      </c>
      <c r="R579" s="2" t="inlineStr"/>
    </row>
    <row r="580" ht="15" customHeight="1">
      <c r="A580" t="inlineStr">
        <is>
          <t>A 54917-2023</t>
        </is>
      </c>
      <c r="B580" s="1" t="n">
        <v>45229</v>
      </c>
      <c r="C580" s="1" t="n">
        <v>45995</v>
      </c>
      <c r="D580" t="inlineStr">
        <is>
          <t>ÖREBRO LÄN</t>
        </is>
      </c>
      <c r="E580" t="inlineStr">
        <is>
          <t>ÖREBRO</t>
        </is>
      </c>
      <c r="G580" t="n">
        <v>3.1</v>
      </c>
      <c r="H580" t="n">
        <v>0</v>
      </c>
      <c r="I580" t="n">
        <v>0</v>
      </c>
      <c r="J580" t="n">
        <v>0</v>
      </c>
      <c r="K580" t="n">
        <v>0</v>
      </c>
      <c r="L580" t="n">
        <v>0</v>
      </c>
      <c r="M580" t="n">
        <v>0</v>
      </c>
      <c r="N580" t="n">
        <v>0</v>
      </c>
      <c r="O580" t="n">
        <v>0</v>
      </c>
      <c r="P580" t="n">
        <v>0</v>
      </c>
      <c r="Q580" t="n">
        <v>0</v>
      </c>
      <c r="R580" s="2" t="inlineStr"/>
    </row>
    <row r="581" ht="15" customHeight="1">
      <c r="A581" t="inlineStr">
        <is>
          <t>A 72329-2021</t>
        </is>
      </c>
      <c r="B581" s="1" t="n">
        <v>44545.46072916667</v>
      </c>
      <c r="C581" s="1" t="n">
        <v>45995</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43803-2023</t>
        </is>
      </c>
      <c r="B582" s="1" t="n">
        <v>45187</v>
      </c>
      <c r="C582" s="1" t="n">
        <v>45995</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15789-2023</t>
        </is>
      </c>
      <c r="B583" s="1" t="n">
        <v>45021.71539351852</v>
      </c>
      <c r="C583" s="1" t="n">
        <v>45995</v>
      </c>
      <c r="D583" t="inlineStr">
        <is>
          <t>ÖREBRO LÄN</t>
        </is>
      </c>
      <c r="E583" t="inlineStr">
        <is>
          <t>ÖREBRO</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58539-2024</t>
        </is>
      </c>
      <c r="B584" s="1" t="n">
        <v>45635.45157407408</v>
      </c>
      <c r="C584" s="1" t="n">
        <v>45995</v>
      </c>
      <c r="D584" t="inlineStr">
        <is>
          <t>ÖREBRO LÄN</t>
        </is>
      </c>
      <c r="E584" t="inlineStr">
        <is>
          <t>ÖREBRO</t>
        </is>
      </c>
      <c r="F584" t="inlineStr">
        <is>
          <t>Sveaskog</t>
        </is>
      </c>
      <c r="G584" t="n">
        <v>4.1</v>
      </c>
      <c r="H584" t="n">
        <v>0</v>
      </c>
      <c r="I584" t="n">
        <v>0</v>
      </c>
      <c r="J584" t="n">
        <v>0</v>
      </c>
      <c r="K584" t="n">
        <v>0</v>
      </c>
      <c r="L584" t="n">
        <v>0</v>
      </c>
      <c r="M584" t="n">
        <v>0</v>
      </c>
      <c r="N584" t="n">
        <v>0</v>
      </c>
      <c r="O584" t="n">
        <v>0</v>
      </c>
      <c r="P584" t="n">
        <v>0</v>
      </c>
      <c r="Q584" t="n">
        <v>0</v>
      </c>
      <c r="R584" s="2" t="inlineStr"/>
    </row>
    <row r="585" ht="15" customHeight="1">
      <c r="A585" t="inlineStr">
        <is>
          <t>A 31233-2025</t>
        </is>
      </c>
      <c r="B585" s="1" t="n">
        <v>45832.83341435185</v>
      </c>
      <c r="C585" s="1" t="n">
        <v>45995</v>
      </c>
      <c r="D585" t="inlineStr">
        <is>
          <t>ÖREBRO LÄN</t>
        </is>
      </c>
      <c r="E585" t="inlineStr">
        <is>
          <t>ÖREBRO</t>
        </is>
      </c>
      <c r="F585" t="inlineStr">
        <is>
          <t>Övriga Aktiebolag</t>
        </is>
      </c>
      <c r="G585" t="n">
        <v>2</v>
      </c>
      <c r="H585" t="n">
        <v>0</v>
      </c>
      <c r="I585" t="n">
        <v>0</v>
      </c>
      <c r="J585" t="n">
        <v>0</v>
      </c>
      <c r="K585" t="n">
        <v>0</v>
      </c>
      <c r="L585" t="n">
        <v>0</v>
      </c>
      <c r="M585" t="n">
        <v>0</v>
      </c>
      <c r="N585" t="n">
        <v>0</v>
      </c>
      <c r="O585" t="n">
        <v>0</v>
      </c>
      <c r="P585" t="n">
        <v>0</v>
      </c>
      <c r="Q585" t="n">
        <v>0</v>
      </c>
      <c r="R585" s="2" t="inlineStr"/>
    </row>
    <row r="586" ht="15" customHeight="1">
      <c r="A586" t="inlineStr">
        <is>
          <t>A 31232-2025</t>
        </is>
      </c>
      <c r="B586" s="1" t="n">
        <v>45832.8252199074</v>
      </c>
      <c r="C586" s="1" t="n">
        <v>45995</v>
      </c>
      <c r="D586" t="inlineStr">
        <is>
          <t>ÖREBRO LÄN</t>
        </is>
      </c>
      <c r="E586" t="inlineStr">
        <is>
          <t>ÖREBRO</t>
        </is>
      </c>
      <c r="F586" t="inlineStr">
        <is>
          <t>Övriga Aktiebolag</t>
        </is>
      </c>
      <c r="G586" t="n">
        <v>2.1</v>
      </c>
      <c r="H586" t="n">
        <v>0</v>
      </c>
      <c r="I586" t="n">
        <v>0</v>
      </c>
      <c r="J586" t="n">
        <v>0</v>
      </c>
      <c r="K586" t="n">
        <v>0</v>
      </c>
      <c r="L586" t="n">
        <v>0</v>
      </c>
      <c r="M586" t="n">
        <v>0</v>
      </c>
      <c r="N586" t="n">
        <v>0</v>
      </c>
      <c r="O586" t="n">
        <v>0</v>
      </c>
      <c r="P586" t="n">
        <v>0</v>
      </c>
      <c r="Q586" t="n">
        <v>0</v>
      </c>
      <c r="R586" s="2" t="inlineStr"/>
    </row>
    <row r="587" ht="15" customHeight="1">
      <c r="A587" t="inlineStr">
        <is>
          <t>A 59757-2023</t>
        </is>
      </c>
      <c r="B587" s="1" t="n">
        <v>45257.40833333333</v>
      </c>
      <c r="C587" s="1" t="n">
        <v>45995</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31237-2025</t>
        </is>
      </c>
      <c r="B588" s="1" t="n">
        <v>45832.84313657408</v>
      </c>
      <c r="C588" s="1" t="n">
        <v>45995</v>
      </c>
      <c r="D588" t="inlineStr">
        <is>
          <t>ÖREBRO LÄN</t>
        </is>
      </c>
      <c r="E588" t="inlineStr">
        <is>
          <t>ÖREBRO</t>
        </is>
      </c>
      <c r="F588" t="inlineStr">
        <is>
          <t>Övriga Aktiebolag</t>
        </is>
      </c>
      <c r="G588" t="n">
        <v>1.7</v>
      </c>
      <c r="H588" t="n">
        <v>0</v>
      </c>
      <c r="I588" t="n">
        <v>0</v>
      </c>
      <c r="J588" t="n">
        <v>0</v>
      </c>
      <c r="K588" t="n">
        <v>0</v>
      </c>
      <c r="L588" t="n">
        <v>0</v>
      </c>
      <c r="M588" t="n">
        <v>0</v>
      </c>
      <c r="N588" t="n">
        <v>0</v>
      </c>
      <c r="O588" t="n">
        <v>0</v>
      </c>
      <c r="P588" t="n">
        <v>0</v>
      </c>
      <c r="Q588" t="n">
        <v>0</v>
      </c>
      <c r="R588" s="2" t="inlineStr"/>
    </row>
    <row r="589" ht="15" customHeight="1">
      <c r="A589" t="inlineStr">
        <is>
          <t>A 17869-2024</t>
        </is>
      </c>
      <c r="B589" s="1" t="n">
        <v>45419</v>
      </c>
      <c r="C589" s="1" t="n">
        <v>45995</v>
      </c>
      <c r="D589" t="inlineStr">
        <is>
          <t>ÖREBRO LÄN</t>
        </is>
      </c>
      <c r="E589" t="inlineStr">
        <is>
          <t>ÖREBRO</t>
        </is>
      </c>
      <c r="G589" t="n">
        <v>3.7</v>
      </c>
      <c r="H589" t="n">
        <v>0</v>
      </c>
      <c r="I589" t="n">
        <v>0</v>
      </c>
      <c r="J589" t="n">
        <v>0</v>
      </c>
      <c r="K589" t="n">
        <v>0</v>
      </c>
      <c r="L589" t="n">
        <v>0</v>
      </c>
      <c r="M589" t="n">
        <v>0</v>
      </c>
      <c r="N589" t="n">
        <v>0</v>
      </c>
      <c r="O589" t="n">
        <v>0</v>
      </c>
      <c r="P589" t="n">
        <v>0</v>
      </c>
      <c r="Q589" t="n">
        <v>0</v>
      </c>
      <c r="R589" s="2" t="inlineStr"/>
    </row>
    <row r="590" ht="15" customHeight="1">
      <c r="A590" t="inlineStr">
        <is>
          <t>A 71272-2021</t>
        </is>
      </c>
      <c r="B590" s="1" t="n">
        <v>44539.61571759259</v>
      </c>
      <c r="C590" s="1" t="n">
        <v>45995</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4557-2023</t>
        </is>
      </c>
      <c r="B591" s="1" t="n">
        <v>44956.6655787037</v>
      </c>
      <c r="C591" s="1" t="n">
        <v>45995</v>
      </c>
      <c r="D591" t="inlineStr">
        <is>
          <t>ÖREBRO LÄN</t>
        </is>
      </c>
      <c r="E591" t="inlineStr">
        <is>
          <t>ÖREBRO</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60100-2022</t>
        </is>
      </c>
      <c r="B592" s="1" t="n">
        <v>44902</v>
      </c>
      <c r="C592" s="1" t="n">
        <v>45995</v>
      </c>
      <c r="D592" t="inlineStr">
        <is>
          <t>ÖREBRO LÄN</t>
        </is>
      </c>
      <c r="E592" t="inlineStr">
        <is>
          <t>ÖREBRO</t>
        </is>
      </c>
      <c r="G592" t="n">
        <v>1.4</v>
      </c>
      <c r="H592" t="n">
        <v>0</v>
      </c>
      <c r="I592" t="n">
        <v>0</v>
      </c>
      <c r="J592" t="n">
        <v>0</v>
      </c>
      <c r="K592" t="n">
        <v>0</v>
      </c>
      <c r="L592" t="n">
        <v>0</v>
      </c>
      <c r="M592" t="n">
        <v>0</v>
      </c>
      <c r="N592" t="n">
        <v>0</v>
      </c>
      <c r="O592" t="n">
        <v>0</v>
      </c>
      <c r="P592" t="n">
        <v>0</v>
      </c>
      <c r="Q592" t="n">
        <v>0</v>
      </c>
      <c r="R592" s="2" t="inlineStr"/>
    </row>
    <row r="593" ht="15" customHeight="1">
      <c r="A593" t="inlineStr">
        <is>
          <t>A 17465-2023</t>
        </is>
      </c>
      <c r="B593" s="1" t="n">
        <v>45036</v>
      </c>
      <c r="C593" s="1" t="n">
        <v>45995</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6213-2021</t>
        </is>
      </c>
      <c r="B594" s="1" t="n">
        <v>44232</v>
      </c>
      <c r="C594" s="1" t="n">
        <v>45995</v>
      </c>
      <c r="D594" t="inlineStr">
        <is>
          <t>ÖREBRO LÄN</t>
        </is>
      </c>
      <c r="E594" t="inlineStr">
        <is>
          <t>ÖREBRO</t>
        </is>
      </c>
      <c r="G594" t="n">
        <v>4</v>
      </c>
      <c r="H594" t="n">
        <v>0</v>
      </c>
      <c r="I594" t="n">
        <v>0</v>
      </c>
      <c r="J594" t="n">
        <v>0</v>
      </c>
      <c r="K594" t="n">
        <v>0</v>
      </c>
      <c r="L594" t="n">
        <v>0</v>
      </c>
      <c r="M594" t="n">
        <v>0</v>
      </c>
      <c r="N594" t="n">
        <v>0</v>
      </c>
      <c r="O594" t="n">
        <v>0</v>
      </c>
      <c r="P594" t="n">
        <v>0</v>
      </c>
      <c r="Q594" t="n">
        <v>0</v>
      </c>
      <c r="R594" s="2" t="inlineStr"/>
    </row>
    <row r="595" ht="15" customHeight="1">
      <c r="A595" t="inlineStr">
        <is>
          <t>A 52016-2024</t>
        </is>
      </c>
      <c r="B595" s="1" t="n">
        <v>45607.81917824074</v>
      </c>
      <c r="C595" s="1" t="n">
        <v>45995</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52477-2024</t>
        </is>
      </c>
      <c r="B596" s="1" t="n">
        <v>45609</v>
      </c>
      <c r="C596" s="1" t="n">
        <v>45995</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32218-2025</t>
        </is>
      </c>
      <c r="B597" s="1" t="n">
        <v>45835.58880787037</v>
      </c>
      <c r="C597" s="1" t="n">
        <v>45995</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53558-2023</t>
        </is>
      </c>
      <c r="B598" s="1" t="n">
        <v>45230.47266203703</v>
      </c>
      <c r="C598" s="1" t="n">
        <v>45995</v>
      </c>
      <c r="D598" t="inlineStr">
        <is>
          <t>ÖREBRO LÄN</t>
        </is>
      </c>
      <c r="E598" t="inlineStr">
        <is>
          <t>ÖREBRO</t>
        </is>
      </c>
      <c r="F598" t="inlineStr">
        <is>
          <t>Övriga Aktiebolag</t>
        </is>
      </c>
      <c r="G598" t="n">
        <v>4.7</v>
      </c>
      <c r="H598" t="n">
        <v>0</v>
      </c>
      <c r="I598" t="n">
        <v>0</v>
      </c>
      <c r="J598" t="n">
        <v>0</v>
      </c>
      <c r="K598" t="n">
        <v>0</v>
      </c>
      <c r="L598" t="n">
        <v>0</v>
      </c>
      <c r="M598" t="n">
        <v>0</v>
      </c>
      <c r="N598" t="n">
        <v>0</v>
      </c>
      <c r="O598" t="n">
        <v>0</v>
      </c>
      <c r="P598" t="n">
        <v>0</v>
      </c>
      <c r="Q598" t="n">
        <v>0</v>
      </c>
      <c r="R598" s="2" t="inlineStr"/>
    </row>
    <row r="599" ht="15" customHeight="1">
      <c r="A599" t="inlineStr">
        <is>
          <t>A 35843-2022</t>
        </is>
      </c>
      <c r="B599" s="1" t="n">
        <v>44802</v>
      </c>
      <c r="C599" s="1" t="n">
        <v>45995</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32188-2025</t>
        </is>
      </c>
      <c r="B600" s="1" t="n">
        <v>45835.56965277778</v>
      </c>
      <c r="C600" s="1" t="n">
        <v>45995</v>
      </c>
      <c r="D600" t="inlineStr">
        <is>
          <t>ÖREBRO LÄN</t>
        </is>
      </c>
      <c r="E600" t="inlineStr">
        <is>
          <t>ÖREBRO</t>
        </is>
      </c>
      <c r="G600" t="n">
        <v>2.9</v>
      </c>
      <c r="H600" t="n">
        <v>0</v>
      </c>
      <c r="I600" t="n">
        <v>0</v>
      </c>
      <c r="J600" t="n">
        <v>0</v>
      </c>
      <c r="K600" t="n">
        <v>0</v>
      </c>
      <c r="L600" t="n">
        <v>0</v>
      </c>
      <c r="M600" t="n">
        <v>0</v>
      </c>
      <c r="N600" t="n">
        <v>0</v>
      </c>
      <c r="O600" t="n">
        <v>0</v>
      </c>
      <c r="P600" t="n">
        <v>0</v>
      </c>
      <c r="Q600" t="n">
        <v>0</v>
      </c>
      <c r="R600" s="2" t="inlineStr"/>
    </row>
    <row r="601" ht="15" customHeight="1">
      <c r="A601" t="inlineStr">
        <is>
          <t>A 32195-2025</t>
        </is>
      </c>
      <c r="B601" s="1" t="n">
        <v>45835.57407407407</v>
      </c>
      <c r="C601" s="1" t="n">
        <v>45995</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33191-2025</t>
        </is>
      </c>
      <c r="B602" s="1" t="n">
        <v>45840.6003587963</v>
      </c>
      <c r="C602" s="1" t="n">
        <v>45995</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32426-2025</t>
        </is>
      </c>
      <c r="B603" s="1" t="n">
        <v>45838.36179398148</v>
      </c>
      <c r="C603" s="1" t="n">
        <v>45995</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32904-2025</t>
        </is>
      </c>
      <c r="B604" s="1" t="n">
        <v>45839</v>
      </c>
      <c r="C604" s="1" t="n">
        <v>45995</v>
      </c>
      <c r="D604" t="inlineStr">
        <is>
          <t>ÖREBRO LÄN</t>
        </is>
      </c>
      <c r="E604" t="inlineStr">
        <is>
          <t>ÖREBRO</t>
        </is>
      </c>
      <c r="G604" t="n">
        <v>0.6</v>
      </c>
      <c r="H604" t="n">
        <v>0</v>
      </c>
      <c r="I604" t="n">
        <v>0</v>
      </c>
      <c r="J604" t="n">
        <v>0</v>
      </c>
      <c r="K604" t="n">
        <v>0</v>
      </c>
      <c r="L604" t="n">
        <v>0</v>
      </c>
      <c r="M604" t="n">
        <v>0</v>
      </c>
      <c r="N604" t="n">
        <v>0</v>
      </c>
      <c r="O604" t="n">
        <v>0</v>
      </c>
      <c r="P604" t="n">
        <v>0</v>
      </c>
      <c r="Q604" t="n">
        <v>0</v>
      </c>
      <c r="R604" s="2" t="inlineStr"/>
    </row>
    <row r="605" ht="15" customHeight="1">
      <c r="A605" t="inlineStr">
        <is>
          <t>A 51373-2023</t>
        </is>
      </c>
      <c r="B605" s="1" t="n">
        <v>45213</v>
      </c>
      <c r="C605" s="1" t="n">
        <v>45995</v>
      </c>
      <c r="D605" t="inlineStr">
        <is>
          <t>ÖREBRO LÄN</t>
        </is>
      </c>
      <c r="E605" t="inlineStr">
        <is>
          <t>ÖREBRO</t>
        </is>
      </c>
      <c r="G605" t="n">
        <v>5.9</v>
      </c>
      <c r="H605" t="n">
        <v>0</v>
      </c>
      <c r="I605" t="n">
        <v>0</v>
      </c>
      <c r="J605" t="n">
        <v>0</v>
      </c>
      <c r="K605" t="n">
        <v>0</v>
      </c>
      <c r="L605" t="n">
        <v>0</v>
      </c>
      <c r="M605" t="n">
        <v>0</v>
      </c>
      <c r="N605" t="n">
        <v>0</v>
      </c>
      <c r="O605" t="n">
        <v>0</v>
      </c>
      <c r="P605" t="n">
        <v>0</v>
      </c>
      <c r="Q605" t="n">
        <v>0</v>
      </c>
      <c r="R605" s="2" t="inlineStr"/>
    </row>
    <row r="606" ht="15" customHeight="1">
      <c r="A606" t="inlineStr">
        <is>
          <t>A 1257-2022</t>
        </is>
      </c>
      <c r="B606" s="1" t="n">
        <v>44572</v>
      </c>
      <c r="C606" s="1" t="n">
        <v>45995</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40656-2023</t>
        </is>
      </c>
      <c r="B607" s="1" t="n">
        <v>45170</v>
      </c>
      <c r="C607" s="1" t="n">
        <v>45995</v>
      </c>
      <c r="D607" t="inlineStr">
        <is>
          <t>ÖREBRO LÄN</t>
        </is>
      </c>
      <c r="E607" t="inlineStr">
        <is>
          <t>ÖREBRO</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22677-2022</t>
        </is>
      </c>
      <c r="B608" s="1" t="n">
        <v>44714</v>
      </c>
      <c r="C608" s="1" t="n">
        <v>45995</v>
      </c>
      <c r="D608" t="inlineStr">
        <is>
          <t>ÖREBRO LÄN</t>
        </is>
      </c>
      <c r="E608" t="inlineStr">
        <is>
          <t>ÖREBRO</t>
        </is>
      </c>
      <c r="G608" t="n">
        <v>2.3</v>
      </c>
      <c r="H608" t="n">
        <v>0</v>
      </c>
      <c r="I608" t="n">
        <v>0</v>
      </c>
      <c r="J608" t="n">
        <v>0</v>
      </c>
      <c r="K608" t="n">
        <v>0</v>
      </c>
      <c r="L608" t="n">
        <v>0</v>
      </c>
      <c r="M608" t="n">
        <v>0</v>
      </c>
      <c r="N608" t="n">
        <v>0</v>
      </c>
      <c r="O608" t="n">
        <v>0</v>
      </c>
      <c r="P608" t="n">
        <v>0</v>
      </c>
      <c r="Q608" t="n">
        <v>0</v>
      </c>
      <c r="R608" s="2" t="inlineStr"/>
    </row>
    <row r="609" ht="15" customHeight="1">
      <c r="A609" t="inlineStr">
        <is>
          <t>A 71288-2021</t>
        </is>
      </c>
      <c r="B609" s="1" t="n">
        <v>44539.62481481482</v>
      </c>
      <c r="C609" s="1" t="n">
        <v>45995</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10830-2023</t>
        </is>
      </c>
      <c r="B610" s="1" t="n">
        <v>44990.89752314815</v>
      </c>
      <c r="C610" s="1" t="n">
        <v>45995</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7692-2023</t>
        </is>
      </c>
      <c r="B611" s="1" t="n">
        <v>44972.7762962963</v>
      </c>
      <c r="C611" s="1" t="n">
        <v>45995</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31240-2023</t>
        </is>
      </c>
      <c r="B612" s="1" t="n">
        <v>45114</v>
      </c>
      <c r="C612" s="1" t="n">
        <v>45995</v>
      </c>
      <c r="D612" t="inlineStr">
        <is>
          <t>ÖREBRO LÄN</t>
        </is>
      </c>
      <c r="E612" t="inlineStr">
        <is>
          <t>ÖREBRO</t>
        </is>
      </c>
      <c r="F612" t="inlineStr">
        <is>
          <t>Allmännings- och besparingsskogar</t>
        </is>
      </c>
      <c r="G612" t="n">
        <v>6.2</v>
      </c>
      <c r="H612" t="n">
        <v>0</v>
      </c>
      <c r="I612" t="n">
        <v>0</v>
      </c>
      <c r="J612" t="n">
        <v>0</v>
      </c>
      <c r="K612" t="n">
        <v>0</v>
      </c>
      <c r="L612" t="n">
        <v>0</v>
      </c>
      <c r="M612" t="n">
        <v>0</v>
      </c>
      <c r="N612" t="n">
        <v>0</v>
      </c>
      <c r="O612" t="n">
        <v>0</v>
      </c>
      <c r="P612" t="n">
        <v>0</v>
      </c>
      <c r="Q612" t="n">
        <v>0</v>
      </c>
      <c r="R612" s="2" t="inlineStr"/>
    </row>
    <row r="613" ht="15" customHeight="1">
      <c r="A613" t="inlineStr">
        <is>
          <t>A 50026-2024</t>
        </is>
      </c>
      <c r="B613" s="1" t="n">
        <v>45599.60541666667</v>
      </c>
      <c r="C613" s="1" t="n">
        <v>45995</v>
      </c>
      <c r="D613" t="inlineStr">
        <is>
          <t>ÖREBRO LÄN</t>
        </is>
      </c>
      <c r="E613" t="inlineStr">
        <is>
          <t>ÖREBRO</t>
        </is>
      </c>
      <c r="G613" t="n">
        <v>2.2</v>
      </c>
      <c r="H613" t="n">
        <v>0</v>
      </c>
      <c r="I613" t="n">
        <v>0</v>
      </c>
      <c r="J613" t="n">
        <v>0</v>
      </c>
      <c r="K613" t="n">
        <v>0</v>
      </c>
      <c r="L613" t="n">
        <v>0</v>
      </c>
      <c r="M613" t="n">
        <v>0</v>
      </c>
      <c r="N613" t="n">
        <v>0</v>
      </c>
      <c r="O613" t="n">
        <v>0</v>
      </c>
      <c r="P613" t="n">
        <v>0</v>
      </c>
      <c r="Q613" t="n">
        <v>0</v>
      </c>
      <c r="R613" s="2" t="inlineStr"/>
    </row>
    <row r="614" ht="15" customHeight="1">
      <c r="A614" t="inlineStr">
        <is>
          <t>A 48687-2024</t>
        </is>
      </c>
      <c r="B614" s="1" t="n">
        <v>45593.49899305555</v>
      </c>
      <c r="C614" s="1" t="n">
        <v>45995</v>
      </c>
      <c r="D614" t="inlineStr">
        <is>
          <t>ÖREBRO LÄN</t>
        </is>
      </c>
      <c r="E614" t="inlineStr">
        <is>
          <t>ÖREBRO</t>
        </is>
      </c>
      <c r="F614" t="inlineStr">
        <is>
          <t>Övriga Aktiebolag</t>
        </is>
      </c>
      <c r="G614" t="n">
        <v>3.8</v>
      </c>
      <c r="H614" t="n">
        <v>0</v>
      </c>
      <c r="I614" t="n">
        <v>0</v>
      </c>
      <c r="J614" t="n">
        <v>0</v>
      </c>
      <c r="K614" t="n">
        <v>0</v>
      </c>
      <c r="L614" t="n">
        <v>0</v>
      </c>
      <c r="M614" t="n">
        <v>0</v>
      </c>
      <c r="N614" t="n">
        <v>0</v>
      </c>
      <c r="O614" t="n">
        <v>0</v>
      </c>
      <c r="P614" t="n">
        <v>0</v>
      </c>
      <c r="Q614" t="n">
        <v>0</v>
      </c>
      <c r="R614" s="2" t="inlineStr"/>
    </row>
    <row r="615" ht="15" customHeight="1">
      <c r="A615" t="inlineStr">
        <is>
          <t>A 18449-2023</t>
        </is>
      </c>
      <c r="B615" s="1" t="n">
        <v>45042.5203125</v>
      </c>
      <c r="C615" s="1" t="n">
        <v>45995</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16936-2023</t>
        </is>
      </c>
      <c r="B616" s="1" t="n">
        <v>45033.63005787037</v>
      </c>
      <c r="C616" s="1" t="n">
        <v>45995</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45995</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35062-2025</t>
        </is>
      </c>
      <c r="B618" s="1" t="n">
        <v>45852</v>
      </c>
      <c r="C618" s="1" t="n">
        <v>45995</v>
      </c>
      <c r="D618" t="inlineStr">
        <is>
          <t>ÖREBRO LÄN</t>
        </is>
      </c>
      <c r="E618" t="inlineStr">
        <is>
          <t>ÖREBRO</t>
        </is>
      </c>
      <c r="G618" t="n">
        <v>2.8</v>
      </c>
      <c r="H618" t="n">
        <v>0</v>
      </c>
      <c r="I618" t="n">
        <v>0</v>
      </c>
      <c r="J618" t="n">
        <v>0</v>
      </c>
      <c r="K618" t="n">
        <v>0</v>
      </c>
      <c r="L618" t="n">
        <v>0</v>
      </c>
      <c r="M618" t="n">
        <v>0</v>
      </c>
      <c r="N618" t="n">
        <v>0</v>
      </c>
      <c r="O618" t="n">
        <v>0</v>
      </c>
      <c r="P618" t="n">
        <v>0</v>
      </c>
      <c r="Q618" t="n">
        <v>0</v>
      </c>
      <c r="R618" s="2" t="inlineStr"/>
    </row>
    <row r="619" ht="15" customHeight="1">
      <c r="A619" t="inlineStr">
        <is>
          <t>A 64730-2023</t>
        </is>
      </c>
      <c r="B619" s="1" t="n">
        <v>45281</v>
      </c>
      <c r="C619" s="1" t="n">
        <v>45995</v>
      </c>
      <c r="D619" t="inlineStr">
        <is>
          <t>ÖREBRO LÄN</t>
        </is>
      </c>
      <c r="E619" t="inlineStr">
        <is>
          <t>ÖREBRO</t>
        </is>
      </c>
      <c r="G619" t="n">
        <v>1.3</v>
      </c>
      <c r="H619" t="n">
        <v>0</v>
      </c>
      <c r="I619" t="n">
        <v>0</v>
      </c>
      <c r="J619" t="n">
        <v>0</v>
      </c>
      <c r="K619" t="n">
        <v>0</v>
      </c>
      <c r="L619" t="n">
        <v>0</v>
      </c>
      <c r="M619" t="n">
        <v>0</v>
      </c>
      <c r="N619" t="n">
        <v>0</v>
      </c>
      <c r="O619" t="n">
        <v>0</v>
      </c>
      <c r="P619" t="n">
        <v>0</v>
      </c>
      <c r="Q619" t="n">
        <v>0</v>
      </c>
      <c r="R619" s="2" t="inlineStr"/>
    </row>
    <row r="620" ht="15" customHeight="1">
      <c r="A620" t="inlineStr">
        <is>
          <t>A 44284-2022</t>
        </is>
      </c>
      <c r="B620" s="1" t="n">
        <v>44839.59194444444</v>
      </c>
      <c r="C620" s="1" t="n">
        <v>45995</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14544-2023</t>
        </is>
      </c>
      <c r="B621" s="1" t="n">
        <v>45013</v>
      </c>
      <c r="C621" s="1" t="n">
        <v>45995</v>
      </c>
      <c r="D621" t="inlineStr">
        <is>
          <t>ÖREBRO LÄN</t>
        </is>
      </c>
      <c r="E621" t="inlineStr">
        <is>
          <t>ÖREBRO</t>
        </is>
      </c>
      <c r="G621" t="n">
        <v>0.5</v>
      </c>
      <c r="H621" t="n">
        <v>0</v>
      </c>
      <c r="I621" t="n">
        <v>0</v>
      </c>
      <c r="J621" t="n">
        <v>0</v>
      </c>
      <c r="K621" t="n">
        <v>0</v>
      </c>
      <c r="L621" t="n">
        <v>0</v>
      </c>
      <c r="M621" t="n">
        <v>0</v>
      </c>
      <c r="N621" t="n">
        <v>0</v>
      </c>
      <c r="O621" t="n">
        <v>0</v>
      </c>
      <c r="P621" t="n">
        <v>0</v>
      </c>
      <c r="Q621" t="n">
        <v>0</v>
      </c>
      <c r="R621" s="2" t="inlineStr"/>
    </row>
    <row r="622" ht="15" customHeight="1">
      <c r="A622" t="inlineStr">
        <is>
          <t>A 28821-2025</t>
        </is>
      </c>
      <c r="B622" s="1" t="n">
        <v>45820</v>
      </c>
      <c r="C622" s="1" t="n">
        <v>45995</v>
      </c>
      <c r="D622" t="inlineStr">
        <is>
          <t>ÖREBRO LÄN</t>
        </is>
      </c>
      <c r="E622" t="inlineStr">
        <is>
          <t>ÖREBRO</t>
        </is>
      </c>
      <c r="G622" t="n">
        <v>12.6</v>
      </c>
      <c r="H622" t="n">
        <v>0</v>
      </c>
      <c r="I622" t="n">
        <v>0</v>
      </c>
      <c r="J622" t="n">
        <v>0</v>
      </c>
      <c r="K622" t="n">
        <v>0</v>
      </c>
      <c r="L622" t="n">
        <v>0</v>
      </c>
      <c r="M622" t="n">
        <v>0</v>
      </c>
      <c r="N622" t="n">
        <v>0</v>
      </c>
      <c r="O622" t="n">
        <v>0</v>
      </c>
      <c r="P622" t="n">
        <v>0</v>
      </c>
      <c r="Q622" t="n">
        <v>0</v>
      </c>
      <c r="R622" s="2" t="inlineStr"/>
    </row>
    <row r="623" ht="15" customHeight="1">
      <c r="A623" t="inlineStr">
        <is>
          <t>A 35637-2025</t>
        </is>
      </c>
      <c r="B623" s="1" t="n">
        <v>45859.46859953704</v>
      </c>
      <c r="C623" s="1" t="n">
        <v>45995</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35928-2025</t>
        </is>
      </c>
      <c r="B624" s="1" t="n">
        <v>45862</v>
      </c>
      <c r="C624" s="1" t="n">
        <v>45995</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55453-2024</t>
        </is>
      </c>
      <c r="B625" s="1" t="n">
        <v>45622.42097222222</v>
      </c>
      <c r="C625" s="1" t="n">
        <v>45995</v>
      </c>
      <c r="D625" t="inlineStr">
        <is>
          <t>ÖREBRO LÄN</t>
        </is>
      </c>
      <c r="E625" t="inlineStr">
        <is>
          <t>ÖREBRO</t>
        </is>
      </c>
      <c r="G625" t="n">
        <v>8.5</v>
      </c>
      <c r="H625" t="n">
        <v>0</v>
      </c>
      <c r="I625" t="n">
        <v>0</v>
      </c>
      <c r="J625" t="n">
        <v>0</v>
      </c>
      <c r="K625" t="n">
        <v>0</v>
      </c>
      <c r="L625" t="n">
        <v>0</v>
      </c>
      <c r="M625" t="n">
        <v>0</v>
      </c>
      <c r="N625" t="n">
        <v>0</v>
      </c>
      <c r="O625" t="n">
        <v>0</v>
      </c>
      <c r="P625" t="n">
        <v>0</v>
      </c>
      <c r="Q625" t="n">
        <v>0</v>
      </c>
      <c r="R625" s="2" t="inlineStr"/>
    </row>
    <row r="626" ht="15" customHeight="1">
      <c r="A626" t="inlineStr">
        <is>
          <t>A 32025-2024</t>
        </is>
      </c>
      <c r="B626" s="1" t="n">
        <v>45510.65754629629</v>
      </c>
      <c r="C626" s="1" t="n">
        <v>45995</v>
      </c>
      <c r="D626" t="inlineStr">
        <is>
          <t>ÖREBRO LÄN</t>
        </is>
      </c>
      <c r="E626" t="inlineStr">
        <is>
          <t>ÖREBRO</t>
        </is>
      </c>
      <c r="G626" t="n">
        <v>4</v>
      </c>
      <c r="H626" t="n">
        <v>0</v>
      </c>
      <c r="I626" t="n">
        <v>0</v>
      </c>
      <c r="J626" t="n">
        <v>0</v>
      </c>
      <c r="K626" t="n">
        <v>0</v>
      </c>
      <c r="L626" t="n">
        <v>0</v>
      </c>
      <c r="M626" t="n">
        <v>0</v>
      </c>
      <c r="N626" t="n">
        <v>0</v>
      </c>
      <c r="O626" t="n">
        <v>0</v>
      </c>
      <c r="P626" t="n">
        <v>0</v>
      </c>
      <c r="Q626" t="n">
        <v>0</v>
      </c>
      <c r="R626" s="2" t="inlineStr"/>
    </row>
    <row r="627" ht="15" customHeight="1">
      <c r="A627" t="inlineStr">
        <is>
          <t>A 36448-2025</t>
        </is>
      </c>
      <c r="B627" s="1" t="n">
        <v>45869.41929398148</v>
      </c>
      <c r="C627" s="1" t="n">
        <v>45995</v>
      </c>
      <c r="D627" t="inlineStr">
        <is>
          <t>ÖREBRO LÄN</t>
        </is>
      </c>
      <c r="E627" t="inlineStr">
        <is>
          <t>ÖREBRO</t>
        </is>
      </c>
      <c r="F627" t="inlineStr">
        <is>
          <t>Övriga Aktiebolag</t>
        </is>
      </c>
      <c r="G627" t="n">
        <v>4.3</v>
      </c>
      <c r="H627" t="n">
        <v>0</v>
      </c>
      <c r="I627" t="n">
        <v>0</v>
      </c>
      <c r="J627" t="n">
        <v>0</v>
      </c>
      <c r="K627" t="n">
        <v>0</v>
      </c>
      <c r="L627" t="n">
        <v>0</v>
      </c>
      <c r="M627" t="n">
        <v>0</v>
      </c>
      <c r="N627" t="n">
        <v>0</v>
      </c>
      <c r="O627" t="n">
        <v>0</v>
      </c>
      <c r="P627" t="n">
        <v>0</v>
      </c>
      <c r="Q627" t="n">
        <v>0</v>
      </c>
      <c r="R627" s="2" t="inlineStr"/>
    </row>
    <row r="628" ht="15" customHeight="1">
      <c r="A628" t="inlineStr">
        <is>
          <t>A 36447-2025</t>
        </is>
      </c>
      <c r="B628" s="1" t="n">
        <v>45869.41387731482</v>
      </c>
      <c r="C628" s="1" t="n">
        <v>45995</v>
      </c>
      <c r="D628" t="inlineStr">
        <is>
          <t>ÖREBRO LÄN</t>
        </is>
      </c>
      <c r="E628" t="inlineStr">
        <is>
          <t>ÖREBRO</t>
        </is>
      </c>
      <c r="F628" t="inlineStr">
        <is>
          <t>Övriga Aktiebolag</t>
        </is>
      </c>
      <c r="G628" t="n">
        <v>12.6</v>
      </c>
      <c r="H628" t="n">
        <v>0</v>
      </c>
      <c r="I628" t="n">
        <v>0</v>
      </c>
      <c r="J628" t="n">
        <v>0</v>
      </c>
      <c r="K628" t="n">
        <v>0</v>
      </c>
      <c r="L628" t="n">
        <v>0</v>
      </c>
      <c r="M628" t="n">
        <v>0</v>
      </c>
      <c r="N628" t="n">
        <v>0</v>
      </c>
      <c r="O628" t="n">
        <v>0</v>
      </c>
      <c r="P628" t="n">
        <v>0</v>
      </c>
      <c r="Q628" t="n">
        <v>0</v>
      </c>
      <c r="R628" s="2" t="inlineStr"/>
    </row>
    <row r="629">
      <c r="A629" t="inlineStr">
        <is>
          <t>A 29554-2025</t>
        </is>
      </c>
      <c r="B629" s="1" t="n">
        <v>45825</v>
      </c>
      <c r="C629" s="1" t="n">
        <v>45995</v>
      </c>
      <c r="D629" t="inlineStr">
        <is>
          <t>ÖREBRO LÄN</t>
        </is>
      </c>
      <c r="E629" t="inlineStr">
        <is>
          <t>ÖREBRO</t>
        </is>
      </c>
      <c r="F629" t="inlineStr">
        <is>
          <t>Övriga Aktiebolag</t>
        </is>
      </c>
      <c r="G629" t="n">
        <v>1</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2025-12-04T10:30:09Z</dcterms:created>
  <dcterms:modified xmlns:dcterms="http://purl.org/dc/terms/" xmlns:xsi="http://www.w3.org/2001/XMLSchema-instance" xsi:type="dcterms:W3CDTF">2025-12-04T10:30:09Z</dcterms:modified>
</cp:coreProperties>
</file>