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46183</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46183</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46183</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46183</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46183</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46183</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15758-2023</t>
        </is>
      </c>
      <c r="B12" s="1" t="n">
        <v>45021</v>
      </c>
      <c r="C12" s="1" t="n">
        <v>46183</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55197-2023</t>
        </is>
      </c>
      <c r="B13" s="1" t="n">
        <v>45237</v>
      </c>
      <c r="C13" s="1" t="n">
        <v>46183</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59520-2025</t>
        </is>
      </c>
      <c r="B14" s="1" t="n">
        <v>45989</v>
      </c>
      <c r="C14" s="1" t="n">
        <v>46183</v>
      </c>
      <c r="D14" t="inlineStr">
        <is>
          <t>ÖREBRO LÄN</t>
        </is>
      </c>
      <c r="E14" t="inlineStr">
        <is>
          <t>ÖREBRO</t>
        </is>
      </c>
      <c r="F14" t="inlineStr">
        <is>
          <t>Sveaskog</t>
        </is>
      </c>
      <c r="G14" t="n">
        <v>1.7</v>
      </c>
      <c r="H14" t="n">
        <v>1</v>
      </c>
      <c r="I14" t="n">
        <v>3</v>
      </c>
      <c r="J14" t="n">
        <v>2</v>
      </c>
      <c r="K14" t="n">
        <v>0</v>
      </c>
      <c r="L14" t="n">
        <v>0</v>
      </c>
      <c r="M14" t="n">
        <v>0</v>
      </c>
      <c r="N14" t="n">
        <v>0</v>
      </c>
      <c r="O14" t="n">
        <v>2</v>
      </c>
      <c r="P14" t="n">
        <v>0</v>
      </c>
      <c r="Q14" t="n">
        <v>6</v>
      </c>
      <c r="R14" s="2" t="inlineStr">
        <is>
          <t>Dofttaggsvamp
Grantaggsvamp
Svavelriska
Sårläka
Tibast
Blåsippa</t>
        </is>
      </c>
      <c r="S14">
        <f>HYPERLINK("https://klasma.github.io/Logging_1880/artfynd/A 59520-2025 artfynd.xlsx", "A 59520-2025")</f>
        <v/>
      </c>
      <c r="T14">
        <f>HYPERLINK("https://klasma.github.io/Logging_1880/kartor/A 59520-2025 karta.png", "A 59520-2025")</f>
        <v/>
      </c>
      <c r="V14">
        <f>HYPERLINK("https://klasma.github.io/Logging_1880/klagomål/A 59520-2025 FSC-klagomål.docx", "A 59520-2025")</f>
        <v/>
      </c>
      <c r="W14">
        <f>HYPERLINK("https://klasma.github.io/Logging_1880/klagomålsmail/A 59520-2025 FSC-klagomål mail.docx", "A 59520-2025")</f>
        <v/>
      </c>
      <c r="X14">
        <f>HYPERLINK("https://klasma.github.io/Logging_1880/tillsyn/A 59520-2025 tillsynsbegäran.docx", "A 59520-2025")</f>
        <v/>
      </c>
      <c r="Y14">
        <f>HYPERLINK("https://klasma.github.io/Logging_1880/tillsynsmail/A 59520-2025 tillsynsbegäran mail.docx", "A 59520-2025")</f>
        <v/>
      </c>
    </row>
    <row r="15" ht="15" customHeight="1">
      <c r="A15" t="inlineStr">
        <is>
          <t>A 3025-2026</t>
        </is>
      </c>
      <c r="B15" s="1" t="n">
        <v>46038.67769675926</v>
      </c>
      <c r="C15" s="1" t="n">
        <v>46183</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46183</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12974-2022</t>
        </is>
      </c>
      <c r="B17" s="1" t="n">
        <v>44643.38490740741</v>
      </c>
      <c r="C17" s="1" t="n">
        <v>46183</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57553-2023</t>
        </is>
      </c>
      <c r="B18" s="1" t="n">
        <v>45246</v>
      </c>
      <c r="C18" s="1" t="n">
        <v>46183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46183</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58832-2025</t>
        </is>
      </c>
      <c r="B20" s="1" t="n">
        <v>45987</v>
      </c>
      <c r="C20" s="1" t="n">
        <v>46183</v>
      </c>
      <c r="D20" t="inlineStr">
        <is>
          <t>ÖREBRO LÄN</t>
        </is>
      </c>
      <c r="E20" t="inlineStr">
        <is>
          <t>ÖREBRO</t>
        </is>
      </c>
      <c r="G20" t="n">
        <v>0.9</v>
      </c>
      <c r="H20" t="n">
        <v>3</v>
      </c>
      <c r="I20" t="n">
        <v>1</v>
      </c>
      <c r="J20" t="n">
        <v>1</v>
      </c>
      <c r="K20" t="n">
        <v>1</v>
      </c>
      <c r="L20" t="n">
        <v>1</v>
      </c>
      <c r="M20" t="n">
        <v>0</v>
      </c>
      <c r="N20" t="n">
        <v>0</v>
      </c>
      <c r="O20" t="n">
        <v>3</v>
      </c>
      <c r="P20" t="n">
        <v>2</v>
      </c>
      <c r="Q20" t="n">
        <v>4</v>
      </c>
      <c r="R20" s="2" t="inlineStr">
        <is>
          <t>Mosippa
Knärot
Spillkråka
Dropptaggsvamp</t>
        </is>
      </c>
      <c r="S20">
        <f>HYPERLINK("https://klasma.github.io/Logging_1880/artfynd/A 58832-2025 artfynd.xlsx", "A 58832-2025")</f>
        <v/>
      </c>
      <c r="T20">
        <f>HYPERLINK("https://klasma.github.io/Logging_1880/kartor/A 58832-2025 karta.png", "A 58832-2025")</f>
        <v/>
      </c>
      <c r="U20">
        <f>HYPERLINK("https://klasma.github.io/Logging_1880/knärot/A 58832-2025 karta knärot.png", "A 58832-2025")</f>
        <v/>
      </c>
      <c r="V20">
        <f>HYPERLINK("https://klasma.github.io/Logging_1880/klagomål/A 58832-2025 FSC-klagomål.docx", "A 58832-2025")</f>
        <v/>
      </c>
      <c r="W20">
        <f>HYPERLINK("https://klasma.github.io/Logging_1880/klagomålsmail/A 58832-2025 FSC-klagomål mail.docx", "A 58832-2025")</f>
        <v/>
      </c>
      <c r="X20">
        <f>HYPERLINK("https://klasma.github.io/Logging_1880/tillsyn/A 58832-2025 tillsynsbegäran.docx", "A 58832-2025")</f>
        <v/>
      </c>
      <c r="Y20">
        <f>HYPERLINK("https://klasma.github.io/Logging_1880/tillsynsmail/A 58832-2025 tillsynsbegäran mail.docx", "A 58832-2025")</f>
        <v/>
      </c>
      <c r="Z20">
        <f>HYPERLINK("https://klasma.github.io/Logging_1880/fåglar/A 58832-2025 prioriterade fågelarter.docx", "A 58832-2025")</f>
        <v/>
      </c>
    </row>
    <row r="21" ht="15" customHeight="1">
      <c r="A21" t="inlineStr">
        <is>
          <t>A 29487-2022</t>
        </is>
      </c>
      <c r="B21" s="1" t="n">
        <v>44753</v>
      </c>
      <c r="C21" s="1" t="n">
        <v>46183</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46183</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50096-2023</t>
        </is>
      </c>
      <c r="B23" s="1" t="n">
        <v>45215</v>
      </c>
      <c r="C23" s="1" t="n">
        <v>46183</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46183</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575-2024</t>
        </is>
      </c>
      <c r="B25" s="1" t="n">
        <v>45299</v>
      </c>
      <c r="C25" s="1" t="n">
        <v>46183</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58837-2025</t>
        </is>
      </c>
      <c r="B26" s="1" t="n">
        <v>45987.35875</v>
      </c>
      <c r="C26" s="1" t="n">
        <v>46183</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46183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46183</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46174.43965277778</v>
      </c>
      <c r="C29" s="1" t="n">
        <v>46183</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46183</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46183</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46183</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14956-2025</t>
        </is>
      </c>
      <c r="B34" s="1" t="n">
        <v>45743.58409722222</v>
      </c>
      <c r="C34" s="1" t="n">
        <v>46183</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13395-2024</t>
        </is>
      </c>
      <c r="B35" s="1" t="n">
        <v>45387.42296296296</v>
      </c>
      <c r="C35" s="1" t="n">
        <v>46183</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22577-2024</t>
        </is>
      </c>
      <c r="B36" s="1" t="n">
        <v>45447</v>
      </c>
      <c r="C36" s="1" t="n">
        <v>46183</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46183</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7608-2024</t>
        </is>
      </c>
      <c r="B38" s="1" t="n">
        <v>45348</v>
      </c>
      <c r="C38" s="1" t="n">
        <v>46183</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60557-2025</t>
        </is>
      </c>
      <c r="B39" s="1" t="n">
        <v>45995.74444444444</v>
      </c>
      <c r="C39" s="1" t="n">
        <v>46183</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46183</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46183</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29704-2022</t>
        </is>
      </c>
      <c r="B42" s="1" t="n">
        <v>44755</v>
      </c>
      <c r="C42" s="1" t="n">
        <v>46183</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43332-2022</t>
        </is>
      </c>
      <c r="B43" s="1" t="n">
        <v>44834</v>
      </c>
      <c r="C43" s="1" t="n">
        <v>46183</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30725-2023</t>
        </is>
      </c>
      <c r="B44" s="1" t="n">
        <v>45112.61451388889</v>
      </c>
      <c r="C44" s="1" t="n">
        <v>46183</v>
      </c>
      <c r="D44" t="inlineStr">
        <is>
          <t>ÖREBRO LÄN</t>
        </is>
      </c>
      <c r="E44" t="inlineStr">
        <is>
          <t>ÖREBRO</t>
        </is>
      </c>
      <c r="G44" t="n">
        <v>1.8</v>
      </c>
      <c r="H44" t="n">
        <v>1</v>
      </c>
      <c r="I44" t="n">
        <v>0</v>
      </c>
      <c r="J44" t="n">
        <v>1</v>
      </c>
      <c r="K44" t="n">
        <v>0</v>
      </c>
      <c r="L44" t="n">
        <v>0</v>
      </c>
      <c r="M44" t="n">
        <v>0</v>
      </c>
      <c r="N44" t="n">
        <v>0</v>
      </c>
      <c r="O44" t="n">
        <v>1</v>
      </c>
      <c r="P44" t="n">
        <v>0</v>
      </c>
      <c r="Q44" t="n">
        <v>1</v>
      </c>
      <c r="R44" s="2" t="inlineStr">
        <is>
          <t>Gulsparv</t>
        </is>
      </c>
      <c r="S44">
        <f>HYPERLINK("https://klasma.github.io/Logging_1880/artfynd/A 30725-2023 artfynd.xlsx", "A 30725-2023")</f>
        <v/>
      </c>
      <c r="T44">
        <f>HYPERLINK("https://klasma.github.io/Logging_1880/kartor/A 30725-2023 karta.png", "A 30725-2023")</f>
        <v/>
      </c>
      <c r="V44">
        <f>HYPERLINK("https://klasma.github.io/Logging_1880/klagomål/A 30725-2023 FSC-klagomål.docx", "A 30725-2023")</f>
        <v/>
      </c>
      <c r="W44">
        <f>HYPERLINK("https://klasma.github.io/Logging_1880/klagomålsmail/A 30725-2023 FSC-klagomål mail.docx", "A 30725-2023")</f>
        <v/>
      </c>
      <c r="X44">
        <f>HYPERLINK("https://klasma.github.io/Logging_1880/tillsyn/A 30725-2023 tillsynsbegäran.docx", "A 30725-2023")</f>
        <v/>
      </c>
      <c r="Y44">
        <f>HYPERLINK("https://klasma.github.io/Logging_1880/tillsynsmail/A 30725-2023 tillsynsbegäran mail.docx", "A 30725-2023")</f>
        <v/>
      </c>
      <c r="Z44">
        <f>HYPERLINK("https://klasma.github.io/Logging_1880/fåglar/A 30725-2023 prioriterade fågelarter.docx", "A 30725-2023")</f>
        <v/>
      </c>
    </row>
    <row r="45" ht="15" customHeight="1">
      <c r="A45" t="inlineStr">
        <is>
          <t>A 5097-2023</t>
        </is>
      </c>
      <c r="B45" s="1" t="n">
        <v>44958</v>
      </c>
      <c r="C45" s="1" t="n">
        <v>46183</v>
      </c>
      <c r="D45" t="inlineStr">
        <is>
          <t>ÖREBRO LÄN</t>
        </is>
      </c>
      <c r="E45" t="inlineStr">
        <is>
          <t>ÖREBRO</t>
        </is>
      </c>
      <c r="G45" t="n">
        <v>3.6</v>
      </c>
      <c r="H45" t="n">
        <v>1</v>
      </c>
      <c r="I45" t="n">
        <v>0</v>
      </c>
      <c r="J45" t="n">
        <v>0</v>
      </c>
      <c r="K45" t="n">
        <v>0</v>
      </c>
      <c r="L45" t="n">
        <v>0</v>
      </c>
      <c r="M45" t="n">
        <v>0</v>
      </c>
      <c r="N45" t="n">
        <v>0</v>
      </c>
      <c r="O45" t="n">
        <v>0</v>
      </c>
      <c r="P45" t="n">
        <v>0</v>
      </c>
      <c r="Q45" t="n">
        <v>1</v>
      </c>
      <c r="R45" s="2" t="inlineStr">
        <is>
          <t>Grönvit nattviol</t>
        </is>
      </c>
      <c r="S45">
        <f>HYPERLINK("https://klasma.github.io/Logging_1880/artfynd/A 5097-2023 artfynd.xlsx", "A 5097-2023")</f>
        <v/>
      </c>
      <c r="T45">
        <f>HYPERLINK("https://klasma.github.io/Logging_1880/kartor/A 5097-2023 karta.png", "A 5097-2023")</f>
        <v/>
      </c>
      <c r="V45">
        <f>HYPERLINK("https://klasma.github.io/Logging_1880/klagomål/A 5097-2023 FSC-klagomål.docx", "A 5097-2023")</f>
        <v/>
      </c>
      <c r="W45">
        <f>HYPERLINK("https://klasma.github.io/Logging_1880/klagomålsmail/A 5097-2023 FSC-klagomål mail.docx", "A 5097-2023")</f>
        <v/>
      </c>
      <c r="X45">
        <f>HYPERLINK("https://klasma.github.io/Logging_1880/tillsyn/A 5097-2023 tillsynsbegäran.docx", "A 5097-2023")</f>
        <v/>
      </c>
      <c r="Y45">
        <f>HYPERLINK("https://klasma.github.io/Logging_1880/tillsynsmail/A 5097-2023 tillsynsbegäran mail.docx", "A 5097-2023")</f>
        <v/>
      </c>
    </row>
    <row r="46" ht="15" customHeight="1">
      <c r="A46" t="inlineStr">
        <is>
          <t>A 42636-2023</t>
        </is>
      </c>
      <c r="B46" s="1" t="n">
        <v>45181.49559027778</v>
      </c>
      <c r="C46" s="1" t="n">
        <v>46183</v>
      </c>
      <c r="D46" t="inlineStr">
        <is>
          <t>ÖREBRO LÄN</t>
        </is>
      </c>
      <c r="E46" t="inlineStr">
        <is>
          <t>ÖREBRO</t>
        </is>
      </c>
      <c r="G46" t="n">
        <v>1.7</v>
      </c>
      <c r="H46" t="n">
        <v>0</v>
      </c>
      <c r="I46" t="n">
        <v>0</v>
      </c>
      <c r="J46" t="n">
        <v>1</v>
      </c>
      <c r="K46" t="n">
        <v>0</v>
      </c>
      <c r="L46" t="n">
        <v>0</v>
      </c>
      <c r="M46" t="n">
        <v>0</v>
      </c>
      <c r="N46" t="n">
        <v>0</v>
      </c>
      <c r="O46" t="n">
        <v>1</v>
      </c>
      <c r="P46" t="n">
        <v>0</v>
      </c>
      <c r="Q46" t="n">
        <v>1</v>
      </c>
      <c r="R46" s="2" t="inlineStr">
        <is>
          <t>Igelkott</t>
        </is>
      </c>
      <c r="S46">
        <f>HYPERLINK("https://klasma.github.io/Logging_1880/artfynd/A 42636-2023 artfynd.xlsx", "A 42636-2023")</f>
        <v/>
      </c>
      <c r="T46">
        <f>HYPERLINK("https://klasma.github.io/Logging_1880/kartor/A 42636-2023 karta.png", "A 42636-2023")</f>
        <v/>
      </c>
      <c r="V46">
        <f>HYPERLINK("https://klasma.github.io/Logging_1880/klagomål/A 42636-2023 FSC-klagomål.docx", "A 42636-2023")</f>
        <v/>
      </c>
      <c r="W46">
        <f>HYPERLINK("https://klasma.github.io/Logging_1880/klagomålsmail/A 42636-2023 FSC-klagomål mail.docx", "A 42636-2023")</f>
        <v/>
      </c>
      <c r="X46">
        <f>HYPERLINK("https://klasma.github.io/Logging_1880/tillsyn/A 42636-2023 tillsynsbegäran.docx", "A 42636-2023")</f>
        <v/>
      </c>
      <c r="Y46">
        <f>HYPERLINK("https://klasma.github.io/Logging_1880/tillsynsmail/A 42636-2023 tillsynsbegäran mail.docx", "A 42636-2023")</f>
        <v/>
      </c>
    </row>
    <row r="47" ht="15" customHeight="1">
      <c r="A47" t="inlineStr">
        <is>
          <t>A 20247-2023</t>
        </is>
      </c>
      <c r="B47" s="1" t="n">
        <v>45055</v>
      </c>
      <c r="C47" s="1" t="n">
        <v>46183</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44744-2024</t>
        </is>
      </c>
      <c r="B48" s="1" t="n">
        <v>45574.59789351852</v>
      </c>
      <c r="C48" s="1" t="n">
        <v>46183</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55904-2024</t>
        </is>
      </c>
      <c r="B49" s="1" t="n">
        <v>45623.58190972222</v>
      </c>
      <c r="C49" s="1" t="n">
        <v>46183</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11501-2025</t>
        </is>
      </c>
      <c r="B50" s="1" t="n">
        <v>45726</v>
      </c>
      <c r="C50" s="1" t="n">
        <v>46183</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28936-2025</t>
        </is>
      </c>
      <c r="B51" s="1" t="n">
        <v>45820.69287037037</v>
      </c>
      <c r="C51" s="1" t="n">
        <v>46183</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26890-2022</t>
        </is>
      </c>
      <c r="B52" s="1" t="n">
        <v>44740</v>
      </c>
      <c r="C52" s="1" t="n">
        <v>46183</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32105-2023</t>
        </is>
      </c>
      <c r="B53" s="1" t="n">
        <v>45119</v>
      </c>
      <c r="C53" s="1" t="n">
        <v>46183</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57920-2024</t>
        </is>
      </c>
      <c r="B54" s="1" t="n">
        <v>45631.50894675926</v>
      </c>
      <c r="C54" s="1" t="n">
        <v>46183</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20032-2023</t>
        </is>
      </c>
      <c r="B55" s="1" t="n">
        <v>45054</v>
      </c>
      <c r="C55" s="1" t="n">
        <v>46183</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2077-2023</t>
        </is>
      </c>
      <c r="B56" s="1" t="n">
        <v>44939</v>
      </c>
      <c r="C56" s="1" t="n">
        <v>46183</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44389-2021</t>
        </is>
      </c>
      <c r="B57" s="1" t="n">
        <v>44435</v>
      </c>
      <c r="C57" s="1" t="n">
        <v>46183</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22604-2024</t>
        </is>
      </c>
      <c r="B58" s="1" t="n">
        <v>45447</v>
      </c>
      <c r="C58" s="1" t="n">
        <v>46183</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31695-2024</t>
        </is>
      </c>
      <c r="B59" s="1" t="n">
        <v>45508</v>
      </c>
      <c r="C59" s="1" t="n">
        <v>46183</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58838-2025</t>
        </is>
      </c>
      <c r="B60" s="1" t="n">
        <v>45987.35973379629</v>
      </c>
      <c r="C60" s="1" t="n">
        <v>46183</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59516-2025</t>
        </is>
      </c>
      <c r="B61" s="1" t="n">
        <v>45989.65396990741</v>
      </c>
      <c r="C61" s="1" t="n">
        <v>46183</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3006-2026</t>
        </is>
      </c>
      <c r="B62" s="1" t="n">
        <v>46038.65719907408</v>
      </c>
      <c r="C62" s="1" t="n">
        <v>46183</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63199-2025</t>
        </is>
      </c>
      <c r="B63" s="1" t="n">
        <v>46010.46091435185</v>
      </c>
      <c r="C63" s="1" t="n">
        <v>46183</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33865-2021</t>
        </is>
      </c>
      <c r="B64" s="1" t="n">
        <v>44378.62756944444</v>
      </c>
      <c r="C64" s="1" t="n">
        <v>46183</v>
      </c>
      <c r="D64" t="inlineStr">
        <is>
          <t>ÖREBRO LÄN</t>
        </is>
      </c>
      <c r="E64" t="inlineStr">
        <is>
          <t>ÖREBRO</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70289-2021</t>
        </is>
      </c>
      <c r="B65" s="1" t="n">
        <v>44536</v>
      </c>
      <c r="C65" s="1" t="n">
        <v>46183</v>
      </c>
      <c r="D65" t="inlineStr">
        <is>
          <t>ÖREBRO LÄN</t>
        </is>
      </c>
      <c r="E65" t="inlineStr">
        <is>
          <t>ÖREBRO</t>
        </is>
      </c>
      <c r="G65" t="n">
        <v>1.2</v>
      </c>
      <c r="H65" t="n">
        <v>0</v>
      </c>
      <c r="I65" t="n">
        <v>0</v>
      </c>
      <c r="J65" t="n">
        <v>0</v>
      </c>
      <c r="K65" t="n">
        <v>0</v>
      </c>
      <c r="L65" t="n">
        <v>0</v>
      </c>
      <c r="M65" t="n">
        <v>0</v>
      </c>
      <c r="N65" t="n">
        <v>0</v>
      </c>
      <c r="O65" t="n">
        <v>0</v>
      </c>
      <c r="P65" t="n">
        <v>0</v>
      </c>
      <c r="Q65" t="n">
        <v>0</v>
      </c>
      <c r="R65" s="2" t="inlineStr"/>
    </row>
    <row r="66" ht="15" customHeight="1">
      <c r="A66" t="inlineStr">
        <is>
          <t>A 70540-2021</t>
        </is>
      </c>
      <c r="B66" s="1" t="n">
        <v>44537</v>
      </c>
      <c r="C66" s="1" t="n">
        <v>46183</v>
      </c>
      <c r="D66" t="inlineStr">
        <is>
          <t>ÖREBRO LÄN</t>
        </is>
      </c>
      <c r="E66" t="inlineStr">
        <is>
          <t>ÖREBRO</t>
        </is>
      </c>
      <c r="G66" t="n">
        <v>7.1</v>
      </c>
      <c r="H66" t="n">
        <v>0</v>
      </c>
      <c r="I66" t="n">
        <v>0</v>
      </c>
      <c r="J66" t="n">
        <v>0</v>
      </c>
      <c r="K66" t="n">
        <v>0</v>
      </c>
      <c r="L66" t="n">
        <v>0</v>
      </c>
      <c r="M66" t="n">
        <v>0</v>
      </c>
      <c r="N66" t="n">
        <v>0</v>
      </c>
      <c r="O66" t="n">
        <v>0</v>
      </c>
      <c r="P66" t="n">
        <v>0</v>
      </c>
      <c r="Q66" t="n">
        <v>0</v>
      </c>
      <c r="R66" s="2" t="inlineStr"/>
    </row>
    <row r="67" ht="15" customHeight="1">
      <c r="A67" t="inlineStr">
        <is>
          <t>A 49016-2021</t>
        </is>
      </c>
      <c r="B67" s="1" t="n">
        <v>44453</v>
      </c>
      <c r="C67" s="1" t="n">
        <v>46183</v>
      </c>
      <c r="D67" t="inlineStr">
        <is>
          <t>ÖREBRO LÄN</t>
        </is>
      </c>
      <c r="E67" t="inlineStr">
        <is>
          <t>ÖREBRO</t>
        </is>
      </c>
      <c r="G67" t="n">
        <v>4.5</v>
      </c>
      <c r="H67" t="n">
        <v>0</v>
      </c>
      <c r="I67" t="n">
        <v>0</v>
      </c>
      <c r="J67" t="n">
        <v>0</v>
      </c>
      <c r="K67" t="n">
        <v>0</v>
      </c>
      <c r="L67" t="n">
        <v>0</v>
      </c>
      <c r="M67" t="n">
        <v>0</v>
      </c>
      <c r="N67" t="n">
        <v>0</v>
      </c>
      <c r="O67" t="n">
        <v>0</v>
      </c>
      <c r="P67" t="n">
        <v>0</v>
      </c>
      <c r="Q67" t="n">
        <v>0</v>
      </c>
      <c r="R67" s="2" t="inlineStr"/>
    </row>
    <row r="68" ht="15" customHeight="1">
      <c r="A68" t="inlineStr">
        <is>
          <t>A 59584-2021</t>
        </is>
      </c>
      <c r="B68" s="1" t="n">
        <v>44491</v>
      </c>
      <c r="C68" s="1" t="n">
        <v>46183</v>
      </c>
      <c r="D68" t="inlineStr">
        <is>
          <t>ÖREBRO LÄN</t>
        </is>
      </c>
      <c r="E68" t="inlineStr">
        <is>
          <t>ÖREBRO</t>
        </is>
      </c>
      <c r="G68" t="n">
        <v>1.4</v>
      </c>
      <c r="H68" t="n">
        <v>0</v>
      </c>
      <c r="I68" t="n">
        <v>0</v>
      </c>
      <c r="J68" t="n">
        <v>0</v>
      </c>
      <c r="K68" t="n">
        <v>0</v>
      </c>
      <c r="L68" t="n">
        <v>0</v>
      </c>
      <c r="M68" t="n">
        <v>0</v>
      </c>
      <c r="N68" t="n">
        <v>0</v>
      </c>
      <c r="O68" t="n">
        <v>0</v>
      </c>
      <c r="P68" t="n">
        <v>0</v>
      </c>
      <c r="Q68" t="n">
        <v>0</v>
      </c>
      <c r="R68" s="2" t="inlineStr"/>
    </row>
    <row r="69" ht="15" customHeight="1">
      <c r="A69" t="inlineStr">
        <is>
          <t>A 63890-2021</t>
        </is>
      </c>
      <c r="B69" s="1" t="n">
        <v>44509</v>
      </c>
      <c r="C69" s="1" t="n">
        <v>46183</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7365-2022</t>
        </is>
      </c>
      <c r="B70" s="1" t="n">
        <v>44606</v>
      </c>
      <c r="C70" s="1" t="n">
        <v>46183</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33779-2021</t>
        </is>
      </c>
      <c r="B71" s="1" t="n">
        <v>44378.54952546296</v>
      </c>
      <c r="C71" s="1" t="n">
        <v>46183</v>
      </c>
      <c r="D71" t="inlineStr">
        <is>
          <t>ÖREBRO LÄN</t>
        </is>
      </c>
      <c r="E71" t="inlineStr">
        <is>
          <t>ÖREBRO</t>
        </is>
      </c>
      <c r="F71" t="inlineStr">
        <is>
          <t>Kommuner</t>
        </is>
      </c>
      <c r="G71" t="n">
        <v>4.5</v>
      </c>
      <c r="H71" t="n">
        <v>0</v>
      </c>
      <c r="I71" t="n">
        <v>0</v>
      </c>
      <c r="J71" t="n">
        <v>0</v>
      </c>
      <c r="K71" t="n">
        <v>0</v>
      </c>
      <c r="L71" t="n">
        <v>0</v>
      </c>
      <c r="M71" t="n">
        <v>0</v>
      </c>
      <c r="N71" t="n">
        <v>0</v>
      </c>
      <c r="O71" t="n">
        <v>0</v>
      </c>
      <c r="P71" t="n">
        <v>0</v>
      </c>
      <c r="Q71" t="n">
        <v>0</v>
      </c>
      <c r="R71" s="2" t="inlineStr"/>
    </row>
    <row r="72" ht="15" customHeight="1">
      <c r="A72" t="inlineStr">
        <is>
          <t>A 31235-2021</t>
        </is>
      </c>
      <c r="B72" s="1" t="n">
        <v>44368.65681712963</v>
      </c>
      <c r="C72" s="1" t="n">
        <v>46183</v>
      </c>
      <c r="D72" t="inlineStr">
        <is>
          <t>ÖREBRO LÄN</t>
        </is>
      </c>
      <c r="E72" t="inlineStr">
        <is>
          <t>ÖREBRO</t>
        </is>
      </c>
      <c r="F72" t="inlineStr">
        <is>
          <t>Övriga Aktiebolag</t>
        </is>
      </c>
      <c r="G72" t="n">
        <v>1.5</v>
      </c>
      <c r="H72" t="n">
        <v>0</v>
      </c>
      <c r="I72" t="n">
        <v>0</v>
      </c>
      <c r="J72" t="n">
        <v>0</v>
      </c>
      <c r="K72" t="n">
        <v>0</v>
      </c>
      <c r="L72" t="n">
        <v>0</v>
      </c>
      <c r="M72" t="n">
        <v>0</v>
      </c>
      <c r="N72" t="n">
        <v>0</v>
      </c>
      <c r="O72" t="n">
        <v>0</v>
      </c>
      <c r="P72" t="n">
        <v>0</v>
      </c>
      <c r="Q72" t="n">
        <v>0</v>
      </c>
      <c r="R72" s="2" t="inlineStr"/>
    </row>
    <row r="73" ht="15" customHeight="1">
      <c r="A73" t="inlineStr">
        <is>
          <t>A 41892-2022</t>
        </is>
      </c>
      <c r="B73" s="1" t="n">
        <v>44830.33280092593</v>
      </c>
      <c r="C73" s="1" t="n">
        <v>46183</v>
      </c>
      <c r="D73" t="inlineStr">
        <is>
          <t>ÖREBRO LÄN</t>
        </is>
      </c>
      <c r="E73" t="inlineStr">
        <is>
          <t>ÖREBRO</t>
        </is>
      </c>
      <c r="G73" t="n">
        <v>1.1</v>
      </c>
      <c r="H73" t="n">
        <v>0</v>
      </c>
      <c r="I73" t="n">
        <v>0</v>
      </c>
      <c r="J73" t="n">
        <v>0</v>
      </c>
      <c r="K73" t="n">
        <v>0</v>
      </c>
      <c r="L73" t="n">
        <v>0</v>
      </c>
      <c r="M73" t="n">
        <v>0</v>
      </c>
      <c r="N73" t="n">
        <v>0</v>
      </c>
      <c r="O73" t="n">
        <v>0</v>
      </c>
      <c r="P73" t="n">
        <v>0</v>
      </c>
      <c r="Q73" t="n">
        <v>0</v>
      </c>
      <c r="R73" s="2" t="inlineStr"/>
    </row>
    <row r="74" ht="15" customHeight="1">
      <c r="A74" t="inlineStr">
        <is>
          <t>A 38133-2021</t>
        </is>
      </c>
      <c r="B74" s="1" t="n">
        <v>44404</v>
      </c>
      <c r="C74" s="1" t="n">
        <v>46183</v>
      </c>
      <c r="D74" t="inlineStr">
        <is>
          <t>ÖREBRO LÄN</t>
        </is>
      </c>
      <c r="E74" t="inlineStr">
        <is>
          <t>ÖREBRO</t>
        </is>
      </c>
      <c r="G74" t="n">
        <v>9.199999999999999</v>
      </c>
      <c r="H74" t="n">
        <v>0</v>
      </c>
      <c r="I74" t="n">
        <v>0</v>
      </c>
      <c r="J74" t="n">
        <v>0</v>
      </c>
      <c r="K74" t="n">
        <v>0</v>
      </c>
      <c r="L74" t="n">
        <v>0</v>
      </c>
      <c r="M74" t="n">
        <v>0</v>
      </c>
      <c r="N74" t="n">
        <v>0</v>
      </c>
      <c r="O74" t="n">
        <v>0</v>
      </c>
      <c r="P74" t="n">
        <v>0</v>
      </c>
      <c r="Q74" t="n">
        <v>0</v>
      </c>
      <c r="R74" s="2" t="inlineStr"/>
    </row>
    <row r="75" ht="15" customHeight="1">
      <c r="A75" t="inlineStr">
        <is>
          <t>A 18674-2022</t>
        </is>
      </c>
      <c r="B75" s="1" t="n">
        <v>44687</v>
      </c>
      <c r="C75" s="1" t="n">
        <v>46183</v>
      </c>
      <c r="D75" t="inlineStr">
        <is>
          <t>ÖREBRO LÄN</t>
        </is>
      </c>
      <c r="E75" t="inlineStr">
        <is>
          <t>ÖREBRO</t>
        </is>
      </c>
      <c r="G75" t="n">
        <v>0.3</v>
      </c>
      <c r="H75" t="n">
        <v>0</v>
      </c>
      <c r="I75" t="n">
        <v>0</v>
      </c>
      <c r="J75" t="n">
        <v>0</v>
      </c>
      <c r="K75" t="n">
        <v>0</v>
      </c>
      <c r="L75" t="n">
        <v>0</v>
      </c>
      <c r="M75" t="n">
        <v>0</v>
      </c>
      <c r="N75" t="n">
        <v>0</v>
      </c>
      <c r="O75" t="n">
        <v>0</v>
      </c>
      <c r="P75" t="n">
        <v>0</v>
      </c>
      <c r="Q75" t="n">
        <v>0</v>
      </c>
      <c r="R75" s="2" t="inlineStr"/>
    </row>
    <row r="76" ht="15" customHeight="1">
      <c r="A76" t="inlineStr">
        <is>
          <t>A 14877-2022</t>
        </is>
      </c>
      <c r="B76" s="1" t="n">
        <v>44656</v>
      </c>
      <c r="C76" s="1" t="n">
        <v>46183</v>
      </c>
      <c r="D76" t="inlineStr">
        <is>
          <t>ÖREBRO LÄN</t>
        </is>
      </c>
      <c r="E76" t="inlineStr">
        <is>
          <t>ÖREBRO</t>
        </is>
      </c>
      <c r="G76" t="n">
        <v>3.8</v>
      </c>
      <c r="H76" t="n">
        <v>0</v>
      </c>
      <c r="I76" t="n">
        <v>0</v>
      </c>
      <c r="J76" t="n">
        <v>0</v>
      </c>
      <c r="K76" t="n">
        <v>0</v>
      </c>
      <c r="L76" t="n">
        <v>0</v>
      </c>
      <c r="M76" t="n">
        <v>0</v>
      </c>
      <c r="N76" t="n">
        <v>0</v>
      </c>
      <c r="O76" t="n">
        <v>0</v>
      </c>
      <c r="P76" t="n">
        <v>0</v>
      </c>
      <c r="Q76" t="n">
        <v>0</v>
      </c>
      <c r="R76" s="2" t="inlineStr"/>
    </row>
    <row r="77" ht="15" customHeight="1">
      <c r="A77" t="inlineStr">
        <is>
          <t>A 14878-2022</t>
        </is>
      </c>
      <c r="B77" s="1" t="n">
        <v>44656</v>
      </c>
      <c r="C77" s="1" t="n">
        <v>46183</v>
      </c>
      <c r="D77" t="inlineStr">
        <is>
          <t>ÖREBRO LÄN</t>
        </is>
      </c>
      <c r="E77" t="inlineStr">
        <is>
          <t>ÖREBRO</t>
        </is>
      </c>
      <c r="G77" t="n">
        <v>5.4</v>
      </c>
      <c r="H77" t="n">
        <v>0</v>
      </c>
      <c r="I77" t="n">
        <v>0</v>
      </c>
      <c r="J77" t="n">
        <v>0</v>
      </c>
      <c r="K77" t="n">
        <v>0</v>
      </c>
      <c r="L77" t="n">
        <v>0</v>
      </c>
      <c r="M77" t="n">
        <v>0</v>
      </c>
      <c r="N77" t="n">
        <v>0</v>
      </c>
      <c r="O77" t="n">
        <v>0</v>
      </c>
      <c r="P77" t="n">
        <v>0</v>
      </c>
      <c r="Q77" t="n">
        <v>0</v>
      </c>
      <c r="R77" s="2" t="inlineStr"/>
    </row>
    <row r="78" ht="15" customHeight="1">
      <c r="A78" t="inlineStr">
        <is>
          <t>A 22153-2022</t>
        </is>
      </c>
      <c r="B78" s="1" t="n">
        <v>44712</v>
      </c>
      <c r="C78" s="1" t="n">
        <v>46183</v>
      </c>
      <c r="D78" t="inlineStr">
        <is>
          <t>ÖREBRO LÄN</t>
        </is>
      </c>
      <c r="E78" t="inlineStr">
        <is>
          <t>ÖREBRO</t>
        </is>
      </c>
      <c r="G78" t="n">
        <v>2.7</v>
      </c>
      <c r="H78" t="n">
        <v>0</v>
      </c>
      <c r="I78" t="n">
        <v>0</v>
      </c>
      <c r="J78" t="n">
        <v>0</v>
      </c>
      <c r="K78" t="n">
        <v>0</v>
      </c>
      <c r="L78" t="n">
        <v>0</v>
      </c>
      <c r="M78" t="n">
        <v>0</v>
      </c>
      <c r="N78" t="n">
        <v>0</v>
      </c>
      <c r="O78" t="n">
        <v>0</v>
      </c>
      <c r="P78" t="n">
        <v>0</v>
      </c>
      <c r="Q78" t="n">
        <v>0</v>
      </c>
      <c r="R78" s="2" t="inlineStr"/>
    </row>
    <row r="79" ht="15" customHeight="1">
      <c r="A79" t="inlineStr">
        <is>
          <t>A 16969-2022</t>
        </is>
      </c>
      <c r="B79" s="1" t="n">
        <v>44676</v>
      </c>
      <c r="C79" s="1" t="n">
        <v>46183</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66970-2021</t>
        </is>
      </c>
      <c r="B80" s="1" t="n">
        <v>44522</v>
      </c>
      <c r="C80" s="1" t="n">
        <v>46183</v>
      </c>
      <c r="D80" t="inlineStr">
        <is>
          <t>ÖREBRO LÄN</t>
        </is>
      </c>
      <c r="E80" t="inlineStr">
        <is>
          <t>ÖREBRO</t>
        </is>
      </c>
      <c r="G80" t="n">
        <v>1</v>
      </c>
      <c r="H80" t="n">
        <v>0</v>
      </c>
      <c r="I80" t="n">
        <v>0</v>
      </c>
      <c r="J80" t="n">
        <v>0</v>
      </c>
      <c r="K80" t="n">
        <v>0</v>
      </c>
      <c r="L80" t="n">
        <v>0</v>
      </c>
      <c r="M80" t="n">
        <v>0</v>
      </c>
      <c r="N80" t="n">
        <v>0</v>
      </c>
      <c r="O80" t="n">
        <v>0</v>
      </c>
      <c r="P80" t="n">
        <v>0</v>
      </c>
      <c r="Q80" t="n">
        <v>0</v>
      </c>
      <c r="R80" s="2" t="inlineStr"/>
    </row>
    <row r="81" ht="15" customHeight="1">
      <c r="A81" t="inlineStr">
        <is>
          <t>A 16759-2022</t>
        </is>
      </c>
      <c r="B81" s="1" t="n">
        <v>44673</v>
      </c>
      <c r="C81" s="1" t="n">
        <v>46183</v>
      </c>
      <c r="D81" t="inlineStr">
        <is>
          <t>ÖREBRO LÄN</t>
        </is>
      </c>
      <c r="E81" t="inlineStr">
        <is>
          <t>ÖREBRO</t>
        </is>
      </c>
      <c r="G81" t="n">
        <v>2</v>
      </c>
      <c r="H81" t="n">
        <v>0</v>
      </c>
      <c r="I81" t="n">
        <v>0</v>
      </c>
      <c r="J81" t="n">
        <v>0</v>
      </c>
      <c r="K81" t="n">
        <v>0</v>
      </c>
      <c r="L81" t="n">
        <v>0</v>
      </c>
      <c r="M81" t="n">
        <v>0</v>
      </c>
      <c r="N81" t="n">
        <v>0</v>
      </c>
      <c r="O81" t="n">
        <v>0</v>
      </c>
      <c r="P81" t="n">
        <v>0</v>
      </c>
      <c r="Q81" t="n">
        <v>0</v>
      </c>
      <c r="R81" s="2" t="inlineStr"/>
    </row>
    <row r="82" ht="15" customHeight="1">
      <c r="A82" t="inlineStr">
        <is>
          <t>A 55012-2022</t>
        </is>
      </c>
      <c r="B82" s="1" t="n">
        <v>44886.52833333334</v>
      </c>
      <c r="C82" s="1" t="n">
        <v>46183</v>
      </c>
      <c r="D82" t="inlineStr">
        <is>
          <t>ÖREBRO LÄN</t>
        </is>
      </c>
      <c r="E82" t="inlineStr">
        <is>
          <t>ÖREBRO</t>
        </is>
      </c>
      <c r="G82" t="n">
        <v>5.1</v>
      </c>
      <c r="H82" t="n">
        <v>0</v>
      </c>
      <c r="I82" t="n">
        <v>0</v>
      </c>
      <c r="J82" t="n">
        <v>0</v>
      </c>
      <c r="K82" t="n">
        <v>0</v>
      </c>
      <c r="L82" t="n">
        <v>0</v>
      </c>
      <c r="M82" t="n">
        <v>0</v>
      </c>
      <c r="N82" t="n">
        <v>0</v>
      </c>
      <c r="O82" t="n">
        <v>0</v>
      </c>
      <c r="P82" t="n">
        <v>0</v>
      </c>
      <c r="Q82" t="n">
        <v>0</v>
      </c>
      <c r="R82" s="2" t="inlineStr"/>
    </row>
    <row r="83" ht="15" customHeight="1">
      <c r="A83" t="inlineStr">
        <is>
          <t>A 70871-2021</t>
        </is>
      </c>
      <c r="B83" s="1" t="n">
        <v>44538</v>
      </c>
      <c r="C83" s="1" t="n">
        <v>46183</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36794-2022</t>
        </is>
      </c>
      <c r="B84" s="1" t="n">
        <v>44805</v>
      </c>
      <c r="C84" s="1" t="n">
        <v>46183</v>
      </c>
      <c r="D84" t="inlineStr">
        <is>
          <t>ÖREBRO LÄN</t>
        </is>
      </c>
      <c r="E84" t="inlineStr">
        <is>
          <t>ÖREBRO</t>
        </is>
      </c>
      <c r="G84" t="n">
        <v>0.6</v>
      </c>
      <c r="H84" t="n">
        <v>0</v>
      </c>
      <c r="I84" t="n">
        <v>0</v>
      </c>
      <c r="J84" t="n">
        <v>0</v>
      </c>
      <c r="K84" t="n">
        <v>0</v>
      </c>
      <c r="L84" t="n">
        <v>0</v>
      </c>
      <c r="M84" t="n">
        <v>0</v>
      </c>
      <c r="N84" t="n">
        <v>0</v>
      </c>
      <c r="O84" t="n">
        <v>0</v>
      </c>
      <c r="P84" t="n">
        <v>0</v>
      </c>
      <c r="Q84" t="n">
        <v>0</v>
      </c>
      <c r="R84" s="2" t="inlineStr"/>
    </row>
    <row r="85" ht="15" customHeight="1">
      <c r="A85" t="inlineStr">
        <is>
          <t>A 70199-2021</t>
        </is>
      </c>
      <c r="B85" s="1" t="n">
        <v>44534.80712962963</v>
      </c>
      <c r="C85" s="1" t="n">
        <v>46183</v>
      </c>
      <c r="D85" t="inlineStr">
        <is>
          <t>ÖREBRO LÄN</t>
        </is>
      </c>
      <c r="E85" t="inlineStr">
        <is>
          <t>ÖREBRO</t>
        </is>
      </c>
      <c r="G85" t="n">
        <v>4.1</v>
      </c>
      <c r="H85" t="n">
        <v>0</v>
      </c>
      <c r="I85" t="n">
        <v>0</v>
      </c>
      <c r="J85" t="n">
        <v>0</v>
      </c>
      <c r="K85" t="n">
        <v>0</v>
      </c>
      <c r="L85" t="n">
        <v>0</v>
      </c>
      <c r="M85" t="n">
        <v>0</v>
      </c>
      <c r="N85" t="n">
        <v>0</v>
      </c>
      <c r="O85" t="n">
        <v>0</v>
      </c>
      <c r="P85" t="n">
        <v>0</v>
      </c>
      <c r="Q85" t="n">
        <v>0</v>
      </c>
      <c r="R85" s="2" t="inlineStr"/>
    </row>
    <row r="86" ht="15" customHeight="1">
      <c r="A86" t="inlineStr">
        <is>
          <t>A 51429-2021</t>
        </is>
      </c>
      <c r="B86" s="1" t="n">
        <v>44461.92744212963</v>
      </c>
      <c r="C86" s="1" t="n">
        <v>46183</v>
      </c>
      <c r="D86" t="inlineStr">
        <is>
          <t>ÖREBRO LÄN</t>
        </is>
      </c>
      <c r="E86" t="inlineStr">
        <is>
          <t>ÖREBRO</t>
        </is>
      </c>
      <c r="G86" t="n">
        <v>0.7</v>
      </c>
      <c r="H86" t="n">
        <v>0</v>
      </c>
      <c r="I86" t="n">
        <v>0</v>
      </c>
      <c r="J86" t="n">
        <v>0</v>
      </c>
      <c r="K86" t="n">
        <v>0</v>
      </c>
      <c r="L86" t="n">
        <v>0</v>
      </c>
      <c r="M86" t="n">
        <v>0</v>
      </c>
      <c r="N86" t="n">
        <v>0</v>
      </c>
      <c r="O86" t="n">
        <v>0</v>
      </c>
      <c r="P86" t="n">
        <v>0</v>
      </c>
      <c r="Q86" t="n">
        <v>0</v>
      </c>
      <c r="R86" s="2" t="inlineStr"/>
    </row>
    <row r="87" ht="15" customHeight="1">
      <c r="A87" t="inlineStr">
        <is>
          <t>A 797-2022</t>
        </is>
      </c>
      <c r="B87" s="1" t="n">
        <v>44566</v>
      </c>
      <c r="C87" s="1" t="n">
        <v>46183</v>
      </c>
      <c r="D87" t="inlineStr">
        <is>
          <t>ÖREBRO LÄN</t>
        </is>
      </c>
      <c r="E87" t="inlineStr">
        <is>
          <t>ÖREBRO</t>
        </is>
      </c>
      <c r="G87" t="n">
        <v>0.1</v>
      </c>
      <c r="H87" t="n">
        <v>0</v>
      </c>
      <c r="I87" t="n">
        <v>0</v>
      </c>
      <c r="J87" t="n">
        <v>0</v>
      </c>
      <c r="K87" t="n">
        <v>0</v>
      </c>
      <c r="L87" t="n">
        <v>0</v>
      </c>
      <c r="M87" t="n">
        <v>0</v>
      </c>
      <c r="N87" t="n">
        <v>0</v>
      </c>
      <c r="O87" t="n">
        <v>0</v>
      </c>
      <c r="P87" t="n">
        <v>0</v>
      </c>
      <c r="Q87" t="n">
        <v>0</v>
      </c>
      <c r="R87" s="2" t="inlineStr"/>
    </row>
    <row r="88" ht="15" customHeight="1">
      <c r="A88" t="inlineStr">
        <is>
          <t>A 35836-2021</t>
        </is>
      </c>
      <c r="B88" s="1" t="n">
        <v>44386</v>
      </c>
      <c r="C88" s="1" t="n">
        <v>46183</v>
      </c>
      <c r="D88" t="inlineStr">
        <is>
          <t>ÖREBRO LÄN</t>
        </is>
      </c>
      <c r="E88" t="inlineStr">
        <is>
          <t>ÖREBRO</t>
        </is>
      </c>
      <c r="F88" t="inlineStr">
        <is>
          <t>Kommuner</t>
        </is>
      </c>
      <c r="G88" t="n">
        <v>2.1</v>
      </c>
      <c r="H88" t="n">
        <v>0</v>
      </c>
      <c r="I88" t="n">
        <v>0</v>
      </c>
      <c r="J88" t="n">
        <v>0</v>
      </c>
      <c r="K88" t="n">
        <v>0</v>
      </c>
      <c r="L88" t="n">
        <v>0</v>
      </c>
      <c r="M88" t="n">
        <v>0</v>
      </c>
      <c r="N88" t="n">
        <v>0</v>
      </c>
      <c r="O88" t="n">
        <v>0</v>
      </c>
      <c r="P88" t="n">
        <v>0</v>
      </c>
      <c r="Q88" t="n">
        <v>0</v>
      </c>
      <c r="R88" s="2" t="inlineStr"/>
    </row>
    <row r="89" ht="15" customHeight="1">
      <c r="A89" t="inlineStr">
        <is>
          <t>A 13045-2022</t>
        </is>
      </c>
      <c r="B89" s="1" t="n">
        <v>44643</v>
      </c>
      <c r="C89" s="1" t="n">
        <v>46183</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64523-2021</t>
        </is>
      </c>
      <c r="B90" s="1" t="n">
        <v>44511</v>
      </c>
      <c r="C90" s="1" t="n">
        <v>46183</v>
      </c>
      <c r="D90" t="inlineStr">
        <is>
          <t>ÖREBRO LÄN</t>
        </is>
      </c>
      <c r="E90" t="inlineStr">
        <is>
          <t>ÖREBRO</t>
        </is>
      </c>
      <c r="G90" t="n">
        <v>1.2</v>
      </c>
      <c r="H90" t="n">
        <v>0</v>
      </c>
      <c r="I90" t="n">
        <v>0</v>
      </c>
      <c r="J90" t="n">
        <v>0</v>
      </c>
      <c r="K90" t="n">
        <v>0</v>
      </c>
      <c r="L90" t="n">
        <v>0</v>
      </c>
      <c r="M90" t="n">
        <v>0</v>
      </c>
      <c r="N90" t="n">
        <v>0</v>
      </c>
      <c r="O90" t="n">
        <v>0</v>
      </c>
      <c r="P90" t="n">
        <v>0</v>
      </c>
      <c r="Q90" t="n">
        <v>0</v>
      </c>
      <c r="R90" s="2" t="inlineStr"/>
    </row>
    <row r="91" ht="15" customHeight="1">
      <c r="A91" t="inlineStr">
        <is>
          <t>A 28870-2021</t>
        </is>
      </c>
      <c r="B91" s="1" t="n">
        <v>44357.75265046296</v>
      </c>
      <c r="C91" s="1" t="n">
        <v>46183</v>
      </c>
      <c r="D91" t="inlineStr">
        <is>
          <t>ÖREBRO LÄN</t>
        </is>
      </c>
      <c r="E91" t="inlineStr">
        <is>
          <t>ÖREBRO</t>
        </is>
      </c>
      <c r="F91" t="inlineStr">
        <is>
          <t>Övriga Aktiebolag</t>
        </is>
      </c>
      <c r="G91" t="n">
        <v>2.4</v>
      </c>
      <c r="H91" t="n">
        <v>0</v>
      </c>
      <c r="I91" t="n">
        <v>0</v>
      </c>
      <c r="J91" t="n">
        <v>0</v>
      </c>
      <c r="K91" t="n">
        <v>0</v>
      </c>
      <c r="L91" t="n">
        <v>0</v>
      </c>
      <c r="M91" t="n">
        <v>0</v>
      </c>
      <c r="N91" t="n">
        <v>0</v>
      </c>
      <c r="O91" t="n">
        <v>0</v>
      </c>
      <c r="P91" t="n">
        <v>0</v>
      </c>
      <c r="Q91" t="n">
        <v>0</v>
      </c>
      <c r="R91" s="2" t="inlineStr"/>
    </row>
    <row r="92" ht="15" customHeight="1">
      <c r="A92" t="inlineStr">
        <is>
          <t>A 10019-2022</t>
        </is>
      </c>
      <c r="B92" s="1" t="n">
        <v>44621</v>
      </c>
      <c r="C92" s="1" t="n">
        <v>46183</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44146-2021</t>
        </is>
      </c>
      <c r="B93" s="1" t="n">
        <v>44434</v>
      </c>
      <c r="C93" s="1" t="n">
        <v>46183</v>
      </c>
      <c r="D93" t="inlineStr">
        <is>
          <t>ÖREBRO LÄN</t>
        </is>
      </c>
      <c r="E93" t="inlineStr">
        <is>
          <t>ÖREBRO</t>
        </is>
      </c>
      <c r="G93" t="n">
        <v>1.7</v>
      </c>
      <c r="H93" t="n">
        <v>0</v>
      </c>
      <c r="I93" t="n">
        <v>0</v>
      </c>
      <c r="J93" t="n">
        <v>0</v>
      </c>
      <c r="K93" t="n">
        <v>0</v>
      </c>
      <c r="L93" t="n">
        <v>0</v>
      </c>
      <c r="M93" t="n">
        <v>0</v>
      </c>
      <c r="N93" t="n">
        <v>0</v>
      </c>
      <c r="O93" t="n">
        <v>0</v>
      </c>
      <c r="P93" t="n">
        <v>0</v>
      </c>
      <c r="Q93" t="n">
        <v>0</v>
      </c>
      <c r="R93" s="2" t="inlineStr"/>
    </row>
    <row r="94" ht="15" customHeight="1">
      <c r="A94" t="inlineStr">
        <is>
          <t>A 21567-2022</t>
        </is>
      </c>
      <c r="B94" s="1" t="n">
        <v>44706</v>
      </c>
      <c r="C94" s="1" t="n">
        <v>46183</v>
      </c>
      <c r="D94" t="inlineStr">
        <is>
          <t>ÖREBRO LÄN</t>
        </is>
      </c>
      <c r="E94" t="inlineStr">
        <is>
          <t>ÖREBRO</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58138-2021</t>
        </is>
      </c>
      <c r="B95" s="1" t="n">
        <v>44487</v>
      </c>
      <c r="C95" s="1" t="n">
        <v>46183</v>
      </c>
      <c r="D95" t="inlineStr">
        <is>
          <t>ÖREBRO LÄN</t>
        </is>
      </c>
      <c r="E95" t="inlineStr">
        <is>
          <t>ÖREBRO</t>
        </is>
      </c>
      <c r="G95" t="n">
        <v>1.2</v>
      </c>
      <c r="H95" t="n">
        <v>0</v>
      </c>
      <c r="I95" t="n">
        <v>0</v>
      </c>
      <c r="J95" t="n">
        <v>0</v>
      </c>
      <c r="K95" t="n">
        <v>0</v>
      </c>
      <c r="L95" t="n">
        <v>0</v>
      </c>
      <c r="M95" t="n">
        <v>0</v>
      </c>
      <c r="N95" t="n">
        <v>0</v>
      </c>
      <c r="O95" t="n">
        <v>0</v>
      </c>
      <c r="P95" t="n">
        <v>0</v>
      </c>
      <c r="Q95" t="n">
        <v>0</v>
      </c>
      <c r="R95" s="2" t="inlineStr"/>
    </row>
    <row r="96" ht="15" customHeight="1">
      <c r="A96" t="inlineStr">
        <is>
          <t>A 30760-2022</t>
        </is>
      </c>
      <c r="B96" s="1" t="n">
        <v>44764.51827546296</v>
      </c>
      <c r="C96" s="1" t="n">
        <v>46183</v>
      </c>
      <c r="D96" t="inlineStr">
        <is>
          <t>ÖREBRO LÄN</t>
        </is>
      </c>
      <c r="E96" t="inlineStr">
        <is>
          <t>ÖREBRO</t>
        </is>
      </c>
      <c r="G96" t="n">
        <v>4</v>
      </c>
      <c r="H96" t="n">
        <v>0</v>
      </c>
      <c r="I96" t="n">
        <v>0</v>
      </c>
      <c r="J96" t="n">
        <v>0</v>
      </c>
      <c r="K96" t="n">
        <v>0</v>
      </c>
      <c r="L96" t="n">
        <v>0</v>
      </c>
      <c r="M96" t="n">
        <v>0</v>
      </c>
      <c r="N96" t="n">
        <v>0</v>
      </c>
      <c r="O96" t="n">
        <v>0</v>
      </c>
      <c r="P96" t="n">
        <v>0</v>
      </c>
      <c r="Q96" t="n">
        <v>0</v>
      </c>
      <c r="R96" s="2" t="inlineStr"/>
    </row>
    <row r="97" ht="15" customHeight="1">
      <c r="A97" t="inlineStr">
        <is>
          <t>A 29490-2022</t>
        </is>
      </c>
      <c r="B97" s="1" t="n">
        <v>44753</v>
      </c>
      <c r="C97" s="1" t="n">
        <v>46183</v>
      </c>
      <c r="D97" t="inlineStr">
        <is>
          <t>ÖREBRO LÄN</t>
        </is>
      </c>
      <c r="E97" t="inlineStr">
        <is>
          <t>ÖREBRO</t>
        </is>
      </c>
      <c r="F97" t="inlineStr">
        <is>
          <t>Kommuner</t>
        </is>
      </c>
      <c r="G97" t="n">
        <v>0.3</v>
      </c>
      <c r="H97" t="n">
        <v>0</v>
      </c>
      <c r="I97" t="n">
        <v>0</v>
      </c>
      <c r="J97" t="n">
        <v>0</v>
      </c>
      <c r="K97" t="n">
        <v>0</v>
      </c>
      <c r="L97" t="n">
        <v>0</v>
      </c>
      <c r="M97" t="n">
        <v>0</v>
      </c>
      <c r="N97" t="n">
        <v>0</v>
      </c>
      <c r="O97" t="n">
        <v>0</v>
      </c>
      <c r="P97" t="n">
        <v>0</v>
      </c>
      <c r="Q97" t="n">
        <v>0</v>
      </c>
      <c r="R97" s="2" t="inlineStr"/>
    </row>
    <row r="98" ht="15" customHeight="1">
      <c r="A98" t="inlineStr">
        <is>
          <t>A 33814-2021</t>
        </is>
      </c>
      <c r="B98" s="1" t="n">
        <v>44378</v>
      </c>
      <c r="C98" s="1" t="n">
        <v>46183</v>
      </c>
      <c r="D98" t="inlineStr">
        <is>
          <t>ÖREBRO LÄN</t>
        </is>
      </c>
      <c r="E98" t="inlineStr">
        <is>
          <t>ÖREBRO</t>
        </is>
      </c>
      <c r="F98" t="inlineStr">
        <is>
          <t>Kommuner</t>
        </is>
      </c>
      <c r="G98" t="n">
        <v>1.2</v>
      </c>
      <c r="H98" t="n">
        <v>0</v>
      </c>
      <c r="I98" t="n">
        <v>0</v>
      </c>
      <c r="J98" t="n">
        <v>0</v>
      </c>
      <c r="K98" t="n">
        <v>0</v>
      </c>
      <c r="L98" t="n">
        <v>0</v>
      </c>
      <c r="M98" t="n">
        <v>0</v>
      </c>
      <c r="N98" t="n">
        <v>0</v>
      </c>
      <c r="O98" t="n">
        <v>0</v>
      </c>
      <c r="P98" t="n">
        <v>0</v>
      </c>
      <c r="Q98" t="n">
        <v>0</v>
      </c>
      <c r="R98" s="2" t="inlineStr"/>
    </row>
    <row r="99" ht="15" customHeight="1">
      <c r="A99" t="inlineStr">
        <is>
          <t>A 57498-2021</t>
        </is>
      </c>
      <c r="B99" s="1" t="n">
        <v>44483</v>
      </c>
      <c r="C99" s="1" t="n">
        <v>46183</v>
      </c>
      <c r="D99" t="inlineStr">
        <is>
          <t>ÖREBRO LÄN</t>
        </is>
      </c>
      <c r="E99" t="inlineStr">
        <is>
          <t>ÖREBRO</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13631-2022</t>
        </is>
      </c>
      <c r="B100" s="1" t="n">
        <v>44648</v>
      </c>
      <c r="C100" s="1" t="n">
        <v>46183</v>
      </c>
      <c r="D100" t="inlineStr">
        <is>
          <t>ÖREBRO LÄN</t>
        </is>
      </c>
      <c r="E100" t="inlineStr">
        <is>
          <t>ÖREBRO</t>
        </is>
      </c>
      <c r="G100" t="n">
        <v>10.4</v>
      </c>
      <c r="H100" t="n">
        <v>0</v>
      </c>
      <c r="I100" t="n">
        <v>0</v>
      </c>
      <c r="J100" t="n">
        <v>0</v>
      </c>
      <c r="K100" t="n">
        <v>0</v>
      </c>
      <c r="L100" t="n">
        <v>0</v>
      </c>
      <c r="M100" t="n">
        <v>0</v>
      </c>
      <c r="N100" t="n">
        <v>0</v>
      </c>
      <c r="O100" t="n">
        <v>0</v>
      </c>
      <c r="P100" t="n">
        <v>0</v>
      </c>
      <c r="Q100" t="n">
        <v>0</v>
      </c>
      <c r="R100" s="2" t="inlineStr"/>
    </row>
    <row r="101" ht="15" customHeight="1">
      <c r="A101" t="inlineStr">
        <is>
          <t>A 37395-2021</t>
        </is>
      </c>
      <c r="B101" s="1" t="n">
        <v>44398</v>
      </c>
      <c r="C101" s="1" t="n">
        <v>46183</v>
      </c>
      <c r="D101" t="inlineStr">
        <is>
          <t>ÖREBRO LÄN</t>
        </is>
      </c>
      <c r="E101" t="inlineStr">
        <is>
          <t>ÖREBRO</t>
        </is>
      </c>
      <c r="G101" t="n">
        <v>3</v>
      </c>
      <c r="H101" t="n">
        <v>0</v>
      </c>
      <c r="I101" t="n">
        <v>0</v>
      </c>
      <c r="J101" t="n">
        <v>0</v>
      </c>
      <c r="K101" t="n">
        <v>0</v>
      </c>
      <c r="L101" t="n">
        <v>0</v>
      </c>
      <c r="M101" t="n">
        <v>0</v>
      </c>
      <c r="N101" t="n">
        <v>0</v>
      </c>
      <c r="O101" t="n">
        <v>0</v>
      </c>
      <c r="P101" t="n">
        <v>0</v>
      </c>
      <c r="Q101" t="n">
        <v>0</v>
      </c>
      <c r="R101" s="2" t="inlineStr"/>
    </row>
    <row r="102" ht="15" customHeight="1">
      <c r="A102" t="inlineStr">
        <is>
          <t>A 66936-2021</t>
        </is>
      </c>
      <c r="B102" s="1" t="n">
        <v>44522.56349537037</v>
      </c>
      <c r="C102" s="1" t="n">
        <v>46183</v>
      </c>
      <c r="D102" t="inlineStr">
        <is>
          <t>ÖREBRO LÄN</t>
        </is>
      </c>
      <c r="E102" t="inlineStr">
        <is>
          <t>ÖREBRO</t>
        </is>
      </c>
      <c r="G102" t="n">
        <v>6.8</v>
      </c>
      <c r="H102" t="n">
        <v>0</v>
      </c>
      <c r="I102" t="n">
        <v>0</v>
      </c>
      <c r="J102" t="n">
        <v>0</v>
      </c>
      <c r="K102" t="n">
        <v>0</v>
      </c>
      <c r="L102" t="n">
        <v>0</v>
      </c>
      <c r="M102" t="n">
        <v>0</v>
      </c>
      <c r="N102" t="n">
        <v>0</v>
      </c>
      <c r="O102" t="n">
        <v>0</v>
      </c>
      <c r="P102" t="n">
        <v>0</v>
      </c>
      <c r="Q102" t="n">
        <v>0</v>
      </c>
      <c r="R102" s="2" t="inlineStr"/>
    </row>
    <row r="103" ht="15" customHeight="1">
      <c r="A103" t="inlineStr">
        <is>
          <t>A 44131-2022</t>
        </is>
      </c>
      <c r="B103" s="1" t="n">
        <v>44839</v>
      </c>
      <c r="C103" s="1" t="n">
        <v>46183</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51268-2022</t>
        </is>
      </c>
      <c r="B104" s="1" t="n">
        <v>44868</v>
      </c>
      <c r="C104" s="1" t="n">
        <v>46183</v>
      </c>
      <c r="D104" t="inlineStr">
        <is>
          <t>ÖREBRO LÄN</t>
        </is>
      </c>
      <c r="E104" t="inlineStr">
        <is>
          <t>ÖREBRO</t>
        </is>
      </c>
      <c r="G104" t="n">
        <v>3.8</v>
      </c>
      <c r="H104" t="n">
        <v>0</v>
      </c>
      <c r="I104" t="n">
        <v>0</v>
      </c>
      <c r="J104" t="n">
        <v>0</v>
      </c>
      <c r="K104" t="n">
        <v>0</v>
      </c>
      <c r="L104" t="n">
        <v>0</v>
      </c>
      <c r="M104" t="n">
        <v>0</v>
      </c>
      <c r="N104" t="n">
        <v>0</v>
      </c>
      <c r="O104" t="n">
        <v>0</v>
      </c>
      <c r="P104" t="n">
        <v>0</v>
      </c>
      <c r="Q104" t="n">
        <v>0</v>
      </c>
      <c r="R104" s="2" t="inlineStr"/>
    </row>
    <row r="105" ht="15" customHeight="1">
      <c r="A105" t="inlineStr">
        <is>
          <t>A 18321-2022</t>
        </is>
      </c>
      <c r="B105" s="1" t="n">
        <v>44685</v>
      </c>
      <c r="C105" s="1" t="n">
        <v>46183</v>
      </c>
      <c r="D105" t="inlineStr">
        <is>
          <t>ÖREBRO LÄN</t>
        </is>
      </c>
      <c r="E105" t="inlineStr">
        <is>
          <t>ÖREBRO</t>
        </is>
      </c>
      <c r="G105" t="n">
        <v>2.1</v>
      </c>
      <c r="H105" t="n">
        <v>0</v>
      </c>
      <c r="I105" t="n">
        <v>0</v>
      </c>
      <c r="J105" t="n">
        <v>0</v>
      </c>
      <c r="K105" t="n">
        <v>0</v>
      </c>
      <c r="L105" t="n">
        <v>0</v>
      </c>
      <c r="M105" t="n">
        <v>0</v>
      </c>
      <c r="N105" t="n">
        <v>0</v>
      </c>
      <c r="O105" t="n">
        <v>0</v>
      </c>
      <c r="P105" t="n">
        <v>0</v>
      </c>
      <c r="Q105" t="n">
        <v>0</v>
      </c>
      <c r="R105" s="2" t="inlineStr"/>
    </row>
    <row r="106" ht="15" customHeight="1">
      <c r="A106" t="inlineStr">
        <is>
          <t>A 57343-2021</t>
        </is>
      </c>
      <c r="B106" s="1" t="n">
        <v>44482</v>
      </c>
      <c r="C106" s="1" t="n">
        <v>46183</v>
      </c>
      <c r="D106" t="inlineStr">
        <is>
          <t>ÖREBRO LÄN</t>
        </is>
      </c>
      <c r="E106" t="inlineStr">
        <is>
          <t>ÖREBRO</t>
        </is>
      </c>
      <c r="G106" t="n">
        <v>3.3</v>
      </c>
      <c r="H106" t="n">
        <v>0</v>
      </c>
      <c r="I106" t="n">
        <v>0</v>
      </c>
      <c r="J106" t="n">
        <v>0</v>
      </c>
      <c r="K106" t="n">
        <v>0</v>
      </c>
      <c r="L106" t="n">
        <v>0</v>
      </c>
      <c r="M106" t="n">
        <v>0</v>
      </c>
      <c r="N106" t="n">
        <v>0</v>
      </c>
      <c r="O106" t="n">
        <v>0</v>
      </c>
      <c r="P106" t="n">
        <v>0</v>
      </c>
      <c r="Q106" t="n">
        <v>0</v>
      </c>
      <c r="R106" s="2" t="inlineStr"/>
    </row>
    <row r="107" ht="15" customHeight="1">
      <c r="A107" t="inlineStr">
        <is>
          <t>A 18047-2022</t>
        </is>
      </c>
      <c r="B107" s="1" t="n">
        <v>44684</v>
      </c>
      <c r="C107" s="1" t="n">
        <v>46183</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9362-2022</t>
        </is>
      </c>
      <c r="B108" s="1" t="n">
        <v>44616.59946759259</v>
      </c>
      <c r="C108" s="1" t="n">
        <v>46183</v>
      </c>
      <c r="D108" t="inlineStr">
        <is>
          <t>ÖREBRO LÄN</t>
        </is>
      </c>
      <c r="E108" t="inlineStr">
        <is>
          <t>ÖREBRO</t>
        </is>
      </c>
      <c r="G108" t="n">
        <v>1.3</v>
      </c>
      <c r="H108" t="n">
        <v>0</v>
      </c>
      <c r="I108" t="n">
        <v>0</v>
      </c>
      <c r="J108" t="n">
        <v>0</v>
      </c>
      <c r="K108" t="n">
        <v>0</v>
      </c>
      <c r="L108" t="n">
        <v>0</v>
      </c>
      <c r="M108" t="n">
        <v>0</v>
      </c>
      <c r="N108" t="n">
        <v>0</v>
      </c>
      <c r="O108" t="n">
        <v>0</v>
      </c>
      <c r="P108" t="n">
        <v>0</v>
      </c>
      <c r="Q108" t="n">
        <v>0</v>
      </c>
      <c r="R108" s="2" t="inlineStr"/>
    </row>
    <row r="109" ht="15" customHeight="1">
      <c r="A109" t="inlineStr">
        <is>
          <t>A 4766-2022</t>
        </is>
      </c>
      <c r="B109" s="1" t="n">
        <v>44592</v>
      </c>
      <c r="C109" s="1" t="n">
        <v>46183</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32231-2022</t>
        </is>
      </c>
      <c r="B110" s="1" t="n">
        <v>44781</v>
      </c>
      <c r="C110" s="1" t="n">
        <v>46183</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32247-2022</t>
        </is>
      </c>
      <c r="B111" s="1" t="n">
        <v>44781</v>
      </c>
      <c r="C111" s="1" t="n">
        <v>46183</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63247-2021</t>
        </is>
      </c>
      <c r="B112" s="1" t="n">
        <v>44505</v>
      </c>
      <c r="C112" s="1" t="n">
        <v>46183</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16261-2022</t>
        </is>
      </c>
      <c r="B113" s="1" t="n">
        <v>44670</v>
      </c>
      <c r="C113" s="1" t="n">
        <v>46183</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44165-2022</t>
        </is>
      </c>
      <c r="B114" s="1" t="n">
        <v>44839</v>
      </c>
      <c r="C114" s="1" t="n">
        <v>46183</v>
      </c>
      <c r="D114" t="inlineStr">
        <is>
          <t>ÖREBRO LÄN</t>
        </is>
      </c>
      <c r="E114" t="inlineStr">
        <is>
          <t>ÖREBRO</t>
        </is>
      </c>
      <c r="G114" t="n">
        <v>0.5</v>
      </c>
      <c r="H114" t="n">
        <v>0</v>
      </c>
      <c r="I114" t="n">
        <v>0</v>
      </c>
      <c r="J114" t="n">
        <v>0</v>
      </c>
      <c r="K114" t="n">
        <v>0</v>
      </c>
      <c r="L114" t="n">
        <v>0</v>
      </c>
      <c r="M114" t="n">
        <v>0</v>
      </c>
      <c r="N114" t="n">
        <v>0</v>
      </c>
      <c r="O114" t="n">
        <v>0</v>
      </c>
      <c r="P114" t="n">
        <v>0</v>
      </c>
      <c r="Q114" t="n">
        <v>0</v>
      </c>
      <c r="R114" s="2" t="inlineStr"/>
    </row>
    <row r="115" ht="15" customHeight="1">
      <c r="A115" t="inlineStr">
        <is>
          <t>A 40312-2021</t>
        </is>
      </c>
      <c r="B115" s="1" t="n">
        <v>44419</v>
      </c>
      <c r="C115" s="1" t="n">
        <v>46183</v>
      </c>
      <c r="D115" t="inlineStr">
        <is>
          <t>ÖREBRO LÄN</t>
        </is>
      </c>
      <c r="E115" t="inlineStr">
        <is>
          <t>ÖREBRO</t>
        </is>
      </c>
      <c r="F115" t="inlineStr">
        <is>
          <t>Övriga Aktiebolag</t>
        </is>
      </c>
      <c r="G115" t="n">
        <v>2.6</v>
      </c>
      <c r="H115" t="n">
        <v>0</v>
      </c>
      <c r="I115" t="n">
        <v>0</v>
      </c>
      <c r="J115" t="n">
        <v>0</v>
      </c>
      <c r="K115" t="n">
        <v>0</v>
      </c>
      <c r="L115" t="n">
        <v>0</v>
      </c>
      <c r="M115" t="n">
        <v>0</v>
      </c>
      <c r="N115" t="n">
        <v>0</v>
      </c>
      <c r="O115" t="n">
        <v>0</v>
      </c>
      <c r="P115" t="n">
        <v>0</v>
      </c>
      <c r="Q115" t="n">
        <v>0</v>
      </c>
      <c r="R115" s="2" t="inlineStr"/>
    </row>
    <row r="116" ht="15" customHeight="1">
      <c r="A116" t="inlineStr">
        <is>
          <t>A 41553-2022</t>
        </is>
      </c>
      <c r="B116" s="1" t="n">
        <v>44827.3940625</v>
      </c>
      <c r="C116" s="1" t="n">
        <v>46183</v>
      </c>
      <c r="D116" t="inlineStr">
        <is>
          <t>ÖREBRO LÄN</t>
        </is>
      </c>
      <c r="E116" t="inlineStr">
        <is>
          <t>ÖREBRO</t>
        </is>
      </c>
      <c r="G116" t="n">
        <v>3.7</v>
      </c>
      <c r="H116" t="n">
        <v>0</v>
      </c>
      <c r="I116" t="n">
        <v>0</v>
      </c>
      <c r="J116" t="n">
        <v>0</v>
      </c>
      <c r="K116" t="n">
        <v>0</v>
      </c>
      <c r="L116" t="n">
        <v>0</v>
      </c>
      <c r="M116" t="n">
        <v>0</v>
      </c>
      <c r="N116" t="n">
        <v>0</v>
      </c>
      <c r="O116" t="n">
        <v>0</v>
      </c>
      <c r="P116" t="n">
        <v>0</v>
      </c>
      <c r="Q116" t="n">
        <v>0</v>
      </c>
      <c r="R116" s="2" t="inlineStr"/>
    </row>
    <row r="117" ht="15" customHeight="1">
      <c r="A117" t="inlineStr">
        <is>
          <t>A 14562-2022</t>
        </is>
      </c>
      <c r="B117" s="1" t="n">
        <v>44655</v>
      </c>
      <c r="C117" s="1" t="n">
        <v>46183</v>
      </c>
      <c r="D117" t="inlineStr">
        <is>
          <t>ÖREBRO LÄN</t>
        </is>
      </c>
      <c r="E117" t="inlineStr">
        <is>
          <t>ÖREBRO</t>
        </is>
      </c>
      <c r="G117" t="n">
        <v>3.6</v>
      </c>
      <c r="H117" t="n">
        <v>0</v>
      </c>
      <c r="I117" t="n">
        <v>0</v>
      </c>
      <c r="J117" t="n">
        <v>0</v>
      </c>
      <c r="K117" t="n">
        <v>0</v>
      </c>
      <c r="L117" t="n">
        <v>0</v>
      </c>
      <c r="M117" t="n">
        <v>0</v>
      </c>
      <c r="N117" t="n">
        <v>0</v>
      </c>
      <c r="O117" t="n">
        <v>0</v>
      </c>
      <c r="P117" t="n">
        <v>0</v>
      </c>
      <c r="Q117" t="n">
        <v>0</v>
      </c>
      <c r="R117" s="2" t="inlineStr"/>
    </row>
    <row r="118" ht="15" customHeight="1">
      <c r="A118" t="inlineStr">
        <is>
          <t>A 12478-2022</t>
        </is>
      </c>
      <c r="B118" s="1" t="n">
        <v>44638</v>
      </c>
      <c r="C118" s="1" t="n">
        <v>46183</v>
      </c>
      <c r="D118" t="inlineStr">
        <is>
          <t>ÖREBRO LÄN</t>
        </is>
      </c>
      <c r="E118" t="inlineStr">
        <is>
          <t>ÖREBRO</t>
        </is>
      </c>
      <c r="F118" t="inlineStr">
        <is>
          <t>Kyrkan</t>
        </is>
      </c>
      <c r="G118" t="n">
        <v>1.4</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46183</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61232-2021</t>
        </is>
      </c>
      <c r="B120" s="1" t="n">
        <v>44498</v>
      </c>
      <c r="C120" s="1" t="n">
        <v>46183</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5401-2022</t>
        </is>
      </c>
      <c r="B121" s="1" t="n">
        <v>44595</v>
      </c>
      <c r="C121" s="1" t="n">
        <v>46183</v>
      </c>
      <c r="D121" t="inlineStr">
        <is>
          <t>ÖREBRO LÄN</t>
        </is>
      </c>
      <c r="E121" t="inlineStr">
        <is>
          <t>ÖREBRO</t>
        </is>
      </c>
      <c r="G121" t="n">
        <v>2.3</v>
      </c>
      <c r="H121" t="n">
        <v>0</v>
      </c>
      <c r="I121" t="n">
        <v>0</v>
      </c>
      <c r="J121" t="n">
        <v>0</v>
      </c>
      <c r="K121" t="n">
        <v>0</v>
      </c>
      <c r="L121" t="n">
        <v>0</v>
      </c>
      <c r="M121" t="n">
        <v>0</v>
      </c>
      <c r="N121" t="n">
        <v>0</v>
      </c>
      <c r="O121" t="n">
        <v>0</v>
      </c>
      <c r="P121" t="n">
        <v>0</v>
      </c>
      <c r="Q121" t="n">
        <v>0</v>
      </c>
      <c r="R121" s="2" t="inlineStr"/>
    </row>
    <row r="122" ht="15" customHeight="1">
      <c r="A122" t="inlineStr">
        <is>
          <t>A 5125-2024</t>
        </is>
      </c>
      <c r="B122" s="1" t="n">
        <v>45330</v>
      </c>
      <c r="C122" s="1" t="n">
        <v>46183</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14234-2024</t>
        </is>
      </c>
      <c r="B123" s="1" t="n">
        <v>45393.46980324074</v>
      </c>
      <c r="C123" s="1" t="n">
        <v>46183</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6638-2022</t>
        </is>
      </c>
      <c r="B124" s="1" t="n">
        <v>44601</v>
      </c>
      <c r="C124" s="1" t="n">
        <v>46183</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58277-2022</t>
        </is>
      </c>
      <c r="B125" s="1" t="n">
        <v>44901.48108796297</v>
      </c>
      <c r="C125" s="1" t="n">
        <v>46183</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31906-2023</t>
        </is>
      </c>
      <c r="B126" s="1" t="n">
        <v>45118.8353125</v>
      </c>
      <c r="C126" s="1" t="n">
        <v>46183</v>
      </c>
      <c r="D126" t="inlineStr">
        <is>
          <t>ÖREBRO LÄN</t>
        </is>
      </c>
      <c r="E126" t="inlineStr">
        <is>
          <t>ÖREBRO</t>
        </is>
      </c>
      <c r="G126" t="n">
        <v>9</v>
      </c>
      <c r="H126" t="n">
        <v>0</v>
      </c>
      <c r="I126" t="n">
        <v>0</v>
      </c>
      <c r="J126" t="n">
        <v>0</v>
      </c>
      <c r="K126" t="n">
        <v>0</v>
      </c>
      <c r="L126" t="n">
        <v>0</v>
      </c>
      <c r="M126" t="n">
        <v>0</v>
      </c>
      <c r="N126" t="n">
        <v>0</v>
      </c>
      <c r="O126" t="n">
        <v>0</v>
      </c>
      <c r="P126" t="n">
        <v>0</v>
      </c>
      <c r="Q126" t="n">
        <v>0</v>
      </c>
      <c r="R126" s="2" t="inlineStr"/>
    </row>
    <row r="127" ht="15" customHeight="1">
      <c r="A127" t="inlineStr">
        <is>
          <t>A 62794-2021</t>
        </is>
      </c>
      <c r="B127" s="1" t="n">
        <v>44504</v>
      </c>
      <c r="C127" s="1" t="n">
        <v>46183</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52612-2024</t>
        </is>
      </c>
      <c r="B128" s="1" t="n">
        <v>45609</v>
      </c>
      <c r="C128" s="1" t="n">
        <v>46183</v>
      </c>
      <c r="D128" t="inlineStr">
        <is>
          <t>ÖREBRO LÄN</t>
        </is>
      </c>
      <c r="E128" t="inlineStr">
        <is>
          <t>ÖREBRO</t>
        </is>
      </c>
      <c r="F128" t="inlineStr">
        <is>
          <t>Kommuner</t>
        </is>
      </c>
      <c r="G128" t="n">
        <v>5.5</v>
      </c>
      <c r="H128" t="n">
        <v>0</v>
      </c>
      <c r="I128" t="n">
        <v>0</v>
      </c>
      <c r="J128" t="n">
        <v>0</v>
      </c>
      <c r="K128" t="n">
        <v>0</v>
      </c>
      <c r="L128" t="n">
        <v>0</v>
      </c>
      <c r="M128" t="n">
        <v>0</v>
      </c>
      <c r="N128" t="n">
        <v>0</v>
      </c>
      <c r="O128" t="n">
        <v>0</v>
      </c>
      <c r="P128" t="n">
        <v>0</v>
      </c>
      <c r="Q128" t="n">
        <v>0</v>
      </c>
      <c r="R128" s="2" t="inlineStr"/>
    </row>
    <row r="129" ht="15" customHeight="1">
      <c r="A129" t="inlineStr">
        <is>
          <t>A 10937-2024</t>
        </is>
      </c>
      <c r="B129" s="1" t="n">
        <v>45370.44461805555</v>
      </c>
      <c r="C129" s="1" t="n">
        <v>46183</v>
      </c>
      <c r="D129" t="inlineStr">
        <is>
          <t>ÖREBRO LÄN</t>
        </is>
      </c>
      <c r="E129" t="inlineStr">
        <is>
          <t>ÖREBRO</t>
        </is>
      </c>
      <c r="G129" t="n">
        <v>4.3</v>
      </c>
      <c r="H129" t="n">
        <v>0</v>
      </c>
      <c r="I129" t="n">
        <v>0</v>
      </c>
      <c r="J129" t="n">
        <v>0</v>
      </c>
      <c r="K129" t="n">
        <v>0</v>
      </c>
      <c r="L129" t="n">
        <v>0</v>
      </c>
      <c r="M129" t="n">
        <v>0</v>
      </c>
      <c r="N129" t="n">
        <v>0</v>
      </c>
      <c r="O129" t="n">
        <v>0</v>
      </c>
      <c r="P129" t="n">
        <v>0</v>
      </c>
      <c r="Q129" t="n">
        <v>0</v>
      </c>
      <c r="R129" s="2" t="inlineStr"/>
    </row>
    <row r="130" ht="15" customHeight="1">
      <c r="A130" t="inlineStr">
        <is>
          <t>A 5795-2024</t>
        </is>
      </c>
      <c r="B130" s="1" t="n">
        <v>45335.4531712963</v>
      </c>
      <c r="C130" s="1" t="n">
        <v>46183</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52447-2024</t>
        </is>
      </c>
      <c r="B131" s="1" t="n">
        <v>45609.49157407408</v>
      </c>
      <c r="C131" s="1" t="n">
        <v>46183</v>
      </c>
      <c r="D131" t="inlineStr">
        <is>
          <t>ÖREBRO LÄN</t>
        </is>
      </c>
      <c r="E131" t="inlineStr">
        <is>
          <t>ÖREBRO</t>
        </is>
      </c>
      <c r="G131" t="n">
        <v>1.4</v>
      </c>
      <c r="H131" t="n">
        <v>0</v>
      </c>
      <c r="I131" t="n">
        <v>0</v>
      </c>
      <c r="J131" t="n">
        <v>0</v>
      </c>
      <c r="K131" t="n">
        <v>0</v>
      </c>
      <c r="L131" t="n">
        <v>0</v>
      </c>
      <c r="M131" t="n">
        <v>0</v>
      </c>
      <c r="N131" t="n">
        <v>0</v>
      </c>
      <c r="O131" t="n">
        <v>0</v>
      </c>
      <c r="P131" t="n">
        <v>0</v>
      </c>
      <c r="Q131" t="n">
        <v>0</v>
      </c>
      <c r="R131" s="2" t="inlineStr"/>
    </row>
    <row r="132" ht="15" customHeight="1">
      <c r="A132" t="inlineStr">
        <is>
          <t>A 37771-2024</t>
        </is>
      </c>
      <c r="B132" s="1" t="n">
        <v>45542.31359953704</v>
      </c>
      <c r="C132" s="1" t="n">
        <v>46183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15652-2025</t>
        </is>
      </c>
      <c r="B133" s="1" t="n">
        <v>45748</v>
      </c>
      <c r="C133" s="1" t="n">
        <v>46183</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3841-2023</t>
        </is>
      </c>
      <c r="B134" s="1" t="n">
        <v>44951</v>
      </c>
      <c r="C134" s="1" t="n">
        <v>46183</v>
      </c>
      <c r="D134" t="inlineStr">
        <is>
          <t>ÖREBRO LÄN</t>
        </is>
      </c>
      <c r="E134" t="inlineStr">
        <is>
          <t>ÖREBRO</t>
        </is>
      </c>
      <c r="G134" t="n">
        <v>4.3</v>
      </c>
      <c r="H134" t="n">
        <v>0</v>
      </c>
      <c r="I134" t="n">
        <v>0</v>
      </c>
      <c r="J134" t="n">
        <v>0</v>
      </c>
      <c r="K134" t="n">
        <v>0</v>
      </c>
      <c r="L134" t="n">
        <v>0</v>
      </c>
      <c r="M134" t="n">
        <v>0</v>
      </c>
      <c r="N134" t="n">
        <v>0</v>
      </c>
      <c r="O134" t="n">
        <v>0</v>
      </c>
      <c r="P134" t="n">
        <v>0</v>
      </c>
      <c r="Q134" t="n">
        <v>0</v>
      </c>
      <c r="R134" s="2" t="inlineStr"/>
    </row>
    <row r="135" ht="15" customHeight="1">
      <c r="A135" t="inlineStr">
        <is>
          <t>A 2076-2025</t>
        </is>
      </c>
      <c r="B135" s="1" t="n">
        <v>45672</v>
      </c>
      <c r="C135" s="1" t="n">
        <v>46183</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52256-2023</t>
        </is>
      </c>
      <c r="B136" s="1" t="n">
        <v>45224.51471064815</v>
      </c>
      <c r="C136" s="1" t="n">
        <v>46183</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38489-2023</t>
        </is>
      </c>
      <c r="B137" s="1" t="n">
        <v>45162</v>
      </c>
      <c r="C137" s="1" t="n">
        <v>46183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55593-2022</t>
        </is>
      </c>
      <c r="B138" s="1" t="n">
        <v>44888</v>
      </c>
      <c r="C138" s="1" t="n">
        <v>46183</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21097-2025</t>
        </is>
      </c>
      <c r="B139" s="1" t="n">
        <v>45777.63863425926</v>
      </c>
      <c r="C139" s="1" t="n">
        <v>46183</v>
      </c>
      <c r="D139" t="inlineStr">
        <is>
          <t>ÖREBRO LÄN</t>
        </is>
      </c>
      <c r="E139" t="inlineStr">
        <is>
          <t>ÖREBRO</t>
        </is>
      </c>
      <c r="G139" t="n">
        <v>2.1</v>
      </c>
      <c r="H139" t="n">
        <v>0</v>
      </c>
      <c r="I139" t="n">
        <v>0</v>
      </c>
      <c r="J139" t="n">
        <v>0</v>
      </c>
      <c r="K139" t="n">
        <v>0</v>
      </c>
      <c r="L139" t="n">
        <v>0</v>
      </c>
      <c r="M139" t="n">
        <v>0</v>
      </c>
      <c r="N139" t="n">
        <v>0</v>
      </c>
      <c r="O139" t="n">
        <v>0</v>
      </c>
      <c r="P139" t="n">
        <v>0</v>
      </c>
      <c r="Q139" t="n">
        <v>0</v>
      </c>
      <c r="R139" s="2" t="inlineStr"/>
    </row>
    <row r="140" ht="15" customHeight="1">
      <c r="A140" t="inlineStr">
        <is>
          <t>A 50446-2023</t>
        </is>
      </c>
      <c r="B140" s="1" t="n">
        <v>45216</v>
      </c>
      <c r="C140" s="1" t="n">
        <v>46183</v>
      </c>
      <c r="D140" t="inlineStr">
        <is>
          <t>ÖREBRO LÄN</t>
        </is>
      </c>
      <c r="E140" t="inlineStr">
        <is>
          <t>ÖREBRO</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50450-2023</t>
        </is>
      </c>
      <c r="B141" s="1" t="n">
        <v>45216.73533564815</v>
      </c>
      <c r="C141" s="1" t="n">
        <v>46183</v>
      </c>
      <c r="D141" t="inlineStr">
        <is>
          <t>ÖREBRO LÄN</t>
        </is>
      </c>
      <c r="E141" t="inlineStr">
        <is>
          <t>ÖREBRO</t>
        </is>
      </c>
      <c r="F141" t="inlineStr">
        <is>
          <t>Övriga Aktiebolag</t>
        </is>
      </c>
      <c r="G141" t="n">
        <v>0.8</v>
      </c>
      <c r="H141" t="n">
        <v>0</v>
      </c>
      <c r="I141" t="n">
        <v>0</v>
      </c>
      <c r="J141" t="n">
        <v>0</v>
      </c>
      <c r="K141" t="n">
        <v>0</v>
      </c>
      <c r="L141" t="n">
        <v>0</v>
      </c>
      <c r="M141" t="n">
        <v>0</v>
      </c>
      <c r="N141" t="n">
        <v>0</v>
      </c>
      <c r="O141" t="n">
        <v>0</v>
      </c>
      <c r="P141" t="n">
        <v>0</v>
      </c>
      <c r="Q141" t="n">
        <v>0</v>
      </c>
      <c r="R141" s="2" t="inlineStr"/>
    </row>
    <row r="142" ht="15" customHeight="1">
      <c r="A142" t="inlineStr">
        <is>
          <t>A 43612-2022</t>
        </is>
      </c>
      <c r="B142" s="1" t="n">
        <v>44837</v>
      </c>
      <c r="C142" s="1" t="n">
        <v>46183</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70719-2021</t>
        </is>
      </c>
      <c r="B143" s="1" t="n">
        <v>44537</v>
      </c>
      <c r="C143" s="1" t="n">
        <v>46183</v>
      </c>
      <c r="D143" t="inlineStr">
        <is>
          <t>ÖREBRO LÄN</t>
        </is>
      </c>
      <c r="E143" t="inlineStr">
        <is>
          <t>ÖREBRO</t>
        </is>
      </c>
      <c r="G143" t="n">
        <v>4.3</v>
      </c>
      <c r="H143" t="n">
        <v>0</v>
      </c>
      <c r="I143" t="n">
        <v>0</v>
      </c>
      <c r="J143" t="n">
        <v>0</v>
      </c>
      <c r="K143" t="n">
        <v>0</v>
      </c>
      <c r="L143" t="n">
        <v>0</v>
      </c>
      <c r="M143" t="n">
        <v>0</v>
      </c>
      <c r="N143" t="n">
        <v>0</v>
      </c>
      <c r="O143" t="n">
        <v>0</v>
      </c>
      <c r="P143" t="n">
        <v>0</v>
      </c>
      <c r="Q143" t="n">
        <v>0</v>
      </c>
      <c r="R143" s="2" t="inlineStr"/>
    </row>
    <row r="144" ht="15" customHeight="1">
      <c r="A144" t="inlineStr">
        <is>
          <t>A 38573-2023</t>
        </is>
      </c>
      <c r="B144" s="1" t="n">
        <v>45162.61837962963</v>
      </c>
      <c r="C144" s="1" t="n">
        <v>46183</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4757-2024</t>
        </is>
      </c>
      <c r="B145" s="1" t="n">
        <v>45328</v>
      </c>
      <c r="C145" s="1" t="n">
        <v>46183</v>
      </c>
      <c r="D145" t="inlineStr">
        <is>
          <t>ÖREBRO LÄN</t>
        </is>
      </c>
      <c r="E145" t="inlineStr">
        <is>
          <t>ÖREBRO</t>
        </is>
      </c>
      <c r="G145" t="n">
        <v>1.9</v>
      </c>
      <c r="H145" t="n">
        <v>0</v>
      </c>
      <c r="I145" t="n">
        <v>0</v>
      </c>
      <c r="J145" t="n">
        <v>0</v>
      </c>
      <c r="K145" t="n">
        <v>0</v>
      </c>
      <c r="L145" t="n">
        <v>0</v>
      </c>
      <c r="M145" t="n">
        <v>0</v>
      </c>
      <c r="N145" t="n">
        <v>0</v>
      </c>
      <c r="O145" t="n">
        <v>0</v>
      </c>
      <c r="P145" t="n">
        <v>0</v>
      </c>
      <c r="Q145" t="n">
        <v>0</v>
      </c>
      <c r="R145" s="2" t="inlineStr"/>
    </row>
    <row r="146" ht="15" customHeight="1">
      <c r="A146" t="inlineStr">
        <is>
          <t>A 35819-2024</t>
        </is>
      </c>
      <c r="B146" s="1" t="n">
        <v>45532</v>
      </c>
      <c r="C146" s="1" t="n">
        <v>46183</v>
      </c>
      <c r="D146" t="inlineStr">
        <is>
          <t>ÖREBRO LÄN</t>
        </is>
      </c>
      <c r="E146" t="inlineStr">
        <is>
          <t>ÖREBRO</t>
        </is>
      </c>
      <c r="G146" t="n">
        <v>6.4</v>
      </c>
      <c r="H146" t="n">
        <v>0</v>
      </c>
      <c r="I146" t="n">
        <v>0</v>
      </c>
      <c r="J146" t="n">
        <v>0</v>
      </c>
      <c r="K146" t="n">
        <v>0</v>
      </c>
      <c r="L146" t="n">
        <v>0</v>
      </c>
      <c r="M146" t="n">
        <v>0</v>
      </c>
      <c r="N146" t="n">
        <v>0</v>
      </c>
      <c r="O146" t="n">
        <v>0</v>
      </c>
      <c r="P146" t="n">
        <v>0</v>
      </c>
      <c r="Q146" t="n">
        <v>0</v>
      </c>
      <c r="R146" s="2" t="inlineStr"/>
    </row>
    <row r="147" ht="15" customHeight="1">
      <c r="A147" t="inlineStr">
        <is>
          <t>A 48140-2024</t>
        </is>
      </c>
      <c r="B147" s="1" t="n">
        <v>45589.66474537037</v>
      </c>
      <c r="C147" s="1" t="n">
        <v>46183</v>
      </c>
      <c r="D147" t="inlineStr">
        <is>
          <t>ÖREBRO LÄN</t>
        </is>
      </c>
      <c r="E147" t="inlineStr">
        <is>
          <t>ÖREBRO</t>
        </is>
      </c>
      <c r="G147" t="n">
        <v>2.4</v>
      </c>
      <c r="H147" t="n">
        <v>0</v>
      </c>
      <c r="I147" t="n">
        <v>0</v>
      </c>
      <c r="J147" t="n">
        <v>0</v>
      </c>
      <c r="K147" t="n">
        <v>0</v>
      </c>
      <c r="L147" t="n">
        <v>0</v>
      </c>
      <c r="M147" t="n">
        <v>0</v>
      </c>
      <c r="N147" t="n">
        <v>0</v>
      </c>
      <c r="O147" t="n">
        <v>0</v>
      </c>
      <c r="P147" t="n">
        <v>0</v>
      </c>
      <c r="Q147" t="n">
        <v>0</v>
      </c>
      <c r="R147" s="2" t="inlineStr"/>
    </row>
    <row r="148" ht="15" customHeight="1">
      <c r="A148" t="inlineStr">
        <is>
          <t>A 42138-2024</t>
        </is>
      </c>
      <c r="B148" s="1" t="n">
        <v>45562.41854166667</v>
      </c>
      <c r="C148" s="1" t="n">
        <v>46183</v>
      </c>
      <c r="D148" t="inlineStr">
        <is>
          <t>ÖREBRO LÄN</t>
        </is>
      </c>
      <c r="E148" t="inlineStr">
        <is>
          <t>ÖREBRO</t>
        </is>
      </c>
      <c r="G148" t="n">
        <v>1.4</v>
      </c>
      <c r="H148" t="n">
        <v>0</v>
      </c>
      <c r="I148" t="n">
        <v>0</v>
      </c>
      <c r="J148" t="n">
        <v>0</v>
      </c>
      <c r="K148" t="n">
        <v>0</v>
      </c>
      <c r="L148" t="n">
        <v>0</v>
      </c>
      <c r="M148" t="n">
        <v>0</v>
      </c>
      <c r="N148" t="n">
        <v>0</v>
      </c>
      <c r="O148" t="n">
        <v>0</v>
      </c>
      <c r="P148" t="n">
        <v>0</v>
      </c>
      <c r="Q148" t="n">
        <v>0</v>
      </c>
      <c r="R148" s="2" t="inlineStr"/>
    </row>
    <row r="149" ht="15" customHeight="1">
      <c r="A149" t="inlineStr">
        <is>
          <t>A 2658-2023</t>
        </is>
      </c>
      <c r="B149" s="1" t="n">
        <v>44944</v>
      </c>
      <c r="C149" s="1" t="n">
        <v>46183</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11565-2023</t>
        </is>
      </c>
      <c r="B150" s="1" t="n">
        <v>44994</v>
      </c>
      <c r="C150" s="1" t="n">
        <v>46183</v>
      </c>
      <c r="D150" t="inlineStr">
        <is>
          <t>ÖREBRO LÄN</t>
        </is>
      </c>
      <c r="E150" t="inlineStr">
        <is>
          <t>ÖREBRO</t>
        </is>
      </c>
      <c r="G150" t="n">
        <v>4.7</v>
      </c>
      <c r="H150" t="n">
        <v>0</v>
      </c>
      <c r="I150" t="n">
        <v>0</v>
      </c>
      <c r="J150" t="n">
        <v>0</v>
      </c>
      <c r="K150" t="n">
        <v>0</v>
      </c>
      <c r="L150" t="n">
        <v>0</v>
      </c>
      <c r="M150" t="n">
        <v>0</v>
      </c>
      <c r="N150" t="n">
        <v>0</v>
      </c>
      <c r="O150" t="n">
        <v>0</v>
      </c>
      <c r="P150" t="n">
        <v>0</v>
      </c>
      <c r="Q150" t="n">
        <v>0</v>
      </c>
      <c r="R150" s="2" t="inlineStr"/>
    </row>
    <row r="151" ht="15" customHeight="1">
      <c r="A151" t="inlineStr">
        <is>
          <t>A 32076-2023</t>
        </is>
      </c>
      <c r="B151" s="1" t="n">
        <v>45119.58324074074</v>
      </c>
      <c r="C151" s="1" t="n">
        <v>46183</v>
      </c>
      <c r="D151" t="inlineStr">
        <is>
          <t>ÖREBRO LÄN</t>
        </is>
      </c>
      <c r="E151" t="inlineStr">
        <is>
          <t>ÖREBRO</t>
        </is>
      </c>
      <c r="G151" t="n">
        <v>1.1</v>
      </c>
      <c r="H151" t="n">
        <v>0</v>
      </c>
      <c r="I151" t="n">
        <v>0</v>
      </c>
      <c r="J151" t="n">
        <v>0</v>
      </c>
      <c r="K151" t="n">
        <v>0</v>
      </c>
      <c r="L151" t="n">
        <v>0</v>
      </c>
      <c r="M151" t="n">
        <v>0</v>
      </c>
      <c r="N151" t="n">
        <v>0</v>
      </c>
      <c r="O151" t="n">
        <v>0</v>
      </c>
      <c r="P151" t="n">
        <v>0</v>
      </c>
      <c r="Q151" t="n">
        <v>0</v>
      </c>
      <c r="R151" s="2" t="inlineStr"/>
    </row>
    <row r="152" ht="15" customHeight="1">
      <c r="A152" t="inlineStr">
        <is>
          <t>A 16736-2023</t>
        </is>
      </c>
      <c r="B152" s="1" t="n">
        <v>45030.72328703704</v>
      </c>
      <c r="C152" s="1" t="n">
        <v>46183</v>
      </c>
      <c r="D152" t="inlineStr">
        <is>
          <t>ÖREBRO LÄN</t>
        </is>
      </c>
      <c r="E152" t="inlineStr">
        <is>
          <t>ÖREBRO</t>
        </is>
      </c>
      <c r="G152" t="n">
        <v>4</v>
      </c>
      <c r="H152" t="n">
        <v>0</v>
      </c>
      <c r="I152" t="n">
        <v>0</v>
      </c>
      <c r="J152" t="n">
        <v>0</v>
      </c>
      <c r="K152" t="n">
        <v>0</v>
      </c>
      <c r="L152" t="n">
        <v>0</v>
      </c>
      <c r="M152" t="n">
        <v>0</v>
      </c>
      <c r="N152" t="n">
        <v>0</v>
      </c>
      <c r="O152" t="n">
        <v>0</v>
      </c>
      <c r="P152" t="n">
        <v>0</v>
      </c>
      <c r="Q152" t="n">
        <v>0</v>
      </c>
      <c r="R152" s="2" t="inlineStr"/>
    </row>
    <row r="153" ht="15" customHeight="1">
      <c r="A153" t="inlineStr">
        <is>
          <t>A 34874-2022</t>
        </is>
      </c>
      <c r="B153" s="1" t="n">
        <v>44796</v>
      </c>
      <c r="C153" s="1" t="n">
        <v>46183</v>
      </c>
      <c r="D153" t="inlineStr">
        <is>
          <t>ÖREBRO LÄN</t>
        </is>
      </c>
      <c r="E153" t="inlineStr">
        <is>
          <t>ÖREBRO</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2630-2023</t>
        </is>
      </c>
      <c r="B154" s="1" t="n">
        <v>44944.39105324074</v>
      </c>
      <c r="C154" s="1" t="n">
        <v>46183</v>
      </c>
      <c r="D154" t="inlineStr">
        <is>
          <t>ÖREBRO LÄN</t>
        </is>
      </c>
      <c r="E154" t="inlineStr">
        <is>
          <t>ÖREBRO</t>
        </is>
      </c>
      <c r="G154" t="n">
        <v>6.1</v>
      </c>
      <c r="H154" t="n">
        <v>0</v>
      </c>
      <c r="I154" t="n">
        <v>0</v>
      </c>
      <c r="J154" t="n">
        <v>0</v>
      </c>
      <c r="K154" t="n">
        <v>0</v>
      </c>
      <c r="L154" t="n">
        <v>0</v>
      </c>
      <c r="M154" t="n">
        <v>0</v>
      </c>
      <c r="N154" t="n">
        <v>0</v>
      </c>
      <c r="O154" t="n">
        <v>0</v>
      </c>
      <c r="P154" t="n">
        <v>0</v>
      </c>
      <c r="Q154" t="n">
        <v>0</v>
      </c>
      <c r="R154" s="2" t="inlineStr"/>
    </row>
    <row r="155" ht="15" customHeight="1">
      <c r="A155" t="inlineStr">
        <is>
          <t>A 30015-2023</t>
        </is>
      </c>
      <c r="B155" s="1" t="n">
        <v>45109</v>
      </c>
      <c r="C155" s="1" t="n">
        <v>46183</v>
      </c>
      <c r="D155" t="inlineStr">
        <is>
          <t>ÖREBRO LÄN</t>
        </is>
      </c>
      <c r="E155" t="inlineStr">
        <is>
          <t>ÖREBRO</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61593-2023</t>
        </is>
      </c>
      <c r="B156" s="1" t="n">
        <v>45265</v>
      </c>
      <c r="C156" s="1" t="n">
        <v>46183</v>
      </c>
      <c r="D156" t="inlineStr">
        <is>
          <t>ÖREBRO LÄN</t>
        </is>
      </c>
      <c r="E156" t="inlineStr">
        <is>
          <t>ÖREBRO</t>
        </is>
      </c>
      <c r="G156" t="n">
        <v>2.5</v>
      </c>
      <c r="H156" t="n">
        <v>0</v>
      </c>
      <c r="I156" t="n">
        <v>0</v>
      </c>
      <c r="J156" t="n">
        <v>0</v>
      </c>
      <c r="K156" t="n">
        <v>0</v>
      </c>
      <c r="L156" t="n">
        <v>0</v>
      </c>
      <c r="M156" t="n">
        <v>0</v>
      </c>
      <c r="N156" t="n">
        <v>0</v>
      </c>
      <c r="O156" t="n">
        <v>0</v>
      </c>
      <c r="P156" t="n">
        <v>0</v>
      </c>
      <c r="Q156" t="n">
        <v>0</v>
      </c>
      <c r="R156" s="2" t="inlineStr"/>
    </row>
    <row r="157" ht="15" customHeight="1">
      <c r="A157" t="inlineStr">
        <is>
          <t>A 37968-2024</t>
        </is>
      </c>
      <c r="B157" s="1" t="n">
        <v>45544</v>
      </c>
      <c r="C157" s="1" t="n">
        <v>46183</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38842-2022</t>
        </is>
      </c>
      <c r="B158" s="1" t="n">
        <v>44814</v>
      </c>
      <c r="C158" s="1" t="n">
        <v>46183</v>
      </c>
      <c r="D158" t="inlineStr">
        <is>
          <t>ÖREBRO LÄN</t>
        </is>
      </c>
      <c r="E158" t="inlineStr">
        <is>
          <t>ÖREBRO</t>
        </is>
      </c>
      <c r="G158" t="n">
        <v>5</v>
      </c>
      <c r="H158" t="n">
        <v>0</v>
      </c>
      <c r="I158" t="n">
        <v>0</v>
      </c>
      <c r="J158" t="n">
        <v>0</v>
      </c>
      <c r="K158" t="n">
        <v>0</v>
      </c>
      <c r="L158" t="n">
        <v>0</v>
      </c>
      <c r="M158" t="n">
        <v>0</v>
      </c>
      <c r="N158" t="n">
        <v>0</v>
      </c>
      <c r="O158" t="n">
        <v>0</v>
      </c>
      <c r="P158" t="n">
        <v>0</v>
      </c>
      <c r="Q158" t="n">
        <v>0</v>
      </c>
      <c r="R158" s="2" t="inlineStr"/>
    </row>
    <row r="159" ht="15" customHeight="1">
      <c r="A159" t="inlineStr">
        <is>
          <t>A 764-2024</t>
        </is>
      </c>
      <c r="B159" s="1" t="n">
        <v>45300.51512731481</v>
      </c>
      <c r="C159" s="1" t="n">
        <v>46183</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31326-2024</t>
        </is>
      </c>
      <c r="B160" s="1" t="n">
        <v>45504.5934375</v>
      </c>
      <c r="C160" s="1" t="n">
        <v>46183</v>
      </c>
      <c r="D160" t="inlineStr">
        <is>
          <t>ÖREBRO LÄN</t>
        </is>
      </c>
      <c r="E160" t="inlineStr">
        <is>
          <t>ÖREBRO</t>
        </is>
      </c>
      <c r="G160" t="n">
        <v>6.4</v>
      </c>
      <c r="H160" t="n">
        <v>0</v>
      </c>
      <c r="I160" t="n">
        <v>0</v>
      </c>
      <c r="J160" t="n">
        <v>0</v>
      </c>
      <c r="K160" t="n">
        <v>0</v>
      </c>
      <c r="L160" t="n">
        <v>0</v>
      </c>
      <c r="M160" t="n">
        <v>0</v>
      </c>
      <c r="N160" t="n">
        <v>0</v>
      </c>
      <c r="O160" t="n">
        <v>0</v>
      </c>
      <c r="P160" t="n">
        <v>0</v>
      </c>
      <c r="Q160" t="n">
        <v>0</v>
      </c>
      <c r="R160" s="2" t="inlineStr"/>
    </row>
    <row r="161" ht="15" customHeight="1">
      <c r="A161" t="inlineStr">
        <is>
          <t>A 40597-2021</t>
        </is>
      </c>
      <c r="B161" s="1" t="n">
        <v>44420</v>
      </c>
      <c r="C161" s="1" t="n">
        <v>46183</v>
      </c>
      <c r="D161" t="inlineStr">
        <is>
          <t>ÖREBRO LÄN</t>
        </is>
      </c>
      <c r="E161" t="inlineStr">
        <is>
          <t>ÖREBRO</t>
        </is>
      </c>
      <c r="G161" t="n">
        <v>2.1</v>
      </c>
      <c r="H161" t="n">
        <v>0</v>
      </c>
      <c r="I161" t="n">
        <v>0</v>
      </c>
      <c r="J161" t="n">
        <v>0</v>
      </c>
      <c r="K161" t="n">
        <v>0</v>
      </c>
      <c r="L161" t="n">
        <v>0</v>
      </c>
      <c r="M161" t="n">
        <v>0</v>
      </c>
      <c r="N161" t="n">
        <v>0</v>
      </c>
      <c r="O161" t="n">
        <v>0</v>
      </c>
      <c r="P161" t="n">
        <v>0</v>
      </c>
      <c r="Q161" t="n">
        <v>0</v>
      </c>
      <c r="R161" s="2" t="inlineStr"/>
    </row>
    <row r="162" ht="15" customHeight="1">
      <c r="A162" t="inlineStr">
        <is>
          <t>A 71266-2021</t>
        </is>
      </c>
      <c r="B162" s="1" t="n">
        <v>44539</v>
      </c>
      <c r="C162" s="1" t="n">
        <v>46183</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71267-2021</t>
        </is>
      </c>
      <c r="B163" s="1" t="n">
        <v>44539</v>
      </c>
      <c r="C163" s="1" t="n">
        <v>46183</v>
      </c>
      <c r="D163" t="inlineStr">
        <is>
          <t>ÖREBRO LÄN</t>
        </is>
      </c>
      <c r="E163" t="inlineStr">
        <is>
          <t>ÖREBRO</t>
        </is>
      </c>
      <c r="G163" t="n">
        <v>1.7</v>
      </c>
      <c r="H163" t="n">
        <v>0</v>
      </c>
      <c r="I163" t="n">
        <v>0</v>
      </c>
      <c r="J163" t="n">
        <v>0</v>
      </c>
      <c r="K163" t="n">
        <v>0</v>
      </c>
      <c r="L163" t="n">
        <v>0</v>
      </c>
      <c r="M163" t="n">
        <v>0</v>
      </c>
      <c r="N163" t="n">
        <v>0</v>
      </c>
      <c r="O163" t="n">
        <v>0</v>
      </c>
      <c r="P163" t="n">
        <v>0</v>
      </c>
      <c r="Q163" t="n">
        <v>0</v>
      </c>
      <c r="R163" s="2" t="inlineStr"/>
    </row>
    <row r="164" ht="15" customHeight="1">
      <c r="A164" t="inlineStr">
        <is>
          <t>A 71280-2021</t>
        </is>
      </c>
      <c r="B164" s="1" t="n">
        <v>44539</v>
      </c>
      <c r="C164" s="1" t="n">
        <v>46183</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58644-2023</t>
        </is>
      </c>
      <c r="B165" s="1" t="n">
        <v>45251.58716435185</v>
      </c>
      <c r="C165" s="1" t="n">
        <v>46183</v>
      </c>
      <c r="D165" t="inlineStr">
        <is>
          <t>ÖREBRO LÄN</t>
        </is>
      </c>
      <c r="E165" t="inlineStr">
        <is>
          <t>ÖREBRO</t>
        </is>
      </c>
      <c r="F165" t="inlineStr">
        <is>
          <t>Övriga Aktiebolag</t>
        </is>
      </c>
      <c r="G165" t="n">
        <v>1.9</v>
      </c>
      <c r="H165" t="n">
        <v>0</v>
      </c>
      <c r="I165" t="n">
        <v>0</v>
      </c>
      <c r="J165" t="n">
        <v>0</v>
      </c>
      <c r="K165" t="n">
        <v>0</v>
      </c>
      <c r="L165" t="n">
        <v>0</v>
      </c>
      <c r="M165" t="n">
        <v>0</v>
      </c>
      <c r="N165" t="n">
        <v>0</v>
      </c>
      <c r="O165" t="n">
        <v>0</v>
      </c>
      <c r="P165" t="n">
        <v>0</v>
      </c>
      <c r="Q165" t="n">
        <v>0</v>
      </c>
      <c r="R165" s="2" t="inlineStr"/>
    </row>
    <row r="166" ht="15" customHeight="1">
      <c r="A166" t="inlineStr">
        <is>
          <t>A 44199-2024</t>
        </is>
      </c>
      <c r="B166" s="1" t="n">
        <v>45573</v>
      </c>
      <c r="C166" s="1" t="n">
        <v>46183</v>
      </c>
      <c r="D166" t="inlineStr">
        <is>
          <t>ÖREBRO LÄN</t>
        </is>
      </c>
      <c r="E166" t="inlineStr">
        <is>
          <t>ÖREBRO</t>
        </is>
      </c>
      <c r="G166" t="n">
        <v>4.3</v>
      </c>
      <c r="H166" t="n">
        <v>0</v>
      </c>
      <c r="I166" t="n">
        <v>0</v>
      </c>
      <c r="J166" t="n">
        <v>0</v>
      </c>
      <c r="K166" t="n">
        <v>0</v>
      </c>
      <c r="L166" t="n">
        <v>0</v>
      </c>
      <c r="M166" t="n">
        <v>0</v>
      </c>
      <c r="N166" t="n">
        <v>0</v>
      </c>
      <c r="O166" t="n">
        <v>0</v>
      </c>
      <c r="P166" t="n">
        <v>0</v>
      </c>
      <c r="Q166" t="n">
        <v>0</v>
      </c>
      <c r="R166" s="2" t="inlineStr"/>
    </row>
    <row r="167" ht="15" customHeight="1">
      <c r="A167" t="inlineStr">
        <is>
          <t>A 34336-2024</t>
        </is>
      </c>
      <c r="B167" s="1" t="n">
        <v>45524.94774305556</v>
      </c>
      <c r="C167" s="1" t="n">
        <v>46183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26443-2024</t>
        </is>
      </c>
      <c r="B168" s="1" t="n">
        <v>45469.49901620371</v>
      </c>
      <c r="C168" s="1" t="n">
        <v>46183</v>
      </c>
      <c r="D168" t="inlineStr">
        <is>
          <t>ÖREBRO LÄN</t>
        </is>
      </c>
      <c r="E168" t="inlineStr">
        <is>
          <t>ÖREBRO</t>
        </is>
      </c>
      <c r="G168" t="n">
        <v>5.7</v>
      </c>
      <c r="H168" t="n">
        <v>0</v>
      </c>
      <c r="I168" t="n">
        <v>0</v>
      </c>
      <c r="J168" t="n">
        <v>0</v>
      </c>
      <c r="K168" t="n">
        <v>0</v>
      </c>
      <c r="L168" t="n">
        <v>0</v>
      </c>
      <c r="M168" t="n">
        <v>0</v>
      </c>
      <c r="N168" t="n">
        <v>0</v>
      </c>
      <c r="O168" t="n">
        <v>0</v>
      </c>
      <c r="P168" t="n">
        <v>0</v>
      </c>
      <c r="Q168" t="n">
        <v>0</v>
      </c>
      <c r="R168" s="2" t="inlineStr"/>
    </row>
    <row r="169" ht="15" customHeight="1">
      <c r="A169" t="inlineStr">
        <is>
          <t>A 35477-2024</t>
        </is>
      </c>
      <c r="B169" s="1" t="n">
        <v>45531</v>
      </c>
      <c r="C169" s="1" t="n">
        <v>46183</v>
      </c>
      <c r="D169" t="inlineStr">
        <is>
          <t>ÖREBRO LÄN</t>
        </is>
      </c>
      <c r="E169" t="inlineStr">
        <is>
          <t>ÖREBRO</t>
        </is>
      </c>
      <c r="G169" t="n">
        <v>2.4</v>
      </c>
      <c r="H169" t="n">
        <v>0</v>
      </c>
      <c r="I169" t="n">
        <v>0</v>
      </c>
      <c r="J169" t="n">
        <v>0</v>
      </c>
      <c r="K169" t="n">
        <v>0</v>
      </c>
      <c r="L169" t="n">
        <v>0</v>
      </c>
      <c r="M169" t="n">
        <v>0</v>
      </c>
      <c r="N169" t="n">
        <v>0</v>
      </c>
      <c r="O169" t="n">
        <v>0</v>
      </c>
      <c r="P169" t="n">
        <v>0</v>
      </c>
      <c r="Q169" t="n">
        <v>0</v>
      </c>
      <c r="R169" s="2" t="inlineStr"/>
    </row>
    <row r="170" ht="15" customHeight="1">
      <c r="A170" t="inlineStr">
        <is>
          <t>A 48581-2024</t>
        </is>
      </c>
      <c r="B170" s="1" t="n">
        <v>45593.41642361111</v>
      </c>
      <c r="C170" s="1" t="n">
        <v>46183</v>
      </c>
      <c r="D170" t="inlineStr">
        <is>
          <t>ÖREBRO LÄN</t>
        </is>
      </c>
      <c r="E170" t="inlineStr">
        <is>
          <t>ÖREBRO</t>
        </is>
      </c>
      <c r="G170" t="n">
        <v>0.7</v>
      </c>
      <c r="H170" t="n">
        <v>0</v>
      </c>
      <c r="I170" t="n">
        <v>0</v>
      </c>
      <c r="J170" t="n">
        <v>0</v>
      </c>
      <c r="K170" t="n">
        <v>0</v>
      </c>
      <c r="L170" t="n">
        <v>0</v>
      </c>
      <c r="M170" t="n">
        <v>0</v>
      </c>
      <c r="N170" t="n">
        <v>0</v>
      </c>
      <c r="O170" t="n">
        <v>0</v>
      </c>
      <c r="P170" t="n">
        <v>0</v>
      </c>
      <c r="Q170" t="n">
        <v>0</v>
      </c>
      <c r="R170" s="2" t="inlineStr"/>
    </row>
    <row r="171" ht="15" customHeight="1">
      <c r="A171" t="inlineStr">
        <is>
          <t>A 58684-2023</t>
        </is>
      </c>
      <c r="B171" s="1" t="n">
        <v>45251</v>
      </c>
      <c r="C171" s="1" t="n">
        <v>46183</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22719-2025</t>
        </is>
      </c>
      <c r="B172" s="1" t="n">
        <v>45789</v>
      </c>
      <c r="C172" s="1" t="n">
        <v>46183</v>
      </c>
      <c r="D172" t="inlineStr">
        <is>
          <t>ÖREBRO LÄN</t>
        </is>
      </c>
      <c r="E172" t="inlineStr">
        <is>
          <t>ÖREBRO</t>
        </is>
      </c>
      <c r="G172" t="n">
        <v>1.5</v>
      </c>
      <c r="H172" t="n">
        <v>0</v>
      </c>
      <c r="I172" t="n">
        <v>0</v>
      </c>
      <c r="J172" t="n">
        <v>0</v>
      </c>
      <c r="K172" t="n">
        <v>0</v>
      </c>
      <c r="L172" t="n">
        <v>0</v>
      </c>
      <c r="M172" t="n">
        <v>0</v>
      </c>
      <c r="N172" t="n">
        <v>0</v>
      </c>
      <c r="O172" t="n">
        <v>0</v>
      </c>
      <c r="P172" t="n">
        <v>0</v>
      </c>
      <c r="Q172" t="n">
        <v>0</v>
      </c>
      <c r="R172" s="2" t="inlineStr"/>
    </row>
    <row r="173" ht="15" customHeight="1">
      <c r="A173" t="inlineStr">
        <is>
          <t>A 47047-2022</t>
        </is>
      </c>
      <c r="B173" s="1" t="n">
        <v>44852.39063657408</v>
      </c>
      <c r="C173" s="1" t="n">
        <v>46183</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30316-2024</t>
        </is>
      </c>
      <c r="B174" s="1" t="n">
        <v>45490</v>
      </c>
      <c r="C174" s="1" t="n">
        <v>46183</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38790-2024</t>
        </is>
      </c>
      <c r="B175" s="1" t="n">
        <v>45547.48450231482</v>
      </c>
      <c r="C175" s="1" t="n">
        <v>46183</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61279-2024</t>
        </is>
      </c>
      <c r="B176" s="1" t="n">
        <v>45645</v>
      </c>
      <c r="C176" s="1" t="n">
        <v>46183</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71269-2021</t>
        </is>
      </c>
      <c r="B177" s="1" t="n">
        <v>44539</v>
      </c>
      <c r="C177" s="1" t="n">
        <v>46183</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15555-2025</t>
        </is>
      </c>
      <c r="B178" s="1" t="n">
        <v>45747.67768518518</v>
      </c>
      <c r="C178" s="1" t="n">
        <v>46183</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38898-2023</t>
        </is>
      </c>
      <c r="B179" s="1" t="n">
        <v>45163</v>
      </c>
      <c r="C179" s="1" t="n">
        <v>46183</v>
      </c>
      <c r="D179" t="inlineStr">
        <is>
          <t>ÖREBRO LÄN</t>
        </is>
      </c>
      <c r="E179" t="inlineStr">
        <is>
          <t>ÖREBRO</t>
        </is>
      </c>
      <c r="G179" t="n">
        <v>5.1</v>
      </c>
      <c r="H179" t="n">
        <v>0</v>
      </c>
      <c r="I179" t="n">
        <v>0</v>
      </c>
      <c r="J179" t="n">
        <v>0</v>
      </c>
      <c r="K179" t="n">
        <v>0</v>
      </c>
      <c r="L179" t="n">
        <v>0</v>
      </c>
      <c r="M179" t="n">
        <v>0</v>
      </c>
      <c r="N179" t="n">
        <v>0</v>
      </c>
      <c r="O179" t="n">
        <v>0</v>
      </c>
      <c r="P179" t="n">
        <v>0</v>
      </c>
      <c r="Q179" t="n">
        <v>0</v>
      </c>
      <c r="R179" s="2" t="inlineStr"/>
    </row>
    <row r="180" ht="15" customHeight="1">
      <c r="A180" t="inlineStr">
        <is>
          <t>A 21036-2024</t>
        </is>
      </c>
      <c r="B180" s="1" t="n">
        <v>45439.65954861111</v>
      </c>
      <c r="C180" s="1" t="n">
        <v>46183</v>
      </c>
      <c r="D180" t="inlineStr">
        <is>
          <t>ÖREBRO LÄN</t>
        </is>
      </c>
      <c r="E180" t="inlineStr">
        <is>
          <t>ÖREBRO</t>
        </is>
      </c>
      <c r="F180" t="inlineStr">
        <is>
          <t>Övriga Aktiebolag</t>
        </is>
      </c>
      <c r="G180" t="n">
        <v>5.7</v>
      </c>
      <c r="H180" t="n">
        <v>0</v>
      </c>
      <c r="I180" t="n">
        <v>0</v>
      </c>
      <c r="J180" t="n">
        <v>0</v>
      </c>
      <c r="K180" t="n">
        <v>0</v>
      </c>
      <c r="L180" t="n">
        <v>0</v>
      </c>
      <c r="M180" t="n">
        <v>0</v>
      </c>
      <c r="N180" t="n">
        <v>0</v>
      </c>
      <c r="O180" t="n">
        <v>0</v>
      </c>
      <c r="P180" t="n">
        <v>0</v>
      </c>
      <c r="Q180" t="n">
        <v>0</v>
      </c>
      <c r="R180" s="2" t="inlineStr"/>
    </row>
    <row r="181" ht="15" customHeight="1">
      <c r="A181" t="inlineStr">
        <is>
          <t>A 13321-2024</t>
        </is>
      </c>
      <c r="B181" s="1" t="n">
        <v>45386.83142361111</v>
      </c>
      <c r="C181" s="1" t="n">
        <v>46183</v>
      </c>
      <c r="D181" t="inlineStr">
        <is>
          <t>ÖREBRO LÄN</t>
        </is>
      </c>
      <c r="E181" t="inlineStr">
        <is>
          <t>ÖREBRO</t>
        </is>
      </c>
      <c r="G181" t="n">
        <v>13.1</v>
      </c>
      <c r="H181" t="n">
        <v>0</v>
      </c>
      <c r="I181" t="n">
        <v>0</v>
      </c>
      <c r="J181" t="n">
        <v>0</v>
      </c>
      <c r="K181" t="n">
        <v>0</v>
      </c>
      <c r="L181" t="n">
        <v>0</v>
      </c>
      <c r="M181" t="n">
        <v>0</v>
      </c>
      <c r="N181" t="n">
        <v>0</v>
      </c>
      <c r="O181" t="n">
        <v>0</v>
      </c>
      <c r="P181" t="n">
        <v>0</v>
      </c>
      <c r="Q181" t="n">
        <v>0</v>
      </c>
      <c r="R181" s="2" t="inlineStr"/>
    </row>
    <row r="182" ht="15" customHeight="1">
      <c r="A182" t="inlineStr">
        <is>
          <t>A 5136-2024</t>
        </is>
      </c>
      <c r="B182" s="1" t="n">
        <v>45330</v>
      </c>
      <c r="C182" s="1" t="n">
        <v>46183</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14291-2023</t>
        </is>
      </c>
      <c r="B183" s="1" t="n">
        <v>45010</v>
      </c>
      <c r="C183" s="1" t="n">
        <v>46183</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4380-2025</t>
        </is>
      </c>
      <c r="B184" s="1" t="n">
        <v>45686.3959375</v>
      </c>
      <c r="C184" s="1" t="n">
        <v>46183</v>
      </c>
      <c r="D184" t="inlineStr">
        <is>
          <t>ÖREBRO LÄN</t>
        </is>
      </c>
      <c r="E184" t="inlineStr">
        <is>
          <t>ÖREBRO</t>
        </is>
      </c>
      <c r="G184" t="n">
        <v>3.2</v>
      </c>
      <c r="H184" t="n">
        <v>0</v>
      </c>
      <c r="I184" t="n">
        <v>0</v>
      </c>
      <c r="J184" t="n">
        <v>0</v>
      </c>
      <c r="K184" t="n">
        <v>0</v>
      </c>
      <c r="L184" t="n">
        <v>0</v>
      </c>
      <c r="M184" t="n">
        <v>0</v>
      </c>
      <c r="N184" t="n">
        <v>0</v>
      </c>
      <c r="O184" t="n">
        <v>0</v>
      </c>
      <c r="P184" t="n">
        <v>0</v>
      </c>
      <c r="Q184" t="n">
        <v>0</v>
      </c>
      <c r="R184" s="2" t="inlineStr"/>
    </row>
    <row r="185" ht="15" customHeight="1">
      <c r="A185" t="inlineStr">
        <is>
          <t>A 34358-2022</t>
        </is>
      </c>
      <c r="B185" s="1" t="n">
        <v>44792.45494212963</v>
      </c>
      <c r="C185" s="1" t="n">
        <v>46183</v>
      </c>
      <c r="D185" t="inlineStr">
        <is>
          <t>ÖREBRO LÄN</t>
        </is>
      </c>
      <c r="E185" t="inlineStr">
        <is>
          <t>ÖREBRO</t>
        </is>
      </c>
      <c r="F185" t="inlineStr">
        <is>
          <t>Övriga Aktiebolag</t>
        </is>
      </c>
      <c r="G185" t="n">
        <v>3.4</v>
      </c>
      <c r="H185" t="n">
        <v>0</v>
      </c>
      <c r="I185" t="n">
        <v>0</v>
      </c>
      <c r="J185" t="n">
        <v>0</v>
      </c>
      <c r="K185" t="n">
        <v>0</v>
      </c>
      <c r="L185" t="n">
        <v>0</v>
      </c>
      <c r="M185" t="n">
        <v>0</v>
      </c>
      <c r="N185" t="n">
        <v>0</v>
      </c>
      <c r="O185" t="n">
        <v>0</v>
      </c>
      <c r="P185" t="n">
        <v>0</v>
      </c>
      <c r="Q185" t="n">
        <v>0</v>
      </c>
      <c r="R185" s="2" t="inlineStr"/>
    </row>
    <row r="186" ht="15" customHeight="1">
      <c r="A186" t="inlineStr">
        <is>
          <t>A 9314-2023</t>
        </is>
      </c>
      <c r="B186" s="1" t="n">
        <v>44980.67747685185</v>
      </c>
      <c r="C186" s="1" t="n">
        <v>46183</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15695-2024</t>
        </is>
      </c>
      <c r="B187" s="1" t="n">
        <v>45404.45487268519</v>
      </c>
      <c r="C187" s="1" t="n">
        <v>46183</v>
      </c>
      <c r="D187" t="inlineStr">
        <is>
          <t>ÖREBRO LÄN</t>
        </is>
      </c>
      <c r="E187" t="inlineStr">
        <is>
          <t>ÖREBRO</t>
        </is>
      </c>
      <c r="G187" t="n">
        <v>2.7</v>
      </c>
      <c r="H187" t="n">
        <v>0</v>
      </c>
      <c r="I187" t="n">
        <v>0</v>
      </c>
      <c r="J187" t="n">
        <v>0</v>
      </c>
      <c r="K187" t="n">
        <v>0</v>
      </c>
      <c r="L187" t="n">
        <v>0</v>
      </c>
      <c r="M187" t="n">
        <v>0</v>
      </c>
      <c r="N187" t="n">
        <v>0</v>
      </c>
      <c r="O187" t="n">
        <v>0</v>
      </c>
      <c r="P187" t="n">
        <v>0</v>
      </c>
      <c r="Q187" t="n">
        <v>0</v>
      </c>
      <c r="R187" s="2" t="inlineStr"/>
    </row>
    <row r="188" ht="15" customHeight="1">
      <c r="A188" t="inlineStr">
        <is>
          <t>A 33455-2023</t>
        </is>
      </c>
      <c r="B188" s="1" t="n">
        <v>45130.98962962963</v>
      </c>
      <c r="C188" s="1" t="n">
        <v>46183</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5406-2025</t>
        </is>
      </c>
      <c r="B189" s="1" t="n">
        <v>45692.64821759259</v>
      </c>
      <c r="C189" s="1" t="n">
        <v>46183</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16739-2023</t>
        </is>
      </c>
      <c r="B190" s="1" t="n">
        <v>45030.72627314815</v>
      </c>
      <c r="C190" s="1" t="n">
        <v>46183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7634-2024</t>
        </is>
      </c>
      <c r="B191" s="1" t="n">
        <v>45348</v>
      </c>
      <c r="C191" s="1" t="n">
        <v>46183</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5324-2024</t>
        </is>
      </c>
      <c r="B192" s="1" t="n">
        <v>45331</v>
      </c>
      <c r="C192" s="1" t="n">
        <v>46183</v>
      </c>
      <c r="D192" t="inlineStr">
        <is>
          <t>ÖREBRO LÄN</t>
        </is>
      </c>
      <c r="E192" t="inlineStr">
        <is>
          <t>ÖREBRO</t>
        </is>
      </c>
      <c r="G192" t="n">
        <v>1.5</v>
      </c>
      <c r="H192" t="n">
        <v>0</v>
      </c>
      <c r="I192" t="n">
        <v>0</v>
      </c>
      <c r="J192" t="n">
        <v>0</v>
      </c>
      <c r="K192" t="n">
        <v>0</v>
      </c>
      <c r="L192" t="n">
        <v>0</v>
      </c>
      <c r="M192" t="n">
        <v>0</v>
      </c>
      <c r="N192" t="n">
        <v>0</v>
      </c>
      <c r="O192" t="n">
        <v>0</v>
      </c>
      <c r="P192" t="n">
        <v>0</v>
      </c>
      <c r="Q192" t="n">
        <v>0</v>
      </c>
      <c r="R192" s="2" t="inlineStr"/>
    </row>
    <row r="193" ht="15" customHeight="1">
      <c r="A193" t="inlineStr">
        <is>
          <t>A 52401-2024</t>
        </is>
      </c>
      <c r="B193" s="1" t="n">
        <v>45609.44553240741</v>
      </c>
      <c r="C193" s="1" t="n">
        <v>46183</v>
      </c>
      <c r="D193" t="inlineStr">
        <is>
          <t>ÖREBRO LÄN</t>
        </is>
      </c>
      <c r="E193" t="inlineStr">
        <is>
          <t>ÖREBRO</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15354-2024</t>
        </is>
      </c>
      <c r="B194" s="1" t="n">
        <v>45400.85319444445</v>
      </c>
      <c r="C194" s="1" t="n">
        <v>46183</v>
      </c>
      <c r="D194" t="inlineStr">
        <is>
          <t>ÖREBRO LÄN</t>
        </is>
      </c>
      <c r="E194" t="inlineStr">
        <is>
          <t>ÖREBRO</t>
        </is>
      </c>
      <c r="G194" t="n">
        <v>0.7</v>
      </c>
      <c r="H194" t="n">
        <v>0</v>
      </c>
      <c r="I194" t="n">
        <v>0</v>
      </c>
      <c r="J194" t="n">
        <v>0</v>
      </c>
      <c r="K194" t="n">
        <v>0</v>
      </c>
      <c r="L194" t="n">
        <v>0</v>
      </c>
      <c r="M194" t="n">
        <v>0</v>
      </c>
      <c r="N194" t="n">
        <v>0</v>
      </c>
      <c r="O194" t="n">
        <v>0</v>
      </c>
      <c r="P194" t="n">
        <v>0</v>
      </c>
      <c r="Q194" t="n">
        <v>0</v>
      </c>
      <c r="R194" s="2" t="inlineStr"/>
    </row>
    <row r="195" ht="15" customHeight="1">
      <c r="A195" t="inlineStr">
        <is>
          <t>A 11067-2025</t>
        </is>
      </c>
      <c r="B195" s="1" t="n">
        <v>45723</v>
      </c>
      <c r="C195" s="1" t="n">
        <v>46183</v>
      </c>
      <c r="D195" t="inlineStr">
        <is>
          <t>ÖREBRO LÄN</t>
        </is>
      </c>
      <c r="E195" t="inlineStr">
        <is>
          <t>ÖREBRO</t>
        </is>
      </c>
      <c r="G195" t="n">
        <v>3.1</v>
      </c>
      <c r="H195" t="n">
        <v>0</v>
      </c>
      <c r="I195" t="n">
        <v>0</v>
      </c>
      <c r="J195" t="n">
        <v>0</v>
      </c>
      <c r="K195" t="n">
        <v>0</v>
      </c>
      <c r="L195" t="n">
        <v>0</v>
      </c>
      <c r="M195" t="n">
        <v>0</v>
      </c>
      <c r="N195" t="n">
        <v>0</v>
      </c>
      <c r="O195" t="n">
        <v>0</v>
      </c>
      <c r="P195" t="n">
        <v>0</v>
      </c>
      <c r="Q195" t="n">
        <v>0</v>
      </c>
      <c r="R195" s="2" t="inlineStr"/>
    </row>
    <row r="196" ht="15" customHeight="1">
      <c r="A196" t="inlineStr">
        <is>
          <t>A 2771-2023</t>
        </is>
      </c>
      <c r="B196" s="1" t="n">
        <v>44944.64704861111</v>
      </c>
      <c r="C196" s="1" t="n">
        <v>46183</v>
      </c>
      <c r="D196" t="inlineStr">
        <is>
          <t>ÖREBRO LÄN</t>
        </is>
      </c>
      <c r="E196" t="inlineStr">
        <is>
          <t>ÖREBRO</t>
        </is>
      </c>
      <c r="G196" t="n">
        <v>15.4</v>
      </c>
      <c r="H196" t="n">
        <v>0</v>
      </c>
      <c r="I196" t="n">
        <v>0</v>
      </c>
      <c r="J196" t="n">
        <v>0</v>
      </c>
      <c r="K196" t="n">
        <v>0</v>
      </c>
      <c r="L196" t="n">
        <v>0</v>
      </c>
      <c r="M196" t="n">
        <v>0</v>
      </c>
      <c r="N196" t="n">
        <v>0</v>
      </c>
      <c r="O196" t="n">
        <v>0</v>
      </c>
      <c r="P196" t="n">
        <v>0</v>
      </c>
      <c r="Q196" t="n">
        <v>0</v>
      </c>
      <c r="R196" s="2" t="inlineStr"/>
    </row>
    <row r="197" ht="15" customHeight="1">
      <c r="A197" t="inlineStr">
        <is>
          <t>A 22348-2024</t>
        </is>
      </c>
      <c r="B197" s="1" t="n">
        <v>45446.61256944444</v>
      </c>
      <c r="C197" s="1" t="n">
        <v>46183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681-2024</t>
        </is>
      </c>
      <c r="B198" s="1" t="n">
        <v>45300</v>
      </c>
      <c r="C198" s="1" t="n">
        <v>46183</v>
      </c>
      <c r="D198" t="inlineStr">
        <is>
          <t>ÖREBRO LÄN</t>
        </is>
      </c>
      <c r="E198" t="inlineStr">
        <is>
          <t>ÖREBRO</t>
        </is>
      </c>
      <c r="G198" t="n">
        <v>3.3</v>
      </c>
      <c r="H198" t="n">
        <v>0</v>
      </c>
      <c r="I198" t="n">
        <v>0</v>
      </c>
      <c r="J198" t="n">
        <v>0</v>
      </c>
      <c r="K198" t="n">
        <v>0</v>
      </c>
      <c r="L198" t="n">
        <v>0</v>
      </c>
      <c r="M198" t="n">
        <v>0</v>
      </c>
      <c r="N198" t="n">
        <v>0</v>
      </c>
      <c r="O198" t="n">
        <v>0</v>
      </c>
      <c r="P198" t="n">
        <v>0</v>
      </c>
      <c r="Q198" t="n">
        <v>0</v>
      </c>
      <c r="R198" s="2" t="inlineStr"/>
    </row>
    <row r="199" ht="15" customHeight="1">
      <c r="A199" t="inlineStr">
        <is>
          <t>A 52018-2024</t>
        </is>
      </c>
      <c r="B199" s="1" t="n">
        <v>45607.82974537037</v>
      </c>
      <c r="C199" s="1" t="n">
        <v>46183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30089-2024</t>
        </is>
      </c>
      <c r="B200" s="1" t="n">
        <v>45485</v>
      </c>
      <c r="C200" s="1" t="n">
        <v>46183</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13169-2024</t>
        </is>
      </c>
      <c r="B201" s="1" t="n">
        <v>45386.40489583334</v>
      </c>
      <c r="C201" s="1" t="n">
        <v>46183</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71295-2021</t>
        </is>
      </c>
      <c r="B202" s="1" t="n">
        <v>44539.63009259259</v>
      </c>
      <c r="C202" s="1" t="n">
        <v>46183</v>
      </c>
      <c r="D202" t="inlineStr">
        <is>
          <t>ÖREBRO LÄN</t>
        </is>
      </c>
      <c r="E202" t="inlineStr">
        <is>
          <t>ÖREBRO</t>
        </is>
      </c>
      <c r="G202" t="n">
        <v>2.3</v>
      </c>
      <c r="H202" t="n">
        <v>0</v>
      </c>
      <c r="I202" t="n">
        <v>0</v>
      </c>
      <c r="J202" t="n">
        <v>0</v>
      </c>
      <c r="K202" t="n">
        <v>0</v>
      </c>
      <c r="L202" t="n">
        <v>0</v>
      </c>
      <c r="M202" t="n">
        <v>0</v>
      </c>
      <c r="N202" t="n">
        <v>0</v>
      </c>
      <c r="O202" t="n">
        <v>0</v>
      </c>
      <c r="P202" t="n">
        <v>0</v>
      </c>
      <c r="Q202" t="n">
        <v>0</v>
      </c>
      <c r="R202" s="2" t="inlineStr"/>
    </row>
    <row r="203" ht="15" customHeight="1">
      <c r="A203" t="inlineStr">
        <is>
          <t>A 46030-2024</t>
        </is>
      </c>
      <c r="B203" s="1" t="n">
        <v>45580.70377314815</v>
      </c>
      <c r="C203" s="1" t="n">
        <v>46183</v>
      </c>
      <c r="D203" t="inlineStr">
        <is>
          <t>ÖREBRO LÄN</t>
        </is>
      </c>
      <c r="E203" t="inlineStr">
        <is>
          <t>ÖREBRO</t>
        </is>
      </c>
      <c r="G203" t="n">
        <v>3.9</v>
      </c>
      <c r="H203" t="n">
        <v>0</v>
      </c>
      <c r="I203" t="n">
        <v>0</v>
      </c>
      <c r="J203" t="n">
        <v>0</v>
      </c>
      <c r="K203" t="n">
        <v>0</v>
      </c>
      <c r="L203" t="n">
        <v>0</v>
      </c>
      <c r="M203" t="n">
        <v>0</v>
      </c>
      <c r="N203" t="n">
        <v>0</v>
      </c>
      <c r="O203" t="n">
        <v>0</v>
      </c>
      <c r="P203" t="n">
        <v>0</v>
      </c>
      <c r="Q203" t="n">
        <v>0</v>
      </c>
      <c r="R203" s="2" t="inlineStr"/>
    </row>
    <row r="204" ht="15" customHeight="1">
      <c r="A204" t="inlineStr">
        <is>
          <t>A 5643-2025</t>
        </is>
      </c>
      <c r="B204" s="1" t="n">
        <v>45693</v>
      </c>
      <c r="C204" s="1" t="n">
        <v>46183</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11516-2024</t>
        </is>
      </c>
      <c r="B205" s="1" t="n">
        <v>45372</v>
      </c>
      <c r="C205" s="1" t="n">
        <v>46183</v>
      </c>
      <c r="D205" t="inlineStr">
        <is>
          <t>ÖREBRO LÄN</t>
        </is>
      </c>
      <c r="E205" t="inlineStr">
        <is>
          <t>ÖREBRO</t>
        </is>
      </c>
      <c r="G205" t="n">
        <v>10.7</v>
      </c>
      <c r="H205" t="n">
        <v>0</v>
      </c>
      <c r="I205" t="n">
        <v>0</v>
      </c>
      <c r="J205" t="n">
        <v>0</v>
      </c>
      <c r="K205" t="n">
        <v>0</v>
      </c>
      <c r="L205" t="n">
        <v>0</v>
      </c>
      <c r="M205" t="n">
        <v>0</v>
      </c>
      <c r="N205" t="n">
        <v>0</v>
      </c>
      <c r="O205" t="n">
        <v>0</v>
      </c>
      <c r="P205" t="n">
        <v>0</v>
      </c>
      <c r="Q205" t="n">
        <v>0</v>
      </c>
      <c r="R205" s="2" t="inlineStr"/>
    </row>
    <row r="206" ht="15" customHeight="1">
      <c r="A206" t="inlineStr">
        <is>
          <t>A 5342-2024</t>
        </is>
      </c>
      <c r="B206" s="1" t="n">
        <v>45331.44145833333</v>
      </c>
      <c r="C206" s="1" t="n">
        <v>46183</v>
      </c>
      <c r="D206" t="inlineStr">
        <is>
          <t>ÖREBRO LÄN</t>
        </is>
      </c>
      <c r="E206" t="inlineStr">
        <is>
          <t>ÖREBRO</t>
        </is>
      </c>
      <c r="G206" t="n">
        <v>2.5</v>
      </c>
      <c r="H206" t="n">
        <v>0</v>
      </c>
      <c r="I206" t="n">
        <v>0</v>
      </c>
      <c r="J206" t="n">
        <v>0</v>
      </c>
      <c r="K206" t="n">
        <v>0</v>
      </c>
      <c r="L206" t="n">
        <v>0</v>
      </c>
      <c r="M206" t="n">
        <v>0</v>
      </c>
      <c r="N206" t="n">
        <v>0</v>
      </c>
      <c r="O206" t="n">
        <v>0</v>
      </c>
      <c r="P206" t="n">
        <v>0</v>
      </c>
      <c r="Q206" t="n">
        <v>0</v>
      </c>
      <c r="R206" s="2" t="inlineStr"/>
    </row>
    <row r="207" ht="15" customHeight="1">
      <c r="A207" t="inlineStr">
        <is>
          <t>A 12017-2024</t>
        </is>
      </c>
      <c r="B207" s="1" t="n">
        <v>45377</v>
      </c>
      <c r="C207" s="1" t="n">
        <v>46183</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56077-2022</t>
        </is>
      </c>
      <c r="B208" s="1" t="n">
        <v>44889.60872685185</v>
      </c>
      <c r="C208" s="1" t="n">
        <v>46183</v>
      </c>
      <c r="D208" t="inlineStr">
        <is>
          <t>ÖREBRO LÄN</t>
        </is>
      </c>
      <c r="E208" t="inlineStr">
        <is>
          <t>ÖREBRO</t>
        </is>
      </c>
      <c r="F208" t="inlineStr">
        <is>
          <t>Övriga Aktiebolag</t>
        </is>
      </c>
      <c r="G208" t="n">
        <v>2.5</v>
      </c>
      <c r="H208" t="n">
        <v>0</v>
      </c>
      <c r="I208" t="n">
        <v>0</v>
      </c>
      <c r="J208" t="n">
        <v>0</v>
      </c>
      <c r="K208" t="n">
        <v>0</v>
      </c>
      <c r="L208" t="n">
        <v>0</v>
      </c>
      <c r="M208" t="n">
        <v>0</v>
      </c>
      <c r="N208" t="n">
        <v>0</v>
      </c>
      <c r="O208" t="n">
        <v>0</v>
      </c>
      <c r="P208" t="n">
        <v>0</v>
      </c>
      <c r="Q208" t="n">
        <v>0</v>
      </c>
      <c r="R208" s="2" t="inlineStr"/>
    </row>
    <row r="209" ht="15" customHeight="1">
      <c r="A209" t="inlineStr">
        <is>
          <t>A 9609-2023</t>
        </is>
      </c>
      <c r="B209" s="1" t="n">
        <v>44983.93344907407</v>
      </c>
      <c r="C209" s="1" t="n">
        <v>46183</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55357-2024</t>
        </is>
      </c>
      <c r="B210" s="1" t="n">
        <v>45621.81126157408</v>
      </c>
      <c r="C210" s="1" t="n">
        <v>46183</v>
      </c>
      <c r="D210" t="inlineStr">
        <is>
          <t>ÖREBRO LÄN</t>
        </is>
      </c>
      <c r="E210" t="inlineStr">
        <is>
          <t>ÖREBRO</t>
        </is>
      </c>
      <c r="G210" t="n">
        <v>0.6</v>
      </c>
      <c r="H210" t="n">
        <v>0</v>
      </c>
      <c r="I210" t="n">
        <v>0</v>
      </c>
      <c r="J210" t="n">
        <v>0</v>
      </c>
      <c r="K210" t="n">
        <v>0</v>
      </c>
      <c r="L210" t="n">
        <v>0</v>
      </c>
      <c r="M210" t="n">
        <v>0</v>
      </c>
      <c r="N210" t="n">
        <v>0</v>
      </c>
      <c r="O210" t="n">
        <v>0</v>
      </c>
      <c r="P210" t="n">
        <v>0</v>
      </c>
      <c r="Q210" t="n">
        <v>0</v>
      </c>
      <c r="R210" s="2" t="inlineStr"/>
    </row>
    <row r="211" ht="15" customHeight="1">
      <c r="A211" t="inlineStr">
        <is>
          <t>A 70707-2021</t>
        </is>
      </c>
      <c r="B211" s="1" t="n">
        <v>44537</v>
      </c>
      <c r="C211" s="1" t="n">
        <v>46183</v>
      </c>
      <c r="D211" t="inlineStr">
        <is>
          <t>ÖREBRO LÄN</t>
        </is>
      </c>
      <c r="E211" t="inlineStr">
        <is>
          <t>ÖREBRO</t>
        </is>
      </c>
      <c r="G211" t="n">
        <v>13.2</v>
      </c>
      <c r="H211" t="n">
        <v>0</v>
      </c>
      <c r="I211" t="n">
        <v>0</v>
      </c>
      <c r="J211" t="n">
        <v>0</v>
      </c>
      <c r="K211" t="n">
        <v>0</v>
      </c>
      <c r="L211" t="n">
        <v>0</v>
      </c>
      <c r="M211" t="n">
        <v>0</v>
      </c>
      <c r="N211" t="n">
        <v>0</v>
      </c>
      <c r="O211" t="n">
        <v>0</v>
      </c>
      <c r="P211" t="n">
        <v>0</v>
      </c>
      <c r="Q211" t="n">
        <v>0</v>
      </c>
      <c r="R211" s="2" t="inlineStr"/>
    </row>
    <row r="212" ht="15" customHeight="1">
      <c r="A212" t="inlineStr">
        <is>
          <t>A 38422-2023</t>
        </is>
      </c>
      <c r="B212" s="1" t="n">
        <v>45162.36422453704</v>
      </c>
      <c r="C212" s="1" t="n">
        <v>46183</v>
      </c>
      <c r="D212" t="inlineStr">
        <is>
          <t>ÖREBRO LÄN</t>
        </is>
      </c>
      <c r="E212" t="inlineStr">
        <is>
          <t>ÖREBRO</t>
        </is>
      </c>
      <c r="G212" t="n">
        <v>8</v>
      </c>
      <c r="H212" t="n">
        <v>0</v>
      </c>
      <c r="I212" t="n">
        <v>0</v>
      </c>
      <c r="J212" t="n">
        <v>0</v>
      </c>
      <c r="K212" t="n">
        <v>0</v>
      </c>
      <c r="L212" t="n">
        <v>0</v>
      </c>
      <c r="M212" t="n">
        <v>0</v>
      </c>
      <c r="N212" t="n">
        <v>0</v>
      </c>
      <c r="O212" t="n">
        <v>0</v>
      </c>
      <c r="P212" t="n">
        <v>0</v>
      </c>
      <c r="Q212" t="n">
        <v>0</v>
      </c>
      <c r="R212" s="2" t="inlineStr"/>
    </row>
    <row r="213" ht="15" customHeight="1">
      <c r="A213" t="inlineStr">
        <is>
          <t>A 57243-2022</t>
        </is>
      </c>
      <c r="B213" s="1" t="n">
        <v>44895.71835648148</v>
      </c>
      <c r="C213" s="1" t="n">
        <v>46183</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58621-2024</t>
        </is>
      </c>
      <c r="B214" s="1" t="n">
        <v>45635.56321759259</v>
      </c>
      <c r="C214" s="1" t="n">
        <v>46183</v>
      </c>
      <c r="D214" t="inlineStr">
        <is>
          <t>ÖREBRO LÄN</t>
        </is>
      </c>
      <c r="E214" t="inlineStr">
        <is>
          <t>ÖREBRO</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46518-2023</t>
        </is>
      </c>
      <c r="B215" s="1" t="n">
        <v>45197.72777777778</v>
      </c>
      <c r="C215" s="1" t="n">
        <v>46183</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25578-2025</t>
        </is>
      </c>
      <c r="B216" s="1" t="n">
        <v>45803.47803240741</v>
      </c>
      <c r="C216" s="1" t="n">
        <v>46183</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38057-2025</t>
        </is>
      </c>
      <c r="B217" s="1" t="n">
        <v>45882.42570601852</v>
      </c>
      <c r="C217" s="1" t="n">
        <v>46183</v>
      </c>
      <c r="D217" t="inlineStr">
        <is>
          <t>ÖREBRO LÄN</t>
        </is>
      </c>
      <c r="E217" t="inlineStr">
        <is>
          <t>ÖREBRO</t>
        </is>
      </c>
      <c r="G217" t="n">
        <v>3</v>
      </c>
      <c r="H217" t="n">
        <v>0</v>
      </c>
      <c r="I217" t="n">
        <v>0</v>
      </c>
      <c r="J217" t="n">
        <v>0</v>
      </c>
      <c r="K217" t="n">
        <v>0</v>
      </c>
      <c r="L217" t="n">
        <v>0</v>
      </c>
      <c r="M217" t="n">
        <v>0</v>
      </c>
      <c r="N217" t="n">
        <v>0</v>
      </c>
      <c r="O217" t="n">
        <v>0</v>
      </c>
      <c r="P217" t="n">
        <v>0</v>
      </c>
      <c r="Q217" t="n">
        <v>0</v>
      </c>
      <c r="R217" s="2" t="inlineStr"/>
    </row>
    <row r="218" ht="15" customHeight="1">
      <c r="A218" t="inlineStr">
        <is>
          <t>A 37012-2024</t>
        </is>
      </c>
      <c r="B218" s="1" t="n">
        <v>45539</v>
      </c>
      <c r="C218" s="1" t="n">
        <v>46183</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19763-2024</t>
        </is>
      </c>
      <c r="B219" s="1" t="n">
        <v>45432</v>
      </c>
      <c r="C219" s="1" t="n">
        <v>46183</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46183</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25519-2025</t>
        </is>
      </c>
      <c r="B221" s="1" t="n">
        <v>45803.38447916666</v>
      </c>
      <c r="C221" s="1" t="n">
        <v>46183</v>
      </c>
      <c r="D221" t="inlineStr">
        <is>
          <t>ÖREBRO LÄN</t>
        </is>
      </c>
      <c r="E221" t="inlineStr">
        <is>
          <t>ÖREBRO</t>
        </is>
      </c>
      <c r="G221" t="n">
        <v>7.4</v>
      </c>
      <c r="H221" t="n">
        <v>0</v>
      </c>
      <c r="I221" t="n">
        <v>0</v>
      </c>
      <c r="J221" t="n">
        <v>0</v>
      </c>
      <c r="K221" t="n">
        <v>0</v>
      </c>
      <c r="L221" t="n">
        <v>0</v>
      </c>
      <c r="M221" t="n">
        <v>0</v>
      </c>
      <c r="N221" t="n">
        <v>0</v>
      </c>
      <c r="O221" t="n">
        <v>0</v>
      </c>
      <c r="P221" t="n">
        <v>0</v>
      </c>
      <c r="Q221" t="n">
        <v>0</v>
      </c>
      <c r="R221" s="2" t="inlineStr"/>
    </row>
    <row r="222" ht="15" customHeight="1">
      <c r="A222" t="inlineStr">
        <is>
          <t>A 36635-2023</t>
        </is>
      </c>
      <c r="B222" s="1" t="n">
        <v>45153</v>
      </c>
      <c r="C222" s="1" t="n">
        <v>46183</v>
      </c>
      <c r="D222" t="inlineStr">
        <is>
          <t>ÖREBRO LÄN</t>
        </is>
      </c>
      <c r="E222" t="inlineStr">
        <is>
          <t>ÖREBRO</t>
        </is>
      </c>
      <c r="G222" t="n">
        <v>1.9</v>
      </c>
      <c r="H222" t="n">
        <v>0</v>
      </c>
      <c r="I222" t="n">
        <v>0</v>
      </c>
      <c r="J222" t="n">
        <v>0</v>
      </c>
      <c r="K222" t="n">
        <v>0</v>
      </c>
      <c r="L222" t="n">
        <v>0</v>
      </c>
      <c r="M222" t="n">
        <v>0</v>
      </c>
      <c r="N222" t="n">
        <v>0</v>
      </c>
      <c r="O222" t="n">
        <v>0</v>
      </c>
      <c r="P222" t="n">
        <v>0</v>
      </c>
      <c r="Q222" t="n">
        <v>0</v>
      </c>
      <c r="R222" s="2" t="inlineStr"/>
    </row>
    <row r="223" ht="15" customHeight="1">
      <c r="A223" t="inlineStr">
        <is>
          <t>A 54149-2024</t>
        </is>
      </c>
      <c r="B223" s="1" t="n">
        <v>45616</v>
      </c>
      <c r="C223" s="1" t="n">
        <v>46183</v>
      </c>
      <c r="D223" t="inlineStr">
        <is>
          <t>ÖREBRO LÄN</t>
        </is>
      </c>
      <c r="E223" t="inlineStr">
        <is>
          <t>ÖREBRO</t>
        </is>
      </c>
      <c r="G223" t="n">
        <v>2.7</v>
      </c>
      <c r="H223" t="n">
        <v>0</v>
      </c>
      <c r="I223" t="n">
        <v>0</v>
      </c>
      <c r="J223" t="n">
        <v>0</v>
      </c>
      <c r="K223" t="n">
        <v>0</v>
      </c>
      <c r="L223" t="n">
        <v>0</v>
      </c>
      <c r="M223" t="n">
        <v>0</v>
      </c>
      <c r="N223" t="n">
        <v>0</v>
      </c>
      <c r="O223" t="n">
        <v>0</v>
      </c>
      <c r="P223" t="n">
        <v>0</v>
      </c>
      <c r="Q223" t="n">
        <v>0</v>
      </c>
      <c r="R223" s="2" t="inlineStr"/>
    </row>
    <row r="224" ht="15" customHeight="1">
      <c r="A224" t="inlineStr">
        <is>
          <t>A 541-2025</t>
        </is>
      </c>
      <c r="B224" s="1" t="n">
        <v>45664.52034722222</v>
      </c>
      <c r="C224" s="1" t="n">
        <v>46183</v>
      </c>
      <c r="D224" t="inlineStr">
        <is>
          <t>ÖREBRO LÄN</t>
        </is>
      </c>
      <c r="E224" t="inlineStr">
        <is>
          <t>ÖREBRO</t>
        </is>
      </c>
      <c r="G224" t="n">
        <v>2.2</v>
      </c>
      <c r="H224" t="n">
        <v>0</v>
      </c>
      <c r="I224" t="n">
        <v>0</v>
      </c>
      <c r="J224" t="n">
        <v>0</v>
      </c>
      <c r="K224" t="n">
        <v>0</v>
      </c>
      <c r="L224" t="n">
        <v>0</v>
      </c>
      <c r="M224" t="n">
        <v>0</v>
      </c>
      <c r="N224" t="n">
        <v>0</v>
      </c>
      <c r="O224" t="n">
        <v>0</v>
      </c>
      <c r="P224" t="n">
        <v>0</v>
      </c>
      <c r="Q224" t="n">
        <v>0</v>
      </c>
      <c r="R224" s="2" t="inlineStr"/>
    </row>
    <row r="225" ht="15" customHeight="1">
      <c r="A225" t="inlineStr">
        <is>
          <t>A 19553-2023</t>
        </is>
      </c>
      <c r="B225" s="1" t="n">
        <v>45050</v>
      </c>
      <c r="C225" s="1" t="n">
        <v>46183</v>
      </c>
      <c r="D225" t="inlineStr">
        <is>
          <t>ÖREBRO LÄN</t>
        </is>
      </c>
      <c r="E225" t="inlineStr">
        <is>
          <t>ÖREBRO</t>
        </is>
      </c>
      <c r="G225" t="n">
        <v>2.1</v>
      </c>
      <c r="H225" t="n">
        <v>0</v>
      </c>
      <c r="I225" t="n">
        <v>0</v>
      </c>
      <c r="J225" t="n">
        <v>0</v>
      </c>
      <c r="K225" t="n">
        <v>0</v>
      </c>
      <c r="L225" t="n">
        <v>0</v>
      </c>
      <c r="M225" t="n">
        <v>0</v>
      </c>
      <c r="N225" t="n">
        <v>0</v>
      </c>
      <c r="O225" t="n">
        <v>0</v>
      </c>
      <c r="P225" t="n">
        <v>0</v>
      </c>
      <c r="Q225" t="n">
        <v>0</v>
      </c>
      <c r="R225" s="2" t="inlineStr"/>
    </row>
    <row r="226" ht="15" customHeight="1">
      <c r="A226" t="inlineStr">
        <is>
          <t>A 37027-2024</t>
        </is>
      </c>
      <c r="B226" s="1" t="n">
        <v>45539.38487268519</v>
      </c>
      <c r="C226" s="1" t="n">
        <v>46183</v>
      </c>
      <c r="D226" t="inlineStr">
        <is>
          <t>ÖREBRO LÄN</t>
        </is>
      </c>
      <c r="E226" t="inlineStr">
        <is>
          <t>ÖREBRO</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49797-2024</t>
        </is>
      </c>
      <c r="B227" s="1" t="n">
        <v>45597.37265046296</v>
      </c>
      <c r="C227" s="1" t="n">
        <v>46183</v>
      </c>
      <c r="D227" t="inlineStr">
        <is>
          <t>ÖREBRO LÄN</t>
        </is>
      </c>
      <c r="E227" t="inlineStr">
        <is>
          <t>ÖREBRO</t>
        </is>
      </c>
      <c r="G227" t="n">
        <v>11.6</v>
      </c>
      <c r="H227" t="n">
        <v>0</v>
      </c>
      <c r="I227" t="n">
        <v>0</v>
      </c>
      <c r="J227" t="n">
        <v>0</v>
      </c>
      <c r="K227" t="n">
        <v>0</v>
      </c>
      <c r="L227" t="n">
        <v>0</v>
      </c>
      <c r="M227" t="n">
        <v>0</v>
      </c>
      <c r="N227" t="n">
        <v>0</v>
      </c>
      <c r="O227" t="n">
        <v>0</v>
      </c>
      <c r="P227" t="n">
        <v>0</v>
      </c>
      <c r="Q227" t="n">
        <v>0</v>
      </c>
      <c r="R227" s="2" t="inlineStr"/>
    </row>
    <row r="228" ht="15" customHeight="1">
      <c r="A228" t="inlineStr">
        <is>
          <t>A 23594-2023</t>
        </is>
      </c>
      <c r="B228" s="1" t="n">
        <v>45077</v>
      </c>
      <c r="C228" s="1" t="n">
        <v>46183</v>
      </c>
      <c r="D228" t="inlineStr">
        <is>
          <t>ÖREBRO LÄN</t>
        </is>
      </c>
      <c r="E228" t="inlineStr">
        <is>
          <t>ÖREBRO</t>
        </is>
      </c>
      <c r="G228" t="n">
        <v>9.9</v>
      </c>
      <c r="H228" t="n">
        <v>0</v>
      </c>
      <c r="I228" t="n">
        <v>0</v>
      </c>
      <c r="J228" t="n">
        <v>0</v>
      </c>
      <c r="K228" t="n">
        <v>0</v>
      </c>
      <c r="L228" t="n">
        <v>0</v>
      </c>
      <c r="M228" t="n">
        <v>0</v>
      </c>
      <c r="N228" t="n">
        <v>0</v>
      </c>
      <c r="O228" t="n">
        <v>0</v>
      </c>
      <c r="P228" t="n">
        <v>0</v>
      </c>
      <c r="Q228" t="n">
        <v>0</v>
      </c>
      <c r="R228" s="2" t="inlineStr"/>
    </row>
    <row r="229" ht="15" customHeight="1">
      <c r="A229" t="inlineStr">
        <is>
          <t>A 8022-2022</t>
        </is>
      </c>
      <c r="B229" s="1" t="n">
        <v>44609</v>
      </c>
      <c r="C229" s="1" t="n">
        <v>46183</v>
      </c>
      <c r="D229" t="inlineStr">
        <is>
          <t>ÖREBRO LÄN</t>
        </is>
      </c>
      <c r="E229" t="inlineStr">
        <is>
          <t>ÖREBRO</t>
        </is>
      </c>
      <c r="G229" t="n">
        <v>5.6</v>
      </c>
      <c r="H229" t="n">
        <v>0</v>
      </c>
      <c r="I229" t="n">
        <v>0</v>
      </c>
      <c r="J229" t="n">
        <v>0</v>
      </c>
      <c r="K229" t="n">
        <v>0</v>
      </c>
      <c r="L229" t="n">
        <v>0</v>
      </c>
      <c r="M229" t="n">
        <v>0</v>
      </c>
      <c r="N229" t="n">
        <v>0</v>
      </c>
      <c r="O229" t="n">
        <v>0</v>
      </c>
      <c r="P229" t="n">
        <v>0</v>
      </c>
      <c r="Q229" t="n">
        <v>0</v>
      </c>
      <c r="R229" s="2" t="inlineStr"/>
    </row>
    <row r="230" ht="15" customHeight="1">
      <c r="A230" t="inlineStr">
        <is>
          <t>A 47193-2023</t>
        </is>
      </c>
      <c r="B230" s="1" t="n">
        <v>45202.3074537037</v>
      </c>
      <c r="C230" s="1" t="n">
        <v>46183</v>
      </c>
      <c r="D230" t="inlineStr">
        <is>
          <t>ÖREBRO LÄN</t>
        </is>
      </c>
      <c r="E230" t="inlineStr">
        <is>
          <t>ÖREBRO</t>
        </is>
      </c>
      <c r="G230" t="n">
        <v>2.4</v>
      </c>
      <c r="H230" t="n">
        <v>0</v>
      </c>
      <c r="I230" t="n">
        <v>0</v>
      </c>
      <c r="J230" t="n">
        <v>0</v>
      </c>
      <c r="K230" t="n">
        <v>0</v>
      </c>
      <c r="L230" t="n">
        <v>0</v>
      </c>
      <c r="M230" t="n">
        <v>0</v>
      </c>
      <c r="N230" t="n">
        <v>0</v>
      </c>
      <c r="O230" t="n">
        <v>0</v>
      </c>
      <c r="P230" t="n">
        <v>0</v>
      </c>
      <c r="Q230" t="n">
        <v>0</v>
      </c>
      <c r="R230" s="2" t="inlineStr"/>
    </row>
    <row r="231" ht="15" customHeight="1">
      <c r="A231" t="inlineStr">
        <is>
          <t>A 32086-2023</t>
        </is>
      </c>
      <c r="B231" s="1" t="n">
        <v>45119.59789351852</v>
      </c>
      <c r="C231" s="1" t="n">
        <v>46183</v>
      </c>
      <c r="D231" t="inlineStr">
        <is>
          <t>ÖREBRO LÄN</t>
        </is>
      </c>
      <c r="E231" t="inlineStr">
        <is>
          <t>ÖREBRO</t>
        </is>
      </c>
      <c r="G231" t="n">
        <v>0.7</v>
      </c>
      <c r="H231" t="n">
        <v>0</v>
      </c>
      <c r="I231" t="n">
        <v>0</v>
      </c>
      <c r="J231" t="n">
        <v>0</v>
      </c>
      <c r="K231" t="n">
        <v>0</v>
      </c>
      <c r="L231" t="n">
        <v>0</v>
      </c>
      <c r="M231" t="n">
        <v>0</v>
      </c>
      <c r="N231" t="n">
        <v>0</v>
      </c>
      <c r="O231" t="n">
        <v>0</v>
      </c>
      <c r="P231" t="n">
        <v>0</v>
      </c>
      <c r="Q231" t="n">
        <v>0</v>
      </c>
      <c r="R231" s="2" t="inlineStr"/>
    </row>
    <row r="232" ht="15" customHeight="1">
      <c r="A232" t="inlineStr">
        <is>
          <t>A 13856-2022</t>
        </is>
      </c>
      <c r="B232" s="1" t="n">
        <v>44649.6965162037</v>
      </c>
      <c r="C232" s="1" t="n">
        <v>46183</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23863-2023</t>
        </is>
      </c>
      <c r="B233" s="1" t="n">
        <v>45078.48994212963</v>
      </c>
      <c r="C233" s="1" t="n">
        <v>46183</v>
      </c>
      <c r="D233" t="inlineStr">
        <is>
          <t>ÖREBRO LÄN</t>
        </is>
      </c>
      <c r="E233" t="inlineStr">
        <is>
          <t>ÖREBRO</t>
        </is>
      </c>
      <c r="F233" t="inlineStr">
        <is>
          <t>Övriga Aktiebolag</t>
        </is>
      </c>
      <c r="G233" t="n">
        <v>5.9</v>
      </c>
      <c r="H233" t="n">
        <v>0</v>
      </c>
      <c r="I233" t="n">
        <v>0</v>
      </c>
      <c r="J233" t="n">
        <v>0</v>
      </c>
      <c r="K233" t="n">
        <v>0</v>
      </c>
      <c r="L233" t="n">
        <v>0</v>
      </c>
      <c r="M233" t="n">
        <v>0</v>
      </c>
      <c r="N233" t="n">
        <v>0</v>
      </c>
      <c r="O233" t="n">
        <v>0</v>
      </c>
      <c r="P233" t="n">
        <v>0</v>
      </c>
      <c r="Q233" t="n">
        <v>0</v>
      </c>
      <c r="R233" s="2" t="inlineStr"/>
    </row>
    <row r="234" ht="15" customHeight="1">
      <c r="A234" t="inlineStr">
        <is>
          <t>A 58598-2022</t>
        </is>
      </c>
      <c r="B234" s="1" t="n">
        <v>44902</v>
      </c>
      <c r="C234" s="1" t="n">
        <v>46183</v>
      </c>
      <c r="D234" t="inlineStr">
        <is>
          <t>ÖREBRO LÄN</t>
        </is>
      </c>
      <c r="E234" t="inlineStr">
        <is>
          <t>ÖREBRO</t>
        </is>
      </c>
      <c r="G234" t="n">
        <v>0.4</v>
      </c>
      <c r="H234" t="n">
        <v>0</v>
      </c>
      <c r="I234" t="n">
        <v>0</v>
      </c>
      <c r="J234" t="n">
        <v>0</v>
      </c>
      <c r="K234" t="n">
        <v>0</v>
      </c>
      <c r="L234" t="n">
        <v>0</v>
      </c>
      <c r="M234" t="n">
        <v>0</v>
      </c>
      <c r="N234" t="n">
        <v>0</v>
      </c>
      <c r="O234" t="n">
        <v>0</v>
      </c>
      <c r="P234" t="n">
        <v>0</v>
      </c>
      <c r="Q234" t="n">
        <v>0</v>
      </c>
      <c r="R234" s="2" t="inlineStr"/>
    </row>
    <row r="235" ht="15" customHeight="1">
      <c r="A235" t="inlineStr">
        <is>
          <t>A 39130-2023</t>
        </is>
      </c>
      <c r="B235" s="1" t="n">
        <v>45165</v>
      </c>
      <c r="C235" s="1" t="n">
        <v>46183</v>
      </c>
      <c r="D235" t="inlineStr">
        <is>
          <t>ÖREBRO LÄN</t>
        </is>
      </c>
      <c r="E235" t="inlineStr">
        <is>
          <t>ÖREBRO</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71206-2021</t>
        </is>
      </c>
      <c r="B236" s="1" t="n">
        <v>44539</v>
      </c>
      <c r="C236" s="1" t="n">
        <v>46183</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16739-2022</t>
        </is>
      </c>
      <c r="B237" s="1" t="n">
        <v>44673</v>
      </c>
      <c r="C237" s="1" t="n">
        <v>46183</v>
      </c>
      <c r="D237" t="inlineStr">
        <is>
          <t>ÖREBRO LÄN</t>
        </is>
      </c>
      <c r="E237" t="inlineStr">
        <is>
          <t>ÖREBRO</t>
        </is>
      </c>
      <c r="G237" t="n">
        <v>4.7</v>
      </c>
      <c r="H237" t="n">
        <v>0</v>
      </c>
      <c r="I237" t="n">
        <v>0</v>
      </c>
      <c r="J237" t="n">
        <v>0</v>
      </c>
      <c r="K237" t="n">
        <v>0</v>
      </c>
      <c r="L237" t="n">
        <v>0</v>
      </c>
      <c r="M237" t="n">
        <v>0</v>
      </c>
      <c r="N237" t="n">
        <v>0</v>
      </c>
      <c r="O237" t="n">
        <v>0</v>
      </c>
      <c r="P237" t="n">
        <v>0</v>
      </c>
      <c r="Q237" t="n">
        <v>0</v>
      </c>
      <c r="R237" s="2" t="inlineStr"/>
    </row>
    <row r="238" ht="15" customHeight="1">
      <c r="A238" t="inlineStr">
        <is>
          <t>A 27220-2025</t>
        </is>
      </c>
      <c r="B238" s="1" t="n">
        <v>45812.42293981482</v>
      </c>
      <c r="C238" s="1" t="n">
        <v>46183</v>
      </c>
      <c r="D238" t="inlineStr">
        <is>
          <t>ÖREBRO LÄN</t>
        </is>
      </c>
      <c r="E238" t="inlineStr">
        <is>
          <t>ÖREBRO</t>
        </is>
      </c>
      <c r="G238" t="n">
        <v>0.6</v>
      </c>
      <c r="H238" t="n">
        <v>0</v>
      </c>
      <c r="I238" t="n">
        <v>0</v>
      </c>
      <c r="J238" t="n">
        <v>0</v>
      </c>
      <c r="K238" t="n">
        <v>0</v>
      </c>
      <c r="L238" t="n">
        <v>0</v>
      </c>
      <c r="M238" t="n">
        <v>0</v>
      </c>
      <c r="N238" t="n">
        <v>0</v>
      </c>
      <c r="O238" t="n">
        <v>0</v>
      </c>
      <c r="P238" t="n">
        <v>0</v>
      </c>
      <c r="Q238" t="n">
        <v>0</v>
      </c>
      <c r="R238" s="2" t="inlineStr"/>
    </row>
    <row r="239" ht="15" customHeight="1">
      <c r="A239" t="inlineStr">
        <is>
          <t>A 27215-2025</t>
        </is>
      </c>
      <c r="B239" s="1" t="n">
        <v>45812.41869212963</v>
      </c>
      <c r="C239" s="1" t="n">
        <v>46183</v>
      </c>
      <c r="D239" t="inlineStr">
        <is>
          <t>ÖREBRO LÄN</t>
        </is>
      </c>
      <c r="E239" t="inlineStr">
        <is>
          <t>ÖREBRO</t>
        </is>
      </c>
      <c r="G239" t="n">
        <v>1.2</v>
      </c>
      <c r="H239" t="n">
        <v>0</v>
      </c>
      <c r="I239" t="n">
        <v>0</v>
      </c>
      <c r="J239" t="n">
        <v>0</v>
      </c>
      <c r="K239" t="n">
        <v>0</v>
      </c>
      <c r="L239" t="n">
        <v>0</v>
      </c>
      <c r="M239" t="n">
        <v>0</v>
      </c>
      <c r="N239" t="n">
        <v>0</v>
      </c>
      <c r="O239" t="n">
        <v>0</v>
      </c>
      <c r="P239" t="n">
        <v>0</v>
      </c>
      <c r="Q239" t="n">
        <v>0</v>
      </c>
      <c r="R239" s="2" t="inlineStr"/>
    </row>
    <row r="240" ht="15" customHeight="1">
      <c r="A240" t="inlineStr">
        <is>
          <t>A 27225-2025</t>
        </is>
      </c>
      <c r="B240" s="1" t="n">
        <v>45812.42856481481</v>
      </c>
      <c r="C240" s="1" t="n">
        <v>46183</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9379-2024</t>
        </is>
      </c>
      <c r="B241" s="1" t="n">
        <v>45359.37298611111</v>
      </c>
      <c r="C241" s="1" t="n">
        <v>46183</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5398-2022</t>
        </is>
      </c>
      <c r="B242" s="1" t="n">
        <v>44595.3353587963</v>
      </c>
      <c r="C242" s="1" t="n">
        <v>46183</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50375-2024</t>
        </is>
      </c>
      <c r="B243" s="1" t="n">
        <v>45601.29311342593</v>
      </c>
      <c r="C243" s="1" t="n">
        <v>46183</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52391-2024</t>
        </is>
      </c>
      <c r="B244" s="1" t="n">
        <v>45609.43180555556</v>
      </c>
      <c r="C244" s="1" t="n">
        <v>46183</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46183</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16737-2023</t>
        </is>
      </c>
      <c r="B246" s="1" t="n">
        <v>45030.72472222222</v>
      </c>
      <c r="C246" s="1" t="n">
        <v>46183</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28120-2025</t>
        </is>
      </c>
      <c r="B247" s="1" t="n">
        <v>45818.30459490741</v>
      </c>
      <c r="C247" s="1" t="n">
        <v>46183</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15866-2022</t>
        </is>
      </c>
      <c r="B248" s="1" t="n">
        <v>44664</v>
      </c>
      <c r="C248" s="1" t="n">
        <v>46183</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2318-2023</t>
        </is>
      </c>
      <c r="B249" s="1" t="n">
        <v>44942</v>
      </c>
      <c r="C249" s="1" t="n">
        <v>46183</v>
      </c>
      <c r="D249" t="inlineStr">
        <is>
          <t>ÖREBRO LÄN</t>
        </is>
      </c>
      <c r="E249" t="inlineStr">
        <is>
          <t>ÖREBRO</t>
        </is>
      </c>
      <c r="G249" t="n">
        <v>1.9</v>
      </c>
      <c r="H249" t="n">
        <v>0</v>
      </c>
      <c r="I249" t="n">
        <v>0</v>
      </c>
      <c r="J249" t="n">
        <v>0</v>
      </c>
      <c r="K249" t="n">
        <v>0</v>
      </c>
      <c r="L249" t="n">
        <v>0</v>
      </c>
      <c r="M249" t="n">
        <v>0</v>
      </c>
      <c r="N249" t="n">
        <v>0</v>
      </c>
      <c r="O249" t="n">
        <v>0</v>
      </c>
      <c r="P249" t="n">
        <v>0</v>
      </c>
      <c r="Q249" t="n">
        <v>0</v>
      </c>
      <c r="R249" s="2" t="inlineStr"/>
    </row>
    <row r="250" ht="15" customHeight="1">
      <c r="A250" t="inlineStr">
        <is>
          <t>A 58532-2024</t>
        </is>
      </c>
      <c r="B250" s="1" t="n">
        <v>45635.44899305556</v>
      </c>
      <c r="C250" s="1" t="n">
        <v>46183</v>
      </c>
      <c r="D250" t="inlineStr">
        <is>
          <t>ÖREBRO LÄN</t>
        </is>
      </c>
      <c r="E250" t="inlineStr">
        <is>
          <t>ÖREBRO</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5764-2022</t>
        </is>
      </c>
      <c r="B251" s="1" t="n">
        <v>44596</v>
      </c>
      <c r="C251" s="1" t="n">
        <v>46183</v>
      </c>
      <c r="D251" t="inlineStr">
        <is>
          <t>ÖREBRO LÄN</t>
        </is>
      </c>
      <c r="E251" t="inlineStr">
        <is>
          <t>ÖREBRO</t>
        </is>
      </c>
      <c r="G251" t="n">
        <v>3.5</v>
      </c>
      <c r="H251" t="n">
        <v>0</v>
      </c>
      <c r="I251" t="n">
        <v>0</v>
      </c>
      <c r="J251" t="n">
        <v>0</v>
      </c>
      <c r="K251" t="n">
        <v>0</v>
      </c>
      <c r="L251" t="n">
        <v>0</v>
      </c>
      <c r="M251" t="n">
        <v>0</v>
      </c>
      <c r="N251" t="n">
        <v>0</v>
      </c>
      <c r="O251" t="n">
        <v>0</v>
      </c>
      <c r="P251" t="n">
        <v>0</v>
      </c>
      <c r="Q251" t="n">
        <v>0</v>
      </c>
      <c r="R251" s="2" t="inlineStr"/>
    </row>
    <row r="252" ht="15" customHeight="1">
      <c r="A252" t="inlineStr">
        <is>
          <t>A 45027-2024</t>
        </is>
      </c>
      <c r="B252" s="1" t="n">
        <v>45575</v>
      </c>
      <c r="C252" s="1" t="n">
        <v>46183</v>
      </c>
      <c r="D252" t="inlineStr">
        <is>
          <t>ÖREBRO LÄN</t>
        </is>
      </c>
      <c r="E252" t="inlineStr">
        <is>
          <t>ÖREBRO</t>
        </is>
      </c>
      <c r="G252" t="n">
        <v>6.3</v>
      </c>
      <c r="H252" t="n">
        <v>0</v>
      </c>
      <c r="I252" t="n">
        <v>0</v>
      </c>
      <c r="J252" t="n">
        <v>0</v>
      </c>
      <c r="K252" t="n">
        <v>0</v>
      </c>
      <c r="L252" t="n">
        <v>0</v>
      </c>
      <c r="M252" t="n">
        <v>0</v>
      </c>
      <c r="N252" t="n">
        <v>0</v>
      </c>
      <c r="O252" t="n">
        <v>0</v>
      </c>
      <c r="P252" t="n">
        <v>0</v>
      </c>
      <c r="Q252" t="n">
        <v>0</v>
      </c>
      <c r="R252" s="2" t="inlineStr"/>
    </row>
    <row r="253" ht="15" customHeight="1">
      <c r="A253" t="inlineStr">
        <is>
          <t>A 40051-2024</t>
        </is>
      </c>
      <c r="B253" s="1" t="n">
        <v>45553</v>
      </c>
      <c r="C253" s="1" t="n">
        <v>46183</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20150-2024</t>
        </is>
      </c>
      <c r="B254" s="1" t="n">
        <v>45434.57969907407</v>
      </c>
      <c r="C254" s="1" t="n">
        <v>46183</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41543-2024</t>
        </is>
      </c>
      <c r="B255" s="1" t="n">
        <v>45560</v>
      </c>
      <c r="C255" s="1" t="n">
        <v>46183</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10799-2024</t>
        </is>
      </c>
      <c r="B256" s="1" t="n">
        <v>45369</v>
      </c>
      <c r="C256" s="1" t="n">
        <v>46183</v>
      </c>
      <c r="D256" t="inlineStr">
        <is>
          <t>ÖREBRO LÄN</t>
        </is>
      </c>
      <c r="E256" t="inlineStr">
        <is>
          <t>ÖREBRO</t>
        </is>
      </c>
      <c r="G256" t="n">
        <v>5.8</v>
      </c>
      <c r="H256" t="n">
        <v>0</v>
      </c>
      <c r="I256" t="n">
        <v>0</v>
      </c>
      <c r="J256" t="n">
        <v>0</v>
      </c>
      <c r="K256" t="n">
        <v>0</v>
      </c>
      <c r="L256" t="n">
        <v>0</v>
      </c>
      <c r="M256" t="n">
        <v>0</v>
      </c>
      <c r="N256" t="n">
        <v>0</v>
      </c>
      <c r="O256" t="n">
        <v>0</v>
      </c>
      <c r="P256" t="n">
        <v>0</v>
      </c>
      <c r="Q256" t="n">
        <v>0</v>
      </c>
      <c r="R256" s="2" t="inlineStr"/>
    </row>
    <row r="257" ht="15" customHeight="1">
      <c r="A257" t="inlineStr">
        <is>
          <t>A 16694-2025</t>
        </is>
      </c>
      <c r="B257" s="1" t="n">
        <v>45754.46480324074</v>
      </c>
      <c r="C257" s="1" t="n">
        <v>46183</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58208-2024</t>
        </is>
      </c>
      <c r="B258" s="1" t="n">
        <v>45632</v>
      </c>
      <c r="C258" s="1" t="n">
        <v>46183</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19388-2024</t>
        </is>
      </c>
      <c r="B259" s="1" t="n">
        <v>45429.37775462963</v>
      </c>
      <c r="C259" s="1" t="n">
        <v>46183</v>
      </c>
      <c r="D259" t="inlineStr">
        <is>
          <t>ÖREBRO LÄN</t>
        </is>
      </c>
      <c r="E259" t="inlineStr">
        <is>
          <t>ÖREBRO</t>
        </is>
      </c>
      <c r="G259" t="n">
        <v>4.3</v>
      </c>
      <c r="H259" t="n">
        <v>0</v>
      </c>
      <c r="I259" t="n">
        <v>0</v>
      </c>
      <c r="J259" t="n">
        <v>0</v>
      </c>
      <c r="K259" t="n">
        <v>0</v>
      </c>
      <c r="L259" t="n">
        <v>0</v>
      </c>
      <c r="M259" t="n">
        <v>0</v>
      </c>
      <c r="N259" t="n">
        <v>0</v>
      </c>
      <c r="O259" t="n">
        <v>0</v>
      </c>
      <c r="P259" t="n">
        <v>0</v>
      </c>
      <c r="Q259" t="n">
        <v>0</v>
      </c>
      <c r="R259" s="2" t="inlineStr"/>
    </row>
    <row r="260" ht="15" customHeight="1">
      <c r="A260" t="inlineStr">
        <is>
          <t>A 29286-2025</t>
        </is>
      </c>
      <c r="B260" s="1" t="n">
        <v>45824.43502314815</v>
      </c>
      <c r="C260" s="1" t="n">
        <v>46183</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60059-2023</t>
        </is>
      </c>
      <c r="B261" s="1" t="n">
        <v>45258.38157407408</v>
      </c>
      <c r="C261" s="1" t="n">
        <v>46183</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7506-2025</t>
        </is>
      </c>
      <c r="B262" s="1" t="n">
        <v>45705</v>
      </c>
      <c r="C262" s="1" t="n">
        <v>46183</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26858-2024</t>
        </is>
      </c>
      <c r="B263" s="1" t="n">
        <v>45470</v>
      </c>
      <c r="C263" s="1" t="n">
        <v>46183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29701-2025</t>
        </is>
      </c>
      <c r="B264" s="1" t="n">
        <v>45825.55261574074</v>
      </c>
      <c r="C264" s="1" t="n">
        <v>46183</v>
      </c>
      <c r="D264" t="inlineStr">
        <is>
          <t>ÖREBRO LÄN</t>
        </is>
      </c>
      <c r="E264" t="inlineStr">
        <is>
          <t>ÖREBRO</t>
        </is>
      </c>
      <c r="G264" t="n">
        <v>5.8</v>
      </c>
      <c r="H264" t="n">
        <v>0</v>
      </c>
      <c r="I264" t="n">
        <v>0</v>
      </c>
      <c r="J264" t="n">
        <v>0</v>
      </c>
      <c r="K264" t="n">
        <v>0</v>
      </c>
      <c r="L264" t="n">
        <v>0</v>
      </c>
      <c r="M264" t="n">
        <v>0</v>
      </c>
      <c r="N264" t="n">
        <v>0</v>
      </c>
      <c r="O264" t="n">
        <v>0</v>
      </c>
      <c r="P264" t="n">
        <v>0</v>
      </c>
      <c r="Q264" t="n">
        <v>0</v>
      </c>
      <c r="R264" s="2" t="inlineStr"/>
    </row>
    <row r="265" ht="15" customHeight="1">
      <c r="A265" t="inlineStr">
        <is>
          <t>A 16300-2022</t>
        </is>
      </c>
      <c r="B265" s="1" t="n">
        <v>44670</v>
      </c>
      <c r="C265" s="1" t="n">
        <v>46183</v>
      </c>
      <c r="D265" t="inlineStr">
        <is>
          <t>ÖREBRO LÄN</t>
        </is>
      </c>
      <c r="E265" t="inlineStr">
        <is>
          <t>ÖREBRO</t>
        </is>
      </c>
      <c r="G265" t="n">
        <v>0.8</v>
      </c>
      <c r="H265" t="n">
        <v>0</v>
      </c>
      <c r="I265" t="n">
        <v>0</v>
      </c>
      <c r="J265" t="n">
        <v>0</v>
      </c>
      <c r="K265" t="n">
        <v>0</v>
      </c>
      <c r="L265" t="n">
        <v>0</v>
      </c>
      <c r="M265" t="n">
        <v>0</v>
      </c>
      <c r="N265" t="n">
        <v>0</v>
      </c>
      <c r="O265" t="n">
        <v>0</v>
      </c>
      <c r="P265" t="n">
        <v>0</v>
      </c>
      <c r="Q265" t="n">
        <v>0</v>
      </c>
      <c r="R265" s="2" t="inlineStr"/>
    </row>
    <row r="266" ht="15" customHeight="1">
      <c r="A266" t="inlineStr">
        <is>
          <t>A 46323-2024</t>
        </is>
      </c>
      <c r="B266" s="1" t="n">
        <v>45581.84538194445</v>
      </c>
      <c r="C266" s="1" t="n">
        <v>46183</v>
      </c>
      <c r="D266" t="inlineStr">
        <is>
          <t>ÖREBRO LÄN</t>
        </is>
      </c>
      <c r="E266" t="inlineStr">
        <is>
          <t>ÖREBRO</t>
        </is>
      </c>
      <c r="F266" t="inlineStr">
        <is>
          <t>Övriga Aktiebolag</t>
        </is>
      </c>
      <c r="G266" t="n">
        <v>1.4</v>
      </c>
      <c r="H266" t="n">
        <v>0</v>
      </c>
      <c r="I266" t="n">
        <v>0</v>
      </c>
      <c r="J266" t="n">
        <v>0</v>
      </c>
      <c r="K266" t="n">
        <v>0</v>
      </c>
      <c r="L266" t="n">
        <v>0</v>
      </c>
      <c r="M266" t="n">
        <v>0</v>
      </c>
      <c r="N266" t="n">
        <v>0</v>
      </c>
      <c r="O266" t="n">
        <v>0</v>
      </c>
      <c r="P266" t="n">
        <v>0</v>
      </c>
      <c r="Q266" t="n">
        <v>0</v>
      </c>
      <c r="R266" s="2" t="inlineStr"/>
    </row>
    <row r="267" ht="15" customHeight="1">
      <c r="A267" t="inlineStr">
        <is>
          <t>A 16958-2022</t>
        </is>
      </c>
      <c r="B267" s="1" t="n">
        <v>44676.50481481481</v>
      </c>
      <c r="C267" s="1" t="n">
        <v>46183</v>
      </c>
      <c r="D267" t="inlineStr">
        <is>
          <t>ÖREBRO LÄN</t>
        </is>
      </c>
      <c r="E267" t="inlineStr">
        <is>
          <t>ÖREBRO</t>
        </is>
      </c>
      <c r="G267" t="n">
        <v>3.1</v>
      </c>
      <c r="H267" t="n">
        <v>0</v>
      </c>
      <c r="I267" t="n">
        <v>0</v>
      </c>
      <c r="J267" t="n">
        <v>0</v>
      </c>
      <c r="K267" t="n">
        <v>0</v>
      </c>
      <c r="L267" t="n">
        <v>0</v>
      </c>
      <c r="M267" t="n">
        <v>0</v>
      </c>
      <c r="N267" t="n">
        <v>0</v>
      </c>
      <c r="O267" t="n">
        <v>0</v>
      </c>
      <c r="P267" t="n">
        <v>0</v>
      </c>
      <c r="Q267" t="n">
        <v>0</v>
      </c>
      <c r="R267" s="2" t="inlineStr"/>
    </row>
    <row r="268" ht="15" customHeight="1">
      <c r="A268" t="inlineStr">
        <is>
          <t>A 55472-2023</t>
        </is>
      </c>
      <c r="B268" s="1" t="n">
        <v>45238</v>
      </c>
      <c r="C268" s="1" t="n">
        <v>46183</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59121-2024</t>
        </is>
      </c>
      <c r="B269" s="1" t="n">
        <v>45637.37755787037</v>
      </c>
      <c r="C269" s="1" t="n">
        <v>46183</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49215-2023</t>
        </is>
      </c>
      <c r="B270" s="1" t="n">
        <v>45210.61050925926</v>
      </c>
      <c r="C270" s="1" t="n">
        <v>46183</v>
      </c>
      <c r="D270" t="inlineStr">
        <is>
          <t>ÖREBRO LÄN</t>
        </is>
      </c>
      <c r="E270" t="inlineStr">
        <is>
          <t>ÖREBRO</t>
        </is>
      </c>
      <c r="F270" t="inlineStr">
        <is>
          <t>Övriga Aktiebolag</t>
        </is>
      </c>
      <c r="G270" t="n">
        <v>4.2</v>
      </c>
      <c r="H270" t="n">
        <v>0</v>
      </c>
      <c r="I270" t="n">
        <v>0</v>
      </c>
      <c r="J270" t="n">
        <v>0</v>
      </c>
      <c r="K270" t="n">
        <v>0</v>
      </c>
      <c r="L270" t="n">
        <v>0</v>
      </c>
      <c r="M270" t="n">
        <v>0</v>
      </c>
      <c r="N270" t="n">
        <v>0</v>
      </c>
      <c r="O270" t="n">
        <v>0</v>
      </c>
      <c r="P270" t="n">
        <v>0</v>
      </c>
      <c r="Q270" t="n">
        <v>0</v>
      </c>
      <c r="R270" s="2" t="inlineStr"/>
    </row>
    <row r="271" ht="15" customHeight="1">
      <c r="A271" t="inlineStr">
        <is>
          <t>A 30550-2025</t>
        </is>
      </c>
      <c r="B271" s="1" t="n">
        <v>45831.38224537037</v>
      </c>
      <c r="C271" s="1" t="n">
        <v>46183</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30731-2025</t>
        </is>
      </c>
      <c r="B272" s="1" t="n">
        <v>45831.57280092593</v>
      </c>
      <c r="C272" s="1" t="n">
        <v>46183</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17983-2025</t>
        </is>
      </c>
      <c r="B273" s="1" t="n">
        <v>45761.38829861111</v>
      </c>
      <c r="C273" s="1" t="n">
        <v>46183</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54925-2023</t>
        </is>
      </c>
      <c r="B274" s="1" t="n">
        <v>45229</v>
      </c>
      <c r="C274" s="1" t="n">
        <v>46183</v>
      </c>
      <c r="D274" t="inlineStr">
        <is>
          <t>ÖREBRO LÄN</t>
        </is>
      </c>
      <c r="E274" t="inlineStr">
        <is>
          <t>ÖREBRO</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31233-2025</t>
        </is>
      </c>
      <c r="B275" s="1" t="n">
        <v>45832.83341435185</v>
      </c>
      <c r="C275" s="1" t="n">
        <v>46183</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31232-2025</t>
        </is>
      </c>
      <c r="B276" s="1" t="n">
        <v>45832.8252199074</v>
      </c>
      <c r="C276" s="1" t="n">
        <v>46183</v>
      </c>
      <c r="D276" t="inlineStr">
        <is>
          <t>ÖREBRO LÄN</t>
        </is>
      </c>
      <c r="E276" t="inlineStr">
        <is>
          <t>ÖREBRO</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16961-2022</t>
        </is>
      </c>
      <c r="B277" s="1" t="n">
        <v>44676</v>
      </c>
      <c r="C277" s="1" t="n">
        <v>46183</v>
      </c>
      <c r="D277" t="inlineStr">
        <is>
          <t>ÖREBRO LÄN</t>
        </is>
      </c>
      <c r="E277" t="inlineStr">
        <is>
          <t>ÖREBRO</t>
        </is>
      </c>
      <c r="G277" t="n">
        <v>1.2</v>
      </c>
      <c r="H277" t="n">
        <v>0</v>
      </c>
      <c r="I277" t="n">
        <v>0</v>
      </c>
      <c r="J277" t="n">
        <v>0</v>
      </c>
      <c r="K277" t="n">
        <v>0</v>
      </c>
      <c r="L277" t="n">
        <v>0</v>
      </c>
      <c r="M277" t="n">
        <v>0</v>
      </c>
      <c r="N277" t="n">
        <v>0</v>
      </c>
      <c r="O277" t="n">
        <v>0</v>
      </c>
      <c r="P277" t="n">
        <v>0</v>
      </c>
      <c r="Q277" t="n">
        <v>0</v>
      </c>
      <c r="R277" s="2" t="inlineStr"/>
    </row>
    <row r="278" ht="15" customHeight="1">
      <c r="A278" t="inlineStr">
        <is>
          <t>A 31237-2025</t>
        </is>
      </c>
      <c r="B278" s="1" t="n">
        <v>45832.84313657408</v>
      </c>
      <c r="C278" s="1" t="n">
        <v>46183</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15424-2022</t>
        </is>
      </c>
      <c r="B279" s="1" t="n">
        <v>44659</v>
      </c>
      <c r="C279" s="1" t="n">
        <v>46183</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55692-2023</t>
        </is>
      </c>
      <c r="B280" s="1" t="n">
        <v>45239</v>
      </c>
      <c r="C280" s="1" t="n">
        <v>46183</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13700-2024</t>
        </is>
      </c>
      <c r="B281" s="1" t="n">
        <v>45390.59277777778</v>
      </c>
      <c r="C281" s="1" t="n">
        <v>46183</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14715-2024</t>
        </is>
      </c>
      <c r="B282" s="1" t="n">
        <v>45397.5500462963</v>
      </c>
      <c r="C282" s="1" t="n">
        <v>46183</v>
      </c>
      <c r="D282" t="inlineStr">
        <is>
          <t>ÖREBRO LÄN</t>
        </is>
      </c>
      <c r="E282" t="inlineStr">
        <is>
          <t>ÖREBRO</t>
        </is>
      </c>
      <c r="G282" t="n">
        <v>1.2</v>
      </c>
      <c r="H282" t="n">
        <v>0</v>
      </c>
      <c r="I282" t="n">
        <v>0</v>
      </c>
      <c r="J282" t="n">
        <v>0</v>
      </c>
      <c r="K282" t="n">
        <v>0</v>
      </c>
      <c r="L282" t="n">
        <v>0</v>
      </c>
      <c r="M282" t="n">
        <v>0</v>
      </c>
      <c r="N282" t="n">
        <v>0</v>
      </c>
      <c r="O282" t="n">
        <v>0</v>
      </c>
      <c r="P282" t="n">
        <v>0</v>
      </c>
      <c r="Q282" t="n">
        <v>0</v>
      </c>
      <c r="R282" s="2" t="inlineStr"/>
    </row>
    <row r="283" ht="15" customHeight="1">
      <c r="A283" t="inlineStr">
        <is>
          <t>A 33191-2025</t>
        </is>
      </c>
      <c r="B283" s="1" t="n">
        <v>45840.6003587963</v>
      </c>
      <c r="C283" s="1" t="n">
        <v>46183</v>
      </c>
      <c r="D283" t="inlineStr">
        <is>
          <t>ÖREBRO LÄN</t>
        </is>
      </c>
      <c r="E283" t="inlineStr">
        <is>
          <t>ÖREBRO</t>
        </is>
      </c>
      <c r="G283" t="n">
        <v>2.6</v>
      </c>
      <c r="H283" t="n">
        <v>0</v>
      </c>
      <c r="I283" t="n">
        <v>0</v>
      </c>
      <c r="J283" t="n">
        <v>0</v>
      </c>
      <c r="K283" t="n">
        <v>0</v>
      </c>
      <c r="L283" t="n">
        <v>0</v>
      </c>
      <c r="M283" t="n">
        <v>0</v>
      </c>
      <c r="N283" t="n">
        <v>0</v>
      </c>
      <c r="O283" t="n">
        <v>0</v>
      </c>
      <c r="P283" t="n">
        <v>0</v>
      </c>
      <c r="Q283" t="n">
        <v>0</v>
      </c>
      <c r="R283" s="2" t="inlineStr"/>
    </row>
    <row r="284" ht="15" customHeight="1">
      <c r="A284" t="inlineStr">
        <is>
          <t>A 12682-2023</t>
        </is>
      </c>
      <c r="B284" s="1" t="n">
        <v>45000.6115625</v>
      </c>
      <c r="C284" s="1" t="n">
        <v>46183</v>
      </c>
      <c r="D284" t="inlineStr">
        <is>
          <t>ÖREBRO LÄN</t>
        </is>
      </c>
      <c r="E284" t="inlineStr">
        <is>
          <t>ÖREBRO</t>
        </is>
      </c>
      <c r="F284" t="inlineStr">
        <is>
          <t>Övriga Aktiebolag</t>
        </is>
      </c>
      <c r="G284" t="n">
        <v>4.4</v>
      </c>
      <c r="H284" t="n">
        <v>0</v>
      </c>
      <c r="I284" t="n">
        <v>0</v>
      </c>
      <c r="J284" t="n">
        <v>0</v>
      </c>
      <c r="K284" t="n">
        <v>0</v>
      </c>
      <c r="L284" t="n">
        <v>0</v>
      </c>
      <c r="M284" t="n">
        <v>0</v>
      </c>
      <c r="N284" t="n">
        <v>0</v>
      </c>
      <c r="O284" t="n">
        <v>0</v>
      </c>
      <c r="P284" t="n">
        <v>0</v>
      </c>
      <c r="Q284" t="n">
        <v>0</v>
      </c>
      <c r="R284" s="2" t="inlineStr"/>
    </row>
    <row r="285" ht="15" customHeight="1">
      <c r="A285" t="inlineStr">
        <is>
          <t>A 32426-2025</t>
        </is>
      </c>
      <c r="B285" s="1" t="n">
        <v>45838.36179398148</v>
      </c>
      <c r="C285" s="1" t="n">
        <v>46183</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13592-2023</t>
        </is>
      </c>
      <c r="B286" s="1" t="n">
        <v>45006.56870370371</v>
      </c>
      <c r="C286" s="1" t="n">
        <v>46183</v>
      </c>
      <c r="D286" t="inlineStr">
        <is>
          <t>ÖREBRO LÄN</t>
        </is>
      </c>
      <c r="E286" t="inlineStr">
        <is>
          <t>ÖREBRO</t>
        </is>
      </c>
      <c r="G286" t="n">
        <v>2</v>
      </c>
      <c r="H286" t="n">
        <v>0</v>
      </c>
      <c r="I286" t="n">
        <v>0</v>
      </c>
      <c r="J286" t="n">
        <v>0</v>
      </c>
      <c r="K286" t="n">
        <v>0</v>
      </c>
      <c r="L286" t="n">
        <v>0</v>
      </c>
      <c r="M286" t="n">
        <v>0</v>
      </c>
      <c r="N286" t="n">
        <v>0</v>
      </c>
      <c r="O286" t="n">
        <v>0</v>
      </c>
      <c r="P286" t="n">
        <v>0</v>
      </c>
      <c r="Q286" t="n">
        <v>0</v>
      </c>
      <c r="R286" s="2" t="inlineStr"/>
    </row>
    <row r="287" ht="15" customHeight="1">
      <c r="A287" t="inlineStr">
        <is>
          <t>A 32904-2025</t>
        </is>
      </c>
      <c r="B287" s="1" t="n">
        <v>45839</v>
      </c>
      <c r="C287" s="1" t="n">
        <v>46183</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59736-2023</t>
        </is>
      </c>
      <c r="B288" s="1" t="n">
        <v>45257.374375</v>
      </c>
      <c r="C288" s="1" t="n">
        <v>46183</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55355-2024</t>
        </is>
      </c>
      <c r="B289" s="1" t="n">
        <v>45621.80475694445</v>
      </c>
      <c r="C289" s="1" t="n">
        <v>46183</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49029-2024</t>
        </is>
      </c>
      <c r="B290" s="1" t="n">
        <v>45594</v>
      </c>
      <c r="C290" s="1" t="n">
        <v>46183</v>
      </c>
      <c r="D290" t="inlineStr">
        <is>
          <t>ÖREBRO LÄN</t>
        </is>
      </c>
      <c r="E290" t="inlineStr">
        <is>
          <t>ÖREBRO</t>
        </is>
      </c>
      <c r="G290" t="n">
        <v>3.7</v>
      </c>
      <c r="H290" t="n">
        <v>0</v>
      </c>
      <c r="I290" t="n">
        <v>0</v>
      </c>
      <c r="J290" t="n">
        <v>0</v>
      </c>
      <c r="K290" t="n">
        <v>0</v>
      </c>
      <c r="L290" t="n">
        <v>0</v>
      </c>
      <c r="M290" t="n">
        <v>0</v>
      </c>
      <c r="N290" t="n">
        <v>0</v>
      </c>
      <c r="O290" t="n">
        <v>0</v>
      </c>
      <c r="P290" t="n">
        <v>0</v>
      </c>
      <c r="Q290" t="n">
        <v>0</v>
      </c>
      <c r="R290" s="2" t="inlineStr"/>
    </row>
    <row r="291" ht="15" customHeight="1">
      <c r="A291" t="inlineStr">
        <is>
          <t>A 20115-2024</t>
        </is>
      </c>
      <c r="B291" s="1" t="n">
        <v>45434</v>
      </c>
      <c r="C291" s="1" t="n">
        <v>46183</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55875-2024</t>
        </is>
      </c>
      <c r="B292" s="1" t="n">
        <v>45623.55375</v>
      </c>
      <c r="C292" s="1" t="n">
        <v>46183</v>
      </c>
      <c r="D292" t="inlineStr">
        <is>
          <t>ÖREBRO LÄN</t>
        </is>
      </c>
      <c r="E292" t="inlineStr">
        <is>
          <t>ÖREBRO</t>
        </is>
      </c>
      <c r="G292" t="n">
        <v>3.5</v>
      </c>
      <c r="H292" t="n">
        <v>0</v>
      </c>
      <c r="I292" t="n">
        <v>0</v>
      </c>
      <c r="J292" t="n">
        <v>0</v>
      </c>
      <c r="K292" t="n">
        <v>0</v>
      </c>
      <c r="L292" t="n">
        <v>0</v>
      </c>
      <c r="M292" t="n">
        <v>0</v>
      </c>
      <c r="N292" t="n">
        <v>0</v>
      </c>
      <c r="O292" t="n">
        <v>0</v>
      </c>
      <c r="P292" t="n">
        <v>0</v>
      </c>
      <c r="Q292" t="n">
        <v>0</v>
      </c>
      <c r="R292" s="2" t="inlineStr"/>
    </row>
    <row r="293" ht="15" customHeight="1">
      <c r="A293" t="inlineStr">
        <is>
          <t>A 23710-2022</t>
        </is>
      </c>
      <c r="B293" s="1" t="n">
        <v>44722</v>
      </c>
      <c r="C293" s="1" t="n">
        <v>46183</v>
      </c>
      <c r="D293" t="inlineStr">
        <is>
          <t>ÖREBRO LÄN</t>
        </is>
      </c>
      <c r="E293" t="inlineStr">
        <is>
          <t>ÖREBRO</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48687-2024</t>
        </is>
      </c>
      <c r="B294" s="1" t="n">
        <v>45593.49899305555</v>
      </c>
      <c r="C294" s="1" t="n">
        <v>46183</v>
      </c>
      <c r="D294" t="inlineStr">
        <is>
          <t>ÖREBRO LÄN</t>
        </is>
      </c>
      <c r="E294" t="inlineStr">
        <is>
          <t>ÖREBRO</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1014-2024</t>
        </is>
      </c>
      <c r="B295" s="1" t="n">
        <v>45301</v>
      </c>
      <c r="C295" s="1" t="n">
        <v>46183</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10470-2025</t>
        </is>
      </c>
      <c r="B296" s="1" t="n">
        <v>45720</v>
      </c>
      <c r="C296" s="1" t="n">
        <v>46183</v>
      </c>
      <c r="D296" t="inlineStr">
        <is>
          <t>ÖREBRO LÄN</t>
        </is>
      </c>
      <c r="E296" t="inlineStr">
        <is>
          <t>ÖREBRO</t>
        </is>
      </c>
      <c r="G296" t="n">
        <v>11.5</v>
      </c>
      <c r="H296" t="n">
        <v>0</v>
      </c>
      <c r="I296" t="n">
        <v>0</v>
      </c>
      <c r="J296" t="n">
        <v>0</v>
      </c>
      <c r="K296" t="n">
        <v>0</v>
      </c>
      <c r="L296" t="n">
        <v>0</v>
      </c>
      <c r="M296" t="n">
        <v>0</v>
      </c>
      <c r="N296" t="n">
        <v>0</v>
      </c>
      <c r="O296" t="n">
        <v>0</v>
      </c>
      <c r="P296" t="n">
        <v>0</v>
      </c>
      <c r="Q296" t="n">
        <v>0</v>
      </c>
      <c r="R296" s="2" t="inlineStr"/>
    </row>
    <row r="297" ht="15" customHeight="1">
      <c r="A297" t="inlineStr">
        <is>
          <t>A 13355-2023</t>
        </is>
      </c>
      <c r="B297" s="1" t="n">
        <v>45004</v>
      </c>
      <c r="C297" s="1" t="n">
        <v>46183</v>
      </c>
      <c r="D297" t="inlineStr">
        <is>
          <t>ÖREBRO LÄN</t>
        </is>
      </c>
      <c r="E297" t="inlineStr">
        <is>
          <t>ÖREBRO</t>
        </is>
      </c>
      <c r="G297" t="n">
        <v>2.3</v>
      </c>
      <c r="H297" t="n">
        <v>0</v>
      </c>
      <c r="I297" t="n">
        <v>0</v>
      </c>
      <c r="J297" t="n">
        <v>0</v>
      </c>
      <c r="K297" t="n">
        <v>0</v>
      </c>
      <c r="L297" t="n">
        <v>0</v>
      </c>
      <c r="M297" t="n">
        <v>0</v>
      </c>
      <c r="N297" t="n">
        <v>0</v>
      </c>
      <c r="O297" t="n">
        <v>0</v>
      </c>
      <c r="P297" t="n">
        <v>0</v>
      </c>
      <c r="Q297" t="n">
        <v>0</v>
      </c>
      <c r="R297" s="2" t="inlineStr"/>
    </row>
    <row r="298" ht="15" customHeight="1">
      <c r="A298" t="inlineStr">
        <is>
          <t>A 35062-2025</t>
        </is>
      </c>
      <c r="B298" s="1" t="n">
        <v>45852</v>
      </c>
      <c r="C298" s="1" t="n">
        <v>46183</v>
      </c>
      <c r="D298" t="inlineStr">
        <is>
          <t>ÖREBRO LÄN</t>
        </is>
      </c>
      <c r="E298" t="inlineStr">
        <is>
          <t>ÖREBRO</t>
        </is>
      </c>
      <c r="G298" t="n">
        <v>2.8</v>
      </c>
      <c r="H298" t="n">
        <v>0</v>
      </c>
      <c r="I298" t="n">
        <v>0</v>
      </c>
      <c r="J298" t="n">
        <v>0</v>
      </c>
      <c r="K298" t="n">
        <v>0</v>
      </c>
      <c r="L298" t="n">
        <v>0</v>
      </c>
      <c r="M298" t="n">
        <v>0</v>
      </c>
      <c r="N298" t="n">
        <v>0</v>
      </c>
      <c r="O298" t="n">
        <v>0</v>
      </c>
      <c r="P298" t="n">
        <v>0</v>
      </c>
      <c r="Q298" t="n">
        <v>0</v>
      </c>
      <c r="R298" s="2" t="inlineStr"/>
    </row>
    <row r="299" ht="15" customHeight="1">
      <c r="A299" t="inlineStr">
        <is>
          <t>A 6522-2023</t>
        </is>
      </c>
      <c r="B299" s="1" t="n">
        <v>44966</v>
      </c>
      <c r="C299" s="1" t="n">
        <v>46183</v>
      </c>
      <c r="D299" t="inlineStr">
        <is>
          <t>ÖREBRO LÄN</t>
        </is>
      </c>
      <c r="E299" t="inlineStr">
        <is>
          <t>ÖREBRO</t>
        </is>
      </c>
      <c r="G299" t="n">
        <v>4.4</v>
      </c>
      <c r="H299" t="n">
        <v>0</v>
      </c>
      <c r="I299" t="n">
        <v>0</v>
      </c>
      <c r="J299" t="n">
        <v>0</v>
      </c>
      <c r="K299" t="n">
        <v>0</v>
      </c>
      <c r="L299" t="n">
        <v>0</v>
      </c>
      <c r="M299" t="n">
        <v>0</v>
      </c>
      <c r="N299" t="n">
        <v>0</v>
      </c>
      <c r="O299" t="n">
        <v>0</v>
      </c>
      <c r="P299" t="n">
        <v>0</v>
      </c>
      <c r="Q299" t="n">
        <v>0</v>
      </c>
      <c r="R299" s="2" t="inlineStr"/>
    </row>
    <row r="300" ht="15" customHeight="1">
      <c r="A300" t="inlineStr">
        <is>
          <t>A 56040-2024</t>
        </is>
      </c>
      <c r="B300" s="1" t="n">
        <v>45624.3344212963</v>
      </c>
      <c r="C300" s="1" t="n">
        <v>46183</v>
      </c>
      <c r="D300" t="inlineStr">
        <is>
          <t>ÖREBRO LÄN</t>
        </is>
      </c>
      <c r="E300" t="inlineStr">
        <is>
          <t>ÖREBRO</t>
        </is>
      </c>
      <c r="G300" t="n">
        <v>1.2</v>
      </c>
      <c r="H300" t="n">
        <v>0</v>
      </c>
      <c r="I300" t="n">
        <v>0</v>
      </c>
      <c r="J300" t="n">
        <v>0</v>
      </c>
      <c r="K300" t="n">
        <v>0</v>
      </c>
      <c r="L300" t="n">
        <v>0</v>
      </c>
      <c r="M300" t="n">
        <v>0</v>
      </c>
      <c r="N300" t="n">
        <v>0</v>
      </c>
      <c r="O300" t="n">
        <v>0</v>
      </c>
      <c r="P300" t="n">
        <v>0</v>
      </c>
      <c r="Q300" t="n">
        <v>0</v>
      </c>
      <c r="R300" s="2" t="inlineStr"/>
    </row>
    <row r="301" ht="15" customHeight="1">
      <c r="A301" t="inlineStr">
        <is>
          <t>A 52444-2024</t>
        </is>
      </c>
      <c r="B301" s="1" t="n">
        <v>45609.48894675926</v>
      </c>
      <c r="C301" s="1" t="n">
        <v>46183</v>
      </c>
      <c r="D301" t="inlineStr">
        <is>
          <t>ÖREBRO LÄN</t>
        </is>
      </c>
      <c r="E301" t="inlineStr">
        <is>
          <t>ÖREBRO</t>
        </is>
      </c>
      <c r="G301" t="n">
        <v>1.7</v>
      </c>
      <c r="H301" t="n">
        <v>0</v>
      </c>
      <c r="I301" t="n">
        <v>0</v>
      </c>
      <c r="J301" t="n">
        <v>0</v>
      </c>
      <c r="K301" t="n">
        <v>0</v>
      </c>
      <c r="L301" t="n">
        <v>0</v>
      </c>
      <c r="M301" t="n">
        <v>0</v>
      </c>
      <c r="N301" t="n">
        <v>0</v>
      </c>
      <c r="O301" t="n">
        <v>0</v>
      </c>
      <c r="P301" t="n">
        <v>0</v>
      </c>
      <c r="Q301" t="n">
        <v>0</v>
      </c>
      <c r="R301" s="2" t="inlineStr"/>
    </row>
    <row r="302" ht="15" customHeight="1">
      <c r="A302" t="inlineStr">
        <is>
          <t>A 767-2024</t>
        </is>
      </c>
      <c r="B302" s="1" t="n">
        <v>45300.51892361111</v>
      </c>
      <c r="C302" s="1" t="n">
        <v>46183</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60128-2023</t>
        </is>
      </c>
      <c r="B303" s="1" t="n">
        <v>45258</v>
      </c>
      <c r="C303" s="1" t="n">
        <v>46183</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35637-2025</t>
        </is>
      </c>
      <c r="B304" s="1" t="n">
        <v>45859.46859953704</v>
      </c>
      <c r="C304" s="1" t="n">
        <v>46183</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35928-2025</t>
        </is>
      </c>
      <c r="B305" s="1" t="n">
        <v>45862</v>
      </c>
      <c r="C305" s="1" t="n">
        <v>46183</v>
      </c>
      <c r="D305" t="inlineStr">
        <is>
          <t>ÖREBRO LÄN</t>
        </is>
      </c>
      <c r="E305" t="inlineStr">
        <is>
          <t>ÖREBRO</t>
        </is>
      </c>
      <c r="G305" t="n">
        <v>4.4</v>
      </c>
      <c r="H305" t="n">
        <v>0</v>
      </c>
      <c r="I305" t="n">
        <v>0</v>
      </c>
      <c r="J305" t="n">
        <v>0</v>
      </c>
      <c r="K305" t="n">
        <v>0</v>
      </c>
      <c r="L305" t="n">
        <v>0</v>
      </c>
      <c r="M305" t="n">
        <v>0</v>
      </c>
      <c r="N305" t="n">
        <v>0</v>
      </c>
      <c r="O305" t="n">
        <v>0</v>
      </c>
      <c r="P305" t="n">
        <v>0</v>
      </c>
      <c r="Q305" t="n">
        <v>0</v>
      </c>
      <c r="R305" s="2" t="inlineStr"/>
    </row>
    <row r="306" ht="15" customHeight="1">
      <c r="A306" t="inlineStr">
        <is>
          <t>A 55453-2024</t>
        </is>
      </c>
      <c r="B306" s="1" t="n">
        <v>45622.42097222222</v>
      </c>
      <c r="C306" s="1" t="n">
        <v>46183</v>
      </c>
      <c r="D306" t="inlineStr">
        <is>
          <t>ÖREBRO LÄN</t>
        </is>
      </c>
      <c r="E306" t="inlineStr">
        <is>
          <t>ÖREBRO</t>
        </is>
      </c>
      <c r="G306" t="n">
        <v>8.5</v>
      </c>
      <c r="H306" t="n">
        <v>0</v>
      </c>
      <c r="I306" t="n">
        <v>0</v>
      </c>
      <c r="J306" t="n">
        <v>0</v>
      </c>
      <c r="K306" t="n">
        <v>0</v>
      </c>
      <c r="L306" t="n">
        <v>0</v>
      </c>
      <c r="M306" t="n">
        <v>0</v>
      </c>
      <c r="N306" t="n">
        <v>0</v>
      </c>
      <c r="O306" t="n">
        <v>0</v>
      </c>
      <c r="P306" t="n">
        <v>0</v>
      </c>
      <c r="Q306" t="n">
        <v>0</v>
      </c>
      <c r="R306" s="2" t="inlineStr"/>
    </row>
    <row r="307" ht="15" customHeight="1">
      <c r="A307" t="inlineStr">
        <is>
          <t>A 32025-2024</t>
        </is>
      </c>
      <c r="B307" s="1" t="n">
        <v>45510.65754629629</v>
      </c>
      <c r="C307" s="1" t="n">
        <v>46183</v>
      </c>
      <c r="D307" t="inlineStr">
        <is>
          <t>ÖREBRO LÄN</t>
        </is>
      </c>
      <c r="E307" t="inlineStr">
        <is>
          <t>ÖREBRO</t>
        </is>
      </c>
      <c r="G307" t="n">
        <v>4</v>
      </c>
      <c r="H307" t="n">
        <v>0</v>
      </c>
      <c r="I307" t="n">
        <v>0</v>
      </c>
      <c r="J307" t="n">
        <v>0</v>
      </c>
      <c r="K307" t="n">
        <v>0</v>
      </c>
      <c r="L307" t="n">
        <v>0</v>
      </c>
      <c r="M307" t="n">
        <v>0</v>
      </c>
      <c r="N307" t="n">
        <v>0</v>
      </c>
      <c r="O307" t="n">
        <v>0</v>
      </c>
      <c r="P307" t="n">
        <v>0</v>
      </c>
      <c r="Q307" t="n">
        <v>0</v>
      </c>
      <c r="R307" s="2" t="inlineStr"/>
    </row>
    <row r="308" ht="15" customHeight="1">
      <c r="A308" t="inlineStr">
        <is>
          <t>A 16140-2023</t>
        </is>
      </c>
      <c r="B308" s="1" t="n">
        <v>45027.6433912037</v>
      </c>
      <c r="C308" s="1" t="n">
        <v>46183</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46183</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53234-2023</t>
        </is>
      </c>
      <c r="B310" s="1" t="n">
        <v>45229</v>
      </c>
      <c r="C310" s="1" t="n">
        <v>46183</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36448-2025</t>
        </is>
      </c>
      <c r="B311" s="1" t="n">
        <v>45869.41929398148</v>
      </c>
      <c r="C311" s="1" t="n">
        <v>46183</v>
      </c>
      <c r="D311" t="inlineStr">
        <is>
          <t>ÖREBRO LÄN</t>
        </is>
      </c>
      <c r="E311" t="inlineStr">
        <is>
          <t>ÖREBRO</t>
        </is>
      </c>
      <c r="F311" t="inlineStr">
        <is>
          <t>Övriga Aktiebolag</t>
        </is>
      </c>
      <c r="G311" t="n">
        <v>4.3</v>
      </c>
      <c r="H311" t="n">
        <v>0</v>
      </c>
      <c r="I311" t="n">
        <v>0</v>
      </c>
      <c r="J311" t="n">
        <v>0</v>
      </c>
      <c r="K311" t="n">
        <v>0</v>
      </c>
      <c r="L311" t="n">
        <v>0</v>
      </c>
      <c r="M311" t="n">
        <v>0</v>
      </c>
      <c r="N311" t="n">
        <v>0</v>
      </c>
      <c r="O311" t="n">
        <v>0</v>
      </c>
      <c r="P311" t="n">
        <v>0</v>
      </c>
      <c r="Q311" t="n">
        <v>0</v>
      </c>
      <c r="R311" s="2" t="inlineStr"/>
    </row>
    <row r="312" ht="15" customHeight="1">
      <c r="A312" t="inlineStr">
        <is>
          <t>A 28054-2022</t>
        </is>
      </c>
      <c r="B312" s="1" t="n">
        <v>44746.41938657407</v>
      </c>
      <c r="C312" s="1" t="n">
        <v>46183</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1647-2024</t>
        </is>
      </c>
      <c r="B313" s="1" t="n">
        <v>45306</v>
      </c>
      <c r="C313" s="1" t="n">
        <v>46183</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57485-2023</t>
        </is>
      </c>
      <c r="B314" s="1" t="n">
        <v>45246</v>
      </c>
      <c r="C314" s="1" t="n">
        <v>46183</v>
      </c>
      <c r="D314" t="inlineStr">
        <is>
          <t>ÖREBRO LÄN</t>
        </is>
      </c>
      <c r="E314" t="inlineStr">
        <is>
          <t>ÖREBRO</t>
        </is>
      </c>
      <c r="G314" t="n">
        <v>0.9</v>
      </c>
      <c r="H314" t="n">
        <v>0</v>
      </c>
      <c r="I314" t="n">
        <v>0</v>
      </c>
      <c r="J314" t="n">
        <v>0</v>
      </c>
      <c r="K314" t="n">
        <v>0</v>
      </c>
      <c r="L314" t="n">
        <v>0</v>
      </c>
      <c r="M314" t="n">
        <v>0</v>
      </c>
      <c r="N314" t="n">
        <v>0</v>
      </c>
      <c r="O314" t="n">
        <v>0</v>
      </c>
      <c r="P314" t="n">
        <v>0</v>
      </c>
      <c r="Q314" t="n">
        <v>0</v>
      </c>
      <c r="R314" s="2" t="inlineStr"/>
    </row>
    <row r="315" ht="15" customHeight="1">
      <c r="A315" t="inlineStr">
        <is>
          <t>A 58032-2023</t>
        </is>
      </c>
      <c r="B315" s="1" t="n">
        <v>45247</v>
      </c>
      <c r="C315" s="1" t="n">
        <v>46183</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58035-2023</t>
        </is>
      </c>
      <c r="B316" s="1" t="n">
        <v>45247</v>
      </c>
      <c r="C316" s="1" t="n">
        <v>46183</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6752-2022</t>
        </is>
      </c>
      <c r="B317" s="1" t="n">
        <v>44602.48082175926</v>
      </c>
      <c r="C317" s="1" t="n">
        <v>46183</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35829-2024</t>
        </is>
      </c>
      <c r="B318" s="1" t="n">
        <v>45532</v>
      </c>
      <c r="C318" s="1" t="n">
        <v>46183</v>
      </c>
      <c r="D318" t="inlineStr">
        <is>
          <t>ÖREBRO LÄN</t>
        </is>
      </c>
      <c r="E318" t="inlineStr">
        <is>
          <t>ÖREBRO</t>
        </is>
      </c>
      <c r="G318" t="n">
        <v>4.6</v>
      </c>
      <c r="H318" t="n">
        <v>0</v>
      </c>
      <c r="I318" t="n">
        <v>0</v>
      </c>
      <c r="J318" t="n">
        <v>0</v>
      </c>
      <c r="K318" t="n">
        <v>0</v>
      </c>
      <c r="L318" t="n">
        <v>0</v>
      </c>
      <c r="M318" t="n">
        <v>0</v>
      </c>
      <c r="N318" t="n">
        <v>0</v>
      </c>
      <c r="O318" t="n">
        <v>0</v>
      </c>
      <c r="P318" t="n">
        <v>0</v>
      </c>
      <c r="Q318" t="n">
        <v>0</v>
      </c>
      <c r="R318" s="2" t="inlineStr"/>
    </row>
    <row r="319" ht="15" customHeight="1">
      <c r="A319" t="inlineStr">
        <is>
          <t>A 34056-2023</t>
        </is>
      </c>
      <c r="B319" s="1" t="n">
        <v>45135</v>
      </c>
      <c r="C319" s="1" t="n">
        <v>46183</v>
      </c>
      <c r="D319" t="inlineStr">
        <is>
          <t>ÖREBRO LÄN</t>
        </is>
      </c>
      <c r="E319" t="inlineStr">
        <is>
          <t>ÖREBRO</t>
        </is>
      </c>
      <c r="F319" t="inlineStr">
        <is>
          <t>Övriga Aktiebolag</t>
        </is>
      </c>
      <c r="G319" t="n">
        <v>4.1</v>
      </c>
      <c r="H319" t="n">
        <v>0</v>
      </c>
      <c r="I319" t="n">
        <v>0</v>
      </c>
      <c r="J319" t="n">
        <v>0</v>
      </c>
      <c r="K319" t="n">
        <v>0</v>
      </c>
      <c r="L319" t="n">
        <v>0</v>
      </c>
      <c r="M319" t="n">
        <v>0</v>
      </c>
      <c r="N319" t="n">
        <v>0</v>
      </c>
      <c r="O319" t="n">
        <v>0</v>
      </c>
      <c r="P319" t="n">
        <v>0</v>
      </c>
      <c r="Q319" t="n">
        <v>0</v>
      </c>
      <c r="R319" s="2" t="inlineStr"/>
    </row>
    <row r="320" ht="15" customHeight="1">
      <c r="A320" t="inlineStr">
        <is>
          <t>A 33457-2023</t>
        </is>
      </c>
      <c r="B320" s="1" t="n">
        <v>45131</v>
      </c>
      <c r="C320" s="1" t="n">
        <v>46183</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45237-2023</t>
        </is>
      </c>
      <c r="B321" s="1" t="n">
        <v>45191</v>
      </c>
      <c r="C321" s="1" t="n">
        <v>46183</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29554-2025</t>
        </is>
      </c>
      <c r="B322" s="1" t="n">
        <v>45825</v>
      </c>
      <c r="C322" s="1" t="n">
        <v>46183</v>
      </c>
      <c r="D322" t="inlineStr">
        <is>
          <t>ÖREBRO LÄN</t>
        </is>
      </c>
      <c r="E322" t="inlineStr">
        <is>
          <t>ÖREBRO</t>
        </is>
      </c>
      <c r="F322" t="inlineStr">
        <is>
          <t>Övriga Aktiebolag</t>
        </is>
      </c>
      <c r="G322" t="n">
        <v>1</v>
      </c>
      <c r="H322" t="n">
        <v>0</v>
      </c>
      <c r="I322" t="n">
        <v>0</v>
      </c>
      <c r="J322" t="n">
        <v>0</v>
      </c>
      <c r="K322" t="n">
        <v>0</v>
      </c>
      <c r="L322" t="n">
        <v>0</v>
      </c>
      <c r="M322" t="n">
        <v>0</v>
      </c>
      <c r="N322" t="n">
        <v>0</v>
      </c>
      <c r="O322" t="n">
        <v>0</v>
      </c>
      <c r="P322" t="n">
        <v>0</v>
      </c>
      <c r="Q322" t="n">
        <v>0</v>
      </c>
      <c r="R322" s="2" t="inlineStr"/>
    </row>
    <row r="323" ht="15" customHeight="1">
      <c r="A323" t="inlineStr">
        <is>
          <t>A 51180-2023</t>
        </is>
      </c>
      <c r="B323" s="1" t="n">
        <v>45219</v>
      </c>
      <c r="C323" s="1" t="n">
        <v>46183</v>
      </c>
      <c r="D323" t="inlineStr">
        <is>
          <t>ÖREBRO LÄN</t>
        </is>
      </c>
      <c r="E323" t="inlineStr">
        <is>
          <t>ÖREBRO</t>
        </is>
      </c>
      <c r="G323" t="n">
        <v>6.5</v>
      </c>
      <c r="H323" t="n">
        <v>0</v>
      </c>
      <c r="I323" t="n">
        <v>0</v>
      </c>
      <c r="J323" t="n">
        <v>0</v>
      </c>
      <c r="K323" t="n">
        <v>0</v>
      </c>
      <c r="L323" t="n">
        <v>0</v>
      </c>
      <c r="M323" t="n">
        <v>0</v>
      </c>
      <c r="N323" t="n">
        <v>0</v>
      </c>
      <c r="O323" t="n">
        <v>0</v>
      </c>
      <c r="P323" t="n">
        <v>0</v>
      </c>
      <c r="Q323" t="n">
        <v>0</v>
      </c>
      <c r="R323" s="2" t="inlineStr"/>
    </row>
    <row r="324" ht="15" customHeight="1">
      <c r="A324" t="inlineStr">
        <is>
          <t>A 33294-2023</t>
        </is>
      </c>
      <c r="B324" s="1" t="n">
        <v>45127</v>
      </c>
      <c r="C324" s="1" t="n">
        <v>46183</v>
      </c>
      <c r="D324" t="inlineStr">
        <is>
          <t>ÖREBRO LÄN</t>
        </is>
      </c>
      <c r="E324" t="inlineStr">
        <is>
          <t>ÖREBRO</t>
        </is>
      </c>
      <c r="F324" t="inlineStr">
        <is>
          <t>Övriga Aktiebolag</t>
        </is>
      </c>
      <c r="G324" t="n">
        <v>6.7</v>
      </c>
      <c r="H324" t="n">
        <v>0</v>
      </c>
      <c r="I324" t="n">
        <v>0</v>
      </c>
      <c r="J324" t="n">
        <v>0</v>
      </c>
      <c r="K324" t="n">
        <v>0</v>
      </c>
      <c r="L324" t="n">
        <v>0</v>
      </c>
      <c r="M324" t="n">
        <v>0</v>
      </c>
      <c r="N324" t="n">
        <v>0</v>
      </c>
      <c r="O324" t="n">
        <v>0</v>
      </c>
      <c r="P324" t="n">
        <v>0</v>
      </c>
      <c r="Q324" t="n">
        <v>0</v>
      </c>
      <c r="R324" s="2" t="inlineStr"/>
    </row>
    <row r="325" ht="15" customHeight="1">
      <c r="A325" t="inlineStr">
        <is>
          <t>A 14717-2024</t>
        </is>
      </c>
      <c r="B325" s="1" t="n">
        <v>45397.55104166667</v>
      </c>
      <c r="C325" s="1" t="n">
        <v>46183</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13857-2022</t>
        </is>
      </c>
      <c r="B326" s="1" t="n">
        <v>44649</v>
      </c>
      <c r="C326" s="1" t="n">
        <v>46183</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61078-2024</t>
        </is>
      </c>
      <c r="B327" s="1" t="n">
        <v>45645.51034722223</v>
      </c>
      <c r="C327" s="1" t="n">
        <v>46183</v>
      </c>
      <c r="D327" t="inlineStr">
        <is>
          <t>ÖREBRO LÄN</t>
        </is>
      </c>
      <c r="E327" t="inlineStr">
        <is>
          <t>ÖREBRO</t>
        </is>
      </c>
      <c r="G327" t="n">
        <v>4.1</v>
      </c>
      <c r="H327" t="n">
        <v>0</v>
      </c>
      <c r="I327" t="n">
        <v>0</v>
      </c>
      <c r="J327" t="n">
        <v>0</v>
      </c>
      <c r="K327" t="n">
        <v>0</v>
      </c>
      <c r="L327" t="n">
        <v>0</v>
      </c>
      <c r="M327" t="n">
        <v>0</v>
      </c>
      <c r="N327" t="n">
        <v>0</v>
      </c>
      <c r="O327" t="n">
        <v>0</v>
      </c>
      <c r="P327" t="n">
        <v>0</v>
      </c>
      <c r="Q327" t="n">
        <v>0</v>
      </c>
      <c r="R327" s="2" t="inlineStr"/>
    </row>
    <row r="328" ht="15" customHeight="1">
      <c r="A328" t="inlineStr">
        <is>
          <t>A 13158-2024</t>
        </is>
      </c>
      <c r="B328" s="1" t="n">
        <v>45386.38728009259</v>
      </c>
      <c r="C328" s="1" t="n">
        <v>46183</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13181-2023</t>
        </is>
      </c>
      <c r="B329" s="1" t="n">
        <v>45002.60659722222</v>
      </c>
      <c r="C329" s="1" t="n">
        <v>46183</v>
      </c>
      <c r="D329" t="inlineStr">
        <is>
          <t>ÖREBRO LÄN</t>
        </is>
      </c>
      <c r="E329" t="inlineStr">
        <is>
          <t>ÖREBRO</t>
        </is>
      </c>
      <c r="G329" t="n">
        <v>1.2</v>
      </c>
      <c r="H329" t="n">
        <v>0</v>
      </c>
      <c r="I329" t="n">
        <v>0</v>
      </c>
      <c r="J329" t="n">
        <v>0</v>
      </c>
      <c r="K329" t="n">
        <v>0</v>
      </c>
      <c r="L329" t="n">
        <v>0</v>
      </c>
      <c r="M329" t="n">
        <v>0</v>
      </c>
      <c r="N329" t="n">
        <v>0</v>
      </c>
      <c r="O329" t="n">
        <v>0</v>
      </c>
      <c r="P329" t="n">
        <v>0</v>
      </c>
      <c r="Q329" t="n">
        <v>0</v>
      </c>
      <c r="R329" s="2" t="inlineStr"/>
    </row>
    <row r="330" ht="15" customHeight="1">
      <c r="A330" t="inlineStr">
        <is>
          <t>A 25996-2024</t>
        </is>
      </c>
      <c r="B330" s="1" t="n">
        <v>45467.89081018518</v>
      </c>
      <c r="C330" s="1" t="n">
        <v>46183</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16676-2025</t>
        </is>
      </c>
      <c r="B331" s="1" t="n">
        <v>45754.44658564815</v>
      </c>
      <c r="C331" s="1" t="n">
        <v>46183</v>
      </c>
      <c r="D331" t="inlineStr">
        <is>
          <t>ÖREBRO LÄN</t>
        </is>
      </c>
      <c r="E331" t="inlineStr">
        <is>
          <t>ÖREBRO</t>
        </is>
      </c>
      <c r="G331" t="n">
        <v>5.8</v>
      </c>
      <c r="H331" t="n">
        <v>0</v>
      </c>
      <c r="I331" t="n">
        <v>0</v>
      </c>
      <c r="J331" t="n">
        <v>0</v>
      </c>
      <c r="K331" t="n">
        <v>0</v>
      </c>
      <c r="L331" t="n">
        <v>0</v>
      </c>
      <c r="M331" t="n">
        <v>0</v>
      </c>
      <c r="N331" t="n">
        <v>0</v>
      </c>
      <c r="O331" t="n">
        <v>0</v>
      </c>
      <c r="P331" t="n">
        <v>0</v>
      </c>
      <c r="Q331" t="n">
        <v>0</v>
      </c>
      <c r="R331" s="2" t="inlineStr"/>
    </row>
    <row r="332" ht="15" customHeight="1">
      <c r="A332" t="inlineStr">
        <is>
          <t>A 54485-2025</t>
        </is>
      </c>
      <c r="B332" s="1" t="n">
        <v>45965.59295138889</v>
      </c>
      <c r="C332" s="1" t="n">
        <v>46183</v>
      </c>
      <c r="D332" t="inlineStr">
        <is>
          <t>ÖREBRO LÄN</t>
        </is>
      </c>
      <c r="E332" t="inlineStr">
        <is>
          <t>ÖREBRO</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23741-2022</t>
        </is>
      </c>
      <c r="B333" s="1" t="n">
        <v>44722</v>
      </c>
      <c r="C333" s="1" t="n">
        <v>46183</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8274-2025</t>
        </is>
      </c>
      <c r="B334" s="1" t="n">
        <v>45708</v>
      </c>
      <c r="C334" s="1" t="n">
        <v>46183</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58620-2024</t>
        </is>
      </c>
      <c r="B335" s="1" t="n">
        <v>45635.56246527778</v>
      </c>
      <c r="C335" s="1" t="n">
        <v>46183</v>
      </c>
      <c r="D335" t="inlineStr">
        <is>
          <t>ÖREBRO LÄN</t>
        </is>
      </c>
      <c r="E335" t="inlineStr">
        <is>
          <t>ÖREBRO</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38583-2023</t>
        </is>
      </c>
      <c r="B336" s="1" t="n">
        <v>45162.62861111111</v>
      </c>
      <c r="C336" s="1" t="n">
        <v>46183</v>
      </c>
      <c r="D336" t="inlineStr">
        <is>
          <t>ÖREBRO LÄN</t>
        </is>
      </c>
      <c r="E336" t="inlineStr">
        <is>
          <t>ÖREBRO</t>
        </is>
      </c>
      <c r="G336" t="n">
        <v>5.7</v>
      </c>
      <c r="H336" t="n">
        <v>0</v>
      </c>
      <c r="I336" t="n">
        <v>0</v>
      </c>
      <c r="J336" t="n">
        <v>0</v>
      </c>
      <c r="K336" t="n">
        <v>0</v>
      </c>
      <c r="L336" t="n">
        <v>0</v>
      </c>
      <c r="M336" t="n">
        <v>0</v>
      </c>
      <c r="N336" t="n">
        <v>0</v>
      </c>
      <c r="O336" t="n">
        <v>0</v>
      </c>
      <c r="P336" t="n">
        <v>0</v>
      </c>
      <c r="Q336" t="n">
        <v>0</v>
      </c>
      <c r="R336" s="2" t="inlineStr"/>
    </row>
    <row r="337" ht="15" customHeight="1">
      <c r="A337" t="inlineStr">
        <is>
          <t>A 5133-2024</t>
        </is>
      </c>
      <c r="B337" s="1" t="n">
        <v>45330</v>
      </c>
      <c r="C337" s="1" t="n">
        <v>46183</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37021-2024</t>
        </is>
      </c>
      <c r="B338" s="1" t="n">
        <v>45539.38146990741</v>
      </c>
      <c r="C338" s="1" t="n">
        <v>46183</v>
      </c>
      <c r="D338" t="inlineStr">
        <is>
          <t>ÖREBRO LÄN</t>
        </is>
      </c>
      <c r="E338" t="inlineStr">
        <is>
          <t>ÖREBRO</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21338-2025</t>
        </is>
      </c>
      <c r="B339" s="1" t="n">
        <v>45780</v>
      </c>
      <c r="C339" s="1" t="n">
        <v>46183</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59024-2024</t>
        </is>
      </c>
      <c r="B340" s="1" t="n">
        <v>45636.68505787037</v>
      </c>
      <c r="C340" s="1" t="n">
        <v>46183</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31066-2025</t>
        </is>
      </c>
      <c r="B341" s="1" t="n">
        <v>45832</v>
      </c>
      <c r="C341" s="1" t="n">
        <v>46183</v>
      </c>
      <c r="D341" t="inlineStr">
        <is>
          <t>ÖREBRO LÄN</t>
        </is>
      </c>
      <c r="E341" t="inlineStr">
        <is>
          <t>ÖREBRO</t>
        </is>
      </c>
      <c r="G341" t="n">
        <v>11.1</v>
      </c>
      <c r="H341" t="n">
        <v>0</v>
      </c>
      <c r="I341" t="n">
        <v>0</v>
      </c>
      <c r="J341" t="n">
        <v>0</v>
      </c>
      <c r="K341" t="n">
        <v>0</v>
      </c>
      <c r="L341" t="n">
        <v>0</v>
      </c>
      <c r="M341" t="n">
        <v>0</v>
      </c>
      <c r="N341" t="n">
        <v>0</v>
      </c>
      <c r="O341" t="n">
        <v>0</v>
      </c>
      <c r="P341" t="n">
        <v>0</v>
      </c>
      <c r="Q341" t="n">
        <v>0</v>
      </c>
      <c r="R341" s="2" t="inlineStr"/>
    </row>
    <row r="342" ht="15" customHeight="1">
      <c r="A342" t="inlineStr">
        <is>
          <t>A 14432-2023</t>
        </is>
      </c>
      <c r="B342" s="1" t="n">
        <v>45012</v>
      </c>
      <c r="C342" s="1" t="n">
        <v>46183</v>
      </c>
      <c r="D342" t="inlineStr">
        <is>
          <t>ÖREBRO LÄN</t>
        </is>
      </c>
      <c r="E342" t="inlineStr">
        <is>
          <t>ÖREBRO</t>
        </is>
      </c>
      <c r="G342" t="n">
        <v>3.3</v>
      </c>
      <c r="H342" t="n">
        <v>0</v>
      </c>
      <c r="I342" t="n">
        <v>0</v>
      </c>
      <c r="J342" t="n">
        <v>0</v>
      </c>
      <c r="K342" t="n">
        <v>0</v>
      </c>
      <c r="L342" t="n">
        <v>0</v>
      </c>
      <c r="M342" t="n">
        <v>0</v>
      </c>
      <c r="N342" t="n">
        <v>0</v>
      </c>
      <c r="O342" t="n">
        <v>0</v>
      </c>
      <c r="P342" t="n">
        <v>0</v>
      </c>
      <c r="Q342" t="n">
        <v>0</v>
      </c>
      <c r="R342" s="2" t="inlineStr"/>
    </row>
    <row r="343" ht="15" customHeight="1">
      <c r="A343" t="inlineStr">
        <is>
          <t>A 10339-2023</t>
        </is>
      </c>
      <c r="B343" s="1" t="n">
        <v>44987</v>
      </c>
      <c r="C343" s="1" t="n">
        <v>46183</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190-2024</t>
        </is>
      </c>
      <c r="B344" s="1" t="n">
        <v>45294.61858796296</v>
      </c>
      <c r="C344" s="1" t="n">
        <v>46183</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26140-2026</t>
        </is>
      </c>
      <c r="B345" s="1" t="n">
        <v>46181.71399305556</v>
      </c>
      <c r="C345" s="1" t="n">
        <v>46183</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51248-2025</t>
        </is>
      </c>
      <c r="B346" s="1" t="n">
        <v>45948.450625</v>
      </c>
      <c r="C346" s="1" t="n">
        <v>46183</v>
      </c>
      <c r="D346" t="inlineStr">
        <is>
          <t>ÖREBRO LÄN</t>
        </is>
      </c>
      <c r="E346" t="inlineStr">
        <is>
          <t>ÖREBRO</t>
        </is>
      </c>
      <c r="G346" t="n">
        <v>4.4</v>
      </c>
      <c r="H346" t="n">
        <v>0</v>
      </c>
      <c r="I346" t="n">
        <v>0</v>
      </c>
      <c r="J346" t="n">
        <v>0</v>
      </c>
      <c r="K346" t="n">
        <v>0</v>
      </c>
      <c r="L346" t="n">
        <v>0</v>
      </c>
      <c r="M346" t="n">
        <v>0</v>
      </c>
      <c r="N346" t="n">
        <v>0</v>
      </c>
      <c r="O346" t="n">
        <v>0</v>
      </c>
      <c r="P346" t="n">
        <v>0</v>
      </c>
      <c r="Q346" t="n">
        <v>0</v>
      </c>
      <c r="R346" s="2" t="inlineStr"/>
    </row>
    <row r="347" ht="15" customHeight="1">
      <c r="A347" t="inlineStr">
        <is>
          <t>A 28821-2025</t>
        </is>
      </c>
      <c r="B347" s="1" t="n">
        <v>45820</v>
      </c>
      <c r="C347" s="1" t="n">
        <v>46183</v>
      </c>
      <c r="D347" t="inlineStr">
        <is>
          <t>ÖREBRO LÄN</t>
        </is>
      </c>
      <c r="E347" t="inlineStr">
        <is>
          <t>ÖREBRO</t>
        </is>
      </c>
      <c r="G347" t="n">
        <v>12.6</v>
      </c>
      <c r="H347" t="n">
        <v>0</v>
      </c>
      <c r="I347" t="n">
        <v>0</v>
      </c>
      <c r="J347" t="n">
        <v>0</v>
      </c>
      <c r="K347" t="n">
        <v>0</v>
      </c>
      <c r="L347" t="n">
        <v>0</v>
      </c>
      <c r="M347" t="n">
        <v>0</v>
      </c>
      <c r="N347" t="n">
        <v>0</v>
      </c>
      <c r="O347" t="n">
        <v>0</v>
      </c>
      <c r="P347" t="n">
        <v>0</v>
      </c>
      <c r="Q347" t="n">
        <v>0</v>
      </c>
      <c r="R347" s="2" t="inlineStr"/>
    </row>
    <row r="348" ht="15" customHeight="1">
      <c r="A348" t="inlineStr">
        <is>
          <t>A 57867-2024</t>
        </is>
      </c>
      <c r="B348" s="1" t="n">
        <v>45631.43864583333</v>
      </c>
      <c r="C348" s="1" t="n">
        <v>46183</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29138-2022</t>
        </is>
      </c>
      <c r="B349" s="1" t="n">
        <v>44750</v>
      </c>
      <c r="C349" s="1" t="n">
        <v>46183</v>
      </c>
      <c r="D349" t="inlineStr">
        <is>
          <t>ÖREBRO LÄN</t>
        </is>
      </c>
      <c r="E349" t="inlineStr">
        <is>
          <t>ÖREBRO</t>
        </is>
      </c>
      <c r="G349" t="n">
        <v>3.3</v>
      </c>
      <c r="H349" t="n">
        <v>0</v>
      </c>
      <c r="I349" t="n">
        <v>0</v>
      </c>
      <c r="J349" t="n">
        <v>0</v>
      </c>
      <c r="K349" t="n">
        <v>0</v>
      </c>
      <c r="L349" t="n">
        <v>0</v>
      </c>
      <c r="M349" t="n">
        <v>0</v>
      </c>
      <c r="N349" t="n">
        <v>0</v>
      </c>
      <c r="O349" t="n">
        <v>0</v>
      </c>
      <c r="P349" t="n">
        <v>0</v>
      </c>
      <c r="Q349" t="n">
        <v>0</v>
      </c>
      <c r="R349" s="2" t="inlineStr"/>
    </row>
    <row r="350" ht="15" customHeight="1">
      <c r="A350" t="inlineStr">
        <is>
          <t>A 29143-2022</t>
        </is>
      </c>
      <c r="B350" s="1" t="n">
        <v>44750</v>
      </c>
      <c r="C350" s="1" t="n">
        <v>46183</v>
      </c>
      <c r="D350" t="inlineStr">
        <is>
          <t>ÖREBRO LÄN</t>
        </is>
      </c>
      <c r="E350" t="inlineStr">
        <is>
          <t>ÖREBRO</t>
        </is>
      </c>
      <c r="G350" t="n">
        <v>5.6</v>
      </c>
      <c r="H350" t="n">
        <v>0</v>
      </c>
      <c r="I350" t="n">
        <v>0</v>
      </c>
      <c r="J350" t="n">
        <v>0</v>
      </c>
      <c r="K350" t="n">
        <v>0</v>
      </c>
      <c r="L350" t="n">
        <v>0</v>
      </c>
      <c r="M350" t="n">
        <v>0</v>
      </c>
      <c r="N350" t="n">
        <v>0</v>
      </c>
      <c r="O350" t="n">
        <v>0</v>
      </c>
      <c r="P350" t="n">
        <v>0</v>
      </c>
      <c r="Q350" t="n">
        <v>0</v>
      </c>
      <c r="R350" s="2" t="inlineStr"/>
    </row>
    <row r="351" ht="15" customHeight="1">
      <c r="A351" t="inlineStr">
        <is>
          <t>A 10972-2026</t>
        </is>
      </c>
      <c r="B351" s="1" t="n">
        <v>46079.45015046297</v>
      </c>
      <c r="C351" s="1" t="n">
        <v>46183</v>
      </c>
      <c r="D351" t="inlineStr">
        <is>
          <t>ÖREBRO LÄN</t>
        </is>
      </c>
      <c r="E351" t="inlineStr">
        <is>
          <t>ÖREBRO</t>
        </is>
      </c>
      <c r="G351" t="n">
        <v>1.7</v>
      </c>
      <c r="H351" t="n">
        <v>0</v>
      </c>
      <c r="I351" t="n">
        <v>0</v>
      </c>
      <c r="J351" t="n">
        <v>0</v>
      </c>
      <c r="K351" t="n">
        <v>0</v>
      </c>
      <c r="L351" t="n">
        <v>0</v>
      </c>
      <c r="M351" t="n">
        <v>0</v>
      </c>
      <c r="N351" t="n">
        <v>0</v>
      </c>
      <c r="O351" t="n">
        <v>0</v>
      </c>
      <c r="P351" t="n">
        <v>0</v>
      </c>
      <c r="Q351" t="n">
        <v>0</v>
      </c>
      <c r="R351" s="2" t="inlineStr"/>
    </row>
    <row r="352" ht="15" customHeight="1">
      <c r="A352" t="inlineStr">
        <is>
          <t>A 3120-2022</t>
        </is>
      </c>
      <c r="B352" s="1" t="n">
        <v>44582</v>
      </c>
      <c r="C352" s="1" t="n">
        <v>46183</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58606-2024</t>
        </is>
      </c>
      <c r="B353" s="1" t="n">
        <v>45635.54747685185</v>
      </c>
      <c r="C353" s="1" t="n">
        <v>46183</v>
      </c>
      <c r="D353" t="inlineStr">
        <is>
          <t>ÖREBRO LÄN</t>
        </is>
      </c>
      <c r="E353" t="inlineStr">
        <is>
          <t>ÖREBRO</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44875-2025</t>
        </is>
      </c>
      <c r="B354" s="1" t="n">
        <v>45918.47043981482</v>
      </c>
      <c r="C354" s="1" t="n">
        <v>46183</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26101-2022</t>
        </is>
      </c>
      <c r="B355" s="1" t="n">
        <v>44734</v>
      </c>
      <c r="C355" s="1" t="n">
        <v>46183</v>
      </c>
      <c r="D355" t="inlineStr">
        <is>
          <t>ÖREBRO LÄN</t>
        </is>
      </c>
      <c r="E355" t="inlineStr">
        <is>
          <t>ÖREBRO</t>
        </is>
      </c>
      <c r="G355" t="n">
        <v>15.8</v>
      </c>
      <c r="H355" t="n">
        <v>0</v>
      </c>
      <c r="I355" t="n">
        <v>0</v>
      </c>
      <c r="J355" t="n">
        <v>0</v>
      </c>
      <c r="K355" t="n">
        <v>0</v>
      </c>
      <c r="L355" t="n">
        <v>0</v>
      </c>
      <c r="M355" t="n">
        <v>0</v>
      </c>
      <c r="N355" t="n">
        <v>0</v>
      </c>
      <c r="O355" t="n">
        <v>0</v>
      </c>
      <c r="P355" t="n">
        <v>0</v>
      </c>
      <c r="Q355" t="n">
        <v>0</v>
      </c>
      <c r="R355" s="2" t="inlineStr"/>
    </row>
    <row r="356" ht="15" customHeight="1">
      <c r="A356" t="inlineStr">
        <is>
          <t>A 44960-2025</t>
        </is>
      </c>
      <c r="B356" s="1" t="n">
        <v>45918.61577546296</v>
      </c>
      <c r="C356" s="1" t="n">
        <v>46183</v>
      </c>
      <c r="D356" t="inlineStr">
        <is>
          <t>ÖREBRO LÄN</t>
        </is>
      </c>
      <c r="E356" t="inlineStr">
        <is>
          <t>ÖREBRO</t>
        </is>
      </c>
      <c r="G356" t="n">
        <v>1.5</v>
      </c>
      <c r="H356" t="n">
        <v>0</v>
      </c>
      <c r="I356" t="n">
        <v>0</v>
      </c>
      <c r="J356" t="n">
        <v>0</v>
      </c>
      <c r="K356" t="n">
        <v>0</v>
      </c>
      <c r="L356" t="n">
        <v>0</v>
      </c>
      <c r="M356" t="n">
        <v>0</v>
      </c>
      <c r="N356" t="n">
        <v>0</v>
      </c>
      <c r="O356" t="n">
        <v>0</v>
      </c>
      <c r="P356" t="n">
        <v>0</v>
      </c>
      <c r="Q356" t="n">
        <v>0</v>
      </c>
      <c r="R356" s="2" t="inlineStr"/>
    </row>
    <row r="357" ht="15" customHeight="1">
      <c r="A357" t="inlineStr">
        <is>
          <t>A 60022-2024</t>
        </is>
      </c>
      <c r="B357" s="1" t="n">
        <v>45642</v>
      </c>
      <c r="C357" s="1" t="n">
        <v>46183</v>
      </c>
      <c r="D357" t="inlineStr">
        <is>
          <t>ÖREBRO LÄN</t>
        </is>
      </c>
      <c r="E357" t="inlineStr">
        <is>
          <t>ÖREBRO</t>
        </is>
      </c>
      <c r="G357" t="n">
        <v>1.7</v>
      </c>
      <c r="H357" t="n">
        <v>0</v>
      </c>
      <c r="I357" t="n">
        <v>0</v>
      </c>
      <c r="J357" t="n">
        <v>0</v>
      </c>
      <c r="K357" t="n">
        <v>0</v>
      </c>
      <c r="L357" t="n">
        <v>0</v>
      </c>
      <c r="M357" t="n">
        <v>0</v>
      </c>
      <c r="N357" t="n">
        <v>0</v>
      </c>
      <c r="O357" t="n">
        <v>0</v>
      </c>
      <c r="P357" t="n">
        <v>0</v>
      </c>
      <c r="Q357" t="n">
        <v>0</v>
      </c>
      <c r="R357" s="2" t="inlineStr"/>
    </row>
    <row r="358" ht="15" customHeight="1">
      <c r="A358" t="inlineStr">
        <is>
          <t>A 60028-2024</t>
        </is>
      </c>
      <c r="B358" s="1" t="n">
        <v>45642</v>
      </c>
      <c r="C358" s="1" t="n">
        <v>46183</v>
      </c>
      <c r="D358" t="inlineStr">
        <is>
          <t>ÖREBRO LÄN</t>
        </is>
      </c>
      <c r="E358" t="inlineStr">
        <is>
          <t>ÖREBRO</t>
        </is>
      </c>
      <c r="G358" t="n">
        <v>1.7</v>
      </c>
      <c r="H358" t="n">
        <v>0</v>
      </c>
      <c r="I358" t="n">
        <v>0</v>
      </c>
      <c r="J358" t="n">
        <v>0</v>
      </c>
      <c r="K358" t="n">
        <v>0</v>
      </c>
      <c r="L358" t="n">
        <v>0</v>
      </c>
      <c r="M358" t="n">
        <v>0</v>
      </c>
      <c r="N358" t="n">
        <v>0</v>
      </c>
      <c r="O358" t="n">
        <v>0</v>
      </c>
      <c r="P358" t="n">
        <v>0</v>
      </c>
      <c r="Q358" t="n">
        <v>0</v>
      </c>
      <c r="R358" s="2" t="inlineStr"/>
    </row>
    <row r="359" ht="15" customHeight="1">
      <c r="A359" t="inlineStr">
        <is>
          <t>A 49465-2024</t>
        </is>
      </c>
      <c r="B359" s="1" t="n">
        <v>45596</v>
      </c>
      <c r="C359" s="1" t="n">
        <v>46183</v>
      </c>
      <c r="D359" t="inlineStr">
        <is>
          <t>ÖREBRO LÄN</t>
        </is>
      </c>
      <c r="E359" t="inlineStr">
        <is>
          <t>ÖREBRO</t>
        </is>
      </c>
      <c r="F359" t="inlineStr">
        <is>
          <t>Övriga Aktiebolag</t>
        </is>
      </c>
      <c r="G359" t="n">
        <v>21</v>
      </c>
      <c r="H359" t="n">
        <v>0</v>
      </c>
      <c r="I359" t="n">
        <v>0</v>
      </c>
      <c r="J359" t="n">
        <v>0</v>
      </c>
      <c r="K359" t="n">
        <v>0</v>
      </c>
      <c r="L359" t="n">
        <v>0</v>
      </c>
      <c r="M359" t="n">
        <v>0</v>
      </c>
      <c r="N359" t="n">
        <v>0</v>
      </c>
      <c r="O359" t="n">
        <v>0</v>
      </c>
      <c r="P359" t="n">
        <v>0</v>
      </c>
      <c r="Q359" t="n">
        <v>0</v>
      </c>
      <c r="R359" s="2" t="inlineStr"/>
    </row>
    <row r="360" ht="15" customHeight="1">
      <c r="A360" t="inlineStr">
        <is>
          <t>A 35345-2024</t>
        </is>
      </c>
      <c r="B360" s="1" t="n">
        <v>45530</v>
      </c>
      <c r="C360" s="1" t="n">
        <v>46183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8884-2022</t>
        </is>
      </c>
      <c r="B361" s="1" t="n">
        <v>44614.60990740741</v>
      </c>
      <c r="C361" s="1" t="n">
        <v>46183</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123-2025</t>
        </is>
      </c>
      <c r="B362" s="1" t="n">
        <v>45659.54851851852</v>
      </c>
      <c r="C362" s="1" t="n">
        <v>46183</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62497-2023</t>
        </is>
      </c>
      <c r="B363" s="1" t="n">
        <v>45268.59935185185</v>
      </c>
      <c r="C363" s="1" t="n">
        <v>46183</v>
      </c>
      <c r="D363" t="inlineStr">
        <is>
          <t>ÖREBRO LÄN</t>
        </is>
      </c>
      <c r="E363" t="inlineStr">
        <is>
          <t>ÖREBRO</t>
        </is>
      </c>
      <c r="F363" t="inlineStr">
        <is>
          <t>Övriga Aktiebolag</t>
        </is>
      </c>
      <c r="G363" t="n">
        <v>3.2</v>
      </c>
      <c r="H363" t="n">
        <v>0</v>
      </c>
      <c r="I363" t="n">
        <v>0</v>
      </c>
      <c r="J363" t="n">
        <v>0</v>
      </c>
      <c r="K363" t="n">
        <v>0</v>
      </c>
      <c r="L363" t="n">
        <v>0</v>
      </c>
      <c r="M363" t="n">
        <v>0</v>
      </c>
      <c r="N363" t="n">
        <v>0</v>
      </c>
      <c r="O363" t="n">
        <v>0</v>
      </c>
      <c r="P363" t="n">
        <v>0</v>
      </c>
      <c r="Q363" t="n">
        <v>0</v>
      </c>
      <c r="R363" s="2" t="inlineStr"/>
    </row>
    <row r="364" ht="15" customHeight="1">
      <c r="A364" t="inlineStr">
        <is>
          <t>A 30472-2022</t>
        </is>
      </c>
      <c r="B364" s="1" t="n">
        <v>44761.70467592592</v>
      </c>
      <c r="C364" s="1" t="n">
        <v>46183</v>
      </c>
      <c r="D364" t="inlineStr">
        <is>
          <t>ÖREBRO LÄN</t>
        </is>
      </c>
      <c r="E364" t="inlineStr">
        <is>
          <t>ÖREBRO</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6869-2025</t>
        </is>
      </c>
      <c r="B365" s="1" t="n">
        <v>45700</v>
      </c>
      <c r="C365" s="1" t="n">
        <v>46183</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43399-2022</t>
        </is>
      </c>
      <c r="B366" s="1" t="n">
        <v>44834</v>
      </c>
      <c r="C366" s="1" t="n">
        <v>46183</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57869-2024</t>
        </is>
      </c>
      <c r="B367" s="1" t="n">
        <v>45631.44207175926</v>
      </c>
      <c r="C367" s="1" t="n">
        <v>46183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20520-2026</t>
        </is>
      </c>
      <c r="B368" s="1" t="n">
        <v>46140.55184027777</v>
      </c>
      <c r="C368" s="1" t="n">
        <v>46183</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63142-2023</t>
        </is>
      </c>
      <c r="B369" s="1" t="n">
        <v>45273</v>
      </c>
      <c r="C369" s="1" t="n">
        <v>46183</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26139-2026</t>
        </is>
      </c>
      <c r="B370" s="1" t="n">
        <v>46181.71155092592</v>
      </c>
      <c r="C370" s="1" t="n">
        <v>46183</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37277-2022</t>
        </is>
      </c>
      <c r="B371" s="1" t="n">
        <v>44807.49150462963</v>
      </c>
      <c r="C371" s="1" t="n">
        <v>46183</v>
      </c>
      <c r="D371" t="inlineStr">
        <is>
          <t>ÖREBRO LÄN</t>
        </is>
      </c>
      <c r="E371" t="inlineStr">
        <is>
          <t>ÖREBRO</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23573-2023</t>
        </is>
      </c>
      <c r="B372" s="1" t="n">
        <v>45077.41672453703</v>
      </c>
      <c r="C372" s="1" t="n">
        <v>46183</v>
      </c>
      <c r="D372" t="inlineStr">
        <is>
          <t>ÖREBRO LÄN</t>
        </is>
      </c>
      <c r="E372" t="inlineStr">
        <is>
          <t>ÖREBRO</t>
        </is>
      </c>
      <c r="G372" t="n">
        <v>2.9</v>
      </c>
      <c r="H372" t="n">
        <v>0</v>
      </c>
      <c r="I372" t="n">
        <v>0</v>
      </c>
      <c r="J372" t="n">
        <v>0</v>
      </c>
      <c r="K372" t="n">
        <v>0</v>
      </c>
      <c r="L372" t="n">
        <v>0</v>
      </c>
      <c r="M372" t="n">
        <v>0</v>
      </c>
      <c r="N372" t="n">
        <v>0</v>
      </c>
      <c r="O372" t="n">
        <v>0</v>
      </c>
      <c r="P372" t="n">
        <v>0</v>
      </c>
      <c r="Q372" t="n">
        <v>0</v>
      </c>
      <c r="R372" s="2" t="inlineStr"/>
    </row>
    <row r="373" ht="15" customHeight="1">
      <c r="A373" t="inlineStr">
        <is>
          <t>A 13762-2023</t>
        </is>
      </c>
      <c r="B373" s="1" t="n">
        <v>45007.43729166667</v>
      </c>
      <c r="C373" s="1" t="n">
        <v>46183</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5129-2024</t>
        </is>
      </c>
      <c r="B374" s="1" t="n">
        <v>45330</v>
      </c>
      <c r="C374" s="1" t="n">
        <v>46183</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27956-2023</t>
        </is>
      </c>
      <c r="B375" s="1" t="n">
        <v>45098</v>
      </c>
      <c r="C375" s="1" t="n">
        <v>46183</v>
      </c>
      <c r="D375" t="inlineStr">
        <is>
          <t>ÖREBRO LÄN</t>
        </is>
      </c>
      <c r="E375" t="inlineStr">
        <is>
          <t>ÖREBRO</t>
        </is>
      </c>
      <c r="G375" t="n">
        <v>0.8</v>
      </c>
      <c r="H375" t="n">
        <v>0</v>
      </c>
      <c r="I375" t="n">
        <v>0</v>
      </c>
      <c r="J375" t="n">
        <v>0</v>
      </c>
      <c r="K375" t="n">
        <v>0</v>
      </c>
      <c r="L375" t="n">
        <v>0</v>
      </c>
      <c r="M375" t="n">
        <v>0</v>
      </c>
      <c r="N375" t="n">
        <v>0</v>
      </c>
      <c r="O375" t="n">
        <v>0</v>
      </c>
      <c r="P375" t="n">
        <v>0</v>
      </c>
      <c r="Q375" t="n">
        <v>0</v>
      </c>
      <c r="R375" s="2" t="inlineStr"/>
    </row>
    <row r="376" ht="15" customHeight="1">
      <c r="A376" t="inlineStr">
        <is>
          <t>A 1492-2022</t>
        </is>
      </c>
      <c r="B376" s="1" t="n">
        <v>44573</v>
      </c>
      <c r="C376" s="1" t="n">
        <v>46183</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40588-2021</t>
        </is>
      </c>
      <c r="B377" s="1" t="n">
        <v>44420</v>
      </c>
      <c r="C377" s="1" t="n">
        <v>46183</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59026-2024</t>
        </is>
      </c>
      <c r="B378" s="1" t="n">
        <v>45636.6875</v>
      </c>
      <c r="C378" s="1" t="n">
        <v>46183</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52623-2024</t>
        </is>
      </c>
      <c r="B379" s="1" t="n">
        <v>45609</v>
      </c>
      <c r="C379" s="1" t="n">
        <v>46183</v>
      </c>
      <c r="D379" t="inlineStr">
        <is>
          <t>ÖREBRO LÄN</t>
        </is>
      </c>
      <c r="E379" t="inlineStr">
        <is>
          <t>ÖREBRO</t>
        </is>
      </c>
      <c r="F379" t="inlineStr">
        <is>
          <t>Kommuner</t>
        </is>
      </c>
      <c r="G379" t="n">
        <v>1.7</v>
      </c>
      <c r="H379" t="n">
        <v>0</v>
      </c>
      <c r="I379" t="n">
        <v>0</v>
      </c>
      <c r="J379" t="n">
        <v>0</v>
      </c>
      <c r="K379" t="n">
        <v>0</v>
      </c>
      <c r="L379" t="n">
        <v>0</v>
      </c>
      <c r="M379" t="n">
        <v>0</v>
      </c>
      <c r="N379" t="n">
        <v>0</v>
      </c>
      <c r="O379" t="n">
        <v>0</v>
      </c>
      <c r="P379" t="n">
        <v>0</v>
      </c>
      <c r="Q379" t="n">
        <v>0</v>
      </c>
      <c r="R379" s="2" t="inlineStr"/>
    </row>
    <row r="380" ht="15" customHeight="1">
      <c r="A380" t="inlineStr">
        <is>
          <t>A 11663-2024</t>
        </is>
      </c>
      <c r="B380" s="1" t="n">
        <v>45373</v>
      </c>
      <c r="C380" s="1" t="n">
        <v>46183</v>
      </c>
      <c r="D380" t="inlineStr">
        <is>
          <t>ÖREBRO LÄN</t>
        </is>
      </c>
      <c r="E380" t="inlineStr">
        <is>
          <t>ÖREBRO</t>
        </is>
      </c>
      <c r="G380" t="n">
        <v>1</v>
      </c>
      <c r="H380" t="n">
        <v>0</v>
      </c>
      <c r="I380" t="n">
        <v>0</v>
      </c>
      <c r="J380" t="n">
        <v>0</v>
      </c>
      <c r="K380" t="n">
        <v>0</v>
      </c>
      <c r="L380" t="n">
        <v>0</v>
      </c>
      <c r="M380" t="n">
        <v>0</v>
      </c>
      <c r="N380" t="n">
        <v>0</v>
      </c>
      <c r="O380" t="n">
        <v>0</v>
      </c>
      <c r="P380" t="n">
        <v>0</v>
      </c>
      <c r="Q380" t="n">
        <v>0</v>
      </c>
      <c r="R380" s="2" t="inlineStr"/>
    </row>
    <row r="381" ht="15" customHeight="1">
      <c r="A381" t="inlineStr">
        <is>
          <t>A 40231-2022</t>
        </is>
      </c>
      <c r="B381" s="1" t="n">
        <v>44820</v>
      </c>
      <c r="C381" s="1" t="n">
        <v>46183</v>
      </c>
      <c r="D381" t="inlineStr">
        <is>
          <t>ÖREBRO LÄN</t>
        </is>
      </c>
      <c r="E381" t="inlineStr">
        <is>
          <t>ÖREBRO</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40522-2024</t>
        </is>
      </c>
      <c r="B382" s="1" t="n">
        <v>45555.59717592593</v>
      </c>
      <c r="C382" s="1" t="n">
        <v>46183</v>
      </c>
      <c r="D382" t="inlineStr">
        <is>
          <t>ÖREBRO LÄN</t>
        </is>
      </c>
      <c r="E382" t="inlineStr">
        <is>
          <t>ÖREBRO</t>
        </is>
      </c>
      <c r="G382" t="n">
        <v>5.1</v>
      </c>
      <c r="H382" t="n">
        <v>0</v>
      </c>
      <c r="I382" t="n">
        <v>0</v>
      </c>
      <c r="J382" t="n">
        <v>0</v>
      </c>
      <c r="K382" t="n">
        <v>0</v>
      </c>
      <c r="L382" t="n">
        <v>0</v>
      </c>
      <c r="M382" t="n">
        <v>0</v>
      </c>
      <c r="N382" t="n">
        <v>0</v>
      </c>
      <c r="O382" t="n">
        <v>0</v>
      </c>
      <c r="P382" t="n">
        <v>0</v>
      </c>
      <c r="Q382" t="n">
        <v>0</v>
      </c>
      <c r="R382" s="2" t="inlineStr"/>
    </row>
    <row r="383" ht="15" customHeight="1">
      <c r="A383" t="inlineStr">
        <is>
          <t>A 42623-2022</t>
        </is>
      </c>
      <c r="B383" s="1" t="n">
        <v>44831</v>
      </c>
      <c r="C383" s="1" t="n">
        <v>46183</v>
      </c>
      <c r="D383" t="inlineStr">
        <is>
          <t>ÖREBRO LÄN</t>
        </is>
      </c>
      <c r="E383" t="inlineStr">
        <is>
          <t>ÖREBRO</t>
        </is>
      </c>
      <c r="G383" t="n">
        <v>3.6</v>
      </c>
      <c r="H383" t="n">
        <v>0</v>
      </c>
      <c r="I383" t="n">
        <v>0</v>
      </c>
      <c r="J383" t="n">
        <v>0</v>
      </c>
      <c r="K383" t="n">
        <v>0</v>
      </c>
      <c r="L383" t="n">
        <v>0</v>
      </c>
      <c r="M383" t="n">
        <v>0</v>
      </c>
      <c r="N383" t="n">
        <v>0</v>
      </c>
      <c r="O383" t="n">
        <v>0</v>
      </c>
      <c r="P383" t="n">
        <v>0</v>
      </c>
      <c r="Q383" t="n">
        <v>0</v>
      </c>
      <c r="R383" s="2" t="inlineStr"/>
    </row>
    <row r="384" ht="15" customHeight="1">
      <c r="A384" t="inlineStr">
        <is>
          <t>A 3763-2025</t>
        </is>
      </c>
      <c r="B384" s="1" t="n">
        <v>45681</v>
      </c>
      <c r="C384" s="1" t="n">
        <v>46183</v>
      </c>
      <c r="D384" t="inlineStr">
        <is>
          <t>ÖREBRO LÄN</t>
        </is>
      </c>
      <c r="E384" t="inlineStr">
        <is>
          <t>ÖREBRO</t>
        </is>
      </c>
      <c r="G384" t="n">
        <v>10.1</v>
      </c>
      <c r="H384" t="n">
        <v>0</v>
      </c>
      <c r="I384" t="n">
        <v>0</v>
      </c>
      <c r="J384" t="n">
        <v>0</v>
      </c>
      <c r="K384" t="n">
        <v>0</v>
      </c>
      <c r="L384" t="n">
        <v>0</v>
      </c>
      <c r="M384" t="n">
        <v>0</v>
      </c>
      <c r="N384" t="n">
        <v>0</v>
      </c>
      <c r="O384" t="n">
        <v>0</v>
      </c>
      <c r="P384" t="n">
        <v>0</v>
      </c>
      <c r="Q384" t="n">
        <v>0</v>
      </c>
      <c r="R384" s="2" t="inlineStr"/>
    </row>
    <row r="385" ht="15" customHeight="1">
      <c r="A385" t="inlineStr">
        <is>
          <t>A 10829-2023</t>
        </is>
      </c>
      <c r="B385" s="1" t="n">
        <v>44990.88512731482</v>
      </c>
      <c r="C385" s="1" t="n">
        <v>46183</v>
      </c>
      <c r="D385" t="inlineStr">
        <is>
          <t>ÖREBRO LÄN</t>
        </is>
      </c>
      <c r="E385" t="inlineStr">
        <is>
          <t>ÖREBRO</t>
        </is>
      </c>
      <c r="G385" t="n">
        <v>4.4</v>
      </c>
      <c r="H385" t="n">
        <v>0</v>
      </c>
      <c r="I385" t="n">
        <v>0</v>
      </c>
      <c r="J385" t="n">
        <v>0</v>
      </c>
      <c r="K385" t="n">
        <v>0</v>
      </c>
      <c r="L385" t="n">
        <v>0</v>
      </c>
      <c r="M385" t="n">
        <v>0</v>
      </c>
      <c r="N385" t="n">
        <v>0</v>
      </c>
      <c r="O385" t="n">
        <v>0</v>
      </c>
      <c r="P385" t="n">
        <v>0</v>
      </c>
      <c r="Q385" t="n">
        <v>0</v>
      </c>
      <c r="R385" s="2" t="inlineStr"/>
    </row>
    <row r="386" ht="15" customHeight="1">
      <c r="A386" t="inlineStr">
        <is>
          <t>A 10831-2023</t>
        </is>
      </c>
      <c r="B386" s="1" t="n">
        <v>44990.90357638889</v>
      </c>
      <c r="C386" s="1" t="n">
        <v>46183</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33577-2023</t>
        </is>
      </c>
      <c r="B387" s="1" t="n">
        <v>45131</v>
      </c>
      <c r="C387" s="1" t="n">
        <v>46183</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16165-2023</t>
        </is>
      </c>
      <c r="B388" s="1" t="n">
        <v>45027</v>
      </c>
      <c r="C388" s="1" t="n">
        <v>46183</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50311-2025</t>
        </is>
      </c>
      <c r="B389" s="1" t="n">
        <v>45944</v>
      </c>
      <c r="C389" s="1" t="n">
        <v>46183</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57247-2022</t>
        </is>
      </c>
      <c r="B390" s="1" t="n">
        <v>44895.73065972222</v>
      </c>
      <c r="C390" s="1" t="n">
        <v>46183</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18360-2024</t>
        </is>
      </c>
      <c r="B391" s="1" t="n">
        <v>45422</v>
      </c>
      <c r="C391" s="1" t="n">
        <v>46183</v>
      </c>
      <c r="D391" t="inlineStr">
        <is>
          <t>ÖREBRO LÄN</t>
        </is>
      </c>
      <c r="E391" t="inlineStr">
        <is>
          <t>ÖREBRO</t>
        </is>
      </c>
      <c r="G391" t="n">
        <v>0.7</v>
      </c>
      <c r="H391" t="n">
        <v>0</v>
      </c>
      <c r="I391" t="n">
        <v>0</v>
      </c>
      <c r="J391" t="n">
        <v>0</v>
      </c>
      <c r="K391" t="n">
        <v>0</v>
      </c>
      <c r="L391" t="n">
        <v>0</v>
      </c>
      <c r="M391" t="n">
        <v>0</v>
      </c>
      <c r="N391" t="n">
        <v>0</v>
      </c>
      <c r="O391" t="n">
        <v>0</v>
      </c>
      <c r="P391" t="n">
        <v>0</v>
      </c>
      <c r="Q391" t="n">
        <v>0</v>
      </c>
      <c r="R391" s="2" t="inlineStr"/>
    </row>
    <row r="392" ht="15" customHeight="1">
      <c r="A392" t="inlineStr">
        <is>
          <t>A 7611-2024</t>
        </is>
      </c>
      <c r="B392" s="1" t="n">
        <v>45348.58864583333</v>
      </c>
      <c r="C392" s="1" t="n">
        <v>46183</v>
      </c>
      <c r="D392" t="inlineStr">
        <is>
          <t>ÖREBRO LÄN</t>
        </is>
      </c>
      <c r="E392" t="inlineStr">
        <is>
          <t>ÖREBRO</t>
        </is>
      </c>
      <c r="G392" t="n">
        <v>4.2</v>
      </c>
      <c r="H392" t="n">
        <v>0</v>
      </c>
      <c r="I392" t="n">
        <v>0</v>
      </c>
      <c r="J392" t="n">
        <v>0</v>
      </c>
      <c r="K392" t="n">
        <v>0</v>
      </c>
      <c r="L392" t="n">
        <v>0</v>
      </c>
      <c r="M392" t="n">
        <v>0</v>
      </c>
      <c r="N392" t="n">
        <v>0</v>
      </c>
      <c r="O392" t="n">
        <v>0</v>
      </c>
      <c r="P392" t="n">
        <v>0</v>
      </c>
      <c r="Q392" t="n">
        <v>0</v>
      </c>
      <c r="R392" s="2" t="inlineStr"/>
    </row>
    <row r="393" ht="15" customHeight="1">
      <c r="A393" t="inlineStr">
        <is>
          <t>A 13347-2023</t>
        </is>
      </c>
      <c r="B393" s="1" t="n">
        <v>45004</v>
      </c>
      <c r="C393" s="1" t="n">
        <v>46183</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187-2024</t>
        </is>
      </c>
      <c r="B394" s="1" t="n">
        <v>45294</v>
      </c>
      <c r="C394" s="1" t="n">
        <v>46183</v>
      </c>
      <c r="D394" t="inlineStr">
        <is>
          <t>ÖREBRO LÄN</t>
        </is>
      </c>
      <c r="E394" t="inlineStr">
        <is>
          <t>ÖREBRO</t>
        </is>
      </c>
      <c r="G394" t="n">
        <v>5.9</v>
      </c>
      <c r="H394" t="n">
        <v>0</v>
      </c>
      <c r="I394" t="n">
        <v>0</v>
      </c>
      <c r="J394" t="n">
        <v>0</v>
      </c>
      <c r="K394" t="n">
        <v>0</v>
      </c>
      <c r="L394" t="n">
        <v>0</v>
      </c>
      <c r="M394" t="n">
        <v>0</v>
      </c>
      <c r="N394" t="n">
        <v>0</v>
      </c>
      <c r="O394" t="n">
        <v>0</v>
      </c>
      <c r="P394" t="n">
        <v>0</v>
      </c>
      <c r="Q394" t="n">
        <v>0</v>
      </c>
      <c r="R394" s="2" t="inlineStr"/>
    </row>
    <row r="395" ht="15" customHeight="1">
      <c r="A395" t="inlineStr">
        <is>
          <t>A 10832-2023</t>
        </is>
      </c>
      <c r="B395" s="1" t="n">
        <v>44990.91711805556</v>
      </c>
      <c r="C395" s="1" t="n">
        <v>46183</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2596-2022</t>
        </is>
      </c>
      <c r="B396" s="1" t="n">
        <v>44580</v>
      </c>
      <c r="C396" s="1" t="n">
        <v>46183</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5338-2024</t>
        </is>
      </c>
      <c r="B397" s="1" t="n">
        <v>45331</v>
      </c>
      <c r="C397" s="1" t="n">
        <v>46183</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14487-2023</t>
        </is>
      </c>
      <c r="B398" s="1" t="n">
        <v>45012</v>
      </c>
      <c r="C398" s="1" t="n">
        <v>46183</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4970-2022</t>
        </is>
      </c>
      <c r="B399" s="1" t="n">
        <v>44593.51175925926</v>
      </c>
      <c r="C399" s="1" t="n">
        <v>46183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18047-2023</t>
        </is>
      </c>
      <c r="B400" s="1" t="n">
        <v>45040</v>
      </c>
      <c r="C400" s="1" t="n">
        <v>46183</v>
      </c>
      <c r="D400" t="inlineStr">
        <is>
          <t>ÖREBRO LÄN</t>
        </is>
      </c>
      <c r="E400" t="inlineStr">
        <is>
          <t>ÖREBRO</t>
        </is>
      </c>
      <c r="G400" t="n">
        <v>3.9</v>
      </c>
      <c r="H400" t="n">
        <v>0</v>
      </c>
      <c r="I400" t="n">
        <v>0</v>
      </c>
      <c r="J400" t="n">
        <v>0</v>
      </c>
      <c r="K400" t="n">
        <v>0</v>
      </c>
      <c r="L400" t="n">
        <v>0</v>
      </c>
      <c r="M400" t="n">
        <v>0</v>
      </c>
      <c r="N400" t="n">
        <v>0</v>
      </c>
      <c r="O400" t="n">
        <v>0</v>
      </c>
      <c r="P400" t="n">
        <v>0</v>
      </c>
      <c r="Q400" t="n">
        <v>0</v>
      </c>
      <c r="R400" s="2" t="inlineStr"/>
    </row>
    <row r="401" ht="15" customHeight="1">
      <c r="A401" t="inlineStr">
        <is>
          <t>A 46757-2021</t>
        </is>
      </c>
      <c r="B401" s="1" t="n">
        <v>44445</v>
      </c>
      <c r="C401" s="1" t="n">
        <v>46183</v>
      </c>
      <c r="D401" t="inlineStr">
        <is>
          <t>ÖREBRO LÄN</t>
        </is>
      </c>
      <c r="E401" t="inlineStr">
        <is>
          <t>ÖREBRO</t>
        </is>
      </c>
      <c r="G401" t="n">
        <v>5.6</v>
      </c>
      <c r="H401" t="n">
        <v>0</v>
      </c>
      <c r="I401" t="n">
        <v>0</v>
      </c>
      <c r="J401" t="n">
        <v>0</v>
      </c>
      <c r="K401" t="n">
        <v>0</v>
      </c>
      <c r="L401" t="n">
        <v>0</v>
      </c>
      <c r="M401" t="n">
        <v>0</v>
      </c>
      <c r="N401" t="n">
        <v>0</v>
      </c>
      <c r="O401" t="n">
        <v>0</v>
      </c>
      <c r="P401" t="n">
        <v>0</v>
      </c>
      <c r="Q401" t="n">
        <v>0</v>
      </c>
      <c r="R401" s="2" t="inlineStr"/>
    </row>
    <row r="402" ht="15" customHeight="1">
      <c r="A402" t="inlineStr">
        <is>
          <t>A 51937-2025</t>
        </is>
      </c>
      <c r="B402" s="1" t="n">
        <v>45952.51270833334</v>
      </c>
      <c r="C402" s="1" t="n">
        <v>46183</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3789-2023</t>
        </is>
      </c>
      <c r="B403" s="1" t="n">
        <v>44951</v>
      </c>
      <c r="C403" s="1" t="n">
        <v>46183</v>
      </c>
      <c r="D403" t="inlineStr">
        <is>
          <t>ÖREBRO LÄN</t>
        </is>
      </c>
      <c r="E403" t="inlineStr">
        <is>
          <t>ÖREBRO</t>
        </is>
      </c>
      <c r="G403" t="n">
        <v>7.5</v>
      </c>
      <c r="H403" t="n">
        <v>0</v>
      </c>
      <c r="I403" t="n">
        <v>0</v>
      </c>
      <c r="J403" t="n">
        <v>0</v>
      </c>
      <c r="K403" t="n">
        <v>0</v>
      </c>
      <c r="L403" t="n">
        <v>0</v>
      </c>
      <c r="M403" t="n">
        <v>0</v>
      </c>
      <c r="N403" t="n">
        <v>0</v>
      </c>
      <c r="O403" t="n">
        <v>0</v>
      </c>
      <c r="P403" t="n">
        <v>0</v>
      </c>
      <c r="Q403" t="n">
        <v>0</v>
      </c>
      <c r="R403" s="2" t="inlineStr"/>
    </row>
    <row r="404" ht="15" customHeight="1">
      <c r="A404" t="inlineStr">
        <is>
          <t>A 52135-2025</t>
        </is>
      </c>
      <c r="B404" s="1" t="n">
        <v>45952.84231481481</v>
      </c>
      <c r="C404" s="1" t="n">
        <v>46183</v>
      </c>
      <c r="D404" t="inlineStr">
        <is>
          <t>ÖREBRO LÄN</t>
        </is>
      </c>
      <c r="E404" t="inlineStr">
        <is>
          <t>ÖREBRO</t>
        </is>
      </c>
      <c r="G404" t="n">
        <v>4</v>
      </c>
      <c r="H404" t="n">
        <v>0</v>
      </c>
      <c r="I404" t="n">
        <v>0</v>
      </c>
      <c r="J404" t="n">
        <v>0</v>
      </c>
      <c r="K404" t="n">
        <v>0</v>
      </c>
      <c r="L404" t="n">
        <v>0</v>
      </c>
      <c r="M404" t="n">
        <v>0</v>
      </c>
      <c r="N404" t="n">
        <v>0</v>
      </c>
      <c r="O404" t="n">
        <v>0</v>
      </c>
      <c r="P404" t="n">
        <v>0</v>
      </c>
      <c r="Q404" t="n">
        <v>0</v>
      </c>
      <c r="R404" s="2" t="inlineStr"/>
    </row>
    <row r="405" ht="15" customHeight="1">
      <c r="A405" t="inlineStr">
        <is>
          <t>A 5026-2022</t>
        </is>
      </c>
      <c r="B405" s="1" t="n">
        <v>44593.63974537037</v>
      </c>
      <c r="C405" s="1" t="n">
        <v>46183</v>
      </c>
      <c r="D405" t="inlineStr">
        <is>
          <t>ÖREBRO LÄN</t>
        </is>
      </c>
      <c r="E405" t="inlineStr">
        <is>
          <t>ÖREBRO</t>
        </is>
      </c>
      <c r="G405" t="n">
        <v>1.1</v>
      </c>
      <c r="H405" t="n">
        <v>0</v>
      </c>
      <c r="I405" t="n">
        <v>0</v>
      </c>
      <c r="J405" t="n">
        <v>0</v>
      </c>
      <c r="K405" t="n">
        <v>0</v>
      </c>
      <c r="L405" t="n">
        <v>0</v>
      </c>
      <c r="M405" t="n">
        <v>0</v>
      </c>
      <c r="N405" t="n">
        <v>0</v>
      </c>
      <c r="O405" t="n">
        <v>0</v>
      </c>
      <c r="P405" t="n">
        <v>0</v>
      </c>
      <c r="Q405" t="n">
        <v>0</v>
      </c>
      <c r="R405" s="2" t="inlineStr"/>
    </row>
    <row r="406" ht="15" customHeight="1">
      <c r="A406" t="inlineStr">
        <is>
          <t>A 30743-2025</t>
        </is>
      </c>
      <c r="B406" s="1" t="n">
        <v>45831</v>
      </c>
      <c r="C406" s="1" t="n">
        <v>46183</v>
      </c>
      <c r="D406" t="inlineStr">
        <is>
          <t>ÖREBRO LÄN</t>
        </is>
      </c>
      <c r="E406" t="inlineStr">
        <is>
          <t>ÖREBRO</t>
        </is>
      </c>
      <c r="G406" t="n">
        <v>2.9</v>
      </c>
      <c r="H406" t="n">
        <v>0</v>
      </c>
      <c r="I406" t="n">
        <v>0</v>
      </c>
      <c r="J406" t="n">
        <v>0</v>
      </c>
      <c r="K406" t="n">
        <v>0</v>
      </c>
      <c r="L406" t="n">
        <v>0</v>
      </c>
      <c r="M406" t="n">
        <v>0</v>
      </c>
      <c r="N406" t="n">
        <v>0</v>
      </c>
      <c r="O406" t="n">
        <v>0</v>
      </c>
      <c r="P406" t="n">
        <v>0</v>
      </c>
      <c r="Q406" t="n">
        <v>0</v>
      </c>
      <c r="R406" s="2" t="inlineStr"/>
    </row>
    <row r="407" ht="15" customHeight="1">
      <c r="A407" t="inlineStr">
        <is>
          <t>A 30374-2023</t>
        </is>
      </c>
      <c r="B407" s="1" t="n">
        <v>45111</v>
      </c>
      <c r="C407" s="1" t="n">
        <v>46183</v>
      </c>
      <c r="D407" t="inlineStr">
        <is>
          <t>ÖREBRO LÄN</t>
        </is>
      </c>
      <c r="E407" t="inlineStr">
        <is>
          <t>ÖREBRO</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54917-2023</t>
        </is>
      </c>
      <c r="B408" s="1" t="n">
        <v>45229</v>
      </c>
      <c r="C408" s="1" t="n">
        <v>46183</v>
      </c>
      <c r="D408" t="inlineStr">
        <is>
          <t>ÖREBRO LÄN</t>
        </is>
      </c>
      <c r="E408" t="inlineStr">
        <is>
          <t>ÖREBRO</t>
        </is>
      </c>
      <c r="G408" t="n">
        <v>3.1</v>
      </c>
      <c r="H408" t="n">
        <v>0</v>
      </c>
      <c r="I408" t="n">
        <v>0</v>
      </c>
      <c r="J408" t="n">
        <v>0</v>
      </c>
      <c r="K408" t="n">
        <v>0</v>
      </c>
      <c r="L408" t="n">
        <v>0</v>
      </c>
      <c r="M408" t="n">
        <v>0</v>
      </c>
      <c r="N408" t="n">
        <v>0</v>
      </c>
      <c r="O408" t="n">
        <v>0</v>
      </c>
      <c r="P408" t="n">
        <v>0</v>
      </c>
      <c r="Q408" t="n">
        <v>0</v>
      </c>
      <c r="R408" s="2" t="inlineStr"/>
    </row>
    <row r="409" ht="15" customHeight="1">
      <c r="A409" t="inlineStr">
        <is>
          <t>A 72329-2021</t>
        </is>
      </c>
      <c r="B409" s="1" t="n">
        <v>44545.46072916667</v>
      </c>
      <c r="C409" s="1" t="n">
        <v>46183</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43803-2023</t>
        </is>
      </c>
      <c r="B410" s="1" t="n">
        <v>45187</v>
      </c>
      <c r="C410" s="1" t="n">
        <v>46183</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53350-2025</t>
        </is>
      </c>
      <c r="B411" s="1" t="n">
        <v>45959.43827546296</v>
      </c>
      <c r="C411" s="1" t="n">
        <v>46183</v>
      </c>
      <c r="D411" t="inlineStr">
        <is>
          <t>ÖREBRO LÄN</t>
        </is>
      </c>
      <c r="E411" t="inlineStr">
        <is>
          <t>ÖREBRO</t>
        </is>
      </c>
      <c r="G411" t="n">
        <v>4.1</v>
      </c>
      <c r="H411" t="n">
        <v>0</v>
      </c>
      <c r="I411" t="n">
        <v>0</v>
      </c>
      <c r="J411" t="n">
        <v>0</v>
      </c>
      <c r="K411" t="n">
        <v>0</v>
      </c>
      <c r="L411" t="n">
        <v>0</v>
      </c>
      <c r="M411" t="n">
        <v>0</v>
      </c>
      <c r="N411" t="n">
        <v>0</v>
      </c>
      <c r="O411" t="n">
        <v>0</v>
      </c>
      <c r="P411" t="n">
        <v>0</v>
      </c>
      <c r="Q411" t="n">
        <v>0</v>
      </c>
      <c r="R411" s="2" t="inlineStr"/>
    </row>
    <row r="412" ht="15" customHeight="1">
      <c r="A412" t="inlineStr">
        <is>
          <t>A 53343-2025</t>
        </is>
      </c>
      <c r="B412" s="1" t="n">
        <v>45959.42025462963</v>
      </c>
      <c r="C412" s="1" t="n">
        <v>46183</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53437-2025</t>
        </is>
      </c>
      <c r="B413" s="1" t="n">
        <v>45959.63440972222</v>
      </c>
      <c r="C413" s="1" t="n">
        <v>46183</v>
      </c>
      <c r="D413" t="inlineStr">
        <is>
          <t>ÖREBRO LÄN</t>
        </is>
      </c>
      <c r="E413" t="inlineStr">
        <is>
          <t>ÖREBRO</t>
        </is>
      </c>
      <c r="G413" t="n">
        <v>1</v>
      </c>
      <c r="H413" t="n">
        <v>0</v>
      </c>
      <c r="I413" t="n">
        <v>0</v>
      </c>
      <c r="J413" t="n">
        <v>0</v>
      </c>
      <c r="K413" t="n">
        <v>0</v>
      </c>
      <c r="L413" t="n">
        <v>0</v>
      </c>
      <c r="M413" t="n">
        <v>0</v>
      </c>
      <c r="N413" t="n">
        <v>0</v>
      </c>
      <c r="O413" t="n">
        <v>0</v>
      </c>
      <c r="P413" t="n">
        <v>0</v>
      </c>
      <c r="Q413" t="n">
        <v>0</v>
      </c>
      <c r="R413" s="2" t="inlineStr"/>
    </row>
    <row r="414" ht="15" customHeight="1">
      <c r="A414" t="inlineStr">
        <is>
          <t>A 53342-2025</t>
        </is>
      </c>
      <c r="B414" s="1" t="n">
        <v>45959.41769675926</v>
      </c>
      <c r="C414" s="1" t="n">
        <v>46183</v>
      </c>
      <c r="D414" t="inlineStr">
        <is>
          <t>ÖREBRO LÄN</t>
        </is>
      </c>
      <c r="E414" t="inlineStr">
        <is>
          <t>ÖREBRO</t>
        </is>
      </c>
      <c r="G414" t="n">
        <v>4.1</v>
      </c>
      <c r="H414" t="n">
        <v>0</v>
      </c>
      <c r="I414" t="n">
        <v>0</v>
      </c>
      <c r="J414" t="n">
        <v>0</v>
      </c>
      <c r="K414" t="n">
        <v>0</v>
      </c>
      <c r="L414" t="n">
        <v>0</v>
      </c>
      <c r="M414" t="n">
        <v>0</v>
      </c>
      <c r="N414" t="n">
        <v>0</v>
      </c>
      <c r="O414" t="n">
        <v>0</v>
      </c>
      <c r="P414" t="n">
        <v>0</v>
      </c>
      <c r="Q414" t="n">
        <v>0</v>
      </c>
      <c r="R414" s="2" t="inlineStr"/>
    </row>
    <row r="415" ht="15" customHeight="1">
      <c r="A415" t="inlineStr">
        <is>
          <t>A 15789-2023</t>
        </is>
      </c>
      <c r="B415" s="1" t="n">
        <v>45021.71539351852</v>
      </c>
      <c r="C415" s="1" t="n">
        <v>46183</v>
      </c>
      <c r="D415" t="inlineStr">
        <is>
          <t>ÖREBRO LÄN</t>
        </is>
      </c>
      <c r="E415" t="inlineStr">
        <is>
          <t>ÖREBRO</t>
        </is>
      </c>
      <c r="F415" t="inlineStr">
        <is>
          <t>Övriga Aktiebolag</t>
        </is>
      </c>
      <c r="G415" t="n">
        <v>3.7</v>
      </c>
      <c r="H415" t="n">
        <v>0</v>
      </c>
      <c r="I415" t="n">
        <v>0</v>
      </c>
      <c r="J415" t="n">
        <v>0</v>
      </c>
      <c r="K415" t="n">
        <v>0</v>
      </c>
      <c r="L415" t="n">
        <v>0</v>
      </c>
      <c r="M415" t="n">
        <v>0</v>
      </c>
      <c r="N415" t="n">
        <v>0</v>
      </c>
      <c r="O415" t="n">
        <v>0</v>
      </c>
      <c r="P415" t="n">
        <v>0</v>
      </c>
      <c r="Q415" t="n">
        <v>0</v>
      </c>
      <c r="R415" s="2" t="inlineStr"/>
    </row>
    <row r="416" ht="15" customHeight="1">
      <c r="A416" t="inlineStr">
        <is>
          <t>A 53443-2025</t>
        </is>
      </c>
      <c r="B416" s="1" t="n">
        <v>45959.6444675926</v>
      </c>
      <c r="C416" s="1" t="n">
        <v>46183</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58539-2024</t>
        </is>
      </c>
      <c r="B417" s="1" t="n">
        <v>45635.45157407408</v>
      </c>
      <c r="C417" s="1" t="n">
        <v>46183</v>
      </c>
      <c r="D417" t="inlineStr">
        <is>
          <t>ÖREBRO LÄN</t>
        </is>
      </c>
      <c r="E417" t="inlineStr">
        <is>
          <t>ÖREBRO</t>
        </is>
      </c>
      <c r="F417" t="inlineStr">
        <is>
          <t>Sveaskog</t>
        </is>
      </c>
      <c r="G417" t="n">
        <v>4.1</v>
      </c>
      <c r="H417" t="n">
        <v>0</v>
      </c>
      <c r="I417" t="n">
        <v>0</v>
      </c>
      <c r="J417" t="n">
        <v>0</v>
      </c>
      <c r="K417" t="n">
        <v>0</v>
      </c>
      <c r="L417" t="n">
        <v>0</v>
      </c>
      <c r="M417" t="n">
        <v>0</v>
      </c>
      <c r="N417" t="n">
        <v>0</v>
      </c>
      <c r="O417" t="n">
        <v>0</v>
      </c>
      <c r="P417" t="n">
        <v>0</v>
      </c>
      <c r="Q417" t="n">
        <v>0</v>
      </c>
      <c r="R417" s="2" t="inlineStr"/>
    </row>
    <row r="418" ht="15" customHeight="1">
      <c r="A418" t="inlineStr">
        <is>
          <t>A 54678-2023</t>
        </is>
      </c>
      <c r="B418" s="1" t="n">
        <v>45235</v>
      </c>
      <c r="C418" s="1" t="n">
        <v>46183</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59757-2023</t>
        </is>
      </c>
      <c r="B419" s="1" t="n">
        <v>45257.40833333333</v>
      </c>
      <c r="C419" s="1" t="n">
        <v>46183</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17869-2024</t>
        </is>
      </c>
      <c r="B420" s="1" t="n">
        <v>45419</v>
      </c>
      <c r="C420" s="1" t="n">
        <v>46183</v>
      </c>
      <c r="D420" t="inlineStr">
        <is>
          <t>ÖREBRO LÄN</t>
        </is>
      </c>
      <c r="E420" t="inlineStr">
        <is>
          <t>ÖREBRO</t>
        </is>
      </c>
      <c r="G420" t="n">
        <v>3.7</v>
      </c>
      <c r="H420" t="n">
        <v>0</v>
      </c>
      <c r="I420" t="n">
        <v>0</v>
      </c>
      <c r="J420" t="n">
        <v>0</v>
      </c>
      <c r="K420" t="n">
        <v>0</v>
      </c>
      <c r="L420" t="n">
        <v>0</v>
      </c>
      <c r="M420" t="n">
        <v>0</v>
      </c>
      <c r="N420" t="n">
        <v>0</v>
      </c>
      <c r="O420" t="n">
        <v>0</v>
      </c>
      <c r="P420" t="n">
        <v>0</v>
      </c>
      <c r="Q420" t="n">
        <v>0</v>
      </c>
      <c r="R420" s="2" t="inlineStr"/>
    </row>
    <row r="421" ht="15" customHeight="1">
      <c r="A421" t="inlineStr">
        <is>
          <t>A 54205-2025</t>
        </is>
      </c>
      <c r="B421" s="1" t="n">
        <v>45964.58512731481</v>
      </c>
      <c r="C421" s="1" t="n">
        <v>46183</v>
      </c>
      <c r="D421" t="inlineStr">
        <is>
          <t>ÖREBRO LÄN</t>
        </is>
      </c>
      <c r="E421" t="inlineStr">
        <is>
          <t>ÖREBRO</t>
        </is>
      </c>
      <c r="G421" t="n">
        <v>24.3</v>
      </c>
      <c r="H421" t="n">
        <v>0</v>
      </c>
      <c r="I421" t="n">
        <v>0</v>
      </c>
      <c r="J421" t="n">
        <v>0</v>
      </c>
      <c r="K421" t="n">
        <v>0</v>
      </c>
      <c r="L421" t="n">
        <v>0</v>
      </c>
      <c r="M421" t="n">
        <v>0</v>
      </c>
      <c r="N421" t="n">
        <v>0</v>
      </c>
      <c r="O421" t="n">
        <v>0</v>
      </c>
      <c r="P421" t="n">
        <v>0</v>
      </c>
      <c r="Q421" t="n">
        <v>0</v>
      </c>
      <c r="R421" s="2" t="inlineStr"/>
    </row>
    <row r="422" ht="15" customHeight="1">
      <c r="A422" t="inlineStr">
        <is>
          <t>A 71272-2021</t>
        </is>
      </c>
      <c r="B422" s="1" t="n">
        <v>44539.61571759259</v>
      </c>
      <c r="C422" s="1" t="n">
        <v>46183</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4557-2023</t>
        </is>
      </c>
      <c r="B423" s="1" t="n">
        <v>44956.6655787037</v>
      </c>
      <c r="C423" s="1" t="n">
        <v>46183</v>
      </c>
      <c r="D423" t="inlineStr">
        <is>
          <t>ÖREBRO LÄN</t>
        </is>
      </c>
      <c r="E423" t="inlineStr">
        <is>
          <t>ÖREBRO</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60100-2022</t>
        </is>
      </c>
      <c r="B424" s="1" t="n">
        <v>44902</v>
      </c>
      <c r="C424" s="1" t="n">
        <v>46183</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17465-2023</t>
        </is>
      </c>
      <c r="B425" s="1" t="n">
        <v>45036</v>
      </c>
      <c r="C425" s="1" t="n">
        <v>46183</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52016-2024</t>
        </is>
      </c>
      <c r="B426" s="1" t="n">
        <v>45607.81917824074</v>
      </c>
      <c r="C426" s="1" t="n">
        <v>46183</v>
      </c>
      <c r="D426" t="inlineStr">
        <is>
          <t>ÖREBRO LÄN</t>
        </is>
      </c>
      <c r="E426" t="inlineStr">
        <is>
          <t>ÖREBRO</t>
        </is>
      </c>
      <c r="G426" t="n">
        <v>1.9</v>
      </c>
      <c r="H426" t="n">
        <v>0</v>
      </c>
      <c r="I426" t="n">
        <v>0</v>
      </c>
      <c r="J426" t="n">
        <v>0</v>
      </c>
      <c r="K426" t="n">
        <v>0</v>
      </c>
      <c r="L426" t="n">
        <v>0</v>
      </c>
      <c r="M426" t="n">
        <v>0</v>
      </c>
      <c r="N426" t="n">
        <v>0</v>
      </c>
      <c r="O426" t="n">
        <v>0</v>
      </c>
      <c r="P426" t="n">
        <v>0</v>
      </c>
      <c r="Q426" t="n">
        <v>0</v>
      </c>
      <c r="R426" s="2" t="inlineStr"/>
    </row>
    <row r="427" ht="15" customHeight="1">
      <c r="A427" t="inlineStr">
        <is>
          <t>A 58219-2024</t>
        </is>
      </c>
      <c r="B427" s="1" t="n">
        <v>45632</v>
      </c>
      <c r="C427" s="1" t="n">
        <v>46183</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52477-2024</t>
        </is>
      </c>
      <c r="B428" s="1" t="n">
        <v>45609</v>
      </c>
      <c r="C428" s="1" t="n">
        <v>46183</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53558-2023</t>
        </is>
      </c>
      <c r="B429" s="1" t="n">
        <v>45230.47266203703</v>
      </c>
      <c r="C429" s="1" t="n">
        <v>46183</v>
      </c>
      <c r="D429" t="inlineStr">
        <is>
          <t>ÖREBRO LÄN</t>
        </is>
      </c>
      <c r="E429" t="inlineStr">
        <is>
          <t>ÖREBRO</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42518-2021</t>
        </is>
      </c>
      <c r="B430" s="1" t="n">
        <v>44427.81496527778</v>
      </c>
      <c r="C430" s="1" t="n">
        <v>46183</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14545-2023</t>
        </is>
      </c>
      <c r="B431" s="1" t="n">
        <v>45013.34895833334</v>
      </c>
      <c r="C431" s="1" t="n">
        <v>46183</v>
      </c>
      <c r="D431" t="inlineStr">
        <is>
          <t>ÖREBRO LÄN</t>
        </is>
      </c>
      <c r="E431" t="inlineStr">
        <is>
          <t>ÖREBRO</t>
        </is>
      </c>
      <c r="G431" t="n">
        <v>2.5</v>
      </c>
      <c r="H431" t="n">
        <v>0</v>
      </c>
      <c r="I431" t="n">
        <v>0</v>
      </c>
      <c r="J431" t="n">
        <v>0</v>
      </c>
      <c r="K431" t="n">
        <v>0</v>
      </c>
      <c r="L431" t="n">
        <v>0</v>
      </c>
      <c r="M431" t="n">
        <v>0</v>
      </c>
      <c r="N431" t="n">
        <v>0</v>
      </c>
      <c r="O431" t="n">
        <v>0</v>
      </c>
      <c r="P431" t="n">
        <v>0</v>
      </c>
      <c r="Q431" t="n">
        <v>0</v>
      </c>
      <c r="R431" s="2" t="inlineStr"/>
    </row>
    <row r="432" ht="15" customHeight="1">
      <c r="A432" t="inlineStr">
        <is>
          <t>A 35843-2022</t>
        </is>
      </c>
      <c r="B432" s="1" t="n">
        <v>44802</v>
      </c>
      <c r="C432" s="1" t="n">
        <v>46183</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27112-2023</t>
        </is>
      </c>
      <c r="B433" s="1" t="n">
        <v>45096</v>
      </c>
      <c r="C433" s="1" t="n">
        <v>46183</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14524-2025</t>
        </is>
      </c>
      <c r="B434" s="1" t="n">
        <v>45741.64815972222</v>
      </c>
      <c r="C434" s="1" t="n">
        <v>46183</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55748-2025</t>
        </is>
      </c>
      <c r="B435" s="1" t="n">
        <v>45972.57893518519</v>
      </c>
      <c r="C435" s="1" t="n">
        <v>46183</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46834-2022</t>
        </is>
      </c>
      <c r="B436" s="1" t="n">
        <v>44851</v>
      </c>
      <c r="C436" s="1" t="n">
        <v>46183</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55750-2025</t>
        </is>
      </c>
      <c r="B437" s="1" t="n">
        <v>45972.58171296296</v>
      </c>
      <c r="C437" s="1" t="n">
        <v>46183</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57638-2022</t>
        </is>
      </c>
      <c r="B438" s="1" t="n">
        <v>44897</v>
      </c>
      <c r="C438" s="1" t="n">
        <v>46183</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51373-2023</t>
        </is>
      </c>
      <c r="B439" s="1" t="n">
        <v>45213</v>
      </c>
      <c r="C439" s="1" t="n">
        <v>46183</v>
      </c>
      <c r="D439" t="inlineStr">
        <is>
          <t>ÖREBRO LÄN</t>
        </is>
      </c>
      <c r="E439" t="inlineStr">
        <is>
          <t>ÖREBRO</t>
        </is>
      </c>
      <c r="G439" t="n">
        <v>5.9</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46183</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2152-2023</t>
        </is>
      </c>
      <c r="B441" s="1" t="n">
        <v>44941.55056712963</v>
      </c>
      <c r="C441" s="1" t="n">
        <v>46183</v>
      </c>
      <c r="D441" t="inlineStr">
        <is>
          <t>ÖREBRO LÄN</t>
        </is>
      </c>
      <c r="E441" t="inlineStr">
        <is>
          <t>ÖREBRO</t>
        </is>
      </c>
      <c r="G441" t="n">
        <v>8</v>
      </c>
      <c r="H441" t="n">
        <v>0</v>
      </c>
      <c r="I441" t="n">
        <v>0</v>
      </c>
      <c r="J441" t="n">
        <v>0</v>
      </c>
      <c r="K441" t="n">
        <v>0</v>
      </c>
      <c r="L441" t="n">
        <v>0</v>
      </c>
      <c r="M441" t="n">
        <v>0</v>
      </c>
      <c r="N441" t="n">
        <v>0</v>
      </c>
      <c r="O441" t="n">
        <v>0</v>
      </c>
      <c r="P441" t="n">
        <v>0</v>
      </c>
      <c r="Q441" t="n">
        <v>0</v>
      </c>
      <c r="R441" s="2" t="inlineStr"/>
    </row>
    <row r="442" ht="15" customHeight="1">
      <c r="A442" t="inlineStr">
        <is>
          <t>A 40656-2023</t>
        </is>
      </c>
      <c r="B442" s="1" t="n">
        <v>45170</v>
      </c>
      <c r="C442" s="1" t="n">
        <v>46183</v>
      </c>
      <c r="D442" t="inlineStr">
        <is>
          <t>ÖREBRO LÄN</t>
        </is>
      </c>
      <c r="E442" t="inlineStr">
        <is>
          <t>ÖREBRO</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55745-2023</t>
        </is>
      </c>
      <c r="B443" s="1" t="n">
        <v>45239.44811342593</v>
      </c>
      <c r="C443" s="1" t="n">
        <v>46183</v>
      </c>
      <c r="D443" t="inlineStr">
        <is>
          <t>ÖREBRO LÄN</t>
        </is>
      </c>
      <c r="E443" t="inlineStr">
        <is>
          <t>ÖREBRO</t>
        </is>
      </c>
      <c r="G443" t="n">
        <v>13.3</v>
      </c>
      <c r="H443" t="n">
        <v>0</v>
      </c>
      <c r="I443" t="n">
        <v>0</v>
      </c>
      <c r="J443" t="n">
        <v>0</v>
      </c>
      <c r="K443" t="n">
        <v>0</v>
      </c>
      <c r="L443" t="n">
        <v>0</v>
      </c>
      <c r="M443" t="n">
        <v>0</v>
      </c>
      <c r="N443" t="n">
        <v>0</v>
      </c>
      <c r="O443" t="n">
        <v>0</v>
      </c>
      <c r="P443" t="n">
        <v>0</v>
      </c>
      <c r="Q443" t="n">
        <v>0</v>
      </c>
      <c r="R443" s="2" t="inlineStr"/>
    </row>
    <row r="444" ht="15" customHeight="1">
      <c r="A444" t="inlineStr">
        <is>
          <t>A 22677-2022</t>
        </is>
      </c>
      <c r="B444" s="1" t="n">
        <v>44714</v>
      </c>
      <c r="C444" s="1" t="n">
        <v>46183</v>
      </c>
      <c r="D444" t="inlineStr">
        <is>
          <t>ÖREBRO LÄN</t>
        </is>
      </c>
      <c r="E444" t="inlineStr">
        <is>
          <t>ÖREBRO</t>
        </is>
      </c>
      <c r="G444" t="n">
        <v>2.3</v>
      </c>
      <c r="H444" t="n">
        <v>0</v>
      </c>
      <c r="I444" t="n">
        <v>0</v>
      </c>
      <c r="J444" t="n">
        <v>0</v>
      </c>
      <c r="K444" t="n">
        <v>0</v>
      </c>
      <c r="L444" t="n">
        <v>0</v>
      </c>
      <c r="M444" t="n">
        <v>0</v>
      </c>
      <c r="N444" t="n">
        <v>0</v>
      </c>
      <c r="O444" t="n">
        <v>0</v>
      </c>
      <c r="P444" t="n">
        <v>0</v>
      </c>
      <c r="Q444" t="n">
        <v>0</v>
      </c>
      <c r="R444" s="2" t="inlineStr"/>
    </row>
    <row r="445" ht="15" customHeight="1">
      <c r="A445" t="inlineStr">
        <is>
          <t>A 71285-2021</t>
        </is>
      </c>
      <c r="B445" s="1" t="n">
        <v>44539.62236111111</v>
      </c>
      <c r="C445" s="1" t="n">
        <v>46183</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71288-2021</t>
        </is>
      </c>
      <c r="B446" s="1" t="n">
        <v>44539.62481481482</v>
      </c>
      <c r="C446" s="1" t="n">
        <v>46183</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10830-2023</t>
        </is>
      </c>
      <c r="B447" s="1" t="n">
        <v>44990.89752314815</v>
      </c>
      <c r="C447" s="1" t="n">
        <v>46183</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7692-2023</t>
        </is>
      </c>
      <c r="B448" s="1" t="n">
        <v>44972.7762962963</v>
      </c>
      <c r="C448" s="1" t="n">
        <v>46183</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31240-2023</t>
        </is>
      </c>
      <c r="B449" s="1" t="n">
        <v>45114</v>
      </c>
      <c r="C449" s="1" t="n">
        <v>46183</v>
      </c>
      <c r="D449" t="inlineStr">
        <is>
          <t>ÖREBRO LÄN</t>
        </is>
      </c>
      <c r="E449" t="inlineStr">
        <is>
          <t>ÖREBRO</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60289-2023</t>
        </is>
      </c>
      <c r="B450" s="1" t="n">
        <v>45257</v>
      </c>
      <c r="C450" s="1" t="n">
        <v>46183</v>
      </c>
      <c r="D450" t="inlineStr">
        <is>
          <t>ÖREBRO LÄN</t>
        </is>
      </c>
      <c r="E450" t="inlineStr">
        <is>
          <t>ÖREBRO</t>
        </is>
      </c>
      <c r="G450" t="n">
        <v>10.9</v>
      </c>
      <c r="H450" t="n">
        <v>0</v>
      </c>
      <c r="I450" t="n">
        <v>0</v>
      </c>
      <c r="J450" t="n">
        <v>0</v>
      </c>
      <c r="K450" t="n">
        <v>0</v>
      </c>
      <c r="L450" t="n">
        <v>0</v>
      </c>
      <c r="M450" t="n">
        <v>0</v>
      </c>
      <c r="N450" t="n">
        <v>0</v>
      </c>
      <c r="O450" t="n">
        <v>0</v>
      </c>
      <c r="P450" t="n">
        <v>0</v>
      </c>
      <c r="Q450" t="n">
        <v>0</v>
      </c>
      <c r="R450" s="2" t="inlineStr"/>
    </row>
    <row r="451" ht="15" customHeight="1">
      <c r="A451" t="inlineStr">
        <is>
          <t>A 12099-2023</t>
        </is>
      </c>
      <c r="B451" s="1" t="n">
        <v>44998.37043981482</v>
      </c>
      <c r="C451" s="1" t="n">
        <v>46183</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50026-2024</t>
        </is>
      </c>
      <c r="B452" s="1" t="n">
        <v>45599.60541666667</v>
      </c>
      <c r="C452" s="1" t="n">
        <v>46183</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18449-2023</t>
        </is>
      </c>
      <c r="B453" s="1" t="n">
        <v>45042.5203125</v>
      </c>
      <c r="C453" s="1" t="n">
        <v>46183</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16936-2023</t>
        </is>
      </c>
      <c r="B454" s="1" t="n">
        <v>45033.63005787037</v>
      </c>
      <c r="C454" s="1" t="n">
        <v>46183</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58145-2024</t>
        </is>
      </c>
      <c r="B455" s="1" t="n">
        <v>45632.43230324074</v>
      </c>
      <c r="C455" s="1" t="n">
        <v>46183</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64730-2023</t>
        </is>
      </c>
      <c r="B456" s="1" t="n">
        <v>45281</v>
      </c>
      <c r="C456" s="1" t="n">
        <v>46183</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44284-2022</t>
        </is>
      </c>
      <c r="B457" s="1" t="n">
        <v>44839.59194444444</v>
      </c>
      <c r="C457" s="1" t="n">
        <v>46183</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14544-2023</t>
        </is>
      </c>
      <c r="B458" s="1" t="n">
        <v>45013</v>
      </c>
      <c r="C458" s="1" t="n">
        <v>46183</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15682-2023</t>
        </is>
      </c>
      <c r="B459" s="1" t="n">
        <v>45021</v>
      </c>
      <c r="C459" s="1" t="n">
        <v>46183</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4416-2023</t>
        </is>
      </c>
      <c r="B460" s="1" t="n">
        <v>44956</v>
      </c>
      <c r="C460" s="1" t="n">
        <v>46183</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49062-2023</t>
        </is>
      </c>
      <c r="B461" s="1" t="n">
        <v>45210.35119212963</v>
      </c>
      <c r="C461" s="1" t="n">
        <v>46183</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57537-2025</t>
        </is>
      </c>
      <c r="B462" s="1" t="n">
        <v>45980.6446875</v>
      </c>
      <c r="C462" s="1" t="n">
        <v>46183</v>
      </c>
      <c r="D462" t="inlineStr">
        <is>
          <t>ÖREBRO LÄN</t>
        </is>
      </c>
      <c r="E462" t="inlineStr">
        <is>
          <t>ÖREBRO</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32321-2023</t>
        </is>
      </c>
      <c r="B463" s="1" t="n">
        <v>45120</v>
      </c>
      <c r="C463" s="1" t="n">
        <v>46183</v>
      </c>
      <c r="D463" t="inlineStr">
        <is>
          <t>ÖREBRO LÄN</t>
        </is>
      </c>
      <c r="E463" t="inlineStr">
        <is>
          <t>ÖREBRO</t>
        </is>
      </c>
      <c r="G463" t="n">
        <v>3.4</v>
      </c>
      <c r="H463" t="n">
        <v>0</v>
      </c>
      <c r="I463" t="n">
        <v>0</v>
      </c>
      <c r="J463" t="n">
        <v>0</v>
      </c>
      <c r="K463" t="n">
        <v>0</v>
      </c>
      <c r="L463" t="n">
        <v>0</v>
      </c>
      <c r="M463" t="n">
        <v>0</v>
      </c>
      <c r="N463" t="n">
        <v>0</v>
      </c>
      <c r="O463" t="n">
        <v>0</v>
      </c>
      <c r="P463" t="n">
        <v>0</v>
      </c>
      <c r="Q463" t="n">
        <v>0</v>
      </c>
      <c r="R463" s="2" t="inlineStr"/>
    </row>
    <row r="464" ht="15" customHeight="1">
      <c r="A464" t="inlineStr">
        <is>
          <t>A 2095-2025</t>
        </is>
      </c>
      <c r="B464" s="1" t="n">
        <v>45672</v>
      </c>
      <c r="C464" s="1" t="n">
        <v>46183</v>
      </c>
      <c r="D464" t="inlineStr">
        <is>
          <t>ÖREBRO LÄN</t>
        </is>
      </c>
      <c r="E464" t="inlineStr">
        <is>
          <t>ÖREBRO</t>
        </is>
      </c>
      <c r="G464" t="n">
        <v>1.2</v>
      </c>
      <c r="H464" t="n">
        <v>0</v>
      </c>
      <c r="I464" t="n">
        <v>0</v>
      </c>
      <c r="J464" t="n">
        <v>0</v>
      </c>
      <c r="K464" t="n">
        <v>0</v>
      </c>
      <c r="L464" t="n">
        <v>0</v>
      </c>
      <c r="M464" t="n">
        <v>0</v>
      </c>
      <c r="N464" t="n">
        <v>0</v>
      </c>
      <c r="O464" t="n">
        <v>0</v>
      </c>
      <c r="P464" t="n">
        <v>0</v>
      </c>
      <c r="Q464" t="n">
        <v>0</v>
      </c>
      <c r="R464" s="2" t="inlineStr"/>
    </row>
    <row r="465" ht="15" customHeight="1">
      <c r="A465" t="inlineStr">
        <is>
          <t>A 58587-2025</t>
        </is>
      </c>
      <c r="B465" s="1" t="n">
        <v>45986.40208333333</v>
      </c>
      <c r="C465" s="1" t="n">
        <v>46183</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71275-2021</t>
        </is>
      </c>
      <c r="B466" s="1" t="n">
        <v>44539</v>
      </c>
      <c r="C466" s="1" t="n">
        <v>46183</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58608-2024</t>
        </is>
      </c>
      <c r="B467" s="1" t="n">
        <v>45635.55185185185</v>
      </c>
      <c r="C467" s="1" t="n">
        <v>46183</v>
      </c>
      <c r="D467" t="inlineStr">
        <is>
          <t>ÖREBRO LÄN</t>
        </is>
      </c>
      <c r="E467" t="inlineStr">
        <is>
          <t>ÖREBRO</t>
        </is>
      </c>
      <c r="F467" t="inlineStr">
        <is>
          <t>Sveaskog</t>
        </is>
      </c>
      <c r="G467" t="n">
        <v>0.3</v>
      </c>
      <c r="H467" t="n">
        <v>0</v>
      </c>
      <c r="I467" t="n">
        <v>0</v>
      </c>
      <c r="J467" t="n">
        <v>0</v>
      </c>
      <c r="K467" t="n">
        <v>0</v>
      </c>
      <c r="L467" t="n">
        <v>0</v>
      </c>
      <c r="M467" t="n">
        <v>0</v>
      </c>
      <c r="N467" t="n">
        <v>0</v>
      </c>
      <c r="O467" t="n">
        <v>0</v>
      </c>
      <c r="P467" t="n">
        <v>0</v>
      </c>
      <c r="Q467" t="n">
        <v>0</v>
      </c>
      <c r="R467" s="2" t="inlineStr"/>
    </row>
    <row r="468" ht="15" customHeight="1">
      <c r="A468" t="inlineStr">
        <is>
          <t>A 2153-2023</t>
        </is>
      </c>
      <c r="B468" s="1" t="n">
        <v>44941</v>
      </c>
      <c r="C468" s="1" t="n">
        <v>46183</v>
      </c>
      <c r="D468" t="inlineStr">
        <is>
          <t>ÖREBRO LÄN</t>
        </is>
      </c>
      <c r="E468" t="inlineStr">
        <is>
          <t>ÖREBRO</t>
        </is>
      </c>
      <c r="G468" t="n">
        <v>6.3</v>
      </c>
      <c r="H468" t="n">
        <v>0</v>
      </c>
      <c r="I468" t="n">
        <v>0</v>
      </c>
      <c r="J468" t="n">
        <v>0</v>
      </c>
      <c r="K468" t="n">
        <v>0</v>
      </c>
      <c r="L468" t="n">
        <v>0</v>
      </c>
      <c r="M468" t="n">
        <v>0</v>
      </c>
      <c r="N468" t="n">
        <v>0</v>
      </c>
      <c r="O468" t="n">
        <v>0</v>
      </c>
      <c r="P468" t="n">
        <v>0</v>
      </c>
      <c r="Q468" t="n">
        <v>0</v>
      </c>
      <c r="R468" s="2" t="inlineStr"/>
    </row>
    <row r="469" ht="15" customHeight="1">
      <c r="A469" t="inlineStr">
        <is>
          <t>A 2069-2025</t>
        </is>
      </c>
      <c r="B469" s="1" t="n">
        <v>45672.56614583333</v>
      </c>
      <c r="C469" s="1" t="n">
        <v>46183</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58835-2025</t>
        </is>
      </c>
      <c r="B470" s="1" t="n">
        <v>45987.35519675926</v>
      </c>
      <c r="C470" s="1" t="n">
        <v>46183</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852-2025</t>
        </is>
      </c>
      <c r="B471" s="1" t="n">
        <v>45665.60148148148</v>
      </c>
      <c r="C471" s="1" t="n">
        <v>46183</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50398-2022</t>
        </is>
      </c>
      <c r="B472" s="1" t="n">
        <v>44861</v>
      </c>
      <c r="C472" s="1" t="n">
        <v>46183</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52441-2024</t>
        </is>
      </c>
      <c r="B473" s="1" t="n">
        <v>45609.48451388889</v>
      </c>
      <c r="C473" s="1" t="n">
        <v>46183</v>
      </c>
      <c r="D473" t="inlineStr">
        <is>
          <t>ÖREBRO LÄN</t>
        </is>
      </c>
      <c r="E473" t="inlineStr">
        <is>
          <t>ÖREBRO</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52499-2024</t>
        </is>
      </c>
      <c r="B474" s="1" t="n">
        <v>45609.58422453704</v>
      </c>
      <c r="C474" s="1" t="n">
        <v>46183</v>
      </c>
      <c r="D474" t="inlineStr">
        <is>
          <t>ÖREBRO LÄN</t>
        </is>
      </c>
      <c r="E474" t="inlineStr">
        <is>
          <t>ÖREBRO</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8008-2024</t>
        </is>
      </c>
      <c r="B475" s="1" t="n">
        <v>45350.6794212963</v>
      </c>
      <c r="C475" s="1" t="n">
        <v>46183</v>
      </c>
      <c r="D475" t="inlineStr">
        <is>
          <t>ÖREBRO LÄN</t>
        </is>
      </c>
      <c r="E475" t="inlineStr">
        <is>
          <t>ÖREBRO</t>
        </is>
      </c>
      <c r="G475" t="n">
        <v>0.6</v>
      </c>
      <c r="H475" t="n">
        <v>0</v>
      </c>
      <c r="I475" t="n">
        <v>0</v>
      </c>
      <c r="J475" t="n">
        <v>0</v>
      </c>
      <c r="K475" t="n">
        <v>0</v>
      </c>
      <c r="L475" t="n">
        <v>0</v>
      </c>
      <c r="M475" t="n">
        <v>0</v>
      </c>
      <c r="N475" t="n">
        <v>0</v>
      </c>
      <c r="O475" t="n">
        <v>0</v>
      </c>
      <c r="P475" t="n">
        <v>0</v>
      </c>
      <c r="Q475" t="n">
        <v>0</v>
      </c>
      <c r="R475" s="2" t="inlineStr"/>
    </row>
    <row r="476" ht="15" customHeight="1">
      <c r="A476" t="inlineStr">
        <is>
          <t>A 18181-2024</t>
        </is>
      </c>
      <c r="B476" s="1" t="n">
        <v>45420.64561342593</v>
      </c>
      <c r="C476" s="1" t="n">
        <v>46183</v>
      </c>
      <c r="D476" t="inlineStr">
        <is>
          <t>ÖREBRO LÄN</t>
        </is>
      </c>
      <c r="E476" t="inlineStr">
        <is>
          <t>ÖREBRO</t>
        </is>
      </c>
      <c r="G476" t="n">
        <v>7.6</v>
      </c>
      <c r="H476" t="n">
        <v>0</v>
      </c>
      <c r="I476" t="n">
        <v>0</v>
      </c>
      <c r="J476" t="n">
        <v>0</v>
      </c>
      <c r="K476" t="n">
        <v>0</v>
      </c>
      <c r="L476" t="n">
        <v>0</v>
      </c>
      <c r="M476" t="n">
        <v>0</v>
      </c>
      <c r="N476" t="n">
        <v>0</v>
      </c>
      <c r="O476" t="n">
        <v>0</v>
      </c>
      <c r="P476" t="n">
        <v>0</v>
      </c>
      <c r="Q476" t="n">
        <v>0</v>
      </c>
      <c r="R476" s="2" t="inlineStr"/>
    </row>
    <row r="477" ht="15" customHeight="1">
      <c r="A477" t="inlineStr">
        <is>
          <t>A 59312-2025</t>
        </is>
      </c>
      <c r="B477" s="1" t="n">
        <v>45989.30467592592</v>
      </c>
      <c r="C477" s="1" t="n">
        <v>46183</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38415-2023</t>
        </is>
      </c>
      <c r="B478" s="1" t="n">
        <v>45162.35502314815</v>
      </c>
      <c r="C478" s="1" t="n">
        <v>46183</v>
      </c>
      <c r="D478" t="inlineStr">
        <is>
          <t>ÖREBRO LÄN</t>
        </is>
      </c>
      <c r="E478" t="inlineStr">
        <is>
          <t>ÖREBRO</t>
        </is>
      </c>
      <c r="G478" t="n">
        <v>2.6</v>
      </c>
      <c r="H478" t="n">
        <v>0</v>
      </c>
      <c r="I478" t="n">
        <v>0</v>
      </c>
      <c r="J478" t="n">
        <v>0</v>
      </c>
      <c r="K478" t="n">
        <v>0</v>
      </c>
      <c r="L478" t="n">
        <v>0</v>
      </c>
      <c r="M478" t="n">
        <v>0</v>
      </c>
      <c r="N478" t="n">
        <v>0</v>
      </c>
      <c r="O478" t="n">
        <v>0</v>
      </c>
      <c r="P478" t="n">
        <v>0</v>
      </c>
      <c r="Q478" t="n">
        <v>0</v>
      </c>
      <c r="R478" s="2" t="inlineStr"/>
    </row>
    <row r="479" ht="15" customHeight="1">
      <c r="A479" t="inlineStr">
        <is>
          <t>A 59856-2025</t>
        </is>
      </c>
      <c r="B479" s="1" t="n">
        <v>45992.74891203704</v>
      </c>
      <c r="C479" s="1" t="n">
        <v>46183</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16374-2022</t>
        </is>
      </c>
      <c r="B480" s="1" t="n">
        <v>44671</v>
      </c>
      <c r="C480" s="1" t="n">
        <v>46183</v>
      </c>
      <c r="D480" t="inlineStr">
        <is>
          <t>ÖREBRO LÄN</t>
        </is>
      </c>
      <c r="E480" t="inlineStr">
        <is>
          <t>ÖREBRO</t>
        </is>
      </c>
      <c r="F480" t="inlineStr">
        <is>
          <t>Övriga Aktiebolag</t>
        </is>
      </c>
      <c r="G480" t="n">
        <v>30.3</v>
      </c>
      <c r="H480" t="n">
        <v>0</v>
      </c>
      <c r="I480" t="n">
        <v>0</v>
      </c>
      <c r="J480" t="n">
        <v>0</v>
      </c>
      <c r="K480" t="n">
        <v>0</v>
      </c>
      <c r="L480" t="n">
        <v>0</v>
      </c>
      <c r="M480" t="n">
        <v>0</v>
      </c>
      <c r="N480" t="n">
        <v>0</v>
      </c>
      <c r="O480" t="n">
        <v>0</v>
      </c>
      <c r="P480" t="n">
        <v>0</v>
      </c>
      <c r="Q480" t="n">
        <v>0</v>
      </c>
      <c r="R480" s="2" t="inlineStr"/>
    </row>
    <row r="481" ht="15" customHeight="1">
      <c r="A481" t="inlineStr">
        <is>
          <t>A 9704-2023</t>
        </is>
      </c>
      <c r="B481" s="1" t="n">
        <v>44984</v>
      </c>
      <c r="C481" s="1" t="n">
        <v>46183</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19180-2025</t>
        </is>
      </c>
      <c r="B482" s="1" t="n">
        <v>45769.40133101852</v>
      </c>
      <c r="C482" s="1" t="n">
        <v>46183</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46052-2024</t>
        </is>
      </c>
      <c r="B483" s="1" t="n">
        <v>45580.89116898148</v>
      </c>
      <c r="C483" s="1" t="n">
        <v>46183</v>
      </c>
      <c r="D483" t="inlineStr">
        <is>
          <t>ÖREBRO LÄN</t>
        </is>
      </c>
      <c r="E483" t="inlineStr">
        <is>
          <t>ÖREBRO</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58527-2024</t>
        </is>
      </c>
      <c r="B484" s="1" t="n">
        <v>45635.44388888889</v>
      </c>
      <c r="C484" s="1" t="n">
        <v>46183</v>
      </c>
      <c r="D484" t="inlineStr">
        <is>
          <t>ÖREBRO LÄN</t>
        </is>
      </c>
      <c r="E484" t="inlineStr">
        <is>
          <t>ÖREBRO</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37022-2024</t>
        </is>
      </c>
      <c r="B485" s="1" t="n">
        <v>45539.3822337963</v>
      </c>
      <c r="C485" s="1" t="n">
        <v>46183</v>
      </c>
      <c r="D485" t="inlineStr">
        <is>
          <t>ÖREBRO LÄN</t>
        </is>
      </c>
      <c r="E485" t="inlineStr">
        <is>
          <t>ÖREBRO</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38075-2022</t>
        </is>
      </c>
      <c r="B486" s="1" t="n">
        <v>44811</v>
      </c>
      <c r="C486" s="1" t="n">
        <v>46183</v>
      </c>
      <c r="D486" t="inlineStr">
        <is>
          <t>ÖREBRO LÄN</t>
        </is>
      </c>
      <c r="E486" t="inlineStr">
        <is>
          <t>ÖREBRO</t>
        </is>
      </c>
      <c r="G486" t="n">
        <v>0.2</v>
      </c>
      <c r="H486" t="n">
        <v>0</v>
      </c>
      <c r="I486" t="n">
        <v>0</v>
      </c>
      <c r="J486" t="n">
        <v>0</v>
      </c>
      <c r="K486" t="n">
        <v>0</v>
      </c>
      <c r="L486" t="n">
        <v>0</v>
      </c>
      <c r="M486" t="n">
        <v>0</v>
      </c>
      <c r="N486" t="n">
        <v>0</v>
      </c>
      <c r="O486" t="n">
        <v>0</v>
      </c>
      <c r="P486" t="n">
        <v>0</v>
      </c>
      <c r="Q486" t="n">
        <v>0</v>
      </c>
      <c r="R486" s="2" t="inlineStr"/>
    </row>
    <row r="487" ht="15" customHeight="1">
      <c r="A487" t="inlineStr">
        <is>
          <t>A 59857-2025</t>
        </is>
      </c>
      <c r="B487" s="1" t="n">
        <v>45992.75820601852</v>
      </c>
      <c r="C487" s="1" t="n">
        <v>46183</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11382-2023</t>
        </is>
      </c>
      <c r="B488" s="1" t="n">
        <v>44993.45635416666</v>
      </c>
      <c r="C488" s="1" t="n">
        <v>46183</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20121-2024</t>
        </is>
      </c>
      <c r="B489" s="1" t="n">
        <v>45434</v>
      </c>
      <c r="C489" s="1" t="n">
        <v>46183</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59858-2025</t>
        </is>
      </c>
      <c r="B490" s="1" t="n">
        <v>45992.76758101852</v>
      </c>
      <c r="C490" s="1" t="n">
        <v>46183</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59859-2025</t>
        </is>
      </c>
      <c r="B491" s="1" t="n">
        <v>45992.7803125</v>
      </c>
      <c r="C491" s="1" t="n">
        <v>46183</v>
      </c>
      <c r="D491" t="inlineStr">
        <is>
          <t>ÖREBRO LÄN</t>
        </is>
      </c>
      <c r="E491" t="inlineStr">
        <is>
          <t>ÖREBRO</t>
        </is>
      </c>
      <c r="G491" t="n">
        <v>0.4</v>
      </c>
      <c r="H491" t="n">
        <v>0</v>
      </c>
      <c r="I491" t="n">
        <v>0</v>
      </c>
      <c r="J491" t="n">
        <v>0</v>
      </c>
      <c r="K491" t="n">
        <v>0</v>
      </c>
      <c r="L491" t="n">
        <v>0</v>
      </c>
      <c r="M491" t="n">
        <v>0</v>
      </c>
      <c r="N491" t="n">
        <v>0</v>
      </c>
      <c r="O491" t="n">
        <v>0</v>
      </c>
      <c r="P491" t="n">
        <v>0</v>
      </c>
      <c r="Q491" t="n">
        <v>0</v>
      </c>
      <c r="R491" s="2" t="inlineStr"/>
    </row>
    <row r="492" ht="15" customHeight="1">
      <c r="A492" t="inlineStr">
        <is>
          <t>A 55943-2024</t>
        </is>
      </c>
      <c r="B492" s="1" t="n">
        <v>45623.61278935185</v>
      </c>
      <c r="C492" s="1" t="n">
        <v>46183</v>
      </c>
      <c r="D492" t="inlineStr">
        <is>
          <t>ÖREBRO LÄN</t>
        </is>
      </c>
      <c r="E492" t="inlineStr">
        <is>
          <t>ÖREBRO</t>
        </is>
      </c>
      <c r="G492" t="n">
        <v>4.8</v>
      </c>
      <c r="H492" t="n">
        <v>0</v>
      </c>
      <c r="I492" t="n">
        <v>0</v>
      </c>
      <c r="J492" t="n">
        <v>0</v>
      </c>
      <c r="K492" t="n">
        <v>0</v>
      </c>
      <c r="L492" t="n">
        <v>0</v>
      </c>
      <c r="M492" t="n">
        <v>0</v>
      </c>
      <c r="N492" t="n">
        <v>0</v>
      </c>
      <c r="O492" t="n">
        <v>0</v>
      </c>
      <c r="P492" t="n">
        <v>0</v>
      </c>
      <c r="Q492" t="n">
        <v>0</v>
      </c>
      <c r="R492" s="2" t="inlineStr"/>
    </row>
    <row r="493" ht="15" customHeight="1">
      <c r="A493" t="inlineStr">
        <is>
          <t>A 1013-2024</t>
        </is>
      </c>
      <c r="B493" s="1" t="n">
        <v>45301</v>
      </c>
      <c r="C493" s="1" t="n">
        <v>46183</v>
      </c>
      <c r="D493" t="inlineStr">
        <is>
          <t>ÖREBRO LÄN</t>
        </is>
      </c>
      <c r="E493" t="inlineStr">
        <is>
          <t>ÖREBRO</t>
        </is>
      </c>
      <c r="G493" t="n">
        <v>2.6</v>
      </c>
      <c r="H493" t="n">
        <v>0</v>
      </c>
      <c r="I493" t="n">
        <v>0</v>
      </c>
      <c r="J493" t="n">
        <v>0</v>
      </c>
      <c r="K493" t="n">
        <v>0</v>
      </c>
      <c r="L493" t="n">
        <v>0</v>
      </c>
      <c r="M493" t="n">
        <v>0</v>
      </c>
      <c r="N493" t="n">
        <v>0</v>
      </c>
      <c r="O493" t="n">
        <v>0</v>
      </c>
      <c r="P493" t="n">
        <v>0</v>
      </c>
      <c r="Q493" t="n">
        <v>0</v>
      </c>
      <c r="R493" s="2" t="inlineStr"/>
    </row>
    <row r="494" ht="15" customHeight="1">
      <c r="A494" t="inlineStr">
        <is>
          <t>A 13623-2024</t>
        </is>
      </c>
      <c r="B494" s="1" t="n">
        <v>45390.38626157407</v>
      </c>
      <c r="C494" s="1" t="n">
        <v>46183</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59937-2025</t>
        </is>
      </c>
      <c r="B495" s="1" t="n">
        <v>45993.41934027777</v>
      </c>
      <c r="C495" s="1" t="n">
        <v>46183</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59938-2025</t>
        </is>
      </c>
      <c r="B496" s="1" t="n">
        <v>45993.42108796296</v>
      </c>
      <c r="C496" s="1" t="n">
        <v>46183</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59860-2025</t>
        </is>
      </c>
      <c r="B497" s="1" t="n">
        <v>45992.78351851852</v>
      </c>
      <c r="C497" s="1" t="n">
        <v>46183</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60717-2025</t>
        </is>
      </c>
      <c r="B498" s="1" t="n">
        <v>45996.63673611111</v>
      </c>
      <c r="C498" s="1" t="n">
        <v>46183</v>
      </c>
      <c r="D498" t="inlineStr">
        <is>
          <t>ÖREBRO LÄN</t>
        </is>
      </c>
      <c r="E498" t="inlineStr">
        <is>
          <t>ÖREBRO</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60718-2025</t>
        </is>
      </c>
      <c r="B499" s="1" t="n">
        <v>45996.6384375</v>
      </c>
      <c r="C499" s="1" t="n">
        <v>46183</v>
      </c>
      <c r="D499" t="inlineStr">
        <is>
          <t>ÖREBRO LÄN</t>
        </is>
      </c>
      <c r="E499" t="inlineStr">
        <is>
          <t>ÖREBRO</t>
        </is>
      </c>
      <c r="F499" t="inlineStr">
        <is>
          <t>Sveaskog</t>
        </is>
      </c>
      <c r="G499" t="n">
        <v>5.3</v>
      </c>
      <c r="H499" t="n">
        <v>0</v>
      </c>
      <c r="I499" t="n">
        <v>0</v>
      </c>
      <c r="J499" t="n">
        <v>0</v>
      </c>
      <c r="K499" t="n">
        <v>0</v>
      </c>
      <c r="L499" t="n">
        <v>0</v>
      </c>
      <c r="M499" t="n">
        <v>0</v>
      </c>
      <c r="N499" t="n">
        <v>0</v>
      </c>
      <c r="O499" t="n">
        <v>0</v>
      </c>
      <c r="P499" t="n">
        <v>0</v>
      </c>
      <c r="Q499" t="n">
        <v>0</v>
      </c>
      <c r="R499" s="2" t="inlineStr"/>
    </row>
    <row r="500" ht="15" customHeight="1">
      <c r="A500" t="inlineStr">
        <is>
          <t>A 60555-2025</t>
        </is>
      </c>
      <c r="B500" s="1" t="n">
        <v>45995.73722222223</v>
      </c>
      <c r="C500" s="1" t="n">
        <v>46183</v>
      </c>
      <c r="D500" t="inlineStr">
        <is>
          <t>ÖREBRO LÄN</t>
        </is>
      </c>
      <c r="E500" t="inlineStr">
        <is>
          <t>ÖREBRO</t>
        </is>
      </c>
      <c r="G500" t="n">
        <v>1.7</v>
      </c>
      <c r="H500" t="n">
        <v>0</v>
      </c>
      <c r="I500" t="n">
        <v>0</v>
      </c>
      <c r="J500" t="n">
        <v>0</v>
      </c>
      <c r="K500" t="n">
        <v>0</v>
      </c>
      <c r="L500" t="n">
        <v>0</v>
      </c>
      <c r="M500" t="n">
        <v>0</v>
      </c>
      <c r="N500" t="n">
        <v>0</v>
      </c>
      <c r="O500" t="n">
        <v>0</v>
      </c>
      <c r="P500" t="n">
        <v>0</v>
      </c>
      <c r="Q500" t="n">
        <v>0</v>
      </c>
      <c r="R500" s="2" t="inlineStr"/>
    </row>
    <row r="501" ht="15" customHeight="1">
      <c r="A501" t="inlineStr">
        <is>
          <t>A 60551-2025</t>
        </is>
      </c>
      <c r="B501" s="1" t="n">
        <v>45995</v>
      </c>
      <c r="C501" s="1" t="n">
        <v>46183</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5330-2024</t>
        </is>
      </c>
      <c r="B502" s="1" t="n">
        <v>45331.4187962963</v>
      </c>
      <c r="C502" s="1" t="n">
        <v>46183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60720-2025</t>
        </is>
      </c>
      <c r="B503" s="1" t="n">
        <v>45996.64050925926</v>
      </c>
      <c r="C503" s="1" t="n">
        <v>46183</v>
      </c>
      <c r="D503" t="inlineStr">
        <is>
          <t>ÖREBRO LÄN</t>
        </is>
      </c>
      <c r="E503" t="inlineStr">
        <is>
          <t>ÖREBRO</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6794-2025</t>
        </is>
      </c>
      <c r="B504" s="1" t="n">
        <v>45700.66429398148</v>
      </c>
      <c r="C504" s="1" t="n">
        <v>46183</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61525-2025</t>
        </is>
      </c>
      <c r="B505" s="1" t="n">
        <v>46001</v>
      </c>
      <c r="C505" s="1" t="n">
        <v>46183</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3-2024</t>
        </is>
      </c>
      <c r="B506" s="1" t="n">
        <v>45292</v>
      </c>
      <c r="C506" s="1" t="n">
        <v>46183</v>
      </c>
      <c r="D506" t="inlineStr">
        <is>
          <t>ÖREBRO LÄN</t>
        </is>
      </c>
      <c r="E506" t="inlineStr">
        <is>
          <t>ÖREBRO</t>
        </is>
      </c>
      <c r="G506" t="n">
        <v>2.7</v>
      </c>
      <c r="H506" t="n">
        <v>0</v>
      </c>
      <c r="I506" t="n">
        <v>0</v>
      </c>
      <c r="J506" t="n">
        <v>0</v>
      </c>
      <c r="K506" t="n">
        <v>0</v>
      </c>
      <c r="L506" t="n">
        <v>0</v>
      </c>
      <c r="M506" t="n">
        <v>0</v>
      </c>
      <c r="N506" t="n">
        <v>0</v>
      </c>
      <c r="O506" t="n">
        <v>0</v>
      </c>
      <c r="P506" t="n">
        <v>0</v>
      </c>
      <c r="Q506" t="n">
        <v>0</v>
      </c>
      <c r="R506" s="2" t="inlineStr"/>
    </row>
    <row r="507" ht="15" customHeight="1">
      <c r="A507" t="inlineStr">
        <is>
          <t>A 5619-2023</t>
        </is>
      </c>
      <c r="B507" s="1" t="n">
        <v>44958</v>
      </c>
      <c r="C507" s="1" t="n">
        <v>46183</v>
      </c>
      <c r="D507" t="inlineStr">
        <is>
          <t>ÖREBRO LÄN</t>
        </is>
      </c>
      <c r="E507" t="inlineStr">
        <is>
          <t>ÖREBRO</t>
        </is>
      </c>
      <c r="G507" t="n">
        <v>27</v>
      </c>
      <c r="H507" t="n">
        <v>0</v>
      </c>
      <c r="I507" t="n">
        <v>0</v>
      </c>
      <c r="J507" t="n">
        <v>0</v>
      </c>
      <c r="K507" t="n">
        <v>0</v>
      </c>
      <c r="L507" t="n">
        <v>0</v>
      </c>
      <c r="M507" t="n">
        <v>0</v>
      </c>
      <c r="N507" t="n">
        <v>0</v>
      </c>
      <c r="O507" t="n">
        <v>0</v>
      </c>
      <c r="P507" t="n">
        <v>0</v>
      </c>
      <c r="Q507" t="n">
        <v>0</v>
      </c>
      <c r="R507" s="2" t="inlineStr"/>
    </row>
    <row r="508" ht="15" customHeight="1">
      <c r="A508" t="inlineStr">
        <is>
          <t>A 5578-2024</t>
        </is>
      </c>
      <c r="B508" s="1" t="n">
        <v>45334.49104166667</v>
      </c>
      <c r="C508" s="1" t="n">
        <v>46183</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58615-2024</t>
        </is>
      </c>
      <c r="B509" s="1" t="n">
        <v>45635.5587037037</v>
      </c>
      <c r="C509" s="1" t="n">
        <v>46183</v>
      </c>
      <c r="D509" t="inlineStr">
        <is>
          <t>ÖREBRO LÄN</t>
        </is>
      </c>
      <c r="E509" t="inlineStr">
        <is>
          <t>ÖREBRO</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45517-2023</t>
        </is>
      </c>
      <c r="B510" s="1" t="n">
        <v>45194.49594907407</v>
      </c>
      <c r="C510" s="1" t="n">
        <v>46183</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3652-2022</t>
        </is>
      </c>
      <c r="B511" s="1" t="n">
        <v>44586.46921296296</v>
      </c>
      <c r="C511" s="1" t="n">
        <v>46183</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12245-2023</t>
        </is>
      </c>
      <c r="B512" s="1" t="n">
        <v>44998.64402777778</v>
      </c>
      <c r="C512" s="1" t="n">
        <v>46183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60506-2024</t>
        </is>
      </c>
      <c r="B513" s="1" t="n">
        <v>45643.66630787037</v>
      </c>
      <c r="C513" s="1" t="n">
        <v>46183</v>
      </c>
      <c r="D513" t="inlineStr">
        <is>
          <t>ÖREBRO LÄN</t>
        </is>
      </c>
      <c r="E513" t="inlineStr">
        <is>
          <t>ÖREBRO</t>
        </is>
      </c>
      <c r="G513" t="n">
        <v>5.8</v>
      </c>
      <c r="H513" t="n">
        <v>0</v>
      </c>
      <c r="I513" t="n">
        <v>0</v>
      </c>
      <c r="J513" t="n">
        <v>0</v>
      </c>
      <c r="K513" t="n">
        <v>0</v>
      </c>
      <c r="L513" t="n">
        <v>0</v>
      </c>
      <c r="M513" t="n">
        <v>0</v>
      </c>
      <c r="N513" t="n">
        <v>0</v>
      </c>
      <c r="O513" t="n">
        <v>0</v>
      </c>
      <c r="P513" t="n">
        <v>0</v>
      </c>
      <c r="Q513" t="n">
        <v>0</v>
      </c>
      <c r="R513" s="2" t="inlineStr"/>
    </row>
    <row r="514" ht="15" customHeight="1">
      <c r="A514" t="inlineStr">
        <is>
          <t>A 29978-2024</t>
        </is>
      </c>
      <c r="B514" s="1" t="n">
        <v>45488.48340277778</v>
      </c>
      <c r="C514" s="1" t="n">
        <v>46183</v>
      </c>
      <c r="D514" t="inlineStr">
        <is>
          <t>ÖREBRO LÄN</t>
        </is>
      </c>
      <c r="E514" t="inlineStr">
        <is>
          <t>ÖREBRO</t>
        </is>
      </c>
      <c r="G514" t="n">
        <v>1.8</v>
      </c>
      <c r="H514" t="n">
        <v>0</v>
      </c>
      <c r="I514" t="n">
        <v>0</v>
      </c>
      <c r="J514" t="n">
        <v>0</v>
      </c>
      <c r="K514" t="n">
        <v>0</v>
      </c>
      <c r="L514" t="n">
        <v>0</v>
      </c>
      <c r="M514" t="n">
        <v>0</v>
      </c>
      <c r="N514" t="n">
        <v>0</v>
      </c>
      <c r="O514" t="n">
        <v>0</v>
      </c>
      <c r="P514" t="n">
        <v>0</v>
      </c>
      <c r="Q514" t="n">
        <v>0</v>
      </c>
      <c r="R514" s="2" t="inlineStr"/>
    </row>
    <row r="515" ht="15" customHeight="1">
      <c r="A515" t="inlineStr">
        <is>
          <t>A 30903-2024</t>
        </is>
      </c>
      <c r="B515" s="1" t="n">
        <v>45498.49946759259</v>
      </c>
      <c r="C515" s="1" t="n">
        <v>46183</v>
      </c>
      <c r="D515" t="inlineStr">
        <is>
          <t>ÖREBRO LÄN</t>
        </is>
      </c>
      <c r="E515" t="inlineStr">
        <is>
          <t>ÖREBRO</t>
        </is>
      </c>
      <c r="G515" t="n">
        <v>1.1</v>
      </c>
      <c r="H515" t="n">
        <v>0</v>
      </c>
      <c r="I515" t="n">
        <v>0</v>
      </c>
      <c r="J515" t="n">
        <v>0</v>
      </c>
      <c r="K515" t="n">
        <v>0</v>
      </c>
      <c r="L515" t="n">
        <v>0</v>
      </c>
      <c r="M515" t="n">
        <v>0</v>
      </c>
      <c r="N515" t="n">
        <v>0</v>
      </c>
      <c r="O515" t="n">
        <v>0</v>
      </c>
      <c r="P515" t="n">
        <v>0</v>
      </c>
      <c r="Q515" t="n">
        <v>0</v>
      </c>
      <c r="R515" s="2" t="inlineStr"/>
    </row>
    <row r="516" ht="15" customHeight="1">
      <c r="A516" t="inlineStr">
        <is>
          <t>A 58611-2024</t>
        </is>
      </c>
      <c r="B516" s="1" t="n">
        <v>45635.55555555555</v>
      </c>
      <c r="C516" s="1" t="n">
        <v>46183</v>
      </c>
      <c r="D516" t="inlineStr">
        <is>
          <t>ÖREBRO LÄN</t>
        </is>
      </c>
      <c r="E516" t="inlineStr">
        <is>
          <t>ÖREBRO</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20146-2024</t>
        </is>
      </c>
      <c r="B517" s="1" t="n">
        <v>45434.57641203704</v>
      </c>
      <c r="C517" s="1" t="n">
        <v>46183</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53143-2023</t>
        </is>
      </c>
      <c r="B518" s="1" t="n">
        <v>45229</v>
      </c>
      <c r="C518" s="1" t="n">
        <v>46183</v>
      </c>
      <c r="D518" t="inlineStr">
        <is>
          <t>ÖREBRO LÄN</t>
        </is>
      </c>
      <c r="E518" t="inlineStr">
        <is>
          <t>ÖREBRO</t>
        </is>
      </c>
      <c r="G518" t="n">
        <v>3.3</v>
      </c>
      <c r="H518" t="n">
        <v>0</v>
      </c>
      <c r="I518" t="n">
        <v>0</v>
      </c>
      <c r="J518" t="n">
        <v>0</v>
      </c>
      <c r="K518" t="n">
        <v>0</v>
      </c>
      <c r="L518" t="n">
        <v>0</v>
      </c>
      <c r="M518" t="n">
        <v>0</v>
      </c>
      <c r="N518" t="n">
        <v>0</v>
      </c>
      <c r="O518" t="n">
        <v>0</v>
      </c>
      <c r="P518" t="n">
        <v>0</v>
      </c>
      <c r="Q518" t="n">
        <v>0</v>
      </c>
      <c r="R518" s="2" t="inlineStr"/>
    </row>
    <row r="519" ht="15" customHeight="1">
      <c r="A519" t="inlineStr">
        <is>
          <t>A 61930-2025</t>
        </is>
      </c>
      <c r="B519" s="1" t="n">
        <v>46003</v>
      </c>
      <c r="C519" s="1" t="n">
        <v>46183</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62683-2025</t>
        </is>
      </c>
      <c r="B520" s="1" t="n">
        <v>46008.45796296297</v>
      </c>
      <c r="C520" s="1" t="n">
        <v>46183</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55003-2025</t>
        </is>
      </c>
      <c r="B521" s="1" t="n">
        <v>45967</v>
      </c>
      <c r="C521" s="1" t="n">
        <v>46183</v>
      </c>
      <c r="D521" t="inlineStr">
        <is>
          <t>ÖREBRO LÄN</t>
        </is>
      </c>
      <c r="E521" t="inlineStr">
        <is>
          <t>ÖREBRO</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16258-2022</t>
        </is>
      </c>
      <c r="B522" s="1" t="n">
        <v>44670</v>
      </c>
      <c r="C522" s="1" t="n">
        <v>46183</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63657-2025</t>
        </is>
      </c>
      <c r="B523" s="1" t="n">
        <v>46014.44479166667</v>
      </c>
      <c r="C523" s="1" t="n">
        <v>46183</v>
      </c>
      <c r="D523" t="inlineStr">
        <is>
          <t>ÖREBRO LÄN</t>
        </is>
      </c>
      <c r="E523" t="inlineStr">
        <is>
          <t>ÖREBRO</t>
        </is>
      </c>
      <c r="F523" t="inlineStr">
        <is>
          <t>Allmännings- och besparingsskogar</t>
        </is>
      </c>
      <c r="G523" t="n">
        <v>3.9</v>
      </c>
      <c r="H523" t="n">
        <v>0</v>
      </c>
      <c r="I523" t="n">
        <v>0</v>
      </c>
      <c r="J523" t="n">
        <v>0</v>
      </c>
      <c r="K523" t="n">
        <v>0</v>
      </c>
      <c r="L523" t="n">
        <v>0</v>
      </c>
      <c r="M523" t="n">
        <v>0</v>
      </c>
      <c r="N523" t="n">
        <v>0</v>
      </c>
      <c r="O523" t="n">
        <v>0</v>
      </c>
      <c r="P523" t="n">
        <v>0</v>
      </c>
      <c r="Q523" t="n">
        <v>0</v>
      </c>
      <c r="R523" s="2" t="inlineStr"/>
    </row>
    <row r="524" ht="15" customHeight="1">
      <c r="A524" t="inlineStr">
        <is>
          <t>A 63666-2025</t>
        </is>
      </c>
      <c r="B524" s="1" t="n">
        <v>46014.45650462963</v>
      </c>
      <c r="C524" s="1" t="n">
        <v>46183</v>
      </c>
      <c r="D524" t="inlineStr">
        <is>
          <t>ÖREBRO LÄN</t>
        </is>
      </c>
      <c r="E524" t="inlineStr">
        <is>
          <t>ÖREBRO</t>
        </is>
      </c>
      <c r="F524" t="inlineStr">
        <is>
          <t>Allmännings- och besparingsskogar</t>
        </is>
      </c>
      <c r="G524" t="n">
        <v>2.6</v>
      </c>
      <c r="H524" t="n">
        <v>0</v>
      </c>
      <c r="I524" t="n">
        <v>0</v>
      </c>
      <c r="J524" t="n">
        <v>0</v>
      </c>
      <c r="K524" t="n">
        <v>0</v>
      </c>
      <c r="L524" t="n">
        <v>0</v>
      </c>
      <c r="M524" t="n">
        <v>0</v>
      </c>
      <c r="N524" t="n">
        <v>0</v>
      </c>
      <c r="O524" t="n">
        <v>0</v>
      </c>
      <c r="P524" t="n">
        <v>0</v>
      </c>
      <c r="Q524" t="n">
        <v>0</v>
      </c>
      <c r="R524" s="2" t="inlineStr"/>
    </row>
    <row r="525" ht="15" customHeight="1">
      <c r="A525" t="inlineStr">
        <is>
          <t>A 63662-2025</t>
        </is>
      </c>
      <c r="B525" s="1" t="n">
        <v>46014.45055555556</v>
      </c>
      <c r="C525" s="1" t="n">
        <v>46183</v>
      </c>
      <c r="D525" t="inlineStr">
        <is>
          <t>ÖREBRO LÄN</t>
        </is>
      </c>
      <c r="E525" t="inlineStr">
        <is>
          <t>ÖREBRO</t>
        </is>
      </c>
      <c r="F525" t="inlineStr">
        <is>
          <t>Allmännings- och besparingsskogar</t>
        </is>
      </c>
      <c r="G525" t="n">
        <v>3.2</v>
      </c>
      <c r="H525" t="n">
        <v>0</v>
      </c>
      <c r="I525" t="n">
        <v>0</v>
      </c>
      <c r="J525" t="n">
        <v>0</v>
      </c>
      <c r="K525" t="n">
        <v>0</v>
      </c>
      <c r="L525" t="n">
        <v>0</v>
      </c>
      <c r="M525" t="n">
        <v>0</v>
      </c>
      <c r="N525" t="n">
        <v>0</v>
      </c>
      <c r="O525" t="n">
        <v>0</v>
      </c>
      <c r="P525" t="n">
        <v>0</v>
      </c>
      <c r="Q525" t="n">
        <v>0</v>
      </c>
      <c r="R525" s="2" t="inlineStr"/>
    </row>
    <row r="526" ht="15" customHeight="1">
      <c r="A526" t="inlineStr">
        <is>
          <t>A 64019-2025</t>
        </is>
      </c>
      <c r="B526" s="1" t="n">
        <v>46021.45914351852</v>
      </c>
      <c r="C526" s="1" t="n">
        <v>46183</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18550-2025</t>
        </is>
      </c>
      <c r="B527" s="1" t="n">
        <v>45763</v>
      </c>
      <c r="C527" s="1" t="n">
        <v>46183</v>
      </c>
      <c r="D527" t="inlineStr">
        <is>
          <t>ÖREBRO LÄN</t>
        </is>
      </c>
      <c r="E527" t="inlineStr">
        <is>
          <t>ÖREBRO</t>
        </is>
      </c>
      <c r="G527" t="n">
        <v>11.5</v>
      </c>
      <c r="H527" t="n">
        <v>0</v>
      </c>
      <c r="I527" t="n">
        <v>0</v>
      </c>
      <c r="J527" t="n">
        <v>0</v>
      </c>
      <c r="K527" t="n">
        <v>0</v>
      </c>
      <c r="L527" t="n">
        <v>0</v>
      </c>
      <c r="M527" t="n">
        <v>0</v>
      </c>
      <c r="N527" t="n">
        <v>0</v>
      </c>
      <c r="O527" t="n">
        <v>0</v>
      </c>
      <c r="P527" t="n">
        <v>0</v>
      </c>
      <c r="Q527" t="n">
        <v>0</v>
      </c>
      <c r="R527" s="2" t="inlineStr"/>
    </row>
    <row r="528" ht="15" customHeight="1">
      <c r="A528" t="inlineStr">
        <is>
          <t>A 1153-2026</t>
        </is>
      </c>
      <c r="B528" s="1" t="n">
        <v>46031.30899305556</v>
      </c>
      <c r="C528" s="1" t="n">
        <v>46183</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2162-2026</t>
        </is>
      </c>
      <c r="B529" s="1" t="n">
        <v>46036.43479166667</v>
      </c>
      <c r="C529" s="1" t="n">
        <v>46183</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59515-2025</t>
        </is>
      </c>
      <c r="B530" s="1" t="n">
        <v>45989.65238425926</v>
      </c>
      <c r="C530" s="1" t="n">
        <v>46183</v>
      </c>
      <c r="D530" t="inlineStr">
        <is>
          <t>ÖREBRO LÄN</t>
        </is>
      </c>
      <c r="E530" t="inlineStr">
        <is>
          <t>ÖREBRO</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3031-2026</t>
        </is>
      </c>
      <c r="B531" s="1" t="n">
        <v>46038.71271990741</v>
      </c>
      <c r="C531" s="1" t="n">
        <v>46183</v>
      </c>
      <c r="D531" t="inlineStr">
        <is>
          <t>ÖREBRO LÄN</t>
        </is>
      </c>
      <c r="E531" t="inlineStr">
        <is>
          <t>ÖREBRO</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3033-2026</t>
        </is>
      </c>
      <c r="B532" s="1" t="n">
        <v>46038.71920138889</v>
      </c>
      <c r="C532" s="1" t="n">
        <v>46183</v>
      </c>
      <c r="D532" t="inlineStr">
        <is>
          <t>ÖREBRO LÄN</t>
        </is>
      </c>
      <c r="E532" t="inlineStr">
        <is>
          <t>ÖREBRO</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3042-2026</t>
        </is>
      </c>
      <c r="B533" s="1" t="n">
        <v>46038.73467592592</v>
      </c>
      <c r="C533" s="1" t="n">
        <v>46183</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3252-2026</t>
        </is>
      </c>
      <c r="B534" s="1" t="n">
        <v>46041.58626157408</v>
      </c>
      <c r="C534" s="1" t="n">
        <v>46183</v>
      </c>
      <c r="D534" t="inlineStr">
        <is>
          <t>ÖREBRO LÄN</t>
        </is>
      </c>
      <c r="E534" t="inlineStr">
        <is>
          <t>ÖREBRO</t>
        </is>
      </c>
      <c r="F534" t="inlineStr">
        <is>
          <t>Övriga Aktiebolag</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3944-2026</t>
        </is>
      </c>
      <c r="B535" s="1" t="n">
        <v>46043.93358796297</v>
      </c>
      <c r="C535" s="1" t="n">
        <v>46183</v>
      </c>
      <c r="D535" t="inlineStr">
        <is>
          <t>ÖREBRO LÄN</t>
        </is>
      </c>
      <c r="E535" t="inlineStr">
        <is>
          <t>ÖREBRO</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6220-2026</t>
        </is>
      </c>
      <c r="B536" s="1" t="n">
        <v>46055.43789351852</v>
      </c>
      <c r="C536" s="1" t="n">
        <v>46183</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7550-2026</t>
        </is>
      </c>
      <c r="B537" s="1" t="n">
        <v>46059.68496527777</v>
      </c>
      <c r="C537" s="1" t="n">
        <v>46183</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6254-2026</t>
        </is>
      </c>
      <c r="B538" s="1" t="n">
        <v>46055</v>
      </c>
      <c r="C538" s="1" t="n">
        <v>46183</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8677-2026</t>
        </is>
      </c>
      <c r="B539" s="1" t="n">
        <v>46066.40994212963</v>
      </c>
      <c r="C539" s="1" t="n">
        <v>46183</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8461-2026</t>
        </is>
      </c>
      <c r="B540" s="1" t="n">
        <v>46065.42981481482</v>
      </c>
      <c r="C540" s="1" t="n">
        <v>46183</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8662-2026</t>
        </is>
      </c>
      <c r="B541" s="1" t="n">
        <v>46066.38112268518</v>
      </c>
      <c r="C541" s="1" t="n">
        <v>46183</v>
      </c>
      <c r="D541" t="inlineStr">
        <is>
          <t>ÖREBRO LÄN</t>
        </is>
      </c>
      <c r="E541" t="inlineStr">
        <is>
          <t>ÖREBRO</t>
        </is>
      </c>
      <c r="G541" t="n">
        <v>3.2</v>
      </c>
      <c r="H541" t="n">
        <v>0</v>
      </c>
      <c r="I541" t="n">
        <v>0</v>
      </c>
      <c r="J541" t="n">
        <v>0</v>
      </c>
      <c r="K541" t="n">
        <v>0</v>
      </c>
      <c r="L541" t="n">
        <v>0</v>
      </c>
      <c r="M541" t="n">
        <v>0</v>
      </c>
      <c r="N541" t="n">
        <v>0</v>
      </c>
      <c r="O541" t="n">
        <v>0</v>
      </c>
      <c r="P541" t="n">
        <v>0</v>
      </c>
      <c r="Q541" t="n">
        <v>0</v>
      </c>
      <c r="R541" s="2" t="inlineStr"/>
    </row>
    <row r="542" ht="15" customHeight="1">
      <c r="A542" t="inlineStr">
        <is>
          <t>A 9318-2026</t>
        </is>
      </c>
      <c r="B542" s="1" t="n">
        <v>46070.62585648148</v>
      </c>
      <c r="C542" s="1" t="n">
        <v>46183</v>
      </c>
      <c r="D542" t="inlineStr">
        <is>
          <t>ÖREBRO LÄN</t>
        </is>
      </c>
      <c r="E542" t="inlineStr">
        <is>
          <t>ÖREBRO</t>
        </is>
      </c>
      <c r="F542" t="inlineStr">
        <is>
          <t>Övriga Aktiebolag</t>
        </is>
      </c>
      <c r="G542" t="n">
        <v>2.7</v>
      </c>
      <c r="H542" t="n">
        <v>0</v>
      </c>
      <c r="I542" t="n">
        <v>0</v>
      </c>
      <c r="J542" t="n">
        <v>0</v>
      </c>
      <c r="K542" t="n">
        <v>0</v>
      </c>
      <c r="L542" t="n">
        <v>0</v>
      </c>
      <c r="M542" t="n">
        <v>0</v>
      </c>
      <c r="N542" t="n">
        <v>0</v>
      </c>
      <c r="O542" t="n">
        <v>0</v>
      </c>
      <c r="P542" t="n">
        <v>0</v>
      </c>
      <c r="Q542" t="n">
        <v>0</v>
      </c>
      <c r="R542" s="2" t="inlineStr"/>
    </row>
    <row r="543" ht="15" customHeight="1">
      <c r="A543" t="inlineStr">
        <is>
          <t>A 10108-2026</t>
        </is>
      </c>
      <c r="B543" s="1" t="n">
        <v>46074.64310185185</v>
      </c>
      <c r="C543" s="1" t="n">
        <v>46183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10944-2026</t>
        </is>
      </c>
      <c r="B544" s="1" t="n">
        <v>46079.37659722222</v>
      </c>
      <c r="C544" s="1" t="n">
        <v>46183</v>
      </c>
      <c r="D544" t="inlineStr">
        <is>
          <t>ÖREBRO LÄN</t>
        </is>
      </c>
      <c r="E544" t="inlineStr">
        <is>
          <t>ÖREBRO</t>
        </is>
      </c>
      <c r="G544" t="n">
        <v>2.7</v>
      </c>
      <c r="H544" t="n">
        <v>0</v>
      </c>
      <c r="I544" t="n">
        <v>0</v>
      </c>
      <c r="J544" t="n">
        <v>0</v>
      </c>
      <c r="K544" t="n">
        <v>0</v>
      </c>
      <c r="L544" t="n">
        <v>0</v>
      </c>
      <c r="M544" t="n">
        <v>0</v>
      </c>
      <c r="N544" t="n">
        <v>0</v>
      </c>
      <c r="O544" t="n">
        <v>0</v>
      </c>
      <c r="P544" t="n">
        <v>0</v>
      </c>
      <c r="Q544" t="n">
        <v>0</v>
      </c>
      <c r="R544" s="2" t="inlineStr"/>
    </row>
    <row r="545" ht="15" customHeight="1">
      <c r="A545" t="inlineStr">
        <is>
          <t>A 10816-2026</t>
        </is>
      </c>
      <c r="B545" s="1" t="n">
        <v>46078.61224537037</v>
      </c>
      <c r="C545" s="1" t="n">
        <v>46183</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10970-2026</t>
        </is>
      </c>
      <c r="B546" s="1" t="n">
        <v>46079.44788194444</v>
      </c>
      <c r="C546" s="1" t="n">
        <v>46183</v>
      </c>
      <c r="D546" t="inlineStr">
        <is>
          <t>ÖREBRO LÄN</t>
        </is>
      </c>
      <c r="E546" t="inlineStr">
        <is>
          <t>ÖREBRO</t>
        </is>
      </c>
      <c r="G546" t="n">
        <v>6.5</v>
      </c>
      <c r="H546" t="n">
        <v>0</v>
      </c>
      <c r="I546" t="n">
        <v>0</v>
      </c>
      <c r="J546" t="n">
        <v>0</v>
      </c>
      <c r="K546" t="n">
        <v>0</v>
      </c>
      <c r="L546" t="n">
        <v>0</v>
      </c>
      <c r="M546" t="n">
        <v>0</v>
      </c>
      <c r="N546" t="n">
        <v>0</v>
      </c>
      <c r="O546" t="n">
        <v>0</v>
      </c>
      <c r="P546" t="n">
        <v>0</v>
      </c>
      <c r="Q546" t="n">
        <v>0</v>
      </c>
      <c r="R546" s="2" t="inlineStr"/>
    </row>
    <row r="547" ht="15" customHeight="1">
      <c r="A547" t="inlineStr">
        <is>
          <t>A 11286-2026</t>
        </is>
      </c>
      <c r="B547" s="1" t="n">
        <v>46080</v>
      </c>
      <c r="C547" s="1" t="n">
        <v>46183</v>
      </c>
      <c r="D547" t="inlineStr">
        <is>
          <t>ÖREBRO LÄN</t>
        </is>
      </c>
      <c r="E547" t="inlineStr">
        <is>
          <t>ÖREBRO</t>
        </is>
      </c>
      <c r="G547" t="n">
        <v>5.4</v>
      </c>
      <c r="H547" t="n">
        <v>0</v>
      </c>
      <c r="I547" t="n">
        <v>0</v>
      </c>
      <c r="J547" t="n">
        <v>0</v>
      </c>
      <c r="K547" t="n">
        <v>0</v>
      </c>
      <c r="L547" t="n">
        <v>0</v>
      </c>
      <c r="M547" t="n">
        <v>0</v>
      </c>
      <c r="N547" t="n">
        <v>0</v>
      </c>
      <c r="O547" t="n">
        <v>0</v>
      </c>
      <c r="P547" t="n">
        <v>0</v>
      </c>
      <c r="Q547" t="n">
        <v>0</v>
      </c>
      <c r="R547" s="2" t="inlineStr"/>
    </row>
    <row r="548" ht="15" customHeight="1">
      <c r="A548" t="inlineStr">
        <is>
          <t>A 12536-2026</t>
        </is>
      </c>
      <c r="B548" s="1" t="n">
        <v>46090.60851851852</v>
      </c>
      <c r="C548" s="1" t="n">
        <v>46183</v>
      </c>
      <c r="D548" t="inlineStr">
        <is>
          <t>ÖREBRO LÄN</t>
        </is>
      </c>
      <c r="E548" t="inlineStr">
        <is>
          <t>ÖREBRO</t>
        </is>
      </c>
      <c r="G548" t="n">
        <v>7.7</v>
      </c>
      <c r="H548" t="n">
        <v>0</v>
      </c>
      <c r="I548" t="n">
        <v>0</v>
      </c>
      <c r="J548" t="n">
        <v>0</v>
      </c>
      <c r="K548" t="n">
        <v>0</v>
      </c>
      <c r="L548" t="n">
        <v>0</v>
      </c>
      <c r="M548" t="n">
        <v>0</v>
      </c>
      <c r="N548" t="n">
        <v>0</v>
      </c>
      <c r="O548" t="n">
        <v>0</v>
      </c>
      <c r="P548" t="n">
        <v>0</v>
      </c>
      <c r="Q548" t="n">
        <v>0</v>
      </c>
      <c r="R548" s="2" t="inlineStr"/>
    </row>
    <row r="549" ht="15" customHeight="1">
      <c r="A549" t="inlineStr">
        <is>
          <t>A 10502-2026</t>
        </is>
      </c>
      <c r="B549" s="1" t="n">
        <v>46077</v>
      </c>
      <c r="C549" s="1" t="n">
        <v>46183</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14032-2026</t>
        </is>
      </c>
      <c r="B550" s="1" t="n">
        <v>46098</v>
      </c>
      <c r="C550" s="1" t="n">
        <v>46183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20996-2026</t>
        </is>
      </c>
      <c r="B551" s="1" t="n">
        <v>46142.62744212963</v>
      </c>
      <c r="C551" s="1" t="n">
        <v>46183</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21261-2026</t>
        </is>
      </c>
      <c r="B552" s="1" t="n">
        <v>46147.39856481482</v>
      </c>
      <c r="C552" s="1" t="n">
        <v>46183</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13778-2026</t>
        </is>
      </c>
      <c r="B553" s="1" t="n">
        <v>46097</v>
      </c>
      <c r="C553" s="1" t="n">
        <v>46183</v>
      </c>
      <c r="D553" t="inlineStr">
        <is>
          <t>ÖREBRO LÄN</t>
        </is>
      </c>
      <c r="E553" t="inlineStr">
        <is>
          <t>ÖREBRO</t>
        </is>
      </c>
      <c r="F553" t="inlineStr">
        <is>
          <t>Övriga Aktiebolag</t>
        </is>
      </c>
      <c r="G553" t="n">
        <v>23.7</v>
      </c>
      <c r="H553" t="n">
        <v>0</v>
      </c>
      <c r="I553" t="n">
        <v>0</v>
      </c>
      <c r="J553" t="n">
        <v>0</v>
      </c>
      <c r="K553" t="n">
        <v>0</v>
      </c>
      <c r="L553" t="n">
        <v>0</v>
      </c>
      <c r="M553" t="n">
        <v>0</v>
      </c>
      <c r="N553" t="n">
        <v>0</v>
      </c>
      <c r="O553" t="n">
        <v>0</v>
      </c>
      <c r="P553" t="n">
        <v>0</v>
      </c>
      <c r="Q553" t="n">
        <v>0</v>
      </c>
      <c r="R553" s="2" t="inlineStr"/>
    </row>
    <row r="554" ht="15" customHeight="1">
      <c r="A554" t="inlineStr">
        <is>
          <t>A 21899-2026</t>
        </is>
      </c>
      <c r="B554" s="1" t="n">
        <v>46150.60920138889</v>
      </c>
      <c r="C554" s="1" t="n">
        <v>46183</v>
      </c>
      <c r="D554" t="inlineStr">
        <is>
          <t>ÖREBRO LÄN</t>
        </is>
      </c>
      <c r="E554" t="inlineStr">
        <is>
          <t>ÖREBRO</t>
        </is>
      </c>
      <c r="G554" t="n">
        <v>3.3</v>
      </c>
      <c r="H554" t="n">
        <v>0</v>
      </c>
      <c r="I554" t="n">
        <v>0</v>
      </c>
      <c r="J554" t="n">
        <v>0</v>
      </c>
      <c r="K554" t="n">
        <v>0</v>
      </c>
      <c r="L554" t="n">
        <v>0</v>
      </c>
      <c r="M554" t="n">
        <v>0</v>
      </c>
      <c r="N554" t="n">
        <v>0</v>
      </c>
      <c r="O554" t="n">
        <v>0</v>
      </c>
      <c r="P554" t="n">
        <v>0</v>
      </c>
      <c r="Q554" t="n">
        <v>0</v>
      </c>
      <c r="R554" s="2" t="inlineStr"/>
    </row>
    <row r="555" ht="15" customHeight="1">
      <c r="A555" t="inlineStr">
        <is>
          <t>A 22199-2026</t>
        </is>
      </c>
      <c r="B555" s="1" t="n">
        <v>46153.66310185185</v>
      </c>
      <c r="C555" s="1" t="n">
        <v>46183</v>
      </c>
      <c r="D555" t="inlineStr">
        <is>
          <t>ÖREBRO LÄN</t>
        </is>
      </c>
      <c r="E555" t="inlineStr">
        <is>
          <t>ÖREBRO</t>
        </is>
      </c>
      <c r="G555" t="n">
        <v>4.9</v>
      </c>
      <c r="H555" t="n">
        <v>0</v>
      </c>
      <c r="I555" t="n">
        <v>0</v>
      </c>
      <c r="J555" t="n">
        <v>0</v>
      </c>
      <c r="K555" t="n">
        <v>0</v>
      </c>
      <c r="L555" t="n">
        <v>0</v>
      </c>
      <c r="M555" t="n">
        <v>0</v>
      </c>
      <c r="N555" t="n">
        <v>0</v>
      </c>
      <c r="O555" t="n">
        <v>0</v>
      </c>
      <c r="P555" t="n">
        <v>0</v>
      </c>
      <c r="Q555" t="n">
        <v>0</v>
      </c>
      <c r="R555" s="2" t="inlineStr"/>
    </row>
    <row r="556" ht="15" customHeight="1">
      <c r="A556" t="inlineStr">
        <is>
          <t>A 23053-2026</t>
        </is>
      </c>
      <c r="B556" s="1" t="n">
        <v>46161.4450462963</v>
      </c>
      <c r="C556" s="1" t="n">
        <v>46183</v>
      </c>
      <c r="D556" t="inlineStr">
        <is>
          <t>ÖREBRO LÄN</t>
        </is>
      </c>
      <c r="E556" t="inlineStr">
        <is>
          <t>ÖREBRO</t>
        </is>
      </c>
      <c r="G556" t="n">
        <v>6.3</v>
      </c>
      <c r="H556" t="n">
        <v>0</v>
      </c>
      <c r="I556" t="n">
        <v>0</v>
      </c>
      <c r="J556" t="n">
        <v>0</v>
      </c>
      <c r="K556" t="n">
        <v>0</v>
      </c>
      <c r="L556" t="n">
        <v>0</v>
      </c>
      <c r="M556" t="n">
        <v>0</v>
      </c>
      <c r="N556" t="n">
        <v>0</v>
      </c>
      <c r="O556" t="n">
        <v>0</v>
      </c>
      <c r="P556" t="n">
        <v>0</v>
      </c>
      <c r="Q556" t="n">
        <v>0</v>
      </c>
      <c r="R556" s="2" t="inlineStr"/>
    </row>
    <row r="557" ht="15" customHeight="1">
      <c r="A557" t="inlineStr">
        <is>
          <t>A 17744-2026</t>
        </is>
      </c>
      <c r="B557" s="1" t="n">
        <v>46122.31243055555</v>
      </c>
      <c r="C557" s="1" t="n">
        <v>46183</v>
      </c>
      <c r="D557" t="inlineStr">
        <is>
          <t>ÖREBRO LÄN</t>
        </is>
      </c>
      <c r="E557" t="inlineStr">
        <is>
          <t>ÖREBRO</t>
        </is>
      </c>
      <c r="G557" t="n">
        <v>3.5</v>
      </c>
      <c r="H557" t="n">
        <v>0</v>
      </c>
      <c r="I557" t="n">
        <v>0</v>
      </c>
      <c r="J557" t="n">
        <v>0</v>
      </c>
      <c r="K557" t="n">
        <v>0</v>
      </c>
      <c r="L557" t="n">
        <v>0</v>
      </c>
      <c r="M557" t="n">
        <v>0</v>
      </c>
      <c r="N557" t="n">
        <v>0</v>
      </c>
      <c r="O557" t="n">
        <v>0</v>
      </c>
      <c r="P557" t="n">
        <v>0</v>
      </c>
      <c r="Q557" t="n">
        <v>0</v>
      </c>
      <c r="R557" s="2" t="inlineStr"/>
    </row>
    <row r="558" ht="15" customHeight="1">
      <c r="A558" t="inlineStr">
        <is>
          <t>A 23033-2026</t>
        </is>
      </c>
      <c r="B558" s="1" t="n">
        <v>46161.36910879629</v>
      </c>
      <c r="C558" s="1" t="n">
        <v>46183</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21722-2026</t>
        </is>
      </c>
      <c r="B559" s="1" t="n">
        <v>46147</v>
      </c>
      <c r="C559" s="1" t="n">
        <v>46183</v>
      </c>
      <c r="D559" t="inlineStr">
        <is>
          <t>ÖREBRO LÄN</t>
        </is>
      </c>
      <c r="E559" t="inlineStr">
        <is>
          <t>ÖREBRO</t>
        </is>
      </c>
      <c r="F559" t="inlineStr">
        <is>
          <t>Kommuner</t>
        </is>
      </c>
      <c r="G559" t="n">
        <v>0.6</v>
      </c>
      <c r="H559" t="n">
        <v>0</v>
      </c>
      <c r="I559" t="n">
        <v>0</v>
      </c>
      <c r="J559" t="n">
        <v>0</v>
      </c>
      <c r="K559" t="n">
        <v>0</v>
      </c>
      <c r="L559" t="n">
        <v>0</v>
      </c>
      <c r="M559" t="n">
        <v>0</v>
      </c>
      <c r="N559" t="n">
        <v>0</v>
      </c>
      <c r="O559" t="n">
        <v>0</v>
      </c>
      <c r="P559" t="n">
        <v>0</v>
      </c>
      <c r="Q559" t="n">
        <v>0</v>
      </c>
      <c r="R559" s="2" t="inlineStr"/>
    </row>
    <row r="560" ht="15" customHeight="1">
      <c r="A560" t="inlineStr">
        <is>
          <t>A 24496-2026</t>
        </is>
      </c>
      <c r="B560" s="1" t="n">
        <v>46170</v>
      </c>
      <c r="C560" s="1" t="n">
        <v>46183</v>
      </c>
      <c r="D560" t="inlineStr">
        <is>
          <t>ÖREBRO LÄN</t>
        </is>
      </c>
      <c r="E560" t="inlineStr">
        <is>
          <t>ÖREBRO</t>
        </is>
      </c>
      <c r="G560" t="n">
        <v>5.6</v>
      </c>
      <c r="H560" t="n">
        <v>0</v>
      </c>
      <c r="I560" t="n">
        <v>0</v>
      </c>
      <c r="J560" t="n">
        <v>0</v>
      </c>
      <c r="K560" t="n">
        <v>0</v>
      </c>
      <c r="L560" t="n">
        <v>0</v>
      </c>
      <c r="M560" t="n">
        <v>0</v>
      </c>
      <c r="N560" t="n">
        <v>0</v>
      </c>
      <c r="O560" t="n">
        <v>0</v>
      </c>
      <c r="P560" t="n">
        <v>0</v>
      </c>
      <c r="Q560" t="n">
        <v>0</v>
      </c>
      <c r="R560" s="2" t="inlineStr"/>
    </row>
    <row r="561" ht="15" customHeight="1">
      <c r="A561" t="inlineStr">
        <is>
          <t>A 22849-2026</t>
        </is>
      </c>
      <c r="B561" s="1" t="n">
        <v>46160</v>
      </c>
      <c r="C561" s="1" t="n">
        <v>46183</v>
      </c>
      <c r="D561" t="inlineStr">
        <is>
          <t>ÖREBRO LÄN</t>
        </is>
      </c>
      <c r="E561" t="inlineStr">
        <is>
          <t>ÖREBRO</t>
        </is>
      </c>
      <c r="G561" t="n">
        <v>6.6</v>
      </c>
      <c r="H561" t="n">
        <v>0</v>
      </c>
      <c r="I561" t="n">
        <v>0</v>
      </c>
      <c r="J561" t="n">
        <v>0</v>
      </c>
      <c r="K561" t="n">
        <v>0</v>
      </c>
      <c r="L561" t="n">
        <v>0</v>
      </c>
      <c r="M561" t="n">
        <v>0</v>
      </c>
      <c r="N561" t="n">
        <v>0</v>
      </c>
      <c r="O561" t="n">
        <v>0</v>
      </c>
      <c r="P561" t="n">
        <v>0</v>
      </c>
      <c r="Q561" t="n">
        <v>0</v>
      </c>
      <c r="R561" s="2" t="inlineStr"/>
    </row>
    <row r="562" ht="15" customHeight="1">
      <c r="A562" t="inlineStr">
        <is>
          <t>A 7141-2025</t>
        </is>
      </c>
      <c r="B562" s="1" t="n">
        <v>45702</v>
      </c>
      <c r="C562" s="1" t="n">
        <v>46183</v>
      </c>
      <c r="D562" t="inlineStr">
        <is>
          <t>ÖREBRO LÄN</t>
        </is>
      </c>
      <c r="E562" t="inlineStr">
        <is>
          <t>ÖREBRO</t>
        </is>
      </c>
      <c r="G562" t="n">
        <v>2.9</v>
      </c>
      <c r="H562" t="n">
        <v>0</v>
      </c>
      <c r="I562" t="n">
        <v>0</v>
      </c>
      <c r="J562" t="n">
        <v>0</v>
      </c>
      <c r="K562" t="n">
        <v>0</v>
      </c>
      <c r="L562" t="n">
        <v>0</v>
      </c>
      <c r="M562" t="n">
        <v>0</v>
      </c>
      <c r="N562" t="n">
        <v>0</v>
      </c>
      <c r="O562" t="n">
        <v>0</v>
      </c>
      <c r="P562" t="n">
        <v>0</v>
      </c>
      <c r="Q562" t="n">
        <v>0</v>
      </c>
      <c r="R562" s="2" t="inlineStr"/>
    </row>
    <row r="563" ht="15" customHeight="1">
      <c r="A563" t="inlineStr">
        <is>
          <t>A 25649-2026</t>
        </is>
      </c>
      <c r="B563" s="1" t="n">
        <v>46177.95074074074</v>
      </c>
      <c r="C563" s="1" t="n">
        <v>46183</v>
      </c>
      <c r="D563" t="inlineStr">
        <is>
          <t>ÖREBRO LÄN</t>
        </is>
      </c>
      <c r="E563" t="inlineStr">
        <is>
          <t>ÖREBRO</t>
        </is>
      </c>
      <c r="F563" t="inlineStr">
        <is>
          <t>Övriga Aktiebolag</t>
        </is>
      </c>
      <c r="G563" t="n">
        <v>1.4</v>
      </c>
      <c r="H563" t="n">
        <v>0</v>
      </c>
      <c r="I563" t="n">
        <v>0</v>
      </c>
      <c r="J563" t="n">
        <v>0</v>
      </c>
      <c r="K563" t="n">
        <v>0</v>
      </c>
      <c r="L563" t="n">
        <v>0</v>
      </c>
      <c r="M563" t="n">
        <v>0</v>
      </c>
      <c r="N563" t="n">
        <v>0</v>
      </c>
      <c r="O563" t="n">
        <v>0</v>
      </c>
      <c r="P563" t="n">
        <v>0</v>
      </c>
      <c r="Q563" t="n">
        <v>0</v>
      </c>
      <c r="R563" s="2" t="inlineStr"/>
    </row>
    <row r="564" ht="15" customHeight="1">
      <c r="A564" t="inlineStr">
        <is>
          <t>A 22755-2025</t>
        </is>
      </c>
      <c r="B564" s="1" t="n">
        <v>45789.61872685186</v>
      </c>
      <c r="C564" s="1" t="n">
        <v>46183</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20518-2026</t>
        </is>
      </c>
      <c r="B565" s="1" t="n">
        <v>46140.54920138889</v>
      </c>
      <c r="C565" s="1" t="n">
        <v>46183</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14963-2025</t>
        </is>
      </c>
      <c r="B566" s="1" t="n">
        <v>45743.58699074074</v>
      </c>
      <c r="C566" s="1" t="n">
        <v>46183</v>
      </c>
      <c r="D566" t="inlineStr">
        <is>
          <t>ÖREBRO LÄN</t>
        </is>
      </c>
      <c r="E566" t="inlineStr">
        <is>
          <t>ÖREBRO</t>
        </is>
      </c>
      <c r="G566" t="n">
        <v>9.1</v>
      </c>
      <c r="H566" t="n">
        <v>0</v>
      </c>
      <c r="I566" t="n">
        <v>0</v>
      </c>
      <c r="J566" t="n">
        <v>0</v>
      </c>
      <c r="K566" t="n">
        <v>0</v>
      </c>
      <c r="L566" t="n">
        <v>0</v>
      </c>
      <c r="M566" t="n">
        <v>0</v>
      </c>
      <c r="N566" t="n">
        <v>0</v>
      </c>
      <c r="O566" t="n">
        <v>0</v>
      </c>
      <c r="P566" t="n">
        <v>0</v>
      </c>
      <c r="Q566" t="n">
        <v>0</v>
      </c>
      <c r="R566" s="2" t="inlineStr"/>
    </row>
    <row r="567" ht="15" customHeight="1">
      <c r="A567" t="inlineStr">
        <is>
          <t>A 41669-2025</t>
        </is>
      </c>
      <c r="B567" s="1" t="n">
        <v>45902.36149305556</v>
      </c>
      <c r="C567" s="1" t="n">
        <v>46183</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26149-2026</t>
        </is>
      </c>
      <c r="B568" s="1" t="n">
        <v>46181.74087962963</v>
      </c>
      <c r="C568" s="1" t="n">
        <v>46183</v>
      </c>
      <c r="D568" t="inlineStr">
        <is>
          <t>ÖREBRO LÄN</t>
        </is>
      </c>
      <c r="E568" t="inlineStr">
        <is>
          <t>ÖREBRO</t>
        </is>
      </c>
      <c r="G568" t="n">
        <v>1.4</v>
      </c>
      <c r="H568" t="n">
        <v>0</v>
      </c>
      <c r="I568" t="n">
        <v>0</v>
      </c>
      <c r="J568" t="n">
        <v>0</v>
      </c>
      <c r="K568" t="n">
        <v>0</v>
      </c>
      <c r="L568" t="n">
        <v>0</v>
      </c>
      <c r="M568" t="n">
        <v>0</v>
      </c>
      <c r="N568" t="n">
        <v>0</v>
      </c>
      <c r="O568" t="n">
        <v>0</v>
      </c>
      <c r="P568" t="n">
        <v>0</v>
      </c>
      <c r="Q568" t="n">
        <v>0</v>
      </c>
      <c r="R568" s="2" t="inlineStr"/>
    </row>
    <row r="569" ht="15" customHeight="1">
      <c r="A569" t="inlineStr">
        <is>
          <t>A 39003-2025</t>
        </is>
      </c>
      <c r="B569" s="1" t="n">
        <v>45888.34467592592</v>
      </c>
      <c r="C569" s="1" t="n">
        <v>46183</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c r="A570" t="inlineStr">
        <is>
          <t>A 26137-2026</t>
        </is>
      </c>
      <c r="B570" s="1" t="n">
        <v>46181.70921296296</v>
      </c>
      <c r="C570" s="1" t="n">
        <v>46183</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2026-06-10T09:28:51Z</dcterms:created>
  <dcterms:modified xmlns:dcterms="http://purl.org/dc/terms/" xmlns:xsi="http://www.w3.org/2001/XMLSchema-instance" xsi:type="dcterms:W3CDTF">2026-06-10T09:28:51Z</dcterms:modified>
</cp:coreProperties>
</file>