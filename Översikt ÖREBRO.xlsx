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45723</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45723</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45723</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45723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45723</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45723</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45723</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45723</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45723</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45723</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45723</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45723</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45723</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45723</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45723</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45723</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45723</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45723</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45723</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45723</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45723</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45723</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45723</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45723</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45723</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45723</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45723</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45723</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45723</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45723</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45723</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45723</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45723</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45723</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45723</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45723</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45723</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45723</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45723</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45723</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45723</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45723</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45723</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45723</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45723</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45723</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45723</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45723</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23608-2023</t>
        </is>
      </c>
      <c r="B50" s="1" t="n">
        <v>45077</v>
      </c>
      <c r="C50" s="1" t="n">
        <v>45723</v>
      </c>
      <c r="D50" t="inlineStr">
        <is>
          <t>ÖREBRO LÄN</t>
        </is>
      </c>
      <c r="E50" t="inlineStr">
        <is>
          <t>ÖREBRO</t>
        </is>
      </c>
      <c r="G50" t="n">
        <v>5.8</v>
      </c>
      <c r="H50" t="n">
        <v>2</v>
      </c>
      <c r="I50" t="n">
        <v>0</v>
      </c>
      <c r="J50" t="n">
        <v>2</v>
      </c>
      <c r="K50" t="n">
        <v>0</v>
      </c>
      <c r="L50" t="n">
        <v>0</v>
      </c>
      <c r="M50" t="n">
        <v>0</v>
      </c>
      <c r="N50" t="n">
        <v>0</v>
      </c>
      <c r="O50" t="n">
        <v>2</v>
      </c>
      <c r="P50" t="n">
        <v>0</v>
      </c>
      <c r="Q50" t="n">
        <v>2</v>
      </c>
      <c r="R50" s="2" t="inlineStr">
        <is>
          <t>Havsörn
Talltita</t>
        </is>
      </c>
      <c r="S50">
        <f>HYPERLINK("https://klasma.github.io/Logging_1880/artfynd/A 23608-2023 artfynd.xlsx", "A 23608-2023")</f>
        <v/>
      </c>
      <c r="T50">
        <f>HYPERLINK("https://klasma.github.io/Logging_1880/kartor/A 23608-2023 karta.png", "A 23608-2023")</f>
        <v/>
      </c>
      <c r="V50">
        <f>HYPERLINK("https://klasma.github.io/Logging_1880/klagomål/A 23608-2023 FSC-klagomål.docx", "A 23608-2023")</f>
        <v/>
      </c>
      <c r="W50">
        <f>HYPERLINK("https://klasma.github.io/Logging_1880/klagomålsmail/A 23608-2023 FSC-klagomål mail.docx", "A 23608-2023")</f>
        <v/>
      </c>
      <c r="X50">
        <f>HYPERLINK("https://klasma.github.io/Logging_1880/tillsyn/A 23608-2023 tillsynsbegäran.docx", "A 23608-2023")</f>
        <v/>
      </c>
      <c r="Y50">
        <f>HYPERLINK("https://klasma.github.io/Logging_1880/tillsynsmail/A 23608-2023 tillsynsbegäran mail.docx", "A 23608-2023")</f>
        <v/>
      </c>
      <c r="Z50">
        <f>HYPERLINK("https://klasma.github.io/Logging_1880/fåglar/A 23608-2023 prioriterade fågelarter.docx", "A 23608-2023")</f>
        <v/>
      </c>
    </row>
    <row r="51" ht="15" customHeight="1">
      <c r="A51" t="inlineStr">
        <is>
          <t>A 31234-2023</t>
        </is>
      </c>
      <c r="B51" s="1" t="n">
        <v>45114</v>
      </c>
      <c r="C51" s="1" t="n">
        <v>45723</v>
      </c>
      <c r="D51" t="inlineStr">
        <is>
          <t>ÖREBRO LÄN</t>
        </is>
      </c>
      <c r="E51" t="inlineStr">
        <is>
          <t>ÖREBRO</t>
        </is>
      </c>
      <c r="F51" t="inlineStr">
        <is>
          <t>Allmännings- och besparingsskogar</t>
        </is>
      </c>
      <c r="G51" t="n">
        <v>30.5</v>
      </c>
      <c r="H51" t="n">
        <v>2</v>
      </c>
      <c r="I51" t="n">
        <v>0</v>
      </c>
      <c r="J51" t="n">
        <v>2</v>
      </c>
      <c r="K51" t="n">
        <v>0</v>
      </c>
      <c r="L51" t="n">
        <v>0</v>
      </c>
      <c r="M51" t="n">
        <v>0</v>
      </c>
      <c r="N51" t="n">
        <v>0</v>
      </c>
      <c r="O51" t="n">
        <v>2</v>
      </c>
      <c r="P51" t="n">
        <v>0</v>
      </c>
      <c r="Q51" t="n">
        <v>2</v>
      </c>
      <c r="R51" s="2" t="inlineStr">
        <is>
          <t>Havsörn
Spillkråka</t>
        </is>
      </c>
      <c r="S51">
        <f>HYPERLINK("https://klasma.github.io/Logging_1880/artfynd/A 31234-2023 artfynd.xlsx", "A 31234-2023")</f>
        <v/>
      </c>
      <c r="T51">
        <f>HYPERLINK("https://klasma.github.io/Logging_1880/kartor/A 31234-2023 karta.png", "A 31234-2023")</f>
        <v/>
      </c>
      <c r="V51">
        <f>HYPERLINK("https://klasma.github.io/Logging_1880/klagomål/A 31234-2023 FSC-klagomål.docx", "A 31234-2023")</f>
        <v/>
      </c>
      <c r="W51">
        <f>HYPERLINK("https://klasma.github.io/Logging_1880/klagomålsmail/A 31234-2023 FSC-klagomål mail.docx", "A 31234-2023")</f>
        <v/>
      </c>
      <c r="X51">
        <f>HYPERLINK("https://klasma.github.io/Logging_1880/tillsyn/A 31234-2023 tillsynsbegäran.docx", "A 31234-2023")</f>
        <v/>
      </c>
      <c r="Y51">
        <f>HYPERLINK("https://klasma.github.io/Logging_1880/tillsynsmail/A 31234-2023 tillsynsbegäran mail.docx", "A 31234-2023")</f>
        <v/>
      </c>
      <c r="Z51">
        <f>HYPERLINK("https://klasma.github.io/Logging_1880/fåglar/A 31234-2023 prioriterade fågelarter.docx", "A 31234-2023")</f>
        <v/>
      </c>
    </row>
    <row r="52" ht="15" customHeight="1">
      <c r="A52" t="inlineStr">
        <is>
          <t>A 587-2024</t>
        </is>
      </c>
      <c r="B52" s="1" t="n">
        <v>45299</v>
      </c>
      <c r="C52" s="1" t="n">
        <v>45723</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45723</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45723</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45723</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45723</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45723</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45723</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45723</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45723</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45723</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45723</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45723</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45723</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45723</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45723</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45723</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45723</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45723</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45723</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45723</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45723</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45723</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45723</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45723</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45723</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45723</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45723</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45723</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45723</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45723</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45723</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45723</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45723</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45723</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45723</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45723</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45723</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45723</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45723</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45723</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45723</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45723</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45723</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45723</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45723</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45723</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45723</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45723</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45723</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45723</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45723</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45723</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45723</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45723</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45723</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45723</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45723</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45723</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45723</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45723</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18034-2019</t>
        </is>
      </c>
      <c r="B112" s="1" t="n">
        <v>43557</v>
      </c>
      <c r="C112" s="1" t="n">
        <v>45723</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19042-2019</t>
        </is>
      </c>
      <c r="B113" s="1" t="n">
        <v>43563</v>
      </c>
      <c r="C113" s="1" t="n">
        <v>45723</v>
      </c>
      <c r="D113" t="inlineStr">
        <is>
          <t>ÖREBRO LÄN</t>
        </is>
      </c>
      <c r="E113" t="inlineStr">
        <is>
          <t>ÖREBRO</t>
        </is>
      </c>
      <c r="G113" t="n">
        <v>2.8</v>
      </c>
      <c r="H113" t="n">
        <v>0</v>
      </c>
      <c r="I113" t="n">
        <v>0</v>
      </c>
      <c r="J113" t="n">
        <v>0</v>
      </c>
      <c r="K113" t="n">
        <v>0</v>
      </c>
      <c r="L113" t="n">
        <v>0</v>
      </c>
      <c r="M113" t="n">
        <v>0</v>
      </c>
      <c r="N113" t="n">
        <v>0</v>
      </c>
      <c r="O113" t="n">
        <v>0</v>
      </c>
      <c r="P113" t="n">
        <v>0</v>
      </c>
      <c r="Q113" t="n">
        <v>0</v>
      </c>
      <c r="R113" s="2" t="inlineStr"/>
    </row>
    <row r="114" ht="15" customHeight="1">
      <c r="A114" t="inlineStr">
        <is>
          <t>A 19047-2019</t>
        </is>
      </c>
      <c r="B114" s="1" t="n">
        <v>43563</v>
      </c>
      <c r="C114" s="1" t="n">
        <v>45723</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19049-2019</t>
        </is>
      </c>
      <c r="B115" s="1" t="n">
        <v>43563</v>
      </c>
      <c r="C115" s="1" t="n">
        <v>45723</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19044-2019</t>
        </is>
      </c>
      <c r="B116" s="1" t="n">
        <v>43563</v>
      </c>
      <c r="C116" s="1" t="n">
        <v>45723</v>
      </c>
      <c r="D116" t="inlineStr">
        <is>
          <t>ÖREBRO LÄN</t>
        </is>
      </c>
      <c r="E116" t="inlineStr">
        <is>
          <t>ÖREBRO</t>
        </is>
      </c>
      <c r="G116" t="n">
        <v>0.8</v>
      </c>
      <c r="H116" t="n">
        <v>0</v>
      </c>
      <c r="I116" t="n">
        <v>0</v>
      </c>
      <c r="J116" t="n">
        <v>0</v>
      </c>
      <c r="K116" t="n">
        <v>0</v>
      </c>
      <c r="L116" t="n">
        <v>0</v>
      </c>
      <c r="M116" t="n">
        <v>0</v>
      </c>
      <c r="N116" t="n">
        <v>0</v>
      </c>
      <c r="O116" t="n">
        <v>0</v>
      </c>
      <c r="P116" t="n">
        <v>0</v>
      </c>
      <c r="Q116" t="n">
        <v>0</v>
      </c>
      <c r="R116" s="2" t="inlineStr"/>
    </row>
    <row r="117" ht="15" customHeight="1">
      <c r="A117" t="inlineStr">
        <is>
          <t>A 19048-2019</t>
        </is>
      </c>
      <c r="B117" s="1" t="n">
        <v>43563</v>
      </c>
      <c r="C117" s="1" t="n">
        <v>45723</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19045-2019</t>
        </is>
      </c>
      <c r="B118" s="1" t="n">
        <v>43563</v>
      </c>
      <c r="C118" s="1" t="n">
        <v>45723</v>
      </c>
      <c r="D118" t="inlineStr">
        <is>
          <t>ÖREBRO LÄN</t>
        </is>
      </c>
      <c r="E118" t="inlineStr">
        <is>
          <t>ÖREBRO</t>
        </is>
      </c>
      <c r="G118" t="n">
        <v>0.9</v>
      </c>
      <c r="H118" t="n">
        <v>0</v>
      </c>
      <c r="I118" t="n">
        <v>0</v>
      </c>
      <c r="J118" t="n">
        <v>0</v>
      </c>
      <c r="K118" t="n">
        <v>0</v>
      </c>
      <c r="L118" t="n">
        <v>0</v>
      </c>
      <c r="M118" t="n">
        <v>0</v>
      </c>
      <c r="N118" t="n">
        <v>0</v>
      </c>
      <c r="O118" t="n">
        <v>0</v>
      </c>
      <c r="P118" t="n">
        <v>0</v>
      </c>
      <c r="Q118" t="n">
        <v>0</v>
      </c>
      <c r="R118" s="2" t="inlineStr"/>
    </row>
    <row r="119" ht="15" customHeight="1">
      <c r="A119" t="inlineStr">
        <is>
          <t>A 19046-2019</t>
        </is>
      </c>
      <c r="B119" s="1" t="n">
        <v>43563</v>
      </c>
      <c r="C119" s="1" t="n">
        <v>45723</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20232-2019</t>
        </is>
      </c>
      <c r="B120" s="1" t="n">
        <v>43571</v>
      </c>
      <c r="C120" s="1" t="n">
        <v>45723</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20609-2019</t>
        </is>
      </c>
      <c r="B121" s="1" t="n">
        <v>43572</v>
      </c>
      <c r="C121" s="1" t="n">
        <v>45723</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21722-2019</t>
        </is>
      </c>
      <c r="B122" s="1" t="n">
        <v>43581</v>
      </c>
      <c r="C122" s="1" t="n">
        <v>45723</v>
      </c>
      <c r="D122" t="inlineStr">
        <is>
          <t>ÖREBRO LÄN</t>
        </is>
      </c>
      <c r="E122" t="inlineStr">
        <is>
          <t>ÖREBRO</t>
        </is>
      </c>
      <c r="G122" t="n">
        <v>11.3</v>
      </c>
      <c r="H122" t="n">
        <v>0</v>
      </c>
      <c r="I122" t="n">
        <v>0</v>
      </c>
      <c r="J122" t="n">
        <v>0</v>
      </c>
      <c r="K122" t="n">
        <v>0</v>
      </c>
      <c r="L122" t="n">
        <v>0</v>
      </c>
      <c r="M122" t="n">
        <v>0</v>
      </c>
      <c r="N122" t="n">
        <v>0</v>
      </c>
      <c r="O122" t="n">
        <v>0</v>
      </c>
      <c r="P122" t="n">
        <v>0</v>
      </c>
      <c r="Q122" t="n">
        <v>0</v>
      </c>
      <c r="R122" s="2" t="inlineStr"/>
    </row>
    <row r="123" ht="15" customHeight="1">
      <c r="A123" t="inlineStr">
        <is>
          <t>A 21830-2019</t>
        </is>
      </c>
      <c r="B123" s="1" t="n">
        <v>43584</v>
      </c>
      <c r="C123" s="1" t="n">
        <v>45723</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21835-2019</t>
        </is>
      </c>
      <c r="B124" s="1" t="n">
        <v>43584</v>
      </c>
      <c r="C124" s="1" t="n">
        <v>45723</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22243-2019</t>
        </is>
      </c>
      <c r="B125" s="1" t="n">
        <v>43585</v>
      </c>
      <c r="C125" s="1" t="n">
        <v>45723</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23667-2019</t>
        </is>
      </c>
      <c r="B126" s="1" t="n">
        <v>43594</v>
      </c>
      <c r="C126" s="1" t="n">
        <v>45723</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24092-2019</t>
        </is>
      </c>
      <c r="B127" s="1" t="n">
        <v>43598</v>
      </c>
      <c r="C127" s="1" t="n">
        <v>45723</v>
      </c>
      <c r="D127" t="inlineStr">
        <is>
          <t>ÖREBRO LÄN</t>
        </is>
      </c>
      <c r="E127" t="inlineStr">
        <is>
          <t>ÖREBRO</t>
        </is>
      </c>
      <c r="G127" t="n">
        <v>3.9</v>
      </c>
      <c r="H127" t="n">
        <v>0</v>
      </c>
      <c r="I127" t="n">
        <v>0</v>
      </c>
      <c r="J127" t="n">
        <v>0</v>
      </c>
      <c r="K127" t="n">
        <v>0</v>
      </c>
      <c r="L127" t="n">
        <v>0</v>
      </c>
      <c r="M127" t="n">
        <v>0</v>
      </c>
      <c r="N127" t="n">
        <v>0</v>
      </c>
      <c r="O127" t="n">
        <v>0</v>
      </c>
      <c r="P127" t="n">
        <v>0</v>
      </c>
      <c r="Q127" t="n">
        <v>0</v>
      </c>
      <c r="R127" s="2" t="inlineStr"/>
    </row>
    <row r="128" ht="15" customHeight="1">
      <c r="A128" t="inlineStr">
        <is>
          <t>A 25186-2019</t>
        </is>
      </c>
      <c r="B128" s="1" t="n">
        <v>43605</v>
      </c>
      <c r="C128" s="1" t="n">
        <v>45723</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c r="U128">
        <f>HYPERLINK("https://klasma.github.io/Logging_1880/knärot/A 25186-2019 karta knärot.png", "A 25186-2019")</f>
        <v/>
      </c>
      <c r="V128">
        <f>HYPERLINK("https://klasma.github.io/Logging_1880/klagomål/A 25186-2019 FSC-klagomål.docx", "A 25186-2019")</f>
        <v/>
      </c>
      <c r="W128">
        <f>HYPERLINK("https://klasma.github.io/Logging_1880/klagomålsmail/A 25186-2019 FSC-klagomål mail.docx", "A 25186-2019")</f>
        <v/>
      </c>
      <c r="X128">
        <f>HYPERLINK("https://klasma.github.io/Logging_1880/tillsyn/A 25186-2019 tillsynsbegäran.docx", "A 25186-2019")</f>
        <v/>
      </c>
      <c r="Y128">
        <f>HYPERLINK("https://klasma.github.io/Logging_1880/tillsynsmail/A 25186-2019 tillsynsbegäran mail.docx", "A 25186-2019")</f>
        <v/>
      </c>
    </row>
    <row r="129" ht="15" customHeight="1">
      <c r="A129" t="inlineStr">
        <is>
          <t>A 26306-2019</t>
        </is>
      </c>
      <c r="B129" s="1" t="n">
        <v>43612</v>
      </c>
      <c r="C129" s="1" t="n">
        <v>45723</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28925-2019</t>
        </is>
      </c>
      <c r="B130" s="1" t="n">
        <v>43619</v>
      </c>
      <c r="C130" s="1" t="n">
        <v>45723</v>
      </c>
      <c r="D130" t="inlineStr">
        <is>
          <t>ÖREBRO LÄN</t>
        </is>
      </c>
      <c r="E130" t="inlineStr">
        <is>
          <t>ÖREBRO</t>
        </is>
      </c>
      <c r="F130" t="inlineStr">
        <is>
          <t>Övriga Aktiebolag</t>
        </is>
      </c>
      <c r="G130" t="n">
        <v>17.9</v>
      </c>
      <c r="H130" t="n">
        <v>0</v>
      </c>
      <c r="I130" t="n">
        <v>0</v>
      </c>
      <c r="J130" t="n">
        <v>0</v>
      </c>
      <c r="K130" t="n">
        <v>0</v>
      </c>
      <c r="L130" t="n">
        <v>0</v>
      </c>
      <c r="M130" t="n">
        <v>0</v>
      </c>
      <c r="N130" t="n">
        <v>0</v>
      </c>
      <c r="O130" t="n">
        <v>0</v>
      </c>
      <c r="P130" t="n">
        <v>0</v>
      </c>
      <c r="Q130" t="n">
        <v>0</v>
      </c>
      <c r="R130" s="2" t="inlineStr"/>
    </row>
    <row r="131" ht="15" customHeight="1">
      <c r="A131" t="inlineStr">
        <is>
          <t>A 28660-2019</t>
        </is>
      </c>
      <c r="B131" s="1" t="n">
        <v>43627</v>
      </c>
      <c r="C131" s="1" t="n">
        <v>45723</v>
      </c>
      <c r="D131" t="inlineStr">
        <is>
          <t>ÖREBRO LÄN</t>
        </is>
      </c>
      <c r="E131" t="inlineStr">
        <is>
          <t>ÖREBRO</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31300-2019</t>
        </is>
      </c>
      <c r="B132" s="1" t="n">
        <v>43641</v>
      </c>
      <c r="C132" s="1" t="n">
        <v>45723</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32701-2019</t>
        </is>
      </c>
      <c r="B133" s="1" t="n">
        <v>43647</v>
      </c>
      <c r="C133" s="1" t="n">
        <v>45723</v>
      </c>
      <c r="D133" t="inlineStr">
        <is>
          <t>ÖREBRO LÄN</t>
        </is>
      </c>
      <c r="E133" t="inlineStr">
        <is>
          <t>ÖREBRO</t>
        </is>
      </c>
      <c r="F133" t="inlineStr">
        <is>
          <t>Övriga Aktiebolag</t>
        </is>
      </c>
      <c r="G133" t="n">
        <v>6.4</v>
      </c>
      <c r="H133" t="n">
        <v>0</v>
      </c>
      <c r="I133" t="n">
        <v>0</v>
      </c>
      <c r="J133" t="n">
        <v>0</v>
      </c>
      <c r="K133" t="n">
        <v>0</v>
      </c>
      <c r="L133" t="n">
        <v>0</v>
      </c>
      <c r="M133" t="n">
        <v>0</v>
      </c>
      <c r="N133" t="n">
        <v>0</v>
      </c>
      <c r="O133" t="n">
        <v>0</v>
      </c>
      <c r="P133" t="n">
        <v>0</v>
      </c>
      <c r="Q133" t="n">
        <v>0</v>
      </c>
      <c r="R133" s="2" t="inlineStr"/>
    </row>
    <row r="134" ht="15" customHeight="1">
      <c r="A134" t="inlineStr">
        <is>
          <t>A 32861-2019</t>
        </is>
      </c>
      <c r="B134" s="1" t="n">
        <v>43648</v>
      </c>
      <c r="C134" s="1" t="n">
        <v>45723</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33314-2019</t>
        </is>
      </c>
      <c r="B135" s="1" t="n">
        <v>43650</v>
      </c>
      <c r="C135" s="1" t="n">
        <v>45723</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35557-2019</t>
        </is>
      </c>
      <c r="B136" s="1" t="n">
        <v>43654</v>
      </c>
      <c r="C136" s="1" t="n">
        <v>45723</v>
      </c>
      <c r="D136" t="inlineStr">
        <is>
          <t>ÖREBRO LÄN</t>
        </is>
      </c>
      <c r="E136" t="inlineStr">
        <is>
          <t>ÖREBRO</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35625-2019</t>
        </is>
      </c>
      <c r="B137" s="1" t="n">
        <v>43655</v>
      </c>
      <c r="C137" s="1" t="n">
        <v>45723</v>
      </c>
      <c r="D137" t="inlineStr">
        <is>
          <t>ÖREBRO LÄN</t>
        </is>
      </c>
      <c r="E137" t="inlineStr">
        <is>
          <t>ÖREBRO</t>
        </is>
      </c>
      <c r="G137" t="n">
        <v>10.2</v>
      </c>
      <c r="H137" t="n">
        <v>0</v>
      </c>
      <c r="I137" t="n">
        <v>0</v>
      </c>
      <c r="J137" t="n">
        <v>0</v>
      </c>
      <c r="K137" t="n">
        <v>0</v>
      </c>
      <c r="L137" t="n">
        <v>0</v>
      </c>
      <c r="M137" t="n">
        <v>0</v>
      </c>
      <c r="N137" t="n">
        <v>0</v>
      </c>
      <c r="O137" t="n">
        <v>0</v>
      </c>
      <c r="P137" t="n">
        <v>0</v>
      </c>
      <c r="Q137" t="n">
        <v>0</v>
      </c>
      <c r="R137" s="2" t="inlineStr"/>
    </row>
    <row r="138" ht="15" customHeight="1">
      <c r="A138" t="inlineStr">
        <is>
          <t>A 35588-2019</t>
        </is>
      </c>
      <c r="B138" s="1" t="n">
        <v>43655</v>
      </c>
      <c r="C138" s="1" t="n">
        <v>45723</v>
      </c>
      <c r="D138" t="inlineStr">
        <is>
          <t>ÖREBRO LÄN</t>
        </is>
      </c>
      <c r="E138" t="inlineStr">
        <is>
          <t>ÖREBRO</t>
        </is>
      </c>
      <c r="G138" t="n">
        <v>4.6</v>
      </c>
      <c r="H138" t="n">
        <v>0</v>
      </c>
      <c r="I138" t="n">
        <v>0</v>
      </c>
      <c r="J138" t="n">
        <v>0</v>
      </c>
      <c r="K138" t="n">
        <v>0</v>
      </c>
      <c r="L138" t="n">
        <v>0</v>
      </c>
      <c r="M138" t="n">
        <v>0</v>
      </c>
      <c r="N138" t="n">
        <v>0</v>
      </c>
      <c r="O138" t="n">
        <v>0</v>
      </c>
      <c r="P138" t="n">
        <v>0</v>
      </c>
      <c r="Q138" t="n">
        <v>0</v>
      </c>
      <c r="R138" s="2" t="inlineStr"/>
    </row>
    <row r="139" ht="15" customHeight="1">
      <c r="A139" t="inlineStr">
        <is>
          <t>A 34895-2019</t>
        </is>
      </c>
      <c r="B139" s="1" t="n">
        <v>43658</v>
      </c>
      <c r="C139" s="1" t="n">
        <v>45723</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34965-2019</t>
        </is>
      </c>
      <c r="B140" s="1" t="n">
        <v>43658</v>
      </c>
      <c r="C140" s="1" t="n">
        <v>45723</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35846-2019</t>
        </is>
      </c>
      <c r="B141" s="1" t="n">
        <v>43665</v>
      </c>
      <c r="C141" s="1" t="n">
        <v>45723</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36124-2019</t>
        </is>
      </c>
      <c r="B142" s="1" t="n">
        <v>43665</v>
      </c>
      <c r="C142" s="1" t="n">
        <v>45723</v>
      </c>
      <c r="D142" t="inlineStr">
        <is>
          <t>ÖREBRO LÄN</t>
        </is>
      </c>
      <c r="E142" t="inlineStr">
        <is>
          <t>ÖREBRO</t>
        </is>
      </c>
      <c r="G142" t="n">
        <v>2.8</v>
      </c>
      <c r="H142" t="n">
        <v>0</v>
      </c>
      <c r="I142" t="n">
        <v>0</v>
      </c>
      <c r="J142" t="n">
        <v>0</v>
      </c>
      <c r="K142" t="n">
        <v>0</v>
      </c>
      <c r="L142" t="n">
        <v>0</v>
      </c>
      <c r="M142" t="n">
        <v>0</v>
      </c>
      <c r="N142" t="n">
        <v>0</v>
      </c>
      <c r="O142" t="n">
        <v>0</v>
      </c>
      <c r="P142" t="n">
        <v>0</v>
      </c>
      <c r="Q142" t="n">
        <v>0</v>
      </c>
      <c r="R142" s="2" t="inlineStr"/>
    </row>
    <row r="143" ht="15" customHeight="1">
      <c r="A143" t="inlineStr">
        <is>
          <t>A 36282-2019</t>
        </is>
      </c>
      <c r="B143" s="1" t="n">
        <v>43669</v>
      </c>
      <c r="C143" s="1" t="n">
        <v>45723</v>
      </c>
      <c r="D143" t="inlineStr">
        <is>
          <t>ÖREBRO LÄN</t>
        </is>
      </c>
      <c r="E143" t="inlineStr">
        <is>
          <t>ÖREBRO</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36283-2019</t>
        </is>
      </c>
      <c r="B144" s="1" t="n">
        <v>43669</v>
      </c>
      <c r="C144" s="1" t="n">
        <v>45723</v>
      </c>
      <c r="D144" t="inlineStr">
        <is>
          <t>ÖREBRO LÄN</t>
        </is>
      </c>
      <c r="E144" t="inlineStr">
        <is>
          <t>ÖREBRO</t>
        </is>
      </c>
      <c r="G144" t="n">
        <v>3.2</v>
      </c>
      <c r="H144" t="n">
        <v>0</v>
      </c>
      <c r="I144" t="n">
        <v>0</v>
      </c>
      <c r="J144" t="n">
        <v>0</v>
      </c>
      <c r="K144" t="n">
        <v>0</v>
      </c>
      <c r="L144" t="n">
        <v>0</v>
      </c>
      <c r="M144" t="n">
        <v>0</v>
      </c>
      <c r="N144" t="n">
        <v>0</v>
      </c>
      <c r="O144" t="n">
        <v>0</v>
      </c>
      <c r="P144" t="n">
        <v>0</v>
      </c>
      <c r="Q144" t="n">
        <v>0</v>
      </c>
      <c r="R144" s="2" t="inlineStr"/>
    </row>
    <row r="145" ht="15" customHeight="1">
      <c r="A145" t="inlineStr">
        <is>
          <t>A 36284-2019</t>
        </is>
      </c>
      <c r="B145" s="1" t="n">
        <v>43669</v>
      </c>
      <c r="C145" s="1" t="n">
        <v>45723</v>
      </c>
      <c r="D145" t="inlineStr">
        <is>
          <t>ÖREBRO LÄN</t>
        </is>
      </c>
      <c r="E145" t="inlineStr">
        <is>
          <t>ÖREBRO</t>
        </is>
      </c>
      <c r="G145" t="n">
        <v>1.5</v>
      </c>
      <c r="H145" t="n">
        <v>0</v>
      </c>
      <c r="I145" t="n">
        <v>0</v>
      </c>
      <c r="J145" t="n">
        <v>0</v>
      </c>
      <c r="K145" t="n">
        <v>0</v>
      </c>
      <c r="L145" t="n">
        <v>0</v>
      </c>
      <c r="M145" t="n">
        <v>0</v>
      </c>
      <c r="N145" t="n">
        <v>0</v>
      </c>
      <c r="O145" t="n">
        <v>0</v>
      </c>
      <c r="P145" t="n">
        <v>0</v>
      </c>
      <c r="Q145" t="n">
        <v>0</v>
      </c>
      <c r="R145" s="2" t="inlineStr"/>
    </row>
    <row r="146" ht="15" customHeight="1">
      <c r="A146" t="inlineStr">
        <is>
          <t>A 36990-2019</t>
        </is>
      </c>
      <c r="B146" s="1" t="n">
        <v>43676</v>
      </c>
      <c r="C146" s="1" t="n">
        <v>45723</v>
      </c>
      <c r="D146" t="inlineStr">
        <is>
          <t>ÖREBRO LÄN</t>
        </is>
      </c>
      <c r="E146" t="inlineStr">
        <is>
          <t>ÖREBRO</t>
        </is>
      </c>
      <c r="G146" t="n">
        <v>5.1</v>
      </c>
      <c r="H146" t="n">
        <v>0</v>
      </c>
      <c r="I146" t="n">
        <v>0</v>
      </c>
      <c r="J146" t="n">
        <v>0</v>
      </c>
      <c r="K146" t="n">
        <v>0</v>
      </c>
      <c r="L146" t="n">
        <v>0</v>
      </c>
      <c r="M146" t="n">
        <v>0</v>
      </c>
      <c r="N146" t="n">
        <v>0</v>
      </c>
      <c r="O146" t="n">
        <v>0</v>
      </c>
      <c r="P146" t="n">
        <v>0</v>
      </c>
      <c r="Q146" t="n">
        <v>0</v>
      </c>
      <c r="R146" s="2" t="inlineStr"/>
    </row>
    <row r="147" ht="15" customHeight="1">
      <c r="A147" t="inlineStr">
        <is>
          <t>A 37254-2019</t>
        </is>
      </c>
      <c r="B147" s="1" t="n">
        <v>43677</v>
      </c>
      <c r="C147" s="1" t="n">
        <v>45723</v>
      </c>
      <c r="D147" t="inlineStr">
        <is>
          <t>ÖREBRO LÄN</t>
        </is>
      </c>
      <c r="E147" t="inlineStr">
        <is>
          <t>ÖREBRO</t>
        </is>
      </c>
      <c r="G147" t="n">
        <v>10.3</v>
      </c>
      <c r="H147" t="n">
        <v>0</v>
      </c>
      <c r="I147" t="n">
        <v>0</v>
      </c>
      <c r="J147" t="n">
        <v>0</v>
      </c>
      <c r="K147" t="n">
        <v>0</v>
      </c>
      <c r="L147" t="n">
        <v>0</v>
      </c>
      <c r="M147" t="n">
        <v>0</v>
      </c>
      <c r="N147" t="n">
        <v>0</v>
      </c>
      <c r="O147" t="n">
        <v>0</v>
      </c>
      <c r="P147" t="n">
        <v>0</v>
      </c>
      <c r="Q147" t="n">
        <v>0</v>
      </c>
      <c r="R147" s="2" t="inlineStr"/>
    </row>
    <row r="148" ht="15" customHeight="1">
      <c r="A148" t="inlineStr">
        <is>
          <t>A 37258-2019</t>
        </is>
      </c>
      <c r="B148" s="1" t="n">
        <v>43677</v>
      </c>
      <c r="C148" s="1" t="n">
        <v>45723</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37278-2019</t>
        </is>
      </c>
      <c r="B149" s="1" t="n">
        <v>43677</v>
      </c>
      <c r="C149" s="1" t="n">
        <v>45723</v>
      </c>
      <c r="D149" t="inlineStr">
        <is>
          <t>ÖREBRO LÄN</t>
        </is>
      </c>
      <c r="E149" t="inlineStr">
        <is>
          <t>ÖREBRO</t>
        </is>
      </c>
      <c r="G149" t="n">
        <v>7.9</v>
      </c>
      <c r="H149" t="n">
        <v>0</v>
      </c>
      <c r="I149" t="n">
        <v>0</v>
      </c>
      <c r="J149" t="n">
        <v>0</v>
      </c>
      <c r="K149" t="n">
        <v>0</v>
      </c>
      <c r="L149" t="n">
        <v>0</v>
      </c>
      <c r="M149" t="n">
        <v>0</v>
      </c>
      <c r="N149" t="n">
        <v>0</v>
      </c>
      <c r="O149" t="n">
        <v>0</v>
      </c>
      <c r="P149" t="n">
        <v>0</v>
      </c>
      <c r="Q149" t="n">
        <v>0</v>
      </c>
      <c r="R149" s="2" t="inlineStr"/>
    </row>
    <row r="150" ht="15" customHeight="1">
      <c r="A150" t="inlineStr">
        <is>
          <t>A 37930-2019</t>
        </is>
      </c>
      <c r="B150" s="1" t="n">
        <v>43683</v>
      </c>
      <c r="C150" s="1" t="n">
        <v>45723</v>
      </c>
      <c r="D150" t="inlineStr">
        <is>
          <t>ÖREBRO LÄN</t>
        </is>
      </c>
      <c r="E150" t="inlineStr">
        <is>
          <t>ÖREBRO</t>
        </is>
      </c>
      <c r="G150" t="n">
        <v>4.8</v>
      </c>
      <c r="H150" t="n">
        <v>0</v>
      </c>
      <c r="I150" t="n">
        <v>0</v>
      </c>
      <c r="J150" t="n">
        <v>0</v>
      </c>
      <c r="K150" t="n">
        <v>0</v>
      </c>
      <c r="L150" t="n">
        <v>0</v>
      </c>
      <c r="M150" t="n">
        <v>0</v>
      </c>
      <c r="N150" t="n">
        <v>0</v>
      </c>
      <c r="O150" t="n">
        <v>0</v>
      </c>
      <c r="P150" t="n">
        <v>0</v>
      </c>
      <c r="Q150" t="n">
        <v>0</v>
      </c>
      <c r="R150" s="2" t="inlineStr"/>
    </row>
    <row r="151" ht="15" customHeight="1">
      <c r="A151" t="inlineStr">
        <is>
          <t>A 38372-2019</t>
        </is>
      </c>
      <c r="B151" s="1" t="n">
        <v>43683</v>
      </c>
      <c r="C151" s="1" t="n">
        <v>45723</v>
      </c>
      <c r="D151" t="inlineStr">
        <is>
          <t>ÖREBRO LÄN</t>
        </is>
      </c>
      <c r="E151" t="inlineStr">
        <is>
          <t>ÖREBRO</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38389-2019</t>
        </is>
      </c>
      <c r="B152" s="1" t="n">
        <v>43685</v>
      </c>
      <c r="C152" s="1" t="n">
        <v>45723</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38885-2019</t>
        </is>
      </c>
      <c r="B153" s="1" t="n">
        <v>43686</v>
      </c>
      <c r="C153" s="1" t="n">
        <v>45723</v>
      </c>
      <c r="D153" t="inlineStr">
        <is>
          <t>ÖREBRO LÄN</t>
        </is>
      </c>
      <c r="E153" t="inlineStr">
        <is>
          <t>ÖREBRO</t>
        </is>
      </c>
      <c r="G153" t="n">
        <v>1.1</v>
      </c>
      <c r="H153" t="n">
        <v>0</v>
      </c>
      <c r="I153" t="n">
        <v>0</v>
      </c>
      <c r="J153" t="n">
        <v>0</v>
      </c>
      <c r="K153" t="n">
        <v>0</v>
      </c>
      <c r="L153" t="n">
        <v>0</v>
      </c>
      <c r="M153" t="n">
        <v>0</v>
      </c>
      <c r="N153" t="n">
        <v>0</v>
      </c>
      <c r="O153" t="n">
        <v>0</v>
      </c>
      <c r="P153" t="n">
        <v>0</v>
      </c>
      <c r="Q153" t="n">
        <v>0</v>
      </c>
      <c r="R153" s="2" t="inlineStr"/>
    </row>
    <row r="154" ht="15" customHeight="1">
      <c r="A154" t="inlineStr">
        <is>
          <t>A 38923-2019</t>
        </is>
      </c>
      <c r="B154" s="1" t="n">
        <v>43689</v>
      </c>
      <c r="C154" s="1" t="n">
        <v>45723</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38846-2019</t>
        </is>
      </c>
      <c r="B155" s="1" t="n">
        <v>43689</v>
      </c>
      <c r="C155" s="1" t="n">
        <v>45723</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39303-2019</t>
        </is>
      </c>
      <c r="B156" s="1" t="n">
        <v>43690</v>
      </c>
      <c r="C156" s="1" t="n">
        <v>45723</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39576-2019</t>
        </is>
      </c>
      <c r="B157" s="1" t="n">
        <v>43691</v>
      </c>
      <c r="C157" s="1" t="n">
        <v>45723</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39714-2019</t>
        </is>
      </c>
      <c r="B158" s="1" t="n">
        <v>43691</v>
      </c>
      <c r="C158" s="1" t="n">
        <v>45723</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40694-2019</t>
        </is>
      </c>
      <c r="B159" s="1" t="n">
        <v>43691</v>
      </c>
      <c r="C159" s="1" t="n">
        <v>45723</v>
      </c>
      <c r="D159" t="inlineStr">
        <is>
          <t>ÖREBRO LÄN</t>
        </is>
      </c>
      <c r="E159" t="inlineStr">
        <is>
          <t>ÖREBRO</t>
        </is>
      </c>
      <c r="F159" t="inlineStr">
        <is>
          <t>Kommuner</t>
        </is>
      </c>
      <c r="G159" t="n">
        <v>4</v>
      </c>
      <c r="H159" t="n">
        <v>0</v>
      </c>
      <c r="I159" t="n">
        <v>0</v>
      </c>
      <c r="J159" t="n">
        <v>0</v>
      </c>
      <c r="K159" t="n">
        <v>0</v>
      </c>
      <c r="L159" t="n">
        <v>0</v>
      </c>
      <c r="M159" t="n">
        <v>0</v>
      </c>
      <c r="N159" t="n">
        <v>0</v>
      </c>
      <c r="O159" t="n">
        <v>0</v>
      </c>
      <c r="P159" t="n">
        <v>0</v>
      </c>
      <c r="Q159" t="n">
        <v>0</v>
      </c>
      <c r="R159" s="2" t="inlineStr"/>
    </row>
    <row r="160" ht="15" customHeight="1">
      <c r="A160" t="inlineStr">
        <is>
          <t>A 40556-2019</t>
        </is>
      </c>
      <c r="B160" s="1" t="n">
        <v>43691</v>
      </c>
      <c r="C160" s="1" t="n">
        <v>45723</v>
      </c>
      <c r="D160" t="inlineStr">
        <is>
          <t>ÖREBRO LÄN</t>
        </is>
      </c>
      <c r="E160" t="inlineStr">
        <is>
          <t>ÖREBRO</t>
        </is>
      </c>
      <c r="G160" t="n">
        <v>6.5</v>
      </c>
      <c r="H160" t="n">
        <v>0</v>
      </c>
      <c r="I160" t="n">
        <v>0</v>
      </c>
      <c r="J160" t="n">
        <v>0</v>
      </c>
      <c r="K160" t="n">
        <v>0</v>
      </c>
      <c r="L160" t="n">
        <v>0</v>
      </c>
      <c r="M160" t="n">
        <v>0</v>
      </c>
      <c r="N160" t="n">
        <v>0</v>
      </c>
      <c r="O160" t="n">
        <v>0</v>
      </c>
      <c r="P160" t="n">
        <v>0</v>
      </c>
      <c r="Q160" t="n">
        <v>0</v>
      </c>
      <c r="R160" s="2" t="inlineStr"/>
    </row>
    <row r="161" ht="15" customHeight="1">
      <c r="A161" t="inlineStr">
        <is>
          <t>A 41063-2019</t>
        </is>
      </c>
      <c r="B161" s="1" t="n">
        <v>43698</v>
      </c>
      <c r="C161" s="1" t="n">
        <v>45723</v>
      </c>
      <c r="D161" t="inlineStr">
        <is>
          <t>ÖREBRO LÄN</t>
        </is>
      </c>
      <c r="E161" t="inlineStr">
        <is>
          <t>ÖREBRO</t>
        </is>
      </c>
      <c r="G161" t="n">
        <v>2.9</v>
      </c>
      <c r="H161" t="n">
        <v>0</v>
      </c>
      <c r="I161" t="n">
        <v>0</v>
      </c>
      <c r="J161" t="n">
        <v>0</v>
      </c>
      <c r="K161" t="n">
        <v>0</v>
      </c>
      <c r="L161" t="n">
        <v>0</v>
      </c>
      <c r="M161" t="n">
        <v>0</v>
      </c>
      <c r="N161" t="n">
        <v>0</v>
      </c>
      <c r="O161" t="n">
        <v>0</v>
      </c>
      <c r="P161" t="n">
        <v>0</v>
      </c>
      <c r="Q161" t="n">
        <v>0</v>
      </c>
      <c r="R161" s="2" t="inlineStr"/>
    </row>
    <row r="162" ht="15" customHeight="1">
      <c r="A162" t="inlineStr">
        <is>
          <t>A 44039-2019</t>
        </is>
      </c>
      <c r="B162" s="1" t="n">
        <v>43704</v>
      </c>
      <c r="C162" s="1" t="n">
        <v>45723</v>
      </c>
      <c r="D162" t="inlineStr">
        <is>
          <t>ÖREBRO LÄN</t>
        </is>
      </c>
      <c r="E162" t="inlineStr">
        <is>
          <t>ÖREBRO</t>
        </is>
      </c>
      <c r="F162" t="inlineStr">
        <is>
          <t>Kommuner</t>
        </is>
      </c>
      <c r="G162" t="n">
        <v>0.5</v>
      </c>
      <c r="H162" t="n">
        <v>0</v>
      </c>
      <c r="I162" t="n">
        <v>0</v>
      </c>
      <c r="J162" t="n">
        <v>0</v>
      </c>
      <c r="K162" t="n">
        <v>0</v>
      </c>
      <c r="L162" t="n">
        <v>0</v>
      </c>
      <c r="M162" t="n">
        <v>0</v>
      </c>
      <c r="N162" t="n">
        <v>0</v>
      </c>
      <c r="O162" t="n">
        <v>0</v>
      </c>
      <c r="P162" t="n">
        <v>0</v>
      </c>
      <c r="Q162" t="n">
        <v>0</v>
      </c>
      <c r="R162" s="2" t="inlineStr"/>
    </row>
    <row r="163" ht="15" customHeight="1">
      <c r="A163" t="inlineStr">
        <is>
          <t>A 43692-2019</t>
        </is>
      </c>
      <c r="B163" s="1" t="n">
        <v>43704</v>
      </c>
      <c r="C163" s="1" t="n">
        <v>45723</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44034-2019</t>
        </is>
      </c>
      <c r="B164" s="1" t="n">
        <v>43704</v>
      </c>
      <c r="C164" s="1" t="n">
        <v>45723</v>
      </c>
      <c r="D164" t="inlineStr">
        <is>
          <t>ÖREBRO LÄN</t>
        </is>
      </c>
      <c r="E164" t="inlineStr">
        <is>
          <t>ÖREBRO</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44152-2019</t>
        </is>
      </c>
      <c r="B165" s="1" t="n">
        <v>43704</v>
      </c>
      <c r="C165" s="1" t="n">
        <v>45723</v>
      </c>
      <c r="D165" t="inlineStr">
        <is>
          <t>ÖREBRO LÄN</t>
        </is>
      </c>
      <c r="E165" t="inlineStr">
        <is>
          <t>ÖREBRO</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43632-2019</t>
        </is>
      </c>
      <c r="B166" s="1" t="n">
        <v>43704</v>
      </c>
      <c r="C166" s="1" t="n">
        <v>45723</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43007-2019</t>
        </is>
      </c>
      <c r="B167" s="1" t="n">
        <v>43705</v>
      </c>
      <c r="C167" s="1" t="n">
        <v>45723</v>
      </c>
      <c r="D167" t="inlineStr">
        <is>
          <t>ÖREBRO LÄN</t>
        </is>
      </c>
      <c r="E167" t="inlineStr">
        <is>
          <t>ÖREBRO</t>
        </is>
      </c>
      <c r="G167" t="n">
        <v>7.5</v>
      </c>
      <c r="H167" t="n">
        <v>0</v>
      </c>
      <c r="I167" t="n">
        <v>0</v>
      </c>
      <c r="J167" t="n">
        <v>0</v>
      </c>
      <c r="K167" t="n">
        <v>0</v>
      </c>
      <c r="L167" t="n">
        <v>0</v>
      </c>
      <c r="M167" t="n">
        <v>0</v>
      </c>
      <c r="N167" t="n">
        <v>0</v>
      </c>
      <c r="O167" t="n">
        <v>0</v>
      </c>
      <c r="P167" t="n">
        <v>0</v>
      </c>
      <c r="Q167" t="n">
        <v>0</v>
      </c>
      <c r="R167" s="2" t="inlineStr"/>
    </row>
    <row r="168" ht="15" customHeight="1">
      <c r="A168" t="inlineStr">
        <is>
          <t>A 44153-2019</t>
        </is>
      </c>
      <c r="B168" s="1" t="n">
        <v>43710</v>
      </c>
      <c r="C168" s="1" t="n">
        <v>45723</v>
      </c>
      <c r="D168" t="inlineStr">
        <is>
          <t>ÖREBRO LÄN</t>
        </is>
      </c>
      <c r="E168" t="inlineStr">
        <is>
          <t>ÖREBRO</t>
        </is>
      </c>
      <c r="G168" t="n">
        <v>5.5</v>
      </c>
      <c r="H168" t="n">
        <v>0</v>
      </c>
      <c r="I168" t="n">
        <v>0</v>
      </c>
      <c r="J168" t="n">
        <v>0</v>
      </c>
      <c r="K168" t="n">
        <v>0</v>
      </c>
      <c r="L168" t="n">
        <v>0</v>
      </c>
      <c r="M168" t="n">
        <v>0</v>
      </c>
      <c r="N168" t="n">
        <v>0</v>
      </c>
      <c r="O168" t="n">
        <v>0</v>
      </c>
      <c r="P168" t="n">
        <v>0</v>
      </c>
      <c r="Q168" t="n">
        <v>0</v>
      </c>
      <c r="R168" s="2" t="inlineStr"/>
    </row>
    <row r="169" ht="15" customHeight="1">
      <c r="A169" t="inlineStr">
        <is>
          <t>A 44280-2019</t>
        </is>
      </c>
      <c r="B169" s="1" t="n">
        <v>43710</v>
      </c>
      <c r="C169" s="1" t="n">
        <v>45723</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44277-2019</t>
        </is>
      </c>
      <c r="B170" s="1" t="n">
        <v>43710</v>
      </c>
      <c r="C170" s="1" t="n">
        <v>45723</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45309-2019</t>
        </is>
      </c>
      <c r="B171" s="1" t="n">
        <v>43710</v>
      </c>
      <c r="C171" s="1" t="n">
        <v>45723</v>
      </c>
      <c r="D171" t="inlineStr">
        <is>
          <t>ÖREBRO LÄN</t>
        </is>
      </c>
      <c r="E171" t="inlineStr">
        <is>
          <t>ÖREBRO</t>
        </is>
      </c>
      <c r="F171" t="inlineStr">
        <is>
          <t>Kommuner</t>
        </is>
      </c>
      <c r="G171" t="n">
        <v>1.5</v>
      </c>
      <c r="H171" t="n">
        <v>0</v>
      </c>
      <c r="I171" t="n">
        <v>0</v>
      </c>
      <c r="J171" t="n">
        <v>0</v>
      </c>
      <c r="K171" t="n">
        <v>0</v>
      </c>
      <c r="L171" t="n">
        <v>0</v>
      </c>
      <c r="M171" t="n">
        <v>0</v>
      </c>
      <c r="N171" t="n">
        <v>0</v>
      </c>
      <c r="O171" t="n">
        <v>0</v>
      </c>
      <c r="P171" t="n">
        <v>0</v>
      </c>
      <c r="Q171" t="n">
        <v>0</v>
      </c>
      <c r="R171" s="2" t="inlineStr"/>
    </row>
    <row r="172" ht="15" customHeight="1">
      <c r="A172" t="inlineStr">
        <is>
          <t>A 44278-2019</t>
        </is>
      </c>
      <c r="B172" s="1" t="n">
        <v>43710</v>
      </c>
      <c r="C172" s="1" t="n">
        <v>45723</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44948-2019</t>
        </is>
      </c>
      <c r="B173" s="1" t="n">
        <v>43713</v>
      </c>
      <c r="C173" s="1" t="n">
        <v>45723</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45418-2019</t>
        </is>
      </c>
      <c r="B174" s="1" t="n">
        <v>43714</v>
      </c>
      <c r="C174" s="1" t="n">
        <v>45723</v>
      </c>
      <c r="D174" t="inlineStr">
        <is>
          <t>ÖREBRO LÄN</t>
        </is>
      </c>
      <c r="E174" t="inlineStr">
        <is>
          <t>ÖREBRO</t>
        </is>
      </c>
      <c r="G174" t="n">
        <v>9</v>
      </c>
      <c r="H174" t="n">
        <v>0</v>
      </c>
      <c r="I174" t="n">
        <v>0</v>
      </c>
      <c r="J174" t="n">
        <v>0</v>
      </c>
      <c r="K174" t="n">
        <v>0</v>
      </c>
      <c r="L174" t="n">
        <v>0</v>
      </c>
      <c r="M174" t="n">
        <v>0</v>
      </c>
      <c r="N174" t="n">
        <v>0</v>
      </c>
      <c r="O174" t="n">
        <v>0</v>
      </c>
      <c r="P174" t="n">
        <v>0</v>
      </c>
      <c r="Q174" t="n">
        <v>0</v>
      </c>
      <c r="R174" s="2" t="inlineStr"/>
    </row>
    <row r="175" ht="15" customHeight="1">
      <c r="A175" t="inlineStr">
        <is>
          <t>A 45420-2019</t>
        </is>
      </c>
      <c r="B175" s="1" t="n">
        <v>43714</v>
      </c>
      <c r="C175" s="1" t="n">
        <v>45723</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45686-2019</t>
        </is>
      </c>
      <c r="B176" s="1" t="n">
        <v>43714</v>
      </c>
      <c r="C176" s="1" t="n">
        <v>45723</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46552-2019</t>
        </is>
      </c>
      <c r="B177" s="1" t="n">
        <v>43719</v>
      </c>
      <c r="C177" s="1" t="n">
        <v>45723</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46900-2019</t>
        </is>
      </c>
      <c r="B178" s="1" t="n">
        <v>43719</v>
      </c>
      <c r="C178" s="1" t="n">
        <v>45723</v>
      </c>
      <c r="D178" t="inlineStr">
        <is>
          <t>ÖREBRO LÄN</t>
        </is>
      </c>
      <c r="E178" t="inlineStr">
        <is>
          <t>ÖREBRO</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49926-2019</t>
        </is>
      </c>
      <c r="B179" s="1" t="n">
        <v>43733</v>
      </c>
      <c r="C179" s="1" t="n">
        <v>45723</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50074-2019</t>
        </is>
      </c>
      <c r="B180" s="1" t="n">
        <v>43734</v>
      </c>
      <c r="C180" s="1" t="n">
        <v>45723</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50080-2019</t>
        </is>
      </c>
      <c r="B181" s="1" t="n">
        <v>43734</v>
      </c>
      <c r="C181" s="1" t="n">
        <v>45723</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50148-2019</t>
        </is>
      </c>
      <c r="B182" s="1" t="n">
        <v>43734</v>
      </c>
      <c r="C182" s="1" t="n">
        <v>45723</v>
      </c>
      <c r="D182" t="inlineStr">
        <is>
          <t>ÖREBRO LÄN</t>
        </is>
      </c>
      <c r="E182" t="inlineStr">
        <is>
          <t>ÖREBRO</t>
        </is>
      </c>
      <c r="G182" t="n">
        <v>2.9</v>
      </c>
      <c r="H182" t="n">
        <v>0</v>
      </c>
      <c r="I182" t="n">
        <v>0</v>
      </c>
      <c r="J182" t="n">
        <v>0</v>
      </c>
      <c r="K182" t="n">
        <v>0</v>
      </c>
      <c r="L182" t="n">
        <v>0</v>
      </c>
      <c r="M182" t="n">
        <v>0</v>
      </c>
      <c r="N182" t="n">
        <v>0</v>
      </c>
      <c r="O182" t="n">
        <v>0</v>
      </c>
      <c r="P182" t="n">
        <v>0</v>
      </c>
      <c r="Q182" t="n">
        <v>0</v>
      </c>
      <c r="R182" s="2" t="inlineStr"/>
    </row>
    <row r="183" ht="15" customHeight="1">
      <c r="A183" t="inlineStr">
        <is>
          <t>A 50366-2019</t>
        </is>
      </c>
      <c r="B183" s="1" t="n">
        <v>43735</v>
      </c>
      <c r="C183" s="1" t="n">
        <v>45723</v>
      </c>
      <c r="D183" t="inlineStr">
        <is>
          <t>ÖREBRO LÄN</t>
        </is>
      </c>
      <c r="E183" t="inlineStr">
        <is>
          <t>ÖREBRO</t>
        </is>
      </c>
      <c r="G183" t="n">
        <v>3.5</v>
      </c>
      <c r="H183" t="n">
        <v>0</v>
      </c>
      <c r="I183" t="n">
        <v>0</v>
      </c>
      <c r="J183" t="n">
        <v>0</v>
      </c>
      <c r="K183" t="n">
        <v>0</v>
      </c>
      <c r="L183" t="n">
        <v>0</v>
      </c>
      <c r="M183" t="n">
        <v>0</v>
      </c>
      <c r="N183" t="n">
        <v>0</v>
      </c>
      <c r="O183" t="n">
        <v>0</v>
      </c>
      <c r="P183" t="n">
        <v>0</v>
      </c>
      <c r="Q183" t="n">
        <v>0</v>
      </c>
      <c r="R183" s="2" t="inlineStr"/>
    </row>
    <row r="184" ht="15" customHeight="1">
      <c r="A184" t="inlineStr">
        <is>
          <t>A 50321-2019</t>
        </is>
      </c>
      <c r="B184" s="1" t="n">
        <v>43735</v>
      </c>
      <c r="C184" s="1" t="n">
        <v>45723</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52705-2019</t>
        </is>
      </c>
      <c r="B185" s="1" t="n">
        <v>43739</v>
      </c>
      <c r="C185" s="1" t="n">
        <v>45723</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51808-2019</t>
        </is>
      </c>
      <c r="B186" s="1" t="n">
        <v>43741</v>
      </c>
      <c r="C186" s="1" t="n">
        <v>45723</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54181-2019</t>
        </is>
      </c>
      <c r="B187" s="1" t="n">
        <v>43745</v>
      </c>
      <c r="C187" s="1" t="n">
        <v>45723</v>
      </c>
      <c r="D187" t="inlineStr">
        <is>
          <t>ÖREBRO LÄN</t>
        </is>
      </c>
      <c r="E187" t="inlineStr">
        <is>
          <t>ÖREBRO</t>
        </is>
      </c>
      <c r="F187" t="inlineStr">
        <is>
          <t>Övriga Aktiebolag</t>
        </is>
      </c>
      <c r="G187" t="n">
        <v>7.6</v>
      </c>
      <c r="H187" t="n">
        <v>0</v>
      </c>
      <c r="I187" t="n">
        <v>0</v>
      </c>
      <c r="J187" t="n">
        <v>0</v>
      </c>
      <c r="K187" t="n">
        <v>0</v>
      </c>
      <c r="L187" t="n">
        <v>0</v>
      </c>
      <c r="M187" t="n">
        <v>0</v>
      </c>
      <c r="N187" t="n">
        <v>0</v>
      </c>
      <c r="O187" t="n">
        <v>0</v>
      </c>
      <c r="P187" t="n">
        <v>0</v>
      </c>
      <c r="Q187" t="n">
        <v>0</v>
      </c>
      <c r="R187" s="2" t="inlineStr"/>
    </row>
    <row r="188" ht="15" customHeight="1">
      <c r="A188" t="inlineStr">
        <is>
          <t>A 53446-2019</t>
        </is>
      </c>
      <c r="B188" s="1" t="n">
        <v>43748</v>
      </c>
      <c r="C188" s="1" t="n">
        <v>45723</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54912-2019</t>
        </is>
      </c>
      <c r="B189" s="1" t="n">
        <v>43755</v>
      </c>
      <c r="C189" s="1" t="n">
        <v>45723</v>
      </c>
      <c r="D189" t="inlineStr">
        <is>
          <t>ÖREBRO LÄN</t>
        </is>
      </c>
      <c r="E189" t="inlineStr">
        <is>
          <t>ÖREBRO</t>
        </is>
      </c>
      <c r="F189" t="inlineStr">
        <is>
          <t>Allmännings- och besparingsskogar</t>
        </is>
      </c>
      <c r="G189" t="n">
        <v>15.1</v>
      </c>
      <c r="H189" t="n">
        <v>0</v>
      </c>
      <c r="I189" t="n">
        <v>0</v>
      </c>
      <c r="J189" t="n">
        <v>0</v>
      </c>
      <c r="K189" t="n">
        <v>0</v>
      </c>
      <c r="L189" t="n">
        <v>0</v>
      </c>
      <c r="M189" t="n">
        <v>0</v>
      </c>
      <c r="N189" t="n">
        <v>0</v>
      </c>
      <c r="O189" t="n">
        <v>0</v>
      </c>
      <c r="P189" t="n">
        <v>0</v>
      </c>
      <c r="Q189" t="n">
        <v>0</v>
      </c>
      <c r="R189" s="2" t="inlineStr"/>
    </row>
    <row r="190" ht="15" customHeight="1">
      <c r="A190" t="inlineStr">
        <is>
          <t>A 57706-2019</t>
        </is>
      </c>
      <c r="B190" s="1" t="n">
        <v>43761</v>
      </c>
      <c r="C190" s="1" t="n">
        <v>45723</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56963-2019</t>
        </is>
      </c>
      <c r="B191" s="1" t="n">
        <v>43766</v>
      </c>
      <c r="C191" s="1" t="n">
        <v>45723</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57673-2019</t>
        </is>
      </c>
      <c r="B192" s="1" t="n">
        <v>43768</v>
      </c>
      <c r="C192" s="1" t="n">
        <v>45723</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58955-2019</t>
        </is>
      </c>
      <c r="B193" s="1" t="n">
        <v>43774</v>
      </c>
      <c r="C193" s="1" t="n">
        <v>45723</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59109-2019</t>
        </is>
      </c>
      <c r="B194" s="1" t="n">
        <v>43775</v>
      </c>
      <c r="C194" s="1" t="n">
        <v>45723</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59582-2019</t>
        </is>
      </c>
      <c r="B195" s="1" t="n">
        <v>43776</v>
      </c>
      <c r="C195" s="1" t="n">
        <v>45723</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60960-2019</t>
        </is>
      </c>
      <c r="B196" s="1" t="n">
        <v>43782</v>
      </c>
      <c r="C196" s="1" t="n">
        <v>45723</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61408-2019</t>
        </is>
      </c>
      <c r="B197" s="1" t="n">
        <v>43783</v>
      </c>
      <c r="C197" s="1" t="n">
        <v>45723</v>
      </c>
      <c r="D197" t="inlineStr">
        <is>
          <t>ÖREBRO LÄN</t>
        </is>
      </c>
      <c r="E197" t="inlineStr">
        <is>
          <t>ÖREBRO</t>
        </is>
      </c>
      <c r="F197" t="inlineStr">
        <is>
          <t>Övriga Aktiebolag</t>
        </is>
      </c>
      <c r="G197" t="n">
        <v>0.9</v>
      </c>
      <c r="H197" t="n">
        <v>0</v>
      </c>
      <c r="I197" t="n">
        <v>0</v>
      </c>
      <c r="J197" t="n">
        <v>0</v>
      </c>
      <c r="K197" t="n">
        <v>0</v>
      </c>
      <c r="L197" t="n">
        <v>0</v>
      </c>
      <c r="M197" t="n">
        <v>0</v>
      </c>
      <c r="N197" t="n">
        <v>0</v>
      </c>
      <c r="O197" t="n">
        <v>0</v>
      </c>
      <c r="P197" t="n">
        <v>0</v>
      </c>
      <c r="Q197" t="n">
        <v>0</v>
      </c>
      <c r="R197" s="2" t="inlineStr"/>
    </row>
    <row r="198" ht="15" customHeight="1">
      <c r="A198" t="inlineStr">
        <is>
          <t>A 61669-2019</t>
        </is>
      </c>
      <c r="B198" s="1" t="n">
        <v>43783</v>
      </c>
      <c r="C198" s="1" t="n">
        <v>45723</v>
      </c>
      <c r="D198" t="inlineStr">
        <is>
          <t>ÖREBRO LÄN</t>
        </is>
      </c>
      <c r="E198" t="inlineStr">
        <is>
          <t>ÖREBRO</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61552-2019</t>
        </is>
      </c>
      <c r="B199" s="1" t="n">
        <v>43784</v>
      </c>
      <c r="C199" s="1" t="n">
        <v>45723</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61812-2019</t>
        </is>
      </c>
      <c r="B200" s="1" t="n">
        <v>43786</v>
      </c>
      <c r="C200" s="1" t="n">
        <v>45723</v>
      </c>
      <c r="D200" t="inlineStr">
        <is>
          <t>ÖREBRO LÄN</t>
        </is>
      </c>
      <c r="E200" t="inlineStr">
        <is>
          <t>ÖREBRO</t>
        </is>
      </c>
      <c r="G200" t="n">
        <v>5.8</v>
      </c>
      <c r="H200" t="n">
        <v>0</v>
      </c>
      <c r="I200" t="n">
        <v>0</v>
      </c>
      <c r="J200" t="n">
        <v>0</v>
      </c>
      <c r="K200" t="n">
        <v>0</v>
      </c>
      <c r="L200" t="n">
        <v>0</v>
      </c>
      <c r="M200" t="n">
        <v>0</v>
      </c>
      <c r="N200" t="n">
        <v>0</v>
      </c>
      <c r="O200" t="n">
        <v>0</v>
      </c>
      <c r="P200" t="n">
        <v>0</v>
      </c>
      <c r="Q200" t="n">
        <v>0</v>
      </c>
      <c r="R200" s="2" t="inlineStr"/>
    </row>
    <row r="201" ht="15" customHeight="1">
      <c r="A201" t="inlineStr">
        <is>
          <t>A 62131-2019</t>
        </is>
      </c>
      <c r="B201" s="1" t="n">
        <v>43787</v>
      </c>
      <c r="C201" s="1" t="n">
        <v>45723</v>
      </c>
      <c r="D201" t="inlineStr">
        <is>
          <t>ÖREBRO LÄN</t>
        </is>
      </c>
      <c r="E201" t="inlineStr">
        <is>
          <t>ÖREBRO</t>
        </is>
      </c>
      <c r="G201" t="n">
        <v>2.6</v>
      </c>
      <c r="H201" t="n">
        <v>0</v>
      </c>
      <c r="I201" t="n">
        <v>0</v>
      </c>
      <c r="J201" t="n">
        <v>0</v>
      </c>
      <c r="K201" t="n">
        <v>0</v>
      </c>
      <c r="L201" t="n">
        <v>0</v>
      </c>
      <c r="M201" t="n">
        <v>0</v>
      </c>
      <c r="N201" t="n">
        <v>0</v>
      </c>
      <c r="O201" t="n">
        <v>0</v>
      </c>
      <c r="P201" t="n">
        <v>0</v>
      </c>
      <c r="Q201" t="n">
        <v>0</v>
      </c>
      <c r="R201" s="2" t="inlineStr"/>
    </row>
    <row r="202" ht="15" customHeight="1">
      <c r="A202" t="inlineStr">
        <is>
          <t>A 63970-2019</t>
        </is>
      </c>
      <c r="B202" s="1" t="n">
        <v>43790</v>
      </c>
      <c r="C202" s="1" t="n">
        <v>45723</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63722-2019</t>
        </is>
      </c>
      <c r="B203" s="1" t="n">
        <v>43790</v>
      </c>
      <c r="C203" s="1" t="n">
        <v>45723</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63310-2019</t>
        </is>
      </c>
      <c r="B204" s="1" t="n">
        <v>43794</v>
      </c>
      <c r="C204" s="1" t="n">
        <v>45723</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64095-2019</t>
        </is>
      </c>
      <c r="B205" s="1" t="n">
        <v>43796</v>
      </c>
      <c r="C205" s="1" t="n">
        <v>45723</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64384-2019</t>
        </is>
      </c>
      <c r="B206" s="1" t="n">
        <v>43797</v>
      </c>
      <c r="C206" s="1" t="n">
        <v>45723</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65014-2019</t>
        </is>
      </c>
      <c r="B207" s="1" t="n">
        <v>43801</v>
      </c>
      <c r="C207" s="1" t="n">
        <v>45723</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64984-2019</t>
        </is>
      </c>
      <c r="B208" s="1" t="n">
        <v>43801</v>
      </c>
      <c r="C208" s="1" t="n">
        <v>45723</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65011-2019</t>
        </is>
      </c>
      <c r="B209" s="1" t="n">
        <v>43801</v>
      </c>
      <c r="C209" s="1" t="n">
        <v>45723</v>
      </c>
      <c r="D209" t="inlineStr">
        <is>
          <t>ÖREBRO LÄN</t>
        </is>
      </c>
      <c r="E209" t="inlineStr">
        <is>
          <t>ÖREBRO</t>
        </is>
      </c>
      <c r="G209" t="n">
        <v>0.3</v>
      </c>
      <c r="H209" t="n">
        <v>0</v>
      </c>
      <c r="I209" t="n">
        <v>0</v>
      </c>
      <c r="J209" t="n">
        <v>0</v>
      </c>
      <c r="K209" t="n">
        <v>0</v>
      </c>
      <c r="L209" t="n">
        <v>0</v>
      </c>
      <c r="M209" t="n">
        <v>0</v>
      </c>
      <c r="N209" t="n">
        <v>0</v>
      </c>
      <c r="O209" t="n">
        <v>0</v>
      </c>
      <c r="P209" t="n">
        <v>0</v>
      </c>
      <c r="Q209" t="n">
        <v>0</v>
      </c>
      <c r="R209" s="2" t="inlineStr"/>
    </row>
    <row r="210" ht="15" customHeight="1">
      <c r="A210" t="inlineStr">
        <is>
          <t>A 65937-2019</t>
        </is>
      </c>
      <c r="B210" s="1" t="n">
        <v>43801</v>
      </c>
      <c r="C210" s="1" t="n">
        <v>45723</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65451-2019</t>
        </is>
      </c>
      <c r="B211" s="1" t="n">
        <v>43803</v>
      </c>
      <c r="C211" s="1" t="n">
        <v>45723</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65738-2019</t>
        </is>
      </c>
      <c r="B212" s="1" t="n">
        <v>43804</v>
      </c>
      <c r="C212" s="1" t="n">
        <v>45723</v>
      </c>
      <c r="D212" t="inlineStr">
        <is>
          <t>ÖREBRO LÄN</t>
        </is>
      </c>
      <c r="E212" t="inlineStr">
        <is>
          <t>ÖREBRO</t>
        </is>
      </c>
      <c r="G212" t="n">
        <v>6</v>
      </c>
      <c r="H212" t="n">
        <v>0</v>
      </c>
      <c r="I212" t="n">
        <v>0</v>
      </c>
      <c r="J212" t="n">
        <v>0</v>
      </c>
      <c r="K212" t="n">
        <v>0</v>
      </c>
      <c r="L212" t="n">
        <v>0</v>
      </c>
      <c r="M212" t="n">
        <v>0</v>
      </c>
      <c r="N212" t="n">
        <v>0</v>
      </c>
      <c r="O212" t="n">
        <v>0</v>
      </c>
      <c r="P212" t="n">
        <v>0</v>
      </c>
      <c r="Q212" t="n">
        <v>0</v>
      </c>
      <c r="R212" s="2" t="inlineStr"/>
    </row>
    <row r="213" ht="15" customHeight="1">
      <c r="A213" t="inlineStr">
        <is>
          <t>A 66581-2019</t>
        </is>
      </c>
      <c r="B213" s="1" t="n">
        <v>43809</v>
      </c>
      <c r="C213" s="1" t="n">
        <v>45723</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66562-2019</t>
        </is>
      </c>
      <c r="B214" s="1" t="n">
        <v>43809</v>
      </c>
      <c r="C214" s="1" t="n">
        <v>45723</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67939-2019</t>
        </is>
      </c>
      <c r="B215" s="1" t="n">
        <v>43810</v>
      </c>
      <c r="C215" s="1" t="n">
        <v>45723</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67471-2019</t>
        </is>
      </c>
      <c r="B216" s="1" t="n">
        <v>43814</v>
      </c>
      <c r="C216" s="1" t="n">
        <v>45723</v>
      </c>
      <c r="D216" t="inlineStr">
        <is>
          <t>ÖREBRO LÄN</t>
        </is>
      </c>
      <c r="E216" t="inlineStr">
        <is>
          <t>ÖREBRO</t>
        </is>
      </c>
      <c r="G216" t="n">
        <v>7</v>
      </c>
      <c r="H216" t="n">
        <v>0</v>
      </c>
      <c r="I216" t="n">
        <v>0</v>
      </c>
      <c r="J216" t="n">
        <v>0</v>
      </c>
      <c r="K216" t="n">
        <v>0</v>
      </c>
      <c r="L216" t="n">
        <v>0</v>
      </c>
      <c r="M216" t="n">
        <v>0</v>
      </c>
      <c r="N216" t="n">
        <v>0</v>
      </c>
      <c r="O216" t="n">
        <v>0</v>
      </c>
      <c r="P216" t="n">
        <v>0</v>
      </c>
      <c r="Q216" t="n">
        <v>0</v>
      </c>
      <c r="R216" s="2" t="inlineStr"/>
    </row>
    <row r="217" ht="15" customHeight="1">
      <c r="A217" t="inlineStr">
        <is>
          <t>A 67469-2019</t>
        </is>
      </c>
      <c r="B217" s="1" t="n">
        <v>43814</v>
      </c>
      <c r="C217" s="1" t="n">
        <v>45723</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67475-2019</t>
        </is>
      </c>
      <c r="B218" s="1" t="n">
        <v>43814</v>
      </c>
      <c r="C218" s="1" t="n">
        <v>45723</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67477-2019</t>
        </is>
      </c>
      <c r="B219" s="1" t="n">
        <v>43814</v>
      </c>
      <c r="C219" s="1" t="n">
        <v>45723</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68541-2019</t>
        </is>
      </c>
      <c r="B220" s="1" t="n">
        <v>43818</v>
      </c>
      <c r="C220" s="1" t="n">
        <v>45723</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68554-2019</t>
        </is>
      </c>
      <c r="B221" s="1" t="n">
        <v>43818</v>
      </c>
      <c r="C221" s="1" t="n">
        <v>45723</v>
      </c>
      <c r="D221" t="inlineStr">
        <is>
          <t>ÖREBRO LÄN</t>
        </is>
      </c>
      <c r="E221" t="inlineStr">
        <is>
          <t>ÖREBRO</t>
        </is>
      </c>
      <c r="G221" t="n">
        <v>2.4</v>
      </c>
      <c r="H221" t="n">
        <v>0</v>
      </c>
      <c r="I221" t="n">
        <v>0</v>
      </c>
      <c r="J221" t="n">
        <v>0</v>
      </c>
      <c r="K221" t="n">
        <v>0</v>
      </c>
      <c r="L221" t="n">
        <v>0</v>
      </c>
      <c r="M221" t="n">
        <v>0</v>
      </c>
      <c r="N221" t="n">
        <v>0</v>
      </c>
      <c r="O221" t="n">
        <v>0</v>
      </c>
      <c r="P221" t="n">
        <v>0</v>
      </c>
      <c r="Q221" t="n">
        <v>0</v>
      </c>
      <c r="R221" s="2" t="inlineStr"/>
    </row>
    <row r="222" ht="15" customHeight="1">
      <c r="A222" t="inlineStr">
        <is>
          <t>A 257-2020</t>
        </is>
      </c>
      <c r="B222" s="1" t="n">
        <v>43836</v>
      </c>
      <c r="C222" s="1" t="n">
        <v>45723</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760-2020</t>
        </is>
      </c>
      <c r="B223" s="1" t="n">
        <v>43838</v>
      </c>
      <c r="C223" s="1" t="n">
        <v>45723</v>
      </c>
      <c r="D223" t="inlineStr">
        <is>
          <t>ÖREBRO LÄN</t>
        </is>
      </c>
      <c r="E223" t="inlineStr">
        <is>
          <t>ÖREBRO</t>
        </is>
      </c>
      <c r="G223" t="n">
        <v>6.2</v>
      </c>
      <c r="H223" t="n">
        <v>0</v>
      </c>
      <c r="I223" t="n">
        <v>0</v>
      </c>
      <c r="J223" t="n">
        <v>0</v>
      </c>
      <c r="K223" t="n">
        <v>0</v>
      </c>
      <c r="L223" t="n">
        <v>0</v>
      </c>
      <c r="M223" t="n">
        <v>0</v>
      </c>
      <c r="N223" t="n">
        <v>0</v>
      </c>
      <c r="O223" t="n">
        <v>0</v>
      </c>
      <c r="P223" t="n">
        <v>0</v>
      </c>
      <c r="Q223" t="n">
        <v>0</v>
      </c>
      <c r="R223" s="2" t="inlineStr"/>
    </row>
    <row r="224" ht="15" customHeight="1">
      <c r="A224" t="inlineStr">
        <is>
          <t>A 2329-2020</t>
        </is>
      </c>
      <c r="B224" s="1" t="n">
        <v>43840</v>
      </c>
      <c r="C224" s="1" t="n">
        <v>45723</v>
      </c>
      <c r="D224" t="inlineStr">
        <is>
          <t>ÖREBRO LÄN</t>
        </is>
      </c>
      <c r="E224" t="inlineStr">
        <is>
          <t>ÖREBRO</t>
        </is>
      </c>
      <c r="F224" t="inlineStr">
        <is>
          <t>Kommuner</t>
        </is>
      </c>
      <c r="G224" t="n">
        <v>3.7</v>
      </c>
      <c r="H224" t="n">
        <v>0</v>
      </c>
      <c r="I224" t="n">
        <v>0</v>
      </c>
      <c r="J224" t="n">
        <v>0</v>
      </c>
      <c r="K224" t="n">
        <v>0</v>
      </c>
      <c r="L224" t="n">
        <v>0</v>
      </c>
      <c r="M224" t="n">
        <v>0</v>
      </c>
      <c r="N224" t="n">
        <v>0</v>
      </c>
      <c r="O224" t="n">
        <v>0</v>
      </c>
      <c r="P224" t="n">
        <v>0</v>
      </c>
      <c r="Q224" t="n">
        <v>0</v>
      </c>
      <c r="R224" s="2" t="inlineStr"/>
    </row>
    <row r="225" ht="15" customHeight="1">
      <c r="A225" t="inlineStr">
        <is>
          <t>A 1311-2020</t>
        </is>
      </c>
      <c r="B225" s="1" t="n">
        <v>43843</v>
      </c>
      <c r="C225" s="1" t="n">
        <v>45723</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1574-2020</t>
        </is>
      </c>
      <c r="B226" s="1" t="n">
        <v>43844</v>
      </c>
      <c r="C226" s="1" t="n">
        <v>45723</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1580-2020</t>
        </is>
      </c>
      <c r="B227" s="1" t="n">
        <v>43844</v>
      </c>
      <c r="C227" s="1" t="n">
        <v>45723</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1577-2020</t>
        </is>
      </c>
      <c r="B228" s="1" t="n">
        <v>43844</v>
      </c>
      <c r="C228" s="1" t="n">
        <v>45723</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1582-2020</t>
        </is>
      </c>
      <c r="B229" s="1" t="n">
        <v>43844</v>
      </c>
      <c r="C229" s="1" t="n">
        <v>45723</v>
      </c>
      <c r="D229" t="inlineStr">
        <is>
          <t>ÖREBRO LÄN</t>
        </is>
      </c>
      <c r="E229" t="inlineStr">
        <is>
          <t>ÖREBRO</t>
        </is>
      </c>
      <c r="G229" t="n">
        <v>5.3</v>
      </c>
      <c r="H229" t="n">
        <v>0</v>
      </c>
      <c r="I229" t="n">
        <v>0</v>
      </c>
      <c r="J229" t="n">
        <v>0</v>
      </c>
      <c r="K229" t="n">
        <v>0</v>
      </c>
      <c r="L229" t="n">
        <v>0</v>
      </c>
      <c r="M229" t="n">
        <v>0</v>
      </c>
      <c r="N229" t="n">
        <v>0</v>
      </c>
      <c r="O229" t="n">
        <v>0</v>
      </c>
      <c r="P229" t="n">
        <v>0</v>
      </c>
      <c r="Q229" t="n">
        <v>0</v>
      </c>
      <c r="R229" s="2" t="inlineStr"/>
    </row>
    <row r="230" ht="15" customHeight="1">
      <c r="A230" t="inlineStr">
        <is>
          <t>A 1581-2020</t>
        </is>
      </c>
      <c r="B230" s="1" t="n">
        <v>43844</v>
      </c>
      <c r="C230" s="1" t="n">
        <v>45723</v>
      </c>
      <c r="D230" t="inlineStr">
        <is>
          <t>ÖREBRO LÄN</t>
        </is>
      </c>
      <c r="E230" t="inlineStr">
        <is>
          <t>ÖREBRO</t>
        </is>
      </c>
      <c r="G230" t="n">
        <v>3.2</v>
      </c>
      <c r="H230" t="n">
        <v>0</v>
      </c>
      <c r="I230" t="n">
        <v>0</v>
      </c>
      <c r="J230" t="n">
        <v>0</v>
      </c>
      <c r="K230" t="n">
        <v>0</v>
      </c>
      <c r="L230" t="n">
        <v>0</v>
      </c>
      <c r="M230" t="n">
        <v>0</v>
      </c>
      <c r="N230" t="n">
        <v>0</v>
      </c>
      <c r="O230" t="n">
        <v>0</v>
      </c>
      <c r="P230" t="n">
        <v>0</v>
      </c>
      <c r="Q230" t="n">
        <v>0</v>
      </c>
      <c r="R230" s="2" t="inlineStr"/>
    </row>
    <row r="231" ht="15" customHeight="1">
      <c r="A231" t="inlineStr">
        <is>
          <t>A 1573-2020</t>
        </is>
      </c>
      <c r="B231" s="1" t="n">
        <v>43844</v>
      </c>
      <c r="C231" s="1" t="n">
        <v>45723</v>
      </c>
      <c r="D231" t="inlineStr">
        <is>
          <t>ÖREBRO LÄN</t>
        </is>
      </c>
      <c r="E231" t="inlineStr">
        <is>
          <t>ÖREBRO</t>
        </is>
      </c>
      <c r="G231" t="n">
        <v>5.8</v>
      </c>
      <c r="H231" t="n">
        <v>0</v>
      </c>
      <c r="I231" t="n">
        <v>0</v>
      </c>
      <c r="J231" t="n">
        <v>0</v>
      </c>
      <c r="K231" t="n">
        <v>0</v>
      </c>
      <c r="L231" t="n">
        <v>0</v>
      </c>
      <c r="M231" t="n">
        <v>0</v>
      </c>
      <c r="N231" t="n">
        <v>0</v>
      </c>
      <c r="O231" t="n">
        <v>0</v>
      </c>
      <c r="P231" t="n">
        <v>0</v>
      </c>
      <c r="Q231" t="n">
        <v>0</v>
      </c>
      <c r="R231" s="2" t="inlineStr"/>
    </row>
    <row r="232" ht="15" customHeight="1">
      <c r="A232" t="inlineStr">
        <is>
          <t>A 1579-2020</t>
        </is>
      </c>
      <c r="B232" s="1" t="n">
        <v>43844</v>
      </c>
      <c r="C232" s="1" t="n">
        <v>45723</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1575-2020</t>
        </is>
      </c>
      <c r="B233" s="1" t="n">
        <v>43844</v>
      </c>
      <c r="C233" s="1" t="n">
        <v>45723</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3022-2020</t>
        </is>
      </c>
      <c r="B234" s="1" t="n">
        <v>43851</v>
      </c>
      <c r="C234" s="1" t="n">
        <v>45723</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3630-2020</t>
        </is>
      </c>
      <c r="B235" s="1" t="n">
        <v>43853</v>
      </c>
      <c r="C235" s="1" t="n">
        <v>45723</v>
      </c>
      <c r="D235" t="inlineStr">
        <is>
          <t>ÖREBRO LÄN</t>
        </is>
      </c>
      <c r="E235" t="inlineStr">
        <is>
          <t>ÖREBRO</t>
        </is>
      </c>
      <c r="G235" t="n">
        <v>7.9</v>
      </c>
      <c r="H235" t="n">
        <v>0</v>
      </c>
      <c r="I235" t="n">
        <v>0</v>
      </c>
      <c r="J235" t="n">
        <v>0</v>
      </c>
      <c r="K235" t="n">
        <v>0</v>
      </c>
      <c r="L235" t="n">
        <v>0</v>
      </c>
      <c r="M235" t="n">
        <v>0</v>
      </c>
      <c r="N235" t="n">
        <v>0</v>
      </c>
      <c r="O235" t="n">
        <v>0</v>
      </c>
      <c r="P235" t="n">
        <v>0</v>
      </c>
      <c r="Q235" t="n">
        <v>0</v>
      </c>
      <c r="R235" s="2" t="inlineStr"/>
    </row>
    <row r="236" ht="15" customHeight="1">
      <c r="A236" t="inlineStr">
        <is>
          <t>A 3628-2020</t>
        </is>
      </c>
      <c r="B236" s="1" t="n">
        <v>43853</v>
      </c>
      <c r="C236" s="1" t="n">
        <v>45723</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4990-2020</t>
        </is>
      </c>
      <c r="B237" s="1" t="n">
        <v>43853</v>
      </c>
      <c r="C237" s="1" t="n">
        <v>45723</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3956-2020</t>
        </is>
      </c>
      <c r="B238" s="1" t="n">
        <v>43854</v>
      </c>
      <c r="C238" s="1" t="n">
        <v>45723</v>
      </c>
      <c r="D238" t="inlineStr">
        <is>
          <t>ÖREBRO LÄN</t>
        </is>
      </c>
      <c r="E238" t="inlineStr">
        <is>
          <t>ÖREBRO</t>
        </is>
      </c>
      <c r="G238" t="n">
        <v>4.1</v>
      </c>
      <c r="H238" t="n">
        <v>0</v>
      </c>
      <c r="I238" t="n">
        <v>0</v>
      </c>
      <c r="J238" t="n">
        <v>0</v>
      </c>
      <c r="K238" t="n">
        <v>0</v>
      </c>
      <c r="L238" t="n">
        <v>0</v>
      </c>
      <c r="M238" t="n">
        <v>0</v>
      </c>
      <c r="N238" t="n">
        <v>0</v>
      </c>
      <c r="O238" t="n">
        <v>0</v>
      </c>
      <c r="P238" t="n">
        <v>0</v>
      </c>
      <c r="Q238" t="n">
        <v>0</v>
      </c>
      <c r="R238" s="2" t="inlineStr"/>
    </row>
    <row r="239" ht="15" customHeight="1">
      <c r="A239" t="inlineStr">
        <is>
          <t>A 4343-2020</t>
        </is>
      </c>
      <c r="B239" s="1" t="n">
        <v>43857</v>
      </c>
      <c r="C239" s="1" t="n">
        <v>45723</v>
      </c>
      <c r="D239" t="inlineStr">
        <is>
          <t>ÖREBRO LÄN</t>
        </is>
      </c>
      <c r="E239" t="inlineStr">
        <is>
          <t>ÖREBRO</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4751-2020</t>
        </is>
      </c>
      <c r="B240" s="1" t="n">
        <v>43858</v>
      </c>
      <c r="C240" s="1" t="n">
        <v>45723</v>
      </c>
      <c r="D240" t="inlineStr">
        <is>
          <t>ÖREBRO LÄN</t>
        </is>
      </c>
      <c r="E240" t="inlineStr">
        <is>
          <t>ÖREBRO</t>
        </is>
      </c>
      <c r="F240" t="inlineStr">
        <is>
          <t>Kommuner</t>
        </is>
      </c>
      <c r="G240" t="n">
        <v>2.9</v>
      </c>
      <c r="H240" t="n">
        <v>0</v>
      </c>
      <c r="I240" t="n">
        <v>0</v>
      </c>
      <c r="J240" t="n">
        <v>0</v>
      </c>
      <c r="K240" t="n">
        <v>0</v>
      </c>
      <c r="L240" t="n">
        <v>0</v>
      </c>
      <c r="M240" t="n">
        <v>0</v>
      </c>
      <c r="N240" t="n">
        <v>0</v>
      </c>
      <c r="O240" t="n">
        <v>0</v>
      </c>
      <c r="P240" t="n">
        <v>0</v>
      </c>
      <c r="Q240" t="n">
        <v>0</v>
      </c>
      <c r="R240" s="2" t="inlineStr"/>
      <c r="U240">
        <f>HYPERLINK("https://klasma.github.io/Logging_1880/knärot/A 4751-2020 karta knärot.png", "A 4751-2020")</f>
        <v/>
      </c>
      <c r="V240">
        <f>HYPERLINK("https://klasma.github.io/Logging_1880/klagomål/A 4751-2020 FSC-klagomål.docx", "A 4751-2020")</f>
        <v/>
      </c>
      <c r="W240">
        <f>HYPERLINK("https://klasma.github.io/Logging_1880/klagomålsmail/A 4751-2020 FSC-klagomål mail.docx", "A 4751-2020")</f>
        <v/>
      </c>
      <c r="X240">
        <f>HYPERLINK("https://klasma.github.io/Logging_1880/tillsyn/A 4751-2020 tillsynsbegäran.docx", "A 4751-2020")</f>
        <v/>
      </c>
      <c r="Y240">
        <f>HYPERLINK("https://klasma.github.io/Logging_1880/tillsynsmail/A 4751-2020 tillsynsbegäran mail.docx", "A 4751-2020")</f>
        <v/>
      </c>
    </row>
    <row r="241" ht="15" customHeight="1">
      <c r="A241" t="inlineStr">
        <is>
          <t>A 5076-2020</t>
        </is>
      </c>
      <c r="B241" s="1" t="n">
        <v>43859</v>
      </c>
      <c r="C241" s="1" t="n">
        <v>45723</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6166-2020</t>
        </is>
      </c>
      <c r="B242" s="1" t="n">
        <v>43864</v>
      </c>
      <c r="C242" s="1" t="n">
        <v>45723</v>
      </c>
      <c r="D242" t="inlineStr">
        <is>
          <t>ÖREBRO LÄN</t>
        </is>
      </c>
      <c r="E242" t="inlineStr">
        <is>
          <t>ÖREBRO</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6247-2020</t>
        </is>
      </c>
      <c r="B243" s="1" t="n">
        <v>43864</v>
      </c>
      <c r="C243" s="1" t="n">
        <v>45723</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6456-2020</t>
        </is>
      </c>
      <c r="B244" s="1" t="n">
        <v>43866</v>
      </c>
      <c r="C244" s="1" t="n">
        <v>45723</v>
      </c>
      <c r="D244" t="inlineStr">
        <is>
          <t>ÖREBRO LÄN</t>
        </is>
      </c>
      <c r="E244" t="inlineStr">
        <is>
          <t>ÖREBRO</t>
        </is>
      </c>
      <c r="F244" t="inlineStr">
        <is>
          <t>Övriga Aktiebolag</t>
        </is>
      </c>
      <c r="G244" t="n">
        <v>5.4</v>
      </c>
      <c r="H244" t="n">
        <v>0</v>
      </c>
      <c r="I244" t="n">
        <v>0</v>
      </c>
      <c r="J244" t="n">
        <v>0</v>
      </c>
      <c r="K244" t="n">
        <v>0</v>
      </c>
      <c r="L244" t="n">
        <v>0</v>
      </c>
      <c r="M244" t="n">
        <v>0</v>
      </c>
      <c r="N244" t="n">
        <v>0</v>
      </c>
      <c r="O244" t="n">
        <v>0</v>
      </c>
      <c r="P244" t="n">
        <v>0</v>
      </c>
      <c r="Q244" t="n">
        <v>0</v>
      </c>
      <c r="R244" s="2" t="inlineStr"/>
    </row>
    <row r="245" ht="15" customHeight="1">
      <c r="A245" t="inlineStr">
        <is>
          <t>A 6633-2020</t>
        </is>
      </c>
      <c r="B245" s="1" t="n">
        <v>43867</v>
      </c>
      <c r="C245" s="1" t="n">
        <v>45723</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6792-2020</t>
        </is>
      </c>
      <c r="B246" s="1" t="n">
        <v>43867</v>
      </c>
      <c r="C246" s="1" t="n">
        <v>45723</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6924-2020</t>
        </is>
      </c>
      <c r="B247" s="1" t="n">
        <v>43868</v>
      </c>
      <c r="C247" s="1" t="n">
        <v>45723</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6949-2020</t>
        </is>
      </c>
      <c r="B248" s="1" t="n">
        <v>43868</v>
      </c>
      <c r="C248" s="1" t="n">
        <v>45723</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7583-2020</t>
        </is>
      </c>
      <c r="B249" s="1" t="n">
        <v>43872</v>
      </c>
      <c r="C249" s="1" t="n">
        <v>45723</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8563-2020</t>
        </is>
      </c>
      <c r="B250" s="1" t="n">
        <v>43877</v>
      </c>
      <c r="C250" s="1" t="n">
        <v>45723</v>
      </c>
      <c r="D250" t="inlineStr">
        <is>
          <t>ÖREBRO LÄN</t>
        </is>
      </c>
      <c r="E250" t="inlineStr">
        <is>
          <t>ÖREBRO</t>
        </is>
      </c>
      <c r="G250" t="n">
        <v>11.9</v>
      </c>
      <c r="H250" t="n">
        <v>0</v>
      </c>
      <c r="I250" t="n">
        <v>0</v>
      </c>
      <c r="J250" t="n">
        <v>0</v>
      </c>
      <c r="K250" t="n">
        <v>0</v>
      </c>
      <c r="L250" t="n">
        <v>0</v>
      </c>
      <c r="M250" t="n">
        <v>0</v>
      </c>
      <c r="N250" t="n">
        <v>0</v>
      </c>
      <c r="O250" t="n">
        <v>0</v>
      </c>
      <c r="P250" t="n">
        <v>0</v>
      </c>
      <c r="Q250" t="n">
        <v>0</v>
      </c>
      <c r="R250" s="2" t="inlineStr"/>
    </row>
    <row r="251" ht="15" customHeight="1">
      <c r="A251" t="inlineStr">
        <is>
          <t>A 8801-2020</t>
        </is>
      </c>
      <c r="B251" s="1" t="n">
        <v>43878</v>
      </c>
      <c r="C251" s="1" t="n">
        <v>45723</v>
      </c>
      <c r="D251" t="inlineStr">
        <is>
          <t>ÖREBRO LÄN</t>
        </is>
      </c>
      <c r="E251" t="inlineStr">
        <is>
          <t>ÖREBRO</t>
        </is>
      </c>
      <c r="G251" t="n">
        <v>3.2</v>
      </c>
      <c r="H251" t="n">
        <v>0</v>
      </c>
      <c r="I251" t="n">
        <v>0</v>
      </c>
      <c r="J251" t="n">
        <v>0</v>
      </c>
      <c r="K251" t="n">
        <v>0</v>
      </c>
      <c r="L251" t="n">
        <v>0</v>
      </c>
      <c r="M251" t="n">
        <v>0</v>
      </c>
      <c r="N251" t="n">
        <v>0</v>
      </c>
      <c r="O251" t="n">
        <v>0</v>
      </c>
      <c r="P251" t="n">
        <v>0</v>
      </c>
      <c r="Q251" t="n">
        <v>0</v>
      </c>
      <c r="R251" s="2" t="inlineStr"/>
    </row>
    <row r="252" ht="15" customHeight="1">
      <c r="A252" t="inlineStr">
        <is>
          <t>A 8893-2020</t>
        </is>
      </c>
      <c r="B252" s="1" t="n">
        <v>43878</v>
      </c>
      <c r="C252" s="1" t="n">
        <v>45723</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9572-2020</t>
        </is>
      </c>
      <c r="B253" s="1" t="n">
        <v>43881</v>
      </c>
      <c r="C253" s="1" t="n">
        <v>45723</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9561-2020</t>
        </is>
      </c>
      <c r="B254" s="1" t="n">
        <v>43881</v>
      </c>
      <c r="C254" s="1" t="n">
        <v>45723</v>
      </c>
      <c r="D254" t="inlineStr">
        <is>
          <t>ÖREBRO LÄN</t>
        </is>
      </c>
      <c r="E254" t="inlineStr">
        <is>
          <t>ÖREBRO</t>
        </is>
      </c>
      <c r="G254" t="n">
        <v>8.6</v>
      </c>
      <c r="H254" t="n">
        <v>0</v>
      </c>
      <c r="I254" t="n">
        <v>0</v>
      </c>
      <c r="J254" t="n">
        <v>0</v>
      </c>
      <c r="K254" t="n">
        <v>0</v>
      </c>
      <c r="L254" t="n">
        <v>0</v>
      </c>
      <c r="M254" t="n">
        <v>0</v>
      </c>
      <c r="N254" t="n">
        <v>0</v>
      </c>
      <c r="O254" t="n">
        <v>0</v>
      </c>
      <c r="P254" t="n">
        <v>0</v>
      </c>
      <c r="Q254" t="n">
        <v>0</v>
      </c>
      <c r="R254" s="2" t="inlineStr"/>
    </row>
    <row r="255" ht="15" customHeight="1">
      <c r="A255" t="inlineStr">
        <is>
          <t>A 9655-2020</t>
        </is>
      </c>
      <c r="B255" s="1" t="n">
        <v>43881</v>
      </c>
      <c r="C255" s="1" t="n">
        <v>45723</v>
      </c>
      <c r="D255" t="inlineStr">
        <is>
          <t>ÖREBRO LÄN</t>
        </is>
      </c>
      <c r="E255" t="inlineStr">
        <is>
          <t>ÖREBRO</t>
        </is>
      </c>
      <c r="F255" t="inlineStr">
        <is>
          <t>Övriga Aktiebolag</t>
        </is>
      </c>
      <c r="G255" t="n">
        <v>0.8</v>
      </c>
      <c r="H255" t="n">
        <v>0</v>
      </c>
      <c r="I255" t="n">
        <v>0</v>
      </c>
      <c r="J255" t="n">
        <v>0</v>
      </c>
      <c r="K255" t="n">
        <v>0</v>
      </c>
      <c r="L255" t="n">
        <v>0</v>
      </c>
      <c r="M255" t="n">
        <v>0</v>
      </c>
      <c r="N255" t="n">
        <v>0</v>
      </c>
      <c r="O255" t="n">
        <v>0</v>
      </c>
      <c r="P255" t="n">
        <v>0</v>
      </c>
      <c r="Q255" t="n">
        <v>0</v>
      </c>
      <c r="R255" s="2" t="inlineStr"/>
    </row>
    <row r="256" ht="15" customHeight="1">
      <c r="A256" t="inlineStr">
        <is>
          <t>A 9893-2020</t>
        </is>
      </c>
      <c r="B256" s="1" t="n">
        <v>43881</v>
      </c>
      <c r="C256" s="1" t="n">
        <v>45723</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11956-2020</t>
        </is>
      </c>
      <c r="B257" s="1" t="n">
        <v>43894</v>
      </c>
      <c r="C257" s="1" t="n">
        <v>45723</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11957-2020</t>
        </is>
      </c>
      <c r="B258" s="1" t="n">
        <v>43894</v>
      </c>
      <c r="C258" s="1" t="n">
        <v>45723</v>
      </c>
      <c r="D258" t="inlineStr">
        <is>
          <t>ÖREBRO LÄN</t>
        </is>
      </c>
      <c r="E258" t="inlineStr">
        <is>
          <t>ÖREBRO</t>
        </is>
      </c>
      <c r="G258" t="n">
        <v>3.6</v>
      </c>
      <c r="H258" t="n">
        <v>0</v>
      </c>
      <c r="I258" t="n">
        <v>0</v>
      </c>
      <c r="J258" t="n">
        <v>0</v>
      </c>
      <c r="K258" t="n">
        <v>0</v>
      </c>
      <c r="L258" t="n">
        <v>0</v>
      </c>
      <c r="M258" t="n">
        <v>0</v>
      </c>
      <c r="N258" t="n">
        <v>0</v>
      </c>
      <c r="O258" t="n">
        <v>0</v>
      </c>
      <c r="P258" t="n">
        <v>0</v>
      </c>
      <c r="Q258" t="n">
        <v>0</v>
      </c>
      <c r="R258" s="2" t="inlineStr"/>
    </row>
    <row r="259" ht="15" customHeight="1">
      <c r="A259" t="inlineStr">
        <is>
          <t>A 12335-2020</t>
        </is>
      </c>
      <c r="B259" s="1" t="n">
        <v>43895</v>
      </c>
      <c r="C259" s="1" t="n">
        <v>45723</v>
      </c>
      <c r="D259" t="inlineStr">
        <is>
          <t>ÖREBRO LÄN</t>
        </is>
      </c>
      <c r="E259" t="inlineStr">
        <is>
          <t>ÖREBRO</t>
        </is>
      </c>
      <c r="G259" t="n">
        <v>6.9</v>
      </c>
      <c r="H259" t="n">
        <v>0</v>
      </c>
      <c r="I259" t="n">
        <v>0</v>
      </c>
      <c r="J259" t="n">
        <v>0</v>
      </c>
      <c r="K259" t="n">
        <v>0</v>
      </c>
      <c r="L259" t="n">
        <v>0</v>
      </c>
      <c r="M259" t="n">
        <v>0</v>
      </c>
      <c r="N259" t="n">
        <v>0</v>
      </c>
      <c r="O259" t="n">
        <v>0</v>
      </c>
      <c r="P259" t="n">
        <v>0</v>
      </c>
      <c r="Q259" t="n">
        <v>0</v>
      </c>
      <c r="R259" s="2" t="inlineStr"/>
    </row>
    <row r="260" ht="15" customHeight="1">
      <c r="A260" t="inlineStr">
        <is>
          <t>A 12548-2020</t>
        </is>
      </c>
      <c r="B260" s="1" t="n">
        <v>43897</v>
      </c>
      <c r="C260" s="1" t="n">
        <v>45723</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12546-2020</t>
        </is>
      </c>
      <c r="B261" s="1" t="n">
        <v>43897</v>
      </c>
      <c r="C261" s="1" t="n">
        <v>45723</v>
      </c>
      <c r="D261" t="inlineStr">
        <is>
          <t>ÖREBRO LÄN</t>
        </is>
      </c>
      <c r="E261" t="inlineStr">
        <is>
          <t>ÖREBRO</t>
        </is>
      </c>
      <c r="G261" t="n">
        <v>5.9</v>
      </c>
      <c r="H261" t="n">
        <v>0</v>
      </c>
      <c r="I261" t="n">
        <v>0</v>
      </c>
      <c r="J261" t="n">
        <v>0</v>
      </c>
      <c r="K261" t="n">
        <v>0</v>
      </c>
      <c r="L261" t="n">
        <v>0</v>
      </c>
      <c r="M261" t="n">
        <v>0</v>
      </c>
      <c r="N261" t="n">
        <v>0</v>
      </c>
      <c r="O261" t="n">
        <v>0</v>
      </c>
      <c r="P261" t="n">
        <v>0</v>
      </c>
      <c r="Q261" t="n">
        <v>0</v>
      </c>
      <c r="R261" s="2" t="inlineStr"/>
    </row>
    <row r="262" ht="15" customHeight="1">
      <c r="A262" t="inlineStr">
        <is>
          <t>A 13273-2020</t>
        </is>
      </c>
      <c r="B262" s="1" t="n">
        <v>43901</v>
      </c>
      <c r="C262" s="1" t="n">
        <v>45723</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13328-2020</t>
        </is>
      </c>
      <c r="B263" s="1" t="n">
        <v>43902</v>
      </c>
      <c r="C263" s="1" t="n">
        <v>45723</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13830-2020</t>
        </is>
      </c>
      <c r="B264" s="1" t="n">
        <v>43905</v>
      </c>
      <c r="C264" s="1" t="n">
        <v>45723</v>
      </c>
      <c r="D264" t="inlineStr">
        <is>
          <t>ÖREBRO LÄN</t>
        </is>
      </c>
      <c r="E264" t="inlineStr">
        <is>
          <t>ÖREBRO</t>
        </is>
      </c>
      <c r="G264" t="n">
        <v>3.2</v>
      </c>
      <c r="H264" t="n">
        <v>0</v>
      </c>
      <c r="I264" t="n">
        <v>0</v>
      </c>
      <c r="J264" t="n">
        <v>0</v>
      </c>
      <c r="K264" t="n">
        <v>0</v>
      </c>
      <c r="L264" t="n">
        <v>0</v>
      </c>
      <c r="M264" t="n">
        <v>0</v>
      </c>
      <c r="N264" t="n">
        <v>0</v>
      </c>
      <c r="O264" t="n">
        <v>0</v>
      </c>
      <c r="P264" t="n">
        <v>0</v>
      </c>
      <c r="Q264" t="n">
        <v>0</v>
      </c>
      <c r="R264" s="2" t="inlineStr"/>
    </row>
    <row r="265" ht="15" customHeight="1">
      <c r="A265" t="inlineStr">
        <is>
          <t>A 14209-2020</t>
        </is>
      </c>
      <c r="B265" s="1" t="n">
        <v>43907</v>
      </c>
      <c r="C265" s="1" t="n">
        <v>45723</v>
      </c>
      <c r="D265" t="inlineStr">
        <is>
          <t>ÖREBRO LÄN</t>
        </is>
      </c>
      <c r="E265" t="inlineStr">
        <is>
          <t>ÖREBRO</t>
        </is>
      </c>
      <c r="G265" t="n">
        <v>7.4</v>
      </c>
      <c r="H265" t="n">
        <v>0</v>
      </c>
      <c r="I265" t="n">
        <v>0</v>
      </c>
      <c r="J265" t="n">
        <v>0</v>
      </c>
      <c r="K265" t="n">
        <v>0</v>
      </c>
      <c r="L265" t="n">
        <v>0</v>
      </c>
      <c r="M265" t="n">
        <v>0</v>
      </c>
      <c r="N265" t="n">
        <v>0</v>
      </c>
      <c r="O265" t="n">
        <v>0</v>
      </c>
      <c r="P265" t="n">
        <v>0</v>
      </c>
      <c r="Q265" t="n">
        <v>0</v>
      </c>
      <c r="R265" s="2" t="inlineStr"/>
    </row>
    <row r="266" ht="15" customHeight="1">
      <c r="A266" t="inlineStr">
        <is>
          <t>A 16152-2020</t>
        </is>
      </c>
      <c r="B266" s="1" t="n">
        <v>43916</v>
      </c>
      <c r="C266" s="1" t="n">
        <v>45723</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16258-2020</t>
        </is>
      </c>
      <c r="B267" s="1" t="n">
        <v>43917</v>
      </c>
      <c r="C267" s="1" t="n">
        <v>45723</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16682-2020</t>
        </is>
      </c>
      <c r="B268" s="1" t="n">
        <v>43920</v>
      </c>
      <c r="C268" s="1" t="n">
        <v>45723</v>
      </c>
      <c r="D268" t="inlineStr">
        <is>
          <t>ÖREBRO LÄN</t>
        </is>
      </c>
      <c r="E268" t="inlineStr">
        <is>
          <t>ÖREBRO</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18136-2020</t>
        </is>
      </c>
      <c r="B269" s="1" t="n">
        <v>43927</v>
      </c>
      <c r="C269" s="1" t="n">
        <v>45723</v>
      </c>
      <c r="D269" t="inlineStr">
        <is>
          <t>ÖREBRO LÄN</t>
        </is>
      </c>
      <c r="E269" t="inlineStr">
        <is>
          <t>ÖREBRO</t>
        </is>
      </c>
      <c r="G269" t="n">
        <v>4.2</v>
      </c>
      <c r="H269" t="n">
        <v>0</v>
      </c>
      <c r="I269" t="n">
        <v>0</v>
      </c>
      <c r="J269" t="n">
        <v>0</v>
      </c>
      <c r="K269" t="n">
        <v>0</v>
      </c>
      <c r="L269" t="n">
        <v>0</v>
      </c>
      <c r="M269" t="n">
        <v>0</v>
      </c>
      <c r="N269" t="n">
        <v>0</v>
      </c>
      <c r="O269" t="n">
        <v>0</v>
      </c>
      <c r="P269" t="n">
        <v>0</v>
      </c>
      <c r="Q269" t="n">
        <v>0</v>
      </c>
      <c r="R269" s="2" t="inlineStr"/>
    </row>
    <row r="270" ht="15" customHeight="1">
      <c r="A270" t="inlineStr">
        <is>
          <t>A 18365-2020</t>
        </is>
      </c>
      <c r="B270" s="1" t="n">
        <v>43928</v>
      </c>
      <c r="C270" s="1" t="n">
        <v>45723</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19465-2020</t>
        </is>
      </c>
      <c r="B271" s="1" t="n">
        <v>43938</v>
      </c>
      <c r="C271" s="1" t="n">
        <v>45723</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20302-2020</t>
        </is>
      </c>
      <c r="B272" s="1" t="n">
        <v>43938</v>
      </c>
      <c r="C272" s="1" t="n">
        <v>45723</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21053-2020</t>
        </is>
      </c>
      <c r="B273" s="1" t="n">
        <v>43951</v>
      </c>
      <c r="C273" s="1" t="n">
        <v>45723</v>
      </c>
      <c r="D273" t="inlineStr">
        <is>
          <t>ÖREBRO LÄN</t>
        </is>
      </c>
      <c r="E273" t="inlineStr">
        <is>
          <t>ÖREBRO</t>
        </is>
      </c>
      <c r="G273" t="n">
        <v>2.3</v>
      </c>
      <c r="H273" t="n">
        <v>0</v>
      </c>
      <c r="I273" t="n">
        <v>0</v>
      </c>
      <c r="J273" t="n">
        <v>0</v>
      </c>
      <c r="K273" t="n">
        <v>0</v>
      </c>
      <c r="L273" t="n">
        <v>0</v>
      </c>
      <c r="M273" t="n">
        <v>0</v>
      </c>
      <c r="N273" t="n">
        <v>0</v>
      </c>
      <c r="O273" t="n">
        <v>0</v>
      </c>
      <c r="P273" t="n">
        <v>0</v>
      </c>
      <c r="Q273" t="n">
        <v>0</v>
      </c>
      <c r="R273" s="2" t="inlineStr"/>
    </row>
    <row r="274" ht="15" customHeight="1">
      <c r="A274" t="inlineStr">
        <is>
          <t>A 22141-2020</t>
        </is>
      </c>
      <c r="B274" s="1" t="n">
        <v>43961</v>
      </c>
      <c r="C274" s="1" t="n">
        <v>45723</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23849-2020</t>
        </is>
      </c>
      <c r="B275" s="1" t="n">
        <v>43971</v>
      </c>
      <c r="C275" s="1" t="n">
        <v>45723</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25437-2020</t>
        </is>
      </c>
      <c r="B276" s="1" t="n">
        <v>43983</v>
      </c>
      <c r="C276" s="1" t="n">
        <v>45723</v>
      </c>
      <c r="D276" t="inlineStr">
        <is>
          <t>ÖREBRO LÄN</t>
        </is>
      </c>
      <c r="E276" t="inlineStr">
        <is>
          <t>ÖREBRO</t>
        </is>
      </c>
      <c r="G276" t="n">
        <v>7.5</v>
      </c>
      <c r="H276" t="n">
        <v>0</v>
      </c>
      <c r="I276" t="n">
        <v>0</v>
      </c>
      <c r="J276" t="n">
        <v>0</v>
      </c>
      <c r="K276" t="n">
        <v>0</v>
      </c>
      <c r="L276" t="n">
        <v>0</v>
      </c>
      <c r="M276" t="n">
        <v>0</v>
      </c>
      <c r="N276" t="n">
        <v>0</v>
      </c>
      <c r="O276" t="n">
        <v>0</v>
      </c>
      <c r="P276" t="n">
        <v>0</v>
      </c>
      <c r="Q276" t="n">
        <v>0</v>
      </c>
      <c r="R276" s="2" t="inlineStr"/>
    </row>
    <row r="277" ht="15" customHeight="1">
      <c r="A277" t="inlineStr">
        <is>
          <t>A 25631-2020</t>
        </is>
      </c>
      <c r="B277" s="1" t="n">
        <v>43983</v>
      </c>
      <c r="C277" s="1" t="n">
        <v>45723</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26810-2020</t>
        </is>
      </c>
      <c r="B278" s="1" t="n">
        <v>43987</v>
      </c>
      <c r="C278" s="1" t="n">
        <v>45723</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26862-2020</t>
        </is>
      </c>
      <c r="B279" s="1" t="n">
        <v>43990</v>
      </c>
      <c r="C279" s="1" t="n">
        <v>45723</v>
      </c>
      <c r="D279" t="inlineStr">
        <is>
          <t>ÖREBRO LÄN</t>
        </is>
      </c>
      <c r="E279" t="inlineStr">
        <is>
          <t>ÖREBRO</t>
        </is>
      </c>
      <c r="G279" t="n">
        <v>0.3</v>
      </c>
      <c r="H279" t="n">
        <v>0</v>
      </c>
      <c r="I279" t="n">
        <v>0</v>
      </c>
      <c r="J279" t="n">
        <v>0</v>
      </c>
      <c r="K279" t="n">
        <v>0</v>
      </c>
      <c r="L279" t="n">
        <v>0</v>
      </c>
      <c r="M279" t="n">
        <v>0</v>
      </c>
      <c r="N279" t="n">
        <v>0</v>
      </c>
      <c r="O279" t="n">
        <v>0</v>
      </c>
      <c r="P279" t="n">
        <v>0</v>
      </c>
      <c r="Q279" t="n">
        <v>0</v>
      </c>
      <c r="R279" s="2" t="inlineStr"/>
    </row>
    <row r="280" ht="15" customHeight="1">
      <c r="A280" t="inlineStr">
        <is>
          <t>A 27734-2020</t>
        </is>
      </c>
      <c r="B280" s="1" t="n">
        <v>43994</v>
      </c>
      <c r="C280" s="1" t="n">
        <v>45723</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27744-2020</t>
        </is>
      </c>
      <c r="B281" s="1" t="n">
        <v>43994</v>
      </c>
      <c r="C281" s="1" t="n">
        <v>45723</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28036-2020</t>
        </is>
      </c>
      <c r="B282" s="1" t="n">
        <v>43997</v>
      </c>
      <c r="C282" s="1" t="n">
        <v>45723</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28092-2020</t>
        </is>
      </c>
      <c r="B283" s="1" t="n">
        <v>43997</v>
      </c>
      <c r="C283" s="1" t="n">
        <v>45723</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28102-2020</t>
        </is>
      </c>
      <c r="B284" s="1" t="n">
        <v>43997</v>
      </c>
      <c r="C284" s="1" t="n">
        <v>45723</v>
      </c>
      <c r="D284" t="inlineStr">
        <is>
          <t>ÖREBRO LÄN</t>
        </is>
      </c>
      <c r="E284" t="inlineStr">
        <is>
          <t>ÖREBRO</t>
        </is>
      </c>
      <c r="G284" t="n">
        <v>1.5</v>
      </c>
      <c r="H284" t="n">
        <v>0</v>
      </c>
      <c r="I284" t="n">
        <v>0</v>
      </c>
      <c r="J284" t="n">
        <v>0</v>
      </c>
      <c r="K284" t="n">
        <v>0</v>
      </c>
      <c r="L284" t="n">
        <v>0</v>
      </c>
      <c r="M284" t="n">
        <v>0</v>
      </c>
      <c r="N284" t="n">
        <v>0</v>
      </c>
      <c r="O284" t="n">
        <v>0</v>
      </c>
      <c r="P284" t="n">
        <v>0</v>
      </c>
      <c r="Q284" t="n">
        <v>0</v>
      </c>
      <c r="R284" s="2" t="inlineStr"/>
    </row>
    <row r="285" ht="15" customHeight="1">
      <c r="A285" t="inlineStr">
        <is>
          <t>A 28410-2020</t>
        </is>
      </c>
      <c r="B285" s="1" t="n">
        <v>43998</v>
      </c>
      <c r="C285" s="1" t="n">
        <v>45723</v>
      </c>
      <c r="D285" t="inlineStr">
        <is>
          <t>ÖREBRO LÄN</t>
        </is>
      </c>
      <c r="E285" t="inlineStr">
        <is>
          <t>ÖREBRO</t>
        </is>
      </c>
      <c r="G285" t="n">
        <v>3.2</v>
      </c>
      <c r="H285" t="n">
        <v>0</v>
      </c>
      <c r="I285" t="n">
        <v>0</v>
      </c>
      <c r="J285" t="n">
        <v>0</v>
      </c>
      <c r="K285" t="n">
        <v>0</v>
      </c>
      <c r="L285" t="n">
        <v>0</v>
      </c>
      <c r="M285" t="n">
        <v>0</v>
      </c>
      <c r="N285" t="n">
        <v>0</v>
      </c>
      <c r="O285" t="n">
        <v>0</v>
      </c>
      <c r="P285" t="n">
        <v>0</v>
      </c>
      <c r="Q285" t="n">
        <v>0</v>
      </c>
      <c r="R285" s="2" t="inlineStr"/>
    </row>
    <row r="286" ht="15" customHeight="1">
      <c r="A286" t="inlineStr">
        <is>
          <t>A 28456-2020</t>
        </is>
      </c>
      <c r="B286" s="1" t="n">
        <v>43998</v>
      </c>
      <c r="C286" s="1" t="n">
        <v>45723</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29453-2020</t>
        </is>
      </c>
      <c r="B287" s="1" t="n">
        <v>44004</v>
      </c>
      <c r="C287" s="1" t="n">
        <v>45723</v>
      </c>
      <c r="D287" t="inlineStr">
        <is>
          <t>ÖREBRO LÄN</t>
        </is>
      </c>
      <c r="E287" t="inlineStr">
        <is>
          <t>ÖREBRO</t>
        </is>
      </c>
      <c r="G287" t="n">
        <v>6.2</v>
      </c>
      <c r="H287" t="n">
        <v>0</v>
      </c>
      <c r="I287" t="n">
        <v>0</v>
      </c>
      <c r="J287" t="n">
        <v>0</v>
      </c>
      <c r="K287" t="n">
        <v>0</v>
      </c>
      <c r="L287" t="n">
        <v>0</v>
      </c>
      <c r="M287" t="n">
        <v>0</v>
      </c>
      <c r="N287" t="n">
        <v>0</v>
      </c>
      <c r="O287" t="n">
        <v>0</v>
      </c>
      <c r="P287" t="n">
        <v>0</v>
      </c>
      <c r="Q287" t="n">
        <v>0</v>
      </c>
      <c r="R287" s="2" t="inlineStr"/>
    </row>
    <row r="288" ht="15" customHeight="1">
      <c r="A288" t="inlineStr">
        <is>
          <t>A 31120-2020</t>
        </is>
      </c>
      <c r="B288" s="1" t="n">
        <v>44012</v>
      </c>
      <c r="C288" s="1" t="n">
        <v>45723</v>
      </c>
      <c r="D288" t="inlineStr">
        <is>
          <t>ÖREBRO LÄN</t>
        </is>
      </c>
      <c r="E288" t="inlineStr">
        <is>
          <t>ÖREBRO</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31149-2020</t>
        </is>
      </c>
      <c r="B289" s="1" t="n">
        <v>44012</v>
      </c>
      <c r="C289" s="1" t="n">
        <v>45723</v>
      </c>
      <c r="D289" t="inlineStr">
        <is>
          <t>ÖREBRO LÄN</t>
        </is>
      </c>
      <c r="E289" t="inlineStr">
        <is>
          <t>ÖREBRO</t>
        </is>
      </c>
      <c r="F289" t="inlineStr">
        <is>
          <t>Sveaskog</t>
        </is>
      </c>
      <c r="G289" t="n">
        <v>5.6</v>
      </c>
      <c r="H289" t="n">
        <v>0</v>
      </c>
      <c r="I289" t="n">
        <v>0</v>
      </c>
      <c r="J289" t="n">
        <v>0</v>
      </c>
      <c r="K289" t="n">
        <v>0</v>
      </c>
      <c r="L289" t="n">
        <v>0</v>
      </c>
      <c r="M289" t="n">
        <v>0</v>
      </c>
      <c r="N289" t="n">
        <v>0</v>
      </c>
      <c r="O289" t="n">
        <v>0</v>
      </c>
      <c r="P289" t="n">
        <v>0</v>
      </c>
      <c r="Q289" t="n">
        <v>0</v>
      </c>
      <c r="R289" s="2" t="inlineStr"/>
    </row>
    <row r="290" ht="15" customHeight="1">
      <c r="A290" t="inlineStr">
        <is>
          <t>A 31397-2020</t>
        </is>
      </c>
      <c r="B290" s="1" t="n">
        <v>44012</v>
      </c>
      <c r="C290" s="1" t="n">
        <v>45723</v>
      </c>
      <c r="D290" t="inlineStr">
        <is>
          <t>ÖREBRO LÄN</t>
        </is>
      </c>
      <c r="E290" t="inlineStr">
        <is>
          <t>ÖREBRO</t>
        </is>
      </c>
      <c r="F290" t="inlineStr">
        <is>
          <t>Kommuner</t>
        </is>
      </c>
      <c r="G290" t="n">
        <v>4.2</v>
      </c>
      <c r="H290" t="n">
        <v>0</v>
      </c>
      <c r="I290" t="n">
        <v>0</v>
      </c>
      <c r="J290" t="n">
        <v>0</v>
      </c>
      <c r="K290" t="n">
        <v>0</v>
      </c>
      <c r="L290" t="n">
        <v>0</v>
      </c>
      <c r="M290" t="n">
        <v>0</v>
      </c>
      <c r="N290" t="n">
        <v>0</v>
      </c>
      <c r="O290" t="n">
        <v>0</v>
      </c>
      <c r="P290" t="n">
        <v>0</v>
      </c>
      <c r="Q290" t="n">
        <v>0</v>
      </c>
      <c r="R290" s="2" t="inlineStr"/>
    </row>
    <row r="291" ht="15" customHeight="1">
      <c r="A291" t="inlineStr">
        <is>
          <t>A 31933-2020</t>
        </is>
      </c>
      <c r="B291" s="1" t="n">
        <v>44014</v>
      </c>
      <c r="C291" s="1" t="n">
        <v>45723</v>
      </c>
      <c r="D291" t="inlineStr">
        <is>
          <t>ÖREBRO LÄN</t>
        </is>
      </c>
      <c r="E291" t="inlineStr">
        <is>
          <t>ÖREBRO</t>
        </is>
      </c>
      <c r="F291" t="inlineStr">
        <is>
          <t>Kommuner</t>
        </is>
      </c>
      <c r="G291" t="n">
        <v>6.8</v>
      </c>
      <c r="H291" t="n">
        <v>0</v>
      </c>
      <c r="I291" t="n">
        <v>0</v>
      </c>
      <c r="J291" t="n">
        <v>0</v>
      </c>
      <c r="K291" t="n">
        <v>0</v>
      </c>
      <c r="L291" t="n">
        <v>0</v>
      </c>
      <c r="M291" t="n">
        <v>0</v>
      </c>
      <c r="N291" t="n">
        <v>0</v>
      </c>
      <c r="O291" t="n">
        <v>0</v>
      </c>
      <c r="P291" t="n">
        <v>0</v>
      </c>
      <c r="Q291" t="n">
        <v>0</v>
      </c>
      <c r="R291" s="2" t="inlineStr"/>
    </row>
    <row r="292" ht="15" customHeight="1">
      <c r="A292" t="inlineStr">
        <is>
          <t>A 33125-2020</t>
        </is>
      </c>
      <c r="B292" s="1" t="n">
        <v>44020</v>
      </c>
      <c r="C292" s="1" t="n">
        <v>45723</v>
      </c>
      <c r="D292" t="inlineStr">
        <is>
          <t>ÖREBRO LÄN</t>
        </is>
      </c>
      <c r="E292" t="inlineStr">
        <is>
          <t>ÖREBRO</t>
        </is>
      </c>
      <c r="G292" t="n">
        <v>6.6</v>
      </c>
      <c r="H292" t="n">
        <v>0</v>
      </c>
      <c r="I292" t="n">
        <v>0</v>
      </c>
      <c r="J292" t="n">
        <v>0</v>
      </c>
      <c r="K292" t="n">
        <v>0</v>
      </c>
      <c r="L292" t="n">
        <v>0</v>
      </c>
      <c r="M292" t="n">
        <v>0</v>
      </c>
      <c r="N292" t="n">
        <v>0</v>
      </c>
      <c r="O292" t="n">
        <v>0</v>
      </c>
      <c r="P292" t="n">
        <v>0</v>
      </c>
      <c r="Q292" t="n">
        <v>0</v>
      </c>
      <c r="R292" s="2" t="inlineStr"/>
    </row>
    <row r="293" ht="15" customHeight="1">
      <c r="A293" t="inlineStr">
        <is>
          <t>A 33092-2020</t>
        </is>
      </c>
      <c r="B293" s="1" t="n">
        <v>44020</v>
      </c>
      <c r="C293" s="1" t="n">
        <v>45723</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33120-2020</t>
        </is>
      </c>
      <c r="B294" s="1" t="n">
        <v>44020</v>
      </c>
      <c r="C294" s="1" t="n">
        <v>45723</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33117-2020</t>
        </is>
      </c>
      <c r="B295" s="1" t="n">
        <v>44020</v>
      </c>
      <c r="C295" s="1" t="n">
        <v>45723</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35522-2020</t>
        </is>
      </c>
      <c r="B296" s="1" t="n">
        <v>44043</v>
      </c>
      <c r="C296" s="1" t="n">
        <v>45723</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36778-2020</t>
        </is>
      </c>
      <c r="B297" s="1" t="n">
        <v>44053</v>
      </c>
      <c r="C297" s="1" t="n">
        <v>45723</v>
      </c>
      <c r="D297" t="inlineStr">
        <is>
          <t>ÖREBRO LÄN</t>
        </is>
      </c>
      <c r="E297" t="inlineStr">
        <is>
          <t>ÖREBRO</t>
        </is>
      </c>
      <c r="F297" t="inlineStr">
        <is>
          <t>Allmännings- och besparingsskogar</t>
        </is>
      </c>
      <c r="G297" t="n">
        <v>26.4</v>
      </c>
      <c r="H297" t="n">
        <v>0</v>
      </c>
      <c r="I297" t="n">
        <v>0</v>
      </c>
      <c r="J297" t="n">
        <v>0</v>
      </c>
      <c r="K297" t="n">
        <v>0</v>
      </c>
      <c r="L297" t="n">
        <v>0</v>
      </c>
      <c r="M297" t="n">
        <v>0</v>
      </c>
      <c r="N297" t="n">
        <v>0</v>
      </c>
      <c r="O297" t="n">
        <v>0</v>
      </c>
      <c r="P297" t="n">
        <v>0</v>
      </c>
      <c r="Q297" t="n">
        <v>0</v>
      </c>
      <c r="R297" s="2" t="inlineStr"/>
    </row>
    <row r="298" ht="15" customHeight="1">
      <c r="A298" t="inlineStr">
        <is>
          <t>A 36762-2020</t>
        </is>
      </c>
      <c r="B298" s="1" t="n">
        <v>44053</v>
      </c>
      <c r="C298" s="1" t="n">
        <v>45723</v>
      </c>
      <c r="D298" t="inlineStr">
        <is>
          <t>ÖREBRO LÄN</t>
        </is>
      </c>
      <c r="E298" t="inlineStr">
        <is>
          <t>ÖREBRO</t>
        </is>
      </c>
      <c r="F298" t="inlineStr">
        <is>
          <t>Allmännings- och besparingsskogar</t>
        </is>
      </c>
      <c r="G298" t="n">
        <v>12.3</v>
      </c>
      <c r="H298" t="n">
        <v>0</v>
      </c>
      <c r="I298" t="n">
        <v>0</v>
      </c>
      <c r="J298" t="n">
        <v>0</v>
      </c>
      <c r="K298" t="n">
        <v>0</v>
      </c>
      <c r="L298" t="n">
        <v>0</v>
      </c>
      <c r="M298" t="n">
        <v>0</v>
      </c>
      <c r="N298" t="n">
        <v>0</v>
      </c>
      <c r="O298" t="n">
        <v>0</v>
      </c>
      <c r="P298" t="n">
        <v>0</v>
      </c>
      <c r="Q298" t="n">
        <v>0</v>
      </c>
      <c r="R298" s="2" t="inlineStr"/>
    </row>
    <row r="299" ht="15" customHeight="1">
      <c r="A299" t="inlineStr">
        <is>
          <t>A 37654-2020</t>
        </is>
      </c>
      <c r="B299" s="1" t="n">
        <v>44056</v>
      </c>
      <c r="C299" s="1" t="n">
        <v>45723</v>
      </c>
      <c r="D299" t="inlineStr">
        <is>
          <t>ÖREBRO LÄN</t>
        </is>
      </c>
      <c r="E299" t="inlineStr">
        <is>
          <t>ÖREBRO</t>
        </is>
      </c>
      <c r="G299" t="n">
        <v>6.1</v>
      </c>
      <c r="H299" t="n">
        <v>0</v>
      </c>
      <c r="I299" t="n">
        <v>0</v>
      </c>
      <c r="J299" t="n">
        <v>0</v>
      </c>
      <c r="K299" t="n">
        <v>0</v>
      </c>
      <c r="L299" t="n">
        <v>0</v>
      </c>
      <c r="M299" t="n">
        <v>0</v>
      </c>
      <c r="N299" t="n">
        <v>0</v>
      </c>
      <c r="O299" t="n">
        <v>0</v>
      </c>
      <c r="P299" t="n">
        <v>0</v>
      </c>
      <c r="Q299" t="n">
        <v>0</v>
      </c>
      <c r="R299" s="2" t="inlineStr"/>
    </row>
    <row r="300" ht="15" customHeight="1">
      <c r="A300" t="inlineStr">
        <is>
          <t>A 38532-2020</t>
        </is>
      </c>
      <c r="B300" s="1" t="n">
        <v>44061</v>
      </c>
      <c r="C300" s="1" t="n">
        <v>45723</v>
      </c>
      <c r="D300" t="inlineStr">
        <is>
          <t>ÖREBRO LÄN</t>
        </is>
      </c>
      <c r="E300" t="inlineStr">
        <is>
          <t>ÖREBRO</t>
        </is>
      </c>
      <c r="G300" t="n">
        <v>3.8</v>
      </c>
      <c r="H300" t="n">
        <v>0</v>
      </c>
      <c r="I300" t="n">
        <v>0</v>
      </c>
      <c r="J300" t="n">
        <v>0</v>
      </c>
      <c r="K300" t="n">
        <v>0</v>
      </c>
      <c r="L300" t="n">
        <v>0</v>
      </c>
      <c r="M300" t="n">
        <v>0</v>
      </c>
      <c r="N300" t="n">
        <v>0</v>
      </c>
      <c r="O300" t="n">
        <v>0</v>
      </c>
      <c r="P300" t="n">
        <v>0</v>
      </c>
      <c r="Q300" t="n">
        <v>0</v>
      </c>
      <c r="R300" s="2" t="inlineStr"/>
    </row>
    <row r="301" ht="15" customHeight="1">
      <c r="A301" t="inlineStr">
        <is>
          <t>A 38691-2020</t>
        </is>
      </c>
      <c r="B301" s="1" t="n">
        <v>44061</v>
      </c>
      <c r="C301" s="1" t="n">
        <v>45723</v>
      </c>
      <c r="D301" t="inlineStr">
        <is>
          <t>ÖREBRO LÄN</t>
        </is>
      </c>
      <c r="E301" t="inlineStr">
        <is>
          <t>ÖREBRO</t>
        </is>
      </c>
      <c r="G301" t="n">
        <v>2.1</v>
      </c>
      <c r="H301" t="n">
        <v>0</v>
      </c>
      <c r="I301" t="n">
        <v>0</v>
      </c>
      <c r="J301" t="n">
        <v>0</v>
      </c>
      <c r="K301" t="n">
        <v>0</v>
      </c>
      <c r="L301" t="n">
        <v>0</v>
      </c>
      <c r="M301" t="n">
        <v>0</v>
      </c>
      <c r="N301" t="n">
        <v>0</v>
      </c>
      <c r="O301" t="n">
        <v>0</v>
      </c>
      <c r="P301" t="n">
        <v>0</v>
      </c>
      <c r="Q301" t="n">
        <v>0</v>
      </c>
      <c r="R301" s="2" t="inlineStr"/>
    </row>
    <row r="302" ht="15" customHeight="1">
      <c r="A302" t="inlineStr">
        <is>
          <t>A 38960-2020</t>
        </is>
      </c>
      <c r="B302" s="1" t="n">
        <v>44062</v>
      </c>
      <c r="C302" s="1" t="n">
        <v>45723</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39307-2020</t>
        </is>
      </c>
      <c r="B303" s="1" t="n">
        <v>44063</v>
      </c>
      <c r="C303" s="1" t="n">
        <v>45723</v>
      </c>
      <c r="D303" t="inlineStr">
        <is>
          <t>ÖREBRO LÄN</t>
        </is>
      </c>
      <c r="E303" t="inlineStr">
        <is>
          <t>ÖREBRO</t>
        </is>
      </c>
      <c r="G303" t="n">
        <v>3.9</v>
      </c>
      <c r="H303" t="n">
        <v>0</v>
      </c>
      <c r="I303" t="n">
        <v>0</v>
      </c>
      <c r="J303" t="n">
        <v>0</v>
      </c>
      <c r="K303" t="n">
        <v>0</v>
      </c>
      <c r="L303" t="n">
        <v>0</v>
      </c>
      <c r="M303" t="n">
        <v>0</v>
      </c>
      <c r="N303" t="n">
        <v>0</v>
      </c>
      <c r="O303" t="n">
        <v>0</v>
      </c>
      <c r="P303" t="n">
        <v>0</v>
      </c>
      <c r="Q303" t="n">
        <v>0</v>
      </c>
      <c r="R303" s="2" t="inlineStr"/>
    </row>
    <row r="304" ht="15" customHeight="1">
      <c r="A304" t="inlineStr">
        <is>
          <t>A 39514-2020</t>
        </is>
      </c>
      <c r="B304" s="1" t="n">
        <v>44064</v>
      </c>
      <c r="C304" s="1" t="n">
        <v>45723</v>
      </c>
      <c r="D304" t="inlineStr">
        <is>
          <t>ÖREBRO LÄN</t>
        </is>
      </c>
      <c r="E304" t="inlineStr">
        <is>
          <t>ÖREBRO</t>
        </is>
      </c>
      <c r="G304" t="n">
        <v>4.6</v>
      </c>
      <c r="H304" t="n">
        <v>0</v>
      </c>
      <c r="I304" t="n">
        <v>0</v>
      </c>
      <c r="J304" t="n">
        <v>0</v>
      </c>
      <c r="K304" t="n">
        <v>0</v>
      </c>
      <c r="L304" t="n">
        <v>0</v>
      </c>
      <c r="M304" t="n">
        <v>0</v>
      </c>
      <c r="N304" t="n">
        <v>0</v>
      </c>
      <c r="O304" t="n">
        <v>0</v>
      </c>
      <c r="P304" t="n">
        <v>0</v>
      </c>
      <c r="Q304" t="n">
        <v>0</v>
      </c>
      <c r="R304" s="2" t="inlineStr"/>
    </row>
    <row r="305" ht="15" customHeight="1">
      <c r="A305" t="inlineStr">
        <is>
          <t>A 39642-2020</t>
        </is>
      </c>
      <c r="B305" s="1" t="n">
        <v>44064</v>
      </c>
      <c r="C305" s="1" t="n">
        <v>45723</v>
      </c>
      <c r="D305" t="inlineStr">
        <is>
          <t>ÖREBRO LÄN</t>
        </is>
      </c>
      <c r="E305" t="inlineStr">
        <is>
          <t>ÖREBRO</t>
        </is>
      </c>
      <c r="G305" t="n">
        <v>6.4</v>
      </c>
      <c r="H305" t="n">
        <v>0</v>
      </c>
      <c r="I305" t="n">
        <v>0</v>
      </c>
      <c r="J305" t="n">
        <v>0</v>
      </c>
      <c r="K305" t="n">
        <v>0</v>
      </c>
      <c r="L305" t="n">
        <v>0</v>
      </c>
      <c r="M305" t="n">
        <v>0</v>
      </c>
      <c r="N305" t="n">
        <v>0</v>
      </c>
      <c r="O305" t="n">
        <v>0</v>
      </c>
      <c r="P305" t="n">
        <v>0</v>
      </c>
      <c r="Q305" t="n">
        <v>0</v>
      </c>
      <c r="R305" s="2" t="inlineStr"/>
    </row>
    <row r="306" ht="15" customHeight="1">
      <c r="A306" t="inlineStr">
        <is>
          <t>A 40356-2020</t>
        </is>
      </c>
      <c r="B306" s="1" t="n">
        <v>44067</v>
      </c>
      <c r="C306" s="1" t="n">
        <v>45723</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40442-2020</t>
        </is>
      </c>
      <c r="B307" s="1" t="n">
        <v>44069</v>
      </c>
      <c r="C307" s="1" t="n">
        <v>45723</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40652-2020</t>
        </is>
      </c>
      <c r="B308" s="1" t="n">
        <v>44069</v>
      </c>
      <c r="C308" s="1" t="n">
        <v>45723</v>
      </c>
      <c r="D308" t="inlineStr">
        <is>
          <t>ÖREBRO LÄN</t>
        </is>
      </c>
      <c r="E308" t="inlineStr">
        <is>
          <t>ÖREBRO</t>
        </is>
      </c>
      <c r="F308" t="inlineStr">
        <is>
          <t>Övriga Aktiebolag</t>
        </is>
      </c>
      <c r="G308" t="n">
        <v>8.4</v>
      </c>
      <c r="H308" t="n">
        <v>0</v>
      </c>
      <c r="I308" t="n">
        <v>0</v>
      </c>
      <c r="J308" t="n">
        <v>0</v>
      </c>
      <c r="K308" t="n">
        <v>0</v>
      </c>
      <c r="L308" t="n">
        <v>0</v>
      </c>
      <c r="M308" t="n">
        <v>0</v>
      </c>
      <c r="N308" t="n">
        <v>0</v>
      </c>
      <c r="O308" t="n">
        <v>0</v>
      </c>
      <c r="P308" t="n">
        <v>0</v>
      </c>
      <c r="Q308" t="n">
        <v>0</v>
      </c>
      <c r="R308" s="2" t="inlineStr"/>
    </row>
    <row r="309" ht="15" customHeight="1">
      <c r="A309" t="inlineStr">
        <is>
          <t>A 41116-2020</t>
        </is>
      </c>
      <c r="B309" s="1" t="n">
        <v>44071</v>
      </c>
      <c r="C309" s="1" t="n">
        <v>45723</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42285-2020</t>
        </is>
      </c>
      <c r="B310" s="1" t="n">
        <v>44076</v>
      </c>
      <c r="C310" s="1" t="n">
        <v>45723</v>
      </c>
      <c r="D310" t="inlineStr">
        <is>
          <t>ÖREBRO LÄN</t>
        </is>
      </c>
      <c r="E310" t="inlineStr">
        <is>
          <t>ÖREBRO</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42865-2020</t>
        </is>
      </c>
      <c r="B311" s="1" t="n">
        <v>44078</v>
      </c>
      <c r="C311" s="1" t="n">
        <v>45723</v>
      </c>
      <c r="D311" t="inlineStr">
        <is>
          <t>ÖREBRO LÄN</t>
        </is>
      </c>
      <c r="E311" t="inlineStr">
        <is>
          <t>ÖREBRO</t>
        </is>
      </c>
      <c r="G311" t="n">
        <v>5.2</v>
      </c>
      <c r="H311" t="n">
        <v>0</v>
      </c>
      <c r="I311" t="n">
        <v>0</v>
      </c>
      <c r="J311" t="n">
        <v>0</v>
      </c>
      <c r="K311" t="n">
        <v>0</v>
      </c>
      <c r="L311" t="n">
        <v>0</v>
      </c>
      <c r="M311" t="n">
        <v>0</v>
      </c>
      <c r="N311" t="n">
        <v>0</v>
      </c>
      <c r="O311" t="n">
        <v>0</v>
      </c>
      <c r="P311" t="n">
        <v>0</v>
      </c>
      <c r="Q311" t="n">
        <v>0</v>
      </c>
      <c r="R311" s="2" t="inlineStr"/>
    </row>
    <row r="312" ht="15" customHeight="1">
      <c r="A312" t="inlineStr">
        <is>
          <t>A 42957-2020</t>
        </is>
      </c>
      <c r="B312" s="1" t="n">
        <v>44078</v>
      </c>
      <c r="C312" s="1" t="n">
        <v>45723</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44331-2020</t>
        </is>
      </c>
      <c r="B313" s="1" t="n">
        <v>44084</v>
      </c>
      <c r="C313" s="1" t="n">
        <v>45723</v>
      </c>
      <c r="D313" t="inlineStr">
        <is>
          <t>ÖREBRO LÄN</t>
        </is>
      </c>
      <c r="E313" t="inlineStr">
        <is>
          <t>ÖREBRO</t>
        </is>
      </c>
      <c r="G313" t="n">
        <v>5.3</v>
      </c>
      <c r="H313" t="n">
        <v>0</v>
      </c>
      <c r="I313" t="n">
        <v>0</v>
      </c>
      <c r="J313" t="n">
        <v>0</v>
      </c>
      <c r="K313" t="n">
        <v>0</v>
      </c>
      <c r="L313" t="n">
        <v>0</v>
      </c>
      <c r="M313" t="n">
        <v>0</v>
      </c>
      <c r="N313" t="n">
        <v>0</v>
      </c>
      <c r="O313" t="n">
        <v>0</v>
      </c>
      <c r="P313" t="n">
        <v>0</v>
      </c>
      <c r="Q313" t="n">
        <v>0</v>
      </c>
      <c r="R313" s="2" t="inlineStr"/>
    </row>
    <row r="314" ht="15" customHeight="1">
      <c r="A314" t="inlineStr">
        <is>
          <t>A 44514-2020</t>
        </is>
      </c>
      <c r="B314" s="1" t="n">
        <v>44085</v>
      </c>
      <c r="C314" s="1" t="n">
        <v>45723</v>
      </c>
      <c r="D314" t="inlineStr">
        <is>
          <t>ÖREBRO LÄN</t>
        </is>
      </c>
      <c r="E314" t="inlineStr">
        <is>
          <t>ÖREBRO</t>
        </is>
      </c>
      <c r="G314" t="n">
        <v>3</v>
      </c>
      <c r="H314" t="n">
        <v>0</v>
      </c>
      <c r="I314" t="n">
        <v>0</v>
      </c>
      <c r="J314" t="n">
        <v>0</v>
      </c>
      <c r="K314" t="n">
        <v>0</v>
      </c>
      <c r="L314" t="n">
        <v>0</v>
      </c>
      <c r="M314" t="n">
        <v>0</v>
      </c>
      <c r="N314" t="n">
        <v>0</v>
      </c>
      <c r="O314" t="n">
        <v>0</v>
      </c>
      <c r="P314" t="n">
        <v>0</v>
      </c>
      <c r="Q314" t="n">
        <v>0</v>
      </c>
      <c r="R314" s="2" t="inlineStr"/>
    </row>
    <row r="315" ht="15" customHeight="1">
      <c r="A315" t="inlineStr">
        <is>
          <t>A 44966-2020</t>
        </is>
      </c>
      <c r="B315" s="1" t="n">
        <v>44088</v>
      </c>
      <c r="C315" s="1" t="n">
        <v>45723</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45029-2020</t>
        </is>
      </c>
      <c r="B316" s="1" t="n">
        <v>44088</v>
      </c>
      <c r="C316" s="1" t="n">
        <v>45723</v>
      </c>
      <c r="D316" t="inlineStr">
        <is>
          <t>ÖREBRO LÄN</t>
        </is>
      </c>
      <c r="E316" t="inlineStr">
        <is>
          <t>ÖREBRO</t>
        </is>
      </c>
      <c r="G316" t="n">
        <v>3.8</v>
      </c>
      <c r="H316" t="n">
        <v>0</v>
      </c>
      <c r="I316" t="n">
        <v>0</v>
      </c>
      <c r="J316" t="n">
        <v>0</v>
      </c>
      <c r="K316" t="n">
        <v>0</v>
      </c>
      <c r="L316" t="n">
        <v>0</v>
      </c>
      <c r="M316" t="n">
        <v>0</v>
      </c>
      <c r="N316" t="n">
        <v>0</v>
      </c>
      <c r="O316" t="n">
        <v>0</v>
      </c>
      <c r="P316" t="n">
        <v>0</v>
      </c>
      <c r="Q316" t="n">
        <v>0</v>
      </c>
      <c r="R316" s="2" t="inlineStr"/>
    </row>
    <row r="317" ht="15" customHeight="1">
      <c r="A317" t="inlineStr">
        <is>
          <t>A 46053-2020</t>
        </is>
      </c>
      <c r="B317" s="1" t="n">
        <v>44088</v>
      </c>
      <c r="C317" s="1" t="n">
        <v>45723</v>
      </c>
      <c r="D317" t="inlineStr">
        <is>
          <t>ÖREBRO LÄN</t>
        </is>
      </c>
      <c r="E317" t="inlineStr">
        <is>
          <t>ÖREBRO</t>
        </is>
      </c>
      <c r="G317" t="n">
        <v>0.9</v>
      </c>
      <c r="H317" t="n">
        <v>0</v>
      </c>
      <c r="I317" t="n">
        <v>0</v>
      </c>
      <c r="J317" t="n">
        <v>0</v>
      </c>
      <c r="K317" t="n">
        <v>0</v>
      </c>
      <c r="L317" t="n">
        <v>0</v>
      </c>
      <c r="M317" t="n">
        <v>0</v>
      </c>
      <c r="N317" t="n">
        <v>0</v>
      </c>
      <c r="O317" t="n">
        <v>0</v>
      </c>
      <c r="P317" t="n">
        <v>0</v>
      </c>
      <c r="Q317" t="n">
        <v>0</v>
      </c>
      <c r="R317" s="2" t="inlineStr"/>
    </row>
    <row r="318" ht="15" customHeight="1">
      <c r="A318" t="inlineStr">
        <is>
          <t>A 46092-2020</t>
        </is>
      </c>
      <c r="B318" s="1" t="n">
        <v>44091</v>
      </c>
      <c r="C318" s="1" t="n">
        <v>45723</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46607-2020</t>
        </is>
      </c>
      <c r="B319" s="1" t="n">
        <v>44095</v>
      </c>
      <c r="C319" s="1" t="n">
        <v>45723</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47993-2020</t>
        </is>
      </c>
      <c r="B320" s="1" t="n">
        <v>44095</v>
      </c>
      <c r="C320" s="1" t="n">
        <v>45723</v>
      </c>
      <c r="D320" t="inlineStr">
        <is>
          <t>ÖREBRO LÄN</t>
        </is>
      </c>
      <c r="E320" t="inlineStr">
        <is>
          <t>ÖREBRO</t>
        </is>
      </c>
      <c r="G320" t="n">
        <v>4.3</v>
      </c>
      <c r="H320" t="n">
        <v>0</v>
      </c>
      <c r="I320" t="n">
        <v>0</v>
      </c>
      <c r="J320" t="n">
        <v>0</v>
      </c>
      <c r="K320" t="n">
        <v>0</v>
      </c>
      <c r="L320" t="n">
        <v>0</v>
      </c>
      <c r="M320" t="n">
        <v>0</v>
      </c>
      <c r="N320" t="n">
        <v>0</v>
      </c>
      <c r="O320" t="n">
        <v>0</v>
      </c>
      <c r="P320" t="n">
        <v>0</v>
      </c>
      <c r="Q320" t="n">
        <v>0</v>
      </c>
      <c r="R320" s="2" t="inlineStr"/>
    </row>
    <row r="321" ht="15" customHeight="1">
      <c r="A321" t="inlineStr">
        <is>
          <t>A 47517-2020</t>
        </is>
      </c>
      <c r="B321" s="1" t="n">
        <v>44095</v>
      </c>
      <c r="C321" s="1" t="n">
        <v>45723</v>
      </c>
      <c r="D321" t="inlineStr">
        <is>
          <t>ÖREBRO LÄN</t>
        </is>
      </c>
      <c r="E321" t="inlineStr">
        <is>
          <t>ÖREBRO</t>
        </is>
      </c>
      <c r="G321" t="n">
        <v>7</v>
      </c>
      <c r="H321" t="n">
        <v>0</v>
      </c>
      <c r="I321" t="n">
        <v>0</v>
      </c>
      <c r="J321" t="n">
        <v>0</v>
      </c>
      <c r="K321" t="n">
        <v>0</v>
      </c>
      <c r="L321" t="n">
        <v>0</v>
      </c>
      <c r="M321" t="n">
        <v>0</v>
      </c>
      <c r="N321" t="n">
        <v>0</v>
      </c>
      <c r="O321" t="n">
        <v>0</v>
      </c>
      <c r="P321" t="n">
        <v>0</v>
      </c>
      <c r="Q321" t="n">
        <v>0</v>
      </c>
      <c r="R321" s="2" t="inlineStr"/>
    </row>
    <row r="322" ht="15" customHeight="1">
      <c r="A322" t="inlineStr">
        <is>
          <t>A 48109-2020</t>
        </is>
      </c>
      <c r="B322" s="1" t="n">
        <v>44101</v>
      </c>
      <c r="C322" s="1" t="n">
        <v>45723</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48889-2020</t>
        </is>
      </c>
      <c r="B323" s="1" t="n">
        <v>44104</v>
      </c>
      <c r="C323" s="1" t="n">
        <v>45723</v>
      </c>
      <c r="D323" t="inlineStr">
        <is>
          <t>ÖREBRO LÄN</t>
        </is>
      </c>
      <c r="E323" t="inlineStr">
        <is>
          <t>ÖREBRO</t>
        </is>
      </c>
      <c r="G323" t="n">
        <v>0.8</v>
      </c>
      <c r="H323" t="n">
        <v>0</v>
      </c>
      <c r="I323" t="n">
        <v>0</v>
      </c>
      <c r="J323" t="n">
        <v>0</v>
      </c>
      <c r="K323" t="n">
        <v>0</v>
      </c>
      <c r="L323" t="n">
        <v>0</v>
      </c>
      <c r="M323" t="n">
        <v>0</v>
      </c>
      <c r="N323" t="n">
        <v>0</v>
      </c>
      <c r="O323" t="n">
        <v>0</v>
      </c>
      <c r="P323" t="n">
        <v>0</v>
      </c>
      <c r="Q323" t="n">
        <v>0</v>
      </c>
      <c r="R323" s="2" t="inlineStr"/>
    </row>
    <row r="324" ht="15" customHeight="1">
      <c r="A324" t="inlineStr">
        <is>
          <t>A 48878-2020</t>
        </is>
      </c>
      <c r="B324" s="1" t="n">
        <v>44104</v>
      </c>
      <c r="C324" s="1" t="n">
        <v>45723</v>
      </c>
      <c r="D324" t="inlineStr">
        <is>
          <t>ÖREBRO LÄN</t>
        </is>
      </c>
      <c r="E324" t="inlineStr">
        <is>
          <t>ÖREBRO</t>
        </is>
      </c>
      <c r="G324" t="n">
        <v>12.7</v>
      </c>
      <c r="H324" t="n">
        <v>0</v>
      </c>
      <c r="I324" t="n">
        <v>0</v>
      </c>
      <c r="J324" t="n">
        <v>0</v>
      </c>
      <c r="K324" t="n">
        <v>0</v>
      </c>
      <c r="L324" t="n">
        <v>0</v>
      </c>
      <c r="M324" t="n">
        <v>0</v>
      </c>
      <c r="N324" t="n">
        <v>0</v>
      </c>
      <c r="O324" t="n">
        <v>0</v>
      </c>
      <c r="P324" t="n">
        <v>0</v>
      </c>
      <c r="Q324" t="n">
        <v>0</v>
      </c>
      <c r="R324" s="2" t="inlineStr"/>
    </row>
    <row r="325" ht="15" customHeight="1">
      <c r="A325" t="inlineStr">
        <is>
          <t>A 53003-2020</t>
        </is>
      </c>
      <c r="B325" s="1" t="n">
        <v>44119</v>
      </c>
      <c r="C325" s="1" t="n">
        <v>45723</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54288-2020</t>
        </is>
      </c>
      <c r="B326" s="1" t="n">
        <v>44124</v>
      </c>
      <c r="C326" s="1" t="n">
        <v>45723</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54526-2020</t>
        </is>
      </c>
      <c r="B327" s="1" t="n">
        <v>44125</v>
      </c>
      <c r="C327" s="1" t="n">
        <v>45723</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55570-2020</t>
        </is>
      </c>
      <c r="B328" s="1" t="n">
        <v>44131</v>
      </c>
      <c r="C328" s="1" t="n">
        <v>45723</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56138-2020</t>
        </is>
      </c>
      <c r="B329" s="1" t="n">
        <v>44133</v>
      </c>
      <c r="C329" s="1" t="n">
        <v>45723</v>
      </c>
      <c r="D329" t="inlineStr">
        <is>
          <t>ÖREBRO LÄN</t>
        </is>
      </c>
      <c r="E329" t="inlineStr">
        <is>
          <t>ÖREBRO</t>
        </is>
      </c>
      <c r="F329" t="inlineStr">
        <is>
          <t>Allmännings- och besparingsskogar</t>
        </is>
      </c>
      <c r="G329" t="n">
        <v>4.9</v>
      </c>
      <c r="H329" t="n">
        <v>0</v>
      </c>
      <c r="I329" t="n">
        <v>0</v>
      </c>
      <c r="J329" t="n">
        <v>0</v>
      </c>
      <c r="K329" t="n">
        <v>0</v>
      </c>
      <c r="L329" t="n">
        <v>0</v>
      </c>
      <c r="M329" t="n">
        <v>0</v>
      </c>
      <c r="N329" t="n">
        <v>0</v>
      </c>
      <c r="O329" t="n">
        <v>0</v>
      </c>
      <c r="P329" t="n">
        <v>0</v>
      </c>
      <c r="Q329" t="n">
        <v>0</v>
      </c>
      <c r="R329" s="2" t="inlineStr"/>
    </row>
    <row r="330" ht="15" customHeight="1">
      <c r="A330" t="inlineStr">
        <is>
          <t>A 57241-2020</t>
        </is>
      </c>
      <c r="B330" s="1" t="n">
        <v>44139</v>
      </c>
      <c r="C330" s="1" t="n">
        <v>45723</v>
      </c>
      <c r="D330" t="inlineStr">
        <is>
          <t>ÖREBRO LÄN</t>
        </is>
      </c>
      <c r="E330" t="inlineStr">
        <is>
          <t>ÖREBRO</t>
        </is>
      </c>
      <c r="G330" t="n">
        <v>2.3</v>
      </c>
      <c r="H330" t="n">
        <v>0</v>
      </c>
      <c r="I330" t="n">
        <v>0</v>
      </c>
      <c r="J330" t="n">
        <v>0</v>
      </c>
      <c r="K330" t="n">
        <v>0</v>
      </c>
      <c r="L330" t="n">
        <v>0</v>
      </c>
      <c r="M330" t="n">
        <v>0</v>
      </c>
      <c r="N330" t="n">
        <v>0</v>
      </c>
      <c r="O330" t="n">
        <v>0</v>
      </c>
      <c r="P330" t="n">
        <v>0</v>
      </c>
      <c r="Q330" t="n">
        <v>0</v>
      </c>
      <c r="R330" s="2" t="inlineStr"/>
    </row>
    <row r="331" ht="15" customHeight="1">
      <c r="A331" t="inlineStr">
        <is>
          <t>A 58633-2020</t>
        </is>
      </c>
      <c r="B331" s="1" t="n">
        <v>44145</v>
      </c>
      <c r="C331" s="1" t="n">
        <v>45723</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59265-2020</t>
        </is>
      </c>
      <c r="B332" s="1" t="n">
        <v>44147</v>
      </c>
      <c r="C332" s="1" t="n">
        <v>45723</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60311-2020</t>
        </is>
      </c>
      <c r="B333" s="1" t="n">
        <v>44151</v>
      </c>
      <c r="C333" s="1" t="n">
        <v>45723</v>
      </c>
      <c r="D333" t="inlineStr">
        <is>
          <t>ÖREBRO LÄN</t>
        </is>
      </c>
      <c r="E333" t="inlineStr">
        <is>
          <t>ÖREBRO</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60150-2020</t>
        </is>
      </c>
      <c r="B334" s="1" t="n">
        <v>44152</v>
      </c>
      <c r="C334" s="1" t="n">
        <v>45723</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61965-2020</t>
        </is>
      </c>
      <c r="B335" s="1" t="n">
        <v>44155</v>
      </c>
      <c r="C335" s="1" t="n">
        <v>45723</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62651-2020</t>
        </is>
      </c>
      <c r="B336" s="1" t="n">
        <v>44161</v>
      </c>
      <c r="C336" s="1" t="n">
        <v>45723</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63013-2020</t>
        </is>
      </c>
      <c r="B337" s="1" t="n">
        <v>44162</v>
      </c>
      <c r="C337" s="1" t="n">
        <v>45723</v>
      </c>
      <c r="D337" t="inlineStr">
        <is>
          <t>ÖREBRO LÄN</t>
        </is>
      </c>
      <c r="E337" t="inlineStr">
        <is>
          <t>ÖREBRO</t>
        </is>
      </c>
      <c r="F337" t="inlineStr">
        <is>
          <t>Övriga Aktiebolag</t>
        </is>
      </c>
      <c r="G337" t="n">
        <v>6.9</v>
      </c>
      <c r="H337" t="n">
        <v>0</v>
      </c>
      <c r="I337" t="n">
        <v>0</v>
      </c>
      <c r="J337" t="n">
        <v>0</v>
      </c>
      <c r="K337" t="n">
        <v>0</v>
      </c>
      <c r="L337" t="n">
        <v>0</v>
      </c>
      <c r="M337" t="n">
        <v>0</v>
      </c>
      <c r="N337" t="n">
        <v>0</v>
      </c>
      <c r="O337" t="n">
        <v>0</v>
      </c>
      <c r="P337" t="n">
        <v>0</v>
      </c>
      <c r="Q337" t="n">
        <v>0</v>
      </c>
      <c r="R337" s="2" t="inlineStr"/>
    </row>
    <row r="338" ht="15" customHeight="1">
      <c r="A338" t="inlineStr">
        <is>
          <t>A 63074-2020</t>
        </is>
      </c>
      <c r="B338" s="1" t="n">
        <v>44162</v>
      </c>
      <c r="C338" s="1" t="n">
        <v>45723</v>
      </c>
      <c r="D338" t="inlineStr">
        <is>
          <t>ÖREBRO LÄN</t>
        </is>
      </c>
      <c r="E338" t="inlineStr">
        <is>
          <t>ÖREBRO</t>
        </is>
      </c>
      <c r="F338" t="inlineStr">
        <is>
          <t>Övriga Aktiebolag</t>
        </is>
      </c>
      <c r="G338" t="n">
        <v>6.8</v>
      </c>
      <c r="H338" t="n">
        <v>0</v>
      </c>
      <c r="I338" t="n">
        <v>0</v>
      </c>
      <c r="J338" t="n">
        <v>0</v>
      </c>
      <c r="K338" t="n">
        <v>0</v>
      </c>
      <c r="L338" t="n">
        <v>0</v>
      </c>
      <c r="M338" t="n">
        <v>0</v>
      </c>
      <c r="N338" t="n">
        <v>0</v>
      </c>
      <c r="O338" t="n">
        <v>0</v>
      </c>
      <c r="P338" t="n">
        <v>0</v>
      </c>
      <c r="Q338" t="n">
        <v>0</v>
      </c>
      <c r="R338" s="2" t="inlineStr"/>
    </row>
    <row r="339" ht="15" customHeight="1">
      <c r="A339" t="inlineStr">
        <is>
          <t>A 63016-2020</t>
        </is>
      </c>
      <c r="B339" s="1" t="n">
        <v>44162</v>
      </c>
      <c r="C339" s="1" t="n">
        <v>45723</v>
      </c>
      <c r="D339" t="inlineStr">
        <is>
          <t>ÖREBRO LÄN</t>
        </is>
      </c>
      <c r="E339" t="inlineStr">
        <is>
          <t>ÖREBRO</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64597-2020</t>
        </is>
      </c>
      <c r="B340" s="1" t="n">
        <v>44166</v>
      </c>
      <c r="C340" s="1" t="n">
        <v>45723</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65592-2020</t>
        </is>
      </c>
      <c r="B341" s="1" t="n">
        <v>44173</v>
      </c>
      <c r="C341" s="1" t="n">
        <v>45723</v>
      </c>
      <c r="D341" t="inlineStr">
        <is>
          <t>ÖREBRO LÄN</t>
        </is>
      </c>
      <c r="E341" t="inlineStr">
        <is>
          <t>ÖREBRO</t>
        </is>
      </c>
      <c r="G341" t="n">
        <v>8.9</v>
      </c>
      <c r="H341" t="n">
        <v>0</v>
      </c>
      <c r="I341" t="n">
        <v>0</v>
      </c>
      <c r="J341" t="n">
        <v>0</v>
      </c>
      <c r="K341" t="n">
        <v>0</v>
      </c>
      <c r="L341" t="n">
        <v>0</v>
      </c>
      <c r="M341" t="n">
        <v>0</v>
      </c>
      <c r="N341" t="n">
        <v>0</v>
      </c>
      <c r="O341" t="n">
        <v>0</v>
      </c>
      <c r="P341" t="n">
        <v>0</v>
      </c>
      <c r="Q341" t="n">
        <v>0</v>
      </c>
      <c r="R341" s="2" t="inlineStr"/>
    </row>
    <row r="342" ht="15" customHeight="1">
      <c r="A342" t="inlineStr">
        <is>
          <t>A 66799-2020</t>
        </is>
      </c>
      <c r="B342" s="1" t="n">
        <v>44179</v>
      </c>
      <c r="C342" s="1" t="n">
        <v>45723</v>
      </c>
      <c r="D342" t="inlineStr">
        <is>
          <t>ÖREBRO LÄN</t>
        </is>
      </c>
      <c r="E342" t="inlineStr">
        <is>
          <t>ÖREBRO</t>
        </is>
      </c>
      <c r="G342" t="n">
        <v>5.2</v>
      </c>
      <c r="H342" t="n">
        <v>0</v>
      </c>
      <c r="I342" t="n">
        <v>0</v>
      </c>
      <c r="J342" t="n">
        <v>0</v>
      </c>
      <c r="K342" t="n">
        <v>0</v>
      </c>
      <c r="L342" t="n">
        <v>0</v>
      </c>
      <c r="M342" t="n">
        <v>0</v>
      </c>
      <c r="N342" t="n">
        <v>0</v>
      </c>
      <c r="O342" t="n">
        <v>0</v>
      </c>
      <c r="P342" t="n">
        <v>0</v>
      </c>
      <c r="Q342" t="n">
        <v>0</v>
      </c>
      <c r="R342" s="2" t="inlineStr"/>
    </row>
    <row r="343" ht="15" customHeight="1">
      <c r="A343" t="inlineStr">
        <is>
          <t>A 67627-2020</t>
        </is>
      </c>
      <c r="B343" s="1" t="n">
        <v>44182</v>
      </c>
      <c r="C343" s="1" t="n">
        <v>45723</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69328-2020</t>
        </is>
      </c>
      <c r="B344" s="1" t="n">
        <v>44188</v>
      </c>
      <c r="C344" s="1" t="n">
        <v>45723</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69613-2020</t>
        </is>
      </c>
      <c r="B345" s="1" t="n">
        <v>44195</v>
      </c>
      <c r="C345" s="1" t="n">
        <v>45723</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3087-2021</t>
        </is>
      </c>
      <c r="B346" s="1" t="n">
        <v>44216</v>
      </c>
      <c r="C346" s="1" t="n">
        <v>45723</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3078-2021</t>
        </is>
      </c>
      <c r="B347" s="1" t="n">
        <v>44216</v>
      </c>
      <c r="C347" s="1" t="n">
        <v>45723</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3085-2021</t>
        </is>
      </c>
      <c r="B348" s="1" t="n">
        <v>44216</v>
      </c>
      <c r="C348" s="1" t="n">
        <v>45723</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3081-2021</t>
        </is>
      </c>
      <c r="B349" s="1" t="n">
        <v>44216</v>
      </c>
      <c r="C349" s="1" t="n">
        <v>45723</v>
      </c>
      <c r="D349" t="inlineStr">
        <is>
          <t>ÖREBRO LÄN</t>
        </is>
      </c>
      <c r="E349" t="inlineStr">
        <is>
          <t>ÖREBRO</t>
        </is>
      </c>
      <c r="G349" t="n">
        <v>4.2</v>
      </c>
      <c r="H349" t="n">
        <v>0</v>
      </c>
      <c r="I349" t="n">
        <v>0</v>
      </c>
      <c r="J349" t="n">
        <v>0</v>
      </c>
      <c r="K349" t="n">
        <v>0</v>
      </c>
      <c r="L349" t="n">
        <v>0</v>
      </c>
      <c r="M349" t="n">
        <v>0</v>
      </c>
      <c r="N349" t="n">
        <v>0</v>
      </c>
      <c r="O349" t="n">
        <v>0</v>
      </c>
      <c r="P349" t="n">
        <v>0</v>
      </c>
      <c r="Q349" t="n">
        <v>0</v>
      </c>
      <c r="R349" s="2" t="inlineStr"/>
    </row>
    <row r="350" ht="15" customHeight="1">
      <c r="A350" t="inlineStr">
        <is>
          <t>A 4021-2021</t>
        </is>
      </c>
      <c r="B350" s="1" t="n">
        <v>44218</v>
      </c>
      <c r="C350" s="1" t="n">
        <v>45723</v>
      </c>
      <c r="D350" t="inlineStr">
        <is>
          <t>ÖREBRO LÄN</t>
        </is>
      </c>
      <c r="E350" t="inlineStr">
        <is>
          <t>ÖREBRO</t>
        </is>
      </c>
      <c r="G350" t="n">
        <v>5.3</v>
      </c>
      <c r="H350" t="n">
        <v>0</v>
      </c>
      <c r="I350" t="n">
        <v>0</v>
      </c>
      <c r="J350" t="n">
        <v>0</v>
      </c>
      <c r="K350" t="n">
        <v>0</v>
      </c>
      <c r="L350" t="n">
        <v>0</v>
      </c>
      <c r="M350" t="n">
        <v>0</v>
      </c>
      <c r="N350" t="n">
        <v>0</v>
      </c>
      <c r="O350" t="n">
        <v>0</v>
      </c>
      <c r="P350" t="n">
        <v>0</v>
      </c>
      <c r="Q350" t="n">
        <v>0</v>
      </c>
      <c r="R350" s="2" t="inlineStr"/>
    </row>
    <row r="351" ht="15" customHeight="1">
      <c r="A351" t="inlineStr">
        <is>
          <t>A 5708-2021</t>
        </is>
      </c>
      <c r="B351" s="1" t="n">
        <v>44230</v>
      </c>
      <c r="C351" s="1" t="n">
        <v>45723</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5946-2021</t>
        </is>
      </c>
      <c r="B352" s="1" t="n">
        <v>44230</v>
      </c>
      <c r="C352" s="1" t="n">
        <v>45723</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6213-2021</t>
        </is>
      </c>
      <c r="B353" s="1" t="n">
        <v>44232</v>
      </c>
      <c r="C353" s="1" t="n">
        <v>45723</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6212-2021</t>
        </is>
      </c>
      <c r="B354" s="1" t="n">
        <v>44232</v>
      </c>
      <c r="C354" s="1" t="n">
        <v>45723</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6387-2021</t>
        </is>
      </c>
      <c r="B355" s="1" t="n">
        <v>44235</v>
      </c>
      <c r="C355" s="1" t="n">
        <v>45723</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7117-2021</t>
        </is>
      </c>
      <c r="B356" s="1" t="n">
        <v>44238</v>
      </c>
      <c r="C356" s="1" t="n">
        <v>45723</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8263-2021</t>
        </is>
      </c>
      <c r="B357" s="1" t="n">
        <v>44244</v>
      </c>
      <c r="C357" s="1" t="n">
        <v>45723</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8331-2021</t>
        </is>
      </c>
      <c r="B358" s="1" t="n">
        <v>44244</v>
      </c>
      <c r="C358" s="1" t="n">
        <v>45723</v>
      </c>
      <c r="D358" t="inlineStr">
        <is>
          <t>ÖREBRO LÄN</t>
        </is>
      </c>
      <c r="E358" t="inlineStr">
        <is>
          <t>ÖREBRO</t>
        </is>
      </c>
      <c r="G358" t="n">
        <v>9.1</v>
      </c>
      <c r="H358" t="n">
        <v>0</v>
      </c>
      <c r="I358" t="n">
        <v>0</v>
      </c>
      <c r="J358" t="n">
        <v>0</v>
      </c>
      <c r="K358" t="n">
        <v>0</v>
      </c>
      <c r="L358" t="n">
        <v>0</v>
      </c>
      <c r="M358" t="n">
        <v>0</v>
      </c>
      <c r="N358" t="n">
        <v>0</v>
      </c>
      <c r="O358" t="n">
        <v>0</v>
      </c>
      <c r="P358" t="n">
        <v>0</v>
      </c>
      <c r="Q358" t="n">
        <v>0</v>
      </c>
      <c r="R358" s="2" t="inlineStr"/>
    </row>
    <row r="359" ht="15" customHeight="1">
      <c r="A359" t="inlineStr">
        <is>
          <t>A 8375-2021</t>
        </is>
      </c>
      <c r="B359" s="1" t="n">
        <v>44244</v>
      </c>
      <c r="C359" s="1" t="n">
        <v>45723</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8332-2021</t>
        </is>
      </c>
      <c r="B360" s="1" t="n">
        <v>44244</v>
      </c>
      <c r="C360" s="1" t="n">
        <v>45723</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8374-2021</t>
        </is>
      </c>
      <c r="B361" s="1" t="n">
        <v>44244</v>
      </c>
      <c r="C361" s="1" t="n">
        <v>45723</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8543-2021</t>
        </is>
      </c>
      <c r="B362" s="1" t="n">
        <v>44245</v>
      </c>
      <c r="C362" s="1" t="n">
        <v>45723</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8565-2021</t>
        </is>
      </c>
      <c r="B363" s="1" t="n">
        <v>44245</v>
      </c>
      <c r="C363" s="1" t="n">
        <v>45723</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8571-2021</t>
        </is>
      </c>
      <c r="B364" s="1" t="n">
        <v>44245</v>
      </c>
      <c r="C364" s="1" t="n">
        <v>45723</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8568-2021</t>
        </is>
      </c>
      <c r="B365" s="1" t="n">
        <v>44245</v>
      </c>
      <c r="C365" s="1" t="n">
        <v>45723</v>
      </c>
      <c r="D365" t="inlineStr">
        <is>
          <t>ÖREBRO LÄN</t>
        </is>
      </c>
      <c r="E365" t="inlineStr">
        <is>
          <t>ÖREBRO</t>
        </is>
      </c>
      <c r="G365" t="n">
        <v>4.8</v>
      </c>
      <c r="H365" t="n">
        <v>0</v>
      </c>
      <c r="I365" t="n">
        <v>0</v>
      </c>
      <c r="J365" t="n">
        <v>0</v>
      </c>
      <c r="K365" t="n">
        <v>0</v>
      </c>
      <c r="L365" t="n">
        <v>0</v>
      </c>
      <c r="M365" t="n">
        <v>0</v>
      </c>
      <c r="N365" t="n">
        <v>0</v>
      </c>
      <c r="O365" t="n">
        <v>0</v>
      </c>
      <c r="P365" t="n">
        <v>0</v>
      </c>
      <c r="Q365" t="n">
        <v>0</v>
      </c>
      <c r="R365" s="2" t="inlineStr"/>
    </row>
    <row r="366" ht="15" customHeight="1">
      <c r="A366" t="inlineStr">
        <is>
          <t>A 8575-2021</t>
        </is>
      </c>
      <c r="B366" s="1" t="n">
        <v>44245</v>
      </c>
      <c r="C366" s="1" t="n">
        <v>45723</v>
      </c>
      <c r="D366" t="inlineStr">
        <is>
          <t>ÖREBRO LÄN</t>
        </is>
      </c>
      <c r="E366" t="inlineStr">
        <is>
          <t>ÖREBRO</t>
        </is>
      </c>
      <c r="G366" t="n">
        <v>3.4</v>
      </c>
      <c r="H366" t="n">
        <v>0</v>
      </c>
      <c r="I366" t="n">
        <v>0</v>
      </c>
      <c r="J366" t="n">
        <v>0</v>
      </c>
      <c r="K366" t="n">
        <v>0</v>
      </c>
      <c r="L366" t="n">
        <v>0</v>
      </c>
      <c r="M366" t="n">
        <v>0</v>
      </c>
      <c r="N366" t="n">
        <v>0</v>
      </c>
      <c r="O366" t="n">
        <v>0</v>
      </c>
      <c r="P366" t="n">
        <v>0</v>
      </c>
      <c r="Q366" t="n">
        <v>0</v>
      </c>
      <c r="R366" s="2" t="inlineStr"/>
    </row>
    <row r="367" ht="15" customHeight="1">
      <c r="A367" t="inlineStr">
        <is>
          <t>A 9406-2021</t>
        </is>
      </c>
      <c r="B367" s="1" t="n">
        <v>44251</v>
      </c>
      <c r="C367" s="1" t="n">
        <v>45723</v>
      </c>
      <c r="D367" t="inlineStr">
        <is>
          <t>ÖREBRO LÄN</t>
        </is>
      </c>
      <c r="E367" t="inlineStr">
        <is>
          <t>ÖREBRO</t>
        </is>
      </c>
      <c r="G367" t="n">
        <v>6.1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45723</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12433-2021</t>
        </is>
      </c>
      <c r="B369" s="1" t="n">
        <v>44267</v>
      </c>
      <c r="C369" s="1" t="n">
        <v>45723</v>
      </c>
      <c r="D369" t="inlineStr">
        <is>
          <t>ÖREBRO LÄN</t>
        </is>
      </c>
      <c r="E369" t="inlineStr">
        <is>
          <t>ÖREBRO</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12871-2021</t>
        </is>
      </c>
      <c r="B370" s="1" t="n">
        <v>44271</v>
      </c>
      <c r="C370" s="1" t="n">
        <v>45723</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13193-2021</t>
        </is>
      </c>
      <c r="B371" s="1" t="n">
        <v>44272</v>
      </c>
      <c r="C371" s="1" t="n">
        <v>45723</v>
      </c>
      <c r="D371" t="inlineStr">
        <is>
          <t>ÖREBRO LÄN</t>
        </is>
      </c>
      <c r="E371" t="inlineStr">
        <is>
          <t>ÖREBRO</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13760-2021</t>
        </is>
      </c>
      <c r="B372" s="1" t="n">
        <v>44274</v>
      </c>
      <c r="C372" s="1" t="n">
        <v>45723</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14064-2021</t>
        </is>
      </c>
      <c r="B373" s="1" t="n">
        <v>44277</v>
      </c>
      <c r="C373" s="1" t="n">
        <v>45723</v>
      </c>
      <c r="D373" t="inlineStr">
        <is>
          <t>ÖREBRO LÄN</t>
        </is>
      </c>
      <c r="E373" t="inlineStr">
        <is>
          <t>ÖREBRO</t>
        </is>
      </c>
      <c r="G373" t="n">
        <v>0.3</v>
      </c>
      <c r="H373" t="n">
        <v>0</v>
      </c>
      <c r="I373" t="n">
        <v>0</v>
      </c>
      <c r="J373" t="n">
        <v>0</v>
      </c>
      <c r="K373" t="n">
        <v>0</v>
      </c>
      <c r="L373" t="n">
        <v>0</v>
      </c>
      <c r="M373" t="n">
        <v>0</v>
      </c>
      <c r="N373" t="n">
        <v>0</v>
      </c>
      <c r="O373" t="n">
        <v>0</v>
      </c>
      <c r="P373" t="n">
        <v>0</v>
      </c>
      <c r="Q373" t="n">
        <v>0</v>
      </c>
      <c r="R373" s="2" t="inlineStr"/>
    </row>
    <row r="374" ht="15" customHeight="1">
      <c r="A374" t="inlineStr">
        <is>
          <t>A 14239-2021</t>
        </is>
      </c>
      <c r="B374" s="1" t="n">
        <v>44278</v>
      </c>
      <c r="C374" s="1" t="n">
        <v>45723</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15574-2021</t>
        </is>
      </c>
      <c r="B375" s="1" t="n">
        <v>44285</v>
      </c>
      <c r="C375" s="1" t="n">
        <v>45723</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15571-2021</t>
        </is>
      </c>
      <c r="B376" s="1" t="n">
        <v>44285</v>
      </c>
      <c r="C376" s="1" t="n">
        <v>45723</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16260-2021</t>
        </is>
      </c>
      <c r="B377" s="1" t="n">
        <v>44292</v>
      </c>
      <c r="C377" s="1" t="n">
        <v>45723</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16785-2021</t>
        </is>
      </c>
      <c r="B378" s="1" t="n">
        <v>44295</v>
      </c>
      <c r="C378" s="1" t="n">
        <v>45723</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19468-2021</t>
        </is>
      </c>
      <c r="B379" s="1" t="n">
        <v>44311</v>
      </c>
      <c r="C379" s="1" t="n">
        <v>45723</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19803-2021</t>
        </is>
      </c>
      <c r="B380" s="1" t="n">
        <v>44313</v>
      </c>
      <c r="C380" s="1" t="n">
        <v>45723</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19831-2021</t>
        </is>
      </c>
      <c r="B381" s="1" t="n">
        <v>44313</v>
      </c>
      <c r="C381" s="1" t="n">
        <v>45723</v>
      </c>
      <c r="D381" t="inlineStr">
        <is>
          <t>ÖREBRO LÄN</t>
        </is>
      </c>
      <c r="E381" t="inlineStr">
        <is>
          <t>ÖREBRO</t>
        </is>
      </c>
      <c r="G381" t="n">
        <v>10.4</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45723</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23606-2021</t>
        </is>
      </c>
      <c r="B383" s="1" t="n">
        <v>44334</v>
      </c>
      <c r="C383" s="1" t="n">
        <v>45723</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24818-2021</t>
        </is>
      </c>
      <c r="B384" s="1" t="n">
        <v>44340</v>
      </c>
      <c r="C384" s="1" t="n">
        <v>45723</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25407-2021</t>
        </is>
      </c>
      <c r="B385" s="1" t="n">
        <v>44342</v>
      </c>
      <c r="C385" s="1" t="n">
        <v>45723</v>
      </c>
      <c r="D385" t="inlineStr">
        <is>
          <t>ÖREBRO LÄN</t>
        </is>
      </c>
      <c r="E385" t="inlineStr">
        <is>
          <t>ÖREBRO</t>
        </is>
      </c>
      <c r="F385" t="inlineStr">
        <is>
          <t>Kommuner</t>
        </is>
      </c>
      <c r="G385" t="n">
        <v>7.2</v>
      </c>
      <c r="H385" t="n">
        <v>0</v>
      </c>
      <c r="I385" t="n">
        <v>0</v>
      </c>
      <c r="J385" t="n">
        <v>0</v>
      </c>
      <c r="K385" t="n">
        <v>0</v>
      </c>
      <c r="L385" t="n">
        <v>0</v>
      </c>
      <c r="M385" t="n">
        <v>0</v>
      </c>
      <c r="N385" t="n">
        <v>0</v>
      </c>
      <c r="O385" t="n">
        <v>0</v>
      </c>
      <c r="P385" t="n">
        <v>0</v>
      </c>
      <c r="Q385" t="n">
        <v>0</v>
      </c>
      <c r="R385" s="2" t="inlineStr"/>
    </row>
    <row r="386" ht="15" customHeight="1">
      <c r="A386" t="inlineStr">
        <is>
          <t>A 25443-2021</t>
        </is>
      </c>
      <c r="B386" s="1" t="n">
        <v>44342</v>
      </c>
      <c r="C386" s="1" t="n">
        <v>45723</v>
      </c>
      <c r="D386" t="inlineStr">
        <is>
          <t>ÖREBRO LÄN</t>
        </is>
      </c>
      <c r="E386" t="inlineStr">
        <is>
          <t>ÖREBRO</t>
        </is>
      </c>
      <c r="G386" t="n">
        <v>1</v>
      </c>
      <c r="H386" t="n">
        <v>0</v>
      </c>
      <c r="I386" t="n">
        <v>0</v>
      </c>
      <c r="J386" t="n">
        <v>0</v>
      </c>
      <c r="K386" t="n">
        <v>0</v>
      </c>
      <c r="L386" t="n">
        <v>0</v>
      </c>
      <c r="M386" t="n">
        <v>0</v>
      </c>
      <c r="N386" t="n">
        <v>0</v>
      </c>
      <c r="O386" t="n">
        <v>0</v>
      </c>
      <c r="P386" t="n">
        <v>0</v>
      </c>
      <c r="Q386" t="n">
        <v>0</v>
      </c>
      <c r="R386" s="2" t="inlineStr"/>
    </row>
    <row r="387" ht="15" customHeight="1">
      <c r="A387" t="inlineStr">
        <is>
          <t>A 25660-2021</t>
        </is>
      </c>
      <c r="B387" s="1" t="n">
        <v>44343</v>
      </c>
      <c r="C387" s="1" t="n">
        <v>45723</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25778-2021</t>
        </is>
      </c>
      <c r="B388" s="1" t="n">
        <v>44343</v>
      </c>
      <c r="C388" s="1" t="n">
        <v>45723</v>
      </c>
      <c r="D388" t="inlineStr">
        <is>
          <t>ÖREBRO LÄN</t>
        </is>
      </c>
      <c r="E388" t="inlineStr">
        <is>
          <t>ÖREBRO</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26118-2021</t>
        </is>
      </c>
      <c r="B389" s="1" t="n">
        <v>44345</v>
      </c>
      <c r="C389" s="1" t="n">
        <v>45723</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26119-2021</t>
        </is>
      </c>
      <c r="B390" s="1" t="n">
        <v>44345</v>
      </c>
      <c r="C390" s="1" t="n">
        <v>45723</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45723</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26153-2021</t>
        </is>
      </c>
      <c r="B392" s="1" t="n">
        <v>44347</v>
      </c>
      <c r="C392" s="1" t="n">
        <v>45723</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26338-2021</t>
        </is>
      </c>
      <c r="B393" s="1" t="n">
        <v>44347</v>
      </c>
      <c r="C393" s="1" t="n">
        <v>45723</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26509-2021</t>
        </is>
      </c>
      <c r="B394" s="1" t="n">
        <v>44348</v>
      </c>
      <c r="C394" s="1" t="n">
        <v>45723</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27141-2021</t>
        </is>
      </c>
      <c r="B395" s="1" t="n">
        <v>44350</v>
      </c>
      <c r="C395" s="1" t="n">
        <v>45723</v>
      </c>
      <c r="D395" t="inlineStr">
        <is>
          <t>ÖREBRO LÄN</t>
        </is>
      </c>
      <c r="E395" t="inlineStr">
        <is>
          <t>ÖREBRO</t>
        </is>
      </c>
      <c r="F395" t="inlineStr">
        <is>
          <t>Kommuner</t>
        </is>
      </c>
      <c r="G395" t="n">
        <v>1.6</v>
      </c>
      <c r="H395" t="n">
        <v>0</v>
      </c>
      <c r="I395" t="n">
        <v>0</v>
      </c>
      <c r="J395" t="n">
        <v>0</v>
      </c>
      <c r="K395" t="n">
        <v>0</v>
      </c>
      <c r="L395" t="n">
        <v>0</v>
      </c>
      <c r="M395" t="n">
        <v>0</v>
      </c>
      <c r="N395" t="n">
        <v>0</v>
      </c>
      <c r="O395" t="n">
        <v>0</v>
      </c>
      <c r="P395" t="n">
        <v>0</v>
      </c>
      <c r="Q395" t="n">
        <v>0</v>
      </c>
      <c r="R395" s="2" t="inlineStr"/>
    </row>
    <row r="396" ht="15" customHeight="1">
      <c r="A396" t="inlineStr">
        <is>
          <t>A 28689-2021</t>
        </is>
      </c>
      <c r="B396" s="1" t="n">
        <v>44357</v>
      </c>
      <c r="C396" s="1" t="n">
        <v>45723</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28870-2021</t>
        </is>
      </c>
      <c r="B397" s="1" t="n">
        <v>44357</v>
      </c>
      <c r="C397" s="1" t="n">
        <v>45723</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29033-2021</t>
        </is>
      </c>
      <c r="B398" s="1" t="n">
        <v>44358</v>
      </c>
      <c r="C398" s="1" t="n">
        <v>45723</v>
      </c>
      <c r="D398" t="inlineStr">
        <is>
          <t>ÖREBRO LÄN</t>
        </is>
      </c>
      <c r="E398" t="inlineStr">
        <is>
          <t>ÖREBRO</t>
        </is>
      </c>
      <c r="F398" t="inlineStr">
        <is>
          <t>Kommuner</t>
        </is>
      </c>
      <c r="G398" t="n">
        <v>3.7</v>
      </c>
      <c r="H398" t="n">
        <v>0</v>
      </c>
      <c r="I398" t="n">
        <v>0</v>
      </c>
      <c r="J398" t="n">
        <v>0</v>
      </c>
      <c r="K398" t="n">
        <v>0</v>
      </c>
      <c r="L398" t="n">
        <v>0</v>
      </c>
      <c r="M398" t="n">
        <v>0</v>
      </c>
      <c r="N398" t="n">
        <v>0</v>
      </c>
      <c r="O398" t="n">
        <v>0</v>
      </c>
      <c r="P398" t="n">
        <v>0</v>
      </c>
      <c r="Q398" t="n">
        <v>0</v>
      </c>
      <c r="R398" s="2" t="inlineStr"/>
    </row>
    <row r="399" ht="15" customHeight="1">
      <c r="A399" t="inlineStr">
        <is>
          <t>A 31235-2021</t>
        </is>
      </c>
      <c r="B399" s="1" t="n">
        <v>44368</v>
      </c>
      <c r="C399" s="1" t="n">
        <v>45723</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33779-2021</t>
        </is>
      </c>
      <c r="B400" s="1" t="n">
        <v>44378</v>
      </c>
      <c r="C400" s="1" t="n">
        <v>45723</v>
      </c>
      <c r="D400" t="inlineStr">
        <is>
          <t>ÖREBRO LÄN</t>
        </is>
      </c>
      <c r="E400" t="inlineStr">
        <is>
          <t>ÖREBRO</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33814-2021</t>
        </is>
      </c>
      <c r="B401" s="1" t="n">
        <v>44378</v>
      </c>
      <c r="C401" s="1" t="n">
        <v>45723</v>
      </c>
      <c r="D401" t="inlineStr">
        <is>
          <t>ÖREBRO LÄN</t>
        </is>
      </c>
      <c r="E401" t="inlineStr">
        <is>
          <t>ÖREBRO</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33865-2021</t>
        </is>
      </c>
      <c r="B402" s="1" t="n">
        <v>44378</v>
      </c>
      <c r="C402" s="1" t="n">
        <v>45723</v>
      </c>
      <c r="D402" t="inlineStr">
        <is>
          <t>ÖREBRO LÄN</t>
        </is>
      </c>
      <c r="E402" t="inlineStr">
        <is>
          <t>ÖREBRO</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35836-2021</t>
        </is>
      </c>
      <c r="B403" s="1" t="n">
        <v>44386</v>
      </c>
      <c r="C403" s="1" t="n">
        <v>45723</v>
      </c>
      <c r="D403" t="inlineStr">
        <is>
          <t>ÖREBRO LÄN</t>
        </is>
      </c>
      <c r="E403" t="inlineStr">
        <is>
          <t>ÖREBRO</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37395-2021</t>
        </is>
      </c>
      <c r="B404" s="1" t="n">
        <v>44398</v>
      </c>
      <c r="C404" s="1" t="n">
        <v>45723</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38133-2021</t>
        </is>
      </c>
      <c r="B405" s="1" t="n">
        <v>44404</v>
      </c>
      <c r="C405" s="1" t="n">
        <v>45723</v>
      </c>
      <c r="D405" t="inlineStr">
        <is>
          <t>ÖREBRO LÄN</t>
        </is>
      </c>
      <c r="E405" t="inlineStr">
        <is>
          <t>ÖREBRO</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40312-2021</t>
        </is>
      </c>
      <c r="B406" s="1" t="n">
        <v>44419</v>
      </c>
      <c r="C406" s="1" t="n">
        <v>45723</v>
      </c>
      <c r="D406" t="inlineStr">
        <is>
          <t>ÖREBRO LÄN</t>
        </is>
      </c>
      <c r="E406" t="inlineStr">
        <is>
          <t>ÖREBRO</t>
        </is>
      </c>
      <c r="F406" t="inlineStr">
        <is>
          <t>Övriga Aktiebolag</t>
        </is>
      </c>
      <c r="G406" t="n">
        <v>2.6</v>
      </c>
      <c r="H406" t="n">
        <v>0</v>
      </c>
      <c r="I406" t="n">
        <v>0</v>
      </c>
      <c r="J406" t="n">
        <v>0</v>
      </c>
      <c r="K406" t="n">
        <v>0</v>
      </c>
      <c r="L406" t="n">
        <v>0</v>
      </c>
      <c r="M406" t="n">
        <v>0</v>
      </c>
      <c r="N406" t="n">
        <v>0</v>
      </c>
      <c r="O406" t="n">
        <v>0</v>
      </c>
      <c r="P406" t="n">
        <v>0</v>
      </c>
      <c r="Q406" t="n">
        <v>0</v>
      </c>
      <c r="R406" s="2" t="inlineStr"/>
    </row>
    <row r="407" ht="15" customHeight="1">
      <c r="A407" t="inlineStr">
        <is>
          <t>A 40597-2021</t>
        </is>
      </c>
      <c r="B407" s="1" t="n">
        <v>44420</v>
      </c>
      <c r="C407" s="1" t="n">
        <v>45723</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40605-2021</t>
        </is>
      </c>
      <c r="B408" s="1" t="n">
        <v>44420</v>
      </c>
      <c r="C408" s="1" t="n">
        <v>45723</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40588-2021</t>
        </is>
      </c>
      <c r="B409" s="1" t="n">
        <v>44420</v>
      </c>
      <c r="C409" s="1" t="n">
        <v>45723</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41326-2021</t>
        </is>
      </c>
      <c r="B410" s="1" t="n">
        <v>44424</v>
      </c>
      <c r="C410" s="1" t="n">
        <v>45723</v>
      </c>
      <c r="D410" t="inlineStr">
        <is>
          <t>ÖREBRO LÄN</t>
        </is>
      </c>
      <c r="E410" t="inlineStr">
        <is>
          <t>ÖREBRO</t>
        </is>
      </c>
      <c r="G410" t="n">
        <v>5.9</v>
      </c>
      <c r="H410" t="n">
        <v>0</v>
      </c>
      <c r="I410" t="n">
        <v>0</v>
      </c>
      <c r="J410" t="n">
        <v>0</v>
      </c>
      <c r="K410" t="n">
        <v>0</v>
      </c>
      <c r="L410" t="n">
        <v>0</v>
      </c>
      <c r="M410" t="n">
        <v>0</v>
      </c>
      <c r="N410" t="n">
        <v>0</v>
      </c>
      <c r="O410" t="n">
        <v>0</v>
      </c>
      <c r="P410" t="n">
        <v>0</v>
      </c>
      <c r="Q410" t="n">
        <v>0</v>
      </c>
      <c r="R410" s="2" t="inlineStr"/>
    </row>
    <row r="411" ht="15" customHeight="1">
      <c r="A411" t="inlineStr">
        <is>
          <t>A 42518-2021</t>
        </is>
      </c>
      <c r="B411" s="1" t="n">
        <v>44427</v>
      </c>
      <c r="C411" s="1" t="n">
        <v>45723</v>
      </c>
      <c r="D411" t="inlineStr">
        <is>
          <t>ÖREBRO LÄN</t>
        </is>
      </c>
      <c r="E411" t="inlineStr">
        <is>
          <t>ÖREBRO</t>
        </is>
      </c>
      <c r="G411" t="n">
        <v>4.5</v>
      </c>
      <c r="H411" t="n">
        <v>0</v>
      </c>
      <c r="I411" t="n">
        <v>0</v>
      </c>
      <c r="J411" t="n">
        <v>0</v>
      </c>
      <c r="K411" t="n">
        <v>0</v>
      </c>
      <c r="L411" t="n">
        <v>0</v>
      </c>
      <c r="M411" t="n">
        <v>0</v>
      </c>
      <c r="N411" t="n">
        <v>0</v>
      </c>
      <c r="O411" t="n">
        <v>0</v>
      </c>
      <c r="P411" t="n">
        <v>0</v>
      </c>
      <c r="Q411" t="n">
        <v>0</v>
      </c>
      <c r="R411" s="2" t="inlineStr"/>
    </row>
    <row r="412" ht="15" customHeight="1">
      <c r="A412" t="inlineStr">
        <is>
          <t>A 42777-2021</t>
        </is>
      </c>
      <c r="B412" s="1" t="n">
        <v>44428</v>
      </c>
      <c r="C412" s="1" t="n">
        <v>45723</v>
      </c>
      <c r="D412" t="inlineStr">
        <is>
          <t>ÖREBRO LÄN</t>
        </is>
      </c>
      <c r="E412" t="inlineStr">
        <is>
          <t>ÖREBRO</t>
        </is>
      </c>
      <c r="F412" t="inlineStr">
        <is>
          <t>Övriga Aktiebolag</t>
        </is>
      </c>
      <c r="G412" t="n">
        <v>5.4</v>
      </c>
      <c r="H412" t="n">
        <v>0</v>
      </c>
      <c r="I412" t="n">
        <v>0</v>
      </c>
      <c r="J412" t="n">
        <v>0</v>
      </c>
      <c r="K412" t="n">
        <v>0</v>
      </c>
      <c r="L412" t="n">
        <v>0</v>
      </c>
      <c r="M412" t="n">
        <v>0</v>
      </c>
      <c r="N412" t="n">
        <v>0</v>
      </c>
      <c r="O412" t="n">
        <v>0</v>
      </c>
      <c r="P412" t="n">
        <v>0</v>
      </c>
      <c r="Q412" t="n">
        <v>0</v>
      </c>
      <c r="R412" s="2" t="inlineStr"/>
    </row>
    <row r="413" ht="15" customHeight="1">
      <c r="A413" t="inlineStr">
        <is>
          <t>A 44043-2021</t>
        </is>
      </c>
      <c r="B413" s="1" t="n">
        <v>44434</v>
      </c>
      <c r="C413" s="1" t="n">
        <v>45723</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44146-2021</t>
        </is>
      </c>
      <c r="B414" s="1" t="n">
        <v>44434</v>
      </c>
      <c r="C414" s="1" t="n">
        <v>45723</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44560-2021</t>
        </is>
      </c>
      <c r="B415" s="1" t="n">
        <v>44435</v>
      </c>
      <c r="C415" s="1" t="n">
        <v>45723</v>
      </c>
      <c r="D415" t="inlineStr">
        <is>
          <t>ÖREBRO LÄN</t>
        </is>
      </c>
      <c r="E415" t="inlineStr">
        <is>
          <t>ÖREBRO</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45723</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47130-2021</t>
        </is>
      </c>
      <c r="B417" s="1" t="n">
        <v>44446</v>
      </c>
      <c r="C417" s="1" t="n">
        <v>45723</v>
      </c>
      <c r="D417" t="inlineStr">
        <is>
          <t>ÖREBRO LÄN</t>
        </is>
      </c>
      <c r="E417" t="inlineStr">
        <is>
          <t>ÖREBRO</t>
        </is>
      </c>
      <c r="G417" t="n">
        <v>7.9</v>
      </c>
      <c r="H417" t="n">
        <v>0</v>
      </c>
      <c r="I417" t="n">
        <v>0</v>
      </c>
      <c r="J417" t="n">
        <v>0</v>
      </c>
      <c r="K417" t="n">
        <v>0</v>
      </c>
      <c r="L417" t="n">
        <v>0</v>
      </c>
      <c r="M417" t="n">
        <v>0</v>
      </c>
      <c r="N417" t="n">
        <v>0</v>
      </c>
      <c r="O417" t="n">
        <v>0</v>
      </c>
      <c r="P417" t="n">
        <v>0</v>
      </c>
      <c r="Q417" t="n">
        <v>0</v>
      </c>
      <c r="R417" s="2" t="inlineStr"/>
    </row>
    <row r="418" ht="15" customHeight="1">
      <c r="A418" t="inlineStr">
        <is>
          <t>A 47973-2021</t>
        </is>
      </c>
      <c r="B418" s="1" t="n">
        <v>44449</v>
      </c>
      <c r="C418" s="1" t="n">
        <v>45723</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49016-2021</t>
        </is>
      </c>
      <c r="B419" s="1" t="n">
        <v>44453</v>
      </c>
      <c r="C419" s="1" t="n">
        <v>45723</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51429-2021</t>
        </is>
      </c>
      <c r="B420" s="1" t="n">
        <v>44462</v>
      </c>
      <c r="C420" s="1" t="n">
        <v>45723</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52352-2021</t>
        </is>
      </c>
      <c r="B421" s="1" t="n">
        <v>44464</v>
      </c>
      <c r="C421" s="1" t="n">
        <v>45723</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55487-2021</t>
        </is>
      </c>
      <c r="B422" s="1" t="n">
        <v>44475</v>
      </c>
      <c r="C422" s="1" t="n">
        <v>45723</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57343-2021</t>
        </is>
      </c>
      <c r="B423" s="1" t="n">
        <v>44482</v>
      </c>
      <c r="C423" s="1" t="n">
        <v>45723</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57498-2021</t>
        </is>
      </c>
      <c r="B424" s="1" t="n">
        <v>44483</v>
      </c>
      <c r="C424" s="1" t="n">
        <v>45723</v>
      </c>
      <c r="D424" t="inlineStr">
        <is>
          <t>ÖREBRO LÄN</t>
        </is>
      </c>
      <c r="E424" t="inlineStr">
        <is>
          <t>ÖREBRO</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58138-2021</t>
        </is>
      </c>
      <c r="B425" s="1" t="n">
        <v>44487</v>
      </c>
      <c r="C425" s="1" t="n">
        <v>45723</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59584-2021</t>
        </is>
      </c>
      <c r="B426" s="1" t="n">
        <v>44491</v>
      </c>
      <c r="C426" s="1" t="n">
        <v>45723</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61232-2021</t>
        </is>
      </c>
      <c r="B427" s="1" t="n">
        <v>44498</v>
      </c>
      <c r="C427" s="1" t="n">
        <v>45723</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45723</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63247-2021</t>
        </is>
      </c>
      <c r="B429" s="1" t="n">
        <v>44505</v>
      </c>
      <c r="C429" s="1" t="n">
        <v>45723</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63890-2021</t>
        </is>
      </c>
      <c r="B430" s="1" t="n">
        <v>44509</v>
      </c>
      <c r="C430" s="1" t="n">
        <v>45723</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64523-2021</t>
        </is>
      </c>
      <c r="B431" s="1" t="n">
        <v>44511</v>
      </c>
      <c r="C431" s="1" t="n">
        <v>45723</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66000-2021</t>
        </is>
      </c>
      <c r="B432" s="1" t="n">
        <v>44517</v>
      </c>
      <c r="C432" s="1" t="n">
        <v>45723</v>
      </c>
      <c r="D432" t="inlineStr">
        <is>
          <t>ÖREBRO LÄN</t>
        </is>
      </c>
      <c r="E432" t="inlineStr">
        <is>
          <t>ÖREBRO</t>
        </is>
      </c>
      <c r="G432" t="n">
        <v>3.8</v>
      </c>
      <c r="H432" t="n">
        <v>0</v>
      </c>
      <c r="I432" t="n">
        <v>0</v>
      </c>
      <c r="J432" t="n">
        <v>0</v>
      </c>
      <c r="K432" t="n">
        <v>0</v>
      </c>
      <c r="L432" t="n">
        <v>0</v>
      </c>
      <c r="M432" t="n">
        <v>0</v>
      </c>
      <c r="N432" t="n">
        <v>0</v>
      </c>
      <c r="O432" t="n">
        <v>0</v>
      </c>
      <c r="P432" t="n">
        <v>0</v>
      </c>
      <c r="Q432" t="n">
        <v>0</v>
      </c>
      <c r="R432" s="2" t="inlineStr"/>
    </row>
    <row r="433" ht="15" customHeight="1">
      <c r="A433" t="inlineStr">
        <is>
          <t>A 66559-2021</t>
        </is>
      </c>
      <c r="B433" s="1" t="n">
        <v>44519</v>
      </c>
      <c r="C433" s="1" t="n">
        <v>45723</v>
      </c>
      <c r="D433" t="inlineStr">
        <is>
          <t>ÖREBRO LÄN</t>
        </is>
      </c>
      <c r="E433" t="inlineStr">
        <is>
          <t>ÖREBRO</t>
        </is>
      </c>
      <c r="F433" t="inlineStr">
        <is>
          <t>Allmännings- och besparingsskogar</t>
        </is>
      </c>
      <c r="G433" t="n">
        <v>4.3</v>
      </c>
      <c r="H433" t="n">
        <v>0</v>
      </c>
      <c r="I433" t="n">
        <v>0</v>
      </c>
      <c r="J433" t="n">
        <v>0</v>
      </c>
      <c r="K433" t="n">
        <v>0</v>
      </c>
      <c r="L433" t="n">
        <v>0</v>
      </c>
      <c r="M433" t="n">
        <v>0</v>
      </c>
      <c r="N433" t="n">
        <v>0</v>
      </c>
      <c r="O433" t="n">
        <v>0</v>
      </c>
      <c r="P433" t="n">
        <v>0</v>
      </c>
      <c r="Q433" t="n">
        <v>0</v>
      </c>
      <c r="R433" s="2" t="inlineStr"/>
    </row>
    <row r="434" ht="15" customHeight="1">
      <c r="A434" t="inlineStr">
        <is>
          <t>A 66936-2021</t>
        </is>
      </c>
      <c r="B434" s="1" t="n">
        <v>44522</v>
      </c>
      <c r="C434" s="1" t="n">
        <v>45723</v>
      </c>
      <c r="D434" t="inlineStr">
        <is>
          <t>ÖREBRO LÄN</t>
        </is>
      </c>
      <c r="E434" t="inlineStr">
        <is>
          <t>ÖREBRO</t>
        </is>
      </c>
      <c r="G434" t="n">
        <v>6.8</v>
      </c>
      <c r="H434" t="n">
        <v>0</v>
      </c>
      <c r="I434" t="n">
        <v>0</v>
      </c>
      <c r="J434" t="n">
        <v>0</v>
      </c>
      <c r="K434" t="n">
        <v>0</v>
      </c>
      <c r="L434" t="n">
        <v>0</v>
      </c>
      <c r="M434" t="n">
        <v>0</v>
      </c>
      <c r="N434" t="n">
        <v>0</v>
      </c>
      <c r="O434" t="n">
        <v>0</v>
      </c>
      <c r="P434" t="n">
        <v>0</v>
      </c>
      <c r="Q434" t="n">
        <v>0</v>
      </c>
      <c r="R434" s="2" t="inlineStr"/>
    </row>
    <row r="435" ht="15" customHeight="1">
      <c r="A435" t="inlineStr">
        <is>
          <t>A 66970-2021</t>
        </is>
      </c>
      <c r="B435" s="1" t="n">
        <v>44522</v>
      </c>
      <c r="C435" s="1" t="n">
        <v>45723</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69733-2021</t>
        </is>
      </c>
      <c r="B436" s="1" t="n">
        <v>44532</v>
      </c>
      <c r="C436" s="1" t="n">
        <v>45723</v>
      </c>
      <c r="D436" t="inlineStr">
        <is>
          <t>ÖREBRO LÄN</t>
        </is>
      </c>
      <c r="E436" t="inlineStr">
        <is>
          <t>ÖREBRO</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70199-2021</t>
        </is>
      </c>
      <c r="B437" s="1" t="n">
        <v>44534</v>
      </c>
      <c r="C437" s="1" t="n">
        <v>45723</v>
      </c>
      <c r="D437" t="inlineStr">
        <is>
          <t>ÖREBRO LÄN</t>
        </is>
      </c>
      <c r="E437" t="inlineStr">
        <is>
          <t>ÖREBRO</t>
        </is>
      </c>
      <c r="G437" t="n">
        <v>4.1</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45723</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70707-2021</t>
        </is>
      </c>
      <c r="B439" s="1" t="n">
        <v>44537</v>
      </c>
      <c r="C439" s="1" t="n">
        <v>45723</v>
      </c>
      <c r="D439" t="inlineStr">
        <is>
          <t>ÖREBRO LÄN</t>
        </is>
      </c>
      <c r="E439" t="inlineStr">
        <is>
          <t>ÖREBRO</t>
        </is>
      </c>
      <c r="G439" t="n">
        <v>13.2</v>
      </c>
      <c r="H439" t="n">
        <v>0</v>
      </c>
      <c r="I439" t="n">
        <v>0</v>
      </c>
      <c r="J439" t="n">
        <v>0</v>
      </c>
      <c r="K439" t="n">
        <v>0</v>
      </c>
      <c r="L439" t="n">
        <v>0</v>
      </c>
      <c r="M439" t="n">
        <v>0</v>
      </c>
      <c r="N439" t="n">
        <v>0</v>
      </c>
      <c r="O439" t="n">
        <v>0</v>
      </c>
      <c r="P439" t="n">
        <v>0</v>
      </c>
      <c r="Q439" t="n">
        <v>0</v>
      </c>
      <c r="R439" s="2" t="inlineStr"/>
    </row>
    <row r="440" ht="15" customHeight="1">
      <c r="A440" t="inlineStr">
        <is>
          <t>A 70719-2021</t>
        </is>
      </c>
      <c r="B440" s="1" t="n">
        <v>44537</v>
      </c>
      <c r="C440" s="1" t="n">
        <v>45723</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70540-2021</t>
        </is>
      </c>
      <c r="B441" s="1" t="n">
        <v>44537</v>
      </c>
      <c r="C441" s="1" t="n">
        <v>45723</v>
      </c>
      <c r="D441" t="inlineStr">
        <is>
          <t>ÖREBRO LÄN</t>
        </is>
      </c>
      <c r="E441" t="inlineStr">
        <is>
          <t>ÖREBRO</t>
        </is>
      </c>
      <c r="G441" t="n">
        <v>7.1</v>
      </c>
      <c r="H441" t="n">
        <v>0</v>
      </c>
      <c r="I441" t="n">
        <v>0</v>
      </c>
      <c r="J441" t="n">
        <v>0</v>
      </c>
      <c r="K441" t="n">
        <v>0</v>
      </c>
      <c r="L441" t="n">
        <v>0</v>
      </c>
      <c r="M441" t="n">
        <v>0</v>
      </c>
      <c r="N441" t="n">
        <v>0</v>
      </c>
      <c r="O441" t="n">
        <v>0</v>
      </c>
      <c r="P441" t="n">
        <v>0</v>
      </c>
      <c r="Q441" t="n">
        <v>0</v>
      </c>
      <c r="R441" s="2" t="inlineStr"/>
    </row>
    <row r="442" ht="15" customHeight="1">
      <c r="A442" t="inlineStr">
        <is>
          <t>A 70871-2021</t>
        </is>
      </c>
      <c r="B442" s="1" t="n">
        <v>44538</v>
      </c>
      <c r="C442" s="1" t="n">
        <v>45723</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71206-2021</t>
        </is>
      </c>
      <c r="B443" s="1" t="n">
        <v>44539</v>
      </c>
      <c r="C443" s="1" t="n">
        <v>45723</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71269-2021</t>
        </is>
      </c>
      <c r="B444" s="1" t="n">
        <v>44539</v>
      </c>
      <c r="C444" s="1" t="n">
        <v>45723</v>
      </c>
      <c r="D444" t="inlineStr">
        <is>
          <t>ÖREBRO LÄN</t>
        </is>
      </c>
      <c r="E444" t="inlineStr">
        <is>
          <t>ÖREBRO</t>
        </is>
      </c>
      <c r="G444" t="n">
        <v>1.4</v>
      </c>
      <c r="H444" t="n">
        <v>0</v>
      </c>
      <c r="I444" t="n">
        <v>0</v>
      </c>
      <c r="J444" t="n">
        <v>0</v>
      </c>
      <c r="K444" t="n">
        <v>0</v>
      </c>
      <c r="L444" t="n">
        <v>0</v>
      </c>
      <c r="M444" t="n">
        <v>0</v>
      </c>
      <c r="N444" t="n">
        <v>0</v>
      </c>
      <c r="O444" t="n">
        <v>0</v>
      </c>
      <c r="P444" t="n">
        <v>0</v>
      </c>
      <c r="Q444" t="n">
        <v>0</v>
      </c>
      <c r="R444" s="2" t="inlineStr"/>
    </row>
    <row r="445" ht="15" customHeight="1">
      <c r="A445" t="inlineStr">
        <is>
          <t>A 71293-2021</t>
        </is>
      </c>
      <c r="B445" s="1" t="n">
        <v>44539</v>
      </c>
      <c r="C445" s="1" t="n">
        <v>45723</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71267-2021</t>
        </is>
      </c>
      <c r="B446" s="1" t="n">
        <v>44539</v>
      </c>
      <c r="C446" s="1" t="n">
        <v>45723</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45723</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71275-2021</t>
        </is>
      </c>
      <c r="B448" s="1" t="n">
        <v>44539</v>
      </c>
      <c r="C448" s="1" t="n">
        <v>45723</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71288-2021</t>
        </is>
      </c>
      <c r="B449" s="1" t="n">
        <v>44539</v>
      </c>
      <c r="C449" s="1" t="n">
        <v>45723</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71272-2021</t>
        </is>
      </c>
      <c r="B450" s="1" t="n">
        <v>44539</v>
      </c>
      <c r="C450" s="1" t="n">
        <v>45723</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71285-2021</t>
        </is>
      </c>
      <c r="B451" s="1" t="n">
        <v>44539</v>
      </c>
      <c r="C451" s="1" t="n">
        <v>45723</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71295-2021</t>
        </is>
      </c>
      <c r="B452" s="1" t="n">
        <v>44539</v>
      </c>
      <c r="C452" s="1" t="n">
        <v>45723</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71280-2021</t>
        </is>
      </c>
      <c r="B453" s="1" t="n">
        <v>44539</v>
      </c>
      <c r="C453" s="1" t="n">
        <v>45723</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71291-2021</t>
        </is>
      </c>
      <c r="B454" s="1" t="n">
        <v>44539</v>
      </c>
      <c r="C454" s="1" t="n">
        <v>45723</v>
      </c>
      <c r="D454" t="inlineStr">
        <is>
          <t>ÖREBRO LÄN</t>
        </is>
      </c>
      <c r="E454" t="inlineStr">
        <is>
          <t>ÖREBRO</t>
        </is>
      </c>
      <c r="G454" t="n">
        <v>1</v>
      </c>
      <c r="H454" t="n">
        <v>0</v>
      </c>
      <c r="I454" t="n">
        <v>0</v>
      </c>
      <c r="J454" t="n">
        <v>0</v>
      </c>
      <c r="K454" t="n">
        <v>0</v>
      </c>
      <c r="L454" t="n">
        <v>0</v>
      </c>
      <c r="M454" t="n">
        <v>0</v>
      </c>
      <c r="N454" t="n">
        <v>0</v>
      </c>
      <c r="O454" t="n">
        <v>0</v>
      </c>
      <c r="P454" t="n">
        <v>0</v>
      </c>
      <c r="Q454" t="n">
        <v>0</v>
      </c>
      <c r="R454" s="2" t="inlineStr"/>
    </row>
    <row r="455" ht="15" customHeight="1">
      <c r="A455" t="inlineStr">
        <is>
          <t>A 72329-2021</t>
        </is>
      </c>
      <c r="B455" s="1" t="n">
        <v>44545</v>
      </c>
      <c r="C455" s="1" t="n">
        <v>45723</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72338-2021</t>
        </is>
      </c>
      <c r="B456" s="1" t="n">
        <v>44545</v>
      </c>
      <c r="C456" s="1" t="n">
        <v>45723</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73946-2021</t>
        </is>
      </c>
      <c r="B457" s="1" t="n">
        <v>44552</v>
      </c>
      <c r="C457" s="1" t="n">
        <v>45723</v>
      </c>
      <c r="D457" t="inlineStr">
        <is>
          <t>ÖREBRO LÄN</t>
        </is>
      </c>
      <c r="E457" t="inlineStr">
        <is>
          <t>ÖREBRO</t>
        </is>
      </c>
      <c r="G457" t="n">
        <v>4.7</v>
      </c>
      <c r="H457" t="n">
        <v>0</v>
      </c>
      <c r="I457" t="n">
        <v>0</v>
      </c>
      <c r="J457" t="n">
        <v>0</v>
      </c>
      <c r="K457" t="n">
        <v>0</v>
      </c>
      <c r="L457" t="n">
        <v>0</v>
      </c>
      <c r="M457" t="n">
        <v>0</v>
      </c>
      <c r="N457" t="n">
        <v>0</v>
      </c>
      <c r="O457" t="n">
        <v>0</v>
      </c>
      <c r="P457" t="n">
        <v>0</v>
      </c>
      <c r="Q457" t="n">
        <v>0</v>
      </c>
      <c r="R457" s="2" t="inlineStr"/>
    </row>
    <row r="458" ht="15" customHeight="1">
      <c r="A458" t="inlineStr">
        <is>
          <t>A 797-2022</t>
        </is>
      </c>
      <c r="B458" s="1" t="n">
        <v>44566</v>
      </c>
      <c r="C458" s="1" t="n">
        <v>45723</v>
      </c>
      <c r="D458" t="inlineStr">
        <is>
          <t>ÖREBRO LÄN</t>
        </is>
      </c>
      <c r="E458" t="inlineStr">
        <is>
          <t>ÖREBRO</t>
        </is>
      </c>
      <c r="G458" t="n">
        <v>0.1</v>
      </c>
      <c r="H458" t="n">
        <v>0</v>
      </c>
      <c r="I458" t="n">
        <v>0</v>
      </c>
      <c r="J458" t="n">
        <v>0</v>
      </c>
      <c r="K458" t="n">
        <v>0</v>
      </c>
      <c r="L458" t="n">
        <v>0</v>
      </c>
      <c r="M458" t="n">
        <v>0</v>
      </c>
      <c r="N458" t="n">
        <v>0</v>
      </c>
      <c r="O458" t="n">
        <v>0</v>
      </c>
      <c r="P458" t="n">
        <v>0</v>
      </c>
      <c r="Q458" t="n">
        <v>0</v>
      </c>
      <c r="R458" s="2" t="inlineStr"/>
    </row>
    <row r="459" ht="15" customHeight="1">
      <c r="A459" t="inlineStr">
        <is>
          <t>A 1257-2022</t>
        </is>
      </c>
      <c r="B459" s="1" t="n">
        <v>44572</v>
      </c>
      <c r="C459" s="1" t="n">
        <v>45723</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1492-2022</t>
        </is>
      </c>
      <c r="B460" s="1" t="n">
        <v>44573</v>
      </c>
      <c r="C460" s="1" t="n">
        <v>45723</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2596-2022</t>
        </is>
      </c>
      <c r="B461" s="1" t="n">
        <v>44580</v>
      </c>
      <c r="C461" s="1" t="n">
        <v>45723</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3120-2022</t>
        </is>
      </c>
      <c r="B462" s="1" t="n">
        <v>44582</v>
      </c>
      <c r="C462" s="1" t="n">
        <v>45723</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3563-2022</t>
        </is>
      </c>
      <c r="B463" s="1" t="n">
        <v>44585</v>
      </c>
      <c r="C463" s="1" t="n">
        <v>45723</v>
      </c>
      <c r="D463" t="inlineStr">
        <is>
          <t>ÖREBRO LÄN</t>
        </is>
      </c>
      <c r="E463" t="inlineStr">
        <is>
          <t>ÖREBRO</t>
        </is>
      </c>
      <c r="G463" t="n">
        <v>3.8</v>
      </c>
      <c r="H463" t="n">
        <v>0</v>
      </c>
      <c r="I463" t="n">
        <v>0</v>
      </c>
      <c r="J463" t="n">
        <v>0</v>
      </c>
      <c r="K463" t="n">
        <v>0</v>
      </c>
      <c r="L463" t="n">
        <v>0</v>
      </c>
      <c r="M463" t="n">
        <v>0</v>
      </c>
      <c r="N463" t="n">
        <v>0</v>
      </c>
      <c r="O463" t="n">
        <v>0</v>
      </c>
      <c r="P463" t="n">
        <v>0</v>
      </c>
      <c r="Q463" t="n">
        <v>0</v>
      </c>
      <c r="R463" s="2" t="inlineStr"/>
    </row>
    <row r="464" ht="15" customHeight="1">
      <c r="A464" t="inlineStr">
        <is>
          <t>A 3652-2022</t>
        </is>
      </c>
      <c r="B464" s="1" t="n">
        <v>44586</v>
      </c>
      <c r="C464" s="1" t="n">
        <v>45723</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4761-2022</t>
        </is>
      </c>
      <c r="B465" s="1" t="n">
        <v>44592</v>
      </c>
      <c r="C465" s="1" t="n">
        <v>45723</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4766-2022</t>
        </is>
      </c>
      <c r="B466" s="1" t="n">
        <v>44592</v>
      </c>
      <c r="C466" s="1" t="n">
        <v>45723</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4956-2022</t>
        </is>
      </c>
      <c r="B467" s="1" t="n">
        <v>44593</v>
      </c>
      <c r="C467" s="1" t="n">
        <v>45723</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4961-2022</t>
        </is>
      </c>
      <c r="B468" s="1" t="n">
        <v>44593</v>
      </c>
      <c r="C468" s="1" t="n">
        <v>45723</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4887-2022</t>
        </is>
      </c>
      <c r="B469" s="1" t="n">
        <v>44593</v>
      </c>
      <c r="C469" s="1" t="n">
        <v>45723</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4970-2022</t>
        </is>
      </c>
      <c r="B470" s="1" t="n">
        <v>44593</v>
      </c>
      <c r="C470" s="1" t="n">
        <v>45723</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v>
      </c>
      <c r="C471" s="1" t="n">
        <v>45723</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5401-2022</t>
        </is>
      </c>
      <c r="B472" s="1" t="n">
        <v>44595</v>
      </c>
      <c r="C472" s="1" t="n">
        <v>45723</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5398-2022</t>
        </is>
      </c>
      <c r="B473" s="1" t="n">
        <v>44595</v>
      </c>
      <c r="C473" s="1" t="n">
        <v>45723</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5764-2022</t>
        </is>
      </c>
      <c r="B474" s="1" t="n">
        <v>44596</v>
      </c>
      <c r="C474" s="1" t="n">
        <v>45723</v>
      </c>
      <c r="D474" t="inlineStr">
        <is>
          <t>ÖREBRO LÄN</t>
        </is>
      </c>
      <c r="E474" t="inlineStr">
        <is>
          <t>ÖREBRO</t>
        </is>
      </c>
      <c r="G474" t="n">
        <v>3.5</v>
      </c>
      <c r="H474" t="n">
        <v>0</v>
      </c>
      <c r="I474" t="n">
        <v>0</v>
      </c>
      <c r="J474" t="n">
        <v>0</v>
      </c>
      <c r="K474" t="n">
        <v>0</v>
      </c>
      <c r="L474" t="n">
        <v>0</v>
      </c>
      <c r="M474" t="n">
        <v>0</v>
      </c>
      <c r="N474" t="n">
        <v>0</v>
      </c>
      <c r="O474" t="n">
        <v>0</v>
      </c>
      <c r="P474" t="n">
        <v>0</v>
      </c>
      <c r="Q474" t="n">
        <v>0</v>
      </c>
      <c r="R474" s="2" t="inlineStr"/>
    </row>
    <row r="475" ht="15" customHeight="1">
      <c r="A475" t="inlineStr">
        <is>
          <t>A 6638-2022</t>
        </is>
      </c>
      <c r="B475" s="1" t="n">
        <v>44601</v>
      </c>
      <c r="C475" s="1" t="n">
        <v>45723</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6752-2022</t>
        </is>
      </c>
      <c r="B476" s="1" t="n">
        <v>44602</v>
      </c>
      <c r="C476" s="1" t="n">
        <v>45723</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7365-2022</t>
        </is>
      </c>
      <c r="B477" s="1" t="n">
        <v>44606</v>
      </c>
      <c r="C477" s="1" t="n">
        <v>45723</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8022-2022</t>
        </is>
      </c>
      <c r="B478" s="1" t="n">
        <v>44609</v>
      </c>
      <c r="C478" s="1" t="n">
        <v>45723</v>
      </c>
      <c r="D478" t="inlineStr">
        <is>
          <t>ÖREBRO LÄN</t>
        </is>
      </c>
      <c r="E478" t="inlineStr">
        <is>
          <t>ÖREBRO</t>
        </is>
      </c>
      <c r="G478" t="n">
        <v>5.6</v>
      </c>
      <c r="H478" t="n">
        <v>0</v>
      </c>
      <c r="I478" t="n">
        <v>0</v>
      </c>
      <c r="J478" t="n">
        <v>0</v>
      </c>
      <c r="K478" t="n">
        <v>0</v>
      </c>
      <c r="L478" t="n">
        <v>0</v>
      </c>
      <c r="M478" t="n">
        <v>0</v>
      </c>
      <c r="N478" t="n">
        <v>0</v>
      </c>
      <c r="O478" t="n">
        <v>0</v>
      </c>
      <c r="P478" t="n">
        <v>0</v>
      </c>
      <c r="Q478" t="n">
        <v>0</v>
      </c>
      <c r="R478" s="2" t="inlineStr"/>
    </row>
    <row r="479" ht="15" customHeight="1">
      <c r="A479" t="inlineStr">
        <is>
          <t>A 8159-2022</t>
        </is>
      </c>
      <c r="B479" s="1" t="n">
        <v>44609</v>
      </c>
      <c r="C479" s="1" t="n">
        <v>45723</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8163-2022</t>
        </is>
      </c>
      <c r="B480" s="1" t="n">
        <v>44609</v>
      </c>
      <c r="C480" s="1" t="n">
        <v>45723</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8156-2022</t>
        </is>
      </c>
      <c r="B481" s="1" t="n">
        <v>44609</v>
      </c>
      <c r="C481" s="1" t="n">
        <v>45723</v>
      </c>
      <c r="D481" t="inlineStr">
        <is>
          <t>ÖREBRO LÄN</t>
        </is>
      </c>
      <c r="E481" t="inlineStr">
        <is>
          <t>ÖREBRO</t>
        </is>
      </c>
      <c r="G481" t="n">
        <v>3</v>
      </c>
      <c r="H481" t="n">
        <v>0</v>
      </c>
      <c r="I481" t="n">
        <v>0</v>
      </c>
      <c r="J481" t="n">
        <v>0</v>
      </c>
      <c r="K481" t="n">
        <v>0</v>
      </c>
      <c r="L481" t="n">
        <v>0</v>
      </c>
      <c r="M481" t="n">
        <v>0</v>
      </c>
      <c r="N481" t="n">
        <v>0</v>
      </c>
      <c r="O481" t="n">
        <v>0</v>
      </c>
      <c r="P481" t="n">
        <v>0</v>
      </c>
      <c r="Q481" t="n">
        <v>0</v>
      </c>
      <c r="R481" s="2" t="inlineStr"/>
    </row>
    <row r="482" ht="15" customHeight="1">
      <c r="A482" t="inlineStr">
        <is>
          <t>A 8884-2022</t>
        </is>
      </c>
      <c r="B482" s="1" t="n">
        <v>44614</v>
      </c>
      <c r="C482" s="1" t="n">
        <v>45723</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9395-2022</t>
        </is>
      </c>
      <c r="B483" s="1" t="n">
        <v>44616</v>
      </c>
      <c r="C483" s="1" t="n">
        <v>45723</v>
      </c>
      <c r="D483" t="inlineStr">
        <is>
          <t>ÖREBRO LÄN</t>
        </is>
      </c>
      <c r="E483" t="inlineStr">
        <is>
          <t>ÖREBRO</t>
        </is>
      </c>
      <c r="G483" t="n">
        <v>4.1</v>
      </c>
      <c r="H483" t="n">
        <v>0</v>
      </c>
      <c r="I483" t="n">
        <v>0</v>
      </c>
      <c r="J483" t="n">
        <v>0</v>
      </c>
      <c r="K483" t="n">
        <v>0</v>
      </c>
      <c r="L483" t="n">
        <v>0</v>
      </c>
      <c r="M483" t="n">
        <v>0</v>
      </c>
      <c r="N483" t="n">
        <v>0</v>
      </c>
      <c r="O483" t="n">
        <v>0</v>
      </c>
      <c r="P483" t="n">
        <v>0</v>
      </c>
      <c r="Q483" t="n">
        <v>0</v>
      </c>
      <c r="R483" s="2" t="inlineStr"/>
    </row>
    <row r="484" ht="15" customHeight="1">
      <c r="A484" t="inlineStr">
        <is>
          <t>A 9362-2022</t>
        </is>
      </c>
      <c r="B484" s="1" t="n">
        <v>44616</v>
      </c>
      <c r="C484" s="1" t="n">
        <v>45723</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9392-2022</t>
        </is>
      </c>
      <c r="B485" s="1" t="n">
        <v>44616</v>
      </c>
      <c r="C485" s="1" t="n">
        <v>45723</v>
      </c>
      <c r="D485" t="inlineStr">
        <is>
          <t>ÖREBRO LÄN</t>
        </is>
      </c>
      <c r="E485" t="inlineStr">
        <is>
          <t>ÖREBRO</t>
        </is>
      </c>
      <c r="G485" t="n">
        <v>10.9</v>
      </c>
      <c r="H485" t="n">
        <v>0</v>
      </c>
      <c r="I485" t="n">
        <v>0</v>
      </c>
      <c r="J485" t="n">
        <v>0</v>
      </c>
      <c r="K485" t="n">
        <v>0</v>
      </c>
      <c r="L485" t="n">
        <v>0</v>
      </c>
      <c r="M485" t="n">
        <v>0</v>
      </c>
      <c r="N485" t="n">
        <v>0</v>
      </c>
      <c r="O485" t="n">
        <v>0</v>
      </c>
      <c r="P485" t="n">
        <v>0</v>
      </c>
      <c r="Q485" t="n">
        <v>0</v>
      </c>
      <c r="R485" s="2" t="inlineStr"/>
    </row>
    <row r="486" ht="15" customHeight="1">
      <c r="A486" t="inlineStr">
        <is>
          <t>A 9397-2022</t>
        </is>
      </c>
      <c r="B486" s="1" t="n">
        <v>44616</v>
      </c>
      <c r="C486" s="1" t="n">
        <v>45723</v>
      </c>
      <c r="D486" t="inlineStr">
        <is>
          <t>ÖREBRO LÄN</t>
        </is>
      </c>
      <c r="E486" t="inlineStr">
        <is>
          <t>ÖREBRO</t>
        </is>
      </c>
      <c r="G486" t="n">
        <v>7.9</v>
      </c>
      <c r="H486" t="n">
        <v>0</v>
      </c>
      <c r="I486" t="n">
        <v>0</v>
      </c>
      <c r="J486" t="n">
        <v>0</v>
      </c>
      <c r="K486" t="n">
        <v>0</v>
      </c>
      <c r="L486" t="n">
        <v>0</v>
      </c>
      <c r="M486" t="n">
        <v>0</v>
      </c>
      <c r="N486" t="n">
        <v>0</v>
      </c>
      <c r="O486" t="n">
        <v>0</v>
      </c>
      <c r="P486" t="n">
        <v>0</v>
      </c>
      <c r="Q486" t="n">
        <v>0</v>
      </c>
      <c r="R486" s="2" t="inlineStr"/>
    </row>
    <row r="487" ht="15" customHeight="1">
      <c r="A487" t="inlineStr">
        <is>
          <t>A 10019-2022</t>
        </is>
      </c>
      <c r="B487" s="1" t="n">
        <v>44621</v>
      </c>
      <c r="C487" s="1" t="n">
        <v>45723</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11594-2022</t>
        </is>
      </c>
      <c r="B488" s="1" t="n">
        <v>44631</v>
      </c>
      <c r="C488" s="1" t="n">
        <v>45723</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11899-2022</t>
        </is>
      </c>
      <c r="B489" s="1" t="n">
        <v>44635</v>
      </c>
      <c r="C489" s="1" t="n">
        <v>45723</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12478-2022</t>
        </is>
      </c>
      <c r="B490" s="1" t="n">
        <v>44638</v>
      </c>
      <c r="C490" s="1" t="n">
        <v>45723</v>
      </c>
      <c r="D490" t="inlineStr">
        <is>
          <t>ÖREBRO LÄN</t>
        </is>
      </c>
      <c r="E490" t="inlineStr">
        <is>
          <t>ÖREBRO</t>
        </is>
      </c>
      <c r="F490" t="inlineStr">
        <is>
          <t>Kyrkan</t>
        </is>
      </c>
      <c r="G490" t="n">
        <v>1.4</v>
      </c>
      <c r="H490" t="n">
        <v>0</v>
      </c>
      <c r="I490" t="n">
        <v>0</v>
      </c>
      <c r="J490" t="n">
        <v>0</v>
      </c>
      <c r="K490" t="n">
        <v>0</v>
      </c>
      <c r="L490" t="n">
        <v>0</v>
      </c>
      <c r="M490" t="n">
        <v>0</v>
      </c>
      <c r="N490" t="n">
        <v>0</v>
      </c>
      <c r="O490" t="n">
        <v>0</v>
      </c>
      <c r="P490" t="n">
        <v>0</v>
      </c>
      <c r="Q490" t="n">
        <v>0</v>
      </c>
      <c r="R490" s="2" t="inlineStr"/>
    </row>
    <row r="491" ht="15" customHeight="1">
      <c r="A491" t="inlineStr">
        <is>
          <t>A 12990-2022</t>
        </is>
      </c>
      <c r="B491" s="1" t="n">
        <v>44643</v>
      </c>
      <c r="C491" s="1" t="n">
        <v>45723</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13045-2022</t>
        </is>
      </c>
      <c r="B492" s="1" t="n">
        <v>44643</v>
      </c>
      <c r="C492" s="1" t="n">
        <v>45723</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13511-2022</t>
        </is>
      </c>
      <c r="B493" s="1" t="n">
        <v>44647</v>
      </c>
      <c r="C493" s="1" t="n">
        <v>45723</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13631-2022</t>
        </is>
      </c>
      <c r="B494" s="1" t="n">
        <v>44648</v>
      </c>
      <c r="C494" s="1" t="n">
        <v>45723</v>
      </c>
      <c r="D494" t="inlineStr">
        <is>
          <t>ÖREBRO LÄN</t>
        </is>
      </c>
      <c r="E494" t="inlineStr">
        <is>
          <t>ÖREBRO</t>
        </is>
      </c>
      <c r="G494" t="n">
        <v>10.4</v>
      </c>
      <c r="H494" t="n">
        <v>0</v>
      </c>
      <c r="I494" t="n">
        <v>0</v>
      </c>
      <c r="J494" t="n">
        <v>0</v>
      </c>
      <c r="K494" t="n">
        <v>0</v>
      </c>
      <c r="L494" t="n">
        <v>0</v>
      </c>
      <c r="M494" t="n">
        <v>0</v>
      </c>
      <c r="N494" t="n">
        <v>0</v>
      </c>
      <c r="O494" t="n">
        <v>0</v>
      </c>
      <c r="P494" t="n">
        <v>0</v>
      </c>
      <c r="Q494" t="n">
        <v>0</v>
      </c>
      <c r="R494" s="2" t="inlineStr"/>
    </row>
    <row r="495" ht="15" customHeight="1">
      <c r="A495" t="inlineStr">
        <is>
          <t>A 13856-2022</t>
        </is>
      </c>
      <c r="B495" s="1" t="n">
        <v>44649</v>
      </c>
      <c r="C495" s="1" t="n">
        <v>45723</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13857-2022</t>
        </is>
      </c>
      <c r="B496" s="1" t="n">
        <v>44649</v>
      </c>
      <c r="C496" s="1" t="n">
        <v>45723</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14562-2022</t>
        </is>
      </c>
      <c r="B497" s="1" t="n">
        <v>44655</v>
      </c>
      <c r="C497" s="1" t="n">
        <v>45723</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14878-2022</t>
        </is>
      </c>
      <c r="B498" s="1" t="n">
        <v>44656</v>
      </c>
      <c r="C498" s="1" t="n">
        <v>45723</v>
      </c>
      <c r="D498" t="inlineStr">
        <is>
          <t>ÖREBRO LÄN</t>
        </is>
      </c>
      <c r="E498" t="inlineStr">
        <is>
          <t>ÖREBRO</t>
        </is>
      </c>
      <c r="G498" t="n">
        <v>5.4</v>
      </c>
      <c r="H498" t="n">
        <v>0</v>
      </c>
      <c r="I498" t="n">
        <v>0</v>
      </c>
      <c r="J498" t="n">
        <v>0</v>
      </c>
      <c r="K498" t="n">
        <v>0</v>
      </c>
      <c r="L498" t="n">
        <v>0</v>
      </c>
      <c r="M498" t="n">
        <v>0</v>
      </c>
      <c r="N498" t="n">
        <v>0</v>
      </c>
      <c r="O498" t="n">
        <v>0</v>
      </c>
      <c r="P498" t="n">
        <v>0</v>
      </c>
      <c r="Q498" t="n">
        <v>0</v>
      </c>
      <c r="R498" s="2" t="inlineStr"/>
    </row>
    <row r="499" ht="15" customHeight="1">
      <c r="A499" t="inlineStr">
        <is>
          <t>A 14877-2022</t>
        </is>
      </c>
      <c r="B499" s="1" t="n">
        <v>44656</v>
      </c>
      <c r="C499" s="1" t="n">
        <v>45723</v>
      </c>
      <c r="D499" t="inlineStr">
        <is>
          <t>ÖREBRO LÄN</t>
        </is>
      </c>
      <c r="E499" t="inlineStr">
        <is>
          <t>ÖREBRO</t>
        </is>
      </c>
      <c r="G499" t="n">
        <v>3.8</v>
      </c>
      <c r="H499" t="n">
        <v>0</v>
      </c>
      <c r="I499" t="n">
        <v>0</v>
      </c>
      <c r="J499" t="n">
        <v>0</v>
      </c>
      <c r="K499" t="n">
        <v>0</v>
      </c>
      <c r="L499" t="n">
        <v>0</v>
      </c>
      <c r="M499" t="n">
        <v>0</v>
      </c>
      <c r="N499" t="n">
        <v>0</v>
      </c>
      <c r="O499" t="n">
        <v>0</v>
      </c>
      <c r="P499" t="n">
        <v>0</v>
      </c>
      <c r="Q499" t="n">
        <v>0</v>
      </c>
      <c r="R499" s="2" t="inlineStr"/>
    </row>
    <row r="500" ht="15" customHeight="1">
      <c r="A500" t="inlineStr">
        <is>
          <t>A 15424-2022</t>
        </is>
      </c>
      <c r="B500" s="1" t="n">
        <v>44659</v>
      </c>
      <c r="C500" s="1" t="n">
        <v>45723</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15422-2022</t>
        </is>
      </c>
      <c r="B501" s="1" t="n">
        <v>44659</v>
      </c>
      <c r="C501" s="1" t="n">
        <v>45723</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15624-2022</t>
        </is>
      </c>
      <c r="B502" s="1" t="n">
        <v>44662</v>
      </c>
      <c r="C502" s="1" t="n">
        <v>45723</v>
      </c>
      <c r="D502" t="inlineStr">
        <is>
          <t>ÖREBRO LÄN</t>
        </is>
      </c>
      <c r="E502" t="inlineStr">
        <is>
          <t>ÖREBRO</t>
        </is>
      </c>
      <c r="F502" t="inlineStr">
        <is>
          <t>Övriga Aktiebolag</t>
        </is>
      </c>
      <c r="G502" t="n">
        <v>18.8</v>
      </c>
      <c r="H502" t="n">
        <v>0</v>
      </c>
      <c r="I502" t="n">
        <v>0</v>
      </c>
      <c r="J502" t="n">
        <v>0</v>
      </c>
      <c r="K502" t="n">
        <v>0</v>
      </c>
      <c r="L502" t="n">
        <v>0</v>
      </c>
      <c r="M502" t="n">
        <v>0</v>
      </c>
      <c r="N502" t="n">
        <v>0</v>
      </c>
      <c r="O502" t="n">
        <v>0</v>
      </c>
      <c r="P502" t="n">
        <v>0</v>
      </c>
      <c r="Q502" t="n">
        <v>0</v>
      </c>
      <c r="R502" s="2" t="inlineStr"/>
    </row>
    <row r="503" ht="15" customHeight="1">
      <c r="A503" t="inlineStr">
        <is>
          <t>A 15896-2022</t>
        </is>
      </c>
      <c r="B503" s="1" t="n">
        <v>44664</v>
      </c>
      <c r="C503" s="1" t="n">
        <v>45723</v>
      </c>
      <c r="D503" t="inlineStr">
        <is>
          <t>ÖREBRO LÄN</t>
        </is>
      </c>
      <c r="E503" t="inlineStr">
        <is>
          <t>ÖREBRO</t>
        </is>
      </c>
      <c r="G503" t="n">
        <v>1.5</v>
      </c>
      <c r="H503" t="n">
        <v>0</v>
      </c>
      <c r="I503" t="n">
        <v>0</v>
      </c>
      <c r="J503" t="n">
        <v>0</v>
      </c>
      <c r="K503" t="n">
        <v>0</v>
      </c>
      <c r="L503" t="n">
        <v>0</v>
      </c>
      <c r="M503" t="n">
        <v>0</v>
      </c>
      <c r="N503" t="n">
        <v>0</v>
      </c>
      <c r="O503" t="n">
        <v>0</v>
      </c>
      <c r="P503" t="n">
        <v>0</v>
      </c>
      <c r="Q503" t="n">
        <v>0</v>
      </c>
      <c r="R503" s="2" t="inlineStr"/>
    </row>
    <row r="504" ht="15" customHeight="1">
      <c r="A504" t="inlineStr">
        <is>
          <t>A 15866-2022</t>
        </is>
      </c>
      <c r="B504" s="1" t="n">
        <v>44664</v>
      </c>
      <c r="C504" s="1" t="n">
        <v>45723</v>
      </c>
      <c r="D504" t="inlineStr">
        <is>
          <t>ÖREBRO LÄN</t>
        </is>
      </c>
      <c r="E504" t="inlineStr">
        <is>
          <t>ÖREBRO</t>
        </is>
      </c>
      <c r="G504" t="n">
        <v>4</v>
      </c>
      <c r="H504" t="n">
        <v>0</v>
      </c>
      <c r="I504" t="n">
        <v>0</v>
      </c>
      <c r="J504" t="n">
        <v>0</v>
      </c>
      <c r="K504" t="n">
        <v>0</v>
      </c>
      <c r="L504" t="n">
        <v>0</v>
      </c>
      <c r="M504" t="n">
        <v>0</v>
      </c>
      <c r="N504" t="n">
        <v>0</v>
      </c>
      <c r="O504" t="n">
        <v>0</v>
      </c>
      <c r="P504" t="n">
        <v>0</v>
      </c>
      <c r="Q504" t="n">
        <v>0</v>
      </c>
      <c r="R504" s="2" t="inlineStr"/>
    </row>
    <row r="505" ht="15" customHeight="1">
      <c r="A505" t="inlineStr">
        <is>
          <t>A 16094-2022</t>
        </is>
      </c>
      <c r="B505" s="1" t="n">
        <v>44665</v>
      </c>
      <c r="C505" s="1" t="n">
        <v>45723</v>
      </c>
      <c r="D505" t="inlineStr">
        <is>
          <t>ÖREBRO LÄN</t>
        </is>
      </c>
      <c r="E505" t="inlineStr">
        <is>
          <t>ÖREBRO</t>
        </is>
      </c>
      <c r="F505" t="inlineStr">
        <is>
          <t>Allmännings- och besparingsskogar</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16258-2022</t>
        </is>
      </c>
      <c r="B506" s="1" t="n">
        <v>44670</v>
      </c>
      <c r="C506" s="1" t="n">
        <v>45723</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16261-2022</t>
        </is>
      </c>
      <c r="B507" s="1" t="n">
        <v>44670</v>
      </c>
      <c r="C507" s="1" t="n">
        <v>45723</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16300-2022</t>
        </is>
      </c>
      <c r="B508" s="1" t="n">
        <v>44670</v>
      </c>
      <c r="C508" s="1" t="n">
        <v>45723</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16374-2022</t>
        </is>
      </c>
      <c r="B509" s="1" t="n">
        <v>44671</v>
      </c>
      <c r="C509" s="1" t="n">
        <v>45723</v>
      </c>
      <c r="D509" t="inlineStr">
        <is>
          <t>ÖREBRO LÄN</t>
        </is>
      </c>
      <c r="E509" t="inlineStr">
        <is>
          <t>ÖREBRO</t>
        </is>
      </c>
      <c r="F509" t="inlineStr">
        <is>
          <t>Övriga Aktiebolag</t>
        </is>
      </c>
      <c r="G509" t="n">
        <v>30.3</v>
      </c>
      <c r="H509" t="n">
        <v>0</v>
      </c>
      <c r="I509" t="n">
        <v>0</v>
      </c>
      <c r="J509" t="n">
        <v>0</v>
      </c>
      <c r="K509" t="n">
        <v>0</v>
      </c>
      <c r="L509" t="n">
        <v>0</v>
      </c>
      <c r="M509" t="n">
        <v>0</v>
      </c>
      <c r="N509" t="n">
        <v>0</v>
      </c>
      <c r="O509" t="n">
        <v>0</v>
      </c>
      <c r="P509" t="n">
        <v>0</v>
      </c>
      <c r="Q509" t="n">
        <v>0</v>
      </c>
      <c r="R509" s="2" t="inlineStr"/>
    </row>
    <row r="510" ht="15" customHeight="1">
      <c r="A510" t="inlineStr">
        <is>
          <t>A 16759-2022</t>
        </is>
      </c>
      <c r="B510" s="1" t="n">
        <v>44673</v>
      </c>
      <c r="C510" s="1" t="n">
        <v>45723</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16732-2022</t>
        </is>
      </c>
      <c r="B511" s="1" t="n">
        <v>44673</v>
      </c>
      <c r="C511" s="1" t="n">
        <v>45723</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16739-2022</t>
        </is>
      </c>
      <c r="B512" s="1" t="n">
        <v>44673</v>
      </c>
      <c r="C512" s="1" t="n">
        <v>45723</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16958-2022</t>
        </is>
      </c>
      <c r="B513" s="1" t="n">
        <v>44676</v>
      </c>
      <c r="C513" s="1" t="n">
        <v>45723</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16969-2022</t>
        </is>
      </c>
      <c r="B514" s="1" t="n">
        <v>44676</v>
      </c>
      <c r="C514" s="1" t="n">
        <v>45723</v>
      </c>
      <c r="D514" t="inlineStr">
        <is>
          <t>ÖREBRO LÄN</t>
        </is>
      </c>
      <c r="E514" t="inlineStr">
        <is>
          <t>ÖREBRO</t>
        </is>
      </c>
      <c r="G514" t="n">
        <v>4.2</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45723</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17840-2022</t>
        </is>
      </c>
      <c r="B516" s="1" t="n">
        <v>44683</v>
      </c>
      <c r="C516" s="1" t="n">
        <v>45723</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18047-2022</t>
        </is>
      </c>
      <c r="B517" s="1" t="n">
        <v>44684</v>
      </c>
      <c r="C517" s="1" t="n">
        <v>45723</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18321-2022</t>
        </is>
      </c>
      <c r="B518" s="1" t="n">
        <v>44685</v>
      </c>
      <c r="C518" s="1" t="n">
        <v>45723</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18498-2022</t>
        </is>
      </c>
      <c r="B519" s="1" t="n">
        <v>44686</v>
      </c>
      <c r="C519" s="1" t="n">
        <v>45723</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18674-2022</t>
        </is>
      </c>
      <c r="B520" s="1" t="n">
        <v>44687</v>
      </c>
      <c r="C520" s="1" t="n">
        <v>45723</v>
      </c>
      <c r="D520" t="inlineStr">
        <is>
          <t>ÖREBRO LÄN</t>
        </is>
      </c>
      <c r="E520" t="inlineStr">
        <is>
          <t>ÖREBRO</t>
        </is>
      </c>
      <c r="G520" t="n">
        <v>0.3</v>
      </c>
      <c r="H520" t="n">
        <v>0</v>
      </c>
      <c r="I520" t="n">
        <v>0</v>
      </c>
      <c r="J520" t="n">
        <v>0</v>
      </c>
      <c r="K520" t="n">
        <v>0</v>
      </c>
      <c r="L520" t="n">
        <v>0</v>
      </c>
      <c r="M520" t="n">
        <v>0</v>
      </c>
      <c r="N520" t="n">
        <v>0</v>
      </c>
      <c r="O520" t="n">
        <v>0</v>
      </c>
      <c r="P520" t="n">
        <v>0</v>
      </c>
      <c r="Q520" t="n">
        <v>0</v>
      </c>
      <c r="R520" s="2" t="inlineStr"/>
    </row>
    <row r="521" ht="15" customHeight="1">
      <c r="A521" t="inlineStr">
        <is>
          <t>A 19049-2022</t>
        </is>
      </c>
      <c r="B521" s="1" t="n">
        <v>44691</v>
      </c>
      <c r="C521" s="1" t="n">
        <v>45723</v>
      </c>
      <c r="D521" t="inlineStr">
        <is>
          <t>ÖREBRO LÄN</t>
        </is>
      </c>
      <c r="E521" t="inlineStr">
        <is>
          <t>ÖREBRO</t>
        </is>
      </c>
      <c r="G521" t="n">
        <v>3.5</v>
      </c>
      <c r="H521" t="n">
        <v>0</v>
      </c>
      <c r="I521" t="n">
        <v>0</v>
      </c>
      <c r="J521" t="n">
        <v>0</v>
      </c>
      <c r="K521" t="n">
        <v>0</v>
      </c>
      <c r="L521" t="n">
        <v>0</v>
      </c>
      <c r="M521" t="n">
        <v>0</v>
      </c>
      <c r="N521" t="n">
        <v>0</v>
      </c>
      <c r="O521" t="n">
        <v>0</v>
      </c>
      <c r="P521" t="n">
        <v>0</v>
      </c>
      <c r="Q521" t="n">
        <v>0</v>
      </c>
      <c r="R521" s="2" t="inlineStr"/>
    </row>
    <row r="522" ht="15" customHeight="1">
      <c r="A522" t="inlineStr">
        <is>
          <t>A 19458-2022</t>
        </is>
      </c>
      <c r="B522" s="1" t="n">
        <v>44693</v>
      </c>
      <c r="C522" s="1" t="n">
        <v>45723</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19832-2022</t>
        </is>
      </c>
      <c r="B523" s="1" t="n">
        <v>44695</v>
      </c>
      <c r="C523" s="1" t="n">
        <v>45723</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19863-2022</t>
        </is>
      </c>
      <c r="B524" s="1" t="n">
        <v>44696</v>
      </c>
      <c r="C524" s="1" t="n">
        <v>45723</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20922-2022</t>
        </is>
      </c>
      <c r="B525" s="1" t="n">
        <v>44701</v>
      </c>
      <c r="C525" s="1" t="n">
        <v>45723</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21109-2022</t>
        </is>
      </c>
      <c r="B526" s="1" t="n">
        <v>44704</v>
      </c>
      <c r="C526" s="1" t="n">
        <v>45723</v>
      </c>
      <c r="D526" t="inlineStr">
        <is>
          <t>ÖREBRO LÄN</t>
        </is>
      </c>
      <c r="E526" t="inlineStr">
        <is>
          <t>ÖREBRO</t>
        </is>
      </c>
      <c r="G526" t="n">
        <v>3.2</v>
      </c>
      <c r="H526" t="n">
        <v>0</v>
      </c>
      <c r="I526" t="n">
        <v>0</v>
      </c>
      <c r="J526" t="n">
        <v>0</v>
      </c>
      <c r="K526" t="n">
        <v>0</v>
      </c>
      <c r="L526" t="n">
        <v>0</v>
      </c>
      <c r="M526" t="n">
        <v>0</v>
      </c>
      <c r="N526" t="n">
        <v>0</v>
      </c>
      <c r="O526" t="n">
        <v>0</v>
      </c>
      <c r="P526" t="n">
        <v>0</v>
      </c>
      <c r="Q526" t="n">
        <v>0</v>
      </c>
      <c r="R526" s="2" t="inlineStr"/>
    </row>
    <row r="527" ht="15" customHeight="1">
      <c r="A527" t="inlineStr">
        <is>
          <t>A 21567-2022</t>
        </is>
      </c>
      <c r="B527" s="1" t="n">
        <v>44706</v>
      </c>
      <c r="C527" s="1" t="n">
        <v>45723</v>
      </c>
      <c r="D527" t="inlineStr">
        <is>
          <t>ÖREBRO LÄN</t>
        </is>
      </c>
      <c r="E527" t="inlineStr">
        <is>
          <t>ÖREBRO</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22153-2022</t>
        </is>
      </c>
      <c r="B528" s="1" t="n">
        <v>44712</v>
      </c>
      <c r="C528" s="1" t="n">
        <v>45723</v>
      </c>
      <c r="D528" t="inlineStr">
        <is>
          <t>ÖREBRO LÄN</t>
        </is>
      </c>
      <c r="E528" t="inlineStr">
        <is>
          <t>ÖREBRO</t>
        </is>
      </c>
      <c r="G528" t="n">
        <v>2.7</v>
      </c>
      <c r="H528" t="n">
        <v>0</v>
      </c>
      <c r="I528" t="n">
        <v>0</v>
      </c>
      <c r="J528" t="n">
        <v>0</v>
      </c>
      <c r="K528" t="n">
        <v>0</v>
      </c>
      <c r="L528" t="n">
        <v>0</v>
      </c>
      <c r="M528" t="n">
        <v>0</v>
      </c>
      <c r="N528" t="n">
        <v>0</v>
      </c>
      <c r="O528" t="n">
        <v>0</v>
      </c>
      <c r="P528" t="n">
        <v>0</v>
      </c>
      <c r="Q528" t="n">
        <v>0</v>
      </c>
      <c r="R528" s="2" t="inlineStr"/>
    </row>
    <row r="529" ht="15" customHeight="1">
      <c r="A529" t="inlineStr">
        <is>
          <t>A 22677-2022</t>
        </is>
      </c>
      <c r="B529" s="1" t="n">
        <v>44714</v>
      </c>
      <c r="C529" s="1" t="n">
        <v>45723</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23459-2022</t>
        </is>
      </c>
      <c r="B530" s="1" t="n">
        <v>44721</v>
      </c>
      <c r="C530" s="1" t="n">
        <v>45723</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23710-2022</t>
        </is>
      </c>
      <c r="B531" s="1" t="n">
        <v>44722</v>
      </c>
      <c r="C531" s="1" t="n">
        <v>45723</v>
      </c>
      <c r="D531" t="inlineStr">
        <is>
          <t>ÖREBRO LÄN</t>
        </is>
      </c>
      <c r="E531" t="inlineStr">
        <is>
          <t>ÖREBRO</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23741-2022</t>
        </is>
      </c>
      <c r="B532" s="1" t="n">
        <v>44722</v>
      </c>
      <c r="C532" s="1" t="n">
        <v>45723</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23939-2022</t>
        </is>
      </c>
      <c r="B533" s="1" t="n">
        <v>44722</v>
      </c>
      <c r="C533" s="1" t="n">
        <v>45723</v>
      </c>
      <c r="D533" t="inlineStr">
        <is>
          <t>ÖREBRO LÄN</t>
        </is>
      </c>
      <c r="E533" t="inlineStr">
        <is>
          <t>ÖREBRO</t>
        </is>
      </c>
      <c r="G533" t="n">
        <v>5.5</v>
      </c>
      <c r="H533" t="n">
        <v>0</v>
      </c>
      <c r="I533" t="n">
        <v>0</v>
      </c>
      <c r="J533" t="n">
        <v>0</v>
      </c>
      <c r="K533" t="n">
        <v>0</v>
      </c>
      <c r="L533" t="n">
        <v>0</v>
      </c>
      <c r="M533" t="n">
        <v>0</v>
      </c>
      <c r="N533" t="n">
        <v>0</v>
      </c>
      <c r="O533" t="n">
        <v>0</v>
      </c>
      <c r="P533" t="n">
        <v>0</v>
      </c>
      <c r="Q533" t="n">
        <v>0</v>
      </c>
      <c r="R533" s="2" t="inlineStr"/>
    </row>
    <row r="534" ht="15" customHeight="1">
      <c r="A534" t="inlineStr">
        <is>
          <t>A 24672-2022</t>
        </is>
      </c>
      <c r="B534" s="1" t="n">
        <v>44727</v>
      </c>
      <c r="C534" s="1" t="n">
        <v>45723</v>
      </c>
      <c r="D534" t="inlineStr">
        <is>
          <t>ÖREBRO LÄN</t>
        </is>
      </c>
      <c r="E534" t="inlineStr">
        <is>
          <t>ÖREBRO</t>
        </is>
      </c>
      <c r="G534" t="n">
        <v>6.9</v>
      </c>
      <c r="H534" t="n">
        <v>0</v>
      </c>
      <c r="I534" t="n">
        <v>0</v>
      </c>
      <c r="J534" t="n">
        <v>0</v>
      </c>
      <c r="K534" t="n">
        <v>0</v>
      </c>
      <c r="L534" t="n">
        <v>0</v>
      </c>
      <c r="M534" t="n">
        <v>0</v>
      </c>
      <c r="N534" t="n">
        <v>0</v>
      </c>
      <c r="O534" t="n">
        <v>0</v>
      </c>
      <c r="P534" t="n">
        <v>0</v>
      </c>
      <c r="Q534" t="n">
        <v>0</v>
      </c>
      <c r="R534" s="2" t="inlineStr"/>
    </row>
    <row r="535" ht="15" customHeight="1">
      <c r="A535" t="inlineStr">
        <is>
          <t>A 25597-2022</t>
        </is>
      </c>
      <c r="B535" s="1" t="n">
        <v>44732</v>
      </c>
      <c r="C535" s="1" t="n">
        <v>45723</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25746-2022</t>
        </is>
      </c>
      <c r="B536" s="1" t="n">
        <v>44733</v>
      </c>
      <c r="C536" s="1" t="n">
        <v>45723</v>
      </c>
      <c r="D536" t="inlineStr">
        <is>
          <t>ÖREBRO LÄN</t>
        </is>
      </c>
      <c r="E536" t="inlineStr">
        <is>
          <t>ÖREBRO</t>
        </is>
      </c>
      <c r="G536" t="n">
        <v>4.7</v>
      </c>
      <c r="H536" t="n">
        <v>0</v>
      </c>
      <c r="I536" t="n">
        <v>0</v>
      </c>
      <c r="J536" t="n">
        <v>0</v>
      </c>
      <c r="K536" t="n">
        <v>0</v>
      </c>
      <c r="L536" t="n">
        <v>0</v>
      </c>
      <c r="M536" t="n">
        <v>0</v>
      </c>
      <c r="N536" t="n">
        <v>0</v>
      </c>
      <c r="O536" t="n">
        <v>0</v>
      </c>
      <c r="P536" t="n">
        <v>0</v>
      </c>
      <c r="Q536" t="n">
        <v>0</v>
      </c>
      <c r="R536" s="2" t="inlineStr"/>
    </row>
    <row r="537" ht="15" customHeight="1">
      <c r="A537" t="inlineStr">
        <is>
          <t>A 26101-2022</t>
        </is>
      </c>
      <c r="B537" s="1" t="n">
        <v>44734</v>
      </c>
      <c r="C537" s="1" t="n">
        <v>45723</v>
      </c>
      <c r="D537" t="inlineStr">
        <is>
          <t>ÖREBRO LÄN</t>
        </is>
      </c>
      <c r="E537" t="inlineStr">
        <is>
          <t>ÖREBRO</t>
        </is>
      </c>
      <c r="G537" t="n">
        <v>15.8</v>
      </c>
      <c r="H537" t="n">
        <v>0</v>
      </c>
      <c r="I537" t="n">
        <v>0</v>
      </c>
      <c r="J537" t="n">
        <v>0</v>
      </c>
      <c r="K537" t="n">
        <v>0</v>
      </c>
      <c r="L537" t="n">
        <v>0</v>
      </c>
      <c r="M537" t="n">
        <v>0</v>
      </c>
      <c r="N537" t="n">
        <v>0</v>
      </c>
      <c r="O537" t="n">
        <v>0</v>
      </c>
      <c r="P537" t="n">
        <v>0</v>
      </c>
      <c r="Q537" t="n">
        <v>0</v>
      </c>
      <c r="R537" s="2" t="inlineStr"/>
    </row>
    <row r="538" ht="15" customHeight="1">
      <c r="A538" t="inlineStr">
        <is>
          <t>A 28054-2022</t>
        </is>
      </c>
      <c r="B538" s="1" t="n">
        <v>44746</v>
      </c>
      <c r="C538" s="1" t="n">
        <v>45723</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28706-2022</t>
        </is>
      </c>
      <c r="B539" s="1" t="n">
        <v>44748</v>
      </c>
      <c r="C539" s="1" t="n">
        <v>45723</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29108-2022</t>
        </is>
      </c>
      <c r="B540" s="1" t="n">
        <v>44750</v>
      </c>
      <c r="C540" s="1" t="n">
        <v>45723</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29138-2022</t>
        </is>
      </c>
      <c r="B541" s="1" t="n">
        <v>44750</v>
      </c>
      <c r="C541" s="1" t="n">
        <v>45723</v>
      </c>
      <c r="D541" t="inlineStr">
        <is>
          <t>ÖREBRO LÄN</t>
        </is>
      </c>
      <c r="E541" t="inlineStr">
        <is>
          <t>ÖREBRO</t>
        </is>
      </c>
      <c r="G541" t="n">
        <v>3.3</v>
      </c>
      <c r="H541" t="n">
        <v>0</v>
      </c>
      <c r="I541" t="n">
        <v>0</v>
      </c>
      <c r="J541" t="n">
        <v>0</v>
      </c>
      <c r="K541" t="n">
        <v>0</v>
      </c>
      <c r="L541" t="n">
        <v>0</v>
      </c>
      <c r="M541" t="n">
        <v>0</v>
      </c>
      <c r="N541" t="n">
        <v>0</v>
      </c>
      <c r="O541" t="n">
        <v>0</v>
      </c>
      <c r="P541" t="n">
        <v>0</v>
      </c>
      <c r="Q541" t="n">
        <v>0</v>
      </c>
      <c r="R541" s="2" t="inlineStr"/>
    </row>
    <row r="542" ht="15" customHeight="1">
      <c r="A542" t="inlineStr">
        <is>
          <t>A 29243-2022</t>
        </is>
      </c>
      <c r="B542" s="1" t="n">
        <v>44750</v>
      </c>
      <c r="C542" s="1" t="n">
        <v>45723</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29246-2022</t>
        </is>
      </c>
      <c r="B543" s="1" t="n">
        <v>44750</v>
      </c>
      <c r="C543" s="1" t="n">
        <v>45723</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29143-2022</t>
        </is>
      </c>
      <c r="B544" s="1" t="n">
        <v>44750</v>
      </c>
      <c r="C544" s="1" t="n">
        <v>45723</v>
      </c>
      <c r="D544" t="inlineStr">
        <is>
          <t>ÖREBRO LÄN</t>
        </is>
      </c>
      <c r="E544" t="inlineStr">
        <is>
          <t>ÖREBRO</t>
        </is>
      </c>
      <c r="G544" t="n">
        <v>5.6</v>
      </c>
      <c r="H544" t="n">
        <v>0</v>
      </c>
      <c r="I544" t="n">
        <v>0</v>
      </c>
      <c r="J544" t="n">
        <v>0</v>
      </c>
      <c r="K544" t="n">
        <v>0</v>
      </c>
      <c r="L544" t="n">
        <v>0</v>
      </c>
      <c r="M544" t="n">
        <v>0</v>
      </c>
      <c r="N544" t="n">
        <v>0</v>
      </c>
      <c r="O544" t="n">
        <v>0</v>
      </c>
      <c r="P544" t="n">
        <v>0</v>
      </c>
      <c r="Q544" t="n">
        <v>0</v>
      </c>
      <c r="R544" s="2" t="inlineStr"/>
    </row>
    <row r="545" ht="15" customHeight="1">
      <c r="A545" t="inlineStr">
        <is>
          <t>A 29490-2022</t>
        </is>
      </c>
      <c r="B545" s="1" t="n">
        <v>44753</v>
      </c>
      <c r="C545" s="1" t="n">
        <v>45723</v>
      </c>
      <c r="D545" t="inlineStr">
        <is>
          <t>ÖREBRO LÄN</t>
        </is>
      </c>
      <c r="E545" t="inlineStr">
        <is>
          <t>ÖREBRO</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30472-2022</t>
        </is>
      </c>
      <c r="B546" s="1" t="n">
        <v>44761</v>
      </c>
      <c r="C546" s="1" t="n">
        <v>45723</v>
      </c>
      <c r="D546" t="inlineStr">
        <is>
          <t>ÖREBRO LÄN</t>
        </is>
      </c>
      <c r="E546" t="inlineStr">
        <is>
          <t>ÖREBRO</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30760-2022</t>
        </is>
      </c>
      <c r="B547" s="1" t="n">
        <v>44764</v>
      </c>
      <c r="C547" s="1" t="n">
        <v>45723</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30782-2022</t>
        </is>
      </c>
      <c r="B548" s="1" t="n">
        <v>44764</v>
      </c>
      <c r="C548" s="1" t="n">
        <v>45723</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32231-2022</t>
        </is>
      </c>
      <c r="B549" s="1" t="n">
        <v>44781</v>
      </c>
      <c r="C549" s="1" t="n">
        <v>45723</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32274-2022</t>
        </is>
      </c>
      <c r="B550" s="1" t="n">
        <v>44781</v>
      </c>
      <c r="C550" s="1" t="n">
        <v>45723</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32247-2022</t>
        </is>
      </c>
      <c r="B551" s="1" t="n">
        <v>44781</v>
      </c>
      <c r="C551" s="1" t="n">
        <v>45723</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34358-2022</t>
        </is>
      </c>
      <c r="B552" s="1" t="n">
        <v>44792</v>
      </c>
      <c r="C552" s="1" t="n">
        <v>45723</v>
      </c>
      <c r="D552" t="inlineStr">
        <is>
          <t>ÖREBRO LÄN</t>
        </is>
      </c>
      <c r="E552" t="inlineStr">
        <is>
          <t>ÖREBRO</t>
        </is>
      </c>
      <c r="F552" t="inlineStr">
        <is>
          <t>Övriga Aktiebolag</t>
        </is>
      </c>
      <c r="G552" t="n">
        <v>3.4</v>
      </c>
      <c r="H552" t="n">
        <v>0</v>
      </c>
      <c r="I552" t="n">
        <v>0</v>
      </c>
      <c r="J552" t="n">
        <v>0</v>
      </c>
      <c r="K552" t="n">
        <v>0</v>
      </c>
      <c r="L552" t="n">
        <v>0</v>
      </c>
      <c r="M552" t="n">
        <v>0</v>
      </c>
      <c r="N552" t="n">
        <v>0</v>
      </c>
      <c r="O552" t="n">
        <v>0</v>
      </c>
      <c r="P552" t="n">
        <v>0</v>
      </c>
      <c r="Q552" t="n">
        <v>0</v>
      </c>
      <c r="R552" s="2" t="inlineStr"/>
    </row>
    <row r="553" ht="15" customHeight="1">
      <c r="A553" t="inlineStr">
        <is>
          <t>A 34874-2022</t>
        </is>
      </c>
      <c r="B553" s="1" t="n">
        <v>44796</v>
      </c>
      <c r="C553" s="1" t="n">
        <v>45723</v>
      </c>
      <c r="D553" t="inlineStr">
        <is>
          <t>ÖREBRO LÄN</t>
        </is>
      </c>
      <c r="E553" t="inlineStr">
        <is>
          <t>ÖREBRO</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35843-2022</t>
        </is>
      </c>
      <c r="B554" s="1" t="n">
        <v>44802</v>
      </c>
      <c r="C554" s="1" t="n">
        <v>45723</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36794-2022</t>
        </is>
      </c>
      <c r="B555" s="1" t="n">
        <v>44805</v>
      </c>
      <c r="C555" s="1" t="n">
        <v>45723</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37270-2022</t>
        </is>
      </c>
      <c r="B556" s="1" t="n">
        <v>44807</v>
      </c>
      <c r="C556" s="1" t="n">
        <v>45723</v>
      </c>
      <c r="D556" t="inlineStr">
        <is>
          <t>ÖREBRO LÄN</t>
        </is>
      </c>
      <c r="E556" t="inlineStr">
        <is>
          <t>ÖREBRO</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37277-2022</t>
        </is>
      </c>
      <c r="B557" s="1" t="n">
        <v>44807</v>
      </c>
      <c r="C557" s="1" t="n">
        <v>45723</v>
      </c>
      <c r="D557" t="inlineStr">
        <is>
          <t>ÖREBRO LÄN</t>
        </is>
      </c>
      <c r="E557" t="inlineStr">
        <is>
          <t>ÖREBRO</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37272-2022</t>
        </is>
      </c>
      <c r="B558" s="1" t="n">
        <v>44807</v>
      </c>
      <c r="C558" s="1" t="n">
        <v>45723</v>
      </c>
      <c r="D558" t="inlineStr">
        <is>
          <t>ÖREBRO LÄN</t>
        </is>
      </c>
      <c r="E558" t="inlineStr">
        <is>
          <t>ÖREBRO</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37271-2022</t>
        </is>
      </c>
      <c r="B559" s="1" t="n">
        <v>44807</v>
      </c>
      <c r="C559" s="1" t="n">
        <v>45723</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37268-2022</t>
        </is>
      </c>
      <c r="B560" s="1" t="n">
        <v>44807</v>
      </c>
      <c r="C560" s="1" t="n">
        <v>45723</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37276-2022</t>
        </is>
      </c>
      <c r="B561" s="1" t="n">
        <v>44807</v>
      </c>
      <c r="C561" s="1" t="n">
        <v>45723</v>
      </c>
      <c r="D561" t="inlineStr">
        <is>
          <t>ÖREBRO LÄN</t>
        </is>
      </c>
      <c r="E561" t="inlineStr">
        <is>
          <t>ÖREBRO</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38075-2022</t>
        </is>
      </c>
      <c r="B562" s="1" t="n">
        <v>44811</v>
      </c>
      <c r="C562" s="1" t="n">
        <v>45723</v>
      </c>
      <c r="D562" t="inlineStr">
        <is>
          <t>ÖREBRO LÄN</t>
        </is>
      </c>
      <c r="E562" t="inlineStr">
        <is>
          <t>ÖREBRO</t>
        </is>
      </c>
      <c r="G562" t="n">
        <v>0.2</v>
      </c>
      <c r="H562" t="n">
        <v>0</v>
      </c>
      <c r="I562" t="n">
        <v>0</v>
      </c>
      <c r="J562" t="n">
        <v>0</v>
      </c>
      <c r="K562" t="n">
        <v>0</v>
      </c>
      <c r="L562" t="n">
        <v>0</v>
      </c>
      <c r="M562" t="n">
        <v>0</v>
      </c>
      <c r="N562" t="n">
        <v>0</v>
      </c>
      <c r="O562" t="n">
        <v>0</v>
      </c>
      <c r="P562" t="n">
        <v>0</v>
      </c>
      <c r="Q562" t="n">
        <v>0</v>
      </c>
      <c r="R562" s="2" t="inlineStr"/>
    </row>
    <row r="563" ht="15" customHeight="1">
      <c r="A563" t="inlineStr">
        <is>
          <t>A 38864-2022</t>
        </is>
      </c>
      <c r="B563" s="1" t="n">
        <v>44814</v>
      </c>
      <c r="C563" s="1" t="n">
        <v>45723</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38842-2022</t>
        </is>
      </c>
      <c r="B564" s="1" t="n">
        <v>44814</v>
      </c>
      <c r="C564" s="1" t="n">
        <v>45723</v>
      </c>
      <c r="D564" t="inlineStr">
        <is>
          <t>ÖREBRO LÄN</t>
        </is>
      </c>
      <c r="E564" t="inlineStr">
        <is>
          <t>ÖREBRO</t>
        </is>
      </c>
      <c r="G564" t="n">
        <v>5</v>
      </c>
      <c r="H564" t="n">
        <v>0</v>
      </c>
      <c r="I564" t="n">
        <v>0</v>
      </c>
      <c r="J564" t="n">
        <v>0</v>
      </c>
      <c r="K564" t="n">
        <v>0</v>
      </c>
      <c r="L564" t="n">
        <v>0</v>
      </c>
      <c r="M564" t="n">
        <v>0</v>
      </c>
      <c r="N564" t="n">
        <v>0</v>
      </c>
      <c r="O564" t="n">
        <v>0</v>
      </c>
      <c r="P564" t="n">
        <v>0</v>
      </c>
      <c r="Q564" t="n">
        <v>0</v>
      </c>
      <c r="R564" s="2" t="inlineStr"/>
    </row>
    <row r="565" ht="15" customHeight="1">
      <c r="A565" t="inlineStr">
        <is>
          <t>A 40231-2022</t>
        </is>
      </c>
      <c r="B565" s="1" t="n">
        <v>44820</v>
      </c>
      <c r="C565" s="1" t="n">
        <v>45723</v>
      </c>
      <c r="D565" t="inlineStr">
        <is>
          <t>ÖREBRO LÄN</t>
        </is>
      </c>
      <c r="E565" t="inlineStr">
        <is>
          <t>ÖREBRO</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41553-2022</t>
        </is>
      </c>
      <c r="B566" s="1" t="n">
        <v>44827</v>
      </c>
      <c r="C566" s="1" t="n">
        <v>45723</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41894-2022</t>
        </is>
      </c>
      <c r="B567" s="1" t="n">
        <v>44830</v>
      </c>
      <c r="C567" s="1" t="n">
        <v>45723</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v>
      </c>
      <c r="C568" s="1" t="n">
        <v>45723</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42618-2022</t>
        </is>
      </c>
      <c r="B569" s="1" t="n">
        <v>44831</v>
      </c>
      <c r="C569" s="1" t="n">
        <v>45723</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45723</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43391-2022</t>
        </is>
      </c>
      <c r="B571" s="1" t="n">
        <v>44834</v>
      </c>
      <c r="C571" s="1" t="n">
        <v>45723</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43399-2022</t>
        </is>
      </c>
      <c r="B572" s="1" t="n">
        <v>44834</v>
      </c>
      <c r="C572" s="1" t="n">
        <v>45723</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45723</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44165-2022</t>
        </is>
      </c>
      <c r="B574" s="1" t="n">
        <v>44839</v>
      </c>
      <c r="C574" s="1" t="n">
        <v>45723</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44271-2022</t>
        </is>
      </c>
      <c r="B575" s="1" t="n">
        <v>44839</v>
      </c>
      <c r="C575" s="1" t="n">
        <v>45723</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44295-2022</t>
        </is>
      </c>
      <c r="B576" s="1" t="n">
        <v>44839</v>
      </c>
      <c r="C576" s="1" t="n">
        <v>45723</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44364-2022</t>
        </is>
      </c>
      <c r="B577" s="1" t="n">
        <v>44839</v>
      </c>
      <c r="C577" s="1" t="n">
        <v>45723</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44131-2022</t>
        </is>
      </c>
      <c r="B578" s="1" t="n">
        <v>44839</v>
      </c>
      <c r="C578" s="1" t="n">
        <v>45723</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44279-2022</t>
        </is>
      </c>
      <c r="B579" s="1" t="n">
        <v>44839</v>
      </c>
      <c r="C579" s="1" t="n">
        <v>45723</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44284-2022</t>
        </is>
      </c>
      <c r="B580" s="1" t="n">
        <v>44839</v>
      </c>
      <c r="C580" s="1" t="n">
        <v>45723</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46266-2022</t>
        </is>
      </c>
      <c r="B581" s="1" t="n">
        <v>44847</v>
      </c>
      <c r="C581" s="1" t="n">
        <v>45723</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46271-2022</t>
        </is>
      </c>
      <c r="B582" s="1" t="n">
        <v>44847</v>
      </c>
      <c r="C582" s="1" t="n">
        <v>45723</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46834-2022</t>
        </is>
      </c>
      <c r="B583" s="1" t="n">
        <v>44851</v>
      </c>
      <c r="C583" s="1" t="n">
        <v>45723</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47047-2022</t>
        </is>
      </c>
      <c r="B584" s="1" t="n">
        <v>44852</v>
      </c>
      <c r="C584" s="1" t="n">
        <v>45723</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48008-2022</t>
        </is>
      </c>
      <c r="B585" s="1" t="n">
        <v>44855</v>
      </c>
      <c r="C585" s="1" t="n">
        <v>45723</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48021-2022</t>
        </is>
      </c>
      <c r="B586" s="1" t="n">
        <v>44855</v>
      </c>
      <c r="C586" s="1" t="n">
        <v>45723</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49228-2022</t>
        </is>
      </c>
      <c r="B587" s="1" t="n">
        <v>44861</v>
      </c>
      <c r="C587" s="1" t="n">
        <v>45723</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49495-2022</t>
        </is>
      </c>
      <c r="B588" s="1" t="n">
        <v>44861</v>
      </c>
      <c r="C588" s="1" t="n">
        <v>45723</v>
      </c>
      <c r="D588" t="inlineStr">
        <is>
          <t>ÖREBRO LÄN</t>
        </is>
      </c>
      <c r="E588" t="inlineStr">
        <is>
          <t>ÖREBRO</t>
        </is>
      </c>
      <c r="G588" t="n">
        <v>0.8</v>
      </c>
      <c r="H588" t="n">
        <v>0</v>
      </c>
      <c r="I588" t="n">
        <v>0</v>
      </c>
      <c r="J588" t="n">
        <v>0</v>
      </c>
      <c r="K588" t="n">
        <v>0</v>
      </c>
      <c r="L588" t="n">
        <v>0</v>
      </c>
      <c r="M588" t="n">
        <v>0</v>
      </c>
      <c r="N588" t="n">
        <v>0</v>
      </c>
      <c r="O588" t="n">
        <v>0</v>
      </c>
      <c r="P588" t="n">
        <v>0</v>
      </c>
      <c r="Q588" t="n">
        <v>0</v>
      </c>
      <c r="R588" s="2" t="inlineStr"/>
    </row>
    <row r="589" ht="15" customHeight="1">
      <c r="A589" t="inlineStr">
        <is>
          <t>A 50398-2022</t>
        </is>
      </c>
      <c r="B589" s="1" t="n">
        <v>44861</v>
      </c>
      <c r="C589" s="1" t="n">
        <v>45723</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51103-2022</t>
        </is>
      </c>
      <c r="B590" s="1" t="n">
        <v>44868</v>
      </c>
      <c r="C590" s="1" t="n">
        <v>45723</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51268-2022</t>
        </is>
      </c>
      <c r="B591" s="1" t="n">
        <v>44868</v>
      </c>
      <c r="C591" s="1" t="n">
        <v>45723</v>
      </c>
      <c r="D591" t="inlineStr">
        <is>
          <t>ÖREBRO LÄN</t>
        </is>
      </c>
      <c r="E591" t="inlineStr">
        <is>
          <t>ÖREBRO</t>
        </is>
      </c>
      <c r="G591" t="n">
        <v>3.8</v>
      </c>
      <c r="H591" t="n">
        <v>0</v>
      </c>
      <c r="I591" t="n">
        <v>0</v>
      </c>
      <c r="J591" t="n">
        <v>0</v>
      </c>
      <c r="K591" t="n">
        <v>0</v>
      </c>
      <c r="L591" t="n">
        <v>0</v>
      </c>
      <c r="M591" t="n">
        <v>0</v>
      </c>
      <c r="N591" t="n">
        <v>0</v>
      </c>
      <c r="O591" t="n">
        <v>0</v>
      </c>
      <c r="P591" t="n">
        <v>0</v>
      </c>
      <c r="Q591" t="n">
        <v>0</v>
      </c>
      <c r="R591" s="2" t="inlineStr"/>
    </row>
    <row r="592" ht="15" customHeight="1">
      <c r="A592" t="inlineStr">
        <is>
          <t>A 52309-2022</t>
        </is>
      </c>
      <c r="B592" s="1" t="n">
        <v>44873</v>
      </c>
      <c r="C592" s="1" t="n">
        <v>45723</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53578-2022</t>
        </is>
      </c>
      <c r="B593" s="1" t="n">
        <v>44879</v>
      </c>
      <c r="C593" s="1" t="n">
        <v>45723</v>
      </c>
      <c r="D593" t="inlineStr">
        <is>
          <t>ÖREBRO LÄN</t>
        </is>
      </c>
      <c r="E593" t="inlineStr">
        <is>
          <t>ÖREBRO</t>
        </is>
      </c>
      <c r="G593" t="n">
        <v>2.8</v>
      </c>
      <c r="H593" t="n">
        <v>0</v>
      </c>
      <c r="I593" t="n">
        <v>0</v>
      </c>
      <c r="J593" t="n">
        <v>0</v>
      </c>
      <c r="K593" t="n">
        <v>0</v>
      </c>
      <c r="L593" t="n">
        <v>0</v>
      </c>
      <c r="M593" t="n">
        <v>0</v>
      </c>
      <c r="N593" t="n">
        <v>0</v>
      </c>
      <c r="O593" t="n">
        <v>0</v>
      </c>
      <c r="P593" t="n">
        <v>0</v>
      </c>
      <c r="Q593" t="n">
        <v>0</v>
      </c>
      <c r="R593" s="2" t="inlineStr"/>
    </row>
    <row r="594" ht="15" customHeight="1">
      <c r="A594" t="inlineStr">
        <is>
          <t>A 55012-2022</t>
        </is>
      </c>
      <c r="B594" s="1" t="n">
        <v>44886</v>
      </c>
      <c r="C594" s="1" t="n">
        <v>45723</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55593-2022</t>
        </is>
      </c>
      <c r="B595" s="1" t="n">
        <v>44888</v>
      </c>
      <c r="C595" s="1" t="n">
        <v>45723</v>
      </c>
      <c r="D595" t="inlineStr">
        <is>
          <t>ÖREBRO LÄN</t>
        </is>
      </c>
      <c r="E595" t="inlineStr">
        <is>
          <t>ÖREBRO</t>
        </is>
      </c>
      <c r="G595" t="n">
        <v>3.6</v>
      </c>
      <c r="H595" t="n">
        <v>0</v>
      </c>
      <c r="I595" t="n">
        <v>0</v>
      </c>
      <c r="J595" t="n">
        <v>0</v>
      </c>
      <c r="K595" t="n">
        <v>0</v>
      </c>
      <c r="L595" t="n">
        <v>0</v>
      </c>
      <c r="M595" t="n">
        <v>0</v>
      </c>
      <c r="N595" t="n">
        <v>0</v>
      </c>
      <c r="O595" t="n">
        <v>0</v>
      </c>
      <c r="P595" t="n">
        <v>0</v>
      </c>
      <c r="Q595" t="n">
        <v>0</v>
      </c>
      <c r="R595" s="2" t="inlineStr"/>
    </row>
    <row r="596" ht="15" customHeight="1">
      <c r="A596" t="inlineStr">
        <is>
          <t>A 56077-2022</t>
        </is>
      </c>
      <c r="B596" s="1" t="n">
        <v>44889</v>
      </c>
      <c r="C596" s="1" t="n">
        <v>45723</v>
      </c>
      <c r="D596" t="inlineStr">
        <is>
          <t>ÖREBRO LÄN</t>
        </is>
      </c>
      <c r="E596" t="inlineStr">
        <is>
          <t>ÖREBRO</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57247-2022</t>
        </is>
      </c>
      <c r="B597" s="1" t="n">
        <v>44895</v>
      </c>
      <c r="C597" s="1" t="n">
        <v>45723</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57243-2022</t>
        </is>
      </c>
      <c r="B598" s="1" t="n">
        <v>44895</v>
      </c>
      <c r="C598" s="1" t="n">
        <v>45723</v>
      </c>
      <c r="D598" t="inlineStr">
        <is>
          <t>ÖREBRO LÄN</t>
        </is>
      </c>
      <c r="E598" t="inlineStr">
        <is>
          <t>ÖREBRO</t>
        </is>
      </c>
      <c r="G598" t="n">
        <v>6</v>
      </c>
      <c r="H598" t="n">
        <v>0</v>
      </c>
      <c r="I598" t="n">
        <v>0</v>
      </c>
      <c r="J598" t="n">
        <v>0</v>
      </c>
      <c r="K598" t="n">
        <v>0</v>
      </c>
      <c r="L598" t="n">
        <v>0</v>
      </c>
      <c r="M598" t="n">
        <v>0</v>
      </c>
      <c r="N598" t="n">
        <v>0</v>
      </c>
      <c r="O598" t="n">
        <v>0</v>
      </c>
      <c r="P598" t="n">
        <v>0</v>
      </c>
      <c r="Q598" t="n">
        <v>0</v>
      </c>
      <c r="R598" s="2" t="inlineStr"/>
    </row>
    <row r="599" ht="15" customHeight="1">
      <c r="A599" t="inlineStr">
        <is>
          <t>A 57638-2022</t>
        </is>
      </c>
      <c r="B599" s="1" t="n">
        <v>44897</v>
      </c>
      <c r="C599" s="1" t="n">
        <v>45723</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58277-2022</t>
        </is>
      </c>
      <c r="B600" s="1" t="n">
        <v>44901</v>
      </c>
      <c r="C600" s="1" t="n">
        <v>45723</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58551-2022</t>
        </is>
      </c>
      <c r="B601" s="1" t="n">
        <v>44902</v>
      </c>
      <c r="C601" s="1" t="n">
        <v>45723</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60100-2022</t>
        </is>
      </c>
      <c r="B602" s="1" t="n">
        <v>44902</v>
      </c>
      <c r="C602" s="1" t="n">
        <v>45723</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58595-2022</t>
        </is>
      </c>
      <c r="B603" s="1" t="n">
        <v>44902</v>
      </c>
      <c r="C603" s="1" t="n">
        <v>45723</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58598-2022</t>
        </is>
      </c>
      <c r="B604" s="1" t="n">
        <v>44902</v>
      </c>
      <c r="C604" s="1" t="n">
        <v>45723</v>
      </c>
      <c r="D604" t="inlineStr">
        <is>
          <t>ÖREBRO LÄN</t>
        </is>
      </c>
      <c r="E604" t="inlineStr">
        <is>
          <t>ÖREBRO</t>
        </is>
      </c>
      <c r="G604" t="n">
        <v>0.4</v>
      </c>
      <c r="H604" t="n">
        <v>0</v>
      </c>
      <c r="I604" t="n">
        <v>0</v>
      </c>
      <c r="J604" t="n">
        <v>0</v>
      </c>
      <c r="K604" t="n">
        <v>0</v>
      </c>
      <c r="L604" t="n">
        <v>0</v>
      </c>
      <c r="M604" t="n">
        <v>0</v>
      </c>
      <c r="N604" t="n">
        <v>0</v>
      </c>
      <c r="O604" t="n">
        <v>0</v>
      </c>
      <c r="P604" t="n">
        <v>0</v>
      </c>
      <c r="Q604" t="n">
        <v>0</v>
      </c>
      <c r="R604" s="2" t="inlineStr"/>
    </row>
    <row r="605" ht="15" customHeight="1">
      <c r="A605" t="inlineStr">
        <is>
          <t>A 60262-2022</t>
        </is>
      </c>
      <c r="B605" s="1" t="n">
        <v>44910</v>
      </c>
      <c r="C605" s="1" t="n">
        <v>45723</v>
      </c>
      <c r="D605" t="inlineStr">
        <is>
          <t>ÖREBRO LÄN</t>
        </is>
      </c>
      <c r="E605" t="inlineStr">
        <is>
          <t>ÖREBRO</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60769-2022</t>
        </is>
      </c>
      <c r="B606" s="1" t="n">
        <v>44914</v>
      </c>
      <c r="C606" s="1" t="n">
        <v>45723</v>
      </c>
      <c r="D606" t="inlineStr">
        <is>
          <t>ÖREBRO LÄN</t>
        </is>
      </c>
      <c r="E606" t="inlineStr">
        <is>
          <t>ÖREBRO</t>
        </is>
      </c>
      <c r="G606" t="n">
        <v>3.4</v>
      </c>
      <c r="H606" t="n">
        <v>0</v>
      </c>
      <c r="I606" t="n">
        <v>0</v>
      </c>
      <c r="J606" t="n">
        <v>0</v>
      </c>
      <c r="K606" t="n">
        <v>0</v>
      </c>
      <c r="L606" t="n">
        <v>0</v>
      </c>
      <c r="M606" t="n">
        <v>0</v>
      </c>
      <c r="N606" t="n">
        <v>0</v>
      </c>
      <c r="O606" t="n">
        <v>0</v>
      </c>
      <c r="P606" t="n">
        <v>0</v>
      </c>
      <c r="Q606" t="n">
        <v>0</v>
      </c>
      <c r="R606" s="2" t="inlineStr"/>
    </row>
    <row r="607" ht="15" customHeight="1">
      <c r="A607" t="inlineStr">
        <is>
          <t>A 61123-2022</t>
        </is>
      </c>
      <c r="B607" s="1" t="n">
        <v>44915</v>
      </c>
      <c r="C607" s="1" t="n">
        <v>45723</v>
      </c>
      <c r="D607" t="inlineStr">
        <is>
          <t>ÖREBRO LÄN</t>
        </is>
      </c>
      <c r="E607" t="inlineStr">
        <is>
          <t>ÖREBRO</t>
        </is>
      </c>
      <c r="G607" t="n">
        <v>7.7</v>
      </c>
      <c r="H607" t="n">
        <v>0</v>
      </c>
      <c r="I607" t="n">
        <v>0</v>
      </c>
      <c r="J607" t="n">
        <v>0</v>
      </c>
      <c r="K607" t="n">
        <v>0</v>
      </c>
      <c r="L607" t="n">
        <v>0</v>
      </c>
      <c r="M607" t="n">
        <v>0</v>
      </c>
      <c r="N607" t="n">
        <v>0</v>
      </c>
      <c r="O607" t="n">
        <v>0</v>
      </c>
      <c r="P607" t="n">
        <v>0</v>
      </c>
      <c r="Q607" t="n">
        <v>0</v>
      </c>
      <c r="R607" s="2" t="inlineStr"/>
    </row>
    <row r="608" ht="15" customHeight="1">
      <c r="A608" t="inlineStr">
        <is>
          <t>A 5118-2023</t>
        </is>
      </c>
      <c r="B608" s="1" t="n">
        <v>44922</v>
      </c>
      <c r="C608" s="1" t="n">
        <v>45723</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1346-2023</t>
        </is>
      </c>
      <c r="B609" s="1" t="n">
        <v>44936</v>
      </c>
      <c r="C609" s="1" t="n">
        <v>45723</v>
      </c>
      <c r="D609" t="inlineStr">
        <is>
          <t>ÖREBRO LÄN</t>
        </is>
      </c>
      <c r="E609" t="inlineStr">
        <is>
          <t>ÖREBRO</t>
        </is>
      </c>
      <c r="G609" t="n">
        <v>4.1</v>
      </c>
      <c r="H609" t="n">
        <v>0</v>
      </c>
      <c r="I609" t="n">
        <v>0</v>
      </c>
      <c r="J609" t="n">
        <v>0</v>
      </c>
      <c r="K609" t="n">
        <v>0</v>
      </c>
      <c r="L609" t="n">
        <v>0</v>
      </c>
      <c r="M609" t="n">
        <v>0</v>
      </c>
      <c r="N609" t="n">
        <v>0</v>
      </c>
      <c r="O609" t="n">
        <v>0</v>
      </c>
      <c r="P609" t="n">
        <v>0</v>
      </c>
      <c r="Q609" t="n">
        <v>0</v>
      </c>
      <c r="R609" s="2" t="inlineStr"/>
    </row>
    <row r="610" ht="15" customHeight="1">
      <c r="A610" t="inlineStr">
        <is>
          <t>A 1767-2023</t>
        </is>
      </c>
      <c r="B610" s="1" t="n">
        <v>44938</v>
      </c>
      <c r="C610" s="1" t="n">
        <v>45723</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2152-2023</t>
        </is>
      </c>
      <c r="B611" s="1" t="n">
        <v>44941</v>
      </c>
      <c r="C611" s="1" t="n">
        <v>45723</v>
      </c>
      <c r="D611" t="inlineStr">
        <is>
          <t>ÖREBRO LÄN</t>
        </is>
      </c>
      <c r="E611" t="inlineStr">
        <is>
          <t>ÖREBRO</t>
        </is>
      </c>
      <c r="G611" t="n">
        <v>8</v>
      </c>
      <c r="H611" t="n">
        <v>0</v>
      </c>
      <c r="I611" t="n">
        <v>0</v>
      </c>
      <c r="J611" t="n">
        <v>0</v>
      </c>
      <c r="K611" t="n">
        <v>0</v>
      </c>
      <c r="L611" t="n">
        <v>0</v>
      </c>
      <c r="M611" t="n">
        <v>0</v>
      </c>
      <c r="N611" t="n">
        <v>0</v>
      </c>
      <c r="O611" t="n">
        <v>0</v>
      </c>
      <c r="P611" t="n">
        <v>0</v>
      </c>
      <c r="Q611" t="n">
        <v>0</v>
      </c>
      <c r="R611" s="2" t="inlineStr"/>
    </row>
    <row r="612" ht="15" customHeight="1">
      <c r="A612" t="inlineStr">
        <is>
          <t>A 2153-2023</t>
        </is>
      </c>
      <c r="B612" s="1" t="n">
        <v>44941</v>
      </c>
      <c r="C612" s="1" t="n">
        <v>45723</v>
      </c>
      <c r="D612" t="inlineStr">
        <is>
          <t>ÖREBRO LÄN</t>
        </is>
      </c>
      <c r="E612" t="inlineStr">
        <is>
          <t>ÖREBRO</t>
        </is>
      </c>
      <c r="G612" t="n">
        <v>6.3</v>
      </c>
      <c r="H612" t="n">
        <v>0</v>
      </c>
      <c r="I612" t="n">
        <v>0</v>
      </c>
      <c r="J612" t="n">
        <v>0</v>
      </c>
      <c r="K612" t="n">
        <v>0</v>
      </c>
      <c r="L612" t="n">
        <v>0</v>
      </c>
      <c r="M612" t="n">
        <v>0</v>
      </c>
      <c r="N612" t="n">
        <v>0</v>
      </c>
      <c r="O612" t="n">
        <v>0</v>
      </c>
      <c r="P612" t="n">
        <v>0</v>
      </c>
      <c r="Q612" t="n">
        <v>0</v>
      </c>
      <c r="R612" s="2" t="inlineStr"/>
    </row>
    <row r="613" ht="15" customHeight="1">
      <c r="A613" t="inlineStr">
        <is>
          <t>A 2318-2023</t>
        </is>
      </c>
      <c r="B613" s="1" t="n">
        <v>44942</v>
      </c>
      <c r="C613" s="1" t="n">
        <v>45723</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2288-2023</t>
        </is>
      </c>
      <c r="B614" s="1" t="n">
        <v>44942</v>
      </c>
      <c r="C614" s="1" t="n">
        <v>45723</v>
      </c>
      <c r="D614" t="inlineStr">
        <is>
          <t>ÖREBRO LÄN</t>
        </is>
      </c>
      <c r="E614" t="inlineStr">
        <is>
          <t>ÖREBRO</t>
        </is>
      </c>
      <c r="G614" t="n">
        <v>2.9</v>
      </c>
      <c r="H614" t="n">
        <v>0</v>
      </c>
      <c r="I614" t="n">
        <v>0</v>
      </c>
      <c r="J614" t="n">
        <v>0</v>
      </c>
      <c r="K614" t="n">
        <v>0</v>
      </c>
      <c r="L614" t="n">
        <v>0</v>
      </c>
      <c r="M614" t="n">
        <v>0</v>
      </c>
      <c r="N614" t="n">
        <v>0</v>
      </c>
      <c r="O614" t="n">
        <v>0</v>
      </c>
      <c r="P614" t="n">
        <v>0</v>
      </c>
      <c r="Q614" t="n">
        <v>0</v>
      </c>
      <c r="R614" s="2" t="inlineStr"/>
    </row>
    <row r="615" ht="15" customHeight="1">
      <c r="A615" t="inlineStr">
        <is>
          <t>A 2630-2023</t>
        </is>
      </c>
      <c r="B615" s="1" t="n">
        <v>44944</v>
      </c>
      <c r="C615" s="1" t="n">
        <v>45723</v>
      </c>
      <c r="D615" t="inlineStr">
        <is>
          <t>ÖREBRO LÄN</t>
        </is>
      </c>
      <c r="E615" t="inlineStr">
        <is>
          <t>ÖREBRO</t>
        </is>
      </c>
      <c r="G615" t="n">
        <v>6.1</v>
      </c>
      <c r="H615" t="n">
        <v>0</v>
      </c>
      <c r="I615" t="n">
        <v>0</v>
      </c>
      <c r="J615" t="n">
        <v>0</v>
      </c>
      <c r="K615" t="n">
        <v>0</v>
      </c>
      <c r="L615" t="n">
        <v>0</v>
      </c>
      <c r="M615" t="n">
        <v>0</v>
      </c>
      <c r="N615" t="n">
        <v>0</v>
      </c>
      <c r="O615" t="n">
        <v>0</v>
      </c>
      <c r="P615" t="n">
        <v>0</v>
      </c>
      <c r="Q615" t="n">
        <v>0</v>
      </c>
      <c r="R615" s="2" t="inlineStr"/>
    </row>
    <row r="616" ht="15" customHeight="1">
      <c r="A616" t="inlineStr">
        <is>
          <t>A 2658-2023</t>
        </is>
      </c>
      <c r="B616" s="1" t="n">
        <v>44944</v>
      </c>
      <c r="C616" s="1" t="n">
        <v>45723</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2771-2023</t>
        </is>
      </c>
      <c r="B617" s="1" t="n">
        <v>44944</v>
      </c>
      <c r="C617" s="1" t="n">
        <v>45723</v>
      </c>
      <c r="D617" t="inlineStr">
        <is>
          <t>ÖREBRO LÄN</t>
        </is>
      </c>
      <c r="E617" t="inlineStr">
        <is>
          <t>ÖREBRO</t>
        </is>
      </c>
      <c r="G617" t="n">
        <v>15.4</v>
      </c>
      <c r="H617" t="n">
        <v>0</v>
      </c>
      <c r="I617" t="n">
        <v>0</v>
      </c>
      <c r="J617" t="n">
        <v>0</v>
      </c>
      <c r="K617" t="n">
        <v>0</v>
      </c>
      <c r="L617" t="n">
        <v>0</v>
      </c>
      <c r="M617" t="n">
        <v>0</v>
      </c>
      <c r="N617" t="n">
        <v>0</v>
      </c>
      <c r="O617" t="n">
        <v>0</v>
      </c>
      <c r="P617" t="n">
        <v>0</v>
      </c>
      <c r="Q617" t="n">
        <v>0</v>
      </c>
      <c r="R617" s="2" t="inlineStr"/>
    </row>
    <row r="618" ht="15" customHeight="1">
      <c r="A618" t="inlineStr">
        <is>
          <t>A 3791-2023</t>
        </is>
      </c>
      <c r="B618" s="1" t="n">
        <v>44951</v>
      </c>
      <c r="C618" s="1" t="n">
        <v>45723</v>
      </c>
      <c r="D618" t="inlineStr">
        <is>
          <t>ÖREBRO LÄN</t>
        </is>
      </c>
      <c r="E618" t="inlineStr">
        <is>
          <t>ÖREBRO</t>
        </is>
      </c>
      <c r="G618" t="n">
        <v>3.7</v>
      </c>
      <c r="H618" t="n">
        <v>0</v>
      </c>
      <c r="I618" t="n">
        <v>0</v>
      </c>
      <c r="J618" t="n">
        <v>0</v>
      </c>
      <c r="K618" t="n">
        <v>0</v>
      </c>
      <c r="L618" t="n">
        <v>0</v>
      </c>
      <c r="M618" t="n">
        <v>0</v>
      </c>
      <c r="N618" t="n">
        <v>0</v>
      </c>
      <c r="O618" t="n">
        <v>0</v>
      </c>
      <c r="P618" t="n">
        <v>0</v>
      </c>
      <c r="Q618" t="n">
        <v>0</v>
      </c>
      <c r="R618" s="2" t="inlineStr"/>
    </row>
    <row r="619" ht="15" customHeight="1">
      <c r="A619" t="inlineStr">
        <is>
          <t>A 3789-2023</t>
        </is>
      </c>
      <c r="B619" s="1" t="n">
        <v>44951</v>
      </c>
      <c r="C619" s="1" t="n">
        <v>45723</v>
      </c>
      <c r="D619" t="inlineStr">
        <is>
          <t>ÖREBRO LÄN</t>
        </is>
      </c>
      <c r="E619" t="inlineStr">
        <is>
          <t>ÖREBRO</t>
        </is>
      </c>
      <c r="G619" t="n">
        <v>7.5</v>
      </c>
      <c r="H619" t="n">
        <v>0</v>
      </c>
      <c r="I619" t="n">
        <v>0</v>
      </c>
      <c r="J619" t="n">
        <v>0</v>
      </c>
      <c r="K619" t="n">
        <v>0</v>
      </c>
      <c r="L619" t="n">
        <v>0</v>
      </c>
      <c r="M619" t="n">
        <v>0</v>
      </c>
      <c r="N619" t="n">
        <v>0</v>
      </c>
      <c r="O619" t="n">
        <v>0</v>
      </c>
      <c r="P619" t="n">
        <v>0</v>
      </c>
      <c r="Q619" t="n">
        <v>0</v>
      </c>
      <c r="R619" s="2" t="inlineStr"/>
    </row>
    <row r="620" ht="15" customHeight="1">
      <c r="A620" t="inlineStr">
        <is>
          <t>A 3835-2023</t>
        </is>
      </c>
      <c r="B620" s="1" t="n">
        <v>44951</v>
      </c>
      <c r="C620" s="1" t="n">
        <v>45723</v>
      </c>
      <c r="D620" t="inlineStr">
        <is>
          <t>ÖREBRO LÄN</t>
        </is>
      </c>
      <c r="E620" t="inlineStr">
        <is>
          <t>ÖREBRO</t>
        </is>
      </c>
      <c r="G620" t="n">
        <v>7.4</v>
      </c>
      <c r="H620" t="n">
        <v>0</v>
      </c>
      <c r="I620" t="n">
        <v>0</v>
      </c>
      <c r="J620" t="n">
        <v>0</v>
      </c>
      <c r="K620" t="n">
        <v>0</v>
      </c>
      <c r="L620" t="n">
        <v>0</v>
      </c>
      <c r="M620" t="n">
        <v>0</v>
      </c>
      <c r="N620" t="n">
        <v>0</v>
      </c>
      <c r="O620" t="n">
        <v>0</v>
      </c>
      <c r="P620" t="n">
        <v>0</v>
      </c>
      <c r="Q620" t="n">
        <v>0</v>
      </c>
      <c r="R620" s="2" t="inlineStr"/>
    </row>
    <row r="621" ht="15" customHeight="1">
      <c r="A621" t="inlineStr">
        <is>
          <t>A 3841-2023</t>
        </is>
      </c>
      <c r="B621" s="1" t="n">
        <v>44951</v>
      </c>
      <c r="C621" s="1" t="n">
        <v>45723</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ht="15" customHeight="1">
      <c r="A622" t="inlineStr">
        <is>
          <t>A 3967-2023</t>
        </is>
      </c>
      <c r="B622" s="1" t="n">
        <v>44952</v>
      </c>
      <c r="C622" s="1" t="n">
        <v>45723</v>
      </c>
      <c r="D622" t="inlineStr">
        <is>
          <t>ÖREBRO LÄN</t>
        </is>
      </c>
      <c r="E622" t="inlineStr">
        <is>
          <t>ÖREBRO</t>
        </is>
      </c>
      <c r="G622" t="n">
        <v>5.2</v>
      </c>
      <c r="H622" t="n">
        <v>0</v>
      </c>
      <c r="I622" t="n">
        <v>0</v>
      </c>
      <c r="J622" t="n">
        <v>0</v>
      </c>
      <c r="K622" t="n">
        <v>0</v>
      </c>
      <c r="L622" t="n">
        <v>0</v>
      </c>
      <c r="M622" t="n">
        <v>0</v>
      </c>
      <c r="N622" t="n">
        <v>0</v>
      </c>
      <c r="O622" t="n">
        <v>0</v>
      </c>
      <c r="P622" t="n">
        <v>0</v>
      </c>
      <c r="Q622" t="n">
        <v>0</v>
      </c>
      <c r="R622" s="2" t="inlineStr"/>
    </row>
    <row r="623" ht="15" customHeight="1">
      <c r="A623" t="inlineStr">
        <is>
          <t>A 3964-2023</t>
        </is>
      </c>
      <c r="B623" s="1" t="n">
        <v>44952</v>
      </c>
      <c r="C623" s="1" t="n">
        <v>45723</v>
      </c>
      <c r="D623" t="inlineStr">
        <is>
          <t>ÖREBRO LÄN</t>
        </is>
      </c>
      <c r="E623" t="inlineStr">
        <is>
          <t>ÖREBRO</t>
        </is>
      </c>
      <c r="G623" t="n">
        <v>9.9</v>
      </c>
      <c r="H623" t="n">
        <v>0</v>
      </c>
      <c r="I623" t="n">
        <v>0</v>
      </c>
      <c r="J623" t="n">
        <v>0</v>
      </c>
      <c r="K623" t="n">
        <v>0</v>
      </c>
      <c r="L623" t="n">
        <v>0</v>
      </c>
      <c r="M623" t="n">
        <v>0</v>
      </c>
      <c r="N623" t="n">
        <v>0</v>
      </c>
      <c r="O623" t="n">
        <v>0</v>
      </c>
      <c r="P623" t="n">
        <v>0</v>
      </c>
      <c r="Q623" t="n">
        <v>0</v>
      </c>
      <c r="R623" s="2" t="inlineStr"/>
    </row>
    <row r="624" ht="15" customHeight="1">
      <c r="A624" t="inlineStr">
        <is>
          <t>A 3968-2023</t>
        </is>
      </c>
      <c r="B624" s="1" t="n">
        <v>44952</v>
      </c>
      <c r="C624" s="1" t="n">
        <v>45723</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3958-2023</t>
        </is>
      </c>
      <c r="B625" s="1" t="n">
        <v>44952</v>
      </c>
      <c r="C625" s="1" t="n">
        <v>45723</v>
      </c>
      <c r="D625" t="inlineStr">
        <is>
          <t>ÖREBRO LÄN</t>
        </is>
      </c>
      <c r="E625" t="inlineStr">
        <is>
          <t>ÖREBRO</t>
        </is>
      </c>
      <c r="G625" t="n">
        <v>6</v>
      </c>
      <c r="H625" t="n">
        <v>0</v>
      </c>
      <c r="I625" t="n">
        <v>0</v>
      </c>
      <c r="J625" t="n">
        <v>0</v>
      </c>
      <c r="K625" t="n">
        <v>0</v>
      </c>
      <c r="L625" t="n">
        <v>0</v>
      </c>
      <c r="M625" t="n">
        <v>0</v>
      </c>
      <c r="N625" t="n">
        <v>0</v>
      </c>
      <c r="O625" t="n">
        <v>0</v>
      </c>
      <c r="P625" t="n">
        <v>0</v>
      </c>
      <c r="Q625" t="n">
        <v>0</v>
      </c>
      <c r="R625" s="2" t="inlineStr"/>
    </row>
    <row r="626" ht="15" customHeight="1">
      <c r="A626" t="inlineStr">
        <is>
          <t>A 5120-2023</t>
        </is>
      </c>
      <c r="B626" s="1" t="n">
        <v>44953</v>
      </c>
      <c r="C626" s="1" t="n">
        <v>45723</v>
      </c>
      <c r="D626" t="inlineStr">
        <is>
          <t>ÖREBRO LÄN</t>
        </is>
      </c>
      <c r="E626" t="inlineStr">
        <is>
          <t>ÖREBRO</t>
        </is>
      </c>
      <c r="G626" t="n">
        <v>1.7</v>
      </c>
      <c r="H626" t="n">
        <v>0</v>
      </c>
      <c r="I626" t="n">
        <v>0</v>
      </c>
      <c r="J626" t="n">
        <v>0</v>
      </c>
      <c r="K626" t="n">
        <v>0</v>
      </c>
      <c r="L626" t="n">
        <v>0</v>
      </c>
      <c r="M626" t="n">
        <v>0</v>
      </c>
      <c r="N626" t="n">
        <v>0</v>
      </c>
      <c r="O626" t="n">
        <v>0</v>
      </c>
      <c r="P626" t="n">
        <v>0</v>
      </c>
      <c r="Q626" t="n">
        <v>0</v>
      </c>
      <c r="R626" s="2" t="inlineStr"/>
    </row>
    <row r="627" ht="15" customHeight="1">
      <c r="A627" t="inlineStr">
        <is>
          <t>A 4557-2023</t>
        </is>
      </c>
      <c r="B627" s="1" t="n">
        <v>44956</v>
      </c>
      <c r="C627" s="1" t="n">
        <v>45723</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4416-2023</t>
        </is>
      </c>
      <c r="B628" s="1" t="n">
        <v>44956</v>
      </c>
      <c r="C628" s="1" t="n">
        <v>45723</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5619-2023</t>
        </is>
      </c>
      <c r="B629" s="1" t="n">
        <v>44958</v>
      </c>
      <c r="C629" s="1" t="n">
        <v>45723</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5847-2023</t>
        </is>
      </c>
      <c r="B630" s="1" t="n">
        <v>44963</v>
      </c>
      <c r="C630" s="1" t="n">
        <v>45723</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5883-2023</t>
        </is>
      </c>
      <c r="B631" s="1" t="n">
        <v>44963</v>
      </c>
      <c r="C631" s="1" t="n">
        <v>45723</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6513-2023</t>
        </is>
      </c>
      <c r="B632" s="1" t="n">
        <v>44966</v>
      </c>
      <c r="C632" s="1" t="n">
        <v>45723</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6522-2023</t>
        </is>
      </c>
      <c r="B633" s="1" t="n">
        <v>44966</v>
      </c>
      <c r="C633" s="1" t="n">
        <v>45723</v>
      </c>
      <c r="D633" t="inlineStr">
        <is>
          <t>ÖREBRO LÄN</t>
        </is>
      </c>
      <c r="E633" t="inlineStr">
        <is>
          <t>ÖREBRO</t>
        </is>
      </c>
      <c r="G633" t="n">
        <v>4.4</v>
      </c>
      <c r="H633" t="n">
        <v>0</v>
      </c>
      <c r="I633" t="n">
        <v>0</v>
      </c>
      <c r="J633" t="n">
        <v>0</v>
      </c>
      <c r="K633" t="n">
        <v>0</v>
      </c>
      <c r="L633" t="n">
        <v>0</v>
      </c>
      <c r="M633" t="n">
        <v>0</v>
      </c>
      <c r="N633" t="n">
        <v>0</v>
      </c>
      <c r="O633" t="n">
        <v>0</v>
      </c>
      <c r="P633" t="n">
        <v>0</v>
      </c>
      <c r="Q633" t="n">
        <v>0</v>
      </c>
      <c r="R633" s="2" t="inlineStr"/>
    </row>
    <row r="634" ht="15" customHeight="1">
      <c r="A634" t="inlineStr">
        <is>
          <t>A 6528-2023</t>
        </is>
      </c>
      <c r="B634" s="1" t="n">
        <v>44966</v>
      </c>
      <c r="C634" s="1" t="n">
        <v>45723</v>
      </c>
      <c r="D634" t="inlineStr">
        <is>
          <t>ÖREBRO LÄN</t>
        </is>
      </c>
      <c r="E634" t="inlineStr">
        <is>
          <t>ÖREBRO</t>
        </is>
      </c>
      <c r="G634" t="n">
        <v>2.4</v>
      </c>
      <c r="H634" t="n">
        <v>0</v>
      </c>
      <c r="I634" t="n">
        <v>0</v>
      </c>
      <c r="J634" t="n">
        <v>0</v>
      </c>
      <c r="K634" t="n">
        <v>0</v>
      </c>
      <c r="L634" t="n">
        <v>0</v>
      </c>
      <c r="M634" t="n">
        <v>0</v>
      </c>
      <c r="N634" t="n">
        <v>0</v>
      </c>
      <c r="O634" t="n">
        <v>0</v>
      </c>
      <c r="P634" t="n">
        <v>0</v>
      </c>
      <c r="Q634" t="n">
        <v>0</v>
      </c>
      <c r="R634" s="2" t="inlineStr"/>
    </row>
    <row r="635" ht="15" customHeight="1">
      <c r="A635" t="inlineStr">
        <is>
          <t>A 8584-2023</t>
        </is>
      </c>
      <c r="B635" s="1" t="n">
        <v>44977</v>
      </c>
      <c r="C635" s="1" t="n">
        <v>45723</v>
      </c>
      <c r="D635" t="inlineStr">
        <is>
          <t>ÖREBRO LÄN</t>
        </is>
      </c>
      <c r="E635" t="inlineStr">
        <is>
          <t>ÖREBRO</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9314-2023</t>
        </is>
      </c>
      <c r="B636" s="1" t="n">
        <v>44980</v>
      </c>
      <c r="C636" s="1" t="n">
        <v>45723</v>
      </c>
      <c r="D636" t="inlineStr">
        <is>
          <t>ÖREBRO LÄN</t>
        </is>
      </c>
      <c r="E636" t="inlineStr">
        <is>
          <t>ÖREBRO</t>
        </is>
      </c>
      <c r="G636" t="n">
        <v>0.8</v>
      </c>
      <c r="H636" t="n">
        <v>0</v>
      </c>
      <c r="I636" t="n">
        <v>0</v>
      </c>
      <c r="J636" t="n">
        <v>0</v>
      </c>
      <c r="K636" t="n">
        <v>0</v>
      </c>
      <c r="L636" t="n">
        <v>0</v>
      </c>
      <c r="M636" t="n">
        <v>0</v>
      </c>
      <c r="N636" t="n">
        <v>0</v>
      </c>
      <c r="O636" t="n">
        <v>0</v>
      </c>
      <c r="P636" t="n">
        <v>0</v>
      </c>
      <c r="Q636" t="n">
        <v>0</v>
      </c>
      <c r="R636" s="2" t="inlineStr"/>
    </row>
    <row r="637" ht="15" customHeight="1">
      <c r="A637" t="inlineStr">
        <is>
          <t>A 9609-2023</t>
        </is>
      </c>
      <c r="B637" s="1" t="n">
        <v>44983</v>
      </c>
      <c r="C637" s="1" t="n">
        <v>45723</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9704-2023</t>
        </is>
      </c>
      <c r="B638" s="1" t="n">
        <v>44984</v>
      </c>
      <c r="C638" s="1" t="n">
        <v>45723</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10339-2023</t>
        </is>
      </c>
      <c r="B639" s="1" t="n">
        <v>44987</v>
      </c>
      <c r="C639" s="1" t="n">
        <v>45723</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10832-2023</t>
        </is>
      </c>
      <c r="B640" s="1" t="n">
        <v>44990</v>
      </c>
      <c r="C640" s="1" t="n">
        <v>45723</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10829-2023</t>
        </is>
      </c>
      <c r="B641" s="1" t="n">
        <v>44990</v>
      </c>
      <c r="C641" s="1" t="n">
        <v>45723</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10831-2023</t>
        </is>
      </c>
      <c r="B642" s="1" t="n">
        <v>44990</v>
      </c>
      <c r="C642" s="1" t="n">
        <v>45723</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10830-2023</t>
        </is>
      </c>
      <c r="B643" s="1" t="n">
        <v>44990</v>
      </c>
      <c r="C643" s="1" t="n">
        <v>45723</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11118-2023</t>
        </is>
      </c>
      <c r="B644" s="1" t="n">
        <v>44992</v>
      </c>
      <c r="C644" s="1" t="n">
        <v>45723</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11473-2023</t>
        </is>
      </c>
      <c r="B645" s="1" t="n">
        <v>44993</v>
      </c>
      <c r="C645" s="1" t="n">
        <v>45723</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11382-2023</t>
        </is>
      </c>
      <c r="B646" s="1" t="n">
        <v>44993</v>
      </c>
      <c r="C646" s="1" t="n">
        <v>45723</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11391-2023</t>
        </is>
      </c>
      <c r="B647" s="1" t="n">
        <v>44993</v>
      </c>
      <c r="C647" s="1" t="n">
        <v>45723</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11565-2023</t>
        </is>
      </c>
      <c r="B648" s="1" t="n">
        <v>44994</v>
      </c>
      <c r="C648" s="1" t="n">
        <v>45723</v>
      </c>
      <c r="D648" t="inlineStr">
        <is>
          <t>ÖREBRO LÄN</t>
        </is>
      </c>
      <c r="E648" t="inlineStr">
        <is>
          <t>ÖREBRO</t>
        </is>
      </c>
      <c r="G648" t="n">
        <v>4.7</v>
      </c>
      <c r="H648" t="n">
        <v>0</v>
      </c>
      <c r="I648" t="n">
        <v>0</v>
      </c>
      <c r="J648" t="n">
        <v>0</v>
      </c>
      <c r="K648" t="n">
        <v>0</v>
      </c>
      <c r="L648" t="n">
        <v>0</v>
      </c>
      <c r="M648" t="n">
        <v>0</v>
      </c>
      <c r="N648" t="n">
        <v>0</v>
      </c>
      <c r="O648" t="n">
        <v>0</v>
      </c>
      <c r="P648" t="n">
        <v>0</v>
      </c>
      <c r="Q648" t="n">
        <v>0</v>
      </c>
      <c r="R648" s="2" t="inlineStr"/>
    </row>
    <row r="649" ht="15" customHeight="1">
      <c r="A649" t="inlineStr">
        <is>
          <t>A 12099-2023</t>
        </is>
      </c>
      <c r="B649" s="1" t="n">
        <v>44998</v>
      </c>
      <c r="C649" s="1" t="n">
        <v>45723</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12102-2023</t>
        </is>
      </c>
      <c r="B650" s="1" t="n">
        <v>44998</v>
      </c>
      <c r="C650" s="1" t="n">
        <v>45723</v>
      </c>
      <c r="D650" t="inlineStr">
        <is>
          <t>ÖREBRO LÄN</t>
        </is>
      </c>
      <c r="E650" t="inlineStr">
        <is>
          <t>ÖREBRO</t>
        </is>
      </c>
      <c r="G650" t="n">
        <v>3.5</v>
      </c>
      <c r="H650" t="n">
        <v>0</v>
      </c>
      <c r="I650" t="n">
        <v>0</v>
      </c>
      <c r="J650" t="n">
        <v>0</v>
      </c>
      <c r="K650" t="n">
        <v>0</v>
      </c>
      <c r="L650" t="n">
        <v>0</v>
      </c>
      <c r="M650" t="n">
        <v>0</v>
      </c>
      <c r="N650" t="n">
        <v>0</v>
      </c>
      <c r="O650" t="n">
        <v>0</v>
      </c>
      <c r="P650" t="n">
        <v>0</v>
      </c>
      <c r="Q650" t="n">
        <v>0</v>
      </c>
      <c r="R650" s="2" t="inlineStr"/>
    </row>
    <row r="651" ht="15" customHeight="1">
      <c r="A651" t="inlineStr">
        <is>
          <t>A 12245-2023</t>
        </is>
      </c>
      <c r="B651" s="1" t="n">
        <v>44998</v>
      </c>
      <c r="C651" s="1" t="n">
        <v>45723</v>
      </c>
      <c r="D651" t="inlineStr">
        <is>
          <t>ÖREBRO LÄN</t>
        </is>
      </c>
      <c r="E651" t="inlineStr">
        <is>
          <t>ÖREBRO</t>
        </is>
      </c>
      <c r="G651" t="n">
        <v>1.2</v>
      </c>
      <c r="H651" t="n">
        <v>0</v>
      </c>
      <c r="I651" t="n">
        <v>0</v>
      </c>
      <c r="J651" t="n">
        <v>0</v>
      </c>
      <c r="K651" t="n">
        <v>0</v>
      </c>
      <c r="L651" t="n">
        <v>0</v>
      </c>
      <c r="M651" t="n">
        <v>0</v>
      </c>
      <c r="N651" t="n">
        <v>0</v>
      </c>
      <c r="O651" t="n">
        <v>0</v>
      </c>
      <c r="P651" t="n">
        <v>0</v>
      </c>
      <c r="Q651" t="n">
        <v>0</v>
      </c>
      <c r="R651" s="2" t="inlineStr"/>
    </row>
    <row r="652" ht="15" customHeight="1">
      <c r="A652" t="inlineStr">
        <is>
          <t>A 12638-2023</t>
        </is>
      </c>
      <c r="B652" s="1" t="n">
        <v>45000</v>
      </c>
      <c r="C652" s="1" t="n">
        <v>45723</v>
      </c>
      <c r="D652" t="inlineStr">
        <is>
          <t>ÖREBRO LÄN</t>
        </is>
      </c>
      <c r="E652" t="inlineStr">
        <is>
          <t>ÖREBRO</t>
        </is>
      </c>
      <c r="F652" t="inlineStr">
        <is>
          <t>Övriga Aktiebolag</t>
        </is>
      </c>
      <c r="G652" t="n">
        <v>6.3</v>
      </c>
      <c r="H652" t="n">
        <v>0</v>
      </c>
      <c r="I652" t="n">
        <v>0</v>
      </c>
      <c r="J652" t="n">
        <v>0</v>
      </c>
      <c r="K652" t="n">
        <v>0</v>
      </c>
      <c r="L652" t="n">
        <v>0</v>
      </c>
      <c r="M652" t="n">
        <v>0</v>
      </c>
      <c r="N652" t="n">
        <v>0</v>
      </c>
      <c r="O652" t="n">
        <v>0</v>
      </c>
      <c r="P652" t="n">
        <v>0</v>
      </c>
      <c r="Q652" t="n">
        <v>0</v>
      </c>
      <c r="R652" s="2" t="inlineStr"/>
    </row>
    <row r="653" ht="15" customHeight="1">
      <c r="A653" t="inlineStr">
        <is>
          <t>A 12682-2023</t>
        </is>
      </c>
      <c r="B653" s="1" t="n">
        <v>45000</v>
      </c>
      <c r="C653" s="1" t="n">
        <v>45723</v>
      </c>
      <c r="D653" t="inlineStr">
        <is>
          <t>ÖREBRO LÄN</t>
        </is>
      </c>
      <c r="E653" t="inlineStr">
        <is>
          <t>ÖREBRO</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13181-2023</t>
        </is>
      </c>
      <c r="B654" s="1" t="n">
        <v>45002</v>
      </c>
      <c r="C654" s="1" t="n">
        <v>45723</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13355-2023</t>
        </is>
      </c>
      <c r="B655" s="1" t="n">
        <v>45004</v>
      </c>
      <c r="C655" s="1" t="n">
        <v>45723</v>
      </c>
      <c r="D655" t="inlineStr">
        <is>
          <t>ÖREBRO LÄN</t>
        </is>
      </c>
      <c r="E655" t="inlineStr">
        <is>
          <t>ÖREBRO</t>
        </is>
      </c>
      <c r="G655" t="n">
        <v>2.3</v>
      </c>
      <c r="H655" t="n">
        <v>0</v>
      </c>
      <c r="I655" t="n">
        <v>0</v>
      </c>
      <c r="J655" t="n">
        <v>0</v>
      </c>
      <c r="K655" t="n">
        <v>0</v>
      </c>
      <c r="L655" t="n">
        <v>0</v>
      </c>
      <c r="M655" t="n">
        <v>0</v>
      </c>
      <c r="N655" t="n">
        <v>0</v>
      </c>
      <c r="O655" t="n">
        <v>0</v>
      </c>
      <c r="P655" t="n">
        <v>0</v>
      </c>
      <c r="Q655" t="n">
        <v>0</v>
      </c>
      <c r="R655" s="2" t="inlineStr"/>
    </row>
    <row r="656" ht="15" customHeight="1">
      <c r="A656" t="inlineStr">
        <is>
          <t>A 13347-2023</t>
        </is>
      </c>
      <c r="B656" s="1" t="n">
        <v>45004</v>
      </c>
      <c r="C656" s="1" t="n">
        <v>45723</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13592-2023</t>
        </is>
      </c>
      <c r="B657" s="1" t="n">
        <v>45006</v>
      </c>
      <c r="C657" s="1" t="n">
        <v>45723</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13762-2023</t>
        </is>
      </c>
      <c r="B658" s="1" t="n">
        <v>45007</v>
      </c>
      <c r="C658" s="1" t="n">
        <v>45723</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13763-2023</t>
        </is>
      </c>
      <c r="B659" s="1" t="n">
        <v>45007</v>
      </c>
      <c r="C659" s="1" t="n">
        <v>45723</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13764-2023</t>
        </is>
      </c>
      <c r="B660" s="1" t="n">
        <v>45007</v>
      </c>
      <c r="C660" s="1" t="n">
        <v>45723</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14003-2023</t>
        </is>
      </c>
      <c r="B661" s="1" t="n">
        <v>45007</v>
      </c>
      <c r="C661" s="1" t="n">
        <v>45723</v>
      </c>
      <c r="D661" t="inlineStr">
        <is>
          <t>ÖREBRO LÄN</t>
        </is>
      </c>
      <c r="E661" t="inlineStr">
        <is>
          <t>ÖREBRO</t>
        </is>
      </c>
      <c r="G661" t="n">
        <v>3.1</v>
      </c>
      <c r="H661" t="n">
        <v>0</v>
      </c>
      <c r="I661" t="n">
        <v>0</v>
      </c>
      <c r="J661" t="n">
        <v>0</v>
      </c>
      <c r="K661" t="n">
        <v>0</v>
      </c>
      <c r="L661" t="n">
        <v>0</v>
      </c>
      <c r="M661" t="n">
        <v>0</v>
      </c>
      <c r="N661" t="n">
        <v>0</v>
      </c>
      <c r="O661" t="n">
        <v>0</v>
      </c>
      <c r="P661" t="n">
        <v>0</v>
      </c>
      <c r="Q661" t="n">
        <v>0</v>
      </c>
      <c r="R661" s="2" t="inlineStr"/>
    </row>
    <row r="662" ht="15" customHeight="1">
      <c r="A662" t="inlineStr">
        <is>
          <t>A 13912-2023</t>
        </is>
      </c>
      <c r="B662" s="1" t="n">
        <v>45008</v>
      </c>
      <c r="C662" s="1" t="n">
        <v>45723</v>
      </c>
      <c r="D662" t="inlineStr">
        <is>
          <t>ÖREBRO LÄN</t>
        </is>
      </c>
      <c r="E662" t="inlineStr">
        <is>
          <t>ÖREBRO</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14289-2023</t>
        </is>
      </c>
      <c r="B663" s="1" t="n">
        <v>45010</v>
      </c>
      <c r="C663" s="1" t="n">
        <v>45723</v>
      </c>
      <c r="D663" t="inlineStr">
        <is>
          <t>ÖREBRO LÄN</t>
        </is>
      </c>
      <c r="E663" t="inlineStr">
        <is>
          <t>ÖREBRO</t>
        </is>
      </c>
      <c r="G663" t="n">
        <v>1.5</v>
      </c>
      <c r="H663" t="n">
        <v>0</v>
      </c>
      <c r="I663" t="n">
        <v>0</v>
      </c>
      <c r="J663" t="n">
        <v>0</v>
      </c>
      <c r="K663" t="n">
        <v>0</v>
      </c>
      <c r="L663" t="n">
        <v>0</v>
      </c>
      <c r="M663" t="n">
        <v>0</v>
      </c>
      <c r="N663" t="n">
        <v>0</v>
      </c>
      <c r="O663" t="n">
        <v>0</v>
      </c>
      <c r="P663" t="n">
        <v>0</v>
      </c>
      <c r="Q663" t="n">
        <v>0</v>
      </c>
      <c r="R663" s="2" t="inlineStr"/>
    </row>
    <row r="664" ht="15" customHeight="1">
      <c r="A664" t="inlineStr">
        <is>
          <t>A 14291-2023</t>
        </is>
      </c>
      <c r="B664" s="1" t="n">
        <v>45010</v>
      </c>
      <c r="C664" s="1" t="n">
        <v>45723</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14290-2023</t>
        </is>
      </c>
      <c r="B665" s="1" t="n">
        <v>45010</v>
      </c>
      <c r="C665" s="1" t="n">
        <v>45723</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14469-2023</t>
        </is>
      </c>
      <c r="B666" s="1" t="n">
        <v>45012</v>
      </c>
      <c r="C666" s="1" t="n">
        <v>45723</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14432-2023</t>
        </is>
      </c>
      <c r="B667" s="1" t="n">
        <v>45012</v>
      </c>
      <c r="C667" s="1" t="n">
        <v>45723</v>
      </c>
      <c r="D667" t="inlineStr">
        <is>
          <t>ÖREBRO LÄN</t>
        </is>
      </c>
      <c r="E667" t="inlineStr">
        <is>
          <t>ÖREBRO</t>
        </is>
      </c>
      <c r="G667" t="n">
        <v>3.3</v>
      </c>
      <c r="H667" t="n">
        <v>0</v>
      </c>
      <c r="I667" t="n">
        <v>0</v>
      </c>
      <c r="J667" t="n">
        <v>0</v>
      </c>
      <c r="K667" t="n">
        <v>0</v>
      </c>
      <c r="L667" t="n">
        <v>0</v>
      </c>
      <c r="M667" t="n">
        <v>0</v>
      </c>
      <c r="N667" t="n">
        <v>0</v>
      </c>
      <c r="O667" t="n">
        <v>0</v>
      </c>
      <c r="P667" t="n">
        <v>0</v>
      </c>
      <c r="Q667" t="n">
        <v>0</v>
      </c>
      <c r="R667" s="2" t="inlineStr"/>
    </row>
    <row r="668" ht="15" customHeight="1">
      <c r="A668" t="inlineStr">
        <is>
          <t>A 14487-2023</t>
        </is>
      </c>
      <c r="B668" s="1" t="n">
        <v>45012</v>
      </c>
      <c r="C668" s="1" t="n">
        <v>45723</v>
      </c>
      <c r="D668" t="inlineStr">
        <is>
          <t>ÖREBRO LÄN</t>
        </is>
      </c>
      <c r="E668" t="inlineStr">
        <is>
          <t>ÖREBRO</t>
        </is>
      </c>
      <c r="G668" t="n">
        <v>0.5</v>
      </c>
      <c r="H668" t="n">
        <v>0</v>
      </c>
      <c r="I668" t="n">
        <v>0</v>
      </c>
      <c r="J668" t="n">
        <v>0</v>
      </c>
      <c r="K668" t="n">
        <v>0</v>
      </c>
      <c r="L668" t="n">
        <v>0</v>
      </c>
      <c r="M668" t="n">
        <v>0</v>
      </c>
      <c r="N668" t="n">
        <v>0</v>
      </c>
      <c r="O668" t="n">
        <v>0</v>
      </c>
      <c r="P668" t="n">
        <v>0</v>
      </c>
      <c r="Q668" t="n">
        <v>0</v>
      </c>
      <c r="R668" s="2" t="inlineStr"/>
    </row>
    <row r="669" ht="15" customHeight="1">
      <c r="A669" t="inlineStr">
        <is>
          <t>A 14543-2023</t>
        </is>
      </c>
      <c r="B669" s="1" t="n">
        <v>45013</v>
      </c>
      <c r="C669" s="1" t="n">
        <v>45723</v>
      </c>
      <c r="D669" t="inlineStr">
        <is>
          <t>ÖREBRO LÄN</t>
        </is>
      </c>
      <c r="E669" t="inlineStr">
        <is>
          <t>ÖREBRO</t>
        </is>
      </c>
      <c r="G669" t="n">
        <v>4.5</v>
      </c>
      <c r="H669" t="n">
        <v>0</v>
      </c>
      <c r="I669" t="n">
        <v>0</v>
      </c>
      <c r="J669" t="n">
        <v>0</v>
      </c>
      <c r="K669" t="n">
        <v>0</v>
      </c>
      <c r="L669" t="n">
        <v>0</v>
      </c>
      <c r="M669" t="n">
        <v>0</v>
      </c>
      <c r="N669" t="n">
        <v>0</v>
      </c>
      <c r="O669" t="n">
        <v>0</v>
      </c>
      <c r="P669" t="n">
        <v>0</v>
      </c>
      <c r="Q669" t="n">
        <v>0</v>
      </c>
      <c r="R669" s="2" t="inlineStr"/>
    </row>
    <row r="670" ht="15" customHeight="1">
      <c r="A670" t="inlineStr">
        <is>
          <t>A 14544-2023</t>
        </is>
      </c>
      <c r="B670" s="1" t="n">
        <v>45013</v>
      </c>
      <c r="C670" s="1" t="n">
        <v>45723</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14571-2023</t>
        </is>
      </c>
      <c r="B671" s="1" t="n">
        <v>45013</v>
      </c>
      <c r="C671" s="1" t="n">
        <v>45723</v>
      </c>
      <c r="D671" t="inlineStr">
        <is>
          <t>ÖREBRO LÄN</t>
        </is>
      </c>
      <c r="E671" t="inlineStr">
        <is>
          <t>ÖREBRO</t>
        </is>
      </c>
      <c r="G671" t="n">
        <v>3</v>
      </c>
      <c r="H671" t="n">
        <v>0</v>
      </c>
      <c r="I671" t="n">
        <v>0</v>
      </c>
      <c r="J671" t="n">
        <v>0</v>
      </c>
      <c r="K671" t="n">
        <v>0</v>
      </c>
      <c r="L671" t="n">
        <v>0</v>
      </c>
      <c r="M671" t="n">
        <v>0</v>
      </c>
      <c r="N671" t="n">
        <v>0</v>
      </c>
      <c r="O671" t="n">
        <v>0</v>
      </c>
      <c r="P671" t="n">
        <v>0</v>
      </c>
      <c r="Q671" t="n">
        <v>0</v>
      </c>
      <c r="R671" s="2" t="inlineStr"/>
    </row>
    <row r="672" ht="15" customHeight="1">
      <c r="A672" t="inlineStr">
        <is>
          <t>A 14545-2023</t>
        </is>
      </c>
      <c r="B672" s="1" t="n">
        <v>45013</v>
      </c>
      <c r="C672" s="1" t="n">
        <v>45723</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14630-2023</t>
        </is>
      </c>
      <c r="B673" s="1" t="n">
        <v>45013</v>
      </c>
      <c r="C673" s="1" t="n">
        <v>45723</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15473-2023</t>
        </is>
      </c>
      <c r="B674" s="1" t="n">
        <v>45016</v>
      </c>
      <c r="C674" s="1" t="n">
        <v>45723</v>
      </c>
      <c r="D674" t="inlineStr">
        <is>
          <t>ÖREBRO LÄN</t>
        </is>
      </c>
      <c r="E674" t="inlineStr">
        <is>
          <t>ÖREBRO</t>
        </is>
      </c>
      <c r="G674" t="n">
        <v>3.8</v>
      </c>
      <c r="H674" t="n">
        <v>0</v>
      </c>
      <c r="I674" t="n">
        <v>0</v>
      </c>
      <c r="J674" t="n">
        <v>0</v>
      </c>
      <c r="K674" t="n">
        <v>0</v>
      </c>
      <c r="L674" t="n">
        <v>0</v>
      </c>
      <c r="M674" t="n">
        <v>0</v>
      </c>
      <c r="N674" t="n">
        <v>0</v>
      </c>
      <c r="O674" t="n">
        <v>0</v>
      </c>
      <c r="P674" t="n">
        <v>0</v>
      </c>
      <c r="Q674" t="n">
        <v>0</v>
      </c>
      <c r="R674" s="2" t="inlineStr"/>
    </row>
    <row r="675" ht="15" customHeight="1">
      <c r="A675" t="inlineStr">
        <is>
          <t>A 15679-2023</t>
        </is>
      </c>
      <c r="B675" s="1" t="n">
        <v>45021</v>
      </c>
      <c r="C675" s="1" t="n">
        <v>45723</v>
      </c>
      <c r="D675" t="inlineStr">
        <is>
          <t>ÖREBRO LÄN</t>
        </is>
      </c>
      <c r="E675" t="inlineStr">
        <is>
          <t>ÖREBRO</t>
        </is>
      </c>
      <c r="G675" t="n">
        <v>4.2</v>
      </c>
      <c r="H675" t="n">
        <v>0</v>
      </c>
      <c r="I675" t="n">
        <v>0</v>
      </c>
      <c r="J675" t="n">
        <v>0</v>
      </c>
      <c r="K675" t="n">
        <v>0</v>
      </c>
      <c r="L675" t="n">
        <v>0</v>
      </c>
      <c r="M675" t="n">
        <v>0</v>
      </c>
      <c r="N675" t="n">
        <v>0</v>
      </c>
      <c r="O675" t="n">
        <v>0</v>
      </c>
      <c r="P675" t="n">
        <v>0</v>
      </c>
      <c r="Q675" t="n">
        <v>0</v>
      </c>
      <c r="R675" s="2" t="inlineStr"/>
    </row>
    <row r="676" ht="15" customHeight="1">
      <c r="A676" t="inlineStr">
        <is>
          <t>A 15789-2023</t>
        </is>
      </c>
      <c r="B676" s="1" t="n">
        <v>45021</v>
      </c>
      <c r="C676" s="1" t="n">
        <v>45723</v>
      </c>
      <c r="D676" t="inlineStr">
        <is>
          <t>ÖREBRO LÄN</t>
        </is>
      </c>
      <c r="E676" t="inlineStr">
        <is>
          <t>ÖREBRO</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15682-2023</t>
        </is>
      </c>
      <c r="B677" s="1" t="n">
        <v>45021</v>
      </c>
      <c r="C677" s="1" t="n">
        <v>45723</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16140-2023</t>
        </is>
      </c>
      <c r="B678" s="1" t="n">
        <v>45027</v>
      </c>
      <c r="C678" s="1" t="n">
        <v>45723</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16165-2023</t>
        </is>
      </c>
      <c r="B679" s="1" t="n">
        <v>45027</v>
      </c>
      <c r="C679" s="1" t="n">
        <v>45723</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16908-2023</t>
        </is>
      </c>
      <c r="B680" s="1" t="n">
        <v>45028</v>
      </c>
      <c r="C680" s="1" t="n">
        <v>45723</v>
      </c>
      <c r="D680" t="inlineStr">
        <is>
          <t>ÖREBRO LÄN</t>
        </is>
      </c>
      <c r="E680" t="inlineStr">
        <is>
          <t>ÖREBRO</t>
        </is>
      </c>
      <c r="G680" t="n">
        <v>1.4</v>
      </c>
      <c r="H680" t="n">
        <v>0</v>
      </c>
      <c r="I680" t="n">
        <v>0</v>
      </c>
      <c r="J680" t="n">
        <v>0</v>
      </c>
      <c r="K680" t="n">
        <v>0</v>
      </c>
      <c r="L680" t="n">
        <v>0</v>
      </c>
      <c r="M680" t="n">
        <v>0</v>
      </c>
      <c r="N680" t="n">
        <v>0</v>
      </c>
      <c r="O680" t="n">
        <v>0</v>
      </c>
      <c r="P680" t="n">
        <v>0</v>
      </c>
      <c r="Q680" t="n">
        <v>0</v>
      </c>
      <c r="R680" s="2" t="inlineStr"/>
    </row>
    <row r="681" ht="15" customHeight="1">
      <c r="A681" t="inlineStr">
        <is>
          <t>A 16498-2023</t>
        </is>
      </c>
      <c r="B681" s="1" t="n">
        <v>45029</v>
      </c>
      <c r="C681" s="1" t="n">
        <v>45723</v>
      </c>
      <c r="D681" t="inlineStr">
        <is>
          <t>ÖREBRO LÄN</t>
        </is>
      </c>
      <c r="E681" t="inlineStr">
        <is>
          <t>ÖREBRO</t>
        </is>
      </c>
      <c r="G681" t="n">
        <v>9.1</v>
      </c>
      <c r="H681" t="n">
        <v>0</v>
      </c>
      <c r="I681" t="n">
        <v>0</v>
      </c>
      <c r="J681" t="n">
        <v>0</v>
      </c>
      <c r="K681" t="n">
        <v>0</v>
      </c>
      <c r="L681" t="n">
        <v>0</v>
      </c>
      <c r="M681" t="n">
        <v>0</v>
      </c>
      <c r="N681" t="n">
        <v>0</v>
      </c>
      <c r="O681" t="n">
        <v>0</v>
      </c>
      <c r="P681" t="n">
        <v>0</v>
      </c>
      <c r="Q681" t="n">
        <v>0</v>
      </c>
      <c r="R681" s="2" t="inlineStr"/>
    </row>
    <row r="682" ht="15" customHeight="1">
      <c r="A682" t="inlineStr">
        <is>
          <t>A 16739-2023</t>
        </is>
      </c>
      <c r="B682" s="1" t="n">
        <v>45030</v>
      </c>
      <c r="C682" s="1" t="n">
        <v>45723</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16737-2023</t>
        </is>
      </c>
      <c r="B683" s="1" t="n">
        <v>45030</v>
      </c>
      <c r="C683" s="1" t="n">
        <v>45723</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16736-2023</t>
        </is>
      </c>
      <c r="B684" s="1" t="n">
        <v>45030</v>
      </c>
      <c r="C684" s="1" t="n">
        <v>45723</v>
      </c>
      <c r="D684" t="inlineStr">
        <is>
          <t>ÖREBRO LÄN</t>
        </is>
      </c>
      <c r="E684" t="inlineStr">
        <is>
          <t>ÖREBRO</t>
        </is>
      </c>
      <c r="G684" t="n">
        <v>4</v>
      </c>
      <c r="H684" t="n">
        <v>0</v>
      </c>
      <c r="I684" t="n">
        <v>0</v>
      </c>
      <c r="J684" t="n">
        <v>0</v>
      </c>
      <c r="K684" t="n">
        <v>0</v>
      </c>
      <c r="L684" t="n">
        <v>0</v>
      </c>
      <c r="M684" t="n">
        <v>0</v>
      </c>
      <c r="N684" t="n">
        <v>0</v>
      </c>
      <c r="O684" t="n">
        <v>0</v>
      </c>
      <c r="P684" t="n">
        <v>0</v>
      </c>
      <c r="Q684" t="n">
        <v>0</v>
      </c>
      <c r="R684" s="2" t="inlineStr"/>
    </row>
    <row r="685" ht="15" customHeight="1">
      <c r="A685" t="inlineStr">
        <is>
          <t>A 16742-2023</t>
        </is>
      </c>
      <c r="B685" s="1" t="n">
        <v>45030</v>
      </c>
      <c r="C685" s="1" t="n">
        <v>45723</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16936-2023</t>
        </is>
      </c>
      <c r="B686" s="1" t="n">
        <v>45033</v>
      </c>
      <c r="C686" s="1" t="n">
        <v>45723</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17465-2023</t>
        </is>
      </c>
      <c r="B687" s="1" t="n">
        <v>45036</v>
      </c>
      <c r="C687" s="1" t="n">
        <v>45723</v>
      </c>
      <c r="D687" t="inlineStr">
        <is>
          <t>ÖREBRO LÄN</t>
        </is>
      </c>
      <c r="E687" t="inlineStr">
        <is>
          <t>ÖREBRO</t>
        </is>
      </c>
      <c r="G687" t="n">
        <v>0.8</v>
      </c>
      <c r="H687" t="n">
        <v>0</v>
      </c>
      <c r="I687" t="n">
        <v>0</v>
      </c>
      <c r="J687" t="n">
        <v>0</v>
      </c>
      <c r="K687" t="n">
        <v>0</v>
      </c>
      <c r="L687" t="n">
        <v>0</v>
      </c>
      <c r="M687" t="n">
        <v>0</v>
      </c>
      <c r="N687" t="n">
        <v>0</v>
      </c>
      <c r="O687" t="n">
        <v>0</v>
      </c>
      <c r="P687" t="n">
        <v>0</v>
      </c>
      <c r="Q687" t="n">
        <v>0</v>
      </c>
      <c r="R687" s="2" t="inlineStr"/>
    </row>
    <row r="688" ht="15" customHeight="1">
      <c r="A688" t="inlineStr">
        <is>
          <t>A 17476-2023</t>
        </is>
      </c>
      <c r="B688" s="1" t="n">
        <v>45036</v>
      </c>
      <c r="C688" s="1" t="n">
        <v>45723</v>
      </c>
      <c r="D688" t="inlineStr">
        <is>
          <t>ÖREBRO LÄN</t>
        </is>
      </c>
      <c r="E688" t="inlineStr">
        <is>
          <t>ÖREBRO</t>
        </is>
      </c>
      <c r="G688" t="n">
        <v>2.5</v>
      </c>
      <c r="H688" t="n">
        <v>0</v>
      </c>
      <c r="I688" t="n">
        <v>0</v>
      </c>
      <c r="J688" t="n">
        <v>0</v>
      </c>
      <c r="K688" t="n">
        <v>0</v>
      </c>
      <c r="L688" t="n">
        <v>0</v>
      </c>
      <c r="M688" t="n">
        <v>0</v>
      </c>
      <c r="N688" t="n">
        <v>0</v>
      </c>
      <c r="O688" t="n">
        <v>0</v>
      </c>
      <c r="P688" t="n">
        <v>0</v>
      </c>
      <c r="Q688" t="n">
        <v>0</v>
      </c>
      <c r="R688" s="2" t="inlineStr"/>
    </row>
    <row r="689" ht="15" customHeight="1">
      <c r="A689" t="inlineStr">
        <is>
          <t>A 18047-2023</t>
        </is>
      </c>
      <c r="B689" s="1" t="n">
        <v>45040</v>
      </c>
      <c r="C689" s="1" t="n">
        <v>45723</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18449-2023</t>
        </is>
      </c>
      <c r="B690" s="1" t="n">
        <v>45042</v>
      </c>
      <c r="C690" s="1" t="n">
        <v>45723</v>
      </c>
      <c r="D690" t="inlineStr">
        <is>
          <t>ÖREBRO LÄN</t>
        </is>
      </c>
      <c r="E690" t="inlineStr">
        <is>
          <t>ÖREBRO</t>
        </is>
      </c>
      <c r="G690" t="n">
        <v>1.5</v>
      </c>
      <c r="H690" t="n">
        <v>0</v>
      </c>
      <c r="I690" t="n">
        <v>0</v>
      </c>
      <c r="J690" t="n">
        <v>0</v>
      </c>
      <c r="K690" t="n">
        <v>0</v>
      </c>
      <c r="L690" t="n">
        <v>0</v>
      </c>
      <c r="M690" t="n">
        <v>0</v>
      </c>
      <c r="N690" t="n">
        <v>0</v>
      </c>
      <c r="O690" t="n">
        <v>0</v>
      </c>
      <c r="P690" t="n">
        <v>0</v>
      </c>
      <c r="Q690" t="n">
        <v>0</v>
      </c>
      <c r="R690" s="2" t="inlineStr"/>
    </row>
    <row r="691" ht="15" customHeight="1">
      <c r="A691" t="inlineStr">
        <is>
          <t>A 18480-2023</t>
        </is>
      </c>
      <c r="B691" s="1" t="n">
        <v>45042</v>
      </c>
      <c r="C691" s="1" t="n">
        <v>45723</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18396-2023</t>
        </is>
      </c>
      <c r="B692" s="1" t="n">
        <v>45042</v>
      </c>
      <c r="C692" s="1" t="n">
        <v>45723</v>
      </c>
      <c r="D692" t="inlineStr">
        <is>
          <t>ÖREBRO LÄN</t>
        </is>
      </c>
      <c r="E692" t="inlineStr">
        <is>
          <t>ÖREBRO</t>
        </is>
      </c>
      <c r="G692" t="n">
        <v>26.8</v>
      </c>
      <c r="H692" t="n">
        <v>0</v>
      </c>
      <c r="I692" t="n">
        <v>0</v>
      </c>
      <c r="J692" t="n">
        <v>0</v>
      </c>
      <c r="K692" t="n">
        <v>0</v>
      </c>
      <c r="L692" t="n">
        <v>0</v>
      </c>
      <c r="M692" t="n">
        <v>0</v>
      </c>
      <c r="N692" t="n">
        <v>0</v>
      </c>
      <c r="O692" t="n">
        <v>0</v>
      </c>
      <c r="P692" t="n">
        <v>0</v>
      </c>
      <c r="Q692" t="n">
        <v>0</v>
      </c>
      <c r="R692" s="2" t="inlineStr"/>
    </row>
    <row r="693" ht="15" customHeight="1">
      <c r="A693" t="inlineStr">
        <is>
          <t>A 18450-2023</t>
        </is>
      </c>
      <c r="B693" s="1" t="n">
        <v>45042</v>
      </c>
      <c r="C693" s="1" t="n">
        <v>45723</v>
      </c>
      <c r="D693" t="inlineStr">
        <is>
          <t>ÖREBRO LÄN</t>
        </is>
      </c>
      <c r="E693" t="inlineStr">
        <is>
          <t>ÖREBRO</t>
        </is>
      </c>
      <c r="G693" t="n">
        <v>3.3</v>
      </c>
      <c r="H693" t="n">
        <v>0</v>
      </c>
      <c r="I693" t="n">
        <v>0</v>
      </c>
      <c r="J693" t="n">
        <v>0</v>
      </c>
      <c r="K693" t="n">
        <v>0</v>
      </c>
      <c r="L693" t="n">
        <v>0</v>
      </c>
      <c r="M693" t="n">
        <v>0</v>
      </c>
      <c r="N693" t="n">
        <v>0</v>
      </c>
      <c r="O693" t="n">
        <v>0</v>
      </c>
      <c r="P693" t="n">
        <v>0</v>
      </c>
      <c r="Q693" t="n">
        <v>0</v>
      </c>
      <c r="R693" s="2" t="inlineStr"/>
    </row>
    <row r="694" ht="15" customHeight="1">
      <c r="A694" t="inlineStr">
        <is>
          <t>A 18716-2023</t>
        </is>
      </c>
      <c r="B694" s="1" t="n">
        <v>45043</v>
      </c>
      <c r="C694" s="1" t="n">
        <v>45723</v>
      </c>
      <c r="D694" t="inlineStr">
        <is>
          <t>ÖREBRO LÄN</t>
        </is>
      </c>
      <c r="E694" t="inlineStr">
        <is>
          <t>ÖREBRO</t>
        </is>
      </c>
      <c r="G694" t="n">
        <v>0.7</v>
      </c>
      <c r="H694" t="n">
        <v>0</v>
      </c>
      <c r="I694" t="n">
        <v>0</v>
      </c>
      <c r="J694" t="n">
        <v>0</v>
      </c>
      <c r="K694" t="n">
        <v>0</v>
      </c>
      <c r="L694" t="n">
        <v>0</v>
      </c>
      <c r="M694" t="n">
        <v>0</v>
      </c>
      <c r="N694" t="n">
        <v>0</v>
      </c>
      <c r="O694" t="n">
        <v>0</v>
      </c>
      <c r="P694" t="n">
        <v>0</v>
      </c>
      <c r="Q694" t="n">
        <v>0</v>
      </c>
      <c r="R694" s="2" t="inlineStr"/>
    </row>
    <row r="695" ht="15" customHeight="1">
      <c r="A695" t="inlineStr">
        <is>
          <t>A 18747-2023</t>
        </is>
      </c>
      <c r="B695" s="1" t="n">
        <v>45043</v>
      </c>
      <c r="C695" s="1" t="n">
        <v>45723</v>
      </c>
      <c r="D695" t="inlineStr">
        <is>
          <t>ÖREBRO LÄN</t>
        </is>
      </c>
      <c r="E695" t="inlineStr">
        <is>
          <t>ÖREBRO</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19553-2023</t>
        </is>
      </c>
      <c r="B696" s="1" t="n">
        <v>45050</v>
      </c>
      <c r="C696" s="1" t="n">
        <v>45723</v>
      </c>
      <c r="D696" t="inlineStr">
        <is>
          <t>ÖREBRO LÄN</t>
        </is>
      </c>
      <c r="E696" t="inlineStr">
        <is>
          <t>ÖREBRO</t>
        </is>
      </c>
      <c r="G696" t="n">
        <v>2.1</v>
      </c>
      <c r="H696" t="n">
        <v>0</v>
      </c>
      <c r="I696" t="n">
        <v>0</v>
      </c>
      <c r="J696" t="n">
        <v>0</v>
      </c>
      <c r="K696" t="n">
        <v>0</v>
      </c>
      <c r="L696" t="n">
        <v>0</v>
      </c>
      <c r="M696" t="n">
        <v>0</v>
      </c>
      <c r="N696" t="n">
        <v>0</v>
      </c>
      <c r="O696" t="n">
        <v>0</v>
      </c>
      <c r="P696" t="n">
        <v>0</v>
      </c>
      <c r="Q696" t="n">
        <v>0</v>
      </c>
      <c r="R696" s="2" t="inlineStr"/>
    </row>
    <row r="697" ht="15" customHeight="1">
      <c r="A697" t="inlineStr">
        <is>
          <t>A 20245-2023</t>
        </is>
      </c>
      <c r="B697" s="1" t="n">
        <v>45055</v>
      </c>
      <c r="C697" s="1" t="n">
        <v>45723</v>
      </c>
      <c r="D697" t="inlineStr">
        <is>
          <t>ÖREBRO LÄN</t>
        </is>
      </c>
      <c r="E697" t="inlineStr">
        <is>
          <t>ÖREBRO</t>
        </is>
      </c>
      <c r="F697" t="inlineStr">
        <is>
          <t>Övriga Aktiebolag</t>
        </is>
      </c>
      <c r="G697" t="n">
        <v>11.7</v>
      </c>
      <c r="H697" t="n">
        <v>0</v>
      </c>
      <c r="I697" t="n">
        <v>0</v>
      </c>
      <c r="J697" t="n">
        <v>0</v>
      </c>
      <c r="K697" t="n">
        <v>0</v>
      </c>
      <c r="L697" t="n">
        <v>0</v>
      </c>
      <c r="M697" t="n">
        <v>0</v>
      </c>
      <c r="N697" t="n">
        <v>0</v>
      </c>
      <c r="O697" t="n">
        <v>0</v>
      </c>
      <c r="P697" t="n">
        <v>0</v>
      </c>
      <c r="Q697" t="n">
        <v>0</v>
      </c>
      <c r="R697" s="2" t="inlineStr"/>
    </row>
    <row r="698" ht="15" customHeight="1">
      <c r="A698" t="inlineStr">
        <is>
          <t>A 20249-2023</t>
        </is>
      </c>
      <c r="B698" s="1" t="n">
        <v>45055</v>
      </c>
      <c r="C698" s="1" t="n">
        <v>45723</v>
      </c>
      <c r="D698" t="inlineStr">
        <is>
          <t>ÖREBRO LÄN</t>
        </is>
      </c>
      <c r="E698" t="inlineStr">
        <is>
          <t>ÖREBRO</t>
        </is>
      </c>
      <c r="F698" t="inlineStr">
        <is>
          <t>Övriga Aktiebolag</t>
        </is>
      </c>
      <c r="G698" t="n">
        <v>6.7</v>
      </c>
      <c r="H698" t="n">
        <v>0</v>
      </c>
      <c r="I698" t="n">
        <v>0</v>
      </c>
      <c r="J698" t="n">
        <v>0</v>
      </c>
      <c r="K698" t="n">
        <v>0</v>
      </c>
      <c r="L698" t="n">
        <v>0</v>
      </c>
      <c r="M698" t="n">
        <v>0</v>
      </c>
      <c r="N698" t="n">
        <v>0</v>
      </c>
      <c r="O698" t="n">
        <v>0</v>
      </c>
      <c r="P698" t="n">
        <v>0</v>
      </c>
      <c r="Q698" t="n">
        <v>0</v>
      </c>
      <c r="R698" s="2" t="inlineStr"/>
    </row>
    <row r="699" ht="15" customHeight="1">
      <c r="A699" t="inlineStr">
        <is>
          <t>A 20289-2023</t>
        </is>
      </c>
      <c r="B699" s="1" t="n">
        <v>45056</v>
      </c>
      <c r="C699" s="1" t="n">
        <v>45723</v>
      </c>
      <c r="D699" t="inlineStr">
        <is>
          <t>ÖREBRO LÄN</t>
        </is>
      </c>
      <c r="E699" t="inlineStr">
        <is>
          <t>ÖREBRO</t>
        </is>
      </c>
      <c r="F699" t="inlineStr">
        <is>
          <t>Allmännings- och besparingsskogar</t>
        </is>
      </c>
      <c r="G699" t="n">
        <v>3</v>
      </c>
      <c r="H699" t="n">
        <v>0</v>
      </c>
      <c r="I699" t="n">
        <v>0</v>
      </c>
      <c r="J699" t="n">
        <v>0</v>
      </c>
      <c r="K699" t="n">
        <v>0</v>
      </c>
      <c r="L699" t="n">
        <v>0</v>
      </c>
      <c r="M699" t="n">
        <v>0</v>
      </c>
      <c r="N699" t="n">
        <v>0</v>
      </c>
      <c r="O699" t="n">
        <v>0</v>
      </c>
      <c r="P699" t="n">
        <v>0</v>
      </c>
      <c r="Q699" t="n">
        <v>0</v>
      </c>
      <c r="R699" s="2" t="inlineStr"/>
    </row>
    <row r="700" ht="15" customHeight="1">
      <c r="A700" t="inlineStr">
        <is>
          <t>A 21602-2023</t>
        </is>
      </c>
      <c r="B700" s="1" t="n">
        <v>45063</v>
      </c>
      <c r="C700" s="1" t="n">
        <v>45723</v>
      </c>
      <c r="D700" t="inlineStr">
        <is>
          <t>ÖREBRO LÄN</t>
        </is>
      </c>
      <c r="E700" t="inlineStr">
        <is>
          <t>ÖREBRO</t>
        </is>
      </c>
      <c r="G700" t="n">
        <v>1.1</v>
      </c>
      <c r="H700" t="n">
        <v>0</v>
      </c>
      <c r="I700" t="n">
        <v>0</v>
      </c>
      <c r="J700" t="n">
        <v>0</v>
      </c>
      <c r="K700" t="n">
        <v>0</v>
      </c>
      <c r="L700" t="n">
        <v>0</v>
      </c>
      <c r="M700" t="n">
        <v>0</v>
      </c>
      <c r="N700" t="n">
        <v>0</v>
      </c>
      <c r="O700" t="n">
        <v>0</v>
      </c>
      <c r="P700" t="n">
        <v>0</v>
      </c>
      <c r="Q700" t="n">
        <v>0</v>
      </c>
      <c r="R700" s="2" t="inlineStr"/>
    </row>
    <row r="701" ht="15" customHeight="1">
      <c r="A701" t="inlineStr">
        <is>
          <t>A 22079-2023</t>
        </is>
      </c>
      <c r="B701" s="1" t="n">
        <v>45069</v>
      </c>
      <c r="C701" s="1" t="n">
        <v>45723</v>
      </c>
      <c r="D701" t="inlineStr">
        <is>
          <t>ÖREBRO LÄN</t>
        </is>
      </c>
      <c r="E701" t="inlineStr">
        <is>
          <t>ÖREBRO</t>
        </is>
      </c>
      <c r="G701" t="n">
        <v>1.3</v>
      </c>
      <c r="H701" t="n">
        <v>0</v>
      </c>
      <c r="I701" t="n">
        <v>0</v>
      </c>
      <c r="J701" t="n">
        <v>0</v>
      </c>
      <c r="K701" t="n">
        <v>0</v>
      </c>
      <c r="L701" t="n">
        <v>0</v>
      </c>
      <c r="M701" t="n">
        <v>0</v>
      </c>
      <c r="N701" t="n">
        <v>0</v>
      </c>
      <c r="O701" t="n">
        <v>0</v>
      </c>
      <c r="P701" t="n">
        <v>0</v>
      </c>
      <c r="Q701" t="n">
        <v>0</v>
      </c>
      <c r="R701" s="2" t="inlineStr"/>
    </row>
    <row r="702" ht="15" customHeight="1">
      <c r="A702" t="inlineStr">
        <is>
          <t>A 22047-2023</t>
        </is>
      </c>
      <c r="B702" s="1" t="n">
        <v>45069</v>
      </c>
      <c r="C702" s="1" t="n">
        <v>45723</v>
      </c>
      <c r="D702" t="inlineStr">
        <is>
          <t>ÖREBRO LÄN</t>
        </is>
      </c>
      <c r="E702" t="inlineStr">
        <is>
          <t>ÖREBRO</t>
        </is>
      </c>
      <c r="G702" t="n">
        <v>3.8</v>
      </c>
      <c r="H702" t="n">
        <v>0</v>
      </c>
      <c r="I702" t="n">
        <v>0</v>
      </c>
      <c r="J702" t="n">
        <v>0</v>
      </c>
      <c r="K702" t="n">
        <v>0</v>
      </c>
      <c r="L702" t="n">
        <v>0</v>
      </c>
      <c r="M702" t="n">
        <v>0</v>
      </c>
      <c r="N702" t="n">
        <v>0</v>
      </c>
      <c r="O702" t="n">
        <v>0</v>
      </c>
      <c r="P702" t="n">
        <v>0</v>
      </c>
      <c r="Q702" t="n">
        <v>0</v>
      </c>
      <c r="R702" s="2" t="inlineStr"/>
    </row>
    <row r="703" ht="15" customHeight="1">
      <c r="A703" t="inlineStr">
        <is>
          <t>A 22298-2023</t>
        </is>
      </c>
      <c r="B703" s="1" t="n">
        <v>45070</v>
      </c>
      <c r="C703" s="1" t="n">
        <v>45723</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22451-2023</t>
        </is>
      </c>
      <c r="B704" s="1" t="n">
        <v>45070</v>
      </c>
      <c r="C704" s="1" t="n">
        <v>45723</v>
      </c>
      <c r="D704" t="inlineStr">
        <is>
          <t>ÖREBRO LÄN</t>
        </is>
      </c>
      <c r="E704" t="inlineStr">
        <is>
          <t>ÖREBRO</t>
        </is>
      </c>
      <c r="G704" t="n">
        <v>8</v>
      </c>
      <c r="H704" t="n">
        <v>0</v>
      </c>
      <c r="I704" t="n">
        <v>0</v>
      </c>
      <c r="J704" t="n">
        <v>0</v>
      </c>
      <c r="K704" t="n">
        <v>0</v>
      </c>
      <c r="L704" t="n">
        <v>0</v>
      </c>
      <c r="M704" t="n">
        <v>0</v>
      </c>
      <c r="N704" t="n">
        <v>0</v>
      </c>
      <c r="O704" t="n">
        <v>0</v>
      </c>
      <c r="P704" t="n">
        <v>0</v>
      </c>
      <c r="Q704" t="n">
        <v>0</v>
      </c>
      <c r="R704" s="2" t="inlineStr"/>
    </row>
    <row r="705" ht="15" customHeight="1">
      <c r="A705" t="inlineStr">
        <is>
          <t>A 22639-2023</t>
        </is>
      </c>
      <c r="B705" s="1" t="n">
        <v>45071</v>
      </c>
      <c r="C705" s="1" t="n">
        <v>45723</v>
      </c>
      <c r="D705" t="inlineStr">
        <is>
          <t>ÖREBRO LÄN</t>
        </is>
      </c>
      <c r="E705" t="inlineStr">
        <is>
          <t>ÖREBRO</t>
        </is>
      </c>
      <c r="G705" t="n">
        <v>3.7</v>
      </c>
      <c r="H705" t="n">
        <v>0</v>
      </c>
      <c r="I705" t="n">
        <v>0</v>
      </c>
      <c r="J705" t="n">
        <v>0</v>
      </c>
      <c r="K705" t="n">
        <v>0</v>
      </c>
      <c r="L705" t="n">
        <v>0</v>
      </c>
      <c r="M705" t="n">
        <v>0</v>
      </c>
      <c r="N705" t="n">
        <v>0</v>
      </c>
      <c r="O705" t="n">
        <v>0</v>
      </c>
      <c r="P705" t="n">
        <v>0</v>
      </c>
      <c r="Q705" t="n">
        <v>0</v>
      </c>
      <c r="R705" s="2" t="inlineStr"/>
    </row>
    <row r="706" ht="15" customHeight="1">
      <c r="A706" t="inlineStr">
        <is>
          <t>A 23179-2023</t>
        </is>
      </c>
      <c r="B706" s="1" t="n">
        <v>45075</v>
      </c>
      <c r="C706" s="1" t="n">
        <v>45723</v>
      </c>
      <c r="D706" t="inlineStr">
        <is>
          <t>ÖREBRO LÄN</t>
        </is>
      </c>
      <c r="E706" t="inlineStr">
        <is>
          <t>ÖREBRO</t>
        </is>
      </c>
      <c r="G706" t="n">
        <v>1.2</v>
      </c>
      <c r="H706" t="n">
        <v>0</v>
      </c>
      <c r="I706" t="n">
        <v>0</v>
      </c>
      <c r="J706" t="n">
        <v>0</v>
      </c>
      <c r="K706" t="n">
        <v>0</v>
      </c>
      <c r="L706" t="n">
        <v>0</v>
      </c>
      <c r="M706" t="n">
        <v>0</v>
      </c>
      <c r="N706" t="n">
        <v>0</v>
      </c>
      <c r="O706" t="n">
        <v>0</v>
      </c>
      <c r="P706" t="n">
        <v>0</v>
      </c>
      <c r="Q706" t="n">
        <v>0</v>
      </c>
      <c r="R706" s="2" t="inlineStr"/>
    </row>
    <row r="707" ht="15" customHeight="1">
      <c r="A707" t="inlineStr">
        <is>
          <t>A 23573-2023</t>
        </is>
      </c>
      <c r="B707" s="1" t="n">
        <v>45077</v>
      </c>
      <c r="C707" s="1" t="n">
        <v>45723</v>
      </c>
      <c r="D707" t="inlineStr">
        <is>
          <t>ÖREBRO LÄN</t>
        </is>
      </c>
      <c r="E707" t="inlineStr">
        <is>
          <t>ÖREBRO</t>
        </is>
      </c>
      <c r="G707" t="n">
        <v>2.9</v>
      </c>
      <c r="H707" t="n">
        <v>0</v>
      </c>
      <c r="I707" t="n">
        <v>0</v>
      </c>
      <c r="J707" t="n">
        <v>0</v>
      </c>
      <c r="K707" t="n">
        <v>0</v>
      </c>
      <c r="L707" t="n">
        <v>0</v>
      </c>
      <c r="M707" t="n">
        <v>0</v>
      </c>
      <c r="N707" t="n">
        <v>0</v>
      </c>
      <c r="O707" t="n">
        <v>0</v>
      </c>
      <c r="P707" t="n">
        <v>0</v>
      </c>
      <c r="Q707" t="n">
        <v>0</v>
      </c>
      <c r="R707" s="2" t="inlineStr"/>
    </row>
    <row r="708" ht="15" customHeight="1">
      <c r="A708" t="inlineStr">
        <is>
          <t>A 23594-2023</t>
        </is>
      </c>
      <c r="B708" s="1" t="n">
        <v>45077</v>
      </c>
      <c r="C708" s="1" t="n">
        <v>45723</v>
      </c>
      <c r="D708" t="inlineStr">
        <is>
          <t>ÖREBRO LÄN</t>
        </is>
      </c>
      <c r="E708" t="inlineStr">
        <is>
          <t>ÖREBRO</t>
        </is>
      </c>
      <c r="G708" t="n">
        <v>9.9</v>
      </c>
      <c r="H708" t="n">
        <v>0</v>
      </c>
      <c r="I708" t="n">
        <v>0</v>
      </c>
      <c r="J708" t="n">
        <v>0</v>
      </c>
      <c r="K708" t="n">
        <v>0</v>
      </c>
      <c r="L708" t="n">
        <v>0</v>
      </c>
      <c r="M708" t="n">
        <v>0</v>
      </c>
      <c r="N708" t="n">
        <v>0</v>
      </c>
      <c r="O708" t="n">
        <v>0</v>
      </c>
      <c r="P708" t="n">
        <v>0</v>
      </c>
      <c r="Q708" t="n">
        <v>0</v>
      </c>
      <c r="R708" s="2" t="inlineStr"/>
    </row>
    <row r="709" ht="15" customHeight="1">
      <c r="A709" t="inlineStr">
        <is>
          <t>A 23732-2023</t>
        </is>
      </c>
      <c r="B709" s="1" t="n">
        <v>45077</v>
      </c>
      <c r="C709" s="1" t="n">
        <v>45723</v>
      </c>
      <c r="D709" t="inlineStr">
        <is>
          <t>ÖREBRO LÄN</t>
        </is>
      </c>
      <c r="E709" t="inlineStr">
        <is>
          <t>ÖREBRO</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23738-2023</t>
        </is>
      </c>
      <c r="B710" s="1" t="n">
        <v>45077</v>
      </c>
      <c r="C710" s="1" t="n">
        <v>45723</v>
      </c>
      <c r="D710" t="inlineStr">
        <is>
          <t>ÖREBRO LÄN</t>
        </is>
      </c>
      <c r="E710" t="inlineStr">
        <is>
          <t>ÖREBRO</t>
        </is>
      </c>
      <c r="F710" t="inlineStr">
        <is>
          <t>Övriga Aktiebolag</t>
        </is>
      </c>
      <c r="G710" t="n">
        <v>4.7</v>
      </c>
      <c r="H710" t="n">
        <v>0</v>
      </c>
      <c r="I710" t="n">
        <v>0</v>
      </c>
      <c r="J710" t="n">
        <v>0</v>
      </c>
      <c r="K710" t="n">
        <v>0</v>
      </c>
      <c r="L710" t="n">
        <v>0</v>
      </c>
      <c r="M710" t="n">
        <v>0</v>
      </c>
      <c r="N710" t="n">
        <v>0</v>
      </c>
      <c r="O710" t="n">
        <v>0</v>
      </c>
      <c r="P710" t="n">
        <v>0</v>
      </c>
      <c r="Q710" t="n">
        <v>0</v>
      </c>
      <c r="R710" s="2" t="inlineStr"/>
    </row>
    <row r="711" ht="15" customHeight="1">
      <c r="A711" t="inlineStr">
        <is>
          <t>A 23863-2023</t>
        </is>
      </c>
      <c r="B711" s="1" t="n">
        <v>45078</v>
      </c>
      <c r="C711" s="1" t="n">
        <v>45723</v>
      </c>
      <c r="D711" t="inlineStr">
        <is>
          <t>ÖREBRO LÄN</t>
        </is>
      </c>
      <c r="E711" t="inlineStr">
        <is>
          <t>ÖREBRO</t>
        </is>
      </c>
      <c r="F711" t="inlineStr">
        <is>
          <t>Övriga Aktiebolag</t>
        </is>
      </c>
      <c r="G711" t="n">
        <v>5.9</v>
      </c>
      <c r="H711" t="n">
        <v>0</v>
      </c>
      <c r="I711" t="n">
        <v>0</v>
      </c>
      <c r="J711" t="n">
        <v>0</v>
      </c>
      <c r="K711" t="n">
        <v>0</v>
      </c>
      <c r="L711" t="n">
        <v>0</v>
      </c>
      <c r="M711" t="n">
        <v>0</v>
      </c>
      <c r="N711" t="n">
        <v>0</v>
      </c>
      <c r="O711" t="n">
        <v>0</v>
      </c>
      <c r="P711" t="n">
        <v>0</v>
      </c>
      <c r="Q711" t="n">
        <v>0</v>
      </c>
      <c r="R711" s="2" t="inlineStr"/>
    </row>
    <row r="712" ht="15" customHeight="1">
      <c r="A712" t="inlineStr">
        <is>
          <t>A 24143-2023</t>
        </is>
      </c>
      <c r="B712" s="1" t="n">
        <v>45079</v>
      </c>
      <c r="C712" s="1" t="n">
        <v>45723</v>
      </c>
      <c r="D712" t="inlineStr">
        <is>
          <t>ÖREBRO LÄN</t>
        </is>
      </c>
      <c r="E712" t="inlineStr">
        <is>
          <t>ÖREBRO</t>
        </is>
      </c>
      <c r="G712" t="n">
        <v>2</v>
      </c>
      <c r="H712" t="n">
        <v>0</v>
      </c>
      <c r="I712" t="n">
        <v>0</v>
      </c>
      <c r="J712" t="n">
        <v>0</v>
      </c>
      <c r="K712" t="n">
        <v>0</v>
      </c>
      <c r="L712" t="n">
        <v>0</v>
      </c>
      <c r="M712" t="n">
        <v>0</v>
      </c>
      <c r="N712" t="n">
        <v>0</v>
      </c>
      <c r="O712" t="n">
        <v>0</v>
      </c>
      <c r="P712" t="n">
        <v>0</v>
      </c>
      <c r="Q712" t="n">
        <v>0</v>
      </c>
      <c r="R712" s="2" t="inlineStr"/>
    </row>
    <row r="713" ht="15" customHeight="1">
      <c r="A713" t="inlineStr">
        <is>
          <t>A 25247-2023</t>
        </is>
      </c>
      <c r="B713" s="1" t="n">
        <v>45086</v>
      </c>
      <c r="C713" s="1" t="n">
        <v>45723</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25487-2023</t>
        </is>
      </c>
      <c r="B714" s="1" t="n">
        <v>45089</v>
      </c>
      <c r="C714" s="1" t="n">
        <v>45723</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26765-2023</t>
        </is>
      </c>
      <c r="B715" s="1" t="n">
        <v>45093</v>
      </c>
      <c r="C715" s="1" t="n">
        <v>45723</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27112-2023</t>
        </is>
      </c>
      <c r="B716" s="1" t="n">
        <v>45096</v>
      </c>
      <c r="C716" s="1" t="n">
        <v>45723</v>
      </c>
      <c r="D716" t="inlineStr">
        <is>
          <t>ÖREBRO LÄN</t>
        </is>
      </c>
      <c r="E716" t="inlineStr">
        <is>
          <t>ÖREBRO</t>
        </is>
      </c>
      <c r="G716" t="n">
        <v>0.7</v>
      </c>
      <c r="H716" t="n">
        <v>0</v>
      </c>
      <c r="I716" t="n">
        <v>0</v>
      </c>
      <c r="J716" t="n">
        <v>0</v>
      </c>
      <c r="K716" t="n">
        <v>0</v>
      </c>
      <c r="L716" t="n">
        <v>0</v>
      </c>
      <c r="M716" t="n">
        <v>0</v>
      </c>
      <c r="N716" t="n">
        <v>0</v>
      </c>
      <c r="O716" t="n">
        <v>0</v>
      </c>
      <c r="P716" t="n">
        <v>0</v>
      </c>
      <c r="Q716" t="n">
        <v>0</v>
      </c>
      <c r="R716" s="2" t="inlineStr"/>
    </row>
    <row r="717" ht="15" customHeight="1">
      <c r="A717" t="inlineStr">
        <is>
          <t>A 27956-2023</t>
        </is>
      </c>
      <c r="B717" s="1" t="n">
        <v>45098</v>
      </c>
      <c r="C717" s="1" t="n">
        <v>45723</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28632-2023</t>
        </is>
      </c>
      <c r="B718" s="1" t="n">
        <v>45103</v>
      </c>
      <c r="C718" s="1" t="n">
        <v>45723</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29012-2023</t>
        </is>
      </c>
      <c r="B719" s="1" t="n">
        <v>45104</v>
      </c>
      <c r="C719" s="1" t="n">
        <v>45723</v>
      </c>
      <c r="D719" t="inlineStr">
        <is>
          <t>ÖREBRO LÄN</t>
        </is>
      </c>
      <c r="E719" t="inlineStr">
        <is>
          <t>ÖREBRO</t>
        </is>
      </c>
      <c r="G719" t="n">
        <v>2.8</v>
      </c>
      <c r="H719" t="n">
        <v>0</v>
      </c>
      <c r="I719" t="n">
        <v>0</v>
      </c>
      <c r="J719" t="n">
        <v>0</v>
      </c>
      <c r="K719" t="n">
        <v>0</v>
      </c>
      <c r="L719" t="n">
        <v>0</v>
      </c>
      <c r="M719" t="n">
        <v>0</v>
      </c>
      <c r="N719" t="n">
        <v>0</v>
      </c>
      <c r="O719" t="n">
        <v>0</v>
      </c>
      <c r="P719" t="n">
        <v>0</v>
      </c>
      <c r="Q719" t="n">
        <v>0</v>
      </c>
      <c r="R719" s="2" t="inlineStr"/>
    </row>
    <row r="720" ht="15" customHeight="1">
      <c r="A720" t="inlineStr">
        <is>
          <t>A 30015-2023</t>
        </is>
      </c>
      <c r="B720" s="1" t="n">
        <v>45109</v>
      </c>
      <c r="C720" s="1" t="n">
        <v>45723</v>
      </c>
      <c r="D720" t="inlineStr">
        <is>
          <t>ÖREBRO LÄN</t>
        </is>
      </c>
      <c r="E720" t="inlineStr">
        <is>
          <t>ÖREBRO</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30362-2023</t>
        </is>
      </c>
      <c r="B721" s="1" t="n">
        <v>45111</v>
      </c>
      <c r="C721" s="1" t="n">
        <v>45723</v>
      </c>
      <c r="D721" t="inlineStr">
        <is>
          <t>ÖREBRO LÄN</t>
        </is>
      </c>
      <c r="E721" t="inlineStr">
        <is>
          <t>ÖREBRO</t>
        </is>
      </c>
      <c r="F721" t="inlineStr">
        <is>
          <t>Övriga Aktiebolag</t>
        </is>
      </c>
      <c r="G721" t="n">
        <v>6.8</v>
      </c>
      <c r="H721" t="n">
        <v>0</v>
      </c>
      <c r="I721" t="n">
        <v>0</v>
      </c>
      <c r="J721" t="n">
        <v>0</v>
      </c>
      <c r="K721" t="n">
        <v>0</v>
      </c>
      <c r="L721" t="n">
        <v>0</v>
      </c>
      <c r="M721" t="n">
        <v>0</v>
      </c>
      <c r="N721" t="n">
        <v>0</v>
      </c>
      <c r="O721" t="n">
        <v>0</v>
      </c>
      <c r="P721" t="n">
        <v>0</v>
      </c>
      <c r="Q721" t="n">
        <v>0</v>
      </c>
      <c r="R721" s="2" t="inlineStr"/>
    </row>
    <row r="722" ht="15" customHeight="1">
      <c r="A722" t="inlineStr">
        <is>
          <t>A 30403-2023</t>
        </is>
      </c>
      <c r="B722" s="1" t="n">
        <v>45111</v>
      </c>
      <c r="C722" s="1" t="n">
        <v>45723</v>
      </c>
      <c r="D722" t="inlineStr">
        <is>
          <t>ÖREBRO LÄN</t>
        </is>
      </c>
      <c r="E722" t="inlineStr">
        <is>
          <t>ÖREBRO</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30374-2023</t>
        </is>
      </c>
      <c r="B723" s="1" t="n">
        <v>45111</v>
      </c>
      <c r="C723" s="1" t="n">
        <v>45723</v>
      </c>
      <c r="D723" t="inlineStr">
        <is>
          <t>ÖREBRO LÄN</t>
        </is>
      </c>
      <c r="E723" t="inlineStr">
        <is>
          <t>ÖREBRO</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30665-2023</t>
        </is>
      </c>
      <c r="B724" s="1" t="n">
        <v>45112</v>
      </c>
      <c r="C724" s="1" t="n">
        <v>45723</v>
      </c>
      <c r="D724" t="inlineStr">
        <is>
          <t>ÖREBRO LÄN</t>
        </is>
      </c>
      <c r="E724" t="inlineStr">
        <is>
          <t>ÖREBRO</t>
        </is>
      </c>
      <c r="G724" t="n">
        <v>5</v>
      </c>
      <c r="H724" t="n">
        <v>0</v>
      </c>
      <c r="I724" t="n">
        <v>0</v>
      </c>
      <c r="J724" t="n">
        <v>0</v>
      </c>
      <c r="K724" t="n">
        <v>0</v>
      </c>
      <c r="L724" t="n">
        <v>0</v>
      </c>
      <c r="M724" t="n">
        <v>0</v>
      </c>
      <c r="N724" t="n">
        <v>0</v>
      </c>
      <c r="O724" t="n">
        <v>0</v>
      </c>
      <c r="P724" t="n">
        <v>0</v>
      </c>
      <c r="Q724" t="n">
        <v>0</v>
      </c>
      <c r="R724" s="2" t="inlineStr"/>
    </row>
    <row r="725" ht="15" customHeight="1">
      <c r="A725" t="inlineStr">
        <is>
          <t>A 31247-2023</t>
        </is>
      </c>
      <c r="B725" s="1" t="n">
        <v>45114</v>
      </c>
      <c r="C725" s="1" t="n">
        <v>45723</v>
      </c>
      <c r="D725" t="inlineStr">
        <is>
          <t>ÖREBRO LÄN</t>
        </is>
      </c>
      <c r="E725" t="inlineStr">
        <is>
          <t>ÖREBRO</t>
        </is>
      </c>
      <c r="F725" t="inlineStr">
        <is>
          <t>Allmännings- och besparingsskogar</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31267-2023</t>
        </is>
      </c>
      <c r="B726" s="1" t="n">
        <v>45114</v>
      </c>
      <c r="C726" s="1" t="n">
        <v>45723</v>
      </c>
      <c r="D726" t="inlineStr">
        <is>
          <t>ÖREBRO LÄN</t>
        </is>
      </c>
      <c r="E726" t="inlineStr">
        <is>
          <t>ÖREBRO</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31258-2023</t>
        </is>
      </c>
      <c r="B727" s="1" t="n">
        <v>45114</v>
      </c>
      <c r="C727" s="1" t="n">
        <v>45723</v>
      </c>
      <c r="D727" t="inlineStr">
        <is>
          <t>ÖREBRO LÄN</t>
        </is>
      </c>
      <c r="E727" t="inlineStr">
        <is>
          <t>ÖREBRO</t>
        </is>
      </c>
      <c r="F727" t="inlineStr">
        <is>
          <t>Allmännings- och besparingsskogar</t>
        </is>
      </c>
      <c r="G727" t="n">
        <v>4.7</v>
      </c>
      <c r="H727" t="n">
        <v>0</v>
      </c>
      <c r="I727" t="n">
        <v>0</v>
      </c>
      <c r="J727" t="n">
        <v>0</v>
      </c>
      <c r="K727" t="n">
        <v>0</v>
      </c>
      <c r="L727" t="n">
        <v>0</v>
      </c>
      <c r="M727" t="n">
        <v>0</v>
      </c>
      <c r="N727" t="n">
        <v>0</v>
      </c>
      <c r="O727" t="n">
        <v>0</v>
      </c>
      <c r="P727" t="n">
        <v>0</v>
      </c>
      <c r="Q727" t="n">
        <v>0</v>
      </c>
      <c r="R727" s="2" t="inlineStr"/>
    </row>
    <row r="728" ht="15" customHeight="1">
      <c r="A728" t="inlineStr">
        <is>
          <t>A 31270-2023</t>
        </is>
      </c>
      <c r="B728" s="1" t="n">
        <v>45114</v>
      </c>
      <c r="C728" s="1" t="n">
        <v>45723</v>
      </c>
      <c r="D728" t="inlineStr">
        <is>
          <t>ÖREBRO LÄN</t>
        </is>
      </c>
      <c r="E728" t="inlineStr">
        <is>
          <t>ÖREBRO</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31240-2023</t>
        </is>
      </c>
      <c r="B729" s="1" t="n">
        <v>45114</v>
      </c>
      <c r="C729" s="1" t="n">
        <v>45723</v>
      </c>
      <c r="D729" t="inlineStr">
        <is>
          <t>ÖREBRO LÄN</t>
        </is>
      </c>
      <c r="E729" t="inlineStr">
        <is>
          <t>ÖREBRO</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31447-2023</t>
        </is>
      </c>
      <c r="B730" s="1" t="n">
        <v>45114</v>
      </c>
      <c r="C730" s="1" t="n">
        <v>45723</v>
      </c>
      <c r="D730" t="inlineStr">
        <is>
          <t>ÖREBRO LÄN</t>
        </is>
      </c>
      <c r="E730" t="inlineStr">
        <is>
          <t>ÖREBRO</t>
        </is>
      </c>
      <c r="F730" t="inlineStr">
        <is>
          <t>Övriga Aktiebolag</t>
        </is>
      </c>
      <c r="G730" t="n">
        <v>6.7</v>
      </c>
      <c r="H730" t="n">
        <v>0</v>
      </c>
      <c r="I730" t="n">
        <v>0</v>
      </c>
      <c r="J730" t="n">
        <v>0</v>
      </c>
      <c r="K730" t="n">
        <v>0</v>
      </c>
      <c r="L730" t="n">
        <v>0</v>
      </c>
      <c r="M730" t="n">
        <v>0</v>
      </c>
      <c r="N730" t="n">
        <v>0</v>
      </c>
      <c r="O730" t="n">
        <v>0</v>
      </c>
      <c r="P730" t="n">
        <v>0</v>
      </c>
      <c r="Q730" t="n">
        <v>0</v>
      </c>
      <c r="R730" s="2" t="inlineStr"/>
    </row>
    <row r="731" ht="15" customHeight="1">
      <c r="A731" t="inlineStr">
        <is>
          <t>A 31905-2023</t>
        </is>
      </c>
      <c r="B731" s="1" t="n">
        <v>45118</v>
      </c>
      <c r="C731" s="1" t="n">
        <v>45723</v>
      </c>
      <c r="D731" t="inlineStr">
        <is>
          <t>ÖREBRO LÄN</t>
        </is>
      </c>
      <c r="E731" t="inlineStr">
        <is>
          <t>ÖREBRO</t>
        </is>
      </c>
      <c r="G731" t="n">
        <v>2.1</v>
      </c>
      <c r="H731" t="n">
        <v>0</v>
      </c>
      <c r="I731" t="n">
        <v>0</v>
      </c>
      <c r="J731" t="n">
        <v>0</v>
      </c>
      <c r="K731" t="n">
        <v>0</v>
      </c>
      <c r="L731" t="n">
        <v>0</v>
      </c>
      <c r="M731" t="n">
        <v>0</v>
      </c>
      <c r="N731" t="n">
        <v>0</v>
      </c>
      <c r="O731" t="n">
        <v>0</v>
      </c>
      <c r="P731" t="n">
        <v>0</v>
      </c>
      <c r="Q731" t="n">
        <v>0</v>
      </c>
      <c r="R731" s="2" t="inlineStr"/>
    </row>
    <row r="732" ht="15" customHeight="1">
      <c r="A732" t="inlineStr">
        <is>
          <t>A 31906-2023</t>
        </is>
      </c>
      <c r="B732" s="1" t="n">
        <v>45118</v>
      </c>
      <c r="C732" s="1" t="n">
        <v>45723</v>
      </c>
      <c r="D732" t="inlineStr">
        <is>
          <t>ÖREBRO LÄN</t>
        </is>
      </c>
      <c r="E732" t="inlineStr">
        <is>
          <t>ÖREBRO</t>
        </is>
      </c>
      <c r="G732" t="n">
        <v>9</v>
      </c>
      <c r="H732" t="n">
        <v>0</v>
      </c>
      <c r="I732" t="n">
        <v>0</v>
      </c>
      <c r="J732" t="n">
        <v>0</v>
      </c>
      <c r="K732" t="n">
        <v>0</v>
      </c>
      <c r="L732" t="n">
        <v>0</v>
      </c>
      <c r="M732" t="n">
        <v>0</v>
      </c>
      <c r="N732" t="n">
        <v>0</v>
      </c>
      <c r="O732" t="n">
        <v>0</v>
      </c>
      <c r="P732" t="n">
        <v>0</v>
      </c>
      <c r="Q732" t="n">
        <v>0</v>
      </c>
      <c r="R732" s="2" t="inlineStr"/>
    </row>
    <row r="733" ht="15" customHeight="1">
      <c r="A733" t="inlineStr">
        <is>
          <t>A 31904-2023</t>
        </is>
      </c>
      <c r="B733" s="1" t="n">
        <v>45118</v>
      </c>
      <c r="C733" s="1" t="n">
        <v>45723</v>
      </c>
      <c r="D733" t="inlineStr">
        <is>
          <t>ÖREBRO LÄN</t>
        </is>
      </c>
      <c r="E733" t="inlineStr">
        <is>
          <t>ÖREBRO</t>
        </is>
      </c>
      <c r="G733" t="n">
        <v>2.3</v>
      </c>
      <c r="H733" t="n">
        <v>0</v>
      </c>
      <c r="I733" t="n">
        <v>0</v>
      </c>
      <c r="J733" t="n">
        <v>0</v>
      </c>
      <c r="K733" t="n">
        <v>0</v>
      </c>
      <c r="L733" t="n">
        <v>0</v>
      </c>
      <c r="M733" t="n">
        <v>0</v>
      </c>
      <c r="N733" t="n">
        <v>0</v>
      </c>
      <c r="O733" t="n">
        <v>0</v>
      </c>
      <c r="P733" t="n">
        <v>0</v>
      </c>
      <c r="Q733" t="n">
        <v>0</v>
      </c>
      <c r="R733" s="2" t="inlineStr"/>
    </row>
    <row r="734" ht="15" customHeight="1">
      <c r="A734" t="inlineStr">
        <is>
          <t>A 32113-2023</t>
        </is>
      </c>
      <c r="B734" s="1" t="n">
        <v>45119</v>
      </c>
      <c r="C734" s="1" t="n">
        <v>45723</v>
      </c>
      <c r="D734" t="inlineStr">
        <is>
          <t>ÖREBRO LÄN</t>
        </is>
      </c>
      <c r="E734" t="inlineStr">
        <is>
          <t>ÖREBRO</t>
        </is>
      </c>
      <c r="G734" t="n">
        <v>2.2</v>
      </c>
      <c r="H734" t="n">
        <v>0</v>
      </c>
      <c r="I734" t="n">
        <v>0</v>
      </c>
      <c r="J734" t="n">
        <v>0</v>
      </c>
      <c r="K734" t="n">
        <v>0</v>
      </c>
      <c r="L734" t="n">
        <v>0</v>
      </c>
      <c r="M734" t="n">
        <v>0</v>
      </c>
      <c r="N734" t="n">
        <v>0</v>
      </c>
      <c r="O734" t="n">
        <v>0</v>
      </c>
      <c r="P734" t="n">
        <v>0</v>
      </c>
      <c r="Q734" t="n">
        <v>0</v>
      </c>
      <c r="R734" s="2" t="inlineStr"/>
    </row>
    <row r="735" ht="15" customHeight="1">
      <c r="A735" t="inlineStr">
        <is>
          <t>A 32152-2023</t>
        </is>
      </c>
      <c r="B735" s="1" t="n">
        <v>45119</v>
      </c>
      <c r="C735" s="1" t="n">
        <v>45723</v>
      </c>
      <c r="D735" t="inlineStr">
        <is>
          <t>ÖREBRO LÄN</t>
        </is>
      </c>
      <c r="E735" t="inlineStr">
        <is>
          <t>ÖREBRO</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32157-2023</t>
        </is>
      </c>
      <c r="B736" s="1" t="n">
        <v>45119</v>
      </c>
      <c r="C736" s="1" t="n">
        <v>45723</v>
      </c>
      <c r="D736" t="inlineStr">
        <is>
          <t>ÖREBRO LÄN</t>
        </is>
      </c>
      <c r="E736" t="inlineStr">
        <is>
          <t>ÖREBRO</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32176-2023</t>
        </is>
      </c>
      <c r="B737" s="1" t="n">
        <v>45119</v>
      </c>
      <c r="C737" s="1" t="n">
        <v>45723</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32076-2023</t>
        </is>
      </c>
      <c r="B738" s="1" t="n">
        <v>45119</v>
      </c>
      <c r="C738" s="1" t="n">
        <v>45723</v>
      </c>
      <c r="D738" t="inlineStr">
        <is>
          <t>ÖREBRO LÄN</t>
        </is>
      </c>
      <c r="E738" t="inlineStr">
        <is>
          <t>ÖREBRO</t>
        </is>
      </c>
      <c r="G738" t="n">
        <v>1.1</v>
      </c>
      <c r="H738" t="n">
        <v>0</v>
      </c>
      <c r="I738" t="n">
        <v>0</v>
      </c>
      <c r="J738" t="n">
        <v>0</v>
      </c>
      <c r="K738" t="n">
        <v>0</v>
      </c>
      <c r="L738" t="n">
        <v>0</v>
      </c>
      <c r="M738" t="n">
        <v>0</v>
      </c>
      <c r="N738" t="n">
        <v>0</v>
      </c>
      <c r="O738" t="n">
        <v>0</v>
      </c>
      <c r="P738" t="n">
        <v>0</v>
      </c>
      <c r="Q738" t="n">
        <v>0</v>
      </c>
      <c r="R738" s="2" t="inlineStr"/>
    </row>
    <row r="739" ht="15" customHeight="1">
      <c r="A739" t="inlineStr">
        <is>
          <t>A 32086-2023</t>
        </is>
      </c>
      <c r="B739" s="1" t="n">
        <v>45119</v>
      </c>
      <c r="C739" s="1" t="n">
        <v>45723</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32125-2023</t>
        </is>
      </c>
      <c r="B740" s="1" t="n">
        <v>45119</v>
      </c>
      <c r="C740" s="1" t="n">
        <v>45723</v>
      </c>
      <c r="D740" t="inlineStr">
        <is>
          <t>ÖREBRO LÄN</t>
        </is>
      </c>
      <c r="E740" t="inlineStr">
        <is>
          <t>ÖREBRO</t>
        </is>
      </c>
      <c r="G740" t="n">
        <v>10.6</v>
      </c>
      <c r="H740" t="n">
        <v>0</v>
      </c>
      <c r="I740" t="n">
        <v>0</v>
      </c>
      <c r="J740" t="n">
        <v>0</v>
      </c>
      <c r="K740" t="n">
        <v>0</v>
      </c>
      <c r="L740" t="n">
        <v>0</v>
      </c>
      <c r="M740" t="n">
        <v>0</v>
      </c>
      <c r="N740" t="n">
        <v>0</v>
      </c>
      <c r="O740" t="n">
        <v>0</v>
      </c>
      <c r="P740" t="n">
        <v>0</v>
      </c>
      <c r="Q740" t="n">
        <v>0</v>
      </c>
      <c r="R740" s="2" t="inlineStr"/>
    </row>
    <row r="741" ht="15" customHeight="1">
      <c r="A741" t="inlineStr">
        <is>
          <t>A 32067-2023</t>
        </is>
      </c>
      <c r="B741" s="1" t="n">
        <v>45119</v>
      </c>
      <c r="C741" s="1" t="n">
        <v>45723</v>
      </c>
      <c r="D741" t="inlineStr">
        <is>
          <t>ÖREBRO LÄN</t>
        </is>
      </c>
      <c r="E741" t="inlineStr">
        <is>
          <t>ÖREBRO</t>
        </is>
      </c>
      <c r="G741" t="n">
        <v>2.9</v>
      </c>
      <c r="H741" t="n">
        <v>0</v>
      </c>
      <c r="I741" t="n">
        <v>0</v>
      </c>
      <c r="J741" t="n">
        <v>0</v>
      </c>
      <c r="K741" t="n">
        <v>0</v>
      </c>
      <c r="L741" t="n">
        <v>0</v>
      </c>
      <c r="M741" t="n">
        <v>0</v>
      </c>
      <c r="N741" t="n">
        <v>0</v>
      </c>
      <c r="O741" t="n">
        <v>0</v>
      </c>
      <c r="P741" t="n">
        <v>0</v>
      </c>
      <c r="Q741" t="n">
        <v>0</v>
      </c>
      <c r="R741" s="2" t="inlineStr"/>
    </row>
    <row r="742" ht="15" customHeight="1">
      <c r="A742" t="inlineStr">
        <is>
          <t>A 32321-2023</t>
        </is>
      </c>
      <c r="B742" s="1" t="n">
        <v>45120</v>
      </c>
      <c r="C742" s="1" t="n">
        <v>45723</v>
      </c>
      <c r="D742" t="inlineStr">
        <is>
          <t>ÖREBRO LÄN</t>
        </is>
      </c>
      <c r="E742" t="inlineStr">
        <is>
          <t>ÖREBRO</t>
        </is>
      </c>
      <c r="G742" t="n">
        <v>3.4</v>
      </c>
      <c r="H742" t="n">
        <v>0</v>
      </c>
      <c r="I742" t="n">
        <v>0</v>
      </c>
      <c r="J742" t="n">
        <v>0</v>
      </c>
      <c r="K742" t="n">
        <v>0</v>
      </c>
      <c r="L742" t="n">
        <v>0</v>
      </c>
      <c r="M742" t="n">
        <v>0</v>
      </c>
      <c r="N742" t="n">
        <v>0</v>
      </c>
      <c r="O742" t="n">
        <v>0</v>
      </c>
      <c r="P742" t="n">
        <v>0</v>
      </c>
      <c r="Q742" t="n">
        <v>0</v>
      </c>
      <c r="R742" s="2" t="inlineStr"/>
    </row>
    <row r="743" ht="15" customHeight="1">
      <c r="A743" t="inlineStr">
        <is>
          <t>A 33005-2023</t>
        </is>
      </c>
      <c r="B743" s="1" t="n">
        <v>45125</v>
      </c>
      <c r="C743" s="1" t="n">
        <v>45723</v>
      </c>
      <c r="D743" t="inlineStr">
        <is>
          <t>ÖREBRO LÄN</t>
        </is>
      </c>
      <c r="E743" t="inlineStr">
        <is>
          <t>ÖREBRO</t>
        </is>
      </c>
      <c r="F743" t="inlineStr">
        <is>
          <t>Övriga Aktiebolag</t>
        </is>
      </c>
      <c r="G743" t="n">
        <v>14.9</v>
      </c>
      <c r="H743" t="n">
        <v>0</v>
      </c>
      <c r="I743" t="n">
        <v>0</v>
      </c>
      <c r="J743" t="n">
        <v>0</v>
      </c>
      <c r="K743" t="n">
        <v>0</v>
      </c>
      <c r="L743" t="n">
        <v>0</v>
      </c>
      <c r="M743" t="n">
        <v>0</v>
      </c>
      <c r="N743" t="n">
        <v>0</v>
      </c>
      <c r="O743" t="n">
        <v>0</v>
      </c>
      <c r="P743" t="n">
        <v>0</v>
      </c>
      <c r="Q743" t="n">
        <v>0</v>
      </c>
      <c r="R743" s="2" t="inlineStr"/>
    </row>
    <row r="744" ht="15" customHeight="1">
      <c r="A744" t="inlineStr">
        <is>
          <t>A 33292-2023</t>
        </is>
      </c>
      <c r="B744" s="1" t="n">
        <v>45127</v>
      </c>
      <c r="C744" s="1" t="n">
        <v>45723</v>
      </c>
      <c r="D744" t="inlineStr">
        <is>
          <t>ÖREBRO LÄN</t>
        </is>
      </c>
      <c r="E744" t="inlineStr">
        <is>
          <t>ÖREBRO</t>
        </is>
      </c>
      <c r="F744" t="inlineStr">
        <is>
          <t>Övriga Aktiebolag</t>
        </is>
      </c>
      <c r="G744" t="n">
        <v>2.1</v>
      </c>
      <c r="H744" t="n">
        <v>0</v>
      </c>
      <c r="I744" t="n">
        <v>0</v>
      </c>
      <c r="J744" t="n">
        <v>0</v>
      </c>
      <c r="K744" t="n">
        <v>0</v>
      </c>
      <c r="L744" t="n">
        <v>0</v>
      </c>
      <c r="M744" t="n">
        <v>0</v>
      </c>
      <c r="N744" t="n">
        <v>0</v>
      </c>
      <c r="O744" t="n">
        <v>0</v>
      </c>
      <c r="P744" t="n">
        <v>0</v>
      </c>
      <c r="Q744" t="n">
        <v>0</v>
      </c>
      <c r="R744" s="2" t="inlineStr"/>
    </row>
    <row r="745" ht="15" customHeight="1">
      <c r="A745" t="inlineStr">
        <is>
          <t>A 33294-2023</t>
        </is>
      </c>
      <c r="B745" s="1" t="n">
        <v>45127</v>
      </c>
      <c r="C745" s="1" t="n">
        <v>45723</v>
      </c>
      <c r="D745" t="inlineStr">
        <is>
          <t>ÖREBRO LÄN</t>
        </is>
      </c>
      <c r="E745" t="inlineStr">
        <is>
          <t>ÖREBRO</t>
        </is>
      </c>
      <c r="F745" t="inlineStr">
        <is>
          <t>Övriga Aktiebolag</t>
        </is>
      </c>
      <c r="G745" t="n">
        <v>6.7</v>
      </c>
      <c r="H745" t="n">
        <v>0</v>
      </c>
      <c r="I745" t="n">
        <v>0</v>
      </c>
      <c r="J745" t="n">
        <v>0</v>
      </c>
      <c r="K745" t="n">
        <v>0</v>
      </c>
      <c r="L745" t="n">
        <v>0</v>
      </c>
      <c r="M745" t="n">
        <v>0</v>
      </c>
      <c r="N745" t="n">
        <v>0</v>
      </c>
      <c r="O745" t="n">
        <v>0</v>
      </c>
      <c r="P745" t="n">
        <v>0</v>
      </c>
      <c r="Q745" t="n">
        <v>0</v>
      </c>
      <c r="R745" s="2" t="inlineStr"/>
    </row>
    <row r="746" ht="15" customHeight="1">
      <c r="A746" t="inlineStr">
        <is>
          <t>A 33282-2023</t>
        </is>
      </c>
      <c r="B746" s="1" t="n">
        <v>45127</v>
      </c>
      <c r="C746" s="1" t="n">
        <v>45723</v>
      </c>
      <c r="D746" t="inlineStr">
        <is>
          <t>ÖREBRO LÄN</t>
        </is>
      </c>
      <c r="E746" t="inlineStr">
        <is>
          <t>ÖREBRO</t>
        </is>
      </c>
      <c r="F746" t="inlineStr">
        <is>
          <t>Övriga Aktiebolag</t>
        </is>
      </c>
      <c r="G746" t="n">
        <v>4.7</v>
      </c>
      <c r="H746" t="n">
        <v>0</v>
      </c>
      <c r="I746" t="n">
        <v>0</v>
      </c>
      <c r="J746" t="n">
        <v>0</v>
      </c>
      <c r="K746" t="n">
        <v>0</v>
      </c>
      <c r="L746" t="n">
        <v>0</v>
      </c>
      <c r="M746" t="n">
        <v>0</v>
      </c>
      <c r="N746" t="n">
        <v>0</v>
      </c>
      <c r="O746" t="n">
        <v>0</v>
      </c>
      <c r="P746" t="n">
        <v>0</v>
      </c>
      <c r="Q746" t="n">
        <v>0</v>
      </c>
      <c r="R746" s="2" t="inlineStr"/>
    </row>
    <row r="747" ht="15" customHeight="1">
      <c r="A747" t="inlineStr">
        <is>
          <t>A 33456-2023</t>
        </is>
      </c>
      <c r="B747" s="1" t="n">
        <v>45131</v>
      </c>
      <c r="C747" s="1" t="n">
        <v>45723</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33455-2023</t>
        </is>
      </c>
      <c r="B748" s="1" t="n">
        <v>45131</v>
      </c>
      <c r="C748" s="1" t="n">
        <v>45723</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33457-2023</t>
        </is>
      </c>
      <c r="B749" s="1" t="n">
        <v>45131</v>
      </c>
      <c r="C749" s="1" t="n">
        <v>45723</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33522-2023</t>
        </is>
      </c>
      <c r="B750" s="1" t="n">
        <v>45131</v>
      </c>
      <c r="C750" s="1" t="n">
        <v>45723</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33577-2023</t>
        </is>
      </c>
      <c r="B751" s="1" t="n">
        <v>45131</v>
      </c>
      <c r="C751" s="1" t="n">
        <v>45723</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33634-2023</t>
        </is>
      </c>
      <c r="B752" s="1" t="n">
        <v>45132</v>
      </c>
      <c r="C752" s="1" t="n">
        <v>45723</v>
      </c>
      <c r="D752" t="inlineStr">
        <is>
          <t>ÖREBRO LÄN</t>
        </is>
      </c>
      <c r="E752" t="inlineStr">
        <is>
          <t>ÖREBRO</t>
        </is>
      </c>
      <c r="G752" t="n">
        <v>1.2</v>
      </c>
      <c r="H752" t="n">
        <v>0</v>
      </c>
      <c r="I752" t="n">
        <v>0</v>
      </c>
      <c r="J752" t="n">
        <v>0</v>
      </c>
      <c r="K752" t="n">
        <v>0</v>
      </c>
      <c r="L752" t="n">
        <v>0</v>
      </c>
      <c r="M752" t="n">
        <v>0</v>
      </c>
      <c r="N752" t="n">
        <v>0</v>
      </c>
      <c r="O752" t="n">
        <v>0</v>
      </c>
      <c r="P752" t="n">
        <v>0</v>
      </c>
      <c r="Q752" t="n">
        <v>0</v>
      </c>
      <c r="R752" s="2" t="inlineStr"/>
    </row>
    <row r="753" ht="15" customHeight="1">
      <c r="A753" t="inlineStr">
        <is>
          <t>A 33628-2023</t>
        </is>
      </c>
      <c r="B753" s="1" t="n">
        <v>45132</v>
      </c>
      <c r="C753" s="1" t="n">
        <v>45723</v>
      </c>
      <c r="D753" t="inlineStr">
        <is>
          <t>ÖREBRO LÄN</t>
        </is>
      </c>
      <c r="E753" t="inlineStr">
        <is>
          <t>ÖREBRO</t>
        </is>
      </c>
      <c r="G753" t="n">
        <v>0.8</v>
      </c>
      <c r="H753" t="n">
        <v>0</v>
      </c>
      <c r="I753" t="n">
        <v>0</v>
      </c>
      <c r="J753" t="n">
        <v>0</v>
      </c>
      <c r="K753" t="n">
        <v>0</v>
      </c>
      <c r="L753" t="n">
        <v>0</v>
      </c>
      <c r="M753" t="n">
        <v>0</v>
      </c>
      <c r="N753" t="n">
        <v>0</v>
      </c>
      <c r="O753" t="n">
        <v>0</v>
      </c>
      <c r="P753" t="n">
        <v>0</v>
      </c>
      <c r="Q753" t="n">
        <v>0</v>
      </c>
      <c r="R753" s="2" t="inlineStr"/>
    </row>
    <row r="754" ht="15" customHeight="1">
      <c r="A754" t="inlineStr">
        <is>
          <t>A 33632-2023</t>
        </is>
      </c>
      <c r="B754" s="1" t="n">
        <v>45132</v>
      </c>
      <c r="C754" s="1" t="n">
        <v>45723</v>
      </c>
      <c r="D754" t="inlineStr">
        <is>
          <t>ÖREBRO LÄN</t>
        </is>
      </c>
      <c r="E754" t="inlineStr">
        <is>
          <t>ÖREBRO</t>
        </is>
      </c>
      <c r="G754" t="n">
        <v>4.4</v>
      </c>
      <c r="H754" t="n">
        <v>0</v>
      </c>
      <c r="I754" t="n">
        <v>0</v>
      </c>
      <c r="J754" t="n">
        <v>0</v>
      </c>
      <c r="K754" t="n">
        <v>0</v>
      </c>
      <c r="L754" t="n">
        <v>0</v>
      </c>
      <c r="M754" t="n">
        <v>0</v>
      </c>
      <c r="N754" t="n">
        <v>0</v>
      </c>
      <c r="O754" t="n">
        <v>0</v>
      </c>
      <c r="P754" t="n">
        <v>0</v>
      </c>
      <c r="Q754" t="n">
        <v>0</v>
      </c>
      <c r="R754" s="2" t="inlineStr"/>
    </row>
    <row r="755" ht="15" customHeight="1">
      <c r="A755" t="inlineStr">
        <is>
          <t>A 33980-2023</t>
        </is>
      </c>
      <c r="B755" s="1" t="n">
        <v>45134</v>
      </c>
      <c r="C755" s="1" t="n">
        <v>45723</v>
      </c>
      <c r="D755" t="inlineStr">
        <is>
          <t>ÖREBRO LÄN</t>
        </is>
      </c>
      <c r="E755" t="inlineStr">
        <is>
          <t>ÖREBRO</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33984-2023</t>
        </is>
      </c>
      <c r="B756" s="1" t="n">
        <v>45134</v>
      </c>
      <c r="C756" s="1" t="n">
        <v>45723</v>
      </c>
      <c r="D756" t="inlineStr">
        <is>
          <t>ÖREBRO LÄN</t>
        </is>
      </c>
      <c r="E756" t="inlineStr">
        <is>
          <t>ÖREBRO</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34056-2023</t>
        </is>
      </c>
      <c r="B757" s="1" t="n">
        <v>45135</v>
      </c>
      <c r="C757" s="1" t="n">
        <v>45723</v>
      </c>
      <c r="D757" t="inlineStr">
        <is>
          <t>ÖREBRO LÄN</t>
        </is>
      </c>
      <c r="E757" t="inlineStr">
        <is>
          <t>ÖREBRO</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34076-2023</t>
        </is>
      </c>
      <c r="B758" s="1" t="n">
        <v>45135</v>
      </c>
      <c r="C758" s="1" t="n">
        <v>45723</v>
      </c>
      <c r="D758" t="inlineStr">
        <is>
          <t>ÖREBRO LÄN</t>
        </is>
      </c>
      <c r="E758" t="inlineStr">
        <is>
          <t>ÖREBRO</t>
        </is>
      </c>
      <c r="F758" t="inlineStr">
        <is>
          <t>Övriga Aktiebolag</t>
        </is>
      </c>
      <c r="G758" t="n">
        <v>2</v>
      </c>
      <c r="H758" t="n">
        <v>0</v>
      </c>
      <c r="I758" t="n">
        <v>0</v>
      </c>
      <c r="J758" t="n">
        <v>0</v>
      </c>
      <c r="K758" t="n">
        <v>0</v>
      </c>
      <c r="L758" t="n">
        <v>0</v>
      </c>
      <c r="M758" t="n">
        <v>0</v>
      </c>
      <c r="N758" t="n">
        <v>0</v>
      </c>
      <c r="O758" t="n">
        <v>0</v>
      </c>
      <c r="P758" t="n">
        <v>0</v>
      </c>
      <c r="Q758" t="n">
        <v>0</v>
      </c>
      <c r="R758" s="2" t="inlineStr"/>
    </row>
    <row r="759" ht="15" customHeight="1">
      <c r="A759" t="inlineStr">
        <is>
          <t>A 34037-2023</t>
        </is>
      </c>
      <c r="B759" s="1" t="n">
        <v>45135</v>
      </c>
      <c r="C759" s="1" t="n">
        <v>45723</v>
      </c>
      <c r="D759" t="inlineStr">
        <is>
          <t>ÖREBRO LÄN</t>
        </is>
      </c>
      <c r="E759" t="inlineStr">
        <is>
          <t>ÖREBRO</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34251-2023</t>
        </is>
      </c>
      <c r="B760" s="1" t="n">
        <v>45138</v>
      </c>
      <c r="C760" s="1" t="n">
        <v>45723</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34769-2023</t>
        </is>
      </c>
      <c r="B761" s="1" t="n">
        <v>45141</v>
      </c>
      <c r="C761" s="1" t="n">
        <v>45723</v>
      </c>
      <c r="D761" t="inlineStr">
        <is>
          <t>ÖREBRO LÄN</t>
        </is>
      </c>
      <c r="E761" t="inlineStr">
        <is>
          <t>ÖREBRO</t>
        </is>
      </c>
      <c r="G761" t="n">
        <v>0.7</v>
      </c>
      <c r="H761" t="n">
        <v>0</v>
      </c>
      <c r="I761" t="n">
        <v>0</v>
      </c>
      <c r="J761" t="n">
        <v>0</v>
      </c>
      <c r="K761" t="n">
        <v>0</v>
      </c>
      <c r="L761" t="n">
        <v>0</v>
      </c>
      <c r="M761" t="n">
        <v>0</v>
      </c>
      <c r="N761" t="n">
        <v>0</v>
      </c>
      <c r="O761" t="n">
        <v>0</v>
      </c>
      <c r="P761" t="n">
        <v>0</v>
      </c>
      <c r="Q761" t="n">
        <v>0</v>
      </c>
      <c r="R761" s="2" t="inlineStr"/>
    </row>
    <row r="762" ht="15" customHeight="1">
      <c r="A762" t="inlineStr">
        <is>
          <t>A 35187-2023</t>
        </is>
      </c>
      <c r="B762" s="1" t="n">
        <v>45145</v>
      </c>
      <c r="C762" s="1" t="n">
        <v>45723</v>
      </c>
      <c r="D762" t="inlineStr">
        <is>
          <t>ÖREBRO LÄN</t>
        </is>
      </c>
      <c r="E762" t="inlineStr">
        <is>
          <t>ÖREBRO</t>
        </is>
      </c>
      <c r="G762" t="n">
        <v>1.3</v>
      </c>
      <c r="H762" t="n">
        <v>0</v>
      </c>
      <c r="I762" t="n">
        <v>0</v>
      </c>
      <c r="J762" t="n">
        <v>0</v>
      </c>
      <c r="K762" t="n">
        <v>0</v>
      </c>
      <c r="L762" t="n">
        <v>0</v>
      </c>
      <c r="M762" t="n">
        <v>0</v>
      </c>
      <c r="N762" t="n">
        <v>0</v>
      </c>
      <c r="O762" t="n">
        <v>0</v>
      </c>
      <c r="P762" t="n">
        <v>0</v>
      </c>
      <c r="Q762" t="n">
        <v>0</v>
      </c>
      <c r="R762" s="2" t="inlineStr"/>
    </row>
    <row r="763" ht="15" customHeight="1">
      <c r="A763" t="inlineStr">
        <is>
          <t>A 35707-2023</t>
        </is>
      </c>
      <c r="B763" s="1" t="n">
        <v>45147</v>
      </c>
      <c r="C763" s="1" t="n">
        <v>45723</v>
      </c>
      <c r="D763" t="inlineStr">
        <is>
          <t>ÖREBRO LÄN</t>
        </is>
      </c>
      <c r="E763" t="inlineStr">
        <is>
          <t>ÖREBRO</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35717-2023</t>
        </is>
      </c>
      <c r="B764" s="1" t="n">
        <v>45147</v>
      </c>
      <c r="C764" s="1" t="n">
        <v>45723</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36080-2023</t>
        </is>
      </c>
      <c r="B765" s="1" t="n">
        <v>45149</v>
      </c>
      <c r="C765" s="1" t="n">
        <v>45723</v>
      </c>
      <c r="D765" t="inlineStr">
        <is>
          <t>ÖREBRO LÄN</t>
        </is>
      </c>
      <c r="E765" t="inlineStr">
        <is>
          <t>ÖREBRO</t>
        </is>
      </c>
      <c r="G765" t="n">
        <v>5</v>
      </c>
      <c r="H765" t="n">
        <v>0</v>
      </c>
      <c r="I765" t="n">
        <v>0</v>
      </c>
      <c r="J765" t="n">
        <v>0</v>
      </c>
      <c r="K765" t="n">
        <v>0</v>
      </c>
      <c r="L765" t="n">
        <v>0</v>
      </c>
      <c r="M765" t="n">
        <v>0</v>
      </c>
      <c r="N765" t="n">
        <v>0</v>
      </c>
      <c r="O765" t="n">
        <v>0</v>
      </c>
      <c r="P765" t="n">
        <v>0</v>
      </c>
      <c r="Q765" t="n">
        <v>0</v>
      </c>
      <c r="R765" s="2" t="inlineStr"/>
    </row>
    <row r="766" ht="15" customHeight="1">
      <c r="A766" t="inlineStr">
        <is>
          <t>A 36445-2023</t>
        </is>
      </c>
      <c r="B766" s="1" t="n">
        <v>45152</v>
      </c>
      <c r="C766" s="1" t="n">
        <v>45723</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36635-2023</t>
        </is>
      </c>
      <c r="B767" s="1" t="n">
        <v>45153</v>
      </c>
      <c r="C767" s="1" t="n">
        <v>45723</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38223-2023</t>
        </is>
      </c>
      <c r="B768" s="1" t="n">
        <v>45161</v>
      </c>
      <c r="C768" s="1" t="n">
        <v>45723</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38415-2023</t>
        </is>
      </c>
      <c r="B769" s="1" t="n">
        <v>45162</v>
      </c>
      <c r="C769" s="1" t="n">
        <v>45723</v>
      </c>
      <c r="D769" t="inlineStr">
        <is>
          <t>ÖREBRO LÄN</t>
        </is>
      </c>
      <c r="E769" t="inlineStr">
        <is>
          <t>ÖREBRO</t>
        </is>
      </c>
      <c r="G769" t="n">
        <v>2.6</v>
      </c>
      <c r="H769" t="n">
        <v>0</v>
      </c>
      <c r="I769" t="n">
        <v>0</v>
      </c>
      <c r="J769" t="n">
        <v>0</v>
      </c>
      <c r="K769" t="n">
        <v>0</v>
      </c>
      <c r="L769" t="n">
        <v>0</v>
      </c>
      <c r="M769" t="n">
        <v>0</v>
      </c>
      <c r="N769" t="n">
        <v>0</v>
      </c>
      <c r="O769" t="n">
        <v>0</v>
      </c>
      <c r="P769" t="n">
        <v>0</v>
      </c>
      <c r="Q769" t="n">
        <v>0</v>
      </c>
      <c r="R769" s="2" t="inlineStr"/>
    </row>
    <row r="770" ht="15" customHeight="1">
      <c r="A770" t="inlineStr">
        <is>
          <t>A 38422-2023</t>
        </is>
      </c>
      <c r="B770" s="1" t="n">
        <v>45162</v>
      </c>
      <c r="C770" s="1" t="n">
        <v>45723</v>
      </c>
      <c r="D770" t="inlineStr">
        <is>
          <t>ÖREBRO LÄN</t>
        </is>
      </c>
      <c r="E770" t="inlineStr">
        <is>
          <t>ÖREBRO</t>
        </is>
      </c>
      <c r="G770" t="n">
        <v>8</v>
      </c>
      <c r="H770" t="n">
        <v>0</v>
      </c>
      <c r="I770" t="n">
        <v>0</v>
      </c>
      <c r="J770" t="n">
        <v>0</v>
      </c>
      <c r="K770" t="n">
        <v>0</v>
      </c>
      <c r="L770" t="n">
        <v>0</v>
      </c>
      <c r="M770" t="n">
        <v>0</v>
      </c>
      <c r="N770" t="n">
        <v>0</v>
      </c>
      <c r="O770" t="n">
        <v>0</v>
      </c>
      <c r="P770" t="n">
        <v>0</v>
      </c>
      <c r="Q770" t="n">
        <v>0</v>
      </c>
      <c r="R770" s="2" t="inlineStr"/>
    </row>
    <row r="771" ht="15" customHeight="1">
      <c r="A771" t="inlineStr">
        <is>
          <t>A 38489-2023</t>
        </is>
      </c>
      <c r="B771" s="1" t="n">
        <v>45162</v>
      </c>
      <c r="C771" s="1" t="n">
        <v>45723</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38573-2023</t>
        </is>
      </c>
      <c r="B772" s="1" t="n">
        <v>45162</v>
      </c>
      <c r="C772" s="1" t="n">
        <v>45723</v>
      </c>
      <c r="D772" t="inlineStr">
        <is>
          <t>ÖREBRO LÄN</t>
        </is>
      </c>
      <c r="E772" t="inlineStr">
        <is>
          <t>ÖREBRO</t>
        </is>
      </c>
      <c r="G772" t="n">
        <v>2.2</v>
      </c>
      <c r="H772" t="n">
        <v>0</v>
      </c>
      <c r="I772" t="n">
        <v>0</v>
      </c>
      <c r="J772" t="n">
        <v>0</v>
      </c>
      <c r="K772" t="n">
        <v>0</v>
      </c>
      <c r="L772" t="n">
        <v>0</v>
      </c>
      <c r="M772" t="n">
        <v>0</v>
      </c>
      <c r="N772" t="n">
        <v>0</v>
      </c>
      <c r="O772" t="n">
        <v>0</v>
      </c>
      <c r="P772" t="n">
        <v>0</v>
      </c>
      <c r="Q772" t="n">
        <v>0</v>
      </c>
      <c r="R772" s="2" t="inlineStr"/>
    </row>
    <row r="773" ht="15" customHeight="1">
      <c r="A773" t="inlineStr">
        <is>
          <t>A 38583-2023</t>
        </is>
      </c>
      <c r="B773" s="1" t="n">
        <v>45162</v>
      </c>
      <c r="C773" s="1" t="n">
        <v>45723</v>
      </c>
      <c r="D773" t="inlineStr">
        <is>
          <t>ÖREBRO LÄN</t>
        </is>
      </c>
      <c r="E773" t="inlineStr">
        <is>
          <t>ÖREBRO</t>
        </is>
      </c>
      <c r="G773" t="n">
        <v>5.7</v>
      </c>
      <c r="H773" t="n">
        <v>0</v>
      </c>
      <c r="I773" t="n">
        <v>0</v>
      </c>
      <c r="J773" t="n">
        <v>0</v>
      </c>
      <c r="K773" t="n">
        <v>0</v>
      </c>
      <c r="L773" t="n">
        <v>0</v>
      </c>
      <c r="M773" t="n">
        <v>0</v>
      </c>
      <c r="N773" t="n">
        <v>0</v>
      </c>
      <c r="O773" t="n">
        <v>0</v>
      </c>
      <c r="P773" t="n">
        <v>0</v>
      </c>
      <c r="Q773" t="n">
        <v>0</v>
      </c>
      <c r="R773" s="2" t="inlineStr"/>
    </row>
    <row r="774" ht="15" customHeight="1">
      <c r="A774" t="inlineStr">
        <is>
          <t>A 38898-2023</t>
        </is>
      </c>
      <c r="B774" s="1" t="n">
        <v>45163</v>
      </c>
      <c r="C774" s="1" t="n">
        <v>45723</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39130-2023</t>
        </is>
      </c>
      <c r="B775" s="1" t="n">
        <v>45165</v>
      </c>
      <c r="C775" s="1" t="n">
        <v>45723</v>
      </c>
      <c r="D775" t="inlineStr">
        <is>
          <t>ÖREBRO LÄN</t>
        </is>
      </c>
      <c r="E775" t="inlineStr">
        <is>
          <t>ÖREBRO</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39696-2023</t>
        </is>
      </c>
      <c r="B776" s="1" t="n">
        <v>45167</v>
      </c>
      <c r="C776" s="1" t="n">
        <v>45723</v>
      </c>
      <c r="D776" t="inlineStr">
        <is>
          <t>ÖREBRO LÄN</t>
        </is>
      </c>
      <c r="E776" t="inlineStr">
        <is>
          <t>ÖREBRO</t>
        </is>
      </c>
      <c r="G776" t="n">
        <v>4.7</v>
      </c>
      <c r="H776" t="n">
        <v>0</v>
      </c>
      <c r="I776" t="n">
        <v>0</v>
      </c>
      <c r="J776" t="n">
        <v>0</v>
      </c>
      <c r="K776" t="n">
        <v>0</v>
      </c>
      <c r="L776" t="n">
        <v>0</v>
      </c>
      <c r="M776" t="n">
        <v>0</v>
      </c>
      <c r="N776" t="n">
        <v>0</v>
      </c>
      <c r="O776" t="n">
        <v>0</v>
      </c>
      <c r="P776" t="n">
        <v>0</v>
      </c>
      <c r="Q776" t="n">
        <v>0</v>
      </c>
      <c r="R776" s="2" t="inlineStr"/>
    </row>
    <row r="777" ht="15" customHeight="1">
      <c r="A777" t="inlineStr">
        <is>
          <t>A 39782-2023</t>
        </is>
      </c>
      <c r="B777" s="1" t="n">
        <v>45167</v>
      </c>
      <c r="C777" s="1" t="n">
        <v>45723</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40656-2023</t>
        </is>
      </c>
      <c r="B778" s="1" t="n">
        <v>45170</v>
      </c>
      <c r="C778" s="1" t="n">
        <v>45723</v>
      </c>
      <c r="D778" t="inlineStr">
        <is>
          <t>ÖREBRO LÄN</t>
        </is>
      </c>
      <c r="E778" t="inlineStr">
        <is>
          <t>ÖREBRO</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41255-2023</t>
        </is>
      </c>
      <c r="B779" s="1" t="n">
        <v>45174</v>
      </c>
      <c r="C779" s="1" t="n">
        <v>45723</v>
      </c>
      <c r="D779" t="inlineStr">
        <is>
          <t>ÖREBRO LÄN</t>
        </is>
      </c>
      <c r="E779" t="inlineStr">
        <is>
          <t>ÖREBRO</t>
        </is>
      </c>
      <c r="G779" t="n">
        <v>2.5</v>
      </c>
      <c r="H779" t="n">
        <v>0</v>
      </c>
      <c r="I779" t="n">
        <v>0</v>
      </c>
      <c r="J779" t="n">
        <v>0</v>
      </c>
      <c r="K779" t="n">
        <v>0</v>
      </c>
      <c r="L779" t="n">
        <v>0</v>
      </c>
      <c r="M779" t="n">
        <v>0</v>
      </c>
      <c r="N779" t="n">
        <v>0</v>
      </c>
      <c r="O779" t="n">
        <v>0</v>
      </c>
      <c r="P779" t="n">
        <v>0</v>
      </c>
      <c r="Q779" t="n">
        <v>0</v>
      </c>
      <c r="R779" s="2" t="inlineStr"/>
    </row>
    <row r="780" ht="15" customHeight="1">
      <c r="A780" t="inlineStr">
        <is>
          <t>A 41455-2023</t>
        </is>
      </c>
      <c r="B780" s="1" t="n">
        <v>45175</v>
      </c>
      <c r="C780" s="1" t="n">
        <v>45723</v>
      </c>
      <c r="D780" t="inlineStr">
        <is>
          <t>ÖREBRO LÄN</t>
        </is>
      </c>
      <c r="E780" t="inlineStr">
        <is>
          <t>ÖREBRO</t>
        </is>
      </c>
      <c r="G780" t="n">
        <v>2</v>
      </c>
      <c r="H780" t="n">
        <v>0</v>
      </c>
      <c r="I780" t="n">
        <v>0</v>
      </c>
      <c r="J780" t="n">
        <v>0</v>
      </c>
      <c r="K780" t="n">
        <v>0</v>
      </c>
      <c r="L780" t="n">
        <v>0</v>
      </c>
      <c r="M780" t="n">
        <v>0</v>
      </c>
      <c r="N780" t="n">
        <v>0</v>
      </c>
      <c r="O780" t="n">
        <v>0</v>
      </c>
      <c r="P780" t="n">
        <v>0</v>
      </c>
      <c r="Q780" t="n">
        <v>0</v>
      </c>
      <c r="R780" s="2" t="inlineStr"/>
    </row>
    <row r="781" ht="15" customHeight="1">
      <c r="A781" t="inlineStr">
        <is>
          <t>A 41593-2023</t>
        </is>
      </c>
      <c r="B781" s="1" t="n">
        <v>45175</v>
      </c>
      <c r="C781" s="1" t="n">
        <v>45723</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41466-2023</t>
        </is>
      </c>
      <c r="B782" s="1" t="n">
        <v>45175</v>
      </c>
      <c r="C782" s="1" t="n">
        <v>45723</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41974-2023</t>
        </is>
      </c>
      <c r="B783" s="1" t="n">
        <v>45177</v>
      </c>
      <c r="C783" s="1" t="n">
        <v>45723</v>
      </c>
      <c r="D783" t="inlineStr">
        <is>
          <t>ÖREBRO LÄN</t>
        </is>
      </c>
      <c r="E783" t="inlineStr">
        <is>
          <t>ÖREBRO</t>
        </is>
      </c>
      <c r="G783" t="n">
        <v>3.4</v>
      </c>
      <c r="H783" t="n">
        <v>0</v>
      </c>
      <c r="I783" t="n">
        <v>0</v>
      </c>
      <c r="J783" t="n">
        <v>0</v>
      </c>
      <c r="K783" t="n">
        <v>0</v>
      </c>
      <c r="L783" t="n">
        <v>0</v>
      </c>
      <c r="M783" t="n">
        <v>0</v>
      </c>
      <c r="N783" t="n">
        <v>0</v>
      </c>
      <c r="O783" t="n">
        <v>0</v>
      </c>
      <c r="P783" t="n">
        <v>0</v>
      </c>
      <c r="Q783" t="n">
        <v>0</v>
      </c>
      <c r="R783" s="2" t="inlineStr"/>
    </row>
    <row r="784" ht="15" customHeight="1">
      <c r="A784" t="inlineStr">
        <is>
          <t>A 41992-2023</t>
        </is>
      </c>
      <c r="B784" s="1" t="n">
        <v>45177</v>
      </c>
      <c r="C784" s="1" t="n">
        <v>45723</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43273-2023</t>
        </is>
      </c>
      <c r="B785" s="1" t="n">
        <v>45180</v>
      </c>
      <c r="C785" s="1" t="n">
        <v>45723</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43255-2023</t>
        </is>
      </c>
      <c r="B786" s="1" t="n">
        <v>45180</v>
      </c>
      <c r="C786" s="1" t="n">
        <v>45723</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42636-2023</t>
        </is>
      </c>
      <c r="B787" s="1" t="n">
        <v>45181</v>
      </c>
      <c r="C787" s="1" t="n">
        <v>45723</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43520-2023</t>
        </is>
      </c>
      <c r="B788" s="1" t="n">
        <v>45184</v>
      </c>
      <c r="C788" s="1" t="n">
        <v>45723</v>
      </c>
      <c r="D788" t="inlineStr">
        <is>
          <t>ÖREBRO LÄN</t>
        </is>
      </c>
      <c r="E788" t="inlineStr">
        <is>
          <t>ÖREBRO</t>
        </is>
      </c>
      <c r="G788" t="n">
        <v>5.1</v>
      </c>
      <c r="H788" t="n">
        <v>0</v>
      </c>
      <c r="I788" t="n">
        <v>0</v>
      </c>
      <c r="J788" t="n">
        <v>0</v>
      </c>
      <c r="K788" t="n">
        <v>0</v>
      </c>
      <c r="L788" t="n">
        <v>0</v>
      </c>
      <c r="M788" t="n">
        <v>0</v>
      </c>
      <c r="N788" t="n">
        <v>0</v>
      </c>
      <c r="O788" t="n">
        <v>0</v>
      </c>
      <c r="P788" t="n">
        <v>0</v>
      </c>
      <c r="Q788" t="n">
        <v>0</v>
      </c>
      <c r="R788" s="2" t="inlineStr"/>
    </row>
    <row r="789" ht="15" customHeight="1">
      <c r="A789" t="inlineStr">
        <is>
          <t>A 43803-2023</t>
        </is>
      </c>
      <c r="B789" s="1" t="n">
        <v>45187</v>
      </c>
      <c r="C789" s="1" t="n">
        <v>45723</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44511-2023</t>
        </is>
      </c>
      <c r="B790" s="1" t="n">
        <v>45189</v>
      </c>
      <c r="C790" s="1" t="n">
        <v>45723</v>
      </c>
      <c r="D790" t="inlineStr">
        <is>
          <t>ÖREBRO LÄN</t>
        </is>
      </c>
      <c r="E790" t="inlineStr">
        <is>
          <t>ÖREBRO</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45897-2023</t>
        </is>
      </c>
      <c r="B791" s="1" t="n">
        <v>45189</v>
      </c>
      <c r="C791" s="1" t="n">
        <v>45723</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45237-2023</t>
        </is>
      </c>
      <c r="B792" s="1" t="n">
        <v>45191</v>
      </c>
      <c r="C792" s="1" t="n">
        <v>45723</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45517-2023</t>
        </is>
      </c>
      <c r="B793" s="1" t="n">
        <v>45194</v>
      </c>
      <c r="C793" s="1" t="n">
        <v>45723</v>
      </c>
      <c r="D793" t="inlineStr">
        <is>
          <t>ÖREBRO LÄN</t>
        </is>
      </c>
      <c r="E793" t="inlineStr">
        <is>
          <t>ÖREBRO</t>
        </is>
      </c>
      <c r="G793" t="n">
        <v>1.8</v>
      </c>
      <c r="H793" t="n">
        <v>0</v>
      </c>
      <c r="I793" t="n">
        <v>0</v>
      </c>
      <c r="J793" t="n">
        <v>0</v>
      </c>
      <c r="K793" t="n">
        <v>0</v>
      </c>
      <c r="L793" t="n">
        <v>0</v>
      </c>
      <c r="M793" t="n">
        <v>0</v>
      </c>
      <c r="N793" t="n">
        <v>0</v>
      </c>
      <c r="O793" t="n">
        <v>0</v>
      </c>
      <c r="P793" t="n">
        <v>0</v>
      </c>
      <c r="Q793" t="n">
        <v>0</v>
      </c>
      <c r="R793" s="2" t="inlineStr"/>
    </row>
    <row r="794" ht="15" customHeight="1">
      <c r="A794" t="inlineStr">
        <is>
          <t>A 46182-2023</t>
        </is>
      </c>
      <c r="B794" s="1" t="n">
        <v>45196</v>
      </c>
      <c r="C794" s="1" t="n">
        <v>45723</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46496-2023</t>
        </is>
      </c>
      <c r="B795" s="1" t="n">
        <v>45197</v>
      </c>
      <c r="C795" s="1" t="n">
        <v>45723</v>
      </c>
      <c r="D795" t="inlineStr">
        <is>
          <t>ÖREBRO LÄN</t>
        </is>
      </c>
      <c r="E795" t="inlineStr">
        <is>
          <t>ÖREBRO</t>
        </is>
      </c>
      <c r="G795" t="n">
        <v>3</v>
      </c>
      <c r="H795" t="n">
        <v>0</v>
      </c>
      <c r="I795" t="n">
        <v>0</v>
      </c>
      <c r="J795" t="n">
        <v>0</v>
      </c>
      <c r="K795" t="n">
        <v>0</v>
      </c>
      <c r="L795" t="n">
        <v>0</v>
      </c>
      <c r="M795" t="n">
        <v>0</v>
      </c>
      <c r="N795" t="n">
        <v>0</v>
      </c>
      <c r="O795" t="n">
        <v>0</v>
      </c>
      <c r="P795" t="n">
        <v>0</v>
      </c>
      <c r="Q795" t="n">
        <v>0</v>
      </c>
      <c r="R795" s="2" t="inlineStr"/>
    </row>
    <row r="796" ht="15" customHeight="1">
      <c r="A796" t="inlineStr">
        <is>
          <t>A 46502-2023</t>
        </is>
      </c>
      <c r="B796" s="1" t="n">
        <v>45197</v>
      </c>
      <c r="C796" s="1" t="n">
        <v>45723</v>
      </c>
      <c r="D796" t="inlineStr">
        <is>
          <t>ÖREBRO LÄN</t>
        </is>
      </c>
      <c r="E796" t="inlineStr">
        <is>
          <t>ÖREBRO</t>
        </is>
      </c>
      <c r="G796" t="n">
        <v>7.7</v>
      </c>
      <c r="H796" t="n">
        <v>0</v>
      </c>
      <c r="I796" t="n">
        <v>0</v>
      </c>
      <c r="J796" t="n">
        <v>0</v>
      </c>
      <c r="K796" t="n">
        <v>0</v>
      </c>
      <c r="L796" t="n">
        <v>0</v>
      </c>
      <c r="M796" t="n">
        <v>0</v>
      </c>
      <c r="N796" t="n">
        <v>0</v>
      </c>
      <c r="O796" t="n">
        <v>0</v>
      </c>
      <c r="P796" t="n">
        <v>0</v>
      </c>
      <c r="Q796" t="n">
        <v>0</v>
      </c>
      <c r="R796" s="2" t="inlineStr"/>
    </row>
    <row r="797" ht="15" customHeight="1">
      <c r="A797" t="inlineStr">
        <is>
          <t>A 46514-2023</t>
        </is>
      </c>
      <c r="B797" s="1" t="n">
        <v>45197</v>
      </c>
      <c r="C797" s="1" t="n">
        <v>45723</v>
      </c>
      <c r="D797" t="inlineStr">
        <is>
          <t>ÖREBRO LÄN</t>
        </is>
      </c>
      <c r="E797" t="inlineStr">
        <is>
          <t>ÖREBRO</t>
        </is>
      </c>
      <c r="G797" t="n">
        <v>10.9</v>
      </c>
      <c r="H797" t="n">
        <v>0</v>
      </c>
      <c r="I797" t="n">
        <v>0</v>
      </c>
      <c r="J797" t="n">
        <v>0</v>
      </c>
      <c r="K797" t="n">
        <v>0</v>
      </c>
      <c r="L797" t="n">
        <v>0</v>
      </c>
      <c r="M797" t="n">
        <v>0</v>
      </c>
      <c r="N797" t="n">
        <v>0</v>
      </c>
      <c r="O797" t="n">
        <v>0</v>
      </c>
      <c r="P797" t="n">
        <v>0</v>
      </c>
      <c r="Q797" t="n">
        <v>0</v>
      </c>
      <c r="R797" s="2" t="inlineStr"/>
    </row>
    <row r="798" ht="15" customHeight="1">
      <c r="A798" t="inlineStr">
        <is>
          <t>A 46518-2023</t>
        </is>
      </c>
      <c r="B798" s="1" t="n">
        <v>45197</v>
      </c>
      <c r="C798" s="1" t="n">
        <v>45723</v>
      </c>
      <c r="D798" t="inlineStr">
        <is>
          <t>ÖREBRO LÄN</t>
        </is>
      </c>
      <c r="E798" t="inlineStr">
        <is>
          <t>ÖREBRO</t>
        </is>
      </c>
      <c r="G798" t="n">
        <v>2.2</v>
      </c>
      <c r="H798" t="n">
        <v>0</v>
      </c>
      <c r="I798" t="n">
        <v>0</v>
      </c>
      <c r="J798" t="n">
        <v>0</v>
      </c>
      <c r="K798" t="n">
        <v>0</v>
      </c>
      <c r="L798" t="n">
        <v>0</v>
      </c>
      <c r="M798" t="n">
        <v>0</v>
      </c>
      <c r="N798" t="n">
        <v>0</v>
      </c>
      <c r="O798" t="n">
        <v>0</v>
      </c>
      <c r="P798" t="n">
        <v>0</v>
      </c>
      <c r="Q798" t="n">
        <v>0</v>
      </c>
      <c r="R798" s="2" t="inlineStr"/>
    </row>
    <row r="799" ht="15" customHeight="1">
      <c r="A799" t="inlineStr">
        <is>
          <t>A 47193-2023</t>
        </is>
      </c>
      <c r="B799" s="1" t="n">
        <v>45202</v>
      </c>
      <c r="C799" s="1" t="n">
        <v>45723</v>
      </c>
      <c r="D799" t="inlineStr">
        <is>
          <t>ÖREBRO LÄN</t>
        </is>
      </c>
      <c r="E799" t="inlineStr">
        <is>
          <t>ÖREBRO</t>
        </is>
      </c>
      <c r="G799" t="n">
        <v>2.4</v>
      </c>
      <c r="H799" t="n">
        <v>0</v>
      </c>
      <c r="I799" t="n">
        <v>0</v>
      </c>
      <c r="J799" t="n">
        <v>0</v>
      </c>
      <c r="K799" t="n">
        <v>0</v>
      </c>
      <c r="L799" t="n">
        <v>0</v>
      </c>
      <c r="M799" t="n">
        <v>0</v>
      </c>
      <c r="N799" t="n">
        <v>0</v>
      </c>
      <c r="O799" t="n">
        <v>0</v>
      </c>
      <c r="P799" t="n">
        <v>0</v>
      </c>
      <c r="Q799" t="n">
        <v>0</v>
      </c>
      <c r="R799" s="2" t="inlineStr"/>
    </row>
    <row r="800" ht="15" customHeight="1">
      <c r="A800" t="inlineStr">
        <is>
          <t>A 48350-2023</t>
        </is>
      </c>
      <c r="B800" s="1" t="n">
        <v>45205</v>
      </c>
      <c r="C800" s="1" t="n">
        <v>45723</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49062-2023</t>
        </is>
      </c>
      <c r="B801" s="1" t="n">
        <v>45210</v>
      </c>
      <c r="C801" s="1" t="n">
        <v>45723</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49215-2023</t>
        </is>
      </c>
      <c r="B802" s="1" t="n">
        <v>45210</v>
      </c>
      <c r="C802" s="1" t="n">
        <v>45723</v>
      </c>
      <c r="D802" t="inlineStr">
        <is>
          <t>ÖREBRO LÄN</t>
        </is>
      </c>
      <c r="E802" t="inlineStr">
        <is>
          <t>ÖREBRO</t>
        </is>
      </c>
      <c r="F802" t="inlineStr">
        <is>
          <t>Övriga Aktiebolag</t>
        </is>
      </c>
      <c r="G802" t="n">
        <v>4.2</v>
      </c>
      <c r="H802" t="n">
        <v>0</v>
      </c>
      <c r="I802" t="n">
        <v>0</v>
      </c>
      <c r="J802" t="n">
        <v>0</v>
      </c>
      <c r="K802" t="n">
        <v>0</v>
      </c>
      <c r="L802" t="n">
        <v>0</v>
      </c>
      <c r="M802" t="n">
        <v>0</v>
      </c>
      <c r="N802" t="n">
        <v>0</v>
      </c>
      <c r="O802" t="n">
        <v>0</v>
      </c>
      <c r="P802" t="n">
        <v>0</v>
      </c>
      <c r="Q802" t="n">
        <v>0</v>
      </c>
      <c r="R802" s="2" t="inlineStr"/>
    </row>
    <row r="803" ht="15" customHeight="1">
      <c r="A803" t="inlineStr">
        <is>
          <t>A 51373-2023</t>
        </is>
      </c>
      <c r="B803" s="1" t="n">
        <v>45213</v>
      </c>
      <c r="C803" s="1" t="n">
        <v>45723</v>
      </c>
      <c r="D803" t="inlineStr">
        <is>
          <t>ÖREBRO LÄN</t>
        </is>
      </c>
      <c r="E803" t="inlineStr">
        <is>
          <t>ÖREBRO</t>
        </is>
      </c>
      <c r="G803" t="n">
        <v>5.9</v>
      </c>
      <c r="H803" t="n">
        <v>0</v>
      </c>
      <c r="I803" t="n">
        <v>0</v>
      </c>
      <c r="J803" t="n">
        <v>0</v>
      </c>
      <c r="K803" t="n">
        <v>0</v>
      </c>
      <c r="L803" t="n">
        <v>0</v>
      </c>
      <c r="M803" t="n">
        <v>0</v>
      </c>
      <c r="N803" t="n">
        <v>0</v>
      </c>
      <c r="O803" t="n">
        <v>0</v>
      </c>
      <c r="P803" t="n">
        <v>0</v>
      </c>
      <c r="Q803" t="n">
        <v>0</v>
      </c>
      <c r="R803" s="2" t="inlineStr"/>
    </row>
    <row r="804" ht="15" customHeight="1">
      <c r="A804" t="inlineStr">
        <is>
          <t>A 50450-2023</t>
        </is>
      </c>
      <c r="B804" s="1" t="n">
        <v>45216</v>
      </c>
      <c r="C804" s="1" t="n">
        <v>45723</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50446-2023</t>
        </is>
      </c>
      <c r="B805" s="1" t="n">
        <v>45216</v>
      </c>
      <c r="C805" s="1" t="n">
        <v>45723</v>
      </c>
      <c r="D805" t="inlineStr">
        <is>
          <t>ÖREBRO LÄN</t>
        </is>
      </c>
      <c r="E805" t="inlineStr">
        <is>
          <t>ÖREBRO</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51315-2023</t>
        </is>
      </c>
      <c r="B806" s="1" t="n">
        <v>45219</v>
      </c>
      <c r="C806" s="1" t="n">
        <v>45723</v>
      </c>
      <c r="D806" t="inlineStr">
        <is>
          <t>ÖREBRO LÄN</t>
        </is>
      </c>
      <c r="E806" t="inlineStr">
        <is>
          <t>ÖREBRO</t>
        </is>
      </c>
      <c r="G806" t="n">
        <v>0.7</v>
      </c>
      <c r="H806" t="n">
        <v>0</v>
      </c>
      <c r="I806" t="n">
        <v>0</v>
      </c>
      <c r="J806" t="n">
        <v>0</v>
      </c>
      <c r="K806" t="n">
        <v>0</v>
      </c>
      <c r="L806" t="n">
        <v>0</v>
      </c>
      <c r="M806" t="n">
        <v>0</v>
      </c>
      <c r="N806" t="n">
        <v>0</v>
      </c>
      <c r="O806" t="n">
        <v>0</v>
      </c>
      <c r="P806" t="n">
        <v>0</v>
      </c>
      <c r="Q806" t="n">
        <v>0</v>
      </c>
      <c r="R806" s="2" t="inlineStr"/>
    </row>
    <row r="807" ht="15" customHeight="1">
      <c r="A807" t="inlineStr">
        <is>
          <t>A 51180-2023</t>
        </is>
      </c>
      <c r="B807" s="1" t="n">
        <v>45219</v>
      </c>
      <c r="C807" s="1" t="n">
        <v>45723</v>
      </c>
      <c r="D807" t="inlineStr">
        <is>
          <t>ÖREBRO LÄN</t>
        </is>
      </c>
      <c r="E807" t="inlineStr">
        <is>
          <t>ÖREBRO</t>
        </is>
      </c>
      <c r="G807" t="n">
        <v>6.5</v>
      </c>
      <c r="H807" t="n">
        <v>0</v>
      </c>
      <c r="I807" t="n">
        <v>0</v>
      </c>
      <c r="J807" t="n">
        <v>0</v>
      </c>
      <c r="K807" t="n">
        <v>0</v>
      </c>
      <c r="L807" t="n">
        <v>0</v>
      </c>
      <c r="M807" t="n">
        <v>0</v>
      </c>
      <c r="N807" t="n">
        <v>0</v>
      </c>
      <c r="O807" t="n">
        <v>0</v>
      </c>
      <c r="P807" t="n">
        <v>0</v>
      </c>
      <c r="Q807" t="n">
        <v>0</v>
      </c>
      <c r="R807" s="2" t="inlineStr"/>
    </row>
    <row r="808" ht="15" customHeight="1">
      <c r="A808" t="inlineStr">
        <is>
          <t>A 51297-2023</t>
        </is>
      </c>
      <c r="B808" s="1" t="n">
        <v>45219</v>
      </c>
      <c r="C808" s="1" t="n">
        <v>45723</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51327-2023</t>
        </is>
      </c>
      <c r="B809" s="1" t="n">
        <v>45219</v>
      </c>
      <c r="C809" s="1" t="n">
        <v>45723</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51331-2023</t>
        </is>
      </c>
      <c r="B810" s="1" t="n">
        <v>45219</v>
      </c>
      <c r="C810" s="1" t="n">
        <v>45723</v>
      </c>
      <c r="D810" t="inlineStr">
        <is>
          <t>ÖREBRO LÄN</t>
        </is>
      </c>
      <c r="E810" t="inlineStr">
        <is>
          <t>ÖREBRO</t>
        </is>
      </c>
      <c r="F810" t="inlineStr">
        <is>
          <t>Kommuner</t>
        </is>
      </c>
      <c r="G810" t="n">
        <v>1.3</v>
      </c>
      <c r="H810" t="n">
        <v>0</v>
      </c>
      <c r="I810" t="n">
        <v>0</v>
      </c>
      <c r="J810" t="n">
        <v>0</v>
      </c>
      <c r="K810" t="n">
        <v>0</v>
      </c>
      <c r="L810" t="n">
        <v>0</v>
      </c>
      <c r="M810" t="n">
        <v>0</v>
      </c>
      <c r="N810" t="n">
        <v>0</v>
      </c>
      <c r="O810" t="n">
        <v>0</v>
      </c>
      <c r="P810" t="n">
        <v>0</v>
      </c>
      <c r="Q810" t="n">
        <v>0</v>
      </c>
      <c r="R810" s="2" t="inlineStr"/>
    </row>
    <row r="811" ht="15" customHeight="1">
      <c r="A811" t="inlineStr">
        <is>
          <t>A 51962-2023</t>
        </is>
      </c>
      <c r="B811" s="1" t="n">
        <v>45223</v>
      </c>
      <c r="C811" s="1" t="n">
        <v>45723</v>
      </c>
      <c r="D811" t="inlineStr">
        <is>
          <t>ÖREBRO LÄN</t>
        </is>
      </c>
      <c r="E811" t="inlineStr">
        <is>
          <t>ÖREBRO</t>
        </is>
      </c>
      <c r="G811" t="n">
        <v>1.4</v>
      </c>
      <c r="H811" t="n">
        <v>0</v>
      </c>
      <c r="I811" t="n">
        <v>0</v>
      </c>
      <c r="J811" t="n">
        <v>0</v>
      </c>
      <c r="K811" t="n">
        <v>0</v>
      </c>
      <c r="L811" t="n">
        <v>0</v>
      </c>
      <c r="M811" t="n">
        <v>0</v>
      </c>
      <c r="N811" t="n">
        <v>0</v>
      </c>
      <c r="O811" t="n">
        <v>0</v>
      </c>
      <c r="P811" t="n">
        <v>0</v>
      </c>
      <c r="Q811" t="n">
        <v>0</v>
      </c>
      <c r="R811" s="2" t="inlineStr"/>
    </row>
    <row r="812" ht="15" customHeight="1">
      <c r="A812" t="inlineStr">
        <is>
          <t>A 52005-2023</t>
        </is>
      </c>
      <c r="B812" s="1" t="n">
        <v>45223</v>
      </c>
      <c r="C812" s="1" t="n">
        <v>45723</v>
      </c>
      <c r="D812" t="inlineStr">
        <is>
          <t>ÖREBRO LÄN</t>
        </is>
      </c>
      <c r="E812" t="inlineStr">
        <is>
          <t>ÖREBRO</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52256-2023</t>
        </is>
      </c>
      <c r="B813" s="1" t="n">
        <v>45224</v>
      </c>
      <c r="C813" s="1" t="n">
        <v>45723</v>
      </c>
      <c r="D813" t="inlineStr">
        <is>
          <t>ÖREBRO LÄN</t>
        </is>
      </c>
      <c r="E813" t="inlineStr">
        <is>
          <t>ÖREBRO</t>
        </is>
      </c>
      <c r="G813" t="n">
        <v>2.8</v>
      </c>
      <c r="H813" t="n">
        <v>0</v>
      </c>
      <c r="I813" t="n">
        <v>0</v>
      </c>
      <c r="J813" t="n">
        <v>0</v>
      </c>
      <c r="K813" t="n">
        <v>0</v>
      </c>
      <c r="L813" t="n">
        <v>0</v>
      </c>
      <c r="M813" t="n">
        <v>0</v>
      </c>
      <c r="N813" t="n">
        <v>0</v>
      </c>
      <c r="O813" t="n">
        <v>0</v>
      </c>
      <c r="P813" t="n">
        <v>0</v>
      </c>
      <c r="Q813" t="n">
        <v>0</v>
      </c>
      <c r="R813" s="2" t="inlineStr"/>
    </row>
    <row r="814" ht="15" customHeight="1">
      <c r="A814" t="inlineStr">
        <is>
          <t>A 53234-2023</t>
        </is>
      </c>
      <c r="B814" s="1" t="n">
        <v>45229</v>
      </c>
      <c r="C814" s="1" t="n">
        <v>45723</v>
      </c>
      <c r="D814" t="inlineStr">
        <is>
          <t>ÖREBRO LÄN</t>
        </is>
      </c>
      <c r="E814" t="inlineStr">
        <is>
          <t>ÖREBRO</t>
        </is>
      </c>
      <c r="G814" t="n">
        <v>1.8</v>
      </c>
      <c r="H814" t="n">
        <v>0</v>
      </c>
      <c r="I814" t="n">
        <v>0</v>
      </c>
      <c r="J814" t="n">
        <v>0</v>
      </c>
      <c r="K814" t="n">
        <v>0</v>
      </c>
      <c r="L814" t="n">
        <v>0</v>
      </c>
      <c r="M814" t="n">
        <v>0</v>
      </c>
      <c r="N814" t="n">
        <v>0</v>
      </c>
      <c r="O814" t="n">
        <v>0</v>
      </c>
      <c r="P814" t="n">
        <v>0</v>
      </c>
      <c r="Q814" t="n">
        <v>0</v>
      </c>
      <c r="R814" s="2" t="inlineStr"/>
    </row>
    <row r="815" ht="15" customHeight="1">
      <c r="A815" t="inlineStr">
        <is>
          <t>A 53143-2023</t>
        </is>
      </c>
      <c r="B815" s="1" t="n">
        <v>45229</v>
      </c>
      <c r="C815" s="1" t="n">
        <v>45723</v>
      </c>
      <c r="D815" t="inlineStr">
        <is>
          <t>ÖREBRO LÄN</t>
        </is>
      </c>
      <c r="E815" t="inlineStr">
        <is>
          <t>ÖREBRO</t>
        </is>
      </c>
      <c r="G815" t="n">
        <v>3.3</v>
      </c>
      <c r="H815" t="n">
        <v>0</v>
      </c>
      <c r="I815" t="n">
        <v>0</v>
      </c>
      <c r="J815" t="n">
        <v>0</v>
      </c>
      <c r="K815" t="n">
        <v>0</v>
      </c>
      <c r="L815" t="n">
        <v>0</v>
      </c>
      <c r="M815" t="n">
        <v>0</v>
      </c>
      <c r="N815" t="n">
        <v>0</v>
      </c>
      <c r="O815" t="n">
        <v>0</v>
      </c>
      <c r="P815" t="n">
        <v>0</v>
      </c>
      <c r="Q815" t="n">
        <v>0</v>
      </c>
      <c r="R815" s="2" t="inlineStr"/>
    </row>
    <row r="816" ht="15" customHeight="1">
      <c r="A816" t="inlineStr">
        <is>
          <t>A 53170-2023</t>
        </is>
      </c>
      <c r="B816" s="1" t="n">
        <v>45229</v>
      </c>
      <c r="C816" s="1" t="n">
        <v>45723</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54925-2023</t>
        </is>
      </c>
      <c r="B817" s="1" t="n">
        <v>45229</v>
      </c>
      <c r="C817" s="1" t="n">
        <v>45723</v>
      </c>
      <c r="D817" t="inlineStr">
        <is>
          <t>ÖREBRO LÄN</t>
        </is>
      </c>
      <c r="E817" t="inlineStr">
        <is>
          <t>ÖREBRO</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54917-2023</t>
        </is>
      </c>
      <c r="B818" s="1" t="n">
        <v>45229</v>
      </c>
      <c r="C818" s="1" t="n">
        <v>45723</v>
      </c>
      <c r="D818" t="inlineStr">
        <is>
          <t>ÖREBRO LÄN</t>
        </is>
      </c>
      <c r="E818" t="inlineStr">
        <is>
          <t>ÖREBRO</t>
        </is>
      </c>
      <c r="G818" t="n">
        <v>3.1</v>
      </c>
      <c r="H818" t="n">
        <v>0</v>
      </c>
      <c r="I818" t="n">
        <v>0</v>
      </c>
      <c r="J818" t="n">
        <v>0</v>
      </c>
      <c r="K818" t="n">
        <v>0</v>
      </c>
      <c r="L818" t="n">
        <v>0</v>
      </c>
      <c r="M818" t="n">
        <v>0</v>
      </c>
      <c r="N818" t="n">
        <v>0</v>
      </c>
      <c r="O818" t="n">
        <v>0</v>
      </c>
      <c r="P818" t="n">
        <v>0</v>
      </c>
      <c r="Q818" t="n">
        <v>0</v>
      </c>
      <c r="R818" s="2" t="inlineStr"/>
    </row>
    <row r="819" ht="15" customHeight="1">
      <c r="A819" t="inlineStr">
        <is>
          <t>A 53598-2023</t>
        </is>
      </c>
      <c r="B819" s="1" t="n">
        <v>45230</v>
      </c>
      <c r="C819" s="1" t="n">
        <v>45723</v>
      </c>
      <c r="D819" t="inlineStr">
        <is>
          <t>ÖREBRO LÄN</t>
        </is>
      </c>
      <c r="E819" t="inlineStr">
        <is>
          <t>ÖREBRO</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53802-2023</t>
        </is>
      </c>
      <c r="B820" s="1" t="n">
        <v>45230</v>
      </c>
      <c r="C820" s="1" t="n">
        <v>45723</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53558-2023</t>
        </is>
      </c>
      <c r="B821" s="1" t="n">
        <v>45230</v>
      </c>
      <c r="C821" s="1" t="n">
        <v>45723</v>
      </c>
      <c r="D821" t="inlineStr">
        <is>
          <t>ÖREBRO LÄN</t>
        </is>
      </c>
      <c r="E821" t="inlineStr">
        <is>
          <t>ÖREBRO</t>
        </is>
      </c>
      <c r="F821" t="inlineStr">
        <is>
          <t>Övriga Aktiebolag</t>
        </is>
      </c>
      <c r="G821" t="n">
        <v>4.7</v>
      </c>
      <c r="H821" t="n">
        <v>0</v>
      </c>
      <c r="I821" t="n">
        <v>0</v>
      </c>
      <c r="J821" t="n">
        <v>0</v>
      </c>
      <c r="K821" t="n">
        <v>0</v>
      </c>
      <c r="L821" t="n">
        <v>0</v>
      </c>
      <c r="M821" t="n">
        <v>0</v>
      </c>
      <c r="N821" t="n">
        <v>0</v>
      </c>
      <c r="O821" t="n">
        <v>0</v>
      </c>
      <c r="P821" t="n">
        <v>0</v>
      </c>
      <c r="Q821" t="n">
        <v>0</v>
      </c>
      <c r="R821" s="2" t="inlineStr"/>
    </row>
    <row r="822" ht="15" customHeight="1">
      <c r="A822" t="inlineStr">
        <is>
          <t>A 54561-2023</t>
        </is>
      </c>
      <c r="B822" s="1" t="n">
        <v>45233</v>
      </c>
      <c r="C822" s="1" t="n">
        <v>45723</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54505-2023</t>
        </is>
      </c>
      <c r="B823" s="1" t="n">
        <v>45233</v>
      </c>
      <c r="C823" s="1" t="n">
        <v>45723</v>
      </c>
      <c r="D823" t="inlineStr">
        <is>
          <t>ÖREBRO LÄN</t>
        </is>
      </c>
      <c r="E823" t="inlineStr">
        <is>
          <t>ÖREBRO</t>
        </is>
      </c>
      <c r="F823" t="inlineStr">
        <is>
          <t>Övriga Aktiebolag</t>
        </is>
      </c>
      <c r="G823" t="n">
        <v>7.2</v>
      </c>
      <c r="H823" t="n">
        <v>0</v>
      </c>
      <c r="I823" t="n">
        <v>0</v>
      </c>
      <c r="J823" t="n">
        <v>0</v>
      </c>
      <c r="K823" t="n">
        <v>0</v>
      </c>
      <c r="L823" t="n">
        <v>0</v>
      </c>
      <c r="M823" t="n">
        <v>0</v>
      </c>
      <c r="N823" t="n">
        <v>0</v>
      </c>
      <c r="O823" t="n">
        <v>0</v>
      </c>
      <c r="P823" t="n">
        <v>0</v>
      </c>
      <c r="Q823" t="n">
        <v>0</v>
      </c>
      <c r="R823" s="2" t="inlineStr"/>
    </row>
    <row r="824" ht="15" customHeight="1">
      <c r="A824" t="inlineStr">
        <is>
          <t>A 54558-2023</t>
        </is>
      </c>
      <c r="B824" s="1" t="n">
        <v>45233</v>
      </c>
      <c r="C824" s="1" t="n">
        <v>45723</v>
      </c>
      <c r="D824" t="inlineStr">
        <is>
          <t>ÖREBRO LÄN</t>
        </is>
      </c>
      <c r="E824" t="inlineStr">
        <is>
          <t>ÖREBRO</t>
        </is>
      </c>
      <c r="G824" t="n">
        <v>0.9</v>
      </c>
      <c r="H824" t="n">
        <v>0</v>
      </c>
      <c r="I824" t="n">
        <v>0</v>
      </c>
      <c r="J824" t="n">
        <v>0</v>
      </c>
      <c r="K824" t="n">
        <v>0</v>
      </c>
      <c r="L824" t="n">
        <v>0</v>
      </c>
      <c r="M824" t="n">
        <v>0</v>
      </c>
      <c r="N824" t="n">
        <v>0</v>
      </c>
      <c r="O824" t="n">
        <v>0</v>
      </c>
      <c r="P824" t="n">
        <v>0</v>
      </c>
      <c r="Q824" t="n">
        <v>0</v>
      </c>
      <c r="R824" s="2" t="inlineStr"/>
    </row>
    <row r="825" ht="15" customHeight="1">
      <c r="A825" t="inlineStr">
        <is>
          <t>A 54678-2023</t>
        </is>
      </c>
      <c r="B825" s="1" t="n">
        <v>45235</v>
      </c>
      <c r="C825" s="1" t="n">
        <v>45723</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54865-2023</t>
        </is>
      </c>
      <c r="B826" s="1" t="n">
        <v>45236</v>
      </c>
      <c r="C826" s="1" t="n">
        <v>45723</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55008-2023</t>
        </is>
      </c>
      <c r="B827" s="1" t="n">
        <v>45236</v>
      </c>
      <c r="C827" s="1" t="n">
        <v>45723</v>
      </c>
      <c r="D827" t="inlineStr">
        <is>
          <t>ÖREBRO LÄN</t>
        </is>
      </c>
      <c r="E827" t="inlineStr">
        <is>
          <t>ÖREBRO</t>
        </is>
      </c>
      <c r="G827" t="n">
        <v>4</v>
      </c>
      <c r="H827" t="n">
        <v>0</v>
      </c>
      <c r="I827" t="n">
        <v>0</v>
      </c>
      <c r="J827" t="n">
        <v>0</v>
      </c>
      <c r="K827" t="n">
        <v>0</v>
      </c>
      <c r="L827" t="n">
        <v>0</v>
      </c>
      <c r="M827" t="n">
        <v>0</v>
      </c>
      <c r="N827" t="n">
        <v>0</v>
      </c>
      <c r="O827" t="n">
        <v>0</v>
      </c>
      <c r="P827" t="n">
        <v>0</v>
      </c>
      <c r="Q827" t="n">
        <v>0</v>
      </c>
      <c r="R827" s="2" t="inlineStr"/>
    </row>
    <row r="828" ht="15" customHeight="1">
      <c r="A828" t="inlineStr">
        <is>
          <t>A 55472-2023</t>
        </is>
      </c>
      <c r="B828" s="1" t="n">
        <v>45238</v>
      </c>
      <c r="C828" s="1" t="n">
        <v>45723</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55692-2023</t>
        </is>
      </c>
      <c r="B829" s="1" t="n">
        <v>45239</v>
      </c>
      <c r="C829" s="1" t="n">
        <v>45723</v>
      </c>
      <c r="D829" t="inlineStr">
        <is>
          <t>ÖREBRO LÄN</t>
        </is>
      </c>
      <c r="E829" t="inlineStr">
        <is>
          <t>ÖREBRO</t>
        </is>
      </c>
      <c r="F829" t="inlineStr">
        <is>
          <t>Övriga Aktiebolag</t>
        </is>
      </c>
      <c r="G829" t="n">
        <v>0.4</v>
      </c>
      <c r="H829" t="n">
        <v>0</v>
      </c>
      <c r="I829" t="n">
        <v>0</v>
      </c>
      <c r="J829" t="n">
        <v>0</v>
      </c>
      <c r="K829" t="n">
        <v>0</v>
      </c>
      <c r="L829" t="n">
        <v>0</v>
      </c>
      <c r="M829" t="n">
        <v>0</v>
      </c>
      <c r="N829" t="n">
        <v>0</v>
      </c>
      <c r="O829" t="n">
        <v>0</v>
      </c>
      <c r="P829" t="n">
        <v>0</v>
      </c>
      <c r="Q829" t="n">
        <v>0</v>
      </c>
      <c r="R829" s="2" t="inlineStr"/>
    </row>
    <row r="830" ht="15" customHeight="1">
      <c r="A830" t="inlineStr">
        <is>
          <t>A 55745-2023</t>
        </is>
      </c>
      <c r="B830" s="1" t="n">
        <v>45239</v>
      </c>
      <c r="C830" s="1" t="n">
        <v>45723</v>
      </c>
      <c r="D830" t="inlineStr">
        <is>
          <t>ÖREBRO LÄN</t>
        </is>
      </c>
      <c r="E830" t="inlineStr">
        <is>
          <t>ÖREBRO</t>
        </is>
      </c>
      <c r="G830" t="n">
        <v>13.3</v>
      </c>
      <c r="H830" t="n">
        <v>0</v>
      </c>
      <c r="I830" t="n">
        <v>0</v>
      </c>
      <c r="J830" t="n">
        <v>0</v>
      </c>
      <c r="K830" t="n">
        <v>0</v>
      </c>
      <c r="L830" t="n">
        <v>0</v>
      </c>
      <c r="M830" t="n">
        <v>0</v>
      </c>
      <c r="N830" t="n">
        <v>0</v>
      </c>
      <c r="O830" t="n">
        <v>0</v>
      </c>
      <c r="P830" t="n">
        <v>0</v>
      </c>
      <c r="Q830" t="n">
        <v>0</v>
      </c>
      <c r="R830" s="2" t="inlineStr"/>
    </row>
    <row r="831" ht="15" customHeight="1">
      <c r="A831" t="inlineStr">
        <is>
          <t>A 57312-2023</t>
        </is>
      </c>
      <c r="B831" s="1" t="n">
        <v>45245</v>
      </c>
      <c r="C831" s="1" t="n">
        <v>45723</v>
      </c>
      <c r="D831" t="inlineStr">
        <is>
          <t>ÖREBRO LÄN</t>
        </is>
      </c>
      <c r="E831" t="inlineStr">
        <is>
          <t>ÖREBRO</t>
        </is>
      </c>
      <c r="G831" t="n">
        <v>12.5</v>
      </c>
      <c r="H831" t="n">
        <v>0</v>
      </c>
      <c r="I831" t="n">
        <v>0</v>
      </c>
      <c r="J831" t="n">
        <v>0</v>
      </c>
      <c r="K831" t="n">
        <v>0</v>
      </c>
      <c r="L831" t="n">
        <v>0</v>
      </c>
      <c r="M831" t="n">
        <v>0</v>
      </c>
      <c r="N831" t="n">
        <v>0</v>
      </c>
      <c r="O831" t="n">
        <v>0</v>
      </c>
      <c r="P831" t="n">
        <v>0</v>
      </c>
      <c r="Q831" t="n">
        <v>0</v>
      </c>
      <c r="R831" s="2" t="inlineStr"/>
    </row>
    <row r="832" ht="15" customHeight="1">
      <c r="A832" t="inlineStr">
        <is>
          <t>A 57604-2023</t>
        </is>
      </c>
      <c r="B832" s="1" t="n">
        <v>45246</v>
      </c>
      <c r="C832" s="1" t="n">
        <v>45723</v>
      </c>
      <c r="D832" t="inlineStr">
        <is>
          <t>ÖREBRO LÄN</t>
        </is>
      </c>
      <c r="E832" t="inlineStr">
        <is>
          <t>ÖREBRO</t>
        </is>
      </c>
      <c r="G832" t="n">
        <v>3.7</v>
      </c>
      <c r="H832" t="n">
        <v>0</v>
      </c>
      <c r="I832" t="n">
        <v>0</v>
      </c>
      <c r="J832" t="n">
        <v>0</v>
      </c>
      <c r="K832" t="n">
        <v>0</v>
      </c>
      <c r="L832" t="n">
        <v>0</v>
      </c>
      <c r="M832" t="n">
        <v>0</v>
      </c>
      <c r="N832" t="n">
        <v>0</v>
      </c>
      <c r="O832" t="n">
        <v>0</v>
      </c>
      <c r="P832" t="n">
        <v>0</v>
      </c>
      <c r="Q832" t="n">
        <v>0</v>
      </c>
      <c r="R832" s="2" t="inlineStr"/>
    </row>
    <row r="833" ht="15" customHeight="1">
      <c r="A833" t="inlineStr">
        <is>
          <t>A 57485-2023</t>
        </is>
      </c>
      <c r="B833" s="1" t="n">
        <v>45246</v>
      </c>
      <c r="C833" s="1" t="n">
        <v>45723</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58032-2023</t>
        </is>
      </c>
      <c r="B834" s="1" t="n">
        <v>45247</v>
      </c>
      <c r="C834" s="1" t="n">
        <v>45723</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58035-2023</t>
        </is>
      </c>
      <c r="B835" s="1" t="n">
        <v>45247</v>
      </c>
      <c r="C835" s="1" t="n">
        <v>45723</v>
      </c>
      <c r="D835" t="inlineStr">
        <is>
          <t>ÖREBRO LÄN</t>
        </is>
      </c>
      <c r="E835" t="inlineStr">
        <is>
          <t>ÖREBRO</t>
        </is>
      </c>
      <c r="G835" t="n">
        <v>1.4</v>
      </c>
      <c r="H835" t="n">
        <v>0</v>
      </c>
      <c r="I835" t="n">
        <v>0</v>
      </c>
      <c r="J835" t="n">
        <v>0</v>
      </c>
      <c r="K835" t="n">
        <v>0</v>
      </c>
      <c r="L835" t="n">
        <v>0</v>
      </c>
      <c r="M835" t="n">
        <v>0</v>
      </c>
      <c r="N835" t="n">
        <v>0</v>
      </c>
      <c r="O835" t="n">
        <v>0</v>
      </c>
      <c r="P835" t="n">
        <v>0</v>
      </c>
      <c r="Q835" t="n">
        <v>0</v>
      </c>
      <c r="R835" s="2" t="inlineStr"/>
    </row>
    <row r="836" ht="15" customHeight="1">
      <c r="A836" t="inlineStr">
        <is>
          <t>A 58516-2023</t>
        </is>
      </c>
      <c r="B836" s="1" t="n">
        <v>45251</v>
      </c>
      <c r="C836" s="1" t="n">
        <v>45723</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58504-2023</t>
        </is>
      </c>
      <c r="B837" s="1" t="n">
        <v>45251</v>
      </c>
      <c r="C837" s="1" t="n">
        <v>45723</v>
      </c>
      <c r="D837" t="inlineStr">
        <is>
          <t>ÖREBRO LÄN</t>
        </is>
      </c>
      <c r="E837" t="inlineStr">
        <is>
          <t>ÖREBRO</t>
        </is>
      </c>
      <c r="G837" t="n">
        <v>2.1</v>
      </c>
      <c r="H837" t="n">
        <v>0</v>
      </c>
      <c r="I837" t="n">
        <v>0</v>
      </c>
      <c r="J837" t="n">
        <v>0</v>
      </c>
      <c r="K837" t="n">
        <v>0</v>
      </c>
      <c r="L837" t="n">
        <v>0</v>
      </c>
      <c r="M837" t="n">
        <v>0</v>
      </c>
      <c r="N837" t="n">
        <v>0</v>
      </c>
      <c r="O837" t="n">
        <v>0</v>
      </c>
      <c r="P837" t="n">
        <v>0</v>
      </c>
      <c r="Q837" t="n">
        <v>0</v>
      </c>
      <c r="R837" s="2" t="inlineStr"/>
    </row>
    <row r="838" ht="15" customHeight="1">
      <c r="A838" t="inlineStr">
        <is>
          <t>A 58644-2023</t>
        </is>
      </c>
      <c r="B838" s="1" t="n">
        <v>45251</v>
      </c>
      <c r="C838" s="1" t="n">
        <v>45723</v>
      </c>
      <c r="D838" t="inlineStr">
        <is>
          <t>ÖREBRO LÄN</t>
        </is>
      </c>
      <c r="E838" t="inlineStr">
        <is>
          <t>ÖREBRO</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58682-2023</t>
        </is>
      </c>
      <c r="B839" s="1" t="n">
        <v>45251</v>
      </c>
      <c r="C839" s="1" t="n">
        <v>45723</v>
      </c>
      <c r="D839" t="inlineStr">
        <is>
          <t>ÖREBRO LÄN</t>
        </is>
      </c>
      <c r="E839" t="inlineStr">
        <is>
          <t>ÖREBRO</t>
        </is>
      </c>
      <c r="G839" t="n">
        <v>1.3</v>
      </c>
      <c r="H839" t="n">
        <v>0</v>
      </c>
      <c r="I839" t="n">
        <v>0</v>
      </c>
      <c r="J839" t="n">
        <v>0</v>
      </c>
      <c r="K839" t="n">
        <v>0</v>
      </c>
      <c r="L839" t="n">
        <v>0</v>
      </c>
      <c r="M839" t="n">
        <v>0</v>
      </c>
      <c r="N839" t="n">
        <v>0</v>
      </c>
      <c r="O839" t="n">
        <v>0</v>
      </c>
      <c r="P839" t="n">
        <v>0</v>
      </c>
      <c r="Q839" t="n">
        <v>0</v>
      </c>
      <c r="R839" s="2" t="inlineStr"/>
    </row>
    <row r="840" ht="15" customHeight="1">
      <c r="A840" t="inlineStr">
        <is>
          <t>A 58684-2023</t>
        </is>
      </c>
      <c r="B840" s="1" t="n">
        <v>45251</v>
      </c>
      <c r="C840" s="1" t="n">
        <v>45723</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58889-2023</t>
        </is>
      </c>
      <c r="B841" s="1" t="n">
        <v>45252</v>
      </c>
      <c r="C841" s="1" t="n">
        <v>45723</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59037-2023</t>
        </is>
      </c>
      <c r="B842" s="1" t="n">
        <v>45252</v>
      </c>
      <c r="C842" s="1" t="n">
        <v>45723</v>
      </c>
      <c r="D842" t="inlineStr">
        <is>
          <t>ÖREBRO LÄN</t>
        </is>
      </c>
      <c r="E842" t="inlineStr">
        <is>
          <t>ÖREBRO</t>
        </is>
      </c>
      <c r="G842" t="n">
        <v>2.7</v>
      </c>
      <c r="H842" t="n">
        <v>0</v>
      </c>
      <c r="I842" t="n">
        <v>0</v>
      </c>
      <c r="J842" t="n">
        <v>0</v>
      </c>
      <c r="K842" t="n">
        <v>0</v>
      </c>
      <c r="L842" t="n">
        <v>0</v>
      </c>
      <c r="M842" t="n">
        <v>0</v>
      </c>
      <c r="N842" t="n">
        <v>0</v>
      </c>
      <c r="O842" t="n">
        <v>0</v>
      </c>
      <c r="P842" t="n">
        <v>0</v>
      </c>
      <c r="Q842" t="n">
        <v>0</v>
      </c>
      <c r="R842" s="2" t="inlineStr"/>
    </row>
    <row r="843" ht="15" customHeight="1">
      <c r="A843" t="inlineStr">
        <is>
          <t>A 59623-2023</t>
        </is>
      </c>
      <c r="B843" s="1" t="n">
        <v>45254</v>
      </c>
      <c r="C843" s="1" t="n">
        <v>45723</v>
      </c>
      <c r="D843" t="inlineStr">
        <is>
          <t>ÖREBRO LÄN</t>
        </is>
      </c>
      <c r="E843" t="inlineStr">
        <is>
          <t>ÖREBRO</t>
        </is>
      </c>
      <c r="G843" t="n">
        <v>4.6</v>
      </c>
      <c r="H843" t="n">
        <v>0</v>
      </c>
      <c r="I843" t="n">
        <v>0</v>
      </c>
      <c r="J843" t="n">
        <v>0</v>
      </c>
      <c r="K843" t="n">
        <v>0</v>
      </c>
      <c r="L843" t="n">
        <v>0</v>
      </c>
      <c r="M843" t="n">
        <v>0</v>
      </c>
      <c r="N843" t="n">
        <v>0</v>
      </c>
      <c r="O843" t="n">
        <v>0</v>
      </c>
      <c r="P843" t="n">
        <v>0</v>
      </c>
      <c r="Q843" t="n">
        <v>0</v>
      </c>
      <c r="R843" s="2" t="inlineStr"/>
    </row>
    <row r="844" ht="15" customHeight="1">
      <c r="A844" t="inlineStr">
        <is>
          <t>A 59736-2023</t>
        </is>
      </c>
      <c r="B844" s="1" t="n">
        <v>45257</v>
      </c>
      <c r="C844" s="1" t="n">
        <v>45723</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59749-2023</t>
        </is>
      </c>
      <c r="B845" s="1" t="n">
        <v>45257</v>
      </c>
      <c r="C845" s="1" t="n">
        <v>45723</v>
      </c>
      <c r="D845" t="inlineStr">
        <is>
          <t>ÖREBRO LÄN</t>
        </is>
      </c>
      <c r="E845" t="inlineStr">
        <is>
          <t>ÖREBRO</t>
        </is>
      </c>
      <c r="G845" t="n">
        <v>5</v>
      </c>
      <c r="H845" t="n">
        <v>0</v>
      </c>
      <c r="I845" t="n">
        <v>0</v>
      </c>
      <c r="J845" t="n">
        <v>0</v>
      </c>
      <c r="K845" t="n">
        <v>0</v>
      </c>
      <c r="L845" t="n">
        <v>0</v>
      </c>
      <c r="M845" t="n">
        <v>0</v>
      </c>
      <c r="N845" t="n">
        <v>0</v>
      </c>
      <c r="O845" t="n">
        <v>0</v>
      </c>
      <c r="P845" t="n">
        <v>0</v>
      </c>
      <c r="Q845" t="n">
        <v>0</v>
      </c>
      <c r="R845" s="2" t="inlineStr"/>
    </row>
    <row r="846" ht="15" customHeight="1">
      <c r="A846" t="inlineStr">
        <is>
          <t>A 59873-2023</t>
        </is>
      </c>
      <c r="B846" s="1" t="n">
        <v>45257</v>
      </c>
      <c r="C846" s="1" t="n">
        <v>45723</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59757-2023</t>
        </is>
      </c>
      <c r="B847" s="1" t="n">
        <v>45257</v>
      </c>
      <c r="C847" s="1" t="n">
        <v>45723</v>
      </c>
      <c r="D847" t="inlineStr">
        <is>
          <t>ÖREBRO LÄN</t>
        </is>
      </c>
      <c r="E847" t="inlineStr">
        <is>
          <t>ÖREBRO</t>
        </is>
      </c>
      <c r="G847" t="n">
        <v>1</v>
      </c>
      <c r="H847" t="n">
        <v>0</v>
      </c>
      <c r="I847" t="n">
        <v>0</v>
      </c>
      <c r="J847" t="n">
        <v>0</v>
      </c>
      <c r="K847" t="n">
        <v>0</v>
      </c>
      <c r="L847" t="n">
        <v>0</v>
      </c>
      <c r="M847" t="n">
        <v>0</v>
      </c>
      <c r="N847" t="n">
        <v>0</v>
      </c>
      <c r="O847" t="n">
        <v>0</v>
      </c>
      <c r="P847" t="n">
        <v>0</v>
      </c>
      <c r="Q847" t="n">
        <v>0</v>
      </c>
      <c r="R847" s="2" t="inlineStr"/>
    </row>
    <row r="848" ht="15" customHeight="1">
      <c r="A848" t="inlineStr">
        <is>
          <t>A 60289-2023</t>
        </is>
      </c>
      <c r="B848" s="1" t="n">
        <v>45257</v>
      </c>
      <c r="C848" s="1" t="n">
        <v>45723</v>
      </c>
      <c r="D848" t="inlineStr">
        <is>
          <t>ÖREBRO LÄN</t>
        </is>
      </c>
      <c r="E848" t="inlineStr">
        <is>
          <t>ÖREBRO</t>
        </is>
      </c>
      <c r="G848" t="n">
        <v>10.9</v>
      </c>
      <c r="H848" t="n">
        <v>0</v>
      </c>
      <c r="I848" t="n">
        <v>0</v>
      </c>
      <c r="J848" t="n">
        <v>0</v>
      </c>
      <c r="K848" t="n">
        <v>0</v>
      </c>
      <c r="L848" t="n">
        <v>0</v>
      </c>
      <c r="M848" t="n">
        <v>0</v>
      </c>
      <c r="N848" t="n">
        <v>0</v>
      </c>
      <c r="O848" t="n">
        <v>0</v>
      </c>
      <c r="P848" t="n">
        <v>0</v>
      </c>
      <c r="Q848" t="n">
        <v>0</v>
      </c>
      <c r="R848" s="2" t="inlineStr"/>
    </row>
    <row r="849" ht="15" customHeight="1">
      <c r="A849" t="inlineStr">
        <is>
          <t>A 60126-2023</t>
        </is>
      </c>
      <c r="B849" s="1" t="n">
        <v>45258</v>
      </c>
      <c r="C849" s="1" t="n">
        <v>45723</v>
      </c>
      <c r="D849" t="inlineStr">
        <is>
          <t>ÖREBRO LÄN</t>
        </is>
      </c>
      <c r="E849" t="inlineStr">
        <is>
          <t>ÖREBRO</t>
        </is>
      </c>
      <c r="G849" t="n">
        <v>1.5</v>
      </c>
      <c r="H849" t="n">
        <v>0</v>
      </c>
      <c r="I849" t="n">
        <v>0</v>
      </c>
      <c r="J849" t="n">
        <v>0</v>
      </c>
      <c r="K849" t="n">
        <v>0</v>
      </c>
      <c r="L849" t="n">
        <v>0</v>
      </c>
      <c r="M849" t="n">
        <v>0</v>
      </c>
      <c r="N849" t="n">
        <v>0</v>
      </c>
      <c r="O849" t="n">
        <v>0</v>
      </c>
      <c r="P849" t="n">
        <v>0</v>
      </c>
      <c r="Q849" t="n">
        <v>0</v>
      </c>
      <c r="R849" s="2" t="inlineStr"/>
    </row>
    <row r="850" ht="15" customHeight="1">
      <c r="A850" t="inlineStr">
        <is>
          <t>A 60059-2023</t>
        </is>
      </c>
      <c r="B850" s="1" t="n">
        <v>45258</v>
      </c>
      <c r="C850" s="1" t="n">
        <v>45723</v>
      </c>
      <c r="D850" t="inlineStr">
        <is>
          <t>ÖREBRO LÄN</t>
        </is>
      </c>
      <c r="E850" t="inlineStr">
        <is>
          <t>ÖREBRO</t>
        </is>
      </c>
      <c r="G850" t="n">
        <v>4</v>
      </c>
      <c r="H850" t="n">
        <v>0</v>
      </c>
      <c r="I850" t="n">
        <v>0</v>
      </c>
      <c r="J850" t="n">
        <v>0</v>
      </c>
      <c r="K850" t="n">
        <v>0</v>
      </c>
      <c r="L850" t="n">
        <v>0</v>
      </c>
      <c r="M850" t="n">
        <v>0</v>
      </c>
      <c r="N850" t="n">
        <v>0</v>
      </c>
      <c r="O850" t="n">
        <v>0</v>
      </c>
      <c r="P850" t="n">
        <v>0</v>
      </c>
      <c r="Q850" t="n">
        <v>0</v>
      </c>
      <c r="R850" s="2" t="inlineStr"/>
    </row>
    <row r="851" ht="15" customHeight="1">
      <c r="A851" t="inlineStr">
        <is>
          <t>A 60128-2023</t>
        </is>
      </c>
      <c r="B851" s="1" t="n">
        <v>45258</v>
      </c>
      <c r="C851" s="1" t="n">
        <v>45723</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60312-2023</t>
        </is>
      </c>
      <c r="B852" s="1" t="n">
        <v>45258</v>
      </c>
      <c r="C852" s="1" t="n">
        <v>45723</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61593-2023</t>
        </is>
      </c>
      <c r="B853" s="1" t="n">
        <v>45265</v>
      </c>
      <c r="C853" s="1" t="n">
        <v>45723</v>
      </c>
      <c r="D853" t="inlineStr">
        <is>
          <t>ÖREBRO LÄN</t>
        </is>
      </c>
      <c r="E853" t="inlineStr">
        <is>
          <t>ÖREBRO</t>
        </is>
      </c>
      <c r="G853" t="n">
        <v>2.5</v>
      </c>
      <c r="H853" t="n">
        <v>0</v>
      </c>
      <c r="I853" t="n">
        <v>0</v>
      </c>
      <c r="J853" t="n">
        <v>0</v>
      </c>
      <c r="K853" t="n">
        <v>0</v>
      </c>
      <c r="L853" t="n">
        <v>0</v>
      </c>
      <c r="M853" t="n">
        <v>0</v>
      </c>
      <c r="N853" t="n">
        <v>0</v>
      </c>
      <c r="O853" t="n">
        <v>0</v>
      </c>
      <c r="P853" t="n">
        <v>0</v>
      </c>
      <c r="Q853" t="n">
        <v>0</v>
      </c>
      <c r="R853" s="2" t="inlineStr"/>
    </row>
    <row r="854" ht="15" customHeight="1">
      <c r="A854" t="inlineStr">
        <is>
          <t>A 62511-2023</t>
        </is>
      </c>
      <c r="B854" s="1" t="n">
        <v>45268</v>
      </c>
      <c r="C854" s="1" t="n">
        <v>45723</v>
      </c>
      <c r="D854" t="inlineStr">
        <is>
          <t>ÖREBRO LÄN</t>
        </is>
      </c>
      <c r="E854" t="inlineStr">
        <is>
          <t>ÖREBRO</t>
        </is>
      </c>
      <c r="F854" t="inlineStr">
        <is>
          <t>Övriga Aktiebolag</t>
        </is>
      </c>
      <c r="G854" t="n">
        <v>3.6</v>
      </c>
      <c r="H854" t="n">
        <v>0</v>
      </c>
      <c r="I854" t="n">
        <v>0</v>
      </c>
      <c r="J854" t="n">
        <v>0</v>
      </c>
      <c r="K854" t="n">
        <v>0</v>
      </c>
      <c r="L854" t="n">
        <v>0</v>
      </c>
      <c r="M854" t="n">
        <v>0</v>
      </c>
      <c r="N854" t="n">
        <v>0</v>
      </c>
      <c r="O854" t="n">
        <v>0</v>
      </c>
      <c r="P854" t="n">
        <v>0</v>
      </c>
      <c r="Q854" t="n">
        <v>0</v>
      </c>
      <c r="R854" s="2" t="inlineStr"/>
    </row>
    <row r="855" ht="15" customHeight="1">
      <c r="A855" t="inlineStr">
        <is>
          <t>A 62497-2023</t>
        </is>
      </c>
      <c r="B855" s="1" t="n">
        <v>45268</v>
      </c>
      <c r="C855" s="1" t="n">
        <v>45723</v>
      </c>
      <c r="D855" t="inlineStr">
        <is>
          <t>ÖREBRO LÄN</t>
        </is>
      </c>
      <c r="E855" t="inlineStr">
        <is>
          <t>ÖREBRO</t>
        </is>
      </c>
      <c r="F855" t="inlineStr">
        <is>
          <t>Övriga Aktiebolag</t>
        </is>
      </c>
      <c r="G855" t="n">
        <v>3.2</v>
      </c>
      <c r="H855" t="n">
        <v>0</v>
      </c>
      <c r="I855" t="n">
        <v>0</v>
      </c>
      <c r="J855" t="n">
        <v>0</v>
      </c>
      <c r="K855" t="n">
        <v>0</v>
      </c>
      <c r="L855" t="n">
        <v>0</v>
      </c>
      <c r="M855" t="n">
        <v>0</v>
      </c>
      <c r="N855" t="n">
        <v>0</v>
      </c>
      <c r="O855" t="n">
        <v>0</v>
      </c>
      <c r="P855" t="n">
        <v>0</v>
      </c>
      <c r="Q855" t="n">
        <v>0</v>
      </c>
      <c r="R855" s="2" t="inlineStr"/>
    </row>
    <row r="856" ht="15" customHeight="1">
      <c r="A856" t="inlineStr">
        <is>
          <t>A 62995-2023</t>
        </is>
      </c>
      <c r="B856" s="1" t="n">
        <v>45272</v>
      </c>
      <c r="C856" s="1" t="n">
        <v>45723</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63142-2023</t>
        </is>
      </c>
      <c r="B857" s="1" t="n">
        <v>45273</v>
      </c>
      <c r="C857" s="1" t="n">
        <v>45723</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63342-2023</t>
        </is>
      </c>
      <c r="B858" s="1" t="n">
        <v>45274</v>
      </c>
      <c r="C858" s="1" t="n">
        <v>45723</v>
      </c>
      <c r="D858" t="inlineStr">
        <is>
          <t>ÖREBRO LÄN</t>
        </is>
      </c>
      <c r="E858" t="inlineStr">
        <is>
          <t>ÖREBRO</t>
        </is>
      </c>
      <c r="G858" t="n">
        <v>1.9</v>
      </c>
      <c r="H858" t="n">
        <v>0</v>
      </c>
      <c r="I858" t="n">
        <v>0</v>
      </c>
      <c r="J858" t="n">
        <v>0</v>
      </c>
      <c r="K858" t="n">
        <v>0</v>
      </c>
      <c r="L858" t="n">
        <v>0</v>
      </c>
      <c r="M858" t="n">
        <v>0</v>
      </c>
      <c r="N858" t="n">
        <v>0</v>
      </c>
      <c r="O858" t="n">
        <v>0</v>
      </c>
      <c r="P858" t="n">
        <v>0</v>
      </c>
      <c r="Q858" t="n">
        <v>0</v>
      </c>
      <c r="R858" s="2" t="inlineStr"/>
    </row>
    <row r="859" ht="15" customHeight="1">
      <c r="A859" t="inlineStr">
        <is>
          <t>A 64611-2023</t>
        </is>
      </c>
      <c r="B859" s="1" t="n">
        <v>45281</v>
      </c>
      <c r="C859" s="1" t="n">
        <v>45723</v>
      </c>
      <c r="D859" t="inlineStr">
        <is>
          <t>ÖREBRO LÄN</t>
        </is>
      </c>
      <c r="E859" t="inlineStr">
        <is>
          <t>ÖREBRO</t>
        </is>
      </c>
      <c r="G859" t="n">
        <v>9.4</v>
      </c>
      <c r="H859" t="n">
        <v>0</v>
      </c>
      <c r="I859" t="n">
        <v>0</v>
      </c>
      <c r="J859" t="n">
        <v>0</v>
      </c>
      <c r="K859" t="n">
        <v>0</v>
      </c>
      <c r="L859" t="n">
        <v>0</v>
      </c>
      <c r="M859" t="n">
        <v>0</v>
      </c>
      <c r="N859" t="n">
        <v>0</v>
      </c>
      <c r="O859" t="n">
        <v>0</v>
      </c>
      <c r="P859" t="n">
        <v>0</v>
      </c>
      <c r="Q859" t="n">
        <v>0</v>
      </c>
      <c r="R859" s="2" t="inlineStr"/>
    </row>
    <row r="860" ht="15" customHeight="1">
      <c r="A860" t="inlineStr">
        <is>
          <t>A 64730-2023</t>
        </is>
      </c>
      <c r="B860" s="1" t="n">
        <v>45281</v>
      </c>
      <c r="C860" s="1" t="n">
        <v>45723</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64968-2023</t>
        </is>
      </c>
      <c r="B861" s="1" t="n">
        <v>45283</v>
      </c>
      <c r="C861" s="1" t="n">
        <v>45723</v>
      </c>
      <c r="D861" t="inlineStr">
        <is>
          <t>ÖREBRO LÄN</t>
        </is>
      </c>
      <c r="E861" t="inlineStr">
        <is>
          <t>ÖREBRO</t>
        </is>
      </c>
      <c r="G861" t="n">
        <v>2.1</v>
      </c>
      <c r="H861" t="n">
        <v>0</v>
      </c>
      <c r="I861" t="n">
        <v>0</v>
      </c>
      <c r="J861" t="n">
        <v>0</v>
      </c>
      <c r="K861" t="n">
        <v>0</v>
      </c>
      <c r="L861" t="n">
        <v>0</v>
      </c>
      <c r="M861" t="n">
        <v>0</v>
      </c>
      <c r="N861" t="n">
        <v>0</v>
      </c>
      <c r="O861" t="n">
        <v>0</v>
      </c>
      <c r="P861" t="n">
        <v>0</v>
      </c>
      <c r="Q861" t="n">
        <v>0</v>
      </c>
      <c r="R861" s="2" t="inlineStr"/>
    </row>
    <row r="862" ht="15" customHeight="1">
      <c r="A862" t="inlineStr">
        <is>
          <t>A 65025-2023</t>
        </is>
      </c>
      <c r="B862" s="1" t="n">
        <v>45287</v>
      </c>
      <c r="C862" s="1" t="n">
        <v>45723</v>
      </c>
      <c r="D862" t="inlineStr">
        <is>
          <t>ÖREBRO LÄN</t>
        </is>
      </c>
      <c r="E862" t="inlineStr">
        <is>
          <t>ÖREBRO</t>
        </is>
      </c>
      <c r="G862" t="n">
        <v>8.9</v>
      </c>
      <c r="H862" t="n">
        <v>0</v>
      </c>
      <c r="I862" t="n">
        <v>0</v>
      </c>
      <c r="J862" t="n">
        <v>0</v>
      </c>
      <c r="K862" t="n">
        <v>0</v>
      </c>
      <c r="L862" t="n">
        <v>0</v>
      </c>
      <c r="M862" t="n">
        <v>0</v>
      </c>
      <c r="N862" t="n">
        <v>0</v>
      </c>
      <c r="O862" t="n">
        <v>0</v>
      </c>
      <c r="P862" t="n">
        <v>0</v>
      </c>
      <c r="Q862" t="n">
        <v>0</v>
      </c>
      <c r="R862" s="2" t="inlineStr"/>
    </row>
    <row r="863" ht="15" customHeight="1">
      <c r="A863" t="inlineStr">
        <is>
          <t>A 65257-2023</t>
        </is>
      </c>
      <c r="B863" s="1" t="n">
        <v>45290</v>
      </c>
      <c r="C863" s="1" t="n">
        <v>45723</v>
      </c>
      <c r="D863" t="inlineStr">
        <is>
          <t>ÖREBRO LÄN</t>
        </is>
      </c>
      <c r="E863" t="inlineStr">
        <is>
          <t>ÖREBRO</t>
        </is>
      </c>
      <c r="F863" t="inlineStr">
        <is>
          <t>Övriga Aktiebolag</t>
        </is>
      </c>
      <c r="G863" t="n">
        <v>2.4</v>
      </c>
      <c r="H863" t="n">
        <v>0</v>
      </c>
      <c r="I863" t="n">
        <v>0</v>
      </c>
      <c r="J863" t="n">
        <v>0</v>
      </c>
      <c r="K863" t="n">
        <v>0</v>
      </c>
      <c r="L863" t="n">
        <v>0</v>
      </c>
      <c r="M863" t="n">
        <v>0</v>
      </c>
      <c r="N863" t="n">
        <v>0</v>
      </c>
      <c r="O863" t="n">
        <v>0</v>
      </c>
      <c r="P863" t="n">
        <v>0</v>
      </c>
      <c r="Q863" t="n">
        <v>0</v>
      </c>
      <c r="R863" s="2" t="inlineStr"/>
    </row>
    <row r="864" ht="15" customHeight="1">
      <c r="A864" t="inlineStr">
        <is>
          <t>A 65256-2023</t>
        </is>
      </c>
      <c r="B864" s="1" t="n">
        <v>45290</v>
      </c>
      <c r="C864" s="1" t="n">
        <v>45723</v>
      </c>
      <c r="D864" t="inlineStr">
        <is>
          <t>ÖREBRO LÄN</t>
        </is>
      </c>
      <c r="E864" t="inlineStr">
        <is>
          <t>ÖREBRO</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3-2024</t>
        </is>
      </c>
      <c r="B865" s="1" t="n">
        <v>45292</v>
      </c>
      <c r="C865" s="1" t="n">
        <v>45723</v>
      </c>
      <c r="D865" t="inlineStr">
        <is>
          <t>ÖREBRO LÄN</t>
        </is>
      </c>
      <c r="E865" t="inlineStr">
        <is>
          <t>ÖREBRO</t>
        </is>
      </c>
      <c r="G865" t="n">
        <v>2.7</v>
      </c>
      <c r="H865" t="n">
        <v>0</v>
      </c>
      <c r="I865" t="n">
        <v>0</v>
      </c>
      <c r="J865" t="n">
        <v>0</v>
      </c>
      <c r="K865" t="n">
        <v>0</v>
      </c>
      <c r="L865" t="n">
        <v>0</v>
      </c>
      <c r="M865" t="n">
        <v>0</v>
      </c>
      <c r="N865" t="n">
        <v>0</v>
      </c>
      <c r="O865" t="n">
        <v>0</v>
      </c>
      <c r="P865" t="n">
        <v>0</v>
      </c>
      <c r="Q865" t="n">
        <v>0</v>
      </c>
      <c r="R865" s="2" t="inlineStr"/>
    </row>
    <row r="866" ht="15" customHeight="1">
      <c r="A866" t="inlineStr">
        <is>
          <t>A 187-2024</t>
        </is>
      </c>
      <c r="B866" s="1" t="n">
        <v>45294</v>
      </c>
      <c r="C866" s="1" t="n">
        <v>45723</v>
      </c>
      <c r="D866" t="inlineStr">
        <is>
          <t>ÖREBRO LÄN</t>
        </is>
      </c>
      <c r="E866" t="inlineStr">
        <is>
          <t>ÖREBRO</t>
        </is>
      </c>
      <c r="G866" t="n">
        <v>5.9</v>
      </c>
      <c r="H866" t="n">
        <v>0</v>
      </c>
      <c r="I866" t="n">
        <v>0</v>
      </c>
      <c r="J866" t="n">
        <v>0</v>
      </c>
      <c r="K866" t="n">
        <v>0</v>
      </c>
      <c r="L866" t="n">
        <v>0</v>
      </c>
      <c r="M866" t="n">
        <v>0</v>
      </c>
      <c r="N866" t="n">
        <v>0</v>
      </c>
      <c r="O866" t="n">
        <v>0</v>
      </c>
      <c r="P866" t="n">
        <v>0</v>
      </c>
      <c r="Q866" t="n">
        <v>0</v>
      </c>
      <c r="R866" s="2" t="inlineStr"/>
    </row>
    <row r="867" ht="15" customHeight="1">
      <c r="A867" t="inlineStr">
        <is>
          <t>A 190-2024</t>
        </is>
      </c>
      <c r="B867" s="1" t="n">
        <v>45294</v>
      </c>
      <c r="C867" s="1" t="n">
        <v>45723</v>
      </c>
      <c r="D867" t="inlineStr">
        <is>
          <t>ÖREBRO LÄN</t>
        </is>
      </c>
      <c r="E867" t="inlineStr">
        <is>
          <t>ÖREBRO</t>
        </is>
      </c>
      <c r="G867" t="n">
        <v>2.4</v>
      </c>
      <c r="H867" t="n">
        <v>0</v>
      </c>
      <c r="I867" t="n">
        <v>0</v>
      </c>
      <c r="J867" t="n">
        <v>0</v>
      </c>
      <c r="K867" t="n">
        <v>0</v>
      </c>
      <c r="L867" t="n">
        <v>0</v>
      </c>
      <c r="M867" t="n">
        <v>0</v>
      </c>
      <c r="N867" t="n">
        <v>0</v>
      </c>
      <c r="O867" t="n">
        <v>0</v>
      </c>
      <c r="P867" t="n">
        <v>0</v>
      </c>
      <c r="Q867" t="n">
        <v>0</v>
      </c>
      <c r="R867" s="2" t="inlineStr"/>
    </row>
    <row r="868" ht="15" customHeight="1">
      <c r="A868" t="inlineStr">
        <is>
          <t>A 681-2024</t>
        </is>
      </c>
      <c r="B868" s="1" t="n">
        <v>45300</v>
      </c>
      <c r="C868" s="1" t="n">
        <v>45723</v>
      </c>
      <c r="D868" t="inlineStr">
        <is>
          <t>ÖREBRO LÄN</t>
        </is>
      </c>
      <c r="E868" t="inlineStr">
        <is>
          <t>ÖREBRO</t>
        </is>
      </c>
      <c r="G868" t="n">
        <v>3.3</v>
      </c>
      <c r="H868" t="n">
        <v>0</v>
      </c>
      <c r="I868" t="n">
        <v>0</v>
      </c>
      <c r="J868" t="n">
        <v>0</v>
      </c>
      <c r="K868" t="n">
        <v>0</v>
      </c>
      <c r="L868" t="n">
        <v>0</v>
      </c>
      <c r="M868" t="n">
        <v>0</v>
      </c>
      <c r="N868" t="n">
        <v>0</v>
      </c>
      <c r="O868" t="n">
        <v>0</v>
      </c>
      <c r="P868" t="n">
        <v>0</v>
      </c>
      <c r="Q868" t="n">
        <v>0</v>
      </c>
      <c r="R868" s="2" t="inlineStr"/>
    </row>
    <row r="869" ht="15" customHeight="1">
      <c r="A869" t="inlineStr">
        <is>
          <t>A 767-2024</t>
        </is>
      </c>
      <c r="B869" s="1" t="n">
        <v>45300</v>
      </c>
      <c r="C869" s="1" t="n">
        <v>45723</v>
      </c>
      <c r="D869" t="inlineStr">
        <is>
          <t>ÖREBRO LÄN</t>
        </is>
      </c>
      <c r="E869" t="inlineStr">
        <is>
          <t>ÖREBRO</t>
        </is>
      </c>
      <c r="G869" t="n">
        <v>2</v>
      </c>
      <c r="H869" t="n">
        <v>0</v>
      </c>
      <c r="I869" t="n">
        <v>0</v>
      </c>
      <c r="J869" t="n">
        <v>0</v>
      </c>
      <c r="K869" t="n">
        <v>0</v>
      </c>
      <c r="L869" t="n">
        <v>0</v>
      </c>
      <c r="M869" t="n">
        <v>0</v>
      </c>
      <c r="N869" t="n">
        <v>0</v>
      </c>
      <c r="O869" t="n">
        <v>0</v>
      </c>
      <c r="P869" t="n">
        <v>0</v>
      </c>
      <c r="Q869" t="n">
        <v>0</v>
      </c>
      <c r="R869" s="2" t="inlineStr"/>
    </row>
    <row r="870" ht="15" customHeight="1">
      <c r="A870" t="inlineStr">
        <is>
          <t>A 764-2024</t>
        </is>
      </c>
      <c r="B870" s="1" t="n">
        <v>45300</v>
      </c>
      <c r="C870" s="1" t="n">
        <v>45723</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1013-2024</t>
        </is>
      </c>
      <c r="B871" s="1" t="n">
        <v>45301</v>
      </c>
      <c r="C871" s="1" t="n">
        <v>45723</v>
      </c>
      <c r="D871" t="inlineStr">
        <is>
          <t>ÖREBRO LÄN</t>
        </is>
      </c>
      <c r="E871" t="inlineStr">
        <is>
          <t>ÖREBRO</t>
        </is>
      </c>
      <c r="G871" t="n">
        <v>2.6</v>
      </c>
      <c r="H871" t="n">
        <v>0</v>
      </c>
      <c r="I871" t="n">
        <v>0</v>
      </c>
      <c r="J871" t="n">
        <v>0</v>
      </c>
      <c r="K871" t="n">
        <v>0</v>
      </c>
      <c r="L871" t="n">
        <v>0</v>
      </c>
      <c r="M871" t="n">
        <v>0</v>
      </c>
      <c r="N871" t="n">
        <v>0</v>
      </c>
      <c r="O871" t="n">
        <v>0</v>
      </c>
      <c r="P871" t="n">
        <v>0</v>
      </c>
      <c r="Q871" t="n">
        <v>0</v>
      </c>
      <c r="R871" s="2" t="inlineStr"/>
    </row>
    <row r="872" ht="15" customHeight="1">
      <c r="A872" t="inlineStr">
        <is>
          <t>A 1014-2024</t>
        </is>
      </c>
      <c r="B872" s="1" t="n">
        <v>45301</v>
      </c>
      <c r="C872" s="1" t="n">
        <v>45723</v>
      </c>
      <c r="D872" t="inlineStr">
        <is>
          <t>ÖREBRO LÄN</t>
        </is>
      </c>
      <c r="E872" t="inlineStr">
        <is>
          <t>ÖREBRO</t>
        </is>
      </c>
      <c r="G872" t="n">
        <v>1.4</v>
      </c>
      <c r="H872" t="n">
        <v>0</v>
      </c>
      <c r="I872" t="n">
        <v>0</v>
      </c>
      <c r="J872" t="n">
        <v>0</v>
      </c>
      <c r="K872" t="n">
        <v>0</v>
      </c>
      <c r="L872" t="n">
        <v>0</v>
      </c>
      <c r="M872" t="n">
        <v>0</v>
      </c>
      <c r="N872" t="n">
        <v>0</v>
      </c>
      <c r="O872" t="n">
        <v>0</v>
      </c>
      <c r="P872" t="n">
        <v>0</v>
      </c>
      <c r="Q872" t="n">
        <v>0</v>
      </c>
      <c r="R872" s="2" t="inlineStr"/>
    </row>
    <row r="873" ht="15" customHeight="1">
      <c r="A873" t="inlineStr">
        <is>
          <t>A 1262-2024</t>
        </is>
      </c>
      <c r="B873" s="1" t="n">
        <v>45302</v>
      </c>
      <c r="C873" s="1" t="n">
        <v>45723</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1261-2024</t>
        </is>
      </c>
      <c r="B874" s="1" t="n">
        <v>45302</v>
      </c>
      <c r="C874" s="1" t="n">
        <v>45723</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1260-2024</t>
        </is>
      </c>
      <c r="B875" s="1" t="n">
        <v>45302</v>
      </c>
      <c r="C875" s="1" t="n">
        <v>45723</v>
      </c>
      <c r="D875" t="inlineStr">
        <is>
          <t>ÖREBRO LÄN</t>
        </is>
      </c>
      <c r="E875" t="inlineStr">
        <is>
          <t>ÖREBRO</t>
        </is>
      </c>
      <c r="G875" t="n">
        <v>0.9</v>
      </c>
      <c r="H875" t="n">
        <v>0</v>
      </c>
      <c r="I875" t="n">
        <v>0</v>
      </c>
      <c r="J875" t="n">
        <v>0</v>
      </c>
      <c r="K875" t="n">
        <v>0</v>
      </c>
      <c r="L875" t="n">
        <v>0</v>
      </c>
      <c r="M875" t="n">
        <v>0</v>
      </c>
      <c r="N875" t="n">
        <v>0</v>
      </c>
      <c r="O875" t="n">
        <v>0</v>
      </c>
      <c r="P875" t="n">
        <v>0</v>
      </c>
      <c r="Q875" t="n">
        <v>0</v>
      </c>
      <c r="R875" s="2" t="inlineStr"/>
    </row>
    <row r="876" ht="15" customHeight="1">
      <c r="A876" t="inlineStr">
        <is>
          <t>A 1647-2024</t>
        </is>
      </c>
      <c r="B876" s="1" t="n">
        <v>45306</v>
      </c>
      <c r="C876" s="1" t="n">
        <v>45723</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1800-2024</t>
        </is>
      </c>
      <c r="B877" s="1" t="n">
        <v>45307</v>
      </c>
      <c r="C877" s="1" t="n">
        <v>45723</v>
      </c>
      <c r="D877" t="inlineStr">
        <is>
          <t>ÖREBRO LÄN</t>
        </is>
      </c>
      <c r="E877" t="inlineStr">
        <is>
          <t>ÖREBRO</t>
        </is>
      </c>
      <c r="G877" t="n">
        <v>1.5</v>
      </c>
      <c r="H877" t="n">
        <v>0</v>
      </c>
      <c r="I877" t="n">
        <v>0</v>
      </c>
      <c r="J877" t="n">
        <v>0</v>
      </c>
      <c r="K877" t="n">
        <v>0</v>
      </c>
      <c r="L877" t="n">
        <v>0</v>
      </c>
      <c r="M877" t="n">
        <v>0</v>
      </c>
      <c r="N877" t="n">
        <v>0</v>
      </c>
      <c r="O877" t="n">
        <v>0</v>
      </c>
      <c r="P877" t="n">
        <v>0</v>
      </c>
      <c r="Q877" t="n">
        <v>0</v>
      </c>
      <c r="R877" s="2" t="inlineStr"/>
    </row>
    <row r="878" ht="15" customHeight="1">
      <c r="A878" t="inlineStr">
        <is>
          <t>A 3767-2024</t>
        </is>
      </c>
      <c r="B878" s="1" t="n">
        <v>45321</v>
      </c>
      <c r="C878" s="1" t="n">
        <v>45723</v>
      </c>
      <c r="D878" t="inlineStr">
        <is>
          <t>ÖREBRO LÄN</t>
        </is>
      </c>
      <c r="E878" t="inlineStr">
        <is>
          <t>ÖREBRO</t>
        </is>
      </c>
      <c r="G878" t="n">
        <v>5.2</v>
      </c>
      <c r="H878" t="n">
        <v>0</v>
      </c>
      <c r="I878" t="n">
        <v>0</v>
      </c>
      <c r="J878" t="n">
        <v>0</v>
      </c>
      <c r="K878" t="n">
        <v>0</v>
      </c>
      <c r="L878" t="n">
        <v>0</v>
      </c>
      <c r="M878" t="n">
        <v>0</v>
      </c>
      <c r="N878" t="n">
        <v>0</v>
      </c>
      <c r="O878" t="n">
        <v>0</v>
      </c>
      <c r="P878" t="n">
        <v>0</v>
      </c>
      <c r="Q878" t="n">
        <v>0</v>
      </c>
      <c r="R878" s="2" t="inlineStr"/>
    </row>
    <row r="879" ht="15" customHeight="1">
      <c r="A879" t="inlineStr">
        <is>
          <t>A 3891-2024</t>
        </is>
      </c>
      <c r="B879" s="1" t="n">
        <v>45322</v>
      </c>
      <c r="C879" s="1" t="n">
        <v>45723</v>
      </c>
      <c r="D879" t="inlineStr">
        <is>
          <t>ÖREBRO LÄN</t>
        </is>
      </c>
      <c r="E879" t="inlineStr">
        <is>
          <t>ÖREBRO</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4757-2024</t>
        </is>
      </c>
      <c r="B880" s="1" t="n">
        <v>45328</v>
      </c>
      <c r="C880" s="1" t="n">
        <v>45723</v>
      </c>
      <c r="D880" t="inlineStr">
        <is>
          <t>ÖREBRO LÄN</t>
        </is>
      </c>
      <c r="E880" t="inlineStr">
        <is>
          <t>ÖREBRO</t>
        </is>
      </c>
      <c r="G880" t="n">
        <v>1.9</v>
      </c>
      <c r="H880" t="n">
        <v>0</v>
      </c>
      <c r="I880" t="n">
        <v>0</v>
      </c>
      <c r="J880" t="n">
        <v>0</v>
      </c>
      <c r="K880" t="n">
        <v>0</v>
      </c>
      <c r="L880" t="n">
        <v>0</v>
      </c>
      <c r="M880" t="n">
        <v>0</v>
      </c>
      <c r="N880" t="n">
        <v>0</v>
      </c>
      <c r="O880" t="n">
        <v>0</v>
      </c>
      <c r="P880" t="n">
        <v>0</v>
      </c>
      <c r="Q880" t="n">
        <v>0</v>
      </c>
      <c r="R880" s="2" t="inlineStr"/>
    </row>
    <row r="881" ht="15" customHeight="1">
      <c r="A881" t="inlineStr">
        <is>
          <t>A 5127-2024</t>
        </is>
      </c>
      <c r="B881" s="1" t="n">
        <v>45330</v>
      </c>
      <c r="C881" s="1" t="n">
        <v>45723</v>
      </c>
      <c r="D881" t="inlineStr">
        <is>
          <t>ÖREBRO LÄN</t>
        </is>
      </c>
      <c r="E881" t="inlineStr">
        <is>
          <t>ÖREBRO</t>
        </is>
      </c>
      <c r="G881" t="n">
        <v>2.2</v>
      </c>
      <c r="H881" t="n">
        <v>0</v>
      </c>
      <c r="I881" t="n">
        <v>0</v>
      </c>
      <c r="J881" t="n">
        <v>0</v>
      </c>
      <c r="K881" t="n">
        <v>0</v>
      </c>
      <c r="L881" t="n">
        <v>0</v>
      </c>
      <c r="M881" t="n">
        <v>0</v>
      </c>
      <c r="N881" t="n">
        <v>0</v>
      </c>
      <c r="O881" t="n">
        <v>0</v>
      </c>
      <c r="P881" t="n">
        <v>0</v>
      </c>
      <c r="Q881" t="n">
        <v>0</v>
      </c>
      <c r="R881" s="2" t="inlineStr"/>
    </row>
    <row r="882" ht="15" customHeight="1">
      <c r="A882" t="inlineStr">
        <is>
          <t>A 5135-2024</t>
        </is>
      </c>
      <c r="B882" s="1" t="n">
        <v>45330</v>
      </c>
      <c r="C882" s="1" t="n">
        <v>45723</v>
      </c>
      <c r="D882" t="inlineStr">
        <is>
          <t>ÖREBRO LÄN</t>
        </is>
      </c>
      <c r="E882" t="inlineStr">
        <is>
          <t>ÖREBRO</t>
        </is>
      </c>
      <c r="G882" t="n">
        <v>0.8</v>
      </c>
      <c r="H882" t="n">
        <v>0</v>
      </c>
      <c r="I882" t="n">
        <v>0</v>
      </c>
      <c r="J882" t="n">
        <v>0</v>
      </c>
      <c r="K882" t="n">
        <v>0</v>
      </c>
      <c r="L882" t="n">
        <v>0</v>
      </c>
      <c r="M882" t="n">
        <v>0</v>
      </c>
      <c r="N882" t="n">
        <v>0</v>
      </c>
      <c r="O882" t="n">
        <v>0</v>
      </c>
      <c r="P882" t="n">
        <v>0</v>
      </c>
      <c r="Q882" t="n">
        <v>0</v>
      </c>
      <c r="R882" s="2" t="inlineStr"/>
    </row>
    <row r="883" ht="15" customHeight="1">
      <c r="A883" t="inlineStr">
        <is>
          <t>A 5136-2024</t>
        </is>
      </c>
      <c r="B883" s="1" t="n">
        <v>45330</v>
      </c>
      <c r="C883" s="1" t="n">
        <v>45723</v>
      </c>
      <c r="D883" t="inlineStr">
        <is>
          <t>ÖREBRO LÄN</t>
        </is>
      </c>
      <c r="E883" t="inlineStr">
        <is>
          <t>ÖREBRO</t>
        </is>
      </c>
      <c r="G883" t="n">
        <v>2.1</v>
      </c>
      <c r="H883" t="n">
        <v>0</v>
      </c>
      <c r="I883" t="n">
        <v>0</v>
      </c>
      <c r="J883" t="n">
        <v>0</v>
      </c>
      <c r="K883" t="n">
        <v>0</v>
      </c>
      <c r="L883" t="n">
        <v>0</v>
      </c>
      <c r="M883" t="n">
        <v>0</v>
      </c>
      <c r="N883" t="n">
        <v>0</v>
      </c>
      <c r="O883" t="n">
        <v>0</v>
      </c>
      <c r="P883" t="n">
        <v>0</v>
      </c>
      <c r="Q883" t="n">
        <v>0</v>
      </c>
      <c r="R883" s="2" t="inlineStr"/>
    </row>
    <row r="884" ht="15" customHeight="1">
      <c r="A884" t="inlineStr">
        <is>
          <t>A 5113-2024</t>
        </is>
      </c>
      <c r="B884" s="1" t="n">
        <v>45330</v>
      </c>
      <c r="C884" s="1" t="n">
        <v>45723</v>
      </c>
      <c r="D884" t="inlineStr">
        <is>
          <t>ÖREBRO LÄN</t>
        </is>
      </c>
      <c r="E884" t="inlineStr">
        <is>
          <t>ÖREBRO</t>
        </is>
      </c>
      <c r="G884" t="n">
        <v>1.7</v>
      </c>
      <c r="H884" t="n">
        <v>0</v>
      </c>
      <c r="I884" t="n">
        <v>0</v>
      </c>
      <c r="J884" t="n">
        <v>0</v>
      </c>
      <c r="K884" t="n">
        <v>0</v>
      </c>
      <c r="L884" t="n">
        <v>0</v>
      </c>
      <c r="M884" t="n">
        <v>0</v>
      </c>
      <c r="N884" t="n">
        <v>0</v>
      </c>
      <c r="O884" t="n">
        <v>0</v>
      </c>
      <c r="P884" t="n">
        <v>0</v>
      </c>
      <c r="Q884" t="n">
        <v>0</v>
      </c>
      <c r="R884" s="2" t="inlineStr"/>
    </row>
    <row r="885" ht="15" customHeight="1">
      <c r="A885" t="inlineStr">
        <is>
          <t>A 5125-2024</t>
        </is>
      </c>
      <c r="B885" s="1" t="n">
        <v>45330</v>
      </c>
      <c r="C885" s="1" t="n">
        <v>45723</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5129-2024</t>
        </is>
      </c>
      <c r="B886" s="1" t="n">
        <v>45330</v>
      </c>
      <c r="C886" s="1" t="n">
        <v>45723</v>
      </c>
      <c r="D886" t="inlineStr">
        <is>
          <t>ÖREBRO LÄN</t>
        </is>
      </c>
      <c r="E886" t="inlineStr">
        <is>
          <t>ÖREBRO</t>
        </is>
      </c>
      <c r="G886" t="n">
        <v>0.5</v>
      </c>
      <c r="H886" t="n">
        <v>0</v>
      </c>
      <c r="I886" t="n">
        <v>0</v>
      </c>
      <c r="J886" t="n">
        <v>0</v>
      </c>
      <c r="K886" t="n">
        <v>0</v>
      </c>
      <c r="L886" t="n">
        <v>0</v>
      </c>
      <c r="M886" t="n">
        <v>0</v>
      </c>
      <c r="N886" t="n">
        <v>0</v>
      </c>
      <c r="O886" t="n">
        <v>0</v>
      </c>
      <c r="P886" t="n">
        <v>0</v>
      </c>
      <c r="Q886" t="n">
        <v>0</v>
      </c>
      <c r="R886" s="2" t="inlineStr"/>
    </row>
    <row r="887" ht="15" customHeight="1">
      <c r="A887" t="inlineStr">
        <is>
          <t>A 5133-2024</t>
        </is>
      </c>
      <c r="B887" s="1" t="n">
        <v>45330</v>
      </c>
      <c r="C887" s="1" t="n">
        <v>45723</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5324-2024</t>
        </is>
      </c>
      <c r="B888" s="1" t="n">
        <v>45331</v>
      </c>
      <c r="C888" s="1" t="n">
        <v>45723</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5342-2024</t>
        </is>
      </c>
      <c r="B889" s="1" t="n">
        <v>45331</v>
      </c>
      <c r="C889" s="1" t="n">
        <v>45723</v>
      </c>
      <c r="D889" t="inlineStr">
        <is>
          <t>ÖREBRO LÄN</t>
        </is>
      </c>
      <c r="E889" t="inlineStr">
        <is>
          <t>ÖREBRO</t>
        </is>
      </c>
      <c r="G889" t="n">
        <v>2.5</v>
      </c>
      <c r="H889" t="n">
        <v>0</v>
      </c>
      <c r="I889" t="n">
        <v>0</v>
      </c>
      <c r="J889" t="n">
        <v>0</v>
      </c>
      <c r="K889" t="n">
        <v>0</v>
      </c>
      <c r="L889" t="n">
        <v>0</v>
      </c>
      <c r="M889" t="n">
        <v>0</v>
      </c>
      <c r="N889" t="n">
        <v>0</v>
      </c>
      <c r="O889" t="n">
        <v>0</v>
      </c>
      <c r="P889" t="n">
        <v>0</v>
      </c>
      <c r="Q889" t="n">
        <v>0</v>
      </c>
      <c r="R889" s="2" t="inlineStr"/>
    </row>
    <row r="890" ht="15" customHeight="1">
      <c r="A890" t="inlineStr">
        <is>
          <t>A 5352-2024</t>
        </is>
      </c>
      <c r="B890" s="1" t="n">
        <v>45331</v>
      </c>
      <c r="C890" s="1" t="n">
        <v>45723</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5330-2024</t>
        </is>
      </c>
      <c r="B891" s="1" t="n">
        <v>45331</v>
      </c>
      <c r="C891" s="1" t="n">
        <v>45723</v>
      </c>
      <c r="D891" t="inlineStr">
        <is>
          <t>ÖREBRO LÄN</t>
        </is>
      </c>
      <c r="E891" t="inlineStr">
        <is>
          <t>ÖREBRO</t>
        </is>
      </c>
      <c r="G891" t="n">
        <v>1.4</v>
      </c>
      <c r="H891" t="n">
        <v>0</v>
      </c>
      <c r="I891" t="n">
        <v>0</v>
      </c>
      <c r="J891" t="n">
        <v>0</v>
      </c>
      <c r="K891" t="n">
        <v>0</v>
      </c>
      <c r="L891" t="n">
        <v>0</v>
      </c>
      <c r="M891" t="n">
        <v>0</v>
      </c>
      <c r="N891" t="n">
        <v>0</v>
      </c>
      <c r="O891" t="n">
        <v>0</v>
      </c>
      <c r="P891" t="n">
        <v>0</v>
      </c>
      <c r="Q891" t="n">
        <v>0</v>
      </c>
      <c r="R891" s="2" t="inlineStr"/>
    </row>
    <row r="892" ht="15" customHeight="1">
      <c r="A892" t="inlineStr">
        <is>
          <t>A 5338-2024</t>
        </is>
      </c>
      <c r="B892" s="1" t="n">
        <v>45331</v>
      </c>
      <c r="C892" s="1" t="n">
        <v>45723</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5357-2024</t>
        </is>
      </c>
      <c r="B893" s="1" t="n">
        <v>45331</v>
      </c>
      <c r="C893" s="1" t="n">
        <v>45723</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5578-2024</t>
        </is>
      </c>
      <c r="B894" s="1" t="n">
        <v>45334</v>
      </c>
      <c r="C894" s="1" t="n">
        <v>45723</v>
      </c>
      <c r="D894" t="inlineStr">
        <is>
          <t>ÖREBRO LÄN</t>
        </is>
      </c>
      <c r="E894" t="inlineStr">
        <is>
          <t>ÖREBRO</t>
        </is>
      </c>
      <c r="G894" t="n">
        <v>2.4</v>
      </c>
      <c r="H894" t="n">
        <v>0</v>
      </c>
      <c r="I894" t="n">
        <v>0</v>
      </c>
      <c r="J894" t="n">
        <v>0</v>
      </c>
      <c r="K894" t="n">
        <v>0</v>
      </c>
      <c r="L894" t="n">
        <v>0</v>
      </c>
      <c r="M894" t="n">
        <v>0</v>
      </c>
      <c r="N894" t="n">
        <v>0</v>
      </c>
      <c r="O894" t="n">
        <v>0</v>
      </c>
      <c r="P894" t="n">
        <v>0</v>
      </c>
      <c r="Q894" t="n">
        <v>0</v>
      </c>
      <c r="R894" s="2" t="inlineStr"/>
    </row>
    <row r="895" ht="15" customHeight="1">
      <c r="A895" t="inlineStr">
        <is>
          <t>A 5795-2024</t>
        </is>
      </c>
      <c r="B895" s="1" t="n">
        <v>45335</v>
      </c>
      <c r="C895" s="1" t="n">
        <v>45723</v>
      </c>
      <c r="D895" t="inlineStr">
        <is>
          <t>ÖREBRO LÄN</t>
        </is>
      </c>
      <c r="E895" t="inlineStr">
        <is>
          <t>ÖREBRO</t>
        </is>
      </c>
      <c r="G895" t="n">
        <v>1.8</v>
      </c>
      <c r="H895" t="n">
        <v>0</v>
      </c>
      <c r="I895" t="n">
        <v>0</v>
      </c>
      <c r="J895" t="n">
        <v>0</v>
      </c>
      <c r="K895" t="n">
        <v>0</v>
      </c>
      <c r="L895" t="n">
        <v>0</v>
      </c>
      <c r="M895" t="n">
        <v>0</v>
      </c>
      <c r="N895" t="n">
        <v>0</v>
      </c>
      <c r="O895" t="n">
        <v>0</v>
      </c>
      <c r="P895" t="n">
        <v>0</v>
      </c>
      <c r="Q895" t="n">
        <v>0</v>
      </c>
      <c r="R895" s="2" t="inlineStr"/>
    </row>
    <row r="896" ht="15" customHeight="1">
      <c r="A896" t="inlineStr">
        <is>
          <t>A 6586-2024</t>
        </is>
      </c>
      <c r="B896" s="1" t="n">
        <v>45341</v>
      </c>
      <c r="C896" s="1" t="n">
        <v>45723</v>
      </c>
      <c r="D896" t="inlineStr">
        <is>
          <t>ÖREBRO LÄN</t>
        </is>
      </c>
      <c r="E896" t="inlineStr">
        <is>
          <t>ÖREBRO</t>
        </is>
      </c>
      <c r="F896" t="inlineStr">
        <is>
          <t>Övriga Aktiebolag</t>
        </is>
      </c>
      <c r="G896" t="n">
        <v>6.9</v>
      </c>
      <c r="H896" t="n">
        <v>0</v>
      </c>
      <c r="I896" t="n">
        <v>0</v>
      </c>
      <c r="J896" t="n">
        <v>0</v>
      </c>
      <c r="K896" t="n">
        <v>0</v>
      </c>
      <c r="L896" t="n">
        <v>0</v>
      </c>
      <c r="M896" t="n">
        <v>0</v>
      </c>
      <c r="N896" t="n">
        <v>0</v>
      </c>
      <c r="O896" t="n">
        <v>0</v>
      </c>
      <c r="P896" t="n">
        <v>0</v>
      </c>
      <c r="Q896" t="n">
        <v>0</v>
      </c>
      <c r="R896" s="2" t="inlineStr"/>
    </row>
    <row r="897" ht="15" customHeight="1">
      <c r="A897" t="inlineStr">
        <is>
          <t>A 6592-2024</t>
        </is>
      </c>
      <c r="B897" s="1" t="n">
        <v>45341</v>
      </c>
      <c r="C897" s="1" t="n">
        <v>45723</v>
      </c>
      <c r="D897" t="inlineStr">
        <is>
          <t>ÖREBRO LÄN</t>
        </is>
      </c>
      <c r="E897" t="inlineStr">
        <is>
          <t>ÖREBRO</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6879-2024</t>
        </is>
      </c>
      <c r="B898" s="1" t="n">
        <v>45342</v>
      </c>
      <c r="C898" s="1" t="n">
        <v>45723</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7609-2024</t>
        </is>
      </c>
      <c r="B899" s="1" t="n">
        <v>45348</v>
      </c>
      <c r="C899" s="1" t="n">
        <v>45723</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7634-2024</t>
        </is>
      </c>
      <c r="B900" s="1" t="n">
        <v>45348</v>
      </c>
      <c r="C900" s="1" t="n">
        <v>45723</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7611-2024</t>
        </is>
      </c>
      <c r="B901" s="1" t="n">
        <v>45348</v>
      </c>
      <c r="C901" s="1" t="n">
        <v>45723</v>
      </c>
      <c r="D901" t="inlineStr">
        <is>
          <t>ÖREBRO LÄN</t>
        </is>
      </c>
      <c r="E901" t="inlineStr">
        <is>
          <t>ÖREBRO</t>
        </is>
      </c>
      <c r="G901" t="n">
        <v>4.2</v>
      </c>
      <c r="H901" t="n">
        <v>0</v>
      </c>
      <c r="I901" t="n">
        <v>0</v>
      </c>
      <c r="J901" t="n">
        <v>0</v>
      </c>
      <c r="K901" t="n">
        <v>0</v>
      </c>
      <c r="L901" t="n">
        <v>0</v>
      </c>
      <c r="M901" t="n">
        <v>0</v>
      </c>
      <c r="N901" t="n">
        <v>0</v>
      </c>
      <c r="O901" t="n">
        <v>0</v>
      </c>
      <c r="P901" t="n">
        <v>0</v>
      </c>
      <c r="Q901" t="n">
        <v>0</v>
      </c>
      <c r="R901" s="2" t="inlineStr"/>
    </row>
    <row r="902" ht="15" customHeight="1">
      <c r="A902" t="inlineStr">
        <is>
          <t>A 8005-2024</t>
        </is>
      </c>
      <c r="B902" s="1" t="n">
        <v>45350</v>
      </c>
      <c r="C902" s="1" t="n">
        <v>45723</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8008-2024</t>
        </is>
      </c>
      <c r="B903" s="1" t="n">
        <v>45350</v>
      </c>
      <c r="C903" s="1" t="n">
        <v>45723</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9379-2024</t>
        </is>
      </c>
      <c r="B904" s="1" t="n">
        <v>45359</v>
      </c>
      <c r="C904" s="1" t="n">
        <v>45723</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9458-2024</t>
        </is>
      </c>
      <c r="B905" s="1" t="n">
        <v>45359</v>
      </c>
      <c r="C905" s="1" t="n">
        <v>45723</v>
      </c>
      <c r="D905" t="inlineStr">
        <is>
          <t>ÖREBRO LÄN</t>
        </is>
      </c>
      <c r="E905" t="inlineStr">
        <is>
          <t>ÖREBRO</t>
        </is>
      </c>
      <c r="G905" t="n">
        <v>1.7</v>
      </c>
      <c r="H905" t="n">
        <v>0</v>
      </c>
      <c r="I905" t="n">
        <v>0</v>
      </c>
      <c r="J905" t="n">
        <v>0</v>
      </c>
      <c r="K905" t="n">
        <v>0</v>
      </c>
      <c r="L905" t="n">
        <v>0</v>
      </c>
      <c r="M905" t="n">
        <v>0</v>
      </c>
      <c r="N905" t="n">
        <v>0</v>
      </c>
      <c r="O905" t="n">
        <v>0</v>
      </c>
      <c r="P905" t="n">
        <v>0</v>
      </c>
      <c r="Q905" t="n">
        <v>0</v>
      </c>
      <c r="R905" s="2" t="inlineStr"/>
    </row>
    <row r="906" ht="15" customHeight="1">
      <c r="A906" t="inlineStr">
        <is>
          <t>A 9670-2024</t>
        </is>
      </c>
      <c r="B906" s="1" t="n">
        <v>45362</v>
      </c>
      <c r="C906" s="1" t="n">
        <v>45723</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9677-2024</t>
        </is>
      </c>
      <c r="B907" s="1" t="n">
        <v>45362</v>
      </c>
      <c r="C907" s="1" t="n">
        <v>45723</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10291-2024</t>
        </is>
      </c>
      <c r="B908" s="1" t="n">
        <v>45365</v>
      </c>
      <c r="C908" s="1" t="n">
        <v>45723</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10544-2024</t>
        </is>
      </c>
      <c r="B909" s="1" t="n">
        <v>45366</v>
      </c>
      <c r="C909" s="1" t="n">
        <v>45723</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10799-2024</t>
        </is>
      </c>
      <c r="B910" s="1" t="n">
        <v>45369</v>
      </c>
      <c r="C910" s="1" t="n">
        <v>45723</v>
      </c>
      <c r="D910" t="inlineStr">
        <is>
          <t>ÖREBRO LÄN</t>
        </is>
      </c>
      <c r="E910" t="inlineStr">
        <is>
          <t>ÖREBRO</t>
        </is>
      </c>
      <c r="G910" t="n">
        <v>5.8</v>
      </c>
      <c r="H910" t="n">
        <v>0</v>
      </c>
      <c r="I910" t="n">
        <v>0</v>
      </c>
      <c r="J910" t="n">
        <v>0</v>
      </c>
      <c r="K910" t="n">
        <v>0</v>
      </c>
      <c r="L910" t="n">
        <v>0</v>
      </c>
      <c r="M910" t="n">
        <v>0</v>
      </c>
      <c r="N910" t="n">
        <v>0</v>
      </c>
      <c r="O910" t="n">
        <v>0</v>
      </c>
      <c r="P910" t="n">
        <v>0</v>
      </c>
      <c r="Q910" t="n">
        <v>0</v>
      </c>
      <c r="R910" s="2" t="inlineStr"/>
    </row>
    <row r="911" ht="15" customHeight="1">
      <c r="A911" t="inlineStr">
        <is>
          <t>A 10937-2024</t>
        </is>
      </c>
      <c r="B911" s="1" t="n">
        <v>45370</v>
      </c>
      <c r="C911" s="1" t="n">
        <v>45723</v>
      </c>
      <c r="D911" t="inlineStr">
        <is>
          <t>ÖREBRO LÄN</t>
        </is>
      </c>
      <c r="E911" t="inlineStr">
        <is>
          <t>ÖREBRO</t>
        </is>
      </c>
      <c r="G911" t="n">
        <v>4.3</v>
      </c>
      <c r="H911" t="n">
        <v>0</v>
      </c>
      <c r="I911" t="n">
        <v>0</v>
      </c>
      <c r="J911" t="n">
        <v>0</v>
      </c>
      <c r="K911" t="n">
        <v>0</v>
      </c>
      <c r="L911" t="n">
        <v>0</v>
      </c>
      <c r="M911" t="n">
        <v>0</v>
      </c>
      <c r="N911" t="n">
        <v>0</v>
      </c>
      <c r="O911" t="n">
        <v>0</v>
      </c>
      <c r="P911" t="n">
        <v>0</v>
      </c>
      <c r="Q911" t="n">
        <v>0</v>
      </c>
      <c r="R911" s="2" t="inlineStr"/>
    </row>
    <row r="912" ht="15" customHeight="1">
      <c r="A912" t="inlineStr">
        <is>
          <t>A 11516-2024</t>
        </is>
      </c>
      <c r="B912" s="1" t="n">
        <v>45372</v>
      </c>
      <c r="C912" s="1" t="n">
        <v>45723</v>
      </c>
      <c r="D912" t="inlineStr">
        <is>
          <t>ÖREBRO LÄN</t>
        </is>
      </c>
      <c r="E912" t="inlineStr">
        <is>
          <t>ÖREBRO</t>
        </is>
      </c>
      <c r="G912" t="n">
        <v>10.7</v>
      </c>
      <c r="H912" t="n">
        <v>0</v>
      </c>
      <c r="I912" t="n">
        <v>0</v>
      </c>
      <c r="J912" t="n">
        <v>0</v>
      </c>
      <c r="K912" t="n">
        <v>0</v>
      </c>
      <c r="L912" t="n">
        <v>0</v>
      </c>
      <c r="M912" t="n">
        <v>0</v>
      </c>
      <c r="N912" t="n">
        <v>0</v>
      </c>
      <c r="O912" t="n">
        <v>0</v>
      </c>
      <c r="P912" t="n">
        <v>0</v>
      </c>
      <c r="Q912" t="n">
        <v>0</v>
      </c>
      <c r="R912" s="2" t="inlineStr"/>
    </row>
    <row r="913" ht="15" customHeight="1">
      <c r="A913" t="inlineStr">
        <is>
          <t>A 11663-2024</t>
        </is>
      </c>
      <c r="B913" s="1" t="n">
        <v>45373</v>
      </c>
      <c r="C913" s="1" t="n">
        <v>45723</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11940-2024</t>
        </is>
      </c>
      <c r="B914" s="1" t="n">
        <v>45376</v>
      </c>
      <c r="C914" s="1" t="n">
        <v>45723</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12017-2024</t>
        </is>
      </c>
      <c r="B915" s="1" t="n">
        <v>45377</v>
      </c>
      <c r="C915" s="1" t="n">
        <v>45723</v>
      </c>
      <c r="D915" t="inlineStr">
        <is>
          <t>ÖREBRO LÄN</t>
        </is>
      </c>
      <c r="E915" t="inlineStr">
        <is>
          <t>ÖREBRO</t>
        </is>
      </c>
      <c r="G915" t="n">
        <v>1.8</v>
      </c>
      <c r="H915" t="n">
        <v>0</v>
      </c>
      <c r="I915" t="n">
        <v>0</v>
      </c>
      <c r="J915" t="n">
        <v>0</v>
      </c>
      <c r="K915" t="n">
        <v>0</v>
      </c>
      <c r="L915" t="n">
        <v>0</v>
      </c>
      <c r="M915" t="n">
        <v>0</v>
      </c>
      <c r="N915" t="n">
        <v>0</v>
      </c>
      <c r="O915" t="n">
        <v>0</v>
      </c>
      <c r="P915" t="n">
        <v>0</v>
      </c>
      <c r="Q915" t="n">
        <v>0</v>
      </c>
      <c r="R915" s="2" t="inlineStr"/>
    </row>
    <row r="916" ht="15" customHeight="1">
      <c r="A916" t="inlineStr">
        <is>
          <t>A 13169-2024</t>
        </is>
      </c>
      <c r="B916" s="1" t="n">
        <v>45386</v>
      </c>
      <c r="C916" s="1" t="n">
        <v>45723</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13321-2024</t>
        </is>
      </c>
      <c r="B917" s="1" t="n">
        <v>45386</v>
      </c>
      <c r="C917" s="1" t="n">
        <v>45723</v>
      </c>
      <c r="D917" t="inlineStr">
        <is>
          <t>ÖREBRO LÄN</t>
        </is>
      </c>
      <c r="E917" t="inlineStr">
        <is>
          <t>ÖREBRO</t>
        </is>
      </c>
      <c r="G917" t="n">
        <v>13.1</v>
      </c>
      <c r="H917" t="n">
        <v>0</v>
      </c>
      <c r="I917" t="n">
        <v>0</v>
      </c>
      <c r="J917" t="n">
        <v>0</v>
      </c>
      <c r="K917" t="n">
        <v>0</v>
      </c>
      <c r="L917" t="n">
        <v>0</v>
      </c>
      <c r="M917" t="n">
        <v>0</v>
      </c>
      <c r="N917" t="n">
        <v>0</v>
      </c>
      <c r="O917" t="n">
        <v>0</v>
      </c>
      <c r="P917" t="n">
        <v>0</v>
      </c>
      <c r="Q917" t="n">
        <v>0</v>
      </c>
      <c r="R917" s="2" t="inlineStr"/>
    </row>
    <row r="918" ht="15" customHeight="1">
      <c r="A918" t="inlineStr">
        <is>
          <t>A 13158-2024</t>
        </is>
      </c>
      <c r="B918" s="1" t="n">
        <v>45386</v>
      </c>
      <c r="C918" s="1" t="n">
        <v>45723</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13418-2024</t>
        </is>
      </c>
      <c r="B919" s="1" t="n">
        <v>45387</v>
      </c>
      <c r="C919" s="1" t="n">
        <v>45723</v>
      </c>
      <c r="D919" t="inlineStr">
        <is>
          <t>ÖREBRO LÄN</t>
        </is>
      </c>
      <c r="E919" t="inlineStr">
        <is>
          <t>ÖREBRO</t>
        </is>
      </c>
      <c r="G919" t="n">
        <v>4.2</v>
      </c>
      <c r="H919" t="n">
        <v>0</v>
      </c>
      <c r="I919" t="n">
        <v>0</v>
      </c>
      <c r="J919" t="n">
        <v>0</v>
      </c>
      <c r="K919" t="n">
        <v>0</v>
      </c>
      <c r="L919" t="n">
        <v>0</v>
      </c>
      <c r="M919" t="n">
        <v>0</v>
      </c>
      <c r="N919" t="n">
        <v>0</v>
      </c>
      <c r="O919" t="n">
        <v>0</v>
      </c>
      <c r="P919" t="n">
        <v>0</v>
      </c>
      <c r="Q919" t="n">
        <v>0</v>
      </c>
      <c r="R919" s="2" t="inlineStr"/>
    </row>
    <row r="920" ht="15" customHeight="1">
      <c r="A920" t="inlineStr">
        <is>
          <t>A 13625-2024</t>
        </is>
      </c>
      <c r="B920" s="1" t="n">
        <v>45390</v>
      </c>
      <c r="C920" s="1" t="n">
        <v>45723</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13623-2024</t>
        </is>
      </c>
      <c r="B921" s="1" t="n">
        <v>45390</v>
      </c>
      <c r="C921" s="1" t="n">
        <v>45723</v>
      </c>
      <c r="D921" t="inlineStr">
        <is>
          <t>ÖREBRO LÄN</t>
        </is>
      </c>
      <c r="E921" t="inlineStr">
        <is>
          <t>ÖREBRO</t>
        </is>
      </c>
      <c r="G921" t="n">
        <v>1.1</v>
      </c>
      <c r="H921" t="n">
        <v>0</v>
      </c>
      <c r="I921" t="n">
        <v>0</v>
      </c>
      <c r="J921" t="n">
        <v>0</v>
      </c>
      <c r="K921" t="n">
        <v>0</v>
      </c>
      <c r="L921" t="n">
        <v>0</v>
      </c>
      <c r="M921" t="n">
        <v>0</v>
      </c>
      <c r="N921" t="n">
        <v>0</v>
      </c>
      <c r="O921" t="n">
        <v>0</v>
      </c>
      <c r="P921" t="n">
        <v>0</v>
      </c>
      <c r="Q921" t="n">
        <v>0</v>
      </c>
      <c r="R921" s="2" t="inlineStr"/>
    </row>
    <row r="922" ht="15" customHeight="1">
      <c r="A922" t="inlineStr">
        <is>
          <t>A 13700-2024</t>
        </is>
      </c>
      <c r="B922" s="1" t="n">
        <v>45390</v>
      </c>
      <c r="C922" s="1" t="n">
        <v>45723</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14234-2024</t>
        </is>
      </c>
      <c r="B923" s="1" t="n">
        <v>45393</v>
      </c>
      <c r="C923" s="1" t="n">
        <v>45723</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14279-2024</t>
        </is>
      </c>
      <c r="B924" s="1" t="n">
        <v>45393</v>
      </c>
      <c r="C924" s="1" t="n">
        <v>45723</v>
      </c>
      <c r="D924" t="inlineStr">
        <is>
          <t>ÖREBRO LÄN</t>
        </is>
      </c>
      <c r="E924" t="inlineStr">
        <is>
          <t>ÖREBRO</t>
        </is>
      </c>
      <c r="G924" t="n">
        <v>2.6</v>
      </c>
      <c r="H924" t="n">
        <v>0</v>
      </c>
      <c r="I924" t="n">
        <v>0</v>
      </c>
      <c r="J924" t="n">
        <v>0</v>
      </c>
      <c r="K924" t="n">
        <v>0</v>
      </c>
      <c r="L924" t="n">
        <v>0</v>
      </c>
      <c r="M924" t="n">
        <v>0</v>
      </c>
      <c r="N924" t="n">
        <v>0</v>
      </c>
      <c r="O924" t="n">
        <v>0</v>
      </c>
      <c r="P924" t="n">
        <v>0</v>
      </c>
      <c r="Q924" t="n">
        <v>0</v>
      </c>
      <c r="R924" s="2" t="inlineStr"/>
    </row>
    <row r="925" ht="15" customHeight="1">
      <c r="A925" t="inlineStr">
        <is>
          <t>A 14717-2024</t>
        </is>
      </c>
      <c r="B925" s="1" t="n">
        <v>45397</v>
      </c>
      <c r="C925" s="1" t="n">
        <v>45723</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14715-2024</t>
        </is>
      </c>
      <c r="B926" s="1" t="n">
        <v>45397</v>
      </c>
      <c r="C926" s="1" t="n">
        <v>45723</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15354-2024</t>
        </is>
      </c>
      <c r="B927" s="1" t="n">
        <v>45400</v>
      </c>
      <c r="C927" s="1" t="n">
        <v>45723</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15698-2024</t>
        </is>
      </c>
      <c r="B928" s="1" t="n">
        <v>45404</v>
      </c>
      <c r="C928" s="1" t="n">
        <v>45723</v>
      </c>
      <c r="D928" t="inlineStr">
        <is>
          <t>ÖREBRO LÄN</t>
        </is>
      </c>
      <c r="E928" t="inlineStr">
        <is>
          <t>ÖREBRO</t>
        </is>
      </c>
      <c r="G928" t="n">
        <v>6.9</v>
      </c>
      <c r="H928" t="n">
        <v>0</v>
      </c>
      <c r="I928" t="n">
        <v>0</v>
      </c>
      <c r="J928" t="n">
        <v>0</v>
      </c>
      <c r="K928" t="n">
        <v>0</v>
      </c>
      <c r="L928" t="n">
        <v>0</v>
      </c>
      <c r="M928" t="n">
        <v>0</v>
      </c>
      <c r="N928" t="n">
        <v>0</v>
      </c>
      <c r="O928" t="n">
        <v>0</v>
      </c>
      <c r="P928" t="n">
        <v>0</v>
      </c>
      <c r="Q928" t="n">
        <v>0</v>
      </c>
      <c r="R928" s="2" t="inlineStr"/>
    </row>
    <row r="929" ht="15" customHeight="1">
      <c r="A929" t="inlineStr">
        <is>
          <t>A 15689-2024</t>
        </is>
      </c>
      <c r="B929" s="1" t="n">
        <v>45404</v>
      </c>
      <c r="C929" s="1" t="n">
        <v>45723</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15693-2024</t>
        </is>
      </c>
      <c r="B930" s="1" t="n">
        <v>45404</v>
      </c>
      <c r="C930" s="1" t="n">
        <v>45723</v>
      </c>
      <c r="D930" t="inlineStr">
        <is>
          <t>ÖREBRO LÄN</t>
        </is>
      </c>
      <c r="E930" t="inlineStr">
        <is>
          <t>ÖREBRO</t>
        </is>
      </c>
      <c r="G930" t="n">
        <v>1.5</v>
      </c>
      <c r="H930" t="n">
        <v>0</v>
      </c>
      <c r="I930" t="n">
        <v>0</v>
      </c>
      <c r="J930" t="n">
        <v>0</v>
      </c>
      <c r="K930" t="n">
        <v>0</v>
      </c>
      <c r="L930" t="n">
        <v>0</v>
      </c>
      <c r="M930" t="n">
        <v>0</v>
      </c>
      <c r="N930" t="n">
        <v>0</v>
      </c>
      <c r="O930" t="n">
        <v>0</v>
      </c>
      <c r="P930" t="n">
        <v>0</v>
      </c>
      <c r="Q930" t="n">
        <v>0</v>
      </c>
      <c r="R930" s="2" t="inlineStr"/>
    </row>
    <row r="931" ht="15" customHeight="1">
      <c r="A931" t="inlineStr">
        <is>
          <t>A 15695-2024</t>
        </is>
      </c>
      <c r="B931" s="1" t="n">
        <v>45404</v>
      </c>
      <c r="C931" s="1" t="n">
        <v>45723</v>
      </c>
      <c r="D931" t="inlineStr">
        <is>
          <t>ÖREBRO LÄN</t>
        </is>
      </c>
      <c r="E931" t="inlineStr">
        <is>
          <t>ÖREBRO</t>
        </is>
      </c>
      <c r="G931" t="n">
        <v>2.7</v>
      </c>
      <c r="H931" t="n">
        <v>0</v>
      </c>
      <c r="I931" t="n">
        <v>0</v>
      </c>
      <c r="J931" t="n">
        <v>0</v>
      </c>
      <c r="K931" t="n">
        <v>0</v>
      </c>
      <c r="L931" t="n">
        <v>0</v>
      </c>
      <c r="M931" t="n">
        <v>0</v>
      </c>
      <c r="N931" t="n">
        <v>0</v>
      </c>
      <c r="O931" t="n">
        <v>0</v>
      </c>
      <c r="P931" t="n">
        <v>0</v>
      </c>
      <c r="Q931" t="n">
        <v>0</v>
      </c>
      <c r="R931" s="2" t="inlineStr"/>
    </row>
    <row r="932" ht="15" customHeight="1">
      <c r="A932" t="inlineStr">
        <is>
          <t>A 17103-2024</t>
        </is>
      </c>
      <c r="B932" s="1" t="n">
        <v>45412</v>
      </c>
      <c r="C932" s="1" t="n">
        <v>45723</v>
      </c>
      <c r="D932" t="inlineStr">
        <is>
          <t>ÖREBRO LÄN</t>
        </is>
      </c>
      <c r="E932" t="inlineStr">
        <is>
          <t>ÖREBRO</t>
        </is>
      </c>
      <c r="G932" t="n">
        <v>5</v>
      </c>
      <c r="H932" t="n">
        <v>0</v>
      </c>
      <c r="I932" t="n">
        <v>0</v>
      </c>
      <c r="J932" t="n">
        <v>0</v>
      </c>
      <c r="K932" t="n">
        <v>0</v>
      </c>
      <c r="L932" t="n">
        <v>0</v>
      </c>
      <c r="M932" t="n">
        <v>0</v>
      </c>
      <c r="N932" t="n">
        <v>0</v>
      </c>
      <c r="O932" t="n">
        <v>0</v>
      </c>
      <c r="P932" t="n">
        <v>0</v>
      </c>
      <c r="Q932" t="n">
        <v>0</v>
      </c>
      <c r="R932" s="2" t="inlineStr"/>
    </row>
    <row r="933" ht="15" customHeight="1">
      <c r="A933" t="inlineStr">
        <is>
          <t>A 17014-2024</t>
        </is>
      </c>
      <c r="B933" s="1" t="n">
        <v>45412</v>
      </c>
      <c r="C933" s="1" t="n">
        <v>45723</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17680-2024</t>
        </is>
      </c>
      <c r="B934" s="1" t="n">
        <v>45418</v>
      </c>
      <c r="C934" s="1" t="n">
        <v>45723</v>
      </c>
      <c r="D934" t="inlineStr">
        <is>
          <t>ÖREBRO LÄN</t>
        </is>
      </c>
      <c r="E934" t="inlineStr">
        <is>
          <t>ÖREBRO</t>
        </is>
      </c>
      <c r="G934" t="n">
        <v>5.1</v>
      </c>
      <c r="H934" t="n">
        <v>0</v>
      </c>
      <c r="I934" t="n">
        <v>0</v>
      </c>
      <c r="J934" t="n">
        <v>0</v>
      </c>
      <c r="K934" t="n">
        <v>0</v>
      </c>
      <c r="L934" t="n">
        <v>0</v>
      </c>
      <c r="M934" t="n">
        <v>0</v>
      </c>
      <c r="N934" t="n">
        <v>0</v>
      </c>
      <c r="O934" t="n">
        <v>0</v>
      </c>
      <c r="P934" t="n">
        <v>0</v>
      </c>
      <c r="Q934" t="n">
        <v>0</v>
      </c>
      <c r="R934" s="2" t="inlineStr"/>
    </row>
    <row r="935" ht="15" customHeight="1">
      <c r="A935" t="inlineStr">
        <is>
          <t>A 17869-2024</t>
        </is>
      </c>
      <c r="B935" s="1" t="n">
        <v>45419</v>
      </c>
      <c r="C935" s="1" t="n">
        <v>45723</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17863-2024</t>
        </is>
      </c>
      <c r="B936" s="1" t="n">
        <v>45419</v>
      </c>
      <c r="C936" s="1" t="n">
        <v>45723</v>
      </c>
      <c r="D936" t="inlineStr">
        <is>
          <t>ÖREBRO LÄN</t>
        </is>
      </c>
      <c r="E936" t="inlineStr">
        <is>
          <t>ÖREBRO</t>
        </is>
      </c>
      <c r="G936" t="n">
        <v>2.1</v>
      </c>
      <c r="H936" t="n">
        <v>0</v>
      </c>
      <c r="I936" t="n">
        <v>0</v>
      </c>
      <c r="J936" t="n">
        <v>0</v>
      </c>
      <c r="K936" t="n">
        <v>0</v>
      </c>
      <c r="L936" t="n">
        <v>0</v>
      </c>
      <c r="M936" t="n">
        <v>0</v>
      </c>
      <c r="N936" t="n">
        <v>0</v>
      </c>
      <c r="O936" t="n">
        <v>0</v>
      </c>
      <c r="P936" t="n">
        <v>0</v>
      </c>
      <c r="Q936" t="n">
        <v>0</v>
      </c>
      <c r="R936" s="2" t="inlineStr"/>
    </row>
    <row r="937" ht="15" customHeight="1">
      <c r="A937" t="inlineStr">
        <is>
          <t>A 18181-2024</t>
        </is>
      </c>
      <c r="B937" s="1" t="n">
        <v>45420</v>
      </c>
      <c r="C937" s="1" t="n">
        <v>45723</v>
      </c>
      <c r="D937" t="inlineStr">
        <is>
          <t>ÖREBRO LÄN</t>
        </is>
      </c>
      <c r="E937" t="inlineStr">
        <is>
          <t>ÖREBRO</t>
        </is>
      </c>
      <c r="G937" t="n">
        <v>7.6</v>
      </c>
      <c r="H937" t="n">
        <v>0</v>
      </c>
      <c r="I937" t="n">
        <v>0</v>
      </c>
      <c r="J937" t="n">
        <v>0</v>
      </c>
      <c r="K937" t="n">
        <v>0</v>
      </c>
      <c r="L937" t="n">
        <v>0</v>
      </c>
      <c r="M937" t="n">
        <v>0</v>
      </c>
      <c r="N937" t="n">
        <v>0</v>
      </c>
      <c r="O937" t="n">
        <v>0</v>
      </c>
      <c r="P937" t="n">
        <v>0</v>
      </c>
      <c r="Q937" t="n">
        <v>0</v>
      </c>
      <c r="R937" s="2" t="inlineStr"/>
    </row>
    <row r="938" ht="15" customHeight="1">
      <c r="A938" t="inlineStr">
        <is>
          <t>A 18360-2024</t>
        </is>
      </c>
      <c r="B938" s="1" t="n">
        <v>45422</v>
      </c>
      <c r="C938" s="1" t="n">
        <v>45723</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19306-2024</t>
        </is>
      </c>
      <c r="B939" s="1" t="n">
        <v>45428</v>
      </c>
      <c r="C939" s="1" t="n">
        <v>45723</v>
      </c>
      <c r="D939" t="inlineStr">
        <is>
          <t>ÖREBRO LÄN</t>
        </is>
      </c>
      <c r="E939" t="inlineStr">
        <is>
          <t>ÖREBRO</t>
        </is>
      </c>
      <c r="F939" t="inlineStr">
        <is>
          <t>Övriga Aktiebolag</t>
        </is>
      </c>
      <c r="G939" t="n">
        <v>5.2</v>
      </c>
      <c r="H939" t="n">
        <v>0</v>
      </c>
      <c r="I939" t="n">
        <v>0</v>
      </c>
      <c r="J939" t="n">
        <v>0</v>
      </c>
      <c r="K939" t="n">
        <v>0</v>
      </c>
      <c r="L939" t="n">
        <v>0</v>
      </c>
      <c r="M939" t="n">
        <v>0</v>
      </c>
      <c r="N939" t="n">
        <v>0</v>
      </c>
      <c r="O939" t="n">
        <v>0</v>
      </c>
      <c r="P939" t="n">
        <v>0</v>
      </c>
      <c r="Q939" t="n">
        <v>0</v>
      </c>
      <c r="R939" s="2" t="inlineStr"/>
    </row>
    <row r="940" ht="15" customHeight="1">
      <c r="A940" t="inlineStr">
        <is>
          <t>A 19388-2024</t>
        </is>
      </c>
      <c r="B940" s="1" t="n">
        <v>45429</v>
      </c>
      <c r="C940" s="1" t="n">
        <v>45723</v>
      </c>
      <c r="D940" t="inlineStr">
        <is>
          <t>ÖREBRO LÄN</t>
        </is>
      </c>
      <c r="E940" t="inlineStr">
        <is>
          <t>ÖREBRO</t>
        </is>
      </c>
      <c r="G940" t="n">
        <v>4.3</v>
      </c>
      <c r="H940" t="n">
        <v>0</v>
      </c>
      <c r="I940" t="n">
        <v>0</v>
      </c>
      <c r="J940" t="n">
        <v>0</v>
      </c>
      <c r="K940" t="n">
        <v>0</v>
      </c>
      <c r="L940" t="n">
        <v>0</v>
      </c>
      <c r="M940" t="n">
        <v>0</v>
      </c>
      <c r="N940" t="n">
        <v>0</v>
      </c>
      <c r="O940" t="n">
        <v>0</v>
      </c>
      <c r="P940" t="n">
        <v>0</v>
      </c>
      <c r="Q940" t="n">
        <v>0</v>
      </c>
      <c r="R940" s="2" t="inlineStr"/>
    </row>
    <row r="941" ht="15" customHeight="1">
      <c r="A941" t="inlineStr">
        <is>
          <t>A 19392-2024</t>
        </is>
      </c>
      <c r="B941" s="1" t="n">
        <v>45429</v>
      </c>
      <c r="C941" s="1" t="n">
        <v>45723</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19384-2024</t>
        </is>
      </c>
      <c r="B942" s="1" t="n">
        <v>45429</v>
      </c>
      <c r="C942" s="1" t="n">
        <v>45723</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19763-2024</t>
        </is>
      </c>
      <c r="B943" s="1" t="n">
        <v>45432</v>
      </c>
      <c r="C943" s="1" t="n">
        <v>45723</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20115-2024</t>
        </is>
      </c>
      <c r="B944" s="1" t="n">
        <v>45434</v>
      </c>
      <c r="C944" s="1" t="n">
        <v>45723</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20146-2024</t>
        </is>
      </c>
      <c r="B945" s="1" t="n">
        <v>45434</v>
      </c>
      <c r="C945" s="1" t="n">
        <v>45723</v>
      </c>
      <c r="D945" t="inlineStr">
        <is>
          <t>ÖREBRO LÄN</t>
        </is>
      </c>
      <c r="E945" t="inlineStr">
        <is>
          <t>ÖREBRO</t>
        </is>
      </c>
      <c r="G945" t="n">
        <v>0.5</v>
      </c>
      <c r="H945" t="n">
        <v>0</v>
      </c>
      <c r="I945" t="n">
        <v>0</v>
      </c>
      <c r="J945" t="n">
        <v>0</v>
      </c>
      <c r="K945" t="n">
        <v>0</v>
      </c>
      <c r="L945" t="n">
        <v>0</v>
      </c>
      <c r="M945" t="n">
        <v>0</v>
      </c>
      <c r="N945" t="n">
        <v>0</v>
      </c>
      <c r="O945" t="n">
        <v>0</v>
      </c>
      <c r="P945" t="n">
        <v>0</v>
      </c>
      <c r="Q945" t="n">
        <v>0</v>
      </c>
      <c r="R945" s="2" t="inlineStr"/>
    </row>
    <row r="946" ht="15" customHeight="1">
      <c r="A946" t="inlineStr">
        <is>
          <t>A 20150-2024</t>
        </is>
      </c>
      <c r="B946" s="1" t="n">
        <v>45434</v>
      </c>
      <c r="C946" s="1" t="n">
        <v>45723</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20121-2024</t>
        </is>
      </c>
      <c r="B947" s="1" t="n">
        <v>45434</v>
      </c>
      <c r="C947" s="1" t="n">
        <v>45723</v>
      </c>
      <c r="D947" t="inlineStr">
        <is>
          <t>ÖREBRO LÄN</t>
        </is>
      </c>
      <c r="E947" t="inlineStr">
        <is>
          <t>ÖREBRO</t>
        </is>
      </c>
      <c r="G947" t="n">
        <v>1.8</v>
      </c>
      <c r="H947" t="n">
        <v>0</v>
      </c>
      <c r="I947" t="n">
        <v>0</v>
      </c>
      <c r="J947" t="n">
        <v>0</v>
      </c>
      <c r="K947" t="n">
        <v>0</v>
      </c>
      <c r="L947" t="n">
        <v>0</v>
      </c>
      <c r="M947" t="n">
        <v>0</v>
      </c>
      <c r="N947" t="n">
        <v>0</v>
      </c>
      <c r="O947" t="n">
        <v>0</v>
      </c>
      <c r="P947" t="n">
        <v>0</v>
      </c>
      <c r="Q947" t="n">
        <v>0</v>
      </c>
      <c r="R947" s="2" t="inlineStr"/>
    </row>
    <row r="948" ht="15" customHeight="1">
      <c r="A948" t="inlineStr">
        <is>
          <t>A 20589-2024</t>
        </is>
      </c>
      <c r="B948" s="1" t="n">
        <v>45436</v>
      </c>
      <c r="C948" s="1" t="n">
        <v>45723</v>
      </c>
      <c r="D948" t="inlineStr">
        <is>
          <t>ÖREBRO LÄN</t>
        </is>
      </c>
      <c r="E948" t="inlineStr">
        <is>
          <t>ÖREBRO</t>
        </is>
      </c>
      <c r="G948" t="n">
        <v>3.7</v>
      </c>
      <c r="H948" t="n">
        <v>0</v>
      </c>
      <c r="I948" t="n">
        <v>0</v>
      </c>
      <c r="J948" t="n">
        <v>0</v>
      </c>
      <c r="K948" t="n">
        <v>0</v>
      </c>
      <c r="L948" t="n">
        <v>0</v>
      </c>
      <c r="M948" t="n">
        <v>0</v>
      </c>
      <c r="N948" t="n">
        <v>0</v>
      </c>
      <c r="O948" t="n">
        <v>0</v>
      </c>
      <c r="P948" t="n">
        <v>0</v>
      </c>
      <c r="Q948" t="n">
        <v>0</v>
      </c>
      <c r="R948" s="2" t="inlineStr"/>
    </row>
    <row r="949" ht="15" customHeight="1">
      <c r="A949" t="inlineStr">
        <is>
          <t>A 21052-2024</t>
        </is>
      </c>
      <c r="B949" s="1" t="n">
        <v>45439</v>
      </c>
      <c r="C949" s="1" t="n">
        <v>45723</v>
      </c>
      <c r="D949" t="inlineStr">
        <is>
          <t>ÖREBRO LÄN</t>
        </is>
      </c>
      <c r="E949" t="inlineStr">
        <is>
          <t>ÖREBRO</t>
        </is>
      </c>
      <c r="F949" t="inlineStr">
        <is>
          <t>Övriga Aktiebolag</t>
        </is>
      </c>
      <c r="G949" t="n">
        <v>2.9</v>
      </c>
      <c r="H949" t="n">
        <v>0</v>
      </c>
      <c r="I949" t="n">
        <v>0</v>
      </c>
      <c r="J949" t="n">
        <v>0</v>
      </c>
      <c r="K949" t="n">
        <v>0</v>
      </c>
      <c r="L949" t="n">
        <v>0</v>
      </c>
      <c r="M949" t="n">
        <v>0</v>
      </c>
      <c r="N949" t="n">
        <v>0</v>
      </c>
      <c r="O949" t="n">
        <v>0</v>
      </c>
      <c r="P949" t="n">
        <v>0</v>
      </c>
      <c r="Q949" t="n">
        <v>0</v>
      </c>
      <c r="R949" s="2" t="inlineStr"/>
    </row>
    <row r="950" ht="15" customHeight="1">
      <c r="A950" t="inlineStr">
        <is>
          <t>A 21056-2024</t>
        </is>
      </c>
      <c r="B950" s="1" t="n">
        <v>45439</v>
      </c>
      <c r="C950" s="1" t="n">
        <v>45723</v>
      </c>
      <c r="D950" t="inlineStr">
        <is>
          <t>ÖREBRO LÄN</t>
        </is>
      </c>
      <c r="E950" t="inlineStr">
        <is>
          <t>ÖREBRO</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21036-2024</t>
        </is>
      </c>
      <c r="B951" s="1" t="n">
        <v>45439</v>
      </c>
      <c r="C951" s="1" t="n">
        <v>45723</v>
      </c>
      <c r="D951" t="inlineStr">
        <is>
          <t>ÖREBRO LÄN</t>
        </is>
      </c>
      <c r="E951" t="inlineStr">
        <is>
          <t>ÖREBRO</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21277-2024</t>
        </is>
      </c>
      <c r="B952" s="1" t="n">
        <v>45440</v>
      </c>
      <c r="C952" s="1" t="n">
        <v>45723</v>
      </c>
      <c r="D952" t="inlineStr">
        <is>
          <t>ÖREBRO LÄN</t>
        </is>
      </c>
      <c r="E952" t="inlineStr">
        <is>
          <t>ÖREBRO</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21306-2024</t>
        </is>
      </c>
      <c r="B953" s="1" t="n">
        <v>45440</v>
      </c>
      <c r="C953" s="1" t="n">
        <v>45723</v>
      </c>
      <c r="D953" t="inlineStr">
        <is>
          <t>ÖREBRO LÄN</t>
        </is>
      </c>
      <c r="E953" t="inlineStr">
        <is>
          <t>ÖREBRO</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21422-2024</t>
        </is>
      </c>
      <c r="B954" s="1" t="n">
        <v>45441</v>
      </c>
      <c r="C954" s="1" t="n">
        <v>45723</v>
      </c>
      <c r="D954" t="inlineStr">
        <is>
          <t>ÖREBRO LÄN</t>
        </is>
      </c>
      <c r="E954" t="inlineStr">
        <is>
          <t>ÖREBRO</t>
        </is>
      </c>
      <c r="G954" t="n">
        <v>0.6</v>
      </c>
      <c r="H954" t="n">
        <v>0</v>
      </c>
      <c r="I954" t="n">
        <v>0</v>
      </c>
      <c r="J954" t="n">
        <v>0</v>
      </c>
      <c r="K954" t="n">
        <v>0</v>
      </c>
      <c r="L954" t="n">
        <v>0</v>
      </c>
      <c r="M954" t="n">
        <v>0</v>
      </c>
      <c r="N954" t="n">
        <v>0</v>
      </c>
      <c r="O954" t="n">
        <v>0</v>
      </c>
      <c r="P954" t="n">
        <v>0</v>
      </c>
      <c r="Q954" t="n">
        <v>0</v>
      </c>
      <c r="R954" s="2" t="inlineStr"/>
    </row>
    <row r="955" ht="15" customHeight="1">
      <c r="A955" t="inlineStr">
        <is>
          <t>A 21588-2024</t>
        </is>
      </c>
      <c r="B955" s="1" t="n">
        <v>45441</v>
      </c>
      <c r="C955" s="1" t="n">
        <v>45723</v>
      </c>
      <c r="D955" t="inlineStr">
        <is>
          <t>ÖREBRO LÄN</t>
        </is>
      </c>
      <c r="E955" t="inlineStr">
        <is>
          <t>ÖREBRO</t>
        </is>
      </c>
      <c r="G955" t="n">
        <v>8.1</v>
      </c>
      <c r="H955" t="n">
        <v>0</v>
      </c>
      <c r="I955" t="n">
        <v>0</v>
      </c>
      <c r="J955" t="n">
        <v>0</v>
      </c>
      <c r="K955" t="n">
        <v>0</v>
      </c>
      <c r="L955" t="n">
        <v>0</v>
      </c>
      <c r="M955" t="n">
        <v>0</v>
      </c>
      <c r="N955" t="n">
        <v>0</v>
      </c>
      <c r="O955" t="n">
        <v>0</v>
      </c>
      <c r="P955" t="n">
        <v>0</v>
      </c>
      <c r="Q955" t="n">
        <v>0</v>
      </c>
      <c r="R955" s="2" t="inlineStr"/>
    </row>
    <row r="956" ht="15" customHeight="1">
      <c r="A956" t="inlineStr">
        <is>
          <t>A 21800-2024</t>
        </is>
      </c>
      <c r="B956" s="1" t="n">
        <v>45442</v>
      </c>
      <c r="C956" s="1" t="n">
        <v>45723</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22045-2024</t>
        </is>
      </c>
      <c r="B957" s="1" t="n">
        <v>45443</v>
      </c>
      <c r="C957" s="1" t="n">
        <v>45723</v>
      </c>
      <c r="D957" t="inlineStr">
        <is>
          <t>ÖREBRO LÄN</t>
        </is>
      </c>
      <c r="E957" t="inlineStr">
        <is>
          <t>ÖREBRO</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22061-2024</t>
        </is>
      </c>
      <c r="B958" s="1" t="n">
        <v>45443</v>
      </c>
      <c r="C958" s="1" t="n">
        <v>45723</v>
      </c>
      <c r="D958" t="inlineStr">
        <is>
          <t>ÖREBRO LÄN</t>
        </is>
      </c>
      <c r="E958" t="inlineStr">
        <is>
          <t>ÖREBRO</t>
        </is>
      </c>
      <c r="G958" t="n">
        <v>3.5</v>
      </c>
      <c r="H958" t="n">
        <v>0</v>
      </c>
      <c r="I958" t="n">
        <v>0</v>
      </c>
      <c r="J958" t="n">
        <v>0</v>
      </c>
      <c r="K958" t="n">
        <v>0</v>
      </c>
      <c r="L958" t="n">
        <v>0</v>
      </c>
      <c r="M958" t="n">
        <v>0</v>
      </c>
      <c r="N958" t="n">
        <v>0</v>
      </c>
      <c r="O958" t="n">
        <v>0</v>
      </c>
      <c r="P958" t="n">
        <v>0</v>
      </c>
      <c r="Q958" t="n">
        <v>0</v>
      </c>
      <c r="R958" s="2" t="inlineStr"/>
    </row>
    <row r="959" ht="15" customHeight="1">
      <c r="A959" t="inlineStr">
        <is>
          <t>A 22351-2024</t>
        </is>
      </c>
      <c r="B959" s="1" t="n">
        <v>45446</v>
      </c>
      <c r="C959" s="1" t="n">
        <v>45723</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22348-2024</t>
        </is>
      </c>
      <c r="B960" s="1" t="n">
        <v>45446</v>
      </c>
      <c r="C960" s="1" t="n">
        <v>45723</v>
      </c>
      <c r="D960" t="inlineStr">
        <is>
          <t>ÖREBRO LÄN</t>
        </is>
      </c>
      <c r="E960" t="inlineStr">
        <is>
          <t>ÖREBRO</t>
        </is>
      </c>
      <c r="G960" t="n">
        <v>0.7</v>
      </c>
      <c r="H960" t="n">
        <v>0</v>
      </c>
      <c r="I960" t="n">
        <v>0</v>
      </c>
      <c r="J960" t="n">
        <v>0</v>
      </c>
      <c r="K960" t="n">
        <v>0</v>
      </c>
      <c r="L960" t="n">
        <v>0</v>
      </c>
      <c r="M960" t="n">
        <v>0</v>
      </c>
      <c r="N960" t="n">
        <v>0</v>
      </c>
      <c r="O960" t="n">
        <v>0</v>
      </c>
      <c r="P960" t="n">
        <v>0</v>
      </c>
      <c r="Q960" t="n">
        <v>0</v>
      </c>
      <c r="R960" s="2" t="inlineStr"/>
    </row>
    <row r="961" ht="15" customHeight="1">
      <c r="A961" t="inlineStr">
        <is>
          <t>A 22510-2024</t>
        </is>
      </c>
      <c r="B961" s="1" t="n">
        <v>45447</v>
      </c>
      <c r="C961" s="1" t="n">
        <v>45723</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22557-2024</t>
        </is>
      </c>
      <c r="B962" s="1" t="n">
        <v>45447</v>
      </c>
      <c r="C962" s="1" t="n">
        <v>45723</v>
      </c>
      <c r="D962" t="inlineStr">
        <is>
          <t>ÖREBRO LÄN</t>
        </is>
      </c>
      <c r="E962" t="inlineStr">
        <is>
          <t>ÖREBRO</t>
        </is>
      </c>
      <c r="G962" t="n">
        <v>3.4</v>
      </c>
      <c r="H962" t="n">
        <v>0</v>
      </c>
      <c r="I962" t="n">
        <v>0</v>
      </c>
      <c r="J962" t="n">
        <v>0</v>
      </c>
      <c r="K962" t="n">
        <v>0</v>
      </c>
      <c r="L962" t="n">
        <v>0</v>
      </c>
      <c r="M962" t="n">
        <v>0</v>
      </c>
      <c r="N962" t="n">
        <v>0</v>
      </c>
      <c r="O962" t="n">
        <v>0</v>
      </c>
      <c r="P962" t="n">
        <v>0</v>
      </c>
      <c r="Q962" t="n">
        <v>0</v>
      </c>
      <c r="R962" s="2" t="inlineStr"/>
    </row>
    <row r="963" ht="15" customHeight="1">
      <c r="A963" t="inlineStr">
        <is>
          <t>A 22803-2024</t>
        </is>
      </c>
      <c r="B963" s="1" t="n">
        <v>45448</v>
      </c>
      <c r="C963" s="1" t="n">
        <v>45723</v>
      </c>
      <c r="D963" t="inlineStr">
        <is>
          <t>ÖREBRO LÄN</t>
        </is>
      </c>
      <c r="E963" t="inlineStr">
        <is>
          <t>ÖREBRO</t>
        </is>
      </c>
      <c r="G963" t="n">
        <v>3.1</v>
      </c>
      <c r="H963" t="n">
        <v>0</v>
      </c>
      <c r="I963" t="n">
        <v>0</v>
      </c>
      <c r="J963" t="n">
        <v>0</v>
      </c>
      <c r="K963" t="n">
        <v>0</v>
      </c>
      <c r="L963" t="n">
        <v>0</v>
      </c>
      <c r="M963" t="n">
        <v>0</v>
      </c>
      <c r="N963" t="n">
        <v>0</v>
      </c>
      <c r="O963" t="n">
        <v>0</v>
      </c>
      <c r="P963" t="n">
        <v>0</v>
      </c>
      <c r="Q963" t="n">
        <v>0</v>
      </c>
      <c r="R963" s="2" t="inlineStr"/>
    </row>
    <row r="964" ht="15" customHeight="1">
      <c r="A964" t="inlineStr">
        <is>
          <t>A 25183-2024</t>
        </is>
      </c>
      <c r="B964" s="1" t="n">
        <v>45462</v>
      </c>
      <c r="C964" s="1" t="n">
        <v>45723</v>
      </c>
      <c r="D964" t="inlineStr">
        <is>
          <t>ÖREBRO LÄN</t>
        </is>
      </c>
      <c r="E964" t="inlineStr">
        <is>
          <t>ÖREBRO</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25996-2024</t>
        </is>
      </c>
      <c r="B965" s="1" t="n">
        <v>45467</v>
      </c>
      <c r="C965" s="1" t="n">
        <v>45723</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26443-2024</t>
        </is>
      </c>
      <c r="B966" s="1" t="n">
        <v>45469</v>
      </c>
      <c r="C966" s="1" t="n">
        <v>45723</v>
      </c>
      <c r="D966" t="inlineStr">
        <is>
          <t>ÖREBRO LÄN</t>
        </is>
      </c>
      <c r="E966" t="inlineStr">
        <is>
          <t>ÖREBRO</t>
        </is>
      </c>
      <c r="G966" t="n">
        <v>5.7</v>
      </c>
      <c r="H966" t="n">
        <v>0</v>
      </c>
      <c r="I966" t="n">
        <v>0</v>
      </c>
      <c r="J966" t="n">
        <v>0</v>
      </c>
      <c r="K966" t="n">
        <v>0</v>
      </c>
      <c r="L966" t="n">
        <v>0</v>
      </c>
      <c r="M966" t="n">
        <v>0</v>
      </c>
      <c r="N966" t="n">
        <v>0</v>
      </c>
      <c r="O966" t="n">
        <v>0</v>
      </c>
      <c r="P966" t="n">
        <v>0</v>
      </c>
      <c r="Q966" t="n">
        <v>0</v>
      </c>
      <c r="R966" s="2" t="inlineStr"/>
    </row>
    <row r="967" ht="15" customHeight="1">
      <c r="A967" t="inlineStr">
        <is>
          <t>A 26858-2024</t>
        </is>
      </c>
      <c r="B967" s="1" t="n">
        <v>45470</v>
      </c>
      <c r="C967" s="1" t="n">
        <v>45723</v>
      </c>
      <c r="D967" t="inlineStr">
        <is>
          <t>ÖREBRO LÄN</t>
        </is>
      </c>
      <c r="E967" t="inlineStr">
        <is>
          <t>ÖREBRO</t>
        </is>
      </c>
      <c r="G967" t="n">
        <v>2.3</v>
      </c>
      <c r="H967" t="n">
        <v>0</v>
      </c>
      <c r="I967" t="n">
        <v>0</v>
      </c>
      <c r="J967" t="n">
        <v>0</v>
      </c>
      <c r="K967" t="n">
        <v>0</v>
      </c>
      <c r="L967" t="n">
        <v>0</v>
      </c>
      <c r="M967" t="n">
        <v>0</v>
      </c>
      <c r="N967" t="n">
        <v>0</v>
      </c>
      <c r="O967" t="n">
        <v>0</v>
      </c>
      <c r="P967" t="n">
        <v>0</v>
      </c>
      <c r="Q967" t="n">
        <v>0</v>
      </c>
      <c r="R967" s="2" t="inlineStr"/>
    </row>
    <row r="968" ht="15" customHeight="1">
      <c r="A968" t="inlineStr">
        <is>
          <t>A 26817-2024</t>
        </is>
      </c>
      <c r="B968" s="1" t="n">
        <v>45470</v>
      </c>
      <c r="C968" s="1" t="n">
        <v>45723</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29086-2024</t>
        </is>
      </c>
      <c r="B969" s="1" t="n">
        <v>45482</v>
      </c>
      <c r="C969" s="1" t="n">
        <v>45723</v>
      </c>
      <c r="D969" t="inlineStr">
        <is>
          <t>ÖREBRO LÄN</t>
        </is>
      </c>
      <c r="E969" t="inlineStr">
        <is>
          <t>ÖREBRO</t>
        </is>
      </c>
      <c r="G969" t="n">
        <v>2</v>
      </c>
      <c r="H969" t="n">
        <v>0</v>
      </c>
      <c r="I969" t="n">
        <v>0</v>
      </c>
      <c r="J969" t="n">
        <v>0</v>
      </c>
      <c r="K969" t="n">
        <v>0</v>
      </c>
      <c r="L969" t="n">
        <v>0</v>
      </c>
      <c r="M969" t="n">
        <v>0</v>
      </c>
      <c r="N969" t="n">
        <v>0</v>
      </c>
      <c r="O969" t="n">
        <v>0</v>
      </c>
      <c r="P969" t="n">
        <v>0</v>
      </c>
      <c r="Q969" t="n">
        <v>0</v>
      </c>
      <c r="R969" s="2" t="inlineStr"/>
    </row>
    <row r="970" ht="15" customHeight="1">
      <c r="A970" t="inlineStr">
        <is>
          <t>A 29352-2024</t>
        </is>
      </c>
      <c r="B970" s="1" t="n">
        <v>45483</v>
      </c>
      <c r="C970" s="1" t="n">
        <v>45723</v>
      </c>
      <c r="D970" t="inlineStr">
        <is>
          <t>ÖREBRO LÄN</t>
        </is>
      </c>
      <c r="E970" t="inlineStr">
        <is>
          <t>ÖREBRO</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30089-2024</t>
        </is>
      </c>
      <c r="B971" s="1" t="n">
        <v>45485</v>
      </c>
      <c r="C971" s="1" t="n">
        <v>45723</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29978-2024</t>
        </is>
      </c>
      <c r="B972" s="1" t="n">
        <v>45488</v>
      </c>
      <c r="C972" s="1" t="n">
        <v>45723</v>
      </c>
      <c r="D972" t="inlineStr">
        <is>
          <t>ÖREBRO LÄN</t>
        </is>
      </c>
      <c r="E972" t="inlineStr">
        <is>
          <t>ÖREBRO</t>
        </is>
      </c>
      <c r="G972" t="n">
        <v>1.8</v>
      </c>
      <c r="H972" t="n">
        <v>0</v>
      </c>
      <c r="I972" t="n">
        <v>0</v>
      </c>
      <c r="J972" t="n">
        <v>0</v>
      </c>
      <c r="K972" t="n">
        <v>0</v>
      </c>
      <c r="L972" t="n">
        <v>0</v>
      </c>
      <c r="M972" t="n">
        <v>0</v>
      </c>
      <c r="N972" t="n">
        <v>0</v>
      </c>
      <c r="O972" t="n">
        <v>0</v>
      </c>
      <c r="P972" t="n">
        <v>0</v>
      </c>
      <c r="Q972" t="n">
        <v>0</v>
      </c>
      <c r="R972" s="2" t="inlineStr"/>
    </row>
    <row r="973" ht="15" customHeight="1">
      <c r="A973" t="inlineStr">
        <is>
          <t>A 30316-2024</t>
        </is>
      </c>
      <c r="B973" s="1" t="n">
        <v>45490</v>
      </c>
      <c r="C973" s="1" t="n">
        <v>45723</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30903-2024</t>
        </is>
      </c>
      <c r="B974" s="1" t="n">
        <v>45498</v>
      </c>
      <c r="C974" s="1" t="n">
        <v>45723</v>
      </c>
      <c r="D974" t="inlineStr">
        <is>
          <t>ÖREBRO LÄN</t>
        </is>
      </c>
      <c r="E974" t="inlineStr">
        <is>
          <t>ÖREBRO</t>
        </is>
      </c>
      <c r="G974" t="n">
        <v>1.1</v>
      </c>
      <c r="H974" t="n">
        <v>0</v>
      </c>
      <c r="I974" t="n">
        <v>0</v>
      </c>
      <c r="J974" t="n">
        <v>0</v>
      </c>
      <c r="K974" t="n">
        <v>0</v>
      </c>
      <c r="L974" t="n">
        <v>0</v>
      </c>
      <c r="M974" t="n">
        <v>0</v>
      </c>
      <c r="N974" t="n">
        <v>0</v>
      </c>
      <c r="O974" t="n">
        <v>0</v>
      </c>
      <c r="P974" t="n">
        <v>0</v>
      </c>
      <c r="Q974" t="n">
        <v>0</v>
      </c>
      <c r="R974" s="2" t="inlineStr"/>
    </row>
    <row r="975" ht="15" customHeight="1">
      <c r="A975" t="inlineStr">
        <is>
          <t>A 31074-2024</t>
        </is>
      </c>
      <c r="B975" s="1" t="n">
        <v>45502</v>
      </c>
      <c r="C975" s="1" t="n">
        <v>45723</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31323-2024</t>
        </is>
      </c>
      <c r="B976" s="1" t="n">
        <v>45504</v>
      </c>
      <c r="C976" s="1" t="n">
        <v>45723</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31326-2024</t>
        </is>
      </c>
      <c r="B977" s="1" t="n">
        <v>45504</v>
      </c>
      <c r="C977" s="1" t="n">
        <v>45723</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31992-2024</t>
        </is>
      </c>
      <c r="B978" s="1" t="n">
        <v>45510</v>
      </c>
      <c r="C978" s="1" t="n">
        <v>45723</v>
      </c>
      <c r="D978" t="inlineStr">
        <is>
          <t>ÖREBRO LÄN</t>
        </is>
      </c>
      <c r="E978" t="inlineStr">
        <is>
          <t>ÖREBRO</t>
        </is>
      </c>
      <c r="G978" t="n">
        <v>1</v>
      </c>
      <c r="H978" t="n">
        <v>0</v>
      </c>
      <c r="I978" t="n">
        <v>0</v>
      </c>
      <c r="J978" t="n">
        <v>0</v>
      </c>
      <c r="K978" t="n">
        <v>0</v>
      </c>
      <c r="L978" t="n">
        <v>0</v>
      </c>
      <c r="M978" t="n">
        <v>0</v>
      </c>
      <c r="N978" t="n">
        <v>0</v>
      </c>
      <c r="O978" t="n">
        <v>0</v>
      </c>
      <c r="P978" t="n">
        <v>0</v>
      </c>
      <c r="Q978" t="n">
        <v>0</v>
      </c>
      <c r="R978" s="2" t="inlineStr"/>
    </row>
    <row r="979" ht="15" customHeight="1">
      <c r="A979" t="inlineStr">
        <is>
          <t>A 32025-2024</t>
        </is>
      </c>
      <c r="B979" s="1" t="n">
        <v>45510</v>
      </c>
      <c r="C979" s="1" t="n">
        <v>45723</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31990-2024</t>
        </is>
      </c>
      <c r="B980" s="1" t="n">
        <v>45510</v>
      </c>
      <c r="C980" s="1" t="n">
        <v>45723</v>
      </c>
      <c r="D980" t="inlineStr">
        <is>
          <t>ÖREBRO LÄN</t>
        </is>
      </c>
      <c r="E980" t="inlineStr">
        <is>
          <t>ÖREBRO</t>
        </is>
      </c>
      <c r="G980" t="n">
        <v>3.2</v>
      </c>
      <c r="H980" t="n">
        <v>0</v>
      </c>
      <c r="I980" t="n">
        <v>0</v>
      </c>
      <c r="J980" t="n">
        <v>0</v>
      </c>
      <c r="K980" t="n">
        <v>0</v>
      </c>
      <c r="L980" t="n">
        <v>0</v>
      </c>
      <c r="M980" t="n">
        <v>0</v>
      </c>
      <c r="N980" t="n">
        <v>0</v>
      </c>
      <c r="O980" t="n">
        <v>0</v>
      </c>
      <c r="P980" t="n">
        <v>0</v>
      </c>
      <c r="Q980" t="n">
        <v>0</v>
      </c>
      <c r="R980" s="2" t="inlineStr"/>
    </row>
    <row r="981" ht="15" customHeight="1">
      <c r="A981" t="inlineStr">
        <is>
          <t>A 32975-2024</t>
        </is>
      </c>
      <c r="B981" s="1" t="n">
        <v>45517</v>
      </c>
      <c r="C981" s="1" t="n">
        <v>45723</v>
      </c>
      <c r="D981" t="inlineStr">
        <is>
          <t>ÖREBRO LÄN</t>
        </is>
      </c>
      <c r="E981" t="inlineStr">
        <is>
          <t>ÖREBRO</t>
        </is>
      </c>
      <c r="G981" t="n">
        <v>2.8</v>
      </c>
      <c r="H981" t="n">
        <v>0</v>
      </c>
      <c r="I981" t="n">
        <v>0</v>
      </c>
      <c r="J981" t="n">
        <v>0</v>
      </c>
      <c r="K981" t="n">
        <v>0</v>
      </c>
      <c r="L981" t="n">
        <v>0</v>
      </c>
      <c r="M981" t="n">
        <v>0</v>
      </c>
      <c r="N981" t="n">
        <v>0</v>
      </c>
      <c r="O981" t="n">
        <v>0</v>
      </c>
      <c r="P981" t="n">
        <v>0</v>
      </c>
      <c r="Q981" t="n">
        <v>0</v>
      </c>
      <c r="R981" s="2" t="inlineStr"/>
    </row>
    <row r="982" ht="15" customHeight="1">
      <c r="A982" t="inlineStr">
        <is>
          <t>A 33920-2024</t>
        </is>
      </c>
      <c r="B982" s="1" t="n">
        <v>45523</v>
      </c>
      <c r="C982" s="1" t="n">
        <v>45723</v>
      </c>
      <c r="D982" t="inlineStr">
        <is>
          <t>ÖREBRO LÄN</t>
        </is>
      </c>
      <c r="E982" t="inlineStr">
        <is>
          <t>ÖREBRO</t>
        </is>
      </c>
      <c r="G982" t="n">
        <v>2.1</v>
      </c>
      <c r="H982" t="n">
        <v>0</v>
      </c>
      <c r="I982" t="n">
        <v>0</v>
      </c>
      <c r="J982" t="n">
        <v>0</v>
      </c>
      <c r="K982" t="n">
        <v>0</v>
      </c>
      <c r="L982" t="n">
        <v>0</v>
      </c>
      <c r="M982" t="n">
        <v>0</v>
      </c>
      <c r="N982" t="n">
        <v>0</v>
      </c>
      <c r="O982" t="n">
        <v>0</v>
      </c>
      <c r="P982" t="n">
        <v>0</v>
      </c>
      <c r="Q982" t="n">
        <v>0</v>
      </c>
      <c r="R982" s="2" t="inlineStr"/>
    </row>
    <row r="983" ht="15" customHeight="1">
      <c r="A983" t="inlineStr">
        <is>
          <t>A 34336-2024</t>
        </is>
      </c>
      <c r="B983" s="1" t="n">
        <v>45525</v>
      </c>
      <c r="C983" s="1" t="n">
        <v>45723</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35345-2024</t>
        </is>
      </c>
      <c r="B984" s="1" t="n">
        <v>45530</v>
      </c>
      <c r="C984" s="1" t="n">
        <v>45723</v>
      </c>
      <c r="D984" t="inlineStr">
        <is>
          <t>ÖREBRO LÄN</t>
        </is>
      </c>
      <c r="E984" t="inlineStr">
        <is>
          <t>ÖREBRO</t>
        </is>
      </c>
      <c r="G984" t="n">
        <v>0.9</v>
      </c>
      <c r="H984" t="n">
        <v>0</v>
      </c>
      <c r="I984" t="n">
        <v>0</v>
      </c>
      <c r="J984" t="n">
        <v>0</v>
      </c>
      <c r="K984" t="n">
        <v>0</v>
      </c>
      <c r="L984" t="n">
        <v>0</v>
      </c>
      <c r="M984" t="n">
        <v>0</v>
      </c>
      <c r="N984" t="n">
        <v>0</v>
      </c>
      <c r="O984" t="n">
        <v>0</v>
      </c>
      <c r="P984" t="n">
        <v>0</v>
      </c>
      <c r="Q984" t="n">
        <v>0</v>
      </c>
      <c r="R984" s="2" t="inlineStr"/>
    </row>
    <row r="985" ht="15" customHeight="1">
      <c r="A985" t="inlineStr">
        <is>
          <t>A 35477-2024</t>
        </is>
      </c>
      <c r="B985" s="1" t="n">
        <v>45531</v>
      </c>
      <c r="C985" s="1" t="n">
        <v>45723</v>
      </c>
      <c r="D985" t="inlineStr">
        <is>
          <t>ÖREBRO LÄN</t>
        </is>
      </c>
      <c r="E985" t="inlineStr">
        <is>
          <t>ÖREBRO</t>
        </is>
      </c>
      <c r="G985" t="n">
        <v>2.4</v>
      </c>
      <c r="H985" t="n">
        <v>0</v>
      </c>
      <c r="I985" t="n">
        <v>0</v>
      </c>
      <c r="J985" t="n">
        <v>0</v>
      </c>
      <c r="K985" t="n">
        <v>0</v>
      </c>
      <c r="L985" t="n">
        <v>0</v>
      </c>
      <c r="M985" t="n">
        <v>0</v>
      </c>
      <c r="N985" t="n">
        <v>0</v>
      </c>
      <c r="O985" t="n">
        <v>0</v>
      </c>
      <c r="P985" t="n">
        <v>0</v>
      </c>
      <c r="Q985" t="n">
        <v>0</v>
      </c>
      <c r="R985" s="2" t="inlineStr"/>
    </row>
    <row r="986" ht="15" customHeight="1">
      <c r="A986" t="inlineStr">
        <is>
          <t>A 35819-2024</t>
        </is>
      </c>
      <c r="B986" s="1" t="n">
        <v>45532</v>
      </c>
      <c r="C986" s="1" t="n">
        <v>45723</v>
      </c>
      <c r="D986" t="inlineStr">
        <is>
          <t>ÖREBRO LÄN</t>
        </is>
      </c>
      <c r="E986" t="inlineStr">
        <is>
          <t>ÖREBRO</t>
        </is>
      </c>
      <c r="G986" t="n">
        <v>6.4</v>
      </c>
      <c r="H986" t="n">
        <v>0</v>
      </c>
      <c r="I986" t="n">
        <v>0</v>
      </c>
      <c r="J986" t="n">
        <v>0</v>
      </c>
      <c r="K986" t="n">
        <v>0</v>
      </c>
      <c r="L986" t="n">
        <v>0</v>
      </c>
      <c r="M986" t="n">
        <v>0</v>
      </c>
      <c r="N986" t="n">
        <v>0</v>
      </c>
      <c r="O986" t="n">
        <v>0</v>
      </c>
      <c r="P986" t="n">
        <v>0</v>
      </c>
      <c r="Q986" t="n">
        <v>0</v>
      </c>
      <c r="R986" s="2" t="inlineStr"/>
    </row>
    <row r="987" ht="15" customHeight="1">
      <c r="A987" t="inlineStr">
        <is>
          <t>A 35829-2024</t>
        </is>
      </c>
      <c r="B987" s="1" t="n">
        <v>45532</v>
      </c>
      <c r="C987" s="1" t="n">
        <v>45723</v>
      </c>
      <c r="D987" t="inlineStr">
        <is>
          <t>ÖREBRO LÄN</t>
        </is>
      </c>
      <c r="E987" t="inlineStr">
        <is>
          <t>ÖREBRO</t>
        </is>
      </c>
      <c r="G987" t="n">
        <v>4.6</v>
      </c>
      <c r="H987" t="n">
        <v>0</v>
      </c>
      <c r="I987" t="n">
        <v>0</v>
      </c>
      <c r="J987" t="n">
        <v>0</v>
      </c>
      <c r="K987" t="n">
        <v>0</v>
      </c>
      <c r="L987" t="n">
        <v>0</v>
      </c>
      <c r="M987" t="n">
        <v>0</v>
      </c>
      <c r="N987" t="n">
        <v>0</v>
      </c>
      <c r="O987" t="n">
        <v>0</v>
      </c>
      <c r="P987" t="n">
        <v>0</v>
      </c>
      <c r="Q987" t="n">
        <v>0</v>
      </c>
      <c r="R987" s="2" t="inlineStr"/>
    </row>
    <row r="988" ht="15" customHeight="1">
      <c r="A988" t="inlineStr">
        <is>
          <t>A 35833-2024</t>
        </is>
      </c>
      <c r="B988" s="1" t="n">
        <v>45532</v>
      </c>
      <c r="C988" s="1" t="n">
        <v>45723</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36441-2024</t>
        </is>
      </c>
      <c r="B989" s="1" t="n">
        <v>45536</v>
      </c>
      <c r="C989" s="1" t="n">
        <v>45723</v>
      </c>
      <c r="D989" t="inlineStr">
        <is>
          <t>ÖREBRO LÄN</t>
        </is>
      </c>
      <c r="E989" t="inlineStr">
        <is>
          <t>ÖREBRO</t>
        </is>
      </c>
      <c r="G989" t="n">
        <v>1.2</v>
      </c>
      <c r="H989" t="n">
        <v>0</v>
      </c>
      <c r="I989" t="n">
        <v>0</v>
      </c>
      <c r="J989" t="n">
        <v>0</v>
      </c>
      <c r="K989" t="n">
        <v>0</v>
      </c>
      <c r="L989" t="n">
        <v>0</v>
      </c>
      <c r="M989" t="n">
        <v>0</v>
      </c>
      <c r="N989" t="n">
        <v>0</v>
      </c>
      <c r="O989" t="n">
        <v>0</v>
      </c>
      <c r="P989" t="n">
        <v>0</v>
      </c>
      <c r="Q989" t="n">
        <v>0</v>
      </c>
      <c r="R989" s="2" t="inlineStr"/>
    </row>
    <row r="990" ht="15" customHeight="1">
      <c r="A990" t="inlineStr">
        <is>
          <t>A 36444-2024</t>
        </is>
      </c>
      <c r="B990" s="1" t="n">
        <v>45536</v>
      </c>
      <c r="C990" s="1" t="n">
        <v>45723</v>
      </c>
      <c r="D990" t="inlineStr">
        <is>
          <t>ÖREBRO LÄN</t>
        </is>
      </c>
      <c r="E990" t="inlineStr">
        <is>
          <t>ÖREBRO</t>
        </is>
      </c>
      <c r="G990" t="n">
        <v>1.1</v>
      </c>
      <c r="H990" t="n">
        <v>0</v>
      </c>
      <c r="I990" t="n">
        <v>0</v>
      </c>
      <c r="J990" t="n">
        <v>0</v>
      </c>
      <c r="K990" t="n">
        <v>0</v>
      </c>
      <c r="L990" t="n">
        <v>0</v>
      </c>
      <c r="M990" t="n">
        <v>0</v>
      </c>
      <c r="N990" t="n">
        <v>0</v>
      </c>
      <c r="O990" t="n">
        <v>0</v>
      </c>
      <c r="P990" t="n">
        <v>0</v>
      </c>
      <c r="Q990" t="n">
        <v>0</v>
      </c>
      <c r="R990" s="2" t="inlineStr"/>
    </row>
    <row r="991" ht="15" customHeight="1">
      <c r="A991" t="inlineStr">
        <is>
          <t>A 37027-2024</t>
        </is>
      </c>
      <c r="B991" s="1" t="n">
        <v>45539</v>
      </c>
      <c r="C991" s="1" t="n">
        <v>45723</v>
      </c>
      <c r="D991" t="inlineStr">
        <is>
          <t>ÖREBRO LÄN</t>
        </is>
      </c>
      <c r="E991" t="inlineStr">
        <is>
          <t>ÖREBRO</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37012-2024</t>
        </is>
      </c>
      <c r="B992" s="1" t="n">
        <v>45539</v>
      </c>
      <c r="C992" s="1" t="n">
        <v>45723</v>
      </c>
      <c r="D992" t="inlineStr">
        <is>
          <t>ÖREBRO LÄN</t>
        </is>
      </c>
      <c r="E992" t="inlineStr">
        <is>
          <t>ÖREBRO</t>
        </is>
      </c>
      <c r="G992" t="n">
        <v>4.1</v>
      </c>
      <c r="H992" t="n">
        <v>0</v>
      </c>
      <c r="I992" t="n">
        <v>0</v>
      </c>
      <c r="J992" t="n">
        <v>0</v>
      </c>
      <c r="K992" t="n">
        <v>0</v>
      </c>
      <c r="L992" t="n">
        <v>0</v>
      </c>
      <c r="M992" t="n">
        <v>0</v>
      </c>
      <c r="N992" t="n">
        <v>0</v>
      </c>
      <c r="O992" t="n">
        <v>0</v>
      </c>
      <c r="P992" t="n">
        <v>0</v>
      </c>
      <c r="Q992" t="n">
        <v>0</v>
      </c>
      <c r="R992" s="2" t="inlineStr"/>
    </row>
    <row r="993" ht="15" customHeight="1">
      <c r="A993" t="inlineStr">
        <is>
          <t>A 37020-2024</t>
        </is>
      </c>
      <c r="B993" s="1" t="n">
        <v>45539</v>
      </c>
      <c r="C993" s="1" t="n">
        <v>45723</v>
      </c>
      <c r="D993" t="inlineStr">
        <is>
          <t>ÖREBRO LÄN</t>
        </is>
      </c>
      <c r="E993" t="inlineStr">
        <is>
          <t>ÖREBRO</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37024-2024</t>
        </is>
      </c>
      <c r="B994" s="1" t="n">
        <v>45539</v>
      </c>
      <c r="C994" s="1" t="n">
        <v>45723</v>
      </c>
      <c r="D994" t="inlineStr">
        <is>
          <t>ÖREBRO LÄN</t>
        </is>
      </c>
      <c r="E994" t="inlineStr">
        <is>
          <t>ÖREBRO</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37025-2024</t>
        </is>
      </c>
      <c r="B995" s="1" t="n">
        <v>45539</v>
      </c>
      <c r="C995" s="1" t="n">
        <v>45723</v>
      </c>
      <c r="D995" t="inlineStr">
        <is>
          <t>ÖREBRO LÄN</t>
        </is>
      </c>
      <c r="E995" t="inlineStr">
        <is>
          <t>ÖREBRO</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37021-2024</t>
        </is>
      </c>
      <c r="B996" s="1" t="n">
        <v>45539</v>
      </c>
      <c r="C996" s="1" t="n">
        <v>45723</v>
      </c>
      <c r="D996" t="inlineStr">
        <is>
          <t>ÖREBRO LÄN</t>
        </is>
      </c>
      <c r="E996" t="inlineStr">
        <is>
          <t>ÖREBRO</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37022-2024</t>
        </is>
      </c>
      <c r="B997" s="1" t="n">
        <v>45539</v>
      </c>
      <c r="C997" s="1" t="n">
        <v>45723</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37631-2024</t>
        </is>
      </c>
      <c r="B998" s="1" t="n">
        <v>45541</v>
      </c>
      <c r="C998" s="1" t="n">
        <v>45723</v>
      </c>
      <c r="D998" t="inlineStr">
        <is>
          <t>ÖREBRO LÄN</t>
        </is>
      </c>
      <c r="E998" t="inlineStr">
        <is>
          <t>ÖREBRO</t>
        </is>
      </c>
      <c r="G998" t="n">
        <v>0.9</v>
      </c>
      <c r="H998" t="n">
        <v>0</v>
      </c>
      <c r="I998" t="n">
        <v>0</v>
      </c>
      <c r="J998" t="n">
        <v>0</v>
      </c>
      <c r="K998" t="n">
        <v>0</v>
      </c>
      <c r="L998" t="n">
        <v>0</v>
      </c>
      <c r="M998" t="n">
        <v>0</v>
      </c>
      <c r="N998" t="n">
        <v>0</v>
      </c>
      <c r="O998" t="n">
        <v>0</v>
      </c>
      <c r="P998" t="n">
        <v>0</v>
      </c>
      <c r="Q998" t="n">
        <v>0</v>
      </c>
      <c r="R998" s="2" t="inlineStr"/>
    </row>
    <row r="999" ht="15" customHeight="1">
      <c r="A999" t="inlineStr">
        <is>
          <t>A 37771-2024</t>
        </is>
      </c>
      <c r="B999" s="1" t="n">
        <v>45542</v>
      </c>
      <c r="C999" s="1" t="n">
        <v>45723</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37786-2024</t>
        </is>
      </c>
      <c r="B1000" s="1" t="n">
        <v>45542</v>
      </c>
      <c r="C1000" s="1" t="n">
        <v>45723</v>
      </c>
      <c r="D1000" t="inlineStr">
        <is>
          <t>ÖREBRO LÄN</t>
        </is>
      </c>
      <c r="E1000" t="inlineStr">
        <is>
          <t>ÖREBRO</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37772-2024</t>
        </is>
      </c>
      <c r="B1001" s="1" t="n">
        <v>45542</v>
      </c>
      <c r="C1001" s="1" t="n">
        <v>45723</v>
      </c>
      <c r="D1001" t="inlineStr">
        <is>
          <t>ÖREBRO LÄN</t>
        </is>
      </c>
      <c r="E1001" t="inlineStr">
        <is>
          <t>ÖREBRO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37784-2024</t>
        </is>
      </c>
      <c r="B1002" s="1" t="n">
        <v>45542</v>
      </c>
      <c r="C1002" s="1" t="n">
        <v>45723</v>
      </c>
      <c r="D1002" t="inlineStr">
        <is>
          <t>ÖREBRO LÄN</t>
        </is>
      </c>
      <c r="E1002" t="inlineStr">
        <is>
          <t>ÖREBRO</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37773-2024</t>
        </is>
      </c>
      <c r="B1003" s="1" t="n">
        <v>45542</v>
      </c>
      <c r="C1003" s="1" t="n">
        <v>45723</v>
      </c>
      <c r="D1003" t="inlineStr">
        <is>
          <t>ÖREBRO LÄN</t>
        </is>
      </c>
      <c r="E1003" t="inlineStr">
        <is>
          <t>ÖREBRO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37968-2024</t>
        </is>
      </c>
      <c r="B1004" s="1" t="n">
        <v>45544</v>
      </c>
      <c r="C1004" s="1" t="n">
        <v>45723</v>
      </c>
      <c r="D1004" t="inlineStr">
        <is>
          <t>ÖREBRO LÄN</t>
        </is>
      </c>
      <c r="E1004" t="inlineStr">
        <is>
          <t>ÖREBRO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38790-2024</t>
        </is>
      </c>
      <c r="B1005" s="1" t="n">
        <v>45547</v>
      </c>
      <c r="C1005" s="1" t="n">
        <v>45723</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39443-2024</t>
        </is>
      </c>
      <c r="B1006" s="1" t="n">
        <v>45551</v>
      </c>
      <c r="C1006" s="1" t="n">
        <v>45723</v>
      </c>
      <c r="D1006" t="inlineStr">
        <is>
          <t>ÖREBRO LÄN</t>
        </is>
      </c>
      <c r="E1006" t="inlineStr">
        <is>
          <t>ÖREBRO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39735-2024</t>
        </is>
      </c>
      <c r="B1007" s="1" t="n">
        <v>45552</v>
      </c>
      <c r="C1007" s="1" t="n">
        <v>45723</v>
      </c>
      <c r="D1007" t="inlineStr">
        <is>
          <t>ÖREBRO LÄN</t>
        </is>
      </c>
      <c r="E1007" t="inlineStr">
        <is>
          <t>ÖREBRO</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40051-2024</t>
        </is>
      </c>
      <c r="B1008" s="1" t="n">
        <v>45553</v>
      </c>
      <c r="C1008" s="1" t="n">
        <v>45723</v>
      </c>
      <c r="D1008" t="inlineStr">
        <is>
          <t>ÖREBRO LÄN</t>
        </is>
      </c>
      <c r="E1008" t="inlineStr">
        <is>
          <t>ÖREBRO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40522-2024</t>
        </is>
      </c>
      <c r="B1009" s="1" t="n">
        <v>45555</v>
      </c>
      <c r="C1009" s="1" t="n">
        <v>45723</v>
      </c>
      <c r="D1009" t="inlineStr">
        <is>
          <t>ÖREBRO LÄN</t>
        </is>
      </c>
      <c r="E1009" t="inlineStr">
        <is>
          <t>ÖREBRO</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41150-2024</t>
        </is>
      </c>
      <c r="B1010" s="1" t="n">
        <v>45559</v>
      </c>
      <c r="C1010" s="1" t="n">
        <v>45723</v>
      </c>
      <c r="D1010" t="inlineStr">
        <is>
          <t>ÖREBRO LÄN</t>
        </is>
      </c>
      <c r="E1010" t="inlineStr">
        <is>
          <t>ÖREBRO</t>
        </is>
      </c>
      <c r="F1010" t="inlineStr">
        <is>
          <t>Kommuner</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41703-2024</t>
        </is>
      </c>
      <c r="B1011" s="1" t="n">
        <v>45560</v>
      </c>
      <c r="C1011" s="1" t="n">
        <v>45723</v>
      </c>
      <c r="D1011" t="inlineStr">
        <is>
          <t>ÖREBRO LÄN</t>
        </is>
      </c>
      <c r="E1011" t="inlineStr">
        <is>
          <t>ÖREBRO</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41678-2024</t>
        </is>
      </c>
      <c r="B1012" s="1" t="n">
        <v>45560</v>
      </c>
      <c r="C1012" s="1" t="n">
        <v>45723</v>
      </c>
      <c r="D1012" t="inlineStr">
        <is>
          <t>ÖREBRO LÄN</t>
        </is>
      </c>
      <c r="E1012" t="inlineStr">
        <is>
          <t>ÖREBRO</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41543-2024</t>
        </is>
      </c>
      <c r="B1013" s="1" t="n">
        <v>45560</v>
      </c>
      <c r="C1013" s="1" t="n">
        <v>45723</v>
      </c>
      <c r="D1013" t="inlineStr">
        <is>
          <t>ÖREBRO LÄN</t>
        </is>
      </c>
      <c r="E1013" t="inlineStr">
        <is>
          <t>ÖREBRO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41995-2024</t>
        </is>
      </c>
      <c r="B1014" s="1" t="n">
        <v>45561</v>
      </c>
      <c r="C1014" s="1" t="n">
        <v>45723</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42138-2024</t>
        </is>
      </c>
      <c r="B1015" s="1" t="n">
        <v>45562</v>
      </c>
      <c r="C1015" s="1" t="n">
        <v>45723</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45027-2024</t>
        </is>
      </c>
      <c r="B1016" s="1" t="n">
        <v>45575</v>
      </c>
      <c r="C1016" s="1" t="n">
        <v>45723</v>
      </c>
      <c r="D1016" t="inlineStr">
        <is>
          <t>ÖREBRO LÄN</t>
        </is>
      </c>
      <c r="E1016" t="inlineStr">
        <is>
          <t>ÖREBRO</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46052-2024</t>
        </is>
      </c>
      <c r="B1017" s="1" t="n">
        <v>45580</v>
      </c>
      <c r="C1017" s="1" t="n">
        <v>45723</v>
      </c>
      <c r="D1017" t="inlineStr">
        <is>
          <t>ÖREBRO LÄN</t>
        </is>
      </c>
      <c r="E1017" t="inlineStr">
        <is>
          <t>ÖREBRO</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46056-2024</t>
        </is>
      </c>
      <c r="B1018" s="1" t="n">
        <v>45580</v>
      </c>
      <c r="C1018" s="1" t="n">
        <v>45723</v>
      </c>
      <c r="D1018" t="inlineStr">
        <is>
          <t>ÖREBRO LÄN</t>
        </is>
      </c>
      <c r="E1018" t="inlineStr">
        <is>
          <t>ÖREBRO</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46030-2024</t>
        </is>
      </c>
      <c r="B1019" s="1" t="n">
        <v>45580</v>
      </c>
      <c r="C1019" s="1" t="n">
        <v>45723</v>
      </c>
      <c r="D1019" t="inlineStr">
        <is>
          <t>ÖREBRO LÄN</t>
        </is>
      </c>
      <c r="E1019" t="inlineStr">
        <is>
          <t>ÖREBRO</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46050-2024</t>
        </is>
      </c>
      <c r="B1020" s="1" t="n">
        <v>45580</v>
      </c>
      <c r="C1020" s="1" t="n">
        <v>45723</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46054-2024</t>
        </is>
      </c>
      <c r="B1021" s="1" t="n">
        <v>45580</v>
      </c>
      <c r="C1021" s="1" t="n">
        <v>45723</v>
      </c>
      <c r="D1021" t="inlineStr">
        <is>
          <t>ÖREBRO LÄN</t>
        </is>
      </c>
      <c r="E1021" t="inlineStr">
        <is>
          <t>ÖREBRO</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46053-2024</t>
        </is>
      </c>
      <c r="B1022" s="1" t="n">
        <v>45580</v>
      </c>
      <c r="C1022" s="1" t="n">
        <v>45723</v>
      </c>
      <c r="D1022" t="inlineStr">
        <is>
          <t>ÖREBRO LÄN</t>
        </is>
      </c>
      <c r="E1022" t="inlineStr">
        <is>
          <t>ÖREBRO</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46057-2024</t>
        </is>
      </c>
      <c r="B1023" s="1" t="n">
        <v>45581</v>
      </c>
      <c r="C1023" s="1" t="n">
        <v>45723</v>
      </c>
      <c r="D1023" t="inlineStr">
        <is>
          <t>ÖREBRO LÄN</t>
        </is>
      </c>
      <c r="E1023" t="inlineStr">
        <is>
          <t>ÖREBRO</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45877-2024</t>
        </is>
      </c>
      <c r="B1024" s="1" t="n">
        <v>45580</v>
      </c>
      <c r="C1024" s="1" t="n">
        <v>45723</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46059-2024</t>
        </is>
      </c>
      <c r="B1025" s="1" t="n">
        <v>45581</v>
      </c>
      <c r="C1025" s="1" t="n">
        <v>45723</v>
      </c>
      <c r="D1025" t="inlineStr">
        <is>
          <t>ÖREBRO LÄN</t>
        </is>
      </c>
      <c r="E1025" t="inlineStr">
        <is>
          <t>ÖREBRO</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46327-2024</t>
        </is>
      </c>
      <c r="B1026" s="1" t="n">
        <v>45581</v>
      </c>
      <c r="C1026" s="1" t="n">
        <v>45723</v>
      </c>
      <c r="D1026" t="inlineStr">
        <is>
          <t>ÖREBRO LÄN</t>
        </is>
      </c>
      <c r="E1026" t="inlineStr">
        <is>
          <t>ÖREBRO</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46322-2024</t>
        </is>
      </c>
      <c r="B1027" s="1" t="n">
        <v>45581</v>
      </c>
      <c r="C1027" s="1" t="n">
        <v>45723</v>
      </c>
      <c r="D1027" t="inlineStr">
        <is>
          <t>ÖREBRO LÄN</t>
        </is>
      </c>
      <c r="E1027" t="inlineStr">
        <is>
          <t>ÖREBRO</t>
        </is>
      </c>
      <c r="F1027" t="inlineStr">
        <is>
          <t>Övriga Aktiebolag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46323-2024</t>
        </is>
      </c>
      <c r="B1028" s="1" t="n">
        <v>45581</v>
      </c>
      <c r="C1028" s="1" t="n">
        <v>45723</v>
      </c>
      <c r="D1028" t="inlineStr">
        <is>
          <t>ÖREBRO LÄN</t>
        </is>
      </c>
      <c r="E1028" t="inlineStr">
        <is>
          <t>ÖREBRO</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46321-2024</t>
        </is>
      </c>
      <c r="B1029" s="1" t="n">
        <v>45581</v>
      </c>
      <c r="C1029" s="1" t="n">
        <v>45723</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47900-2024</t>
        </is>
      </c>
      <c r="B1030" s="1" t="n">
        <v>45589</v>
      </c>
      <c r="C1030" s="1" t="n">
        <v>45723</v>
      </c>
      <c r="D1030" t="inlineStr">
        <is>
          <t>ÖREBRO LÄN</t>
        </is>
      </c>
      <c r="E1030" t="inlineStr">
        <is>
          <t>ÖREBRO</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48140-2024</t>
        </is>
      </c>
      <c r="B1031" s="1" t="n">
        <v>45589</v>
      </c>
      <c r="C1031" s="1" t="n">
        <v>45723</v>
      </c>
      <c r="D1031" t="inlineStr">
        <is>
          <t>ÖREBRO LÄN</t>
        </is>
      </c>
      <c r="E1031" t="inlineStr">
        <is>
          <t>ÖREBRO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48581-2024</t>
        </is>
      </c>
      <c r="B1032" s="1" t="n">
        <v>45593</v>
      </c>
      <c r="C1032" s="1" t="n">
        <v>45723</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48687-2024</t>
        </is>
      </c>
      <c r="B1033" s="1" t="n">
        <v>45593</v>
      </c>
      <c r="C1033" s="1" t="n">
        <v>45723</v>
      </c>
      <c r="D1033" t="inlineStr">
        <is>
          <t>ÖREBRO LÄN</t>
        </is>
      </c>
      <c r="E1033" t="inlineStr">
        <is>
          <t>ÖREBRO</t>
        </is>
      </c>
      <c r="F1033" t="inlineStr">
        <is>
          <t>Övriga Aktiebolag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48644-2024</t>
        </is>
      </c>
      <c r="B1034" s="1" t="n">
        <v>45593</v>
      </c>
      <c r="C1034" s="1" t="n">
        <v>45723</v>
      </c>
      <c r="D1034" t="inlineStr">
        <is>
          <t>ÖREBRO LÄN</t>
        </is>
      </c>
      <c r="E1034" t="inlineStr">
        <is>
          <t>ÖREBRO</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48632-2024</t>
        </is>
      </c>
      <c r="B1035" s="1" t="n">
        <v>45593</v>
      </c>
      <c r="C1035" s="1" t="n">
        <v>45723</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49029-2024</t>
        </is>
      </c>
      <c r="B1036" s="1" t="n">
        <v>45594</v>
      </c>
      <c r="C1036" s="1" t="n">
        <v>45723</v>
      </c>
      <c r="D1036" t="inlineStr">
        <is>
          <t>ÖREBRO LÄN</t>
        </is>
      </c>
      <c r="E1036" t="inlineStr">
        <is>
          <t>ÖREBRO</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49028-2024</t>
        </is>
      </c>
      <c r="B1037" s="1" t="n">
        <v>45594</v>
      </c>
      <c r="C1037" s="1" t="n">
        <v>45723</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49465-2024</t>
        </is>
      </c>
      <c r="B1038" s="1" t="n">
        <v>45596</v>
      </c>
      <c r="C1038" s="1" t="n">
        <v>45723</v>
      </c>
      <c r="D1038" t="inlineStr">
        <is>
          <t>ÖREBRO LÄN</t>
        </is>
      </c>
      <c r="E1038" t="inlineStr">
        <is>
          <t>ÖREBRO</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49797-2024</t>
        </is>
      </c>
      <c r="B1039" s="1" t="n">
        <v>45597</v>
      </c>
      <c r="C1039" s="1" t="n">
        <v>45723</v>
      </c>
      <c r="D1039" t="inlineStr">
        <is>
          <t>ÖREBRO LÄN</t>
        </is>
      </c>
      <c r="E1039" t="inlineStr">
        <is>
          <t>ÖREBRO</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50026-2024</t>
        </is>
      </c>
      <c r="B1040" s="1" t="n">
        <v>45599</v>
      </c>
      <c r="C1040" s="1" t="n">
        <v>45723</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50375-2024</t>
        </is>
      </c>
      <c r="B1041" s="1" t="n">
        <v>45601</v>
      </c>
      <c r="C1041" s="1" t="n">
        <v>45723</v>
      </c>
      <c r="D1041" t="inlineStr">
        <is>
          <t>ÖREBRO LÄN</t>
        </is>
      </c>
      <c r="E1041" t="inlineStr">
        <is>
          <t>ÖREBRO</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50954-2024</t>
        </is>
      </c>
      <c r="B1042" s="1" t="n">
        <v>45603</v>
      </c>
      <c r="C1042" s="1" t="n">
        <v>45723</v>
      </c>
      <c r="D1042" t="inlineStr">
        <is>
          <t>ÖREBRO LÄN</t>
        </is>
      </c>
      <c r="E1042" t="inlineStr">
        <is>
          <t>ÖREBRO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52016-2024</t>
        </is>
      </c>
      <c r="B1043" s="1" t="n">
        <v>45607</v>
      </c>
      <c r="C1043" s="1" t="n">
        <v>45723</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52018-2024</t>
        </is>
      </c>
      <c r="B1044" s="1" t="n">
        <v>45607</v>
      </c>
      <c r="C1044" s="1" t="n">
        <v>45723</v>
      </c>
      <c r="D1044" t="inlineStr">
        <is>
          <t>ÖREBRO LÄN</t>
        </is>
      </c>
      <c r="E1044" t="inlineStr">
        <is>
          <t>ÖREBRO</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52391-2024</t>
        </is>
      </c>
      <c r="B1045" s="1" t="n">
        <v>45609</v>
      </c>
      <c r="C1045" s="1" t="n">
        <v>45723</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52401-2024</t>
        </is>
      </c>
      <c r="B1046" s="1" t="n">
        <v>45609</v>
      </c>
      <c r="C1046" s="1" t="n">
        <v>45723</v>
      </c>
      <c r="D1046" t="inlineStr">
        <is>
          <t>ÖREBRO LÄN</t>
        </is>
      </c>
      <c r="E1046" t="inlineStr">
        <is>
          <t>ÖREBRO</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52444-2024</t>
        </is>
      </c>
      <c r="B1047" s="1" t="n">
        <v>45609</v>
      </c>
      <c r="C1047" s="1" t="n">
        <v>45723</v>
      </c>
      <c r="D1047" t="inlineStr">
        <is>
          <t>ÖREBRO LÄN</t>
        </is>
      </c>
      <c r="E1047" t="inlineStr">
        <is>
          <t>ÖREBRO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45723</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45723</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52441-2024</t>
        </is>
      </c>
      <c r="B1050" s="1" t="n">
        <v>45609</v>
      </c>
      <c r="C1050" s="1" t="n">
        <v>45723</v>
      </c>
      <c r="D1050" t="inlineStr">
        <is>
          <t>ÖREBRO LÄN</t>
        </is>
      </c>
      <c r="E1050" t="inlineStr">
        <is>
          <t>ÖREBRO</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52449-2024</t>
        </is>
      </c>
      <c r="B1051" s="1" t="n">
        <v>45609</v>
      </c>
      <c r="C1051" s="1" t="n">
        <v>45723</v>
      </c>
      <c r="D1051" t="inlineStr">
        <is>
          <t>ÖREBRO LÄN</t>
        </is>
      </c>
      <c r="E1051" t="inlineStr">
        <is>
          <t>ÖREBRO</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52477-2024</t>
        </is>
      </c>
      <c r="B1052" s="1" t="n">
        <v>45609</v>
      </c>
      <c r="C1052" s="1" t="n">
        <v>45723</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52623-2024</t>
        </is>
      </c>
      <c r="B1053" s="1" t="n">
        <v>45609</v>
      </c>
      <c r="C1053" s="1" t="n">
        <v>45723</v>
      </c>
      <c r="D1053" t="inlineStr">
        <is>
          <t>ÖREBRO LÄN</t>
        </is>
      </c>
      <c r="E1053" t="inlineStr">
        <is>
          <t>ÖREBRO</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52612-2024</t>
        </is>
      </c>
      <c r="B1054" s="1" t="n">
        <v>45609</v>
      </c>
      <c r="C1054" s="1" t="n">
        <v>45723</v>
      </c>
      <c r="D1054" t="inlineStr">
        <is>
          <t>ÖREBRO LÄN</t>
        </is>
      </c>
      <c r="E1054" t="inlineStr">
        <is>
          <t>ÖREBRO</t>
        </is>
      </c>
      <c r="F1054" t="inlineStr">
        <is>
          <t>Kommuner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53481-2024</t>
        </is>
      </c>
      <c r="B1055" s="1" t="n">
        <v>45614</v>
      </c>
      <c r="C1055" s="1" t="n">
        <v>45723</v>
      </c>
      <c r="D1055" t="inlineStr">
        <is>
          <t>ÖREBRO LÄN</t>
        </is>
      </c>
      <c r="E1055" t="inlineStr">
        <is>
          <t>ÖREBRO</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53478-2024</t>
        </is>
      </c>
      <c r="B1056" s="1" t="n">
        <v>45614</v>
      </c>
      <c r="C1056" s="1" t="n">
        <v>45723</v>
      </c>
      <c r="D1056" t="inlineStr">
        <is>
          <t>ÖREBRO LÄN</t>
        </is>
      </c>
      <c r="E1056" t="inlineStr">
        <is>
          <t>ÖREBRO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53494-2024</t>
        </is>
      </c>
      <c r="B1057" s="1" t="n">
        <v>45614</v>
      </c>
      <c r="C1057" s="1" t="n">
        <v>45723</v>
      </c>
      <c r="D1057" t="inlineStr">
        <is>
          <t>ÖREBRO LÄN</t>
        </is>
      </c>
      <c r="E1057" t="inlineStr">
        <is>
          <t>ÖREBRO</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54149-2024</t>
        </is>
      </c>
      <c r="B1058" s="1" t="n">
        <v>45616</v>
      </c>
      <c r="C1058" s="1" t="n">
        <v>45723</v>
      </c>
      <c r="D1058" t="inlineStr">
        <is>
          <t>ÖREBRO LÄN</t>
        </is>
      </c>
      <c r="E1058" t="inlineStr">
        <is>
          <t>ÖREBRO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55313-2024</t>
        </is>
      </c>
      <c r="B1059" s="1" t="n">
        <v>45621</v>
      </c>
      <c r="C1059" s="1" t="n">
        <v>45723</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55355-2024</t>
        </is>
      </c>
      <c r="B1060" s="1" t="n">
        <v>45621</v>
      </c>
      <c r="C1060" s="1" t="n">
        <v>45723</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55353-2024</t>
        </is>
      </c>
      <c r="B1061" s="1" t="n">
        <v>45621</v>
      </c>
      <c r="C1061" s="1" t="n">
        <v>45723</v>
      </c>
      <c r="D1061" t="inlineStr">
        <is>
          <t>ÖREBRO LÄN</t>
        </is>
      </c>
      <c r="E1061" t="inlineStr">
        <is>
          <t>ÖREBRO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55357-2024</t>
        </is>
      </c>
      <c r="B1062" s="1" t="n">
        <v>45621</v>
      </c>
      <c r="C1062" s="1" t="n">
        <v>45723</v>
      </c>
      <c r="D1062" t="inlineStr">
        <is>
          <t>ÖREBRO LÄN</t>
        </is>
      </c>
      <c r="E1062" t="inlineStr">
        <is>
          <t>ÖREBRO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55453-2024</t>
        </is>
      </c>
      <c r="B1063" s="1" t="n">
        <v>45622</v>
      </c>
      <c r="C1063" s="1" t="n">
        <v>45723</v>
      </c>
      <c r="D1063" t="inlineStr">
        <is>
          <t>ÖREBRO LÄN</t>
        </is>
      </c>
      <c r="E1063" t="inlineStr">
        <is>
          <t>ÖREBRO</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55693-2024</t>
        </is>
      </c>
      <c r="B1064" s="1" t="n">
        <v>45622</v>
      </c>
      <c r="C1064" s="1" t="n">
        <v>45723</v>
      </c>
      <c r="D1064" t="inlineStr">
        <is>
          <t>ÖREBRO LÄN</t>
        </is>
      </c>
      <c r="E1064" t="inlineStr">
        <is>
          <t>ÖREBRO</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45723</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45723</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45723</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55846-2024</t>
        </is>
      </c>
      <c r="B1068" s="1" t="n">
        <v>45623</v>
      </c>
      <c r="C1068" s="1" t="n">
        <v>45723</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55943-2024</t>
        </is>
      </c>
      <c r="B1069" s="1" t="n">
        <v>45623</v>
      </c>
      <c r="C1069" s="1" t="n">
        <v>45723</v>
      </c>
      <c r="D1069" t="inlineStr">
        <is>
          <t>ÖREBRO LÄN</t>
        </is>
      </c>
      <c r="E1069" t="inlineStr">
        <is>
          <t>ÖREBRO</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56040-2024</t>
        </is>
      </c>
      <c r="B1070" s="1" t="n">
        <v>45624</v>
      </c>
      <c r="C1070" s="1" t="n">
        <v>45723</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57216-2024</t>
        </is>
      </c>
      <c r="B1071" s="1" t="n">
        <v>45629</v>
      </c>
      <c r="C1071" s="1" t="n">
        <v>45723</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45723</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45723</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45723</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45723</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45723</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45723</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45723</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45723</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45723</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45723</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45723</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45723</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45723</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45723</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45723</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45723</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45723</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45723</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45723</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45723</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45723</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45723</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45723</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45723</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45723</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45723</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45723</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45723</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45723</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45723</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45723</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45723</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45723</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45723</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45723</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45723</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45723</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45723</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45723</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45723</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45723</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3763-2025</t>
        </is>
      </c>
      <c r="B1113" s="1" t="n">
        <v>45681</v>
      </c>
      <c r="C1113" s="1" t="n">
        <v>45723</v>
      </c>
      <c r="D1113" t="inlineStr">
        <is>
          <t>ÖREBRO LÄN</t>
        </is>
      </c>
      <c r="E1113" t="inlineStr">
        <is>
          <t>ÖREBRO</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3659-2025</t>
        </is>
      </c>
      <c r="B1114" s="1" t="n">
        <v>45681</v>
      </c>
      <c r="C1114" s="1" t="n">
        <v>45723</v>
      </c>
      <c r="D1114" t="inlineStr">
        <is>
          <t>ÖREBRO LÄN</t>
        </is>
      </c>
      <c r="E1114" t="inlineStr">
        <is>
          <t>ÖREBRO</t>
        </is>
      </c>
      <c r="G1114" t="n">
        <v>15.8</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45723</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45723</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45723</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4284-2025</t>
        </is>
      </c>
      <c r="B1118" s="1" t="n">
        <v>45685</v>
      </c>
      <c r="C1118" s="1" t="n">
        <v>45723</v>
      </c>
      <c r="D1118" t="inlineStr">
        <is>
          <t>ÖREBRO LÄN</t>
        </is>
      </c>
      <c r="E1118" t="inlineStr">
        <is>
          <t>ÖREBRO</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4344-2025</t>
        </is>
      </c>
      <c r="B1119" s="1" t="n">
        <v>45685</v>
      </c>
      <c r="C1119" s="1" t="n">
        <v>45723</v>
      </c>
      <c r="D1119" t="inlineStr">
        <is>
          <t>ÖREBRO LÄN</t>
        </is>
      </c>
      <c r="E1119" t="inlineStr">
        <is>
          <t>ÖREBRO</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4277-2025</t>
        </is>
      </c>
      <c r="B1120" s="1" t="n">
        <v>45685</v>
      </c>
      <c r="C1120" s="1" t="n">
        <v>45723</v>
      </c>
      <c r="D1120" t="inlineStr">
        <is>
          <t>ÖREBRO LÄN</t>
        </is>
      </c>
      <c r="E1120" t="inlineStr">
        <is>
          <t>ÖREBRO</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4178-2025</t>
        </is>
      </c>
      <c r="B1121" s="1" t="n">
        <v>45685</v>
      </c>
      <c r="C1121" s="1" t="n">
        <v>45723</v>
      </c>
      <c r="D1121" t="inlineStr">
        <is>
          <t>ÖREBRO LÄN</t>
        </is>
      </c>
      <c r="E1121" t="inlineStr">
        <is>
          <t>ÖREBRO</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45723</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4380-2025</t>
        </is>
      </c>
      <c r="B1123" s="1" t="n">
        <v>45686</v>
      </c>
      <c r="C1123" s="1" t="n">
        <v>45723</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5404-2025</t>
        </is>
      </c>
      <c r="B1124" s="1" t="n">
        <v>45692</v>
      </c>
      <c r="C1124" s="1" t="n">
        <v>45723</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5406-2025</t>
        </is>
      </c>
      <c r="B1125" s="1" t="n">
        <v>45692</v>
      </c>
      <c r="C1125" s="1" t="n">
        <v>45723</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45723</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5762-2025</t>
        </is>
      </c>
      <c r="B1127" s="1" t="n">
        <v>45694</v>
      </c>
      <c r="C1127" s="1" t="n">
        <v>45723</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6794-2025</t>
        </is>
      </c>
      <c r="B1128" s="1" t="n">
        <v>45700</v>
      </c>
      <c r="C1128" s="1" t="n">
        <v>45723</v>
      </c>
      <c r="D1128" t="inlineStr">
        <is>
          <t>ÖREBRO LÄN</t>
        </is>
      </c>
      <c r="E1128" t="inlineStr">
        <is>
          <t>ÖREBRO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6869-2025</t>
        </is>
      </c>
      <c r="B1129" s="1" t="n">
        <v>45700</v>
      </c>
      <c r="C1129" s="1" t="n">
        <v>45723</v>
      </c>
      <c r="D1129" t="inlineStr">
        <is>
          <t>ÖREBRO LÄN</t>
        </is>
      </c>
      <c r="E1129" t="inlineStr">
        <is>
          <t>ÖREBRO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7141-2025</t>
        </is>
      </c>
      <c r="B1130" s="1" t="n">
        <v>45702</v>
      </c>
      <c r="C1130" s="1" t="n">
        <v>45723</v>
      </c>
      <c r="D1130" t="inlineStr">
        <is>
          <t>ÖREBRO LÄN</t>
        </is>
      </c>
      <c r="E1130" t="inlineStr">
        <is>
          <t>ÖREBRO</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7134-2025</t>
        </is>
      </c>
      <c r="B1131" s="1" t="n">
        <v>45702</v>
      </c>
      <c r="C1131" s="1" t="n">
        <v>45723</v>
      </c>
      <c r="D1131" t="inlineStr">
        <is>
          <t>ÖREBRO LÄN</t>
        </is>
      </c>
      <c r="E1131" t="inlineStr">
        <is>
          <t>ÖREBRO</t>
        </is>
      </c>
      <c r="F1131" t="inlineStr">
        <is>
          <t>Övriga Aktiebolag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7302-2025</t>
        </is>
      </c>
      <c r="B1132" s="1" t="n">
        <v>45702</v>
      </c>
      <c r="C1132" s="1" t="n">
        <v>45723</v>
      </c>
      <c r="D1132" t="inlineStr">
        <is>
          <t>ÖREBRO LÄN</t>
        </is>
      </c>
      <c r="E1132" t="inlineStr">
        <is>
          <t>ÖREBRO</t>
        </is>
      </c>
      <c r="G1132" t="n">
        <v>5</v>
      </c>
      <c r="H1132" t="n">
        <v>0</v>
      </c>
      <c r="I1132" t="n">
        <v>0</v>
      </c>
      <c r="J1132" t="n">
        <v>0</v>
      </c>
      <c r="K1132" t="n">
        <v>0</v>
      </c>
      <c r="L1132" t="n">
        <v>0</v>
      </c>
      <c r="M1132" t="n">
        <v>0</v>
      </c>
      <c r="N1132" t="n">
        <v>0</v>
      </c>
      <c r="O1132" t="n">
        <v>0</v>
      </c>
      <c r="P1132" t="n">
        <v>0</v>
      </c>
      <c r="Q1132" t="n">
        <v>0</v>
      </c>
      <c r="R1132" s="2" t="inlineStr"/>
      <c r="U1132">
        <f>HYPERLINK("https://klasma.github.io/Logging_1880/knärot/A 7302-2025 karta knärot.png", "A 7302-2025")</f>
        <v/>
      </c>
      <c r="V1132">
        <f>HYPERLINK("https://klasma.github.io/Logging_1880/klagomål/A 7302-2025 FSC-klagomål.docx", "A 7302-2025")</f>
        <v/>
      </c>
      <c r="W1132">
        <f>HYPERLINK("https://klasma.github.io/Logging_1880/klagomålsmail/A 7302-2025 FSC-klagomål mail.docx", "A 7302-2025")</f>
        <v/>
      </c>
      <c r="X1132">
        <f>HYPERLINK("https://klasma.github.io/Logging_1880/tillsyn/A 7302-2025 tillsynsbegäran.docx", "A 7302-2025")</f>
        <v/>
      </c>
      <c r="Y1132">
        <f>HYPERLINK("https://klasma.github.io/Logging_1880/tillsynsmail/A 7302-2025 tillsynsbegäran mail.docx", "A 7302-2025")</f>
        <v/>
      </c>
    </row>
    <row r="1133" ht="15" customHeight="1">
      <c r="A1133" t="inlineStr">
        <is>
          <t>A 7404-2025</t>
        </is>
      </c>
      <c r="B1133" s="1" t="n">
        <v>45705</v>
      </c>
      <c r="C1133" s="1" t="n">
        <v>45723</v>
      </c>
      <c r="D1133" t="inlineStr">
        <is>
          <t>ÖREBRO LÄN</t>
        </is>
      </c>
      <c r="E1133" t="inlineStr">
        <is>
          <t>ÖREBRO</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7506-2025</t>
        </is>
      </c>
      <c r="B1134" s="1" t="n">
        <v>45705</v>
      </c>
      <c r="C1134" s="1" t="n">
        <v>45723</v>
      </c>
      <c r="D1134" t="inlineStr">
        <is>
          <t>ÖREBRO LÄN</t>
        </is>
      </c>
      <c r="E1134" t="inlineStr">
        <is>
          <t>ÖREBRO</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7632-2025</t>
        </is>
      </c>
      <c r="B1135" s="1" t="n">
        <v>45705</v>
      </c>
      <c r="C1135" s="1" t="n">
        <v>45723</v>
      </c>
      <c r="D1135" t="inlineStr">
        <is>
          <t>ÖREBRO LÄN</t>
        </is>
      </c>
      <c r="E1135" t="inlineStr">
        <is>
          <t>ÖREBRO</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8274-2025</t>
        </is>
      </c>
      <c r="B1136" s="1" t="n">
        <v>45708</v>
      </c>
      <c r="C1136" s="1" t="n">
        <v>45723</v>
      </c>
      <c r="D1136" t="inlineStr">
        <is>
          <t>ÖREBRO LÄN</t>
        </is>
      </c>
      <c r="E1136" t="inlineStr">
        <is>
          <t>ÖREBRO</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8512-2025</t>
        </is>
      </c>
      <c r="B1137" s="1" t="n">
        <v>45709</v>
      </c>
      <c r="C1137" s="1" t="n">
        <v>45723</v>
      </c>
      <c r="D1137" t="inlineStr">
        <is>
          <t>ÖREBRO LÄN</t>
        </is>
      </c>
      <c r="E1137" t="inlineStr">
        <is>
          <t>ÖREBRO</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8656-2025</t>
        </is>
      </c>
      <c r="B1138" s="1" t="n">
        <v>45712</v>
      </c>
      <c r="C1138" s="1" t="n">
        <v>45723</v>
      </c>
      <c r="D1138" t="inlineStr">
        <is>
          <t>ÖREBRO LÄN</t>
        </is>
      </c>
      <c r="E1138" t="inlineStr">
        <is>
          <t>ÖREBRO</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9585-2025</t>
        </is>
      </c>
      <c r="B1139" s="1" t="n">
        <v>45715</v>
      </c>
      <c r="C1139" s="1" t="n">
        <v>45723</v>
      </c>
      <c r="D1139" t="inlineStr">
        <is>
          <t>ÖREBRO LÄN</t>
        </is>
      </c>
      <c r="E1139" t="inlineStr">
        <is>
          <t>ÖREBRO</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9445-2025</t>
        </is>
      </c>
      <c r="B1140" s="1" t="n">
        <v>45715</v>
      </c>
      <c r="C1140" s="1" t="n">
        <v>45723</v>
      </c>
      <c r="D1140" t="inlineStr">
        <is>
          <t>ÖREBRO LÄN</t>
        </is>
      </c>
      <c r="E1140" t="inlineStr">
        <is>
          <t>ÖREBRO</t>
        </is>
      </c>
      <c r="G1140" t="n">
        <v>18.7</v>
      </c>
      <c r="H1140" t="n">
        <v>0</v>
      </c>
      <c r="I1140" t="n">
        <v>0</v>
      </c>
      <c r="J1140" t="n">
        <v>0</v>
      </c>
      <c r="K1140" t="n">
        <v>0</v>
      </c>
      <c r="L1140" t="n">
        <v>0</v>
      </c>
      <c r="M1140" t="n">
        <v>0</v>
      </c>
      <c r="N1140" t="n">
        <v>0</v>
      </c>
      <c r="O1140" t="n">
        <v>0</v>
      </c>
      <c r="P1140" t="n">
        <v>0</v>
      </c>
      <c r="Q1140" t="n">
        <v>0</v>
      </c>
      <c r="R1140" s="2" t="inlineStr"/>
    </row>
    <row r="1141">
      <c r="A1141" t="inlineStr">
        <is>
          <t>A 10470-2025</t>
        </is>
      </c>
      <c r="B1141" s="1" t="n">
        <v>45720</v>
      </c>
      <c r="C1141" s="1" t="n">
        <v>45723</v>
      </c>
      <c r="D1141" t="inlineStr">
        <is>
          <t>ÖREBRO LÄN</t>
        </is>
      </c>
      <c r="E1141" t="inlineStr">
        <is>
          <t>ÖREBRO</t>
        </is>
      </c>
      <c r="G1141" t="n">
        <v>11.5</v>
      </c>
      <c r="H1141" t="n">
        <v>0</v>
      </c>
      <c r="I1141" t="n">
        <v>0</v>
      </c>
      <c r="J1141" t="n">
        <v>0</v>
      </c>
      <c r="K1141" t="n">
        <v>0</v>
      </c>
      <c r="L1141" t="n">
        <v>0</v>
      </c>
      <c r="M1141" t="n">
        <v>0</v>
      </c>
      <c r="N1141" t="n">
        <v>0</v>
      </c>
      <c r="O1141" t="n">
        <v>0</v>
      </c>
      <c r="P1141" t="n">
        <v>0</v>
      </c>
      <c r="Q1141" t="n">
        <v>0</v>
      </c>
      <c r="R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2025-03-07T16:51:13Z</dcterms:created>
  <dcterms:modified xmlns:dcterms="http://purl.org/dc/terms/" xmlns:xsi="http://www.w3.org/2001/XMLSchema-instance" xsi:type="dcterms:W3CDTF">2025-03-07T16:51:14Z</dcterms:modified>
</cp:coreProperties>
</file>