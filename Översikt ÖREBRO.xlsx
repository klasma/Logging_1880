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45892</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45892</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45892</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45892</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45892</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45892</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45892</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45892</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45892</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45892</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57553-2023</t>
        </is>
      </c>
      <c r="B12" s="1" t="n">
        <v>45246</v>
      </c>
      <c r="C12" s="1" t="n">
        <v>45892</v>
      </c>
      <c r="D12" t="inlineStr">
        <is>
          <t>ÖREBRO LÄN</t>
        </is>
      </c>
      <c r="E12" t="inlineStr">
        <is>
          <t>ÖREBRO</t>
        </is>
      </c>
      <c r="G12" t="n">
        <v>4.5</v>
      </c>
      <c r="H12" t="n">
        <v>4</v>
      </c>
      <c r="I12" t="n">
        <v>0</v>
      </c>
      <c r="J12" t="n">
        <v>1</v>
      </c>
      <c r="K12" t="n">
        <v>0</v>
      </c>
      <c r="L12" t="n">
        <v>0</v>
      </c>
      <c r="M12" t="n">
        <v>0</v>
      </c>
      <c r="N12" t="n">
        <v>0</v>
      </c>
      <c r="O12" t="n">
        <v>1</v>
      </c>
      <c r="P12" t="n">
        <v>0</v>
      </c>
      <c r="Q12" t="n">
        <v>4</v>
      </c>
      <c r="R12" s="2" t="inlineStr">
        <is>
          <t>Spillkråka
Gröngöling
Järnsparv
Kungsfågel</t>
        </is>
      </c>
      <c r="S12">
        <f>HYPERLINK("https://klasma.github.io/Logging_1880/artfynd/A 57553-2023 artfynd.xlsx", "A 57553-2023")</f>
        <v/>
      </c>
      <c r="T12">
        <f>HYPERLINK("https://klasma.github.io/Logging_1880/kartor/A 57553-2023 karta.png", "A 57553-2023")</f>
        <v/>
      </c>
      <c r="V12">
        <f>HYPERLINK("https://klasma.github.io/Logging_1880/klagomål/A 57553-2023 FSC-klagomål.docx", "A 57553-2023")</f>
        <v/>
      </c>
      <c r="W12">
        <f>HYPERLINK("https://klasma.github.io/Logging_1880/klagomålsmail/A 57553-2023 FSC-klagomål mail.docx", "A 57553-2023")</f>
        <v/>
      </c>
      <c r="X12">
        <f>HYPERLINK("https://klasma.github.io/Logging_1880/tillsyn/A 57553-2023 tillsynsbegäran.docx", "A 57553-2023")</f>
        <v/>
      </c>
      <c r="Y12">
        <f>HYPERLINK("https://klasma.github.io/Logging_1880/tillsynsmail/A 57553-2023 tillsynsbegäran mail.docx", "A 57553-2023")</f>
        <v/>
      </c>
      <c r="Z12">
        <f>HYPERLINK("https://klasma.github.io/Logging_1880/fåglar/A 57553-2023 prioriterade fågelarter.docx", "A 57553-2023")</f>
        <v/>
      </c>
    </row>
    <row r="13" ht="15" customHeight="1">
      <c r="A13" t="inlineStr">
        <is>
          <t>A 5354-2024</t>
        </is>
      </c>
      <c r="B13" s="1" t="n">
        <v>45331</v>
      </c>
      <c r="C13" s="1" t="n">
        <v>45892</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33069-2025</t>
        </is>
      </c>
      <c r="B14" s="1" t="n">
        <v>45840</v>
      </c>
      <c r="C14" s="1" t="n">
        <v>45892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45892</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45892</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45892</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45892</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575-2024</t>
        </is>
      </c>
      <c r="B19" s="1" t="n">
        <v>45299</v>
      </c>
      <c r="C19" s="1" t="n">
        <v>45892</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45892</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13627-2025</t>
        </is>
      </c>
      <c r="B21" s="1" t="n">
        <v>45736</v>
      </c>
      <c r="C21" s="1" t="n">
        <v>45892</v>
      </c>
      <c r="D21" t="inlineStr">
        <is>
          <t>ÖREBRO LÄN</t>
        </is>
      </c>
      <c r="E21" t="inlineStr">
        <is>
          <t>ÖREBRO</t>
        </is>
      </c>
      <c r="G21" t="n">
        <v>9.6</v>
      </c>
      <c r="H21" t="n">
        <v>3</v>
      </c>
      <c r="I21" t="n">
        <v>0</v>
      </c>
      <c r="J21" t="n">
        <v>1</v>
      </c>
      <c r="K21" t="n">
        <v>0</v>
      </c>
      <c r="L21" t="n">
        <v>0</v>
      </c>
      <c r="M21" t="n">
        <v>0</v>
      </c>
      <c r="N21" t="n">
        <v>0</v>
      </c>
      <c r="O21" t="n">
        <v>1</v>
      </c>
      <c r="P21" t="n">
        <v>0</v>
      </c>
      <c r="Q21" t="n">
        <v>3</v>
      </c>
      <c r="R21" s="2" t="inlineStr">
        <is>
          <t>Spillkråka
Grönsiska
Kungsfågel</t>
        </is>
      </c>
      <c r="S21">
        <f>HYPERLINK("https://klasma.github.io/Logging_1880/artfynd/A 13627-2025 artfynd.xlsx", "A 13627-2025")</f>
        <v/>
      </c>
      <c r="T21">
        <f>HYPERLINK("https://klasma.github.io/Logging_1880/kartor/A 13627-2025 karta.png", "A 13627-2025")</f>
        <v/>
      </c>
      <c r="V21">
        <f>HYPERLINK("https://klasma.github.io/Logging_1880/klagomål/A 13627-2025 FSC-klagomål.docx", "A 13627-2025")</f>
        <v/>
      </c>
      <c r="W21">
        <f>HYPERLINK("https://klasma.github.io/Logging_1880/klagomålsmail/A 13627-2025 FSC-klagomål mail.docx", "A 13627-2025")</f>
        <v/>
      </c>
      <c r="X21">
        <f>HYPERLINK("https://klasma.github.io/Logging_1880/tillsyn/A 13627-2025 tillsynsbegäran.docx", "A 13627-2025")</f>
        <v/>
      </c>
      <c r="Y21">
        <f>HYPERLINK("https://klasma.github.io/Logging_1880/tillsynsmail/A 13627-2025 tillsynsbegäran mail.docx", "A 13627-2025")</f>
        <v/>
      </c>
      <c r="Z21">
        <f>HYPERLINK("https://klasma.github.io/Logging_1880/fåglar/A 13627-2025 prioriterade fågelarter.docx", "A 13627-2025")</f>
        <v/>
      </c>
    </row>
    <row r="22" ht="15" customHeight="1">
      <c r="A22" t="inlineStr">
        <is>
          <t>A 17074-2024</t>
        </is>
      </c>
      <c r="B22" s="1" t="n">
        <v>45412</v>
      </c>
      <c r="C22" s="1" t="n">
        <v>45892</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35098-2025</t>
        </is>
      </c>
      <c r="B23" s="1" t="n">
        <v>45852.5469212963</v>
      </c>
      <c r="C23" s="1" t="n">
        <v>45892</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45892</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45892</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45892</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45892</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37019-2024</t>
        </is>
      </c>
      <c r="B28" s="1" t="n">
        <v>45539.37905092593</v>
      </c>
      <c r="C28" s="1" t="n">
        <v>45892</v>
      </c>
      <c r="D28" t="inlineStr">
        <is>
          <t>ÖREBRO LÄN</t>
        </is>
      </c>
      <c r="E28" t="inlineStr">
        <is>
          <t>ÖREBRO</t>
        </is>
      </c>
      <c r="F28" t="inlineStr">
        <is>
          <t>Sveaskog</t>
        </is>
      </c>
      <c r="G28" t="n">
        <v>1.9</v>
      </c>
      <c r="H28" t="n">
        <v>1</v>
      </c>
      <c r="I28" t="n">
        <v>1</v>
      </c>
      <c r="J28" t="n">
        <v>0</v>
      </c>
      <c r="K28" t="n">
        <v>0</v>
      </c>
      <c r="L28" t="n">
        <v>0</v>
      </c>
      <c r="M28" t="n">
        <v>0</v>
      </c>
      <c r="N28" t="n">
        <v>0</v>
      </c>
      <c r="O28" t="n">
        <v>0</v>
      </c>
      <c r="P28" t="n">
        <v>0</v>
      </c>
      <c r="Q28" t="n">
        <v>2</v>
      </c>
      <c r="R28" s="2" t="inlineStr">
        <is>
          <t>Tibast
Huggorm</t>
        </is>
      </c>
      <c r="S28">
        <f>HYPERLINK("https://klasma.github.io/Logging_1880/artfynd/A 37019-2024 artfynd.xlsx", "A 37019-2024")</f>
        <v/>
      </c>
      <c r="T28">
        <f>HYPERLINK("https://klasma.github.io/Logging_1880/kartor/A 37019-2024 karta.png", "A 37019-2024")</f>
        <v/>
      </c>
      <c r="V28">
        <f>HYPERLINK("https://klasma.github.io/Logging_1880/klagomål/A 37019-2024 FSC-klagomål.docx", "A 37019-2024")</f>
        <v/>
      </c>
      <c r="W28">
        <f>HYPERLINK("https://klasma.github.io/Logging_1880/klagomålsmail/A 37019-2024 FSC-klagomål mail.docx", "A 37019-2024")</f>
        <v/>
      </c>
      <c r="X28">
        <f>HYPERLINK("https://klasma.github.io/Logging_1880/tillsyn/A 37019-2024 tillsynsbegäran.docx", "A 37019-2024")</f>
        <v/>
      </c>
      <c r="Y28">
        <f>HYPERLINK("https://klasma.github.io/Logging_1880/tillsynsmail/A 37019-2024 tillsynsbegäran mail.docx", "A 37019-2024")</f>
        <v/>
      </c>
    </row>
    <row r="29" ht="15" customHeight="1">
      <c r="A29" t="inlineStr">
        <is>
          <t>A 14173-2024</t>
        </is>
      </c>
      <c r="B29" s="1" t="n">
        <v>45393.2716087963</v>
      </c>
      <c r="C29" s="1" t="n">
        <v>45892</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45892</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8267-2021</t>
        </is>
      </c>
      <c r="B31" s="1" t="n">
        <v>44244</v>
      </c>
      <c r="C31" s="1" t="n">
        <v>45892</v>
      </c>
      <c r="D31" t="inlineStr">
        <is>
          <t>ÖREBRO LÄN</t>
        </is>
      </c>
      <c r="E31" t="inlineStr">
        <is>
          <t>ÖREBRO</t>
        </is>
      </c>
      <c r="G31" t="n">
        <v>2.5</v>
      </c>
      <c r="H31" t="n">
        <v>1</v>
      </c>
      <c r="I31" t="n">
        <v>1</v>
      </c>
      <c r="J31" t="n">
        <v>0</v>
      </c>
      <c r="K31" t="n">
        <v>0</v>
      </c>
      <c r="L31" t="n">
        <v>0</v>
      </c>
      <c r="M31" t="n">
        <v>0</v>
      </c>
      <c r="N31" t="n">
        <v>0</v>
      </c>
      <c r="O31" t="n">
        <v>0</v>
      </c>
      <c r="P31" t="n">
        <v>0</v>
      </c>
      <c r="Q31" t="n">
        <v>2</v>
      </c>
      <c r="R31" s="2" t="inlineStr">
        <is>
          <t>Svart trolldruva
Blåsippa</t>
        </is>
      </c>
      <c r="S31">
        <f>HYPERLINK("https://klasma.github.io/Logging_1880/artfynd/A 8267-2021 artfynd.xlsx", "A 8267-2021")</f>
        <v/>
      </c>
      <c r="T31">
        <f>HYPERLINK("https://klasma.github.io/Logging_1880/kartor/A 8267-2021 karta.png", "A 8267-2021")</f>
        <v/>
      </c>
      <c r="V31">
        <f>HYPERLINK("https://klasma.github.io/Logging_1880/klagomål/A 8267-2021 FSC-klagomål.docx", "A 8267-2021")</f>
        <v/>
      </c>
      <c r="W31">
        <f>HYPERLINK("https://klasma.github.io/Logging_1880/klagomålsmail/A 8267-2021 FSC-klagomål mail.docx", "A 8267-2021")</f>
        <v/>
      </c>
      <c r="X31">
        <f>HYPERLINK("https://klasma.github.io/Logging_1880/tillsyn/A 8267-2021 tillsynsbegäran.docx", "A 8267-2021")</f>
        <v/>
      </c>
      <c r="Y31">
        <f>HYPERLINK("https://klasma.github.io/Logging_1880/tillsynsmail/A 8267-2021 tillsynsbegäran mail.docx", "A 8267-2021")</f>
        <v/>
      </c>
    </row>
    <row r="32" ht="15" customHeight="1">
      <c r="A32" t="inlineStr">
        <is>
          <t>A 13395-2024</t>
        </is>
      </c>
      <c r="B32" s="1" t="n">
        <v>45387.42296296296</v>
      </c>
      <c r="C32" s="1" t="n">
        <v>45892</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45892</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30409-2025</t>
        </is>
      </c>
      <c r="B34" s="1" t="n">
        <v>45827.59738425926</v>
      </c>
      <c r="C34" s="1" t="n">
        <v>45892</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13458-2024</t>
        </is>
      </c>
      <c r="B35" s="1" t="n">
        <v>45387.54642361111</v>
      </c>
      <c r="C35" s="1" t="n">
        <v>45892</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45892</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45892</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45892</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45892</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45892</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20247-2023</t>
        </is>
      </c>
      <c r="B41" s="1" t="n">
        <v>45055</v>
      </c>
      <c r="C41" s="1" t="n">
        <v>45892</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44389-2021</t>
        </is>
      </c>
      <c r="B42" s="1" t="n">
        <v>44435</v>
      </c>
      <c r="C42" s="1" t="n">
        <v>45892</v>
      </c>
      <c r="D42" t="inlineStr">
        <is>
          <t>ÖREBRO LÄN</t>
        </is>
      </c>
      <c r="E42" t="inlineStr">
        <is>
          <t>ÖREBRO</t>
        </is>
      </c>
      <c r="G42" t="n">
        <v>2.2</v>
      </c>
      <c r="H42" t="n">
        <v>1</v>
      </c>
      <c r="I42" t="n">
        <v>0</v>
      </c>
      <c r="J42" t="n">
        <v>0</v>
      </c>
      <c r="K42" t="n">
        <v>1</v>
      </c>
      <c r="L42" t="n">
        <v>0</v>
      </c>
      <c r="M42" t="n">
        <v>0</v>
      </c>
      <c r="N42" t="n">
        <v>0</v>
      </c>
      <c r="O42" t="n">
        <v>1</v>
      </c>
      <c r="P42" t="n">
        <v>1</v>
      </c>
      <c r="Q42" t="n">
        <v>1</v>
      </c>
      <c r="R42" s="2" t="inlineStr">
        <is>
          <t>Knärot</t>
        </is>
      </c>
      <c r="S42">
        <f>HYPERLINK("https://klasma.github.io/Logging_1880/artfynd/A 44389-2021 artfynd.xlsx", "A 44389-2021")</f>
        <v/>
      </c>
      <c r="T42">
        <f>HYPERLINK("https://klasma.github.io/Logging_1880/kartor/A 44389-2021 karta.png", "A 44389-2021")</f>
        <v/>
      </c>
      <c r="U42">
        <f>HYPERLINK("https://klasma.github.io/Logging_1880/knärot/A 44389-2021 karta knärot.png", "A 44389-2021")</f>
        <v/>
      </c>
      <c r="V42">
        <f>HYPERLINK("https://klasma.github.io/Logging_1880/klagomål/A 44389-2021 FSC-klagomål.docx", "A 44389-2021")</f>
        <v/>
      </c>
      <c r="W42">
        <f>HYPERLINK("https://klasma.github.io/Logging_1880/klagomålsmail/A 44389-2021 FSC-klagomål mail.docx", "A 44389-2021")</f>
        <v/>
      </c>
      <c r="X42">
        <f>HYPERLINK("https://klasma.github.io/Logging_1880/tillsyn/A 44389-2021 tillsynsbegäran.docx", "A 44389-2021")</f>
        <v/>
      </c>
      <c r="Y42">
        <f>HYPERLINK("https://klasma.github.io/Logging_1880/tillsynsmail/A 44389-2021 tillsynsbegäran mail.docx", "A 44389-2021")</f>
        <v/>
      </c>
    </row>
    <row r="43" ht="15" customHeight="1">
      <c r="A43" t="inlineStr">
        <is>
          <t>A 20032-2023</t>
        </is>
      </c>
      <c r="B43" s="1" t="n">
        <v>45054</v>
      </c>
      <c r="C43" s="1" t="n">
        <v>45892</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22604-2024</t>
        </is>
      </c>
      <c r="B44" s="1" t="n">
        <v>45447</v>
      </c>
      <c r="C44" s="1" t="n">
        <v>45892</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45892</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45892</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45892</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2077-2023</t>
        </is>
      </c>
      <c r="B48" s="1" t="n">
        <v>44939</v>
      </c>
      <c r="C48" s="1" t="n">
        <v>45892</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4014-2021</t>
        </is>
      </c>
      <c r="B49" s="1" t="n">
        <v>44218</v>
      </c>
      <c r="C49" s="1" t="n">
        <v>45892</v>
      </c>
      <c r="D49" t="inlineStr">
        <is>
          <t>ÖREBRO LÄN</t>
        </is>
      </c>
      <c r="E49" t="inlineStr">
        <is>
          <t>ÖREBRO</t>
        </is>
      </c>
      <c r="G49" t="n">
        <v>10.5</v>
      </c>
      <c r="H49" t="n">
        <v>0</v>
      </c>
      <c r="I49" t="n">
        <v>1</v>
      </c>
      <c r="J49" t="n">
        <v>0</v>
      </c>
      <c r="K49" t="n">
        <v>0</v>
      </c>
      <c r="L49" t="n">
        <v>0</v>
      </c>
      <c r="M49" t="n">
        <v>0</v>
      </c>
      <c r="N49" t="n">
        <v>0</v>
      </c>
      <c r="O49" t="n">
        <v>0</v>
      </c>
      <c r="P49" t="n">
        <v>0</v>
      </c>
      <c r="Q49" t="n">
        <v>1</v>
      </c>
      <c r="R49" s="2" t="inlineStr">
        <is>
          <t>Springkorn</t>
        </is>
      </c>
      <c r="S49">
        <f>HYPERLINK("https://klasma.github.io/Logging_1880/artfynd/A 4014-2021 artfynd.xlsx", "A 4014-2021")</f>
        <v/>
      </c>
      <c r="T49">
        <f>HYPERLINK("https://klasma.github.io/Logging_1880/kartor/A 4014-2021 karta.png", "A 4014-2021")</f>
        <v/>
      </c>
      <c r="V49">
        <f>HYPERLINK("https://klasma.github.io/Logging_1880/klagomål/A 4014-2021 FSC-klagomål.docx", "A 4014-2021")</f>
        <v/>
      </c>
      <c r="W49">
        <f>HYPERLINK("https://klasma.github.io/Logging_1880/klagomålsmail/A 4014-2021 FSC-klagomål mail.docx", "A 4014-2021")</f>
        <v/>
      </c>
      <c r="X49">
        <f>HYPERLINK("https://klasma.github.io/Logging_1880/tillsyn/A 4014-2021 tillsynsbegäran.docx", "A 4014-2021")</f>
        <v/>
      </c>
      <c r="Y49">
        <f>HYPERLINK("https://klasma.github.io/Logging_1880/tillsynsmail/A 4014-2021 tillsynsbegäran mail.docx", "A 4014-2021")</f>
        <v/>
      </c>
    </row>
    <row r="50" ht="15" customHeight="1">
      <c r="A50" t="inlineStr">
        <is>
          <t>A 44744-2024</t>
        </is>
      </c>
      <c r="B50" s="1" t="n">
        <v>45574.59789351852</v>
      </c>
      <c r="C50" s="1" t="n">
        <v>45892</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55904-2024</t>
        </is>
      </c>
      <c r="B51" s="1" t="n">
        <v>45623.58190972222</v>
      </c>
      <c r="C51" s="1" t="n">
        <v>45892</v>
      </c>
      <c r="D51" t="inlineStr">
        <is>
          <t>ÖREBRO LÄN</t>
        </is>
      </c>
      <c r="E51" t="inlineStr">
        <is>
          <t>ÖREBRO</t>
        </is>
      </c>
      <c r="G51" t="n">
        <v>1.2</v>
      </c>
      <c r="H51" t="n">
        <v>1</v>
      </c>
      <c r="I51" t="n">
        <v>0</v>
      </c>
      <c r="J51" t="n">
        <v>0</v>
      </c>
      <c r="K51" t="n">
        <v>0</v>
      </c>
      <c r="L51" t="n">
        <v>0</v>
      </c>
      <c r="M51" t="n">
        <v>0</v>
      </c>
      <c r="N51" t="n">
        <v>0</v>
      </c>
      <c r="O51" t="n">
        <v>0</v>
      </c>
      <c r="P51" t="n">
        <v>0</v>
      </c>
      <c r="Q51" t="n">
        <v>1</v>
      </c>
      <c r="R51" s="2" t="inlineStr">
        <is>
          <t>Trana</t>
        </is>
      </c>
      <c r="S51">
        <f>HYPERLINK("https://klasma.github.io/Logging_1880/artfynd/A 55904-2024 artfynd.xlsx", "A 55904-2024")</f>
        <v/>
      </c>
      <c r="T51">
        <f>HYPERLINK("https://klasma.github.io/Logging_1880/kartor/A 55904-2024 karta.png", "A 55904-2024")</f>
        <v/>
      </c>
      <c r="V51">
        <f>HYPERLINK("https://klasma.github.io/Logging_1880/klagomål/A 55904-2024 FSC-klagomål.docx", "A 55904-2024")</f>
        <v/>
      </c>
      <c r="W51">
        <f>HYPERLINK("https://klasma.github.io/Logging_1880/klagomålsmail/A 55904-2024 FSC-klagomål mail.docx", "A 55904-2024")</f>
        <v/>
      </c>
      <c r="X51">
        <f>HYPERLINK("https://klasma.github.io/Logging_1880/tillsyn/A 55904-2024 tillsynsbegäran.docx", "A 55904-2024")</f>
        <v/>
      </c>
      <c r="Y51">
        <f>HYPERLINK("https://klasma.github.io/Logging_1880/tillsynsmail/A 55904-2024 tillsynsbegäran mail.docx", "A 55904-2024")</f>
        <v/>
      </c>
      <c r="Z51">
        <f>HYPERLINK("https://klasma.github.io/Logging_1880/fåglar/A 55904-2024 prioriterade fågelarter.docx", "A 55904-2024")</f>
        <v/>
      </c>
    </row>
    <row r="52" ht="15" customHeight="1">
      <c r="A52" t="inlineStr">
        <is>
          <t>A 23998-2025</t>
        </is>
      </c>
      <c r="B52" s="1" t="n">
        <v>45796.42209490741</v>
      </c>
      <c r="C52" s="1" t="n">
        <v>45892</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15621-2021</t>
        </is>
      </c>
      <c r="B53" s="1" t="n">
        <v>44285</v>
      </c>
      <c r="C53" s="1" t="n">
        <v>45892</v>
      </c>
      <c r="D53" t="inlineStr">
        <is>
          <t>ÖREBRO LÄN</t>
        </is>
      </c>
      <c r="E53" t="inlineStr">
        <is>
          <t>ÖREBRO</t>
        </is>
      </c>
      <c r="G53" t="n">
        <v>2.8</v>
      </c>
      <c r="H53" t="n">
        <v>1</v>
      </c>
      <c r="I53" t="n">
        <v>0</v>
      </c>
      <c r="J53" t="n">
        <v>0</v>
      </c>
      <c r="K53" t="n">
        <v>0</v>
      </c>
      <c r="L53" t="n">
        <v>0</v>
      </c>
      <c r="M53" t="n">
        <v>0</v>
      </c>
      <c r="N53" t="n">
        <v>0</v>
      </c>
      <c r="O53" t="n">
        <v>0</v>
      </c>
      <c r="P53" t="n">
        <v>0</v>
      </c>
      <c r="Q53" t="n">
        <v>1</v>
      </c>
      <c r="R53" s="2" t="inlineStr">
        <is>
          <t>Fläcknycklar</t>
        </is>
      </c>
      <c r="S53">
        <f>HYPERLINK("https://klasma.github.io/Logging_1880/artfynd/A 15621-2021 artfynd.xlsx", "A 15621-2021")</f>
        <v/>
      </c>
      <c r="T53">
        <f>HYPERLINK("https://klasma.github.io/Logging_1880/kartor/A 15621-2021 karta.png", "A 15621-2021")</f>
        <v/>
      </c>
      <c r="V53">
        <f>HYPERLINK("https://klasma.github.io/Logging_1880/klagomål/A 15621-2021 FSC-klagomål.docx", "A 15621-2021")</f>
        <v/>
      </c>
      <c r="W53">
        <f>HYPERLINK("https://klasma.github.io/Logging_1880/klagomålsmail/A 15621-2021 FSC-klagomål mail.docx", "A 15621-2021")</f>
        <v/>
      </c>
      <c r="X53">
        <f>HYPERLINK("https://klasma.github.io/Logging_1880/tillsyn/A 15621-2021 tillsynsbegäran.docx", "A 15621-2021")</f>
        <v/>
      </c>
      <c r="Y53">
        <f>HYPERLINK("https://klasma.github.io/Logging_1880/tillsynsmail/A 15621-2021 tillsynsbegäran mail.docx", "A 15621-2021")</f>
        <v/>
      </c>
    </row>
    <row r="54" ht="15" customHeight="1">
      <c r="A54" t="inlineStr">
        <is>
          <t>A 30725-2023</t>
        </is>
      </c>
      <c r="B54" s="1" t="n">
        <v>45112.61451388889</v>
      </c>
      <c r="C54" s="1" t="n">
        <v>45892</v>
      </c>
      <c r="D54" t="inlineStr">
        <is>
          <t>ÖREBRO LÄN</t>
        </is>
      </c>
      <c r="E54" t="inlineStr">
        <is>
          <t>ÖREBRO</t>
        </is>
      </c>
      <c r="G54" t="n">
        <v>1.8</v>
      </c>
      <c r="H54" t="n">
        <v>1</v>
      </c>
      <c r="I54" t="n">
        <v>0</v>
      </c>
      <c r="J54" t="n">
        <v>1</v>
      </c>
      <c r="K54" t="n">
        <v>0</v>
      </c>
      <c r="L54" t="n">
        <v>0</v>
      </c>
      <c r="M54" t="n">
        <v>0</v>
      </c>
      <c r="N54" t="n">
        <v>0</v>
      </c>
      <c r="O54" t="n">
        <v>1</v>
      </c>
      <c r="P54" t="n">
        <v>0</v>
      </c>
      <c r="Q54" t="n">
        <v>1</v>
      </c>
      <c r="R54" s="2" t="inlineStr">
        <is>
          <t>Gulsparv</t>
        </is>
      </c>
      <c r="S54">
        <f>HYPERLINK("https://klasma.github.io/Logging_1880/artfynd/A 30725-2023 artfynd.xlsx", "A 30725-2023")</f>
        <v/>
      </c>
      <c r="T54">
        <f>HYPERLINK("https://klasma.github.io/Logging_1880/kartor/A 30725-2023 karta.png", "A 30725-2023")</f>
        <v/>
      </c>
      <c r="V54">
        <f>HYPERLINK("https://klasma.github.io/Logging_1880/klagomål/A 30725-2023 FSC-klagomål.docx", "A 30725-2023")</f>
        <v/>
      </c>
      <c r="W54">
        <f>HYPERLINK("https://klasma.github.io/Logging_1880/klagomålsmail/A 30725-2023 FSC-klagomål mail.docx", "A 30725-2023")</f>
        <v/>
      </c>
      <c r="X54">
        <f>HYPERLINK("https://klasma.github.io/Logging_1880/tillsyn/A 30725-2023 tillsynsbegäran.docx", "A 30725-2023")</f>
        <v/>
      </c>
      <c r="Y54">
        <f>HYPERLINK("https://klasma.github.io/Logging_1880/tillsynsmail/A 30725-2023 tillsynsbegäran mail.docx", "A 30725-2023")</f>
        <v/>
      </c>
      <c r="Z54">
        <f>HYPERLINK("https://klasma.github.io/Logging_1880/fåglar/A 30725-2023 prioriterade fågelarter.docx", "A 30725-2023")</f>
        <v/>
      </c>
    </row>
    <row r="55" ht="15" customHeight="1">
      <c r="A55" t="inlineStr">
        <is>
          <t>A 28936-2025</t>
        </is>
      </c>
      <c r="B55" s="1" t="n">
        <v>45820.69287037037</v>
      </c>
      <c r="C55" s="1" t="n">
        <v>45892</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32204-2025</t>
        </is>
      </c>
      <c r="B56" s="1" t="n">
        <v>45835.58074074074</v>
      </c>
      <c r="C56" s="1" t="n">
        <v>45892</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45892</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26890-2022</t>
        </is>
      </c>
      <c r="B58" s="1" t="n">
        <v>44740</v>
      </c>
      <c r="C58" s="1" t="n">
        <v>45892</v>
      </c>
      <c r="D58" t="inlineStr">
        <is>
          <t>ÖREBRO LÄN</t>
        </is>
      </c>
      <c r="E58" t="inlineStr">
        <is>
          <t>ÖREBRO</t>
        </is>
      </c>
      <c r="G58" t="n">
        <v>4.2</v>
      </c>
      <c r="H58" t="n">
        <v>1</v>
      </c>
      <c r="I58" t="n">
        <v>0</v>
      </c>
      <c r="J58" t="n">
        <v>0</v>
      </c>
      <c r="K58" t="n">
        <v>1</v>
      </c>
      <c r="L58" t="n">
        <v>0</v>
      </c>
      <c r="M58" t="n">
        <v>0</v>
      </c>
      <c r="N58" t="n">
        <v>0</v>
      </c>
      <c r="O58" t="n">
        <v>1</v>
      </c>
      <c r="P58" t="n">
        <v>1</v>
      </c>
      <c r="Q58" t="n">
        <v>1</v>
      </c>
      <c r="R58" s="2" t="inlineStr">
        <is>
          <t>Hällebräcka</t>
        </is>
      </c>
      <c r="S58">
        <f>HYPERLINK("https://klasma.github.io/Logging_1880/artfynd/A 26890-2022 artfynd.xlsx", "A 26890-2022")</f>
        <v/>
      </c>
      <c r="T58">
        <f>HYPERLINK("https://klasma.github.io/Logging_1880/kartor/A 26890-2022 karta.png", "A 26890-2022")</f>
        <v/>
      </c>
      <c r="V58">
        <f>HYPERLINK("https://klasma.github.io/Logging_1880/klagomål/A 26890-2022 FSC-klagomål.docx", "A 26890-2022")</f>
        <v/>
      </c>
      <c r="W58">
        <f>HYPERLINK("https://klasma.github.io/Logging_1880/klagomålsmail/A 26890-2022 FSC-klagomål mail.docx", "A 26890-2022")</f>
        <v/>
      </c>
      <c r="X58">
        <f>HYPERLINK("https://klasma.github.io/Logging_1880/tillsyn/A 26890-2022 tillsynsbegäran.docx", "A 26890-2022")</f>
        <v/>
      </c>
      <c r="Y58">
        <f>HYPERLINK("https://klasma.github.io/Logging_1880/tillsynsmail/A 26890-2022 tillsynsbegäran mail.docx", "A 26890-2022")</f>
        <v/>
      </c>
    </row>
    <row r="59" ht="15" customHeight="1">
      <c r="A59" t="inlineStr">
        <is>
          <t>A 31695-2024</t>
        </is>
      </c>
      <c r="B59" s="1" t="n">
        <v>45508</v>
      </c>
      <c r="C59" s="1" t="n">
        <v>45892</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43332-2022</t>
        </is>
      </c>
      <c r="B60" s="1" t="n">
        <v>44834</v>
      </c>
      <c r="C60" s="1" t="n">
        <v>45892</v>
      </c>
      <c r="D60" t="inlineStr">
        <is>
          <t>ÖREBRO LÄN</t>
        </is>
      </c>
      <c r="E60" t="inlineStr">
        <is>
          <t>ÖREBRO</t>
        </is>
      </c>
      <c r="G60" t="n">
        <v>2.3</v>
      </c>
      <c r="H60" t="n">
        <v>1</v>
      </c>
      <c r="I60" t="n">
        <v>0</v>
      </c>
      <c r="J60" t="n">
        <v>1</v>
      </c>
      <c r="K60" t="n">
        <v>0</v>
      </c>
      <c r="L60" t="n">
        <v>0</v>
      </c>
      <c r="M60" t="n">
        <v>0</v>
      </c>
      <c r="N60" t="n">
        <v>0</v>
      </c>
      <c r="O60" t="n">
        <v>1</v>
      </c>
      <c r="P60" t="n">
        <v>0</v>
      </c>
      <c r="Q60" t="n">
        <v>1</v>
      </c>
      <c r="R60" s="2" t="inlineStr">
        <is>
          <t>Spillkråka</t>
        </is>
      </c>
      <c r="S60">
        <f>HYPERLINK("https://klasma.github.io/Logging_1880/artfynd/A 43332-2022 artfynd.xlsx", "A 43332-2022")</f>
        <v/>
      </c>
      <c r="T60">
        <f>HYPERLINK("https://klasma.github.io/Logging_1880/kartor/A 43332-2022 karta.png", "A 43332-2022")</f>
        <v/>
      </c>
      <c r="V60">
        <f>HYPERLINK("https://klasma.github.io/Logging_1880/klagomål/A 43332-2022 FSC-klagomål.docx", "A 43332-2022")</f>
        <v/>
      </c>
      <c r="W60">
        <f>HYPERLINK("https://klasma.github.io/Logging_1880/klagomålsmail/A 43332-2022 FSC-klagomål mail.docx", "A 43332-2022")</f>
        <v/>
      </c>
      <c r="X60">
        <f>HYPERLINK("https://klasma.github.io/Logging_1880/tillsyn/A 43332-2022 tillsynsbegäran.docx", "A 43332-2022")</f>
        <v/>
      </c>
      <c r="Y60">
        <f>HYPERLINK("https://klasma.github.io/Logging_1880/tillsynsmail/A 43332-2022 tillsynsbegäran mail.docx", "A 43332-2022")</f>
        <v/>
      </c>
      <c r="Z60">
        <f>HYPERLINK("https://klasma.github.io/Logging_1880/fåglar/A 43332-2022 prioriterade fågelarter.docx", "A 43332-2022")</f>
        <v/>
      </c>
    </row>
    <row r="61" ht="15" customHeight="1">
      <c r="A61" t="inlineStr">
        <is>
          <t>A 5097-2023</t>
        </is>
      </c>
      <c r="B61" s="1" t="n">
        <v>44958</v>
      </c>
      <c r="C61" s="1" t="n">
        <v>45892</v>
      </c>
      <c r="D61" t="inlineStr">
        <is>
          <t>ÖREBRO LÄN</t>
        </is>
      </c>
      <c r="E61" t="inlineStr">
        <is>
          <t>ÖREBRO</t>
        </is>
      </c>
      <c r="G61" t="n">
        <v>3.6</v>
      </c>
      <c r="H61" t="n">
        <v>1</v>
      </c>
      <c r="I61" t="n">
        <v>0</v>
      </c>
      <c r="J61" t="n">
        <v>0</v>
      </c>
      <c r="K61" t="n">
        <v>0</v>
      </c>
      <c r="L61" t="n">
        <v>0</v>
      </c>
      <c r="M61" t="n">
        <v>0</v>
      </c>
      <c r="N61" t="n">
        <v>0</v>
      </c>
      <c r="O61" t="n">
        <v>0</v>
      </c>
      <c r="P61" t="n">
        <v>0</v>
      </c>
      <c r="Q61" t="n">
        <v>1</v>
      </c>
      <c r="R61" s="2" t="inlineStr">
        <is>
          <t>Grönvit nattviol</t>
        </is>
      </c>
      <c r="S61">
        <f>HYPERLINK("https://klasma.github.io/Logging_1880/artfynd/A 5097-2023 artfynd.xlsx", "A 5097-2023")</f>
        <v/>
      </c>
      <c r="T61">
        <f>HYPERLINK("https://klasma.github.io/Logging_1880/kartor/A 5097-2023 karta.png", "A 5097-2023")</f>
        <v/>
      </c>
      <c r="V61">
        <f>HYPERLINK("https://klasma.github.io/Logging_1880/klagomål/A 5097-2023 FSC-klagomål.docx", "A 5097-2023")</f>
        <v/>
      </c>
      <c r="W61">
        <f>HYPERLINK("https://klasma.github.io/Logging_1880/klagomålsmail/A 5097-2023 FSC-klagomål mail.docx", "A 5097-2023")</f>
        <v/>
      </c>
      <c r="X61">
        <f>HYPERLINK("https://klasma.github.io/Logging_1880/tillsyn/A 5097-2023 tillsynsbegäran.docx", "A 5097-2023")</f>
        <v/>
      </c>
      <c r="Y61">
        <f>HYPERLINK("https://klasma.github.io/Logging_1880/tillsynsmail/A 5097-2023 tillsynsbegäran mail.docx", "A 5097-2023")</f>
        <v/>
      </c>
    </row>
    <row r="62" ht="15" customHeight="1">
      <c r="A62" t="inlineStr">
        <is>
          <t>A 32105-2023</t>
        </is>
      </c>
      <c r="B62" s="1" t="n">
        <v>45119</v>
      </c>
      <c r="C62" s="1" t="n">
        <v>45892</v>
      </c>
      <c r="D62" t="inlineStr">
        <is>
          <t>ÖREBRO LÄN</t>
        </is>
      </c>
      <c r="E62" t="inlineStr">
        <is>
          <t>ÖREBRO</t>
        </is>
      </c>
      <c r="G62" t="n">
        <v>1.3</v>
      </c>
      <c r="H62" t="n">
        <v>1</v>
      </c>
      <c r="I62" t="n">
        <v>0</v>
      </c>
      <c r="J62" t="n">
        <v>1</v>
      </c>
      <c r="K62" t="n">
        <v>0</v>
      </c>
      <c r="L62" t="n">
        <v>0</v>
      </c>
      <c r="M62" t="n">
        <v>0</v>
      </c>
      <c r="N62" t="n">
        <v>0</v>
      </c>
      <c r="O62" t="n">
        <v>1</v>
      </c>
      <c r="P62" t="n">
        <v>0</v>
      </c>
      <c r="Q62" t="n">
        <v>1</v>
      </c>
      <c r="R62" s="2" t="inlineStr">
        <is>
          <t>Rödvingetrast</t>
        </is>
      </c>
      <c r="S62">
        <f>HYPERLINK("https://klasma.github.io/Logging_1880/artfynd/A 32105-2023 artfynd.xlsx", "A 32105-2023")</f>
        <v/>
      </c>
      <c r="T62">
        <f>HYPERLINK("https://klasma.github.io/Logging_1880/kartor/A 32105-2023 karta.png", "A 32105-2023")</f>
        <v/>
      </c>
      <c r="V62">
        <f>HYPERLINK("https://klasma.github.io/Logging_1880/klagomål/A 32105-2023 FSC-klagomål.docx", "A 32105-2023")</f>
        <v/>
      </c>
      <c r="W62">
        <f>HYPERLINK("https://klasma.github.io/Logging_1880/klagomålsmail/A 32105-2023 FSC-klagomål mail.docx", "A 32105-2023")</f>
        <v/>
      </c>
      <c r="X62">
        <f>HYPERLINK("https://klasma.github.io/Logging_1880/tillsyn/A 32105-2023 tillsynsbegäran.docx", "A 32105-2023")</f>
        <v/>
      </c>
      <c r="Y62">
        <f>HYPERLINK("https://klasma.github.io/Logging_1880/tillsynsmail/A 32105-2023 tillsynsbegäran mail.docx", "A 32105-2023")</f>
        <v/>
      </c>
      <c r="Z62">
        <f>HYPERLINK("https://klasma.github.io/Logging_1880/fåglar/A 32105-2023 prioriterade fågelarter.docx", "A 32105-2023")</f>
        <v/>
      </c>
    </row>
    <row r="63" ht="15" customHeight="1">
      <c r="A63" t="inlineStr">
        <is>
          <t>A 9406-2021</t>
        </is>
      </c>
      <c r="B63" s="1" t="n">
        <v>44251</v>
      </c>
      <c r="C63" s="1" t="n">
        <v>45892</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45892</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45892</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45892</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23606-2021</t>
        </is>
      </c>
      <c r="B67" s="1" t="n">
        <v>44334</v>
      </c>
      <c r="C67" s="1" t="n">
        <v>45892</v>
      </c>
      <c r="D67" t="inlineStr">
        <is>
          <t>ÖREBRO LÄN</t>
        </is>
      </c>
      <c r="E67" t="inlineStr">
        <is>
          <t>ÖREBRO</t>
        </is>
      </c>
      <c r="G67" t="n">
        <v>2.4</v>
      </c>
      <c r="H67" t="n">
        <v>0</v>
      </c>
      <c r="I67" t="n">
        <v>0</v>
      </c>
      <c r="J67" t="n">
        <v>0</v>
      </c>
      <c r="K67" t="n">
        <v>0</v>
      </c>
      <c r="L67" t="n">
        <v>0</v>
      </c>
      <c r="M67" t="n">
        <v>0</v>
      </c>
      <c r="N67" t="n">
        <v>0</v>
      </c>
      <c r="O67" t="n">
        <v>0</v>
      </c>
      <c r="P67" t="n">
        <v>0</v>
      </c>
      <c r="Q67" t="n">
        <v>0</v>
      </c>
      <c r="R67" s="2" t="inlineStr"/>
    </row>
    <row r="68" ht="15" customHeight="1">
      <c r="A68" t="inlineStr">
        <is>
          <t>A 54288-2020</t>
        </is>
      </c>
      <c r="B68" s="1" t="n">
        <v>44124</v>
      </c>
      <c r="C68" s="1" t="n">
        <v>45892</v>
      </c>
      <c r="D68" t="inlineStr">
        <is>
          <t>ÖREBRO LÄN</t>
        </is>
      </c>
      <c r="E68" t="inlineStr">
        <is>
          <t>ÖREBRO</t>
        </is>
      </c>
      <c r="G68" t="n">
        <v>0.5</v>
      </c>
      <c r="H68" t="n">
        <v>0</v>
      </c>
      <c r="I68" t="n">
        <v>0</v>
      </c>
      <c r="J68" t="n">
        <v>0</v>
      </c>
      <c r="K68" t="n">
        <v>0</v>
      </c>
      <c r="L68" t="n">
        <v>0</v>
      </c>
      <c r="M68" t="n">
        <v>0</v>
      </c>
      <c r="N68" t="n">
        <v>0</v>
      </c>
      <c r="O68" t="n">
        <v>0</v>
      </c>
      <c r="P68" t="n">
        <v>0</v>
      </c>
      <c r="Q68" t="n">
        <v>0</v>
      </c>
      <c r="R68" s="2" t="inlineStr"/>
    </row>
    <row r="69" ht="15" customHeight="1">
      <c r="A69" t="inlineStr">
        <is>
          <t>A 44966-2020</t>
        </is>
      </c>
      <c r="B69" s="1" t="n">
        <v>44088.40716435185</v>
      </c>
      <c r="C69" s="1" t="n">
        <v>45892</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48109-2020</t>
        </is>
      </c>
      <c r="B70" s="1" t="n">
        <v>44101</v>
      </c>
      <c r="C70" s="1" t="n">
        <v>45892</v>
      </c>
      <c r="D70" t="inlineStr">
        <is>
          <t>ÖREBRO LÄN</t>
        </is>
      </c>
      <c r="E70" t="inlineStr">
        <is>
          <t>ÖREBRO</t>
        </is>
      </c>
      <c r="G70" t="n">
        <v>0.7</v>
      </c>
      <c r="H70" t="n">
        <v>0</v>
      </c>
      <c r="I70" t="n">
        <v>0</v>
      </c>
      <c r="J70" t="n">
        <v>0</v>
      </c>
      <c r="K70" t="n">
        <v>0</v>
      </c>
      <c r="L70" t="n">
        <v>0</v>
      </c>
      <c r="M70" t="n">
        <v>0</v>
      </c>
      <c r="N70" t="n">
        <v>0</v>
      </c>
      <c r="O70" t="n">
        <v>0</v>
      </c>
      <c r="P70" t="n">
        <v>0</v>
      </c>
      <c r="Q70" t="n">
        <v>0</v>
      </c>
      <c r="R70" s="2" t="inlineStr"/>
    </row>
    <row r="71" ht="15" customHeight="1">
      <c r="A71" t="inlineStr">
        <is>
          <t>A 46053-2020</t>
        </is>
      </c>
      <c r="B71" s="1" t="n">
        <v>44088</v>
      </c>
      <c r="C71" s="1" t="n">
        <v>45892</v>
      </c>
      <c r="D71" t="inlineStr">
        <is>
          <t>ÖREBRO LÄN</t>
        </is>
      </c>
      <c r="E71" t="inlineStr">
        <is>
          <t>ÖREBRO</t>
        </is>
      </c>
      <c r="G71" t="n">
        <v>0.9</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45892</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45892</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13760-2021</t>
        </is>
      </c>
      <c r="B74" s="1" t="n">
        <v>44274</v>
      </c>
      <c r="C74" s="1" t="n">
        <v>45892</v>
      </c>
      <c r="D74" t="inlineStr">
        <is>
          <t>ÖREBRO LÄN</t>
        </is>
      </c>
      <c r="E74" t="inlineStr">
        <is>
          <t>ÖREBRO</t>
        </is>
      </c>
      <c r="G74" t="n">
        <v>2.1</v>
      </c>
      <c r="H74" t="n">
        <v>0</v>
      </c>
      <c r="I74" t="n">
        <v>0</v>
      </c>
      <c r="J74" t="n">
        <v>0</v>
      </c>
      <c r="K74" t="n">
        <v>0</v>
      </c>
      <c r="L74" t="n">
        <v>0</v>
      </c>
      <c r="M74" t="n">
        <v>0</v>
      </c>
      <c r="N74" t="n">
        <v>0</v>
      </c>
      <c r="O74" t="n">
        <v>0</v>
      </c>
      <c r="P74" t="n">
        <v>0</v>
      </c>
      <c r="Q74" t="n">
        <v>0</v>
      </c>
      <c r="R74" s="2" t="inlineStr"/>
    </row>
    <row r="75" ht="15" customHeight="1">
      <c r="A75" t="inlineStr">
        <is>
          <t>A 16785-2021</t>
        </is>
      </c>
      <c r="B75" s="1" t="n">
        <v>44295</v>
      </c>
      <c r="C75" s="1" t="n">
        <v>45892</v>
      </c>
      <c r="D75" t="inlineStr">
        <is>
          <t>ÖREBRO LÄN</t>
        </is>
      </c>
      <c r="E75" t="inlineStr">
        <is>
          <t>ÖREBRO</t>
        </is>
      </c>
      <c r="G75" t="n">
        <v>2.8</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45892</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45892</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45892</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45892</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45892</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45892</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57241-2020</t>
        </is>
      </c>
      <c r="B82" s="1" t="n">
        <v>44139</v>
      </c>
      <c r="C82" s="1" t="n">
        <v>45892</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45892</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66799-2020</t>
        </is>
      </c>
      <c r="B84" s="1" t="n">
        <v>44179</v>
      </c>
      <c r="C84" s="1" t="n">
        <v>45892</v>
      </c>
      <c r="D84" t="inlineStr">
        <is>
          <t>ÖREBRO LÄN</t>
        </is>
      </c>
      <c r="E84" t="inlineStr">
        <is>
          <t>ÖREBRO</t>
        </is>
      </c>
      <c r="G84" t="n">
        <v>5.2</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45892</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45892</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45892</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45892</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45892</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45892</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45892</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45892</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45892</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45892</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45892</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45892</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45892</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45892</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45892</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45892</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45892</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45892</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45892</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67627-2020</t>
        </is>
      </c>
      <c r="B104" s="1" t="n">
        <v>44182</v>
      </c>
      <c r="C104" s="1" t="n">
        <v>45892</v>
      </c>
      <c r="D104" t="inlineStr">
        <is>
          <t>ÖREBRO LÄN</t>
        </is>
      </c>
      <c r="E104" t="inlineStr">
        <is>
          <t>ÖREBRO</t>
        </is>
      </c>
      <c r="G104" t="n">
        <v>1.4</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45892</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45892</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55012-2022</t>
        </is>
      </c>
      <c r="B107" s="1" t="n">
        <v>44886.52833333334</v>
      </c>
      <c r="C107" s="1" t="n">
        <v>45892</v>
      </c>
      <c r="D107" t="inlineStr">
        <is>
          <t>ÖREBRO LÄN</t>
        </is>
      </c>
      <c r="E107" t="inlineStr">
        <is>
          <t>ÖREBRO</t>
        </is>
      </c>
      <c r="G107" t="n">
        <v>5.1</v>
      </c>
      <c r="H107" t="n">
        <v>0</v>
      </c>
      <c r="I107" t="n">
        <v>0</v>
      </c>
      <c r="J107" t="n">
        <v>0</v>
      </c>
      <c r="K107" t="n">
        <v>0</v>
      </c>
      <c r="L107" t="n">
        <v>0</v>
      </c>
      <c r="M107" t="n">
        <v>0</v>
      </c>
      <c r="N107" t="n">
        <v>0</v>
      </c>
      <c r="O107" t="n">
        <v>0</v>
      </c>
      <c r="P107" t="n">
        <v>0</v>
      </c>
      <c r="Q107" t="n">
        <v>0</v>
      </c>
      <c r="R107" s="2" t="inlineStr"/>
    </row>
    <row r="108" ht="15" customHeight="1">
      <c r="A108" t="inlineStr">
        <is>
          <t>A 47993-2020</t>
        </is>
      </c>
      <c r="B108" s="1" t="n">
        <v>44095</v>
      </c>
      <c r="C108" s="1" t="n">
        <v>45892</v>
      </c>
      <c r="D108" t="inlineStr">
        <is>
          <t>ÖREBRO LÄN</t>
        </is>
      </c>
      <c r="E108" t="inlineStr">
        <is>
          <t>ÖREBRO</t>
        </is>
      </c>
      <c r="G108" t="n">
        <v>4.3</v>
      </c>
      <c r="H108" t="n">
        <v>0</v>
      </c>
      <c r="I108" t="n">
        <v>0</v>
      </c>
      <c r="J108" t="n">
        <v>0</v>
      </c>
      <c r="K108" t="n">
        <v>0</v>
      </c>
      <c r="L108" t="n">
        <v>0</v>
      </c>
      <c r="M108" t="n">
        <v>0</v>
      </c>
      <c r="N108" t="n">
        <v>0</v>
      </c>
      <c r="O108" t="n">
        <v>0</v>
      </c>
      <c r="P108" t="n">
        <v>0</v>
      </c>
      <c r="Q108" t="n">
        <v>0</v>
      </c>
      <c r="R108" s="2" t="inlineStr"/>
    </row>
    <row r="109" ht="15" customHeight="1">
      <c r="A109" t="inlineStr">
        <is>
          <t>A 3078-2021</t>
        </is>
      </c>
      <c r="B109" s="1" t="n">
        <v>44216</v>
      </c>
      <c r="C109" s="1" t="n">
        <v>45892</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45892</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45892</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45892</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15571-2021</t>
        </is>
      </c>
      <c r="B113" s="1" t="n">
        <v>44285</v>
      </c>
      <c r="C113" s="1" t="n">
        <v>45892</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4021-2021</t>
        </is>
      </c>
      <c r="B114" s="1" t="n">
        <v>44218</v>
      </c>
      <c r="C114" s="1" t="n">
        <v>45892</v>
      </c>
      <c r="D114" t="inlineStr">
        <is>
          <t>ÖREBRO LÄN</t>
        </is>
      </c>
      <c r="E114" t="inlineStr">
        <is>
          <t>ÖREBRO</t>
        </is>
      </c>
      <c r="G114" t="n">
        <v>5.3</v>
      </c>
      <c r="H114" t="n">
        <v>0</v>
      </c>
      <c r="I114" t="n">
        <v>0</v>
      </c>
      <c r="J114" t="n">
        <v>0</v>
      </c>
      <c r="K114" t="n">
        <v>0</v>
      </c>
      <c r="L114" t="n">
        <v>0</v>
      </c>
      <c r="M114" t="n">
        <v>0</v>
      </c>
      <c r="N114" t="n">
        <v>0</v>
      </c>
      <c r="O114" t="n">
        <v>0</v>
      </c>
      <c r="P114" t="n">
        <v>0</v>
      </c>
      <c r="Q114" t="n">
        <v>0</v>
      </c>
      <c r="R114" s="2" t="inlineStr"/>
    </row>
    <row r="115" ht="15" customHeight="1">
      <c r="A115" t="inlineStr">
        <is>
          <t>A 70199-2021</t>
        </is>
      </c>
      <c r="B115" s="1" t="n">
        <v>44534.80712962963</v>
      </c>
      <c r="C115" s="1" t="n">
        <v>45892</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45892</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36794-2022</t>
        </is>
      </c>
      <c r="B117" s="1" t="n">
        <v>44805</v>
      </c>
      <c r="C117" s="1" t="n">
        <v>45892</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45892</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45892</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45892</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45892</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45892</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45892</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45892</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45892</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45892</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45892</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45892</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45892</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45892</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45892</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44827.3940625</v>
      </c>
      <c r="C132" s="1" t="n">
        <v>45892</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45892</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45892</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45892</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45892</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45892</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45892</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45892</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45892</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45892</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45892</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45892</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45892</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45892</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45892</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45892</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45892</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45892</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45892</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45892</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15422-2022</t>
        </is>
      </c>
      <c r="B152" s="1" t="n">
        <v>44659.63753472222</v>
      </c>
      <c r="C152" s="1" t="n">
        <v>45892</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57343-2021</t>
        </is>
      </c>
      <c r="B153" s="1" t="n">
        <v>44482</v>
      </c>
      <c r="C153" s="1" t="n">
        <v>45892</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45892</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56138-2020</t>
        </is>
      </c>
      <c r="B155" s="1" t="n">
        <v>44133</v>
      </c>
      <c r="C155" s="1" t="n">
        <v>45892</v>
      </c>
      <c r="D155" t="inlineStr">
        <is>
          <t>ÖREBRO LÄN</t>
        </is>
      </c>
      <c r="E155" t="inlineStr">
        <is>
          <t>ÖREBRO</t>
        </is>
      </c>
      <c r="F155" t="inlineStr">
        <is>
          <t>Allmännings- och besparingsskogar</t>
        </is>
      </c>
      <c r="G155" t="n">
        <v>4.9</v>
      </c>
      <c r="H155" t="n">
        <v>0</v>
      </c>
      <c r="I155" t="n">
        <v>0</v>
      </c>
      <c r="J155" t="n">
        <v>0</v>
      </c>
      <c r="K155" t="n">
        <v>0</v>
      </c>
      <c r="L155" t="n">
        <v>0</v>
      </c>
      <c r="M155" t="n">
        <v>0</v>
      </c>
      <c r="N155" t="n">
        <v>0</v>
      </c>
      <c r="O155" t="n">
        <v>0</v>
      </c>
      <c r="P155" t="n">
        <v>0</v>
      </c>
      <c r="Q155" t="n">
        <v>0</v>
      </c>
      <c r="R155" s="2" t="inlineStr"/>
    </row>
    <row r="156" ht="15" customHeight="1">
      <c r="A156" t="inlineStr">
        <is>
          <t>A 16258-2022</t>
        </is>
      </c>
      <c r="B156" s="1" t="n">
        <v>44670</v>
      </c>
      <c r="C156" s="1" t="n">
        <v>45892</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46092-2020</t>
        </is>
      </c>
      <c r="B157" s="1" t="n">
        <v>44091</v>
      </c>
      <c r="C157" s="1" t="n">
        <v>45892</v>
      </c>
      <c r="D157" t="inlineStr">
        <is>
          <t>ÖREBRO LÄN</t>
        </is>
      </c>
      <c r="E157" t="inlineStr">
        <is>
          <t>ÖREBRO</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44514-2020</t>
        </is>
      </c>
      <c r="B158" s="1" t="n">
        <v>44085</v>
      </c>
      <c r="C158" s="1" t="n">
        <v>45892</v>
      </c>
      <c r="D158" t="inlineStr">
        <is>
          <t>ÖREBRO LÄN</t>
        </is>
      </c>
      <c r="E158" t="inlineStr">
        <is>
          <t>ÖREBRO</t>
        </is>
      </c>
      <c r="G158" t="n">
        <v>3</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45892</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45892</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7117-2021</t>
        </is>
      </c>
      <c r="B161" s="1" t="n">
        <v>44238</v>
      </c>
      <c r="C161" s="1" t="n">
        <v>45892</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3087-2021</t>
        </is>
      </c>
      <c r="B162" s="1" t="n">
        <v>44216</v>
      </c>
      <c r="C162" s="1" t="n">
        <v>45892</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45892</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45892</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32231-2022</t>
        </is>
      </c>
      <c r="B165" s="1" t="n">
        <v>44781</v>
      </c>
      <c r="C165" s="1" t="n">
        <v>45892</v>
      </c>
      <c r="D165" t="inlineStr">
        <is>
          <t>ÖREBRO LÄN</t>
        </is>
      </c>
      <c r="E165" t="inlineStr">
        <is>
          <t>ÖREBRO</t>
        </is>
      </c>
      <c r="G165" t="n">
        <v>1</v>
      </c>
      <c r="H165" t="n">
        <v>0</v>
      </c>
      <c r="I165" t="n">
        <v>0</v>
      </c>
      <c r="J165" t="n">
        <v>0</v>
      </c>
      <c r="K165" t="n">
        <v>0</v>
      </c>
      <c r="L165" t="n">
        <v>0</v>
      </c>
      <c r="M165" t="n">
        <v>0</v>
      </c>
      <c r="N165" t="n">
        <v>0</v>
      </c>
      <c r="O165" t="n">
        <v>0</v>
      </c>
      <c r="P165" t="n">
        <v>0</v>
      </c>
      <c r="Q165" t="n">
        <v>0</v>
      </c>
      <c r="R165" s="2" t="inlineStr"/>
    </row>
    <row r="166" ht="15" customHeight="1">
      <c r="A166" t="inlineStr">
        <is>
          <t>A 32247-2022</t>
        </is>
      </c>
      <c r="B166" s="1" t="n">
        <v>44781</v>
      </c>
      <c r="C166" s="1" t="n">
        <v>45892</v>
      </c>
      <c r="D166" t="inlineStr">
        <is>
          <t>ÖREBRO LÄN</t>
        </is>
      </c>
      <c r="E166" t="inlineStr">
        <is>
          <t>ÖREBRO</t>
        </is>
      </c>
      <c r="G166" t="n">
        <v>3</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45892</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40312-2021</t>
        </is>
      </c>
      <c r="B168" s="1" t="n">
        <v>44419</v>
      </c>
      <c r="C168" s="1" t="n">
        <v>45892</v>
      </c>
      <c r="D168" t="inlineStr">
        <is>
          <t>ÖREBRO LÄN</t>
        </is>
      </c>
      <c r="E168" t="inlineStr">
        <is>
          <t>ÖREBRO</t>
        </is>
      </c>
      <c r="F168" t="inlineStr">
        <is>
          <t>Övriga Aktiebolag</t>
        </is>
      </c>
      <c r="G168" t="n">
        <v>2.6</v>
      </c>
      <c r="H168" t="n">
        <v>0</v>
      </c>
      <c r="I168" t="n">
        <v>0</v>
      </c>
      <c r="J168" t="n">
        <v>0</v>
      </c>
      <c r="K168" t="n">
        <v>0</v>
      </c>
      <c r="L168" t="n">
        <v>0</v>
      </c>
      <c r="M168" t="n">
        <v>0</v>
      </c>
      <c r="N168" t="n">
        <v>0</v>
      </c>
      <c r="O168" t="n">
        <v>0</v>
      </c>
      <c r="P168" t="n">
        <v>0</v>
      </c>
      <c r="Q168" t="n">
        <v>0</v>
      </c>
      <c r="R168" s="2" t="inlineStr"/>
    </row>
    <row r="169" ht="15" customHeight="1">
      <c r="A169" t="inlineStr">
        <is>
          <t>A 19468-2021</t>
        </is>
      </c>
      <c r="B169" s="1" t="n">
        <v>44311</v>
      </c>
      <c r="C169" s="1" t="n">
        <v>45892</v>
      </c>
      <c r="D169" t="inlineStr">
        <is>
          <t>ÖREBRO LÄN</t>
        </is>
      </c>
      <c r="E169" t="inlineStr">
        <is>
          <t>ÖREBRO</t>
        </is>
      </c>
      <c r="G169" t="n">
        <v>0.9</v>
      </c>
      <c r="H169" t="n">
        <v>0</v>
      </c>
      <c r="I169" t="n">
        <v>0</v>
      </c>
      <c r="J169" t="n">
        <v>0</v>
      </c>
      <c r="K169" t="n">
        <v>0</v>
      </c>
      <c r="L169" t="n">
        <v>0</v>
      </c>
      <c r="M169" t="n">
        <v>0</v>
      </c>
      <c r="N169" t="n">
        <v>0</v>
      </c>
      <c r="O169" t="n">
        <v>0</v>
      </c>
      <c r="P169" t="n">
        <v>0</v>
      </c>
      <c r="Q169" t="n">
        <v>0</v>
      </c>
      <c r="R169" s="2" t="inlineStr"/>
    </row>
    <row r="170" ht="15" customHeight="1">
      <c r="A170" t="inlineStr">
        <is>
          <t>A 12478-2022</t>
        </is>
      </c>
      <c r="B170" s="1" t="n">
        <v>44638</v>
      </c>
      <c r="C170" s="1" t="n">
        <v>45892</v>
      </c>
      <c r="D170" t="inlineStr">
        <is>
          <t>ÖREBRO LÄN</t>
        </is>
      </c>
      <c r="E170" t="inlineStr">
        <is>
          <t>ÖREBRO</t>
        </is>
      </c>
      <c r="F170" t="inlineStr">
        <is>
          <t>Kyrkan</t>
        </is>
      </c>
      <c r="G170" t="n">
        <v>1.4</v>
      </c>
      <c r="H170" t="n">
        <v>0</v>
      </c>
      <c r="I170" t="n">
        <v>0</v>
      </c>
      <c r="J170" t="n">
        <v>0</v>
      </c>
      <c r="K170" t="n">
        <v>0</v>
      </c>
      <c r="L170" t="n">
        <v>0</v>
      </c>
      <c r="M170" t="n">
        <v>0</v>
      </c>
      <c r="N170" t="n">
        <v>0</v>
      </c>
      <c r="O170" t="n">
        <v>0</v>
      </c>
      <c r="P170" t="n">
        <v>0</v>
      </c>
      <c r="Q170" t="n">
        <v>0</v>
      </c>
      <c r="R170" s="2" t="inlineStr"/>
    </row>
    <row r="171" ht="15" customHeight="1">
      <c r="A171" t="inlineStr">
        <is>
          <t>A 5401-2022</t>
        </is>
      </c>
      <c r="B171" s="1" t="n">
        <v>44595</v>
      </c>
      <c r="C171" s="1" t="n">
        <v>45892</v>
      </c>
      <c r="D171" t="inlineStr">
        <is>
          <t>ÖREBRO LÄN</t>
        </is>
      </c>
      <c r="E171" t="inlineStr">
        <is>
          <t>ÖREBRO</t>
        </is>
      </c>
      <c r="G171" t="n">
        <v>2.3</v>
      </c>
      <c r="H171" t="n">
        <v>0</v>
      </c>
      <c r="I171" t="n">
        <v>0</v>
      </c>
      <c r="J171" t="n">
        <v>0</v>
      </c>
      <c r="K171" t="n">
        <v>0</v>
      </c>
      <c r="L171" t="n">
        <v>0</v>
      </c>
      <c r="M171" t="n">
        <v>0</v>
      </c>
      <c r="N171" t="n">
        <v>0</v>
      </c>
      <c r="O171" t="n">
        <v>0</v>
      </c>
      <c r="P171" t="n">
        <v>0</v>
      </c>
      <c r="Q171" t="n">
        <v>0</v>
      </c>
      <c r="R171" s="2" t="inlineStr"/>
    </row>
    <row r="172" ht="15" customHeight="1">
      <c r="A172" t="inlineStr">
        <is>
          <t>A 60311-2020</t>
        </is>
      </c>
      <c r="B172" s="1" t="n">
        <v>44151</v>
      </c>
      <c r="C172" s="1" t="n">
        <v>45892</v>
      </c>
      <c r="D172" t="inlineStr">
        <is>
          <t>ÖREBRO LÄN</t>
        </is>
      </c>
      <c r="E172" t="inlineStr">
        <is>
          <t>ÖREBRO</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26101-2022</t>
        </is>
      </c>
      <c r="B173" s="1" t="n">
        <v>44734</v>
      </c>
      <c r="C173" s="1" t="n">
        <v>45892</v>
      </c>
      <c r="D173" t="inlineStr">
        <is>
          <t>ÖREBRO LÄN</t>
        </is>
      </c>
      <c r="E173" t="inlineStr">
        <is>
          <t>ÖREBRO</t>
        </is>
      </c>
      <c r="G173" t="n">
        <v>15.8</v>
      </c>
      <c r="H173" t="n">
        <v>0</v>
      </c>
      <c r="I173" t="n">
        <v>0</v>
      </c>
      <c r="J173" t="n">
        <v>0</v>
      </c>
      <c r="K173" t="n">
        <v>0</v>
      </c>
      <c r="L173" t="n">
        <v>0</v>
      </c>
      <c r="M173" t="n">
        <v>0</v>
      </c>
      <c r="N173" t="n">
        <v>0</v>
      </c>
      <c r="O173" t="n">
        <v>0</v>
      </c>
      <c r="P173" t="n">
        <v>0</v>
      </c>
      <c r="Q173" t="n">
        <v>0</v>
      </c>
      <c r="R173" s="2" t="inlineStr"/>
    </row>
    <row r="174" ht="15" customHeight="1">
      <c r="A174" t="inlineStr">
        <is>
          <t>A 2095-2025</t>
        </is>
      </c>
      <c r="B174" s="1" t="n">
        <v>45672</v>
      </c>
      <c r="C174" s="1" t="n">
        <v>45892</v>
      </c>
      <c r="D174" t="inlineStr">
        <is>
          <t>ÖREBRO LÄN</t>
        </is>
      </c>
      <c r="E174" t="inlineStr">
        <is>
          <t>ÖREBRO</t>
        </is>
      </c>
      <c r="G174" t="n">
        <v>1.2</v>
      </c>
      <c r="H174" t="n">
        <v>0</v>
      </c>
      <c r="I174" t="n">
        <v>0</v>
      </c>
      <c r="J174" t="n">
        <v>0</v>
      </c>
      <c r="K174" t="n">
        <v>0</v>
      </c>
      <c r="L174" t="n">
        <v>0</v>
      </c>
      <c r="M174" t="n">
        <v>0</v>
      </c>
      <c r="N174" t="n">
        <v>0</v>
      </c>
      <c r="O174" t="n">
        <v>0</v>
      </c>
      <c r="P174" t="n">
        <v>0</v>
      </c>
      <c r="Q174" t="n">
        <v>0</v>
      </c>
      <c r="R174" s="2" t="inlineStr"/>
    </row>
    <row r="175" ht="15" customHeight="1">
      <c r="A175" t="inlineStr">
        <is>
          <t>A 23863-2023</t>
        </is>
      </c>
      <c r="B175" s="1" t="n">
        <v>45078.48994212963</v>
      </c>
      <c r="C175" s="1" t="n">
        <v>45892</v>
      </c>
      <c r="D175" t="inlineStr">
        <is>
          <t>ÖREBRO LÄN</t>
        </is>
      </c>
      <c r="E175" t="inlineStr">
        <is>
          <t>ÖREBRO</t>
        </is>
      </c>
      <c r="F175" t="inlineStr">
        <is>
          <t>Övriga Aktiebolag</t>
        </is>
      </c>
      <c r="G175" t="n">
        <v>5.9</v>
      </c>
      <c r="H175" t="n">
        <v>0</v>
      </c>
      <c r="I175" t="n">
        <v>0</v>
      </c>
      <c r="J175" t="n">
        <v>0</v>
      </c>
      <c r="K175" t="n">
        <v>0</v>
      </c>
      <c r="L175" t="n">
        <v>0</v>
      </c>
      <c r="M175" t="n">
        <v>0</v>
      </c>
      <c r="N175" t="n">
        <v>0</v>
      </c>
      <c r="O175" t="n">
        <v>0</v>
      </c>
      <c r="P175" t="n">
        <v>0</v>
      </c>
      <c r="Q175" t="n">
        <v>0</v>
      </c>
      <c r="R175" s="2" t="inlineStr"/>
    </row>
    <row r="176" ht="15" customHeight="1">
      <c r="A176" t="inlineStr">
        <is>
          <t>A 9362-2022</t>
        </is>
      </c>
      <c r="B176" s="1" t="n">
        <v>44616.59946759259</v>
      </c>
      <c r="C176" s="1" t="n">
        <v>45892</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63247-2021</t>
        </is>
      </c>
      <c r="B177" s="1" t="n">
        <v>44505</v>
      </c>
      <c r="C177" s="1" t="n">
        <v>45892</v>
      </c>
      <c r="D177" t="inlineStr">
        <is>
          <t>ÖREBRO LÄN</t>
        </is>
      </c>
      <c r="E177" t="inlineStr">
        <is>
          <t>ÖREBRO</t>
        </is>
      </c>
      <c r="G177" t="n">
        <v>1.5</v>
      </c>
      <c r="H177" t="n">
        <v>0</v>
      </c>
      <c r="I177" t="n">
        <v>0</v>
      </c>
      <c r="J177" t="n">
        <v>0</v>
      </c>
      <c r="K177" t="n">
        <v>0</v>
      </c>
      <c r="L177" t="n">
        <v>0</v>
      </c>
      <c r="M177" t="n">
        <v>0</v>
      </c>
      <c r="N177" t="n">
        <v>0</v>
      </c>
      <c r="O177" t="n">
        <v>0</v>
      </c>
      <c r="P177" t="n">
        <v>0</v>
      </c>
      <c r="Q177" t="n">
        <v>0</v>
      </c>
      <c r="R177" s="2" t="inlineStr"/>
    </row>
    <row r="178" ht="15" customHeight="1">
      <c r="A178" t="inlineStr">
        <is>
          <t>A 14053-2025</t>
        </is>
      </c>
      <c r="B178" s="1" t="n">
        <v>45739</v>
      </c>
      <c r="C178" s="1" t="n">
        <v>45892</v>
      </c>
      <c r="D178" t="inlineStr">
        <is>
          <t>ÖREBRO LÄN</t>
        </is>
      </c>
      <c r="E178" t="inlineStr">
        <is>
          <t>ÖREBRO</t>
        </is>
      </c>
      <c r="G178" t="n">
        <v>3.5</v>
      </c>
      <c r="H178" t="n">
        <v>0</v>
      </c>
      <c r="I178" t="n">
        <v>0</v>
      </c>
      <c r="J178" t="n">
        <v>0</v>
      </c>
      <c r="K178" t="n">
        <v>0</v>
      </c>
      <c r="L178" t="n">
        <v>0</v>
      </c>
      <c r="M178" t="n">
        <v>0</v>
      </c>
      <c r="N178" t="n">
        <v>0</v>
      </c>
      <c r="O178" t="n">
        <v>0</v>
      </c>
      <c r="P178" t="n">
        <v>0</v>
      </c>
      <c r="Q178" t="n">
        <v>0</v>
      </c>
      <c r="R178" s="2" t="inlineStr"/>
    </row>
    <row r="179" ht="15" customHeight="1">
      <c r="A179" t="inlineStr">
        <is>
          <t>A 71206-2021</t>
        </is>
      </c>
      <c r="B179" s="1" t="n">
        <v>44539</v>
      </c>
      <c r="C179" s="1" t="n">
        <v>45892</v>
      </c>
      <c r="D179" t="inlineStr">
        <is>
          <t>ÖREBRO LÄN</t>
        </is>
      </c>
      <c r="E179" t="inlineStr">
        <is>
          <t>ÖREBRO</t>
        </is>
      </c>
      <c r="G179" t="n">
        <v>2.5</v>
      </c>
      <c r="H179" t="n">
        <v>0</v>
      </c>
      <c r="I179" t="n">
        <v>0</v>
      </c>
      <c r="J179" t="n">
        <v>0</v>
      </c>
      <c r="K179" t="n">
        <v>0</v>
      </c>
      <c r="L179" t="n">
        <v>0</v>
      </c>
      <c r="M179" t="n">
        <v>0</v>
      </c>
      <c r="N179" t="n">
        <v>0</v>
      </c>
      <c r="O179" t="n">
        <v>0</v>
      </c>
      <c r="P179" t="n">
        <v>0</v>
      </c>
      <c r="Q179" t="n">
        <v>0</v>
      </c>
      <c r="R179" s="2" t="inlineStr"/>
    </row>
    <row r="180" ht="15" customHeight="1">
      <c r="A180" t="inlineStr">
        <is>
          <t>A 10799-2024</t>
        </is>
      </c>
      <c r="B180" s="1" t="n">
        <v>45369</v>
      </c>
      <c r="C180" s="1" t="n">
        <v>45892</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46757-2021</t>
        </is>
      </c>
      <c r="B181" s="1" t="n">
        <v>44445</v>
      </c>
      <c r="C181" s="1" t="n">
        <v>45892</v>
      </c>
      <c r="D181" t="inlineStr">
        <is>
          <t>ÖREBRO LÄN</t>
        </is>
      </c>
      <c r="E181" t="inlineStr">
        <is>
          <t>ÖREBRO</t>
        </is>
      </c>
      <c r="G181" t="n">
        <v>5.6</v>
      </c>
      <c r="H181" t="n">
        <v>0</v>
      </c>
      <c r="I181" t="n">
        <v>0</v>
      </c>
      <c r="J181" t="n">
        <v>0</v>
      </c>
      <c r="K181" t="n">
        <v>0</v>
      </c>
      <c r="L181" t="n">
        <v>0</v>
      </c>
      <c r="M181" t="n">
        <v>0</v>
      </c>
      <c r="N181" t="n">
        <v>0</v>
      </c>
      <c r="O181" t="n">
        <v>0</v>
      </c>
      <c r="P181" t="n">
        <v>0</v>
      </c>
      <c r="Q181" t="n">
        <v>0</v>
      </c>
      <c r="R181" s="2" t="inlineStr"/>
    </row>
    <row r="182" ht="15" customHeight="1">
      <c r="A182" t="inlineStr">
        <is>
          <t>A 9609-2023</t>
        </is>
      </c>
      <c r="B182" s="1" t="n">
        <v>44983.93344907407</v>
      </c>
      <c r="C182" s="1" t="n">
        <v>45892</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48140-2024</t>
        </is>
      </c>
      <c r="B183" s="1" t="n">
        <v>45589.66474537037</v>
      </c>
      <c r="C183" s="1" t="n">
        <v>45892</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41703-2024</t>
        </is>
      </c>
      <c r="B184" s="1" t="n">
        <v>45560</v>
      </c>
      <c r="C184" s="1" t="n">
        <v>45892</v>
      </c>
      <c r="D184" t="inlineStr">
        <is>
          <t>ÖREBRO LÄN</t>
        </is>
      </c>
      <c r="E184" t="inlineStr">
        <is>
          <t>ÖREBRO</t>
        </is>
      </c>
      <c r="G184" t="n">
        <v>6.4</v>
      </c>
      <c r="H184" t="n">
        <v>0</v>
      </c>
      <c r="I184" t="n">
        <v>0</v>
      </c>
      <c r="J184" t="n">
        <v>0</v>
      </c>
      <c r="K184" t="n">
        <v>0</v>
      </c>
      <c r="L184" t="n">
        <v>0</v>
      </c>
      <c r="M184" t="n">
        <v>0</v>
      </c>
      <c r="N184" t="n">
        <v>0</v>
      </c>
      <c r="O184" t="n">
        <v>0</v>
      </c>
      <c r="P184" t="n">
        <v>0</v>
      </c>
      <c r="Q184" t="n">
        <v>0</v>
      </c>
      <c r="R184" s="2" t="inlineStr"/>
    </row>
    <row r="185" ht="15" customHeight="1">
      <c r="A185" t="inlineStr">
        <is>
          <t>A 55472-2023</t>
        </is>
      </c>
      <c r="B185" s="1" t="n">
        <v>45238</v>
      </c>
      <c r="C185" s="1" t="n">
        <v>45892</v>
      </c>
      <c r="D185" t="inlineStr">
        <is>
          <t>ÖREBRO LÄN</t>
        </is>
      </c>
      <c r="E185" t="inlineStr">
        <is>
          <t>ÖREBRO</t>
        </is>
      </c>
      <c r="G185" t="n">
        <v>0.6</v>
      </c>
      <c r="H185" t="n">
        <v>0</v>
      </c>
      <c r="I185" t="n">
        <v>0</v>
      </c>
      <c r="J185" t="n">
        <v>0</v>
      </c>
      <c r="K185" t="n">
        <v>0</v>
      </c>
      <c r="L185" t="n">
        <v>0</v>
      </c>
      <c r="M185" t="n">
        <v>0</v>
      </c>
      <c r="N185" t="n">
        <v>0</v>
      </c>
      <c r="O185" t="n">
        <v>0</v>
      </c>
      <c r="P185" t="n">
        <v>0</v>
      </c>
      <c r="Q185" t="n">
        <v>0</v>
      </c>
      <c r="R185" s="2" t="inlineStr"/>
    </row>
    <row r="186" ht="15" customHeight="1">
      <c r="A186" t="inlineStr">
        <is>
          <t>A 46323-2024</t>
        </is>
      </c>
      <c r="B186" s="1" t="n">
        <v>45581.84538194445</v>
      </c>
      <c r="C186" s="1" t="n">
        <v>45892</v>
      </c>
      <c r="D186" t="inlineStr">
        <is>
          <t>ÖREBRO LÄN</t>
        </is>
      </c>
      <c r="E186" t="inlineStr">
        <is>
          <t>ÖREBRO</t>
        </is>
      </c>
      <c r="F186" t="inlineStr">
        <is>
          <t>Övriga Aktiebolag</t>
        </is>
      </c>
      <c r="G186" t="n">
        <v>1.4</v>
      </c>
      <c r="H186" t="n">
        <v>0</v>
      </c>
      <c r="I186" t="n">
        <v>0</v>
      </c>
      <c r="J186" t="n">
        <v>0</v>
      </c>
      <c r="K186" t="n">
        <v>0</v>
      </c>
      <c r="L186" t="n">
        <v>0</v>
      </c>
      <c r="M186" t="n">
        <v>0</v>
      </c>
      <c r="N186" t="n">
        <v>0</v>
      </c>
      <c r="O186" t="n">
        <v>0</v>
      </c>
      <c r="P186" t="n">
        <v>0</v>
      </c>
      <c r="Q186" t="n">
        <v>0</v>
      </c>
      <c r="R186" s="2" t="inlineStr"/>
    </row>
    <row r="187" ht="15" customHeight="1">
      <c r="A187" t="inlineStr">
        <is>
          <t>A 5129-2024</t>
        </is>
      </c>
      <c r="B187" s="1" t="n">
        <v>45330</v>
      </c>
      <c r="C187" s="1" t="n">
        <v>45892</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58486-2024</t>
        </is>
      </c>
      <c r="B188" s="1" t="n">
        <v>45635</v>
      </c>
      <c r="C188" s="1" t="n">
        <v>45892</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30015-2023</t>
        </is>
      </c>
      <c r="B189" s="1" t="n">
        <v>45109</v>
      </c>
      <c r="C189" s="1" t="n">
        <v>45892</v>
      </c>
      <c r="D189" t="inlineStr">
        <is>
          <t>ÖREBRO LÄN</t>
        </is>
      </c>
      <c r="E189" t="inlineStr">
        <is>
          <t>ÖREBRO</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1013-2024</t>
        </is>
      </c>
      <c r="B190" s="1" t="n">
        <v>45301</v>
      </c>
      <c r="C190" s="1" t="n">
        <v>45892</v>
      </c>
      <c r="D190" t="inlineStr">
        <is>
          <t>ÖREBRO LÄN</t>
        </is>
      </c>
      <c r="E190" t="inlineStr">
        <is>
          <t>ÖREBRO</t>
        </is>
      </c>
      <c r="G190" t="n">
        <v>2.6</v>
      </c>
      <c r="H190" t="n">
        <v>0</v>
      </c>
      <c r="I190" t="n">
        <v>0</v>
      </c>
      <c r="J190" t="n">
        <v>0</v>
      </c>
      <c r="K190" t="n">
        <v>0</v>
      </c>
      <c r="L190" t="n">
        <v>0</v>
      </c>
      <c r="M190" t="n">
        <v>0</v>
      </c>
      <c r="N190" t="n">
        <v>0</v>
      </c>
      <c r="O190" t="n">
        <v>0</v>
      </c>
      <c r="P190" t="n">
        <v>0</v>
      </c>
      <c r="Q190" t="n">
        <v>0</v>
      </c>
      <c r="R190" s="2" t="inlineStr"/>
    </row>
    <row r="191" ht="15" customHeight="1">
      <c r="A191" t="inlineStr">
        <is>
          <t>A 5795-2024</t>
        </is>
      </c>
      <c r="B191" s="1" t="n">
        <v>45335.4531712963</v>
      </c>
      <c r="C191" s="1" t="n">
        <v>45892</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8512-2025</t>
        </is>
      </c>
      <c r="B192" s="1" t="n">
        <v>45709.54873842592</v>
      </c>
      <c r="C192" s="1" t="n">
        <v>45892</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33577-2023</t>
        </is>
      </c>
      <c r="B193" s="1" t="n">
        <v>45131</v>
      </c>
      <c r="C193" s="1" t="n">
        <v>45892</v>
      </c>
      <c r="D193" t="inlineStr">
        <is>
          <t>ÖREBRO LÄN</t>
        </is>
      </c>
      <c r="E193" t="inlineStr">
        <is>
          <t>ÖREBRO</t>
        </is>
      </c>
      <c r="G193" t="n">
        <v>2</v>
      </c>
      <c r="H193" t="n">
        <v>0</v>
      </c>
      <c r="I193" t="n">
        <v>0</v>
      </c>
      <c r="J193" t="n">
        <v>0</v>
      </c>
      <c r="K193" t="n">
        <v>0</v>
      </c>
      <c r="L193" t="n">
        <v>0</v>
      </c>
      <c r="M193" t="n">
        <v>0</v>
      </c>
      <c r="N193" t="n">
        <v>0</v>
      </c>
      <c r="O193" t="n">
        <v>0</v>
      </c>
      <c r="P193" t="n">
        <v>0</v>
      </c>
      <c r="Q193" t="n">
        <v>0</v>
      </c>
      <c r="R193" s="2" t="inlineStr"/>
    </row>
    <row r="194" ht="15" customHeight="1">
      <c r="A194" t="inlineStr">
        <is>
          <t>A 38489-2023</t>
        </is>
      </c>
      <c r="B194" s="1" t="n">
        <v>45162</v>
      </c>
      <c r="C194" s="1" t="n">
        <v>45892</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14715-2024</t>
        </is>
      </c>
      <c r="B195" s="1" t="n">
        <v>45397.5500462963</v>
      </c>
      <c r="C195" s="1" t="n">
        <v>45892</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58145-2024</t>
        </is>
      </c>
      <c r="B196" s="1" t="n">
        <v>45632.43230324074</v>
      </c>
      <c r="C196" s="1" t="n">
        <v>45892</v>
      </c>
      <c r="D196" t="inlineStr">
        <is>
          <t>ÖREBRO LÄN</t>
        </is>
      </c>
      <c r="E196" t="inlineStr">
        <is>
          <t>ÖREBRO</t>
        </is>
      </c>
      <c r="G196" t="n">
        <v>2.1</v>
      </c>
      <c r="H196" t="n">
        <v>0</v>
      </c>
      <c r="I196" t="n">
        <v>0</v>
      </c>
      <c r="J196" t="n">
        <v>0</v>
      </c>
      <c r="K196" t="n">
        <v>0</v>
      </c>
      <c r="L196" t="n">
        <v>0</v>
      </c>
      <c r="M196" t="n">
        <v>0</v>
      </c>
      <c r="N196" t="n">
        <v>0</v>
      </c>
      <c r="O196" t="n">
        <v>0</v>
      </c>
      <c r="P196" t="n">
        <v>0</v>
      </c>
      <c r="Q196" t="n">
        <v>0</v>
      </c>
      <c r="R196" s="2" t="inlineStr"/>
    </row>
    <row r="197" ht="15" customHeight="1">
      <c r="A197" t="inlineStr">
        <is>
          <t>A 19763-2024</t>
        </is>
      </c>
      <c r="B197" s="1" t="n">
        <v>45432</v>
      </c>
      <c r="C197" s="1" t="n">
        <v>45892</v>
      </c>
      <c r="D197" t="inlineStr">
        <is>
          <t>ÖREBRO LÄN</t>
        </is>
      </c>
      <c r="E197" t="inlineStr">
        <is>
          <t>ÖREBRO</t>
        </is>
      </c>
      <c r="G197" t="n">
        <v>1.9</v>
      </c>
      <c r="H197" t="n">
        <v>0</v>
      </c>
      <c r="I197" t="n">
        <v>0</v>
      </c>
      <c r="J197" t="n">
        <v>0</v>
      </c>
      <c r="K197" t="n">
        <v>0</v>
      </c>
      <c r="L197" t="n">
        <v>0</v>
      </c>
      <c r="M197" t="n">
        <v>0</v>
      </c>
      <c r="N197" t="n">
        <v>0</v>
      </c>
      <c r="O197" t="n">
        <v>0</v>
      </c>
      <c r="P197" t="n">
        <v>0</v>
      </c>
      <c r="Q197" t="n">
        <v>0</v>
      </c>
      <c r="R197" s="2" t="inlineStr"/>
    </row>
    <row r="198" ht="15" customHeight="1">
      <c r="A198" t="inlineStr">
        <is>
          <t>A 14545-2023</t>
        </is>
      </c>
      <c r="B198" s="1" t="n">
        <v>45013.34895833334</v>
      </c>
      <c r="C198" s="1" t="n">
        <v>45892</v>
      </c>
      <c r="D198" t="inlineStr">
        <is>
          <t>ÖREBRO LÄN</t>
        </is>
      </c>
      <c r="E198" t="inlineStr">
        <is>
          <t>ÖREBRO</t>
        </is>
      </c>
      <c r="G198" t="n">
        <v>2.5</v>
      </c>
      <c r="H198" t="n">
        <v>0</v>
      </c>
      <c r="I198" t="n">
        <v>0</v>
      </c>
      <c r="J198" t="n">
        <v>0</v>
      </c>
      <c r="K198" t="n">
        <v>0</v>
      </c>
      <c r="L198" t="n">
        <v>0</v>
      </c>
      <c r="M198" t="n">
        <v>0</v>
      </c>
      <c r="N198" t="n">
        <v>0</v>
      </c>
      <c r="O198" t="n">
        <v>0</v>
      </c>
      <c r="P198" t="n">
        <v>0</v>
      </c>
      <c r="Q198" t="n">
        <v>0</v>
      </c>
      <c r="R198" s="2" t="inlineStr"/>
    </row>
    <row r="199" ht="15" customHeight="1">
      <c r="A199" t="inlineStr">
        <is>
          <t>A 54917-2023</t>
        </is>
      </c>
      <c r="B199" s="1" t="n">
        <v>45229</v>
      </c>
      <c r="C199" s="1" t="n">
        <v>45892</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14432-2023</t>
        </is>
      </c>
      <c r="B200" s="1" t="n">
        <v>45012</v>
      </c>
      <c r="C200" s="1" t="n">
        <v>45892</v>
      </c>
      <c r="D200" t="inlineStr">
        <is>
          <t>ÖREBRO LÄN</t>
        </is>
      </c>
      <c r="E200" t="inlineStr">
        <is>
          <t>ÖREBRO</t>
        </is>
      </c>
      <c r="G200" t="n">
        <v>3.3</v>
      </c>
      <c r="H200" t="n">
        <v>0</v>
      </c>
      <c r="I200" t="n">
        <v>0</v>
      </c>
      <c r="J200" t="n">
        <v>0</v>
      </c>
      <c r="K200" t="n">
        <v>0</v>
      </c>
      <c r="L200" t="n">
        <v>0</v>
      </c>
      <c r="M200" t="n">
        <v>0</v>
      </c>
      <c r="N200" t="n">
        <v>0</v>
      </c>
      <c r="O200" t="n">
        <v>0</v>
      </c>
      <c r="P200" t="n">
        <v>0</v>
      </c>
      <c r="Q200" t="n">
        <v>0</v>
      </c>
      <c r="R200" s="2" t="inlineStr"/>
    </row>
    <row r="201" ht="15" customHeight="1">
      <c r="A201" t="inlineStr">
        <is>
          <t>A 3652-2022</t>
        </is>
      </c>
      <c r="B201" s="1" t="n">
        <v>44586.46921296296</v>
      </c>
      <c r="C201" s="1" t="n">
        <v>45892</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37021-2024</t>
        </is>
      </c>
      <c r="B202" s="1" t="n">
        <v>45539.38146990741</v>
      </c>
      <c r="C202" s="1" t="n">
        <v>45892</v>
      </c>
      <c r="D202" t="inlineStr">
        <is>
          <t>ÖREBRO LÄN</t>
        </is>
      </c>
      <c r="E202" t="inlineStr">
        <is>
          <t>ÖREBRO</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59736-2023</t>
        </is>
      </c>
      <c r="B203" s="1" t="n">
        <v>45257.374375</v>
      </c>
      <c r="C203" s="1" t="n">
        <v>45892</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2153-2023</t>
        </is>
      </c>
      <c r="B204" s="1" t="n">
        <v>44941</v>
      </c>
      <c r="C204" s="1" t="n">
        <v>45892</v>
      </c>
      <c r="D204" t="inlineStr">
        <is>
          <t>ÖREBRO LÄN</t>
        </is>
      </c>
      <c r="E204" t="inlineStr">
        <is>
          <t>ÖREBRO</t>
        </is>
      </c>
      <c r="G204" t="n">
        <v>6.3</v>
      </c>
      <c r="H204" t="n">
        <v>0</v>
      </c>
      <c r="I204" t="n">
        <v>0</v>
      </c>
      <c r="J204" t="n">
        <v>0</v>
      </c>
      <c r="K204" t="n">
        <v>0</v>
      </c>
      <c r="L204" t="n">
        <v>0</v>
      </c>
      <c r="M204" t="n">
        <v>0</v>
      </c>
      <c r="N204" t="n">
        <v>0</v>
      </c>
      <c r="O204" t="n">
        <v>0</v>
      </c>
      <c r="P204" t="n">
        <v>0</v>
      </c>
      <c r="Q204" t="n">
        <v>0</v>
      </c>
      <c r="R204" s="2" t="inlineStr"/>
    </row>
    <row r="205" ht="15" customHeight="1">
      <c r="A205" t="inlineStr">
        <is>
          <t>A 16300-2022</t>
        </is>
      </c>
      <c r="B205" s="1" t="n">
        <v>44670</v>
      </c>
      <c r="C205" s="1" t="n">
        <v>45892</v>
      </c>
      <c r="D205" t="inlineStr">
        <is>
          <t>ÖREBRO LÄN</t>
        </is>
      </c>
      <c r="E205" t="inlineStr">
        <is>
          <t>ÖREBRO</t>
        </is>
      </c>
      <c r="G205" t="n">
        <v>0.8</v>
      </c>
      <c r="H205" t="n">
        <v>0</v>
      </c>
      <c r="I205" t="n">
        <v>0</v>
      </c>
      <c r="J205" t="n">
        <v>0</v>
      </c>
      <c r="K205" t="n">
        <v>0</v>
      </c>
      <c r="L205" t="n">
        <v>0</v>
      </c>
      <c r="M205" t="n">
        <v>0</v>
      </c>
      <c r="N205" t="n">
        <v>0</v>
      </c>
      <c r="O205" t="n">
        <v>0</v>
      </c>
      <c r="P205" t="n">
        <v>0</v>
      </c>
      <c r="Q205" t="n">
        <v>0</v>
      </c>
      <c r="R205" s="2" t="inlineStr"/>
    </row>
    <row r="206" ht="15" customHeight="1">
      <c r="A206" t="inlineStr">
        <is>
          <t>A 45029-2020</t>
        </is>
      </c>
      <c r="B206" s="1" t="n">
        <v>44088</v>
      </c>
      <c r="C206" s="1" t="n">
        <v>45892</v>
      </c>
      <c r="D206" t="inlineStr">
        <is>
          <t>ÖREBRO LÄN</t>
        </is>
      </c>
      <c r="E206" t="inlineStr">
        <is>
          <t>ÖREBRO</t>
        </is>
      </c>
      <c r="G206" t="n">
        <v>3.8</v>
      </c>
      <c r="H206" t="n">
        <v>0</v>
      </c>
      <c r="I206" t="n">
        <v>0</v>
      </c>
      <c r="J206" t="n">
        <v>0</v>
      </c>
      <c r="K206" t="n">
        <v>0</v>
      </c>
      <c r="L206" t="n">
        <v>0</v>
      </c>
      <c r="M206" t="n">
        <v>0</v>
      </c>
      <c r="N206" t="n">
        <v>0</v>
      </c>
      <c r="O206" t="n">
        <v>0</v>
      </c>
      <c r="P206" t="n">
        <v>0</v>
      </c>
      <c r="Q206" t="n">
        <v>0</v>
      </c>
      <c r="R206" s="2" t="inlineStr"/>
    </row>
    <row r="207" ht="15" customHeight="1">
      <c r="A207" t="inlineStr">
        <is>
          <t>A 18181-2024</t>
        </is>
      </c>
      <c r="B207" s="1" t="n">
        <v>45420.64561342593</v>
      </c>
      <c r="C207" s="1" t="n">
        <v>45892</v>
      </c>
      <c r="D207" t="inlineStr">
        <is>
          <t>ÖREBRO LÄN</t>
        </is>
      </c>
      <c r="E207" t="inlineStr">
        <is>
          <t>ÖREBRO</t>
        </is>
      </c>
      <c r="G207" t="n">
        <v>7.6</v>
      </c>
      <c r="H207" t="n">
        <v>0</v>
      </c>
      <c r="I207" t="n">
        <v>0</v>
      </c>
      <c r="J207" t="n">
        <v>0</v>
      </c>
      <c r="K207" t="n">
        <v>0</v>
      </c>
      <c r="L207" t="n">
        <v>0</v>
      </c>
      <c r="M207" t="n">
        <v>0</v>
      </c>
      <c r="N207" t="n">
        <v>0</v>
      </c>
      <c r="O207" t="n">
        <v>0</v>
      </c>
      <c r="P207" t="n">
        <v>0</v>
      </c>
      <c r="Q207" t="n">
        <v>0</v>
      </c>
      <c r="R207" s="2" t="inlineStr"/>
    </row>
    <row r="208" ht="15" customHeight="1">
      <c r="A208" t="inlineStr">
        <is>
          <t>A 10829-2023</t>
        </is>
      </c>
      <c r="B208" s="1" t="n">
        <v>44990.88512731482</v>
      </c>
      <c r="C208" s="1" t="n">
        <v>45892</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10831-2023</t>
        </is>
      </c>
      <c r="B209" s="1" t="n">
        <v>44990.90357638889</v>
      </c>
      <c r="C209" s="1" t="n">
        <v>45892</v>
      </c>
      <c r="D209" t="inlineStr">
        <is>
          <t>ÖREBRO LÄN</t>
        </is>
      </c>
      <c r="E209" t="inlineStr">
        <is>
          <t>ÖREBRO</t>
        </is>
      </c>
      <c r="G209" t="n">
        <v>1.9</v>
      </c>
      <c r="H209" t="n">
        <v>0</v>
      </c>
      <c r="I209" t="n">
        <v>0</v>
      </c>
      <c r="J209" t="n">
        <v>0</v>
      </c>
      <c r="K209" t="n">
        <v>0</v>
      </c>
      <c r="L209" t="n">
        <v>0</v>
      </c>
      <c r="M209" t="n">
        <v>0</v>
      </c>
      <c r="N209" t="n">
        <v>0</v>
      </c>
      <c r="O209" t="n">
        <v>0</v>
      </c>
      <c r="P209" t="n">
        <v>0</v>
      </c>
      <c r="Q209" t="n">
        <v>0</v>
      </c>
      <c r="R209" s="2" t="inlineStr"/>
    </row>
    <row r="210" ht="15" customHeight="1">
      <c r="A210" t="inlineStr">
        <is>
          <t>A 70707-2021</t>
        </is>
      </c>
      <c r="B210" s="1" t="n">
        <v>44537</v>
      </c>
      <c r="C210" s="1" t="n">
        <v>45892</v>
      </c>
      <c r="D210" t="inlineStr">
        <is>
          <t>ÖREBRO LÄN</t>
        </is>
      </c>
      <c r="E210" t="inlineStr">
        <is>
          <t>ÖREBRO</t>
        </is>
      </c>
      <c r="G210" t="n">
        <v>13.2</v>
      </c>
      <c r="H210" t="n">
        <v>0</v>
      </c>
      <c r="I210" t="n">
        <v>0</v>
      </c>
      <c r="J210" t="n">
        <v>0</v>
      </c>
      <c r="K210" t="n">
        <v>0</v>
      </c>
      <c r="L210" t="n">
        <v>0</v>
      </c>
      <c r="M210" t="n">
        <v>0</v>
      </c>
      <c r="N210" t="n">
        <v>0</v>
      </c>
      <c r="O210" t="n">
        <v>0</v>
      </c>
      <c r="P210" t="n">
        <v>0</v>
      </c>
      <c r="Q210" t="n">
        <v>0</v>
      </c>
      <c r="R210" s="2" t="inlineStr"/>
    </row>
    <row r="211" ht="15" customHeight="1">
      <c r="A211" t="inlineStr">
        <is>
          <t>A 52499-2024</t>
        </is>
      </c>
      <c r="B211" s="1" t="n">
        <v>45609.58422453704</v>
      </c>
      <c r="C211" s="1" t="n">
        <v>45892</v>
      </c>
      <c r="D211" t="inlineStr">
        <is>
          <t>ÖREBRO LÄN</t>
        </is>
      </c>
      <c r="E211" t="inlineStr">
        <is>
          <t>ÖREBRO</t>
        </is>
      </c>
      <c r="F211" t="inlineStr">
        <is>
          <t>Sveaskog</t>
        </is>
      </c>
      <c r="G211" t="n">
        <v>2</v>
      </c>
      <c r="H211" t="n">
        <v>0</v>
      </c>
      <c r="I211" t="n">
        <v>0</v>
      </c>
      <c r="J211" t="n">
        <v>0</v>
      </c>
      <c r="K211" t="n">
        <v>0</v>
      </c>
      <c r="L211" t="n">
        <v>0</v>
      </c>
      <c r="M211" t="n">
        <v>0</v>
      </c>
      <c r="N211" t="n">
        <v>0</v>
      </c>
      <c r="O211" t="n">
        <v>0</v>
      </c>
      <c r="P211" t="n">
        <v>0</v>
      </c>
      <c r="Q211" t="n">
        <v>0</v>
      </c>
      <c r="R211" s="2" t="inlineStr"/>
    </row>
    <row r="212" ht="15" customHeight="1">
      <c r="A212" t="inlineStr">
        <is>
          <t>A 8374-2021</t>
        </is>
      </c>
      <c r="B212" s="1" t="n">
        <v>44244</v>
      </c>
      <c r="C212" s="1" t="n">
        <v>45892</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60100-2022</t>
        </is>
      </c>
      <c r="B213" s="1" t="n">
        <v>44902</v>
      </c>
      <c r="C213" s="1" t="n">
        <v>45892</v>
      </c>
      <c r="D213" t="inlineStr">
        <is>
          <t>ÖREBRO LÄN</t>
        </is>
      </c>
      <c r="E213" t="inlineStr">
        <is>
          <t>ÖREBRO</t>
        </is>
      </c>
      <c r="G213" t="n">
        <v>1.4</v>
      </c>
      <c r="H213" t="n">
        <v>0</v>
      </c>
      <c r="I213" t="n">
        <v>0</v>
      </c>
      <c r="J213" t="n">
        <v>0</v>
      </c>
      <c r="K213" t="n">
        <v>0</v>
      </c>
      <c r="L213" t="n">
        <v>0</v>
      </c>
      <c r="M213" t="n">
        <v>0</v>
      </c>
      <c r="N213" t="n">
        <v>0</v>
      </c>
      <c r="O213" t="n">
        <v>0</v>
      </c>
      <c r="P213" t="n">
        <v>0</v>
      </c>
      <c r="Q213" t="n">
        <v>0</v>
      </c>
      <c r="R213" s="2" t="inlineStr"/>
    </row>
    <row r="214" ht="15" customHeight="1">
      <c r="A214" t="inlineStr">
        <is>
          <t>A 58539-2024</t>
        </is>
      </c>
      <c r="B214" s="1" t="n">
        <v>45635.45157407408</v>
      </c>
      <c r="C214" s="1" t="n">
        <v>45892</v>
      </c>
      <c r="D214" t="inlineStr">
        <is>
          <t>ÖREBRO LÄN</t>
        </is>
      </c>
      <c r="E214" t="inlineStr">
        <is>
          <t>ÖREBRO</t>
        </is>
      </c>
      <c r="F214" t="inlineStr">
        <is>
          <t>Sveaskog</t>
        </is>
      </c>
      <c r="G214" t="n">
        <v>4.1</v>
      </c>
      <c r="H214" t="n">
        <v>0</v>
      </c>
      <c r="I214" t="n">
        <v>0</v>
      </c>
      <c r="J214" t="n">
        <v>0</v>
      </c>
      <c r="K214" t="n">
        <v>0</v>
      </c>
      <c r="L214" t="n">
        <v>0</v>
      </c>
      <c r="M214" t="n">
        <v>0</v>
      </c>
      <c r="N214" t="n">
        <v>0</v>
      </c>
      <c r="O214" t="n">
        <v>0</v>
      </c>
      <c r="P214" t="n">
        <v>0</v>
      </c>
      <c r="Q214" t="n">
        <v>0</v>
      </c>
      <c r="R214" s="2" t="inlineStr"/>
    </row>
    <row r="215" ht="15" customHeight="1">
      <c r="A215" t="inlineStr">
        <is>
          <t>A 14960-2025</t>
        </is>
      </c>
      <c r="B215" s="1" t="n">
        <v>45743.5853125</v>
      </c>
      <c r="C215" s="1" t="n">
        <v>45892</v>
      </c>
      <c r="D215" t="inlineStr">
        <is>
          <t>ÖREBRO LÄN</t>
        </is>
      </c>
      <c r="E215" t="inlineStr">
        <is>
          <t>ÖREBRO</t>
        </is>
      </c>
      <c r="G215" t="n">
        <v>1.6</v>
      </c>
      <c r="H215" t="n">
        <v>0</v>
      </c>
      <c r="I215" t="n">
        <v>0</v>
      </c>
      <c r="J215" t="n">
        <v>0</v>
      </c>
      <c r="K215" t="n">
        <v>0</v>
      </c>
      <c r="L215" t="n">
        <v>0</v>
      </c>
      <c r="M215" t="n">
        <v>0</v>
      </c>
      <c r="N215" t="n">
        <v>0</v>
      </c>
      <c r="O215" t="n">
        <v>0</v>
      </c>
      <c r="P215" t="n">
        <v>0</v>
      </c>
      <c r="Q215" t="n">
        <v>0</v>
      </c>
      <c r="R215" s="2" t="inlineStr"/>
    </row>
    <row r="216" ht="15" customHeight="1">
      <c r="A216" t="inlineStr">
        <is>
          <t>A 13623-2024</t>
        </is>
      </c>
      <c r="B216" s="1" t="n">
        <v>45390.38626157407</v>
      </c>
      <c r="C216" s="1" t="n">
        <v>45892</v>
      </c>
      <c r="D216" t="inlineStr">
        <is>
          <t>ÖREBRO LÄN</t>
        </is>
      </c>
      <c r="E216" t="inlineStr">
        <is>
          <t>ÖREBRO</t>
        </is>
      </c>
      <c r="G216" t="n">
        <v>1.1</v>
      </c>
      <c r="H216" t="n">
        <v>0</v>
      </c>
      <c r="I216" t="n">
        <v>0</v>
      </c>
      <c r="J216" t="n">
        <v>0</v>
      </c>
      <c r="K216" t="n">
        <v>0</v>
      </c>
      <c r="L216" t="n">
        <v>0</v>
      </c>
      <c r="M216" t="n">
        <v>0</v>
      </c>
      <c r="N216" t="n">
        <v>0</v>
      </c>
      <c r="O216" t="n">
        <v>0</v>
      </c>
      <c r="P216" t="n">
        <v>0</v>
      </c>
      <c r="Q216" t="n">
        <v>0</v>
      </c>
      <c r="R216" s="2" t="inlineStr"/>
    </row>
    <row r="217" ht="15" customHeight="1">
      <c r="A217" t="inlineStr">
        <is>
          <t>A 58532-2024</t>
        </is>
      </c>
      <c r="B217" s="1" t="n">
        <v>45635.44899305556</v>
      </c>
      <c r="C217" s="1" t="n">
        <v>45892</v>
      </c>
      <c r="D217" t="inlineStr">
        <is>
          <t>ÖREBRO LÄN</t>
        </is>
      </c>
      <c r="E217" t="inlineStr">
        <is>
          <t>ÖREBRO</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2152-2023</t>
        </is>
      </c>
      <c r="B218" s="1" t="n">
        <v>44941.55056712963</v>
      </c>
      <c r="C218" s="1" t="n">
        <v>45892</v>
      </c>
      <c r="D218" t="inlineStr">
        <is>
          <t>ÖREBRO LÄN</t>
        </is>
      </c>
      <c r="E218" t="inlineStr">
        <is>
          <t>ÖREBRO</t>
        </is>
      </c>
      <c r="G218" t="n">
        <v>8</v>
      </c>
      <c r="H218" t="n">
        <v>0</v>
      </c>
      <c r="I218" t="n">
        <v>0</v>
      </c>
      <c r="J218" t="n">
        <v>0</v>
      </c>
      <c r="K218" t="n">
        <v>0</v>
      </c>
      <c r="L218" t="n">
        <v>0</v>
      </c>
      <c r="M218" t="n">
        <v>0</v>
      </c>
      <c r="N218" t="n">
        <v>0</v>
      </c>
      <c r="O218" t="n">
        <v>0</v>
      </c>
      <c r="P218" t="n">
        <v>0</v>
      </c>
      <c r="Q218" t="n">
        <v>0</v>
      </c>
      <c r="R218" s="2" t="inlineStr"/>
    </row>
    <row r="219" ht="15" customHeight="1">
      <c r="A219" t="inlineStr">
        <is>
          <t>A 8656-2025</t>
        </is>
      </c>
      <c r="B219" s="1" t="n">
        <v>45712.38268518518</v>
      </c>
      <c r="C219" s="1" t="n">
        <v>45892</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55353-2024</t>
        </is>
      </c>
      <c r="B220" s="1" t="n">
        <v>45621.79526620371</v>
      </c>
      <c r="C220" s="1" t="n">
        <v>45892</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55357-2024</t>
        </is>
      </c>
      <c r="B221" s="1" t="n">
        <v>45621.81126157408</v>
      </c>
      <c r="C221" s="1" t="n">
        <v>45892</v>
      </c>
      <c r="D221" t="inlineStr">
        <is>
          <t>ÖREBRO LÄN</t>
        </is>
      </c>
      <c r="E221" t="inlineStr">
        <is>
          <t>ÖREBRO</t>
        </is>
      </c>
      <c r="G221" t="n">
        <v>0.6</v>
      </c>
      <c r="H221" t="n">
        <v>0</v>
      </c>
      <c r="I221" t="n">
        <v>0</v>
      </c>
      <c r="J221" t="n">
        <v>0</v>
      </c>
      <c r="K221" t="n">
        <v>0</v>
      </c>
      <c r="L221" t="n">
        <v>0</v>
      </c>
      <c r="M221" t="n">
        <v>0</v>
      </c>
      <c r="N221" t="n">
        <v>0</v>
      </c>
      <c r="O221" t="n">
        <v>0</v>
      </c>
      <c r="P221" t="n">
        <v>0</v>
      </c>
      <c r="Q221" t="n">
        <v>0</v>
      </c>
      <c r="R221" s="2" t="inlineStr"/>
    </row>
    <row r="222" ht="15" customHeight="1">
      <c r="A222" t="inlineStr">
        <is>
          <t>A 5619-2023</t>
        </is>
      </c>
      <c r="B222" s="1" t="n">
        <v>44958</v>
      </c>
      <c r="C222" s="1" t="n">
        <v>45892</v>
      </c>
      <c r="D222" t="inlineStr">
        <is>
          <t>ÖREBRO LÄN</t>
        </is>
      </c>
      <c r="E222" t="inlineStr">
        <is>
          <t>ÖREBRO</t>
        </is>
      </c>
      <c r="G222" t="n">
        <v>27</v>
      </c>
      <c r="H222" t="n">
        <v>0</v>
      </c>
      <c r="I222" t="n">
        <v>0</v>
      </c>
      <c r="J222" t="n">
        <v>0</v>
      </c>
      <c r="K222" t="n">
        <v>0</v>
      </c>
      <c r="L222" t="n">
        <v>0</v>
      </c>
      <c r="M222" t="n">
        <v>0</v>
      </c>
      <c r="N222" t="n">
        <v>0</v>
      </c>
      <c r="O222" t="n">
        <v>0</v>
      </c>
      <c r="P222" t="n">
        <v>0</v>
      </c>
      <c r="Q222" t="n">
        <v>0</v>
      </c>
      <c r="R222" s="2" t="inlineStr"/>
    </row>
    <row r="223" ht="15" customHeight="1">
      <c r="A223" t="inlineStr">
        <is>
          <t>A 187-2024</t>
        </is>
      </c>
      <c r="B223" s="1" t="n">
        <v>45294</v>
      </c>
      <c r="C223" s="1" t="n">
        <v>45892</v>
      </c>
      <c r="D223" t="inlineStr">
        <is>
          <t>ÖREBRO LÄN</t>
        </is>
      </c>
      <c r="E223" t="inlineStr">
        <is>
          <t>ÖREBRO</t>
        </is>
      </c>
      <c r="G223" t="n">
        <v>5.9</v>
      </c>
      <c r="H223" t="n">
        <v>0</v>
      </c>
      <c r="I223" t="n">
        <v>0</v>
      </c>
      <c r="J223" t="n">
        <v>0</v>
      </c>
      <c r="K223" t="n">
        <v>0</v>
      </c>
      <c r="L223" t="n">
        <v>0</v>
      </c>
      <c r="M223" t="n">
        <v>0</v>
      </c>
      <c r="N223" t="n">
        <v>0</v>
      </c>
      <c r="O223" t="n">
        <v>0</v>
      </c>
      <c r="P223" t="n">
        <v>0</v>
      </c>
      <c r="Q223" t="n">
        <v>0</v>
      </c>
      <c r="R223" s="2" t="inlineStr"/>
    </row>
    <row r="224" ht="15" customHeight="1">
      <c r="A224" t="inlineStr">
        <is>
          <t>A 37277-2022</t>
        </is>
      </c>
      <c r="B224" s="1" t="n">
        <v>44807.49150462963</v>
      </c>
      <c r="C224" s="1" t="n">
        <v>45892</v>
      </c>
      <c r="D224" t="inlineStr">
        <is>
          <t>ÖREBRO LÄN</t>
        </is>
      </c>
      <c r="E224" t="inlineStr">
        <is>
          <t>ÖREBRO</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23573-2023</t>
        </is>
      </c>
      <c r="B225" s="1" t="n">
        <v>45077.41672453703</v>
      </c>
      <c r="C225" s="1" t="n">
        <v>45892</v>
      </c>
      <c r="D225" t="inlineStr">
        <is>
          <t>ÖREBRO LÄN</t>
        </is>
      </c>
      <c r="E225" t="inlineStr">
        <is>
          <t>ÖREBRO</t>
        </is>
      </c>
      <c r="G225" t="n">
        <v>2.9</v>
      </c>
      <c r="H225" t="n">
        <v>0</v>
      </c>
      <c r="I225" t="n">
        <v>0</v>
      </c>
      <c r="J225" t="n">
        <v>0</v>
      </c>
      <c r="K225" t="n">
        <v>0</v>
      </c>
      <c r="L225" t="n">
        <v>0</v>
      </c>
      <c r="M225" t="n">
        <v>0</v>
      </c>
      <c r="N225" t="n">
        <v>0</v>
      </c>
      <c r="O225" t="n">
        <v>0</v>
      </c>
      <c r="P225" t="n">
        <v>0</v>
      </c>
      <c r="Q225" t="n">
        <v>0</v>
      </c>
      <c r="R225" s="2" t="inlineStr"/>
    </row>
    <row r="226" ht="15" customHeight="1">
      <c r="A226" t="inlineStr">
        <is>
          <t>A 13762-2023</t>
        </is>
      </c>
      <c r="B226" s="1" t="n">
        <v>45007.43729166667</v>
      </c>
      <c r="C226" s="1" t="n">
        <v>45892</v>
      </c>
      <c r="D226" t="inlineStr">
        <is>
          <t>ÖREBRO LÄN</t>
        </is>
      </c>
      <c r="E226" t="inlineStr">
        <is>
          <t>ÖREBRO</t>
        </is>
      </c>
      <c r="G226" t="n">
        <v>1.3</v>
      </c>
      <c r="H226" t="n">
        <v>0</v>
      </c>
      <c r="I226" t="n">
        <v>0</v>
      </c>
      <c r="J226" t="n">
        <v>0</v>
      </c>
      <c r="K226" t="n">
        <v>0</v>
      </c>
      <c r="L226" t="n">
        <v>0</v>
      </c>
      <c r="M226" t="n">
        <v>0</v>
      </c>
      <c r="N226" t="n">
        <v>0</v>
      </c>
      <c r="O226" t="n">
        <v>0</v>
      </c>
      <c r="P226" t="n">
        <v>0</v>
      </c>
      <c r="Q226" t="n">
        <v>0</v>
      </c>
      <c r="R226" s="2" t="inlineStr"/>
    </row>
    <row r="227" ht="15" customHeight="1">
      <c r="A227" t="inlineStr">
        <is>
          <t>A 60022-2024</t>
        </is>
      </c>
      <c r="B227" s="1" t="n">
        <v>45642</v>
      </c>
      <c r="C227" s="1" t="n">
        <v>45892</v>
      </c>
      <c r="D227" t="inlineStr">
        <is>
          <t>ÖREBRO LÄN</t>
        </is>
      </c>
      <c r="E227" t="inlineStr">
        <is>
          <t>ÖREBRO</t>
        </is>
      </c>
      <c r="G227" t="n">
        <v>1.7</v>
      </c>
      <c r="H227" t="n">
        <v>0</v>
      </c>
      <c r="I227" t="n">
        <v>0</v>
      </c>
      <c r="J227" t="n">
        <v>0</v>
      </c>
      <c r="K227" t="n">
        <v>0</v>
      </c>
      <c r="L227" t="n">
        <v>0</v>
      </c>
      <c r="M227" t="n">
        <v>0</v>
      </c>
      <c r="N227" t="n">
        <v>0</v>
      </c>
      <c r="O227" t="n">
        <v>0</v>
      </c>
      <c r="P227" t="n">
        <v>0</v>
      </c>
      <c r="Q227" t="n">
        <v>0</v>
      </c>
      <c r="R227" s="2" t="inlineStr"/>
    </row>
    <row r="228" ht="15" customHeight="1">
      <c r="A228" t="inlineStr">
        <is>
          <t>A 61593-2023</t>
        </is>
      </c>
      <c r="B228" s="1" t="n">
        <v>45265</v>
      </c>
      <c r="C228" s="1" t="n">
        <v>45892</v>
      </c>
      <c r="D228" t="inlineStr">
        <is>
          <t>ÖREBRO LÄN</t>
        </is>
      </c>
      <c r="E228" t="inlineStr">
        <is>
          <t>ÖREBRO</t>
        </is>
      </c>
      <c r="G228" t="n">
        <v>2.5</v>
      </c>
      <c r="H228" t="n">
        <v>0</v>
      </c>
      <c r="I228" t="n">
        <v>0</v>
      </c>
      <c r="J228" t="n">
        <v>0</v>
      </c>
      <c r="K228" t="n">
        <v>0</v>
      </c>
      <c r="L228" t="n">
        <v>0</v>
      </c>
      <c r="M228" t="n">
        <v>0</v>
      </c>
      <c r="N228" t="n">
        <v>0</v>
      </c>
      <c r="O228" t="n">
        <v>0</v>
      </c>
      <c r="P228" t="n">
        <v>0</v>
      </c>
      <c r="Q228" t="n">
        <v>0</v>
      </c>
      <c r="R228" s="2" t="inlineStr"/>
    </row>
    <row r="229" ht="15" customHeight="1">
      <c r="A229" t="inlineStr">
        <is>
          <t>A 10470-2025</t>
        </is>
      </c>
      <c r="B229" s="1" t="n">
        <v>45720</v>
      </c>
      <c r="C229" s="1" t="n">
        <v>45892</v>
      </c>
      <c r="D229" t="inlineStr">
        <is>
          <t>ÖREBRO LÄN</t>
        </is>
      </c>
      <c r="E229" t="inlineStr">
        <is>
          <t>ÖREBRO</t>
        </is>
      </c>
      <c r="G229" t="n">
        <v>11.5</v>
      </c>
      <c r="H229" t="n">
        <v>0</v>
      </c>
      <c r="I229" t="n">
        <v>0</v>
      </c>
      <c r="J229" t="n">
        <v>0</v>
      </c>
      <c r="K229" t="n">
        <v>0</v>
      </c>
      <c r="L229" t="n">
        <v>0</v>
      </c>
      <c r="M229" t="n">
        <v>0</v>
      </c>
      <c r="N229" t="n">
        <v>0</v>
      </c>
      <c r="O229" t="n">
        <v>0</v>
      </c>
      <c r="P229" t="n">
        <v>0</v>
      </c>
      <c r="Q229" t="n">
        <v>0</v>
      </c>
      <c r="R229" s="2" t="inlineStr"/>
    </row>
    <row r="230" ht="15" customHeight="1">
      <c r="A230" t="inlineStr">
        <is>
          <t>A 52623-2024</t>
        </is>
      </c>
      <c r="B230" s="1" t="n">
        <v>45609</v>
      </c>
      <c r="C230" s="1" t="n">
        <v>45892</v>
      </c>
      <c r="D230" t="inlineStr">
        <is>
          <t>ÖREBRO LÄN</t>
        </is>
      </c>
      <c r="E230" t="inlineStr">
        <is>
          <t>ÖREBRO</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59024-2024</t>
        </is>
      </c>
      <c r="B231" s="1" t="n">
        <v>45636.68505787037</v>
      </c>
      <c r="C231" s="1" t="n">
        <v>45892</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10339-2023</t>
        </is>
      </c>
      <c r="B232" s="1" t="n">
        <v>44987</v>
      </c>
      <c r="C232" s="1" t="n">
        <v>45892</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31247-2023</t>
        </is>
      </c>
      <c r="B233" s="1" t="n">
        <v>45114</v>
      </c>
      <c r="C233" s="1" t="n">
        <v>45892</v>
      </c>
      <c r="D233" t="inlineStr">
        <is>
          <t>ÖREBRO LÄN</t>
        </is>
      </c>
      <c r="E233" t="inlineStr">
        <is>
          <t>ÖREBRO</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16165-2023</t>
        </is>
      </c>
      <c r="B234" s="1" t="n">
        <v>45027</v>
      </c>
      <c r="C234" s="1" t="n">
        <v>45892</v>
      </c>
      <c r="D234" t="inlineStr">
        <is>
          <t>ÖREBRO LÄN</t>
        </is>
      </c>
      <c r="E234" t="inlineStr">
        <is>
          <t>ÖREBRO</t>
        </is>
      </c>
      <c r="G234" t="n">
        <v>11</v>
      </c>
      <c r="H234" t="n">
        <v>0</v>
      </c>
      <c r="I234" t="n">
        <v>0</v>
      </c>
      <c r="J234" t="n">
        <v>0</v>
      </c>
      <c r="K234" t="n">
        <v>0</v>
      </c>
      <c r="L234" t="n">
        <v>0</v>
      </c>
      <c r="M234" t="n">
        <v>0</v>
      </c>
      <c r="N234" t="n">
        <v>0</v>
      </c>
      <c r="O234" t="n">
        <v>0</v>
      </c>
      <c r="P234" t="n">
        <v>0</v>
      </c>
      <c r="Q234" t="n">
        <v>0</v>
      </c>
      <c r="R234" s="2" t="inlineStr"/>
    </row>
    <row r="235" ht="15" customHeight="1">
      <c r="A235" t="inlineStr">
        <is>
          <t>A 50026-2024</t>
        </is>
      </c>
      <c r="B235" s="1" t="n">
        <v>45599.60541666667</v>
      </c>
      <c r="C235" s="1" t="n">
        <v>45892</v>
      </c>
      <c r="D235" t="inlineStr">
        <is>
          <t>ÖREBRO LÄN</t>
        </is>
      </c>
      <c r="E235" t="inlineStr">
        <is>
          <t>ÖREBRO</t>
        </is>
      </c>
      <c r="G235" t="n">
        <v>2.2</v>
      </c>
      <c r="H235" t="n">
        <v>0</v>
      </c>
      <c r="I235" t="n">
        <v>0</v>
      </c>
      <c r="J235" t="n">
        <v>0</v>
      </c>
      <c r="K235" t="n">
        <v>0</v>
      </c>
      <c r="L235" t="n">
        <v>0</v>
      </c>
      <c r="M235" t="n">
        <v>0</v>
      </c>
      <c r="N235" t="n">
        <v>0</v>
      </c>
      <c r="O235" t="n">
        <v>0</v>
      </c>
      <c r="P235" t="n">
        <v>0</v>
      </c>
      <c r="Q235" t="n">
        <v>0</v>
      </c>
      <c r="R235" s="2" t="inlineStr"/>
    </row>
    <row r="236" ht="15" customHeight="1">
      <c r="A236" t="inlineStr">
        <is>
          <t>A 42623-2022</t>
        </is>
      </c>
      <c r="B236" s="1" t="n">
        <v>44831</v>
      </c>
      <c r="C236" s="1" t="n">
        <v>45892</v>
      </c>
      <c r="D236" t="inlineStr">
        <is>
          <t>ÖREBRO LÄN</t>
        </is>
      </c>
      <c r="E236" t="inlineStr">
        <is>
          <t>ÖREBRO</t>
        </is>
      </c>
      <c r="G236" t="n">
        <v>3.6</v>
      </c>
      <c r="H236" t="n">
        <v>0</v>
      </c>
      <c r="I236" t="n">
        <v>0</v>
      </c>
      <c r="J236" t="n">
        <v>0</v>
      </c>
      <c r="K236" t="n">
        <v>0</v>
      </c>
      <c r="L236" t="n">
        <v>0</v>
      </c>
      <c r="M236" t="n">
        <v>0</v>
      </c>
      <c r="N236" t="n">
        <v>0</v>
      </c>
      <c r="O236" t="n">
        <v>0</v>
      </c>
      <c r="P236" t="n">
        <v>0</v>
      </c>
      <c r="Q236" t="n">
        <v>0</v>
      </c>
      <c r="R236" s="2" t="inlineStr"/>
    </row>
    <row r="237" ht="15" customHeight="1">
      <c r="A237" t="inlineStr">
        <is>
          <t>A 72329-2021</t>
        </is>
      </c>
      <c r="B237" s="1" t="n">
        <v>44545.46072916667</v>
      </c>
      <c r="C237" s="1" t="n">
        <v>45892</v>
      </c>
      <c r="D237" t="inlineStr">
        <is>
          <t>ÖREBRO LÄN</t>
        </is>
      </c>
      <c r="E237" t="inlineStr">
        <is>
          <t>ÖREBRO</t>
        </is>
      </c>
      <c r="G237" t="n">
        <v>0.5</v>
      </c>
      <c r="H237" t="n">
        <v>0</v>
      </c>
      <c r="I237" t="n">
        <v>0</v>
      </c>
      <c r="J237" t="n">
        <v>0</v>
      </c>
      <c r="K237" t="n">
        <v>0</v>
      </c>
      <c r="L237" t="n">
        <v>0</v>
      </c>
      <c r="M237" t="n">
        <v>0</v>
      </c>
      <c r="N237" t="n">
        <v>0</v>
      </c>
      <c r="O237" t="n">
        <v>0</v>
      </c>
      <c r="P237" t="n">
        <v>0</v>
      </c>
      <c r="Q237" t="n">
        <v>0</v>
      </c>
      <c r="R237" s="2" t="inlineStr"/>
    </row>
    <row r="238" ht="15" customHeight="1">
      <c r="A238" t="inlineStr">
        <is>
          <t>A 39130-2023</t>
        </is>
      </c>
      <c r="B238" s="1" t="n">
        <v>45165</v>
      </c>
      <c r="C238" s="1" t="n">
        <v>45892</v>
      </c>
      <c r="D238" t="inlineStr">
        <is>
          <t>ÖREBRO LÄN</t>
        </is>
      </c>
      <c r="E238" t="inlineStr">
        <is>
          <t>ÖREBRO</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50398-2022</t>
        </is>
      </c>
      <c r="B239" s="1" t="n">
        <v>44861</v>
      </c>
      <c r="C239" s="1" t="n">
        <v>45892</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62794-2021</t>
        </is>
      </c>
      <c r="B240" s="1" t="n">
        <v>44504</v>
      </c>
      <c r="C240" s="1" t="n">
        <v>45892</v>
      </c>
      <c r="D240" t="inlineStr">
        <is>
          <t>ÖREBRO LÄN</t>
        </is>
      </c>
      <c r="E240" t="inlineStr">
        <is>
          <t>ÖREBRO</t>
        </is>
      </c>
      <c r="G240" t="n">
        <v>3.3</v>
      </c>
      <c r="H240" t="n">
        <v>0</v>
      </c>
      <c r="I240" t="n">
        <v>0</v>
      </c>
      <c r="J240" t="n">
        <v>0</v>
      </c>
      <c r="K240" t="n">
        <v>0</v>
      </c>
      <c r="L240" t="n">
        <v>0</v>
      </c>
      <c r="M240" t="n">
        <v>0</v>
      </c>
      <c r="N240" t="n">
        <v>0</v>
      </c>
      <c r="O240" t="n">
        <v>0</v>
      </c>
      <c r="P240" t="n">
        <v>0</v>
      </c>
      <c r="Q240" t="n">
        <v>0</v>
      </c>
      <c r="R240" s="2" t="inlineStr"/>
    </row>
    <row r="241" ht="15" customHeight="1">
      <c r="A241" t="inlineStr">
        <is>
          <t>A 19180-2025</t>
        </is>
      </c>
      <c r="B241" s="1" t="n">
        <v>45769.40133101852</v>
      </c>
      <c r="C241" s="1" t="n">
        <v>45892</v>
      </c>
      <c r="D241" t="inlineStr">
        <is>
          <t>ÖREBRO LÄN</t>
        </is>
      </c>
      <c r="E241" t="inlineStr">
        <is>
          <t>ÖREBRO</t>
        </is>
      </c>
      <c r="G241" t="n">
        <v>1.1</v>
      </c>
      <c r="H241" t="n">
        <v>0</v>
      </c>
      <c r="I241" t="n">
        <v>0</v>
      </c>
      <c r="J241" t="n">
        <v>0</v>
      </c>
      <c r="K241" t="n">
        <v>0</v>
      </c>
      <c r="L241" t="n">
        <v>0</v>
      </c>
      <c r="M241" t="n">
        <v>0</v>
      </c>
      <c r="N241" t="n">
        <v>0</v>
      </c>
      <c r="O241" t="n">
        <v>0</v>
      </c>
      <c r="P241" t="n">
        <v>0</v>
      </c>
      <c r="Q241" t="n">
        <v>0</v>
      </c>
      <c r="R241" s="2" t="inlineStr"/>
    </row>
    <row r="242" ht="15" customHeight="1">
      <c r="A242" t="inlineStr">
        <is>
          <t>A 9379-2024</t>
        </is>
      </c>
      <c r="B242" s="1" t="n">
        <v>45359.37298611111</v>
      </c>
      <c r="C242" s="1" t="n">
        <v>45892</v>
      </c>
      <c r="D242" t="inlineStr">
        <is>
          <t>ÖREBRO LÄN</t>
        </is>
      </c>
      <c r="E242" t="inlineStr">
        <is>
          <t>ÖREBRO</t>
        </is>
      </c>
      <c r="G242" t="n">
        <v>2.4</v>
      </c>
      <c r="H242" t="n">
        <v>0</v>
      </c>
      <c r="I242" t="n">
        <v>0</v>
      </c>
      <c r="J242" t="n">
        <v>0</v>
      </c>
      <c r="K242" t="n">
        <v>0</v>
      </c>
      <c r="L242" t="n">
        <v>0</v>
      </c>
      <c r="M242" t="n">
        <v>0</v>
      </c>
      <c r="N242" t="n">
        <v>0</v>
      </c>
      <c r="O242" t="n">
        <v>0</v>
      </c>
      <c r="P242" t="n">
        <v>0</v>
      </c>
      <c r="Q242" t="n">
        <v>0</v>
      </c>
      <c r="R242" s="2" t="inlineStr"/>
    </row>
    <row r="243" ht="15" customHeight="1">
      <c r="A243" t="inlineStr">
        <is>
          <t>A 58684-2023</t>
        </is>
      </c>
      <c r="B243" s="1" t="n">
        <v>45251</v>
      </c>
      <c r="C243" s="1" t="n">
        <v>45892</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37771-2024</t>
        </is>
      </c>
      <c r="B244" s="1" t="n">
        <v>45542.31359953704</v>
      </c>
      <c r="C244" s="1" t="n">
        <v>45892</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4344-2025</t>
        </is>
      </c>
      <c r="B245" s="1" t="n">
        <v>45685</v>
      </c>
      <c r="C245" s="1" t="n">
        <v>45892</v>
      </c>
      <c r="D245" t="inlineStr">
        <is>
          <t>ÖREBRO LÄN</t>
        </is>
      </c>
      <c r="E245" t="inlineStr">
        <is>
          <t>ÖREBRO</t>
        </is>
      </c>
      <c r="G245" t="n">
        <v>1.6</v>
      </c>
      <c r="H245" t="n">
        <v>0</v>
      </c>
      <c r="I245" t="n">
        <v>0</v>
      </c>
      <c r="J245" t="n">
        <v>0</v>
      </c>
      <c r="K245" t="n">
        <v>0</v>
      </c>
      <c r="L245" t="n">
        <v>0</v>
      </c>
      <c r="M245" t="n">
        <v>0</v>
      </c>
      <c r="N245" t="n">
        <v>0</v>
      </c>
      <c r="O245" t="n">
        <v>0</v>
      </c>
      <c r="P245" t="n">
        <v>0</v>
      </c>
      <c r="Q245" t="n">
        <v>0</v>
      </c>
      <c r="R245" s="2" t="inlineStr"/>
    </row>
    <row r="246" ht="15" customHeight="1">
      <c r="A246" t="inlineStr">
        <is>
          <t>A 32025-2024</t>
        </is>
      </c>
      <c r="B246" s="1" t="n">
        <v>45510.65754629629</v>
      </c>
      <c r="C246" s="1" t="n">
        <v>45892</v>
      </c>
      <c r="D246" t="inlineStr">
        <is>
          <t>ÖREBRO LÄN</t>
        </is>
      </c>
      <c r="E246" t="inlineStr">
        <is>
          <t>ÖREBRO</t>
        </is>
      </c>
      <c r="G246" t="n">
        <v>4</v>
      </c>
      <c r="H246" t="n">
        <v>0</v>
      </c>
      <c r="I246" t="n">
        <v>0</v>
      </c>
      <c r="J246" t="n">
        <v>0</v>
      </c>
      <c r="K246" t="n">
        <v>0</v>
      </c>
      <c r="L246" t="n">
        <v>0</v>
      </c>
      <c r="M246" t="n">
        <v>0</v>
      </c>
      <c r="N246" t="n">
        <v>0</v>
      </c>
      <c r="O246" t="n">
        <v>0</v>
      </c>
      <c r="P246" t="n">
        <v>0</v>
      </c>
      <c r="Q246" t="n">
        <v>0</v>
      </c>
      <c r="R246" s="2" t="inlineStr"/>
    </row>
    <row r="247" ht="15" customHeight="1">
      <c r="A247" t="inlineStr">
        <is>
          <t>A 35345-2024</t>
        </is>
      </c>
      <c r="B247" s="1" t="n">
        <v>45530</v>
      </c>
      <c r="C247" s="1" t="n">
        <v>45892</v>
      </c>
      <c r="D247" t="inlineStr">
        <is>
          <t>ÖREBRO LÄN</t>
        </is>
      </c>
      <c r="E247" t="inlineStr">
        <is>
          <t>ÖREBRO</t>
        </is>
      </c>
      <c r="G247" t="n">
        <v>0.9</v>
      </c>
      <c r="H247" t="n">
        <v>0</v>
      </c>
      <c r="I247" t="n">
        <v>0</v>
      </c>
      <c r="J247" t="n">
        <v>0</v>
      </c>
      <c r="K247" t="n">
        <v>0</v>
      </c>
      <c r="L247" t="n">
        <v>0</v>
      </c>
      <c r="M247" t="n">
        <v>0</v>
      </c>
      <c r="N247" t="n">
        <v>0</v>
      </c>
      <c r="O247" t="n">
        <v>0</v>
      </c>
      <c r="P247" t="n">
        <v>0</v>
      </c>
      <c r="Q247" t="n">
        <v>0</v>
      </c>
      <c r="R247" s="2" t="inlineStr"/>
    </row>
    <row r="248" ht="15" customHeight="1">
      <c r="A248" t="inlineStr">
        <is>
          <t>A 71288-2021</t>
        </is>
      </c>
      <c r="B248" s="1" t="n">
        <v>44539.62481481482</v>
      </c>
      <c r="C248" s="1" t="n">
        <v>45892</v>
      </c>
      <c r="D248" t="inlineStr">
        <is>
          <t>ÖREBRO LÄN</t>
        </is>
      </c>
      <c r="E248" t="inlineStr">
        <is>
          <t>ÖREBRO</t>
        </is>
      </c>
      <c r="G248" t="n">
        <v>3.9</v>
      </c>
      <c r="H248" t="n">
        <v>0</v>
      </c>
      <c r="I248" t="n">
        <v>0</v>
      </c>
      <c r="J248" t="n">
        <v>0</v>
      </c>
      <c r="K248" t="n">
        <v>0</v>
      </c>
      <c r="L248" t="n">
        <v>0</v>
      </c>
      <c r="M248" t="n">
        <v>0</v>
      </c>
      <c r="N248" t="n">
        <v>0</v>
      </c>
      <c r="O248" t="n">
        <v>0</v>
      </c>
      <c r="P248" t="n">
        <v>0</v>
      </c>
      <c r="Q248" t="n">
        <v>0</v>
      </c>
      <c r="R248" s="2" t="inlineStr"/>
    </row>
    <row r="249" ht="15" customHeight="1">
      <c r="A249" t="inlineStr">
        <is>
          <t>A 8568-2021</t>
        </is>
      </c>
      <c r="B249" s="1" t="n">
        <v>44245</v>
      </c>
      <c r="C249" s="1" t="n">
        <v>45892</v>
      </c>
      <c r="D249" t="inlineStr">
        <is>
          <t>ÖREBRO LÄN</t>
        </is>
      </c>
      <c r="E249" t="inlineStr">
        <is>
          <t>ÖREBRO</t>
        </is>
      </c>
      <c r="G249" t="n">
        <v>4.8</v>
      </c>
      <c r="H249" t="n">
        <v>0</v>
      </c>
      <c r="I249" t="n">
        <v>0</v>
      </c>
      <c r="J249" t="n">
        <v>0</v>
      </c>
      <c r="K249" t="n">
        <v>0</v>
      </c>
      <c r="L249" t="n">
        <v>0</v>
      </c>
      <c r="M249" t="n">
        <v>0</v>
      </c>
      <c r="N249" t="n">
        <v>0</v>
      </c>
      <c r="O249" t="n">
        <v>0</v>
      </c>
      <c r="P249" t="n">
        <v>0</v>
      </c>
      <c r="Q249" t="n">
        <v>0</v>
      </c>
      <c r="R249" s="2" t="inlineStr"/>
    </row>
    <row r="250" ht="15" customHeight="1">
      <c r="A250" t="inlineStr">
        <is>
          <t>A 55355-2024</t>
        </is>
      </c>
      <c r="B250" s="1" t="n">
        <v>45621.80475694445</v>
      </c>
      <c r="C250" s="1" t="n">
        <v>45892</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45517-2023</t>
        </is>
      </c>
      <c r="B251" s="1" t="n">
        <v>45194.49594907407</v>
      </c>
      <c r="C251" s="1" t="n">
        <v>45892</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45237-2023</t>
        </is>
      </c>
      <c r="B252" s="1" t="n">
        <v>45191</v>
      </c>
      <c r="C252" s="1" t="n">
        <v>45892</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32321-2023</t>
        </is>
      </c>
      <c r="B253" s="1" t="n">
        <v>45120</v>
      </c>
      <c r="C253" s="1" t="n">
        <v>45892</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56077-2022</t>
        </is>
      </c>
      <c r="B254" s="1" t="n">
        <v>44889.60872685185</v>
      </c>
      <c r="C254" s="1" t="n">
        <v>45892</v>
      </c>
      <c r="D254" t="inlineStr">
        <is>
          <t>ÖREBRO LÄN</t>
        </is>
      </c>
      <c r="E254" t="inlineStr">
        <is>
          <t>ÖREBRO</t>
        </is>
      </c>
      <c r="F254" t="inlineStr">
        <is>
          <t>Övriga Aktiebolag</t>
        </is>
      </c>
      <c r="G254" t="n">
        <v>2.5</v>
      </c>
      <c r="H254" t="n">
        <v>0</v>
      </c>
      <c r="I254" t="n">
        <v>0</v>
      </c>
      <c r="J254" t="n">
        <v>0</v>
      </c>
      <c r="K254" t="n">
        <v>0</v>
      </c>
      <c r="L254" t="n">
        <v>0</v>
      </c>
      <c r="M254" t="n">
        <v>0</v>
      </c>
      <c r="N254" t="n">
        <v>0</v>
      </c>
      <c r="O254" t="n">
        <v>0</v>
      </c>
      <c r="P254" t="n">
        <v>0</v>
      </c>
      <c r="Q254" t="n">
        <v>0</v>
      </c>
      <c r="R254" s="2" t="inlineStr"/>
    </row>
    <row r="255" ht="15" customHeight="1">
      <c r="A255" t="inlineStr">
        <is>
          <t>A 29138-2022</t>
        </is>
      </c>
      <c r="B255" s="1" t="n">
        <v>44750</v>
      </c>
      <c r="C255" s="1" t="n">
        <v>45892</v>
      </c>
      <c r="D255" t="inlineStr">
        <is>
          <t>ÖREBRO LÄN</t>
        </is>
      </c>
      <c r="E255" t="inlineStr">
        <is>
          <t>ÖREBRO</t>
        </is>
      </c>
      <c r="G255" t="n">
        <v>3.3</v>
      </c>
      <c r="H255" t="n">
        <v>0</v>
      </c>
      <c r="I255" t="n">
        <v>0</v>
      </c>
      <c r="J255" t="n">
        <v>0</v>
      </c>
      <c r="K255" t="n">
        <v>0</v>
      </c>
      <c r="L255" t="n">
        <v>0</v>
      </c>
      <c r="M255" t="n">
        <v>0</v>
      </c>
      <c r="N255" t="n">
        <v>0</v>
      </c>
      <c r="O255" t="n">
        <v>0</v>
      </c>
      <c r="P255" t="n">
        <v>0</v>
      </c>
      <c r="Q255" t="n">
        <v>0</v>
      </c>
      <c r="R255" s="2" t="inlineStr"/>
    </row>
    <row r="256" ht="15" customHeight="1">
      <c r="A256" t="inlineStr">
        <is>
          <t>A 29143-2022</t>
        </is>
      </c>
      <c r="B256" s="1" t="n">
        <v>44750</v>
      </c>
      <c r="C256" s="1" t="n">
        <v>45892</v>
      </c>
      <c r="D256" t="inlineStr">
        <is>
          <t>ÖREBRO LÄN</t>
        </is>
      </c>
      <c r="E256" t="inlineStr">
        <is>
          <t>ÖREBRO</t>
        </is>
      </c>
      <c r="G256" t="n">
        <v>5.6</v>
      </c>
      <c r="H256" t="n">
        <v>0</v>
      </c>
      <c r="I256" t="n">
        <v>0</v>
      </c>
      <c r="J256" t="n">
        <v>0</v>
      </c>
      <c r="K256" t="n">
        <v>0</v>
      </c>
      <c r="L256" t="n">
        <v>0</v>
      </c>
      <c r="M256" t="n">
        <v>0</v>
      </c>
      <c r="N256" t="n">
        <v>0</v>
      </c>
      <c r="O256" t="n">
        <v>0</v>
      </c>
      <c r="P256" t="n">
        <v>0</v>
      </c>
      <c r="Q256" t="n">
        <v>0</v>
      </c>
      <c r="R256" s="2" t="inlineStr"/>
    </row>
    <row r="257" ht="15" customHeight="1">
      <c r="A257" t="inlineStr">
        <is>
          <t>A 14234-2024</t>
        </is>
      </c>
      <c r="B257" s="1" t="n">
        <v>45393.46980324074</v>
      </c>
      <c r="C257" s="1" t="n">
        <v>45892</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33457-2023</t>
        </is>
      </c>
      <c r="B258" s="1" t="n">
        <v>45131</v>
      </c>
      <c r="C258" s="1" t="n">
        <v>45892</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7141-2025</t>
        </is>
      </c>
      <c r="B259" s="1" t="n">
        <v>45702</v>
      </c>
      <c r="C259" s="1" t="n">
        <v>45892</v>
      </c>
      <c r="D259" t="inlineStr">
        <is>
          <t>ÖREBRO LÄN</t>
        </is>
      </c>
      <c r="E259" t="inlineStr">
        <is>
          <t>ÖREBRO</t>
        </is>
      </c>
      <c r="G259" t="n">
        <v>2.9</v>
      </c>
      <c r="H259" t="n">
        <v>0</v>
      </c>
      <c r="I259" t="n">
        <v>0</v>
      </c>
      <c r="J259" t="n">
        <v>0</v>
      </c>
      <c r="K259" t="n">
        <v>0</v>
      </c>
      <c r="L259" t="n">
        <v>0</v>
      </c>
      <c r="M259" t="n">
        <v>0</v>
      </c>
      <c r="N259" t="n">
        <v>0</v>
      </c>
      <c r="O259" t="n">
        <v>0</v>
      </c>
      <c r="P259" t="n">
        <v>0</v>
      </c>
      <c r="Q259" t="n">
        <v>0</v>
      </c>
      <c r="R259" s="2" t="inlineStr"/>
    </row>
    <row r="260" ht="15" customHeight="1">
      <c r="A260" t="inlineStr">
        <is>
          <t>A 4557-2023</t>
        </is>
      </c>
      <c r="B260" s="1" t="n">
        <v>44956.6655787037</v>
      </c>
      <c r="C260" s="1" t="n">
        <v>45892</v>
      </c>
      <c r="D260" t="inlineStr">
        <is>
          <t>ÖREBRO LÄN</t>
        </is>
      </c>
      <c r="E260" t="inlineStr">
        <is>
          <t>ÖREBRO</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53558-2023</t>
        </is>
      </c>
      <c r="B261" s="1" t="n">
        <v>45230.47266203703</v>
      </c>
      <c r="C261" s="1" t="n">
        <v>45892</v>
      </c>
      <c r="D261" t="inlineStr">
        <is>
          <t>ÖREBRO LÄN</t>
        </is>
      </c>
      <c r="E261" t="inlineStr">
        <is>
          <t>ÖREBRO</t>
        </is>
      </c>
      <c r="F261" t="inlineStr">
        <is>
          <t>Övriga Aktiebolag</t>
        </is>
      </c>
      <c r="G261" t="n">
        <v>4.7</v>
      </c>
      <c r="H261" t="n">
        <v>0</v>
      </c>
      <c r="I261" t="n">
        <v>0</v>
      </c>
      <c r="J261" t="n">
        <v>0</v>
      </c>
      <c r="K261" t="n">
        <v>0</v>
      </c>
      <c r="L261" t="n">
        <v>0</v>
      </c>
      <c r="M261" t="n">
        <v>0</v>
      </c>
      <c r="N261" t="n">
        <v>0</v>
      </c>
      <c r="O261" t="n">
        <v>0</v>
      </c>
      <c r="P261" t="n">
        <v>0</v>
      </c>
      <c r="Q261" t="n">
        <v>0</v>
      </c>
      <c r="R261" s="2" t="inlineStr"/>
    </row>
    <row r="262" ht="15" customHeight="1">
      <c r="A262" t="inlineStr">
        <is>
          <t>A 46518-2023</t>
        </is>
      </c>
      <c r="B262" s="1" t="n">
        <v>45197.72777777778</v>
      </c>
      <c r="C262" s="1" t="n">
        <v>45892</v>
      </c>
      <c r="D262" t="inlineStr">
        <is>
          <t>ÖREBRO LÄN</t>
        </is>
      </c>
      <c r="E262" t="inlineStr">
        <is>
          <t>ÖREBRO</t>
        </is>
      </c>
      <c r="G262" t="n">
        <v>2.2</v>
      </c>
      <c r="H262" t="n">
        <v>0</v>
      </c>
      <c r="I262" t="n">
        <v>0</v>
      </c>
      <c r="J262" t="n">
        <v>0</v>
      </c>
      <c r="K262" t="n">
        <v>0</v>
      </c>
      <c r="L262" t="n">
        <v>0</v>
      </c>
      <c r="M262" t="n">
        <v>0</v>
      </c>
      <c r="N262" t="n">
        <v>0</v>
      </c>
      <c r="O262" t="n">
        <v>0</v>
      </c>
      <c r="P262" t="n">
        <v>0</v>
      </c>
      <c r="Q262" t="n">
        <v>0</v>
      </c>
      <c r="R262" s="2" t="inlineStr"/>
    </row>
    <row r="263" ht="15" customHeight="1">
      <c r="A263" t="inlineStr">
        <is>
          <t>A 22677-2022</t>
        </is>
      </c>
      <c r="B263" s="1" t="n">
        <v>44714</v>
      </c>
      <c r="C263" s="1" t="n">
        <v>45892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7692-2023</t>
        </is>
      </c>
      <c r="B264" s="1" t="n">
        <v>44972.7762962963</v>
      </c>
      <c r="C264" s="1" t="n">
        <v>45892</v>
      </c>
      <c r="D264" t="inlineStr">
        <is>
          <t>ÖREBRO LÄN</t>
        </is>
      </c>
      <c r="E264" t="inlineStr">
        <is>
          <t>ÖREBRO</t>
        </is>
      </c>
      <c r="G264" t="n">
        <v>1.5</v>
      </c>
      <c r="H264" t="n">
        <v>0</v>
      </c>
      <c r="I264" t="n">
        <v>0</v>
      </c>
      <c r="J264" t="n">
        <v>0</v>
      </c>
      <c r="K264" t="n">
        <v>0</v>
      </c>
      <c r="L264" t="n">
        <v>0</v>
      </c>
      <c r="M264" t="n">
        <v>0</v>
      </c>
      <c r="N264" t="n">
        <v>0</v>
      </c>
      <c r="O264" t="n">
        <v>0</v>
      </c>
      <c r="P264" t="n">
        <v>0</v>
      </c>
      <c r="Q264" t="n">
        <v>0</v>
      </c>
      <c r="R264" s="2" t="inlineStr"/>
    </row>
    <row r="265" ht="15" customHeight="1">
      <c r="A265" t="inlineStr">
        <is>
          <t>A 13169-2024</t>
        </is>
      </c>
      <c r="B265" s="1" t="n">
        <v>45386.40489583334</v>
      </c>
      <c r="C265" s="1" t="n">
        <v>45892</v>
      </c>
      <c r="D265" t="inlineStr">
        <is>
          <t>ÖREBRO LÄN</t>
        </is>
      </c>
      <c r="E265" t="inlineStr">
        <is>
          <t>ÖREBRO</t>
        </is>
      </c>
      <c r="G265" t="n">
        <v>4.3</v>
      </c>
      <c r="H265" t="n">
        <v>0</v>
      </c>
      <c r="I265" t="n">
        <v>0</v>
      </c>
      <c r="J265" t="n">
        <v>0</v>
      </c>
      <c r="K265" t="n">
        <v>0</v>
      </c>
      <c r="L265" t="n">
        <v>0</v>
      </c>
      <c r="M265" t="n">
        <v>0</v>
      </c>
      <c r="N265" t="n">
        <v>0</v>
      </c>
      <c r="O265" t="n">
        <v>0</v>
      </c>
      <c r="P265" t="n">
        <v>0</v>
      </c>
      <c r="Q265" t="n">
        <v>0</v>
      </c>
      <c r="R265" s="2" t="inlineStr"/>
    </row>
    <row r="266" ht="15" customHeight="1">
      <c r="A266" t="inlineStr">
        <is>
          <t>A 16739-2023</t>
        </is>
      </c>
      <c r="B266" s="1" t="n">
        <v>45030.72627314815</v>
      </c>
      <c r="C266" s="1" t="n">
        <v>45892</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23710-2022</t>
        </is>
      </c>
      <c r="B267" s="1" t="n">
        <v>44722</v>
      </c>
      <c r="C267" s="1" t="n">
        <v>45892</v>
      </c>
      <c r="D267" t="inlineStr">
        <is>
          <t>ÖREBRO LÄN</t>
        </is>
      </c>
      <c r="E267" t="inlineStr">
        <is>
          <t>ÖREBRO</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4757-2024</t>
        </is>
      </c>
      <c r="B268" s="1" t="n">
        <v>45328</v>
      </c>
      <c r="C268" s="1" t="n">
        <v>45892</v>
      </c>
      <c r="D268" t="inlineStr">
        <is>
          <t>ÖREBRO LÄN</t>
        </is>
      </c>
      <c r="E268" t="inlineStr">
        <is>
          <t>ÖREBRO</t>
        </is>
      </c>
      <c r="G268" t="n">
        <v>1.9</v>
      </c>
      <c r="H268" t="n">
        <v>0</v>
      </c>
      <c r="I268" t="n">
        <v>0</v>
      </c>
      <c r="J268" t="n">
        <v>0</v>
      </c>
      <c r="K268" t="n">
        <v>0</v>
      </c>
      <c r="L268" t="n">
        <v>0</v>
      </c>
      <c r="M268" t="n">
        <v>0</v>
      </c>
      <c r="N268" t="n">
        <v>0</v>
      </c>
      <c r="O268" t="n">
        <v>0</v>
      </c>
      <c r="P268" t="n">
        <v>0</v>
      </c>
      <c r="Q268" t="n">
        <v>0</v>
      </c>
      <c r="R268" s="2" t="inlineStr"/>
    </row>
    <row r="269" ht="15" customHeight="1">
      <c r="A269" t="inlineStr">
        <is>
          <t>A 46050-2024</t>
        </is>
      </c>
      <c r="B269" s="1" t="n">
        <v>45580.88078703704</v>
      </c>
      <c r="C269" s="1" t="n">
        <v>45892</v>
      </c>
      <c r="D269" t="inlineStr">
        <is>
          <t>ÖREBRO LÄN</t>
        </is>
      </c>
      <c r="E269" t="inlineStr">
        <is>
          <t>ÖREBRO</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46056-2024</t>
        </is>
      </c>
      <c r="B270" s="1" t="n">
        <v>45580.91502314815</v>
      </c>
      <c r="C270" s="1" t="n">
        <v>45892</v>
      </c>
      <c r="D270" t="inlineStr">
        <is>
          <t>ÖREBRO LÄN</t>
        </is>
      </c>
      <c r="E270" t="inlineStr">
        <is>
          <t>ÖREBRO</t>
        </is>
      </c>
      <c r="F270" t="inlineStr">
        <is>
          <t>Övriga Aktiebolag</t>
        </is>
      </c>
      <c r="G270" t="n">
        <v>4.5</v>
      </c>
      <c r="H270" t="n">
        <v>0</v>
      </c>
      <c r="I270" t="n">
        <v>0</v>
      </c>
      <c r="J270" t="n">
        <v>0</v>
      </c>
      <c r="K270" t="n">
        <v>0</v>
      </c>
      <c r="L270" t="n">
        <v>0</v>
      </c>
      <c r="M270" t="n">
        <v>0</v>
      </c>
      <c r="N270" t="n">
        <v>0</v>
      </c>
      <c r="O270" t="n">
        <v>0</v>
      </c>
      <c r="P270" t="n">
        <v>0</v>
      </c>
      <c r="Q270" t="n">
        <v>0</v>
      </c>
      <c r="R270" s="2" t="inlineStr"/>
    </row>
    <row r="271" ht="15" customHeight="1">
      <c r="A271" t="inlineStr">
        <is>
          <t>A 30903-2024</t>
        </is>
      </c>
      <c r="B271" s="1" t="n">
        <v>45498.49946759259</v>
      </c>
      <c r="C271" s="1" t="n">
        <v>45892</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57638-2022</t>
        </is>
      </c>
      <c r="B272" s="1" t="n">
        <v>44897</v>
      </c>
      <c r="C272" s="1" t="n">
        <v>45892</v>
      </c>
      <c r="D272" t="inlineStr">
        <is>
          <t>ÖREBRO LÄN</t>
        </is>
      </c>
      <c r="E272" t="inlineStr">
        <is>
          <t>ÖREBRO</t>
        </is>
      </c>
      <c r="G272" t="n">
        <v>1.6</v>
      </c>
      <c r="H272" t="n">
        <v>0</v>
      </c>
      <c r="I272" t="n">
        <v>0</v>
      </c>
      <c r="J272" t="n">
        <v>0</v>
      </c>
      <c r="K272" t="n">
        <v>0</v>
      </c>
      <c r="L272" t="n">
        <v>0</v>
      </c>
      <c r="M272" t="n">
        <v>0</v>
      </c>
      <c r="N272" t="n">
        <v>0</v>
      </c>
      <c r="O272" t="n">
        <v>0</v>
      </c>
      <c r="P272" t="n">
        <v>0</v>
      </c>
      <c r="Q272" t="n">
        <v>0</v>
      </c>
      <c r="R272" s="2" t="inlineStr"/>
    </row>
    <row r="273" ht="15" customHeight="1">
      <c r="A273" t="inlineStr">
        <is>
          <t>A 47193-2023</t>
        </is>
      </c>
      <c r="B273" s="1" t="n">
        <v>45202.3074537037</v>
      </c>
      <c r="C273" s="1" t="n">
        <v>45892</v>
      </c>
      <c r="D273" t="inlineStr">
        <is>
          <t>ÖREBRO LÄN</t>
        </is>
      </c>
      <c r="E273" t="inlineStr">
        <is>
          <t>ÖREBRO</t>
        </is>
      </c>
      <c r="G273" t="n">
        <v>2.4</v>
      </c>
      <c r="H273" t="n">
        <v>0</v>
      </c>
      <c r="I273" t="n">
        <v>0</v>
      </c>
      <c r="J273" t="n">
        <v>0</v>
      </c>
      <c r="K273" t="n">
        <v>0</v>
      </c>
      <c r="L273" t="n">
        <v>0</v>
      </c>
      <c r="M273" t="n">
        <v>0</v>
      </c>
      <c r="N273" t="n">
        <v>0</v>
      </c>
      <c r="O273" t="n">
        <v>0</v>
      </c>
      <c r="P273" t="n">
        <v>0</v>
      </c>
      <c r="Q273" t="n">
        <v>0</v>
      </c>
      <c r="R273" s="2" t="inlineStr"/>
    </row>
    <row r="274" ht="15" customHeight="1">
      <c r="A274" t="inlineStr">
        <is>
          <t>A 59026-2024</t>
        </is>
      </c>
      <c r="B274" s="1" t="n">
        <v>45636.6875</v>
      </c>
      <c r="C274" s="1" t="n">
        <v>45892</v>
      </c>
      <c r="D274" t="inlineStr">
        <is>
          <t>ÖREBRO LÄN</t>
        </is>
      </c>
      <c r="E274" t="inlineStr">
        <is>
          <t>ÖREBRO</t>
        </is>
      </c>
      <c r="G274" t="n">
        <v>0.9</v>
      </c>
      <c r="H274" t="n">
        <v>0</v>
      </c>
      <c r="I274" t="n">
        <v>0</v>
      </c>
      <c r="J274" t="n">
        <v>0</v>
      </c>
      <c r="K274" t="n">
        <v>0</v>
      </c>
      <c r="L274" t="n">
        <v>0</v>
      </c>
      <c r="M274" t="n">
        <v>0</v>
      </c>
      <c r="N274" t="n">
        <v>0</v>
      </c>
      <c r="O274" t="n">
        <v>0</v>
      </c>
      <c r="P274" t="n">
        <v>0</v>
      </c>
      <c r="Q274" t="n">
        <v>0</v>
      </c>
      <c r="R274" s="2" t="inlineStr"/>
    </row>
    <row r="275" ht="15" customHeight="1">
      <c r="A275" t="inlineStr">
        <is>
          <t>A 17465-2023</t>
        </is>
      </c>
      <c r="B275" s="1" t="n">
        <v>45036</v>
      </c>
      <c r="C275" s="1" t="n">
        <v>45892</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8274-2025</t>
        </is>
      </c>
      <c r="B276" s="1" t="n">
        <v>45708</v>
      </c>
      <c r="C276" s="1" t="n">
        <v>45892</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49465-2024</t>
        </is>
      </c>
      <c r="B277" s="1" t="n">
        <v>45596</v>
      </c>
      <c r="C277" s="1" t="n">
        <v>45892</v>
      </c>
      <c r="D277" t="inlineStr">
        <is>
          <t>ÖREBRO LÄN</t>
        </is>
      </c>
      <c r="E277" t="inlineStr">
        <is>
          <t>ÖREBRO</t>
        </is>
      </c>
      <c r="F277" t="inlineStr">
        <is>
          <t>Övriga Aktiebolag</t>
        </is>
      </c>
      <c r="G277" t="n">
        <v>21</v>
      </c>
      <c r="H277" t="n">
        <v>0</v>
      </c>
      <c r="I277" t="n">
        <v>0</v>
      </c>
      <c r="J277" t="n">
        <v>0</v>
      </c>
      <c r="K277" t="n">
        <v>0</v>
      </c>
      <c r="L277" t="n">
        <v>0</v>
      </c>
      <c r="M277" t="n">
        <v>0</v>
      </c>
      <c r="N277" t="n">
        <v>0</v>
      </c>
      <c r="O277" t="n">
        <v>0</v>
      </c>
      <c r="P277" t="n">
        <v>0</v>
      </c>
      <c r="Q277" t="n">
        <v>0</v>
      </c>
      <c r="R277" s="2" t="inlineStr"/>
    </row>
    <row r="278" ht="15" customHeight="1">
      <c r="A278" t="inlineStr">
        <is>
          <t>A 7634-2024</t>
        </is>
      </c>
      <c r="B278" s="1" t="n">
        <v>45348</v>
      </c>
      <c r="C278" s="1" t="n">
        <v>45892</v>
      </c>
      <c r="D278" t="inlineStr">
        <is>
          <t>ÖREBRO LÄN</t>
        </is>
      </c>
      <c r="E278" t="inlineStr">
        <is>
          <t>ÖREBRO</t>
        </is>
      </c>
      <c r="G278" t="n">
        <v>1.8</v>
      </c>
      <c r="H278" t="n">
        <v>0</v>
      </c>
      <c r="I278" t="n">
        <v>0</v>
      </c>
      <c r="J278" t="n">
        <v>0</v>
      </c>
      <c r="K278" t="n">
        <v>0</v>
      </c>
      <c r="L278" t="n">
        <v>0</v>
      </c>
      <c r="M278" t="n">
        <v>0</v>
      </c>
      <c r="N278" t="n">
        <v>0</v>
      </c>
      <c r="O278" t="n">
        <v>0</v>
      </c>
      <c r="P278" t="n">
        <v>0</v>
      </c>
      <c r="Q278" t="n">
        <v>0</v>
      </c>
      <c r="R278" s="2" t="inlineStr"/>
    </row>
    <row r="279" ht="15" customHeight="1">
      <c r="A279" t="inlineStr">
        <is>
          <t>A 38842-2022</t>
        </is>
      </c>
      <c r="B279" s="1" t="n">
        <v>44814</v>
      </c>
      <c r="C279" s="1" t="n">
        <v>45892</v>
      </c>
      <c r="D279" t="inlineStr">
        <is>
          <t>ÖREBRO LÄN</t>
        </is>
      </c>
      <c r="E279" t="inlineStr">
        <is>
          <t>ÖREBRO</t>
        </is>
      </c>
      <c r="G279" t="n">
        <v>5</v>
      </c>
      <c r="H279" t="n">
        <v>0</v>
      </c>
      <c r="I279" t="n">
        <v>0</v>
      </c>
      <c r="J279" t="n">
        <v>0</v>
      </c>
      <c r="K279" t="n">
        <v>0</v>
      </c>
      <c r="L279" t="n">
        <v>0</v>
      </c>
      <c r="M279" t="n">
        <v>0</v>
      </c>
      <c r="N279" t="n">
        <v>0</v>
      </c>
      <c r="O279" t="n">
        <v>0</v>
      </c>
      <c r="P279" t="n">
        <v>0</v>
      </c>
      <c r="Q279" t="n">
        <v>0</v>
      </c>
      <c r="R279" s="2" t="inlineStr"/>
    </row>
    <row r="280" ht="15" customHeight="1">
      <c r="A280" t="inlineStr">
        <is>
          <t>A 58208-2024</t>
        </is>
      </c>
      <c r="B280" s="1" t="n">
        <v>45632</v>
      </c>
      <c r="C280" s="1" t="n">
        <v>45892</v>
      </c>
      <c r="D280" t="inlineStr">
        <is>
          <t>ÖREBRO LÄN</t>
        </is>
      </c>
      <c r="E280" t="inlineStr">
        <is>
          <t>ÖREBRO</t>
        </is>
      </c>
      <c r="G280" t="n">
        <v>3.1</v>
      </c>
      <c r="H280" t="n">
        <v>0</v>
      </c>
      <c r="I280" t="n">
        <v>0</v>
      </c>
      <c r="J280" t="n">
        <v>0</v>
      </c>
      <c r="K280" t="n">
        <v>0</v>
      </c>
      <c r="L280" t="n">
        <v>0</v>
      </c>
      <c r="M280" t="n">
        <v>0</v>
      </c>
      <c r="N280" t="n">
        <v>0</v>
      </c>
      <c r="O280" t="n">
        <v>0</v>
      </c>
      <c r="P280" t="n">
        <v>0</v>
      </c>
      <c r="Q280" t="n">
        <v>0</v>
      </c>
      <c r="R280" s="2" t="inlineStr"/>
    </row>
    <row r="281" ht="15" customHeight="1">
      <c r="A281" t="inlineStr">
        <is>
          <t>A 37022-2024</t>
        </is>
      </c>
      <c r="B281" s="1" t="n">
        <v>45539.3822337963</v>
      </c>
      <c r="C281" s="1" t="n">
        <v>45892</v>
      </c>
      <c r="D281" t="inlineStr">
        <is>
          <t>ÖREBRO LÄN</t>
        </is>
      </c>
      <c r="E281" t="inlineStr">
        <is>
          <t>ÖREBRO</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37024-2024</t>
        </is>
      </c>
      <c r="B282" s="1" t="n">
        <v>45539.38329861111</v>
      </c>
      <c r="C282" s="1" t="n">
        <v>45892</v>
      </c>
      <c r="D282" t="inlineStr">
        <is>
          <t>ÖREBRO LÄN</t>
        </is>
      </c>
      <c r="E282" t="inlineStr">
        <is>
          <t>ÖREBRO</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71266-2021</t>
        </is>
      </c>
      <c r="B283" s="1" t="n">
        <v>44539</v>
      </c>
      <c r="C283" s="1" t="n">
        <v>45892</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71267-2021</t>
        </is>
      </c>
      <c r="B284" s="1" t="n">
        <v>44539</v>
      </c>
      <c r="C284" s="1" t="n">
        <v>45892</v>
      </c>
      <c r="D284" t="inlineStr">
        <is>
          <t>ÖREBRO LÄN</t>
        </is>
      </c>
      <c r="E284" t="inlineStr">
        <is>
          <t>ÖREBRO</t>
        </is>
      </c>
      <c r="G284" t="n">
        <v>1.7</v>
      </c>
      <c r="H284" t="n">
        <v>0</v>
      </c>
      <c r="I284" t="n">
        <v>0</v>
      </c>
      <c r="J284" t="n">
        <v>0</v>
      </c>
      <c r="K284" t="n">
        <v>0</v>
      </c>
      <c r="L284" t="n">
        <v>0</v>
      </c>
      <c r="M284" t="n">
        <v>0</v>
      </c>
      <c r="N284" t="n">
        <v>0</v>
      </c>
      <c r="O284" t="n">
        <v>0</v>
      </c>
      <c r="P284" t="n">
        <v>0</v>
      </c>
      <c r="Q284" t="n">
        <v>0</v>
      </c>
      <c r="R284" s="2" t="inlineStr"/>
    </row>
    <row r="285" ht="15" customHeight="1">
      <c r="A285" t="inlineStr">
        <is>
          <t>A 71280-2021</t>
        </is>
      </c>
      <c r="B285" s="1" t="n">
        <v>44539</v>
      </c>
      <c r="C285" s="1" t="n">
        <v>45892</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21983-2021</t>
        </is>
      </c>
      <c r="B286" s="1" t="n">
        <v>44323</v>
      </c>
      <c r="C286" s="1" t="n">
        <v>45892</v>
      </c>
      <c r="D286" t="inlineStr">
        <is>
          <t>ÖREBRO LÄN</t>
        </is>
      </c>
      <c r="E286" t="inlineStr">
        <is>
          <t>ÖREBRO</t>
        </is>
      </c>
      <c r="F286" t="inlineStr">
        <is>
          <t>Övriga Aktiebolag</t>
        </is>
      </c>
      <c r="G286" t="n">
        <v>0.7</v>
      </c>
      <c r="H286" t="n">
        <v>0</v>
      </c>
      <c r="I286" t="n">
        <v>0</v>
      </c>
      <c r="J286" t="n">
        <v>0</v>
      </c>
      <c r="K286" t="n">
        <v>0</v>
      </c>
      <c r="L286" t="n">
        <v>0</v>
      </c>
      <c r="M286" t="n">
        <v>0</v>
      </c>
      <c r="N286" t="n">
        <v>0</v>
      </c>
      <c r="O286" t="n">
        <v>0</v>
      </c>
      <c r="P286" t="n">
        <v>0</v>
      </c>
      <c r="Q286" t="n">
        <v>0</v>
      </c>
      <c r="R286" s="2" t="inlineStr"/>
    </row>
    <row r="287" ht="15" customHeight="1">
      <c r="A287" t="inlineStr">
        <is>
          <t>A 62497-2023</t>
        </is>
      </c>
      <c r="B287" s="1" t="n">
        <v>45268.59935185185</v>
      </c>
      <c r="C287" s="1" t="n">
        <v>45892</v>
      </c>
      <c r="D287" t="inlineStr">
        <is>
          <t>ÖREBRO LÄN</t>
        </is>
      </c>
      <c r="E287" t="inlineStr">
        <is>
          <t>ÖREBRO</t>
        </is>
      </c>
      <c r="F287" t="inlineStr">
        <is>
          <t>Övriga Aktiebolag</t>
        </is>
      </c>
      <c r="G287" t="n">
        <v>3.2</v>
      </c>
      <c r="H287" t="n">
        <v>0</v>
      </c>
      <c r="I287" t="n">
        <v>0</v>
      </c>
      <c r="J287" t="n">
        <v>0</v>
      </c>
      <c r="K287" t="n">
        <v>0</v>
      </c>
      <c r="L287" t="n">
        <v>0</v>
      </c>
      <c r="M287" t="n">
        <v>0</v>
      </c>
      <c r="N287" t="n">
        <v>0</v>
      </c>
      <c r="O287" t="n">
        <v>0</v>
      </c>
      <c r="P287" t="n">
        <v>0</v>
      </c>
      <c r="Q287" t="n">
        <v>0</v>
      </c>
      <c r="R287" s="2" t="inlineStr"/>
    </row>
    <row r="288" ht="15" customHeight="1">
      <c r="A288" t="inlineStr">
        <is>
          <t>A 33294-2023</t>
        </is>
      </c>
      <c r="B288" s="1" t="n">
        <v>45127</v>
      </c>
      <c r="C288" s="1" t="n">
        <v>45892</v>
      </c>
      <c r="D288" t="inlineStr">
        <is>
          <t>ÖREBRO LÄN</t>
        </is>
      </c>
      <c r="E288" t="inlineStr">
        <is>
          <t>ÖREBRO</t>
        </is>
      </c>
      <c r="F288" t="inlineStr">
        <is>
          <t>Övriga Aktiebolag</t>
        </is>
      </c>
      <c r="G288" t="n">
        <v>6.7</v>
      </c>
      <c r="H288" t="n">
        <v>0</v>
      </c>
      <c r="I288" t="n">
        <v>0</v>
      </c>
      <c r="J288" t="n">
        <v>0</v>
      </c>
      <c r="K288" t="n">
        <v>0</v>
      </c>
      <c r="L288" t="n">
        <v>0</v>
      </c>
      <c r="M288" t="n">
        <v>0</v>
      </c>
      <c r="N288" t="n">
        <v>0</v>
      </c>
      <c r="O288" t="n">
        <v>0</v>
      </c>
      <c r="P288" t="n">
        <v>0</v>
      </c>
      <c r="Q288" t="n">
        <v>0</v>
      </c>
      <c r="R288" s="2" t="inlineStr"/>
    </row>
    <row r="289" ht="15" customHeight="1">
      <c r="A289" t="inlineStr">
        <is>
          <t>A 47047-2022</t>
        </is>
      </c>
      <c r="B289" s="1" t="n">
        <v>44852.39063657408</v>
      </c>
      <c r="C289" s="1" t="n">
        <v>45892</v>
      </c>
      <c r="D289" t="inlineStr">
        <is>
          <t>ÖREBRO LÄN</t>
        </is>
      </c>
      <c r="E289" t="inlineStr">
        <is>
          <t>ÖREBRO</t>
        </is>
      </c>
      <c r="G289" t="n">
        <v>1.6</v>
      </c>
      <c r="H289" t="n">
        <v>0</v>
      </c>
      <c r="I289" t="n">
        <v>0</v>
      </c>
      <c r="J289" t="n">
        <v>0</v>
      </c>
      <c r="K289" t="n">
        <v>0</v>
      </c>
      <c r="L289" t="n">
        <v>0</v>
      </c>
      <c r="M289" t="n">
        <v>0</v>
      </c>
      <c r="N289" t="n">
        <v>0</v>
      </c>
      <c r="O289" t="n">
        <v>0</v>
      </c>
      <c r="P289" t="n">
        <v>0</v>
      </c>
      <c r="Q289" t="n">
        <v>0</v>
      </c>
      <c r="R289" s="2" t="inlineStr"/>
    </row>
    <row r="290" ht="15" customHeight="1">
      <c r="A290" t="inlineStr">
        <is>
          <t>A 46052-2024</t>
        </is>
      </c>
      <c r="B290" s="1" t="n">
        <v>45580.89116898148</v>
      </c>
      <c r="C290" s="1" t="n">
        <v>45892</v>
      </c>
      <c r="D290" t="inlineStr">
        <is>
          <t>ÖREBRO LÄN</t>
        </is>
      </c>
      <c r="E290" t="inlineStr">
        <is>
          <t>ÖREBRO</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36635-2023</t>
        </is>
      </c>
      <c r="B291" s="1" t="n">
        <v>45153</v>
      </c>
      <c r="C291" s="1" t="n">
        <v>45892</v>
      </c>
      <c r="D291" t="inlineStr">
        <is>
          <t>ÖREBRO LÄN</t>
        </is>
      </c>
      <c r="E291" t="inlineStr">
        <is>
          <t>ÖREBRO</t>
        </is>
      </c>
      <c r="G291" t="n">
        <v>1.9</v>
      </c>
      <c r="H291" t="n">
        <v>0</v>
      </c>
      <c r="I291" t="n">
        <v>0</v>
      </c>
      <c r="J291" t="n">
        <v>0</v>
      </c>
      <c r="K291" t="n">
        <v>0</v>
      </c>
      <c r="L291" t="n">
        <v>0</v>
      </c>
      <c r="M291" t="n">
        <v>0</v>
      </c>
      <c r="N291" t="n">
        <v>0</v>
      </c>
      <c r="O291" t="n">
        <v>0</v>
      </c>
      <c r="P291" t="n">
        <v>0</v>
      </c>
      <c r="Q291" t="n">
        <v>0</v>
      </c>
      <c r="R291" s="2" t="inlineStr"/>
    </row>
    <row r="292" ht="15" customHeight="1">
      <c r="A292" t="inlineStr">
        <is>
          <t>A 681-2024</t>
        </is>
      </c>
      <c r="B292" s="1" t="n">
        <v>45300</v>
      </c>
      <c r="C292" s="1" t="n">
        <v>45892</v>
      </c>
      <c r="D292" t="inlineStr">
        <is>
          <t>ÖREBRO LÄN</t>
        </is>
      </c>
      <c r="E292" t="inlineStr">
        <is>
          <t>ÖREBRO</t>
        </is>
      </c>
      <c r="G292" t="n">
        <v>3.3</v>
      </c>
      <c r="H292" t="n">
        <v>0</v>
      </c>
      <c r="I292" t="n">
        <v>0</v>
      </c>
      <c r="J292" t="n">
        <v>0</v>
      </c>
      <c r="K292" t="n">
        <v>0</v>
      </c>
      <c r="L292" t="n">
        <v>0</v>
      </c>
      <c r="M292" t="n">
        <v>0</v>
      </c>
      <c r="N292" t="n">
        <v>0</v>
      </c>
      <c r="O292" t="n">
        <v>0</v>
      </c>
      <c r="P292" t="n">
        <v>0</v>
      </c>
      <c r="Q292" t="n">
        <v>0</v>
      </c>
      <c r="R292" s="2" t="inlineStr"/>
    </row>
    <row r="293" ht="15" customHeight="1">
      <c r="A293" t="inlineStr">
        <is>
          <t>A 54149-2024</t>
        </is>
      </c>
      <c r="B293" s="1" t="n">
        <v>45616</v>
      </c>
      <c r="C293" s="1" t="n">
        <v>45892</v>
      </c>
      <c r="D293" t="inlineStr">
        <is>
          <t>ÖREBRO LÄN</t>
        </is>
      </c>
      <c r="E293" t="inlineStr">
        <is>
          <t>ÖREBRO</t>
        </is>
      </c>
      <c r="G293" t="n">
        <v>2.7</v>
      </c>
      <c r="H293" t="n">
        <v>0</v>
      </c>
      <c r="I293" t="n">
        <v>0</v>
      </c>
      <c r="J293" t="n">
        <v>0</v>
      </c>
      <c r="K293" t="n">
        <v>0</v>
      </c>
      <c r="L293" t="n">
        <v>0</v>
      </c>
      <c r="M293" t="n">
        <v>0</v>
      </c>
      <c r="N293" t="n">
        <v>0</v>
      </c>
      <c r="O293" t="n">
        <v>0</v>
      </c>
      <c r="P293" t="n">
        <v>0</v>
      </c>
      <c r="Q293" t="n">
        <v>0</v>
      </c>
      <c r="R293" s="2" t="inlineStr"/>
    </row>
    <row r="294" ht="15" customHeight="1">
      <c r="A294" t="inlineStr">
        <is>
          <t>A 58598-2022</t>
        </is>
      </c>
      <c r="B294" s="1" t="n">
        <v>44902</v>
      </c>
      <c r="C294" s="1" t="n">
        <v>45892</v>
      </c>
      <c r="D294" t="inlineStr">
        <is>
          <t>ÖREBRO LÄN</t>
        </is>
      </c>
      <c r="E294" t="inlineStr">
        <is>
          <t>ÖREBRO</t>
        </is>
      </c>
      <c r="G294" t="n">
        <v>0.4</v>
      </c>
      <c r="H294" t="n">
        <v>0</v>
      </c>
      <c r="I294" t="n">
        <v>0</v>
      </c>
      <c r="J294" t="n">
        <v>0</v>
      </c>
      <c r="K294" t="n">
        <v>0</v>
      </c>
      <c r="L294" t="n">
        <v>0</v>
      </c>
      <c r="M294" t="n">
        <v>0</v>
      </c>
      <c r="N294" t="n">
        <v>0</v>
      </c>
      <c r="O294" t="n">
        <v>0</v>
      </c>
      <c r="P294" t="n">
        <v>0</v>
      </c>
      <c r="Q294" t="n">
        <v>0</v>
      </c>
      <c r="R294" s="2" t="inlineStr"/>
    </row>
    <row r="295" ht="15" customHeight="1">
      <c r="A295" t="inlineStr">
        <is>
          <t>A 21097-2025</t>
        </is>
      </c>
      <c r="B295" s="1" t="n">
        <v>45777.63863425926</v>
      </c>
      <c r="C295" s="1" t="n">
        <v>45892</v>
      </c>
      <c r="D295" t="inlineStr">
        <is>
          <t>ÖREBRO LÄN</t>
        </is>
      </c>
      <c r="E295" t="inlineStr">
        <is>
          <t>ÖREBRO</t>
        </is>
      </c>
      <c r="G295" t="n">
        <v>2.1</v>
      </c>
      <c r="H295" t="n">
        <v>0</v>
      </c>
      <c r="I295" t="n">
        <v>0</v>
      </c>
      <c r="J295" t="n">
        <v>0</v>
      </c>
      <c r="K295" t="n">
        <v>0</v>
      </c>
      <c r="L295" t="n">
        <v>0</v>
      </c>
      <c r="M295" t="n">
        <v>0</v>
      </c>
      <c r="N295" t="n">
        <v>0</v>
      </c>
      <c r="O295" t="n">
        <v>0</v>
      </c>
      <c r="P295" t="n">
        <v>0</v>
      </c>
      <c r="Q295" t="n">
        <v>0</v>
      </c>
      <c r="R295" s="2" t="inlineStr"/>
    </row>
    <row r="296" ht="15" customHeight="1">
      <c r="A296" t="inlineStr">
        <is>
          <t>A 12871-2021</t>
        </is>
      </c>
      <c r="B296" s="1" t="n">
        <v>44271.42121527778</v>
      </c>
      <c r="C296" s="1" t="n">
        <v>45892</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13158-2024</t>
        </is>
      </c>
      <c r="B297" s="1" t="n">
        <v>45386.38728009259</v>
      </c>
      <c r="C297" s="1" t="n">
        <v>45892</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15424-2022</t>
        </is>
      </c>
      <c r="B298" s="1" t="n">
        <v>44659</v>
      </c>
      <c r="C298" s="1" t="n">
        <v>45892</v>
      </c>
      <c r="D298" t="inlineStr">
        <is>
          <t>ÖREBRO LÄN</t>
        </is>
      </c>
      <c r="E298" t="inlineStr">
        <is>
          <t>ÖREBRO</t>
        </is>
      </c>
      <c r="G298" t="n">
        <v>2.2</v>
      </c>
      <c r="H298" t="n">
        <v>0</v>
      </c>
      <c r="I298" t="n">
        <v>0</v>
      </c>
      <c r="J298" t="n">
        <v>0</v>
      </c>
      <c r="K298" t="n">
        <v>0</v>
      </c>
      <c r="L298" t="n">
        <v>0</v>
      </c>
      <c r="M298" t="n">
        <v>0</v>
      </c>
      <c r="N298" t="n">
        <v>0</v>
      </c>
      <c r="O298" t="n">
        <v>0</v>
      </c>
      <c r="P298" t="n">
        <v>0</v>
      </c>
      <c r="Q298" t="n">
        <v>0</v>
      </c>
      <c r="R298" s="2" t="inlineStr"/>
    </row>
    <row r="299" ht="15" customHeight="1">
      <c r="A299" t="inlineStr">
        <is>
          <t>A 51331-2023</t>
        </is>
      </c>
      <c r="B299" s="1" t="n">
        <v>45219</v>
      </c>
      <c r="C299" s="1" t="n">
        <v>45892</v>
      </c>
      <c r="D299" t="inlineStr">
        <is>
          <t>ÖREBRO LÄN</t>
        </is>
      </c>
      <c r="E299" t="inlineStr">
        <is>
          <t>ÖREBRO</t>
        </is>
      </c>
      <c r="F299" t="inlineStr">
        <is>
          <t>Kommuner</t>
        </is>
      </c>
      <c r="G299" t="n">
        <v>1.3</v>
      </c>
      <c r="H299" t="n">
        <v>0</v>
      </c>
      <c r="I299" t="n">
        <v>0</v>
      </c>
      <c r="J299" t="n">
        <v>0</v>
      </c>
      <c r="K299" t="n">
        <v>0</v>
      </c>
      <c r="L299" t="n">
        <v>0</v>
      </c>
      <c r="M299" t="n">
        <v>0</v>
      </c>
      <c r="N299" t="n">
        <v>0</v>
      </c>
      <c r="O299" t="n">
        <v>0</v>
      </c>
      <c r="P299" t="n">
        <v>0</v>
      </c>
      <c r="Q299" t="n">
        <v>0</v>
      </c>
      <c r="R299" s="2" t="inlineStr"/>
    </row>
    <row r="300" ht="15" customHeight="1">
      <c r="A300" t="inlineStr">
        <is>
          <t>A 15682-2023</t>
        </is>
      </c>
      <c r="B300" s="1" t="n">
        <v>45021</v>
      </c>
      <c r="C300" s="1" t="n">
        <v>45892</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21578-2025</t>
        </is>
      </c>
      <c r="B301" s="1" t="n">
        <v>45782.88587962963</v>
      </c>
      <c r="C301" s="1" t="n">
        <v>45892</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34874-2022</t>
        </is>
      </c>
      <c r="B302" s="1" t="n">
        <v>44796</v>
      </c>
      <c r="C302" s="1" t="n">
        <v>45892</v>
      </c>
      <c r="D302" t="inlineStr">
        <is>
          <t>ÖREBRO LÄN</t>
        </is>
      </c>
      <c r="E302" t="inlineStr">
        <is>
          <t>ÖREBRO</t>
        </is>
      </c>
      <c r="F302" t="inlineStr">
        <is>
          <t>Övriga Aktiebolag</t>
        </is>
      </c>
      <c r="G302" t="n">
        <v>2.3</v>
      </c>
      <c r="H302" t="n">
        <v>0</v>
      </c>
      <c r="I302" t="n">
        <v>0</v>
      </c>
      <c r="J302" t="n">
        <v>0</v>
      </c>
      <c r="K302" t="n">
        <v>0</v>
      </c>
      <c r="L302" t="n">
        <v>0</v>
      </c>
      <c r="M302" t="n">
        <v>0</v>
      </c>
      <c r="N302" t="n">
        <v>0</v>
      </c>
      <c r="O302" t="n">
        <v>0</v>
      </c>
      <c r="P302" t="n">
        <v>0</v>
      </c>
      <c r="Q302" t="n">
        <v>0</v>
      </c>
      <c r="R302" s="2" t="inlineStr"/>
    </row>
    <row r="303" ht="15" customHeight="1">
      <c r="A303" t="inlineStr">
        <is>
          <t>A 852-2025</t>
        </is>
      </c>
      <c r="B303" s="1" t="n">
        <v>45665.60148148148</v>
      </c>
      <c r="C303" s="1" t="n">
        <v>45892</v>
      </c>
      <c r="D303" t="inlineStr">
        <is>
          <t>ÖREBRO LÄN</t>
        </is>
      </c>
      <c r="E303" t="inlineStr">
        <is>
          <t>ÖREBRO</t>
        </is>
      </c>
      <c r="G303" t="n">
        <v>2.9</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45892</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57247-2022</t>
        </is>
      </c>
      <c r="B305" s="1" t="n">
        <v>44895.73065972222</v>
      </c>
      <c r="C305" s="1" t="n">
        <v>45892</v>
      </c>
      <c r="D305" t="inlineStr">
        <is>
          <t>ÖREBRO LÄN</t>
        </is>
      </c>
      <c r="E305" t="inlineStr">
        <is>
          <t>ÖREBRO</t>
        </is>
      </c>
      <c r="G305" t="n">
        <v>1.6</v>
      </c>
      <c r="H305" t="n">
        <v>0</v>
      </c>
      <c r="I305" t="n">
        <v>0</v>
      </c>
      <c r="J305" t="n">
        <v>0</v>
      </c>
      <c r="K305" t="n">
        <v>0</v>
      </c>
      <c r="L305" t="n">
        <v>0</v>
      </c>
      <c r="M305" t="n">
        <v>0</v>
      </c>
      <c r="N305" t="n">
        <v>0</v>
      </c>
      <c r="O305" t="n">
        <v>0</v>
      </c>
      <c r="P305" t="n">
        <v>0</v>
      </c>
      <c r="Q305" t="n">
        <v>0</v>
      </c>
      <c r="R305" s="2" t="inlineStr"/>
    </row>
    <row r="306" ht="15" customHeight="1">
      <c r="A306" t="inlineStr">
        <is>
          <t>A 35819-2024</t>
        </is>
      </c>
      <c r="B306" s="1" t="n">
        <v>45532</v>
      </c>
      <c r="C306" s="1" t="n">
        <v>45892</v>
      </c>
      <c r="D306" t="inlineStr">
        <is>
          <t>ÖREBRO LÄN</t>
        </is>
      </c>
      <c r="E306" t="inlineStr">
        <is>
          <t>ÖREBRO</t>
        </is>
      </c>
      <c r="G306" t="n">
        <v>6.4</v>
      </c>
      <c r="H306" t="n">
        <v>0</v>
      </c>
      <c r="I306" t="n">
        <v>0</v>
      </c>
      <c r="J306" t="n">
        <v>0</v>
      </c>
      <c r="K306" t="n">
        <v>0</v>
      </c>
      <c r="L306" t="n">
        <v>0</v>
      </c>
      <c r="M306" t="n">
        <v>0</v>
      </c>
      <c r="N306" t="n">
        <v>0</v>
      </c>
      <c r="O306" t="n">
        <v>0</v>
      </c>
      <c r="P306" t="n">
        <v>0</v>
      </c>
      <c r="Q306" t="n">
        <v>0</v>
      </c>
      <c r="R306" s="2" t="inlineStr"/>
    </row>
    <row r="307" ht="15" customHeight="1">
      <c r="A307" t="inlineStr">
        <is>
          <t>A 32076-2023</t>
        </is>
      </c>
      <c r="B307" s="1" t="n">
        <v>45119.58324074074</v>
      </c>
      <c r="C307" s="1" t="n">
        <v>45892</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42636-2023</t>
        </is>
      </c>
      <c r="B308" s="1" t="n">
        <v>45181.49559027778</v>
      </c>
      <c r="C308" s="1" t="n">
        <v>45892</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58606-2024</t>
        </is>
      </c>
      <c r="B309" s="1" t="n">
        <v>45635.54747685185</v>
      </c>
      <c r="C309" s="1" t="n">
        <v>45892</v>
      </c>
      <c r="D309" t="inlineStr">
        <is>
          <t>ÖREBRO LÄN</t>
        </is>
      </c>
      <c r="E309" t="inlineStr">
        <is>
          <t>ÖREBRO</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123-2025</t>
        </is>
      </c>
      <c r="B310" s="1" t="n">
        <v>45659.54851851852</v>
      </c>
      <c r="C310" s="1" t="n">
        <v>45892</v>
      </c>
      <c r="D310" t="inlineStr">
        <is>
          <t>ÖREBRO LÄN</t>
        </is>
      </c>
      <c r="E310" t="inlineStr">
        <is>
          <t>ÖREBRO</t>
        </is>
      </c>
      <c r="G310" t="n">
        <v>1.6</v>
      </c>
      <c r="H310" t="n">
        <v>0</v>
      </c>
      <c r="I310" t="n">
        <v>0</v>
      </c>
      <c r="J310" t="n">
        <v>0</v>
      </c>
      <c r="K310" t="n">
        <v>0</v>
      </c>
      <c r="L310" t="n">
        <v>0</v>
      </c>
      <c r="M310" t="n">
        <v>0</v>
      </c>
      <c r="N310" t="n">
        <v>0</v>
      </c>
      <c r="O310" t="n">
        <v>0</v>
      </c>
      <c r="P310" t="n">
        <v>0</v>
      </c>
      <c r="Q310" t="n">
        <v>0</v>
      </c>
      <c r="R310" s="2" t="inlineStr"/>
    </row>
    <row r="311" ht="15" customHeight="1">
      <c r="A311" t="inlineStr">
        <is>
          <t>A 38583-2023</t>
        </is>
      </c>
      <c r="B311" s="1" t="n">
        <v>45162.62861111111</v>
      </c>
      <c r="C311" s="1" t="n">
        <v>45892</v>
      </c>
      <c r="D311" t="inlineStr">
        <is>
          <t>ÖREBRO LÄN</t>
        </is>
      </c>
      <c r="E311" t="inlineStr">
        <is>
          <t>ÖREBRO</t>
        </is>
      </c>
      <c r="G311" t="n">
        <v>5.7</v>
      </c>
      <c r="H311" t="n">
        <v>0</v>
      </c>
      <c r="I311" t="n">
        <v>0</v>
      </c>
      <c r="J311" t="n">
        <v>0</v>
      </c>
      <c r="K311" t="n">
        <v>0</v>
      </c>
      <c r="L311" t="n">
        <v>0</v>
      </c>
      <c r="M311" t="n">
        <v>0</v>
      </c>
      <c r="N311" t="n">
        <v>0</v>
      </c>
      <c r="O311" t="n">
        <v>0</v>
      </c>
      <c r="P311" t="n">
        <v>0</v>
      </c>
      <c r="Q311" t="n">
        <v>0</v>
      </c>
      <c r="R311" s="2" t="inlineStr"/>
    </row>
    <row r="312" ht="15" customHeight="1">
      <c r="A312" t="inlineStr">
        <is>
          <t>A 21338-2025</t>
        </is>
      </c>
      <c r="B312" s="1" t="n">
        <v>45780</v>
      </c>
      <c r="C312" s="1" t="n">
        <v>45892</v>
      </c>
      <c r="D312" t="inlineStr">
        <is>
          <t>ÖREBRO LÄN</t>
        </is>
      </c>
      <c r="E312" t="inlineStr">
        <is>
          <t>ÖREBRO</t>
        </is>
      </c>
      <c r="G312" t="n">
        <v>3.2</v>
      </c>
      <c r="H312" t="n">
        <v>0</v>
      </c>
      <c r="I312" t="n">
        <v>0</v>
      </c>
      <c r="J312" t="n">
        <v>0</v>
      </c>
      <c r="K312" t="n">
        <v>0</v>
      </c>
      <c r="L312" t="n">
        <v>0</v>
      </c>
      <c r="M312" t="n">
        <v>0</v>
      </c>
      <c r="N312" t="n">
        <v>0</v>
      </c>
      <c r="O312" t="n">
        <v>0</v>
      </c>
      <c r="P312" t="n">
        <v>0</v>
      </c>
      <c r="Q312" t="n">
        <v>0</v>
      </c>
      <c r="R312" s="2" t="inlineStr"/>
    </row>
    <row r="313" ht="15" customHeight="1">
      <c r="A313" t="inlineStr">
        <is>
          <t>A 37012-2024</t>
        </is>
      </c>
      <c r="B313" s="1" t="n">
        <v>45539</v>
      </c>
      <c r="C313" s="1" t="n">
        <v>45892</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37020-2024</t>
        </is>
      </c>
      <c r="B314" s="1" t="n">
        <v>45539.38059027777</v>
      </c>
      <c r="C314" s="1" t="n">
        <v>45892</v>
      </c>
      <c r="D314" t="inlineStr">
        <is>
          <t>ÖREBRO LÄN</t>
        </is>
      </c>
      <c r="E314" t="inlineStr">
        <is>
          <t>ÖREBRO</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55745-2023</t>
        </is>
      </c>
      <c r="B315" s="1" t="n">
        <v>45239.44811342593</v>
      </c>
      <c r="C315" s="1" t="n">
        <v>45892</v>
      </c>
      <c r="D315" t="inlineStr">
        <is>
          <t>ÖREBRO LÄN</t>
        </is>
      </c>
      <c r="E315" t="inlineStr">
        <is>
          <t>ÖREBRO</t>
        </is>
      </c>
      <c r="G315" t="n">
        <v>13.3</v>
      </c>
      <c r="H315" t="n">
        <v>0</v>
      </c>
      <c r="I315" t="n">
        <v>0</v>
      </c>
      <c r="J315" t="n">
        <v>0</v>
      </c>
      <c r="K315" t="n">
        <v>0</v>
      </c>
      <c r="L315" t="n">
        <v>0</v>
      </c>
      <c r="M315" t="n">
        <v>0</v>
      </c>
      <c r="N315" t="n">
        <v>0</v>
      </c>
      <c r="O315" t="n">
        <v>0</v>
      </c>
      <c r="P315" t="n">
        <v>0</v>
      </c>
      <c r="Q315" t="n">
        <v>0</v>
      </c>
      <c r="R315" s="2" t="inlineStr"/>
    </row>
    <row r="316" ht="15" customHeight="1">
      <c r="A316" t="inlineStr">
        <is>
          <t>A 38573-2023</t>
        </is>
      </c>
      <c r="B316" s="1" t="n">
        <v>45162.61837962963</v>
      </c>
      <c r="C316" s="1" t="n">
        <v>45892</v>
      </c>
      <c r="D316" t="inlineStr">
        <is>
          <t>ÖREBRO LÄN</t>
        </is>
      </c>
      <c r="E316" t="inlineStr">
        <is>
          <t>ÖREBRO</t>
        </is>
      </c>
      <c r="G316" t="n">
        <v>2.2</v>
      </c>
      <c r="H316" t="n">
        <v>0</v>
      </c>
      <c r="I316" t="n">
        <v>0</v>
      </c>
      <c r="J316" t="n">
        <v>0</v>
      </c>
      <c r="K316" t="n">
        <v>0</v>
      </c>
      <c r="L316" t="n">
        <v>0</v>
      </c>
      <c r="M316" t="n">
        <v>0</v>
      </c>
      <c r="N316" t="n">
        <v>0</v>
      </c>
      <c r="O316" t="n">
        <v>0</v>
      </c>
      <c r="P316" t="n">
        <v>0</v>
      </c>
      <c r="Q316" t="n">
        <v>0</v>
      </c>
      <c r="R316" s="2" t="inlineStr"/>
    </row>
    <row r="317" ht="15" customHeight="1">
      <c r="A317" t="inlineStr">
        <is>
          <t>A 16958-2022</t>
        </is>
      </c>
      <c r="B317" s="1" t="n">
        <v>44676.50481481481</v>
      </c>
      <c r="C317" s="1" t="n">
        <v>45892</v>
      </c>
      <c r="D317" t="inlineStr">
        <is>
          <t>ÖREBRO LÄN</t>
        </is>
      </c>
      <c r="E317" t="inlineStr">
        <is>
          <t>ÖREBRO</t>
        </is>
      </c>
      <c r="G317" t="n">
        <v>3.1</v>
      </c>
      <c r="H317" t="n">
        <v>0</v>
      </c>
      <c r="I317" t="n">
        <v>0</v>
      </c>
      <c r="J317" t="n">
        <v>0</v>
      </c>
      <c r="K317" t="n">
        <v>0</v>
      </c>
      <c r="L317" t="n">
        <v>0</v>
      </c>
      <c r="M317" t="n">
        <v>0</v>
      </c>
      <c r="N317" t="n">
        <v>0</v>
      </c>
      <c r="O317" t="n">
        <v>0</v>
      </c>
      <c r="P317" t="n">
        <v>0</v>
      </c>
      <c r="Q317" t="n">
        <v>0</v>
      </c>
      <c r="R317" s="2" t="inlineStr"/>
    </row>
    <row r="318" ht="15" customHeight="1">
      <c r="A318" t="inlineStr">
        <is>
          <t>A 5338-2024</t>
        </is>
      </c>
      <c r="B318" s="1" t="n">
        <v>45331</v>
      </c>
      <c r="C318" s="1" t="n">
        <v>45892</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4970-2022</t>
        </is>
      </c>
      <c r="B319" s="1" t="n">
        <v>44593.51175925926</v>
      </c>
      <c r="C319" s="1" t="n">
        <v>45892</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58644-2023</t>
        </is>
      </c>
      <c r="B320" s="1" t="n">
        <v>45251.58716435185</v>
      </c>
      <c r="C320" s="1" t="n">
        <v>45892</v>
      </c>
      <c r="D320" t="inlineStr">
        <is>
          <t>ÖREBRO LÄN</t>
        </is>
      </c>
      <c r="E320" t="inlineStr">
        <is>
          <t>ÖREBRO</t>
        </is>
      </c>
      <c r="F320" t="inlineStr">
        <is>
          <t>Övriga Aktiebolag</t>
        </is>
      </c>
      <c r="G320" t="n">
        <v>1.9</v>
      </c>
      <c r="H320" t="n">
        <v>0</v>
      </c>
      <c r="I320" t="n">
        <v>0</v>
      </c>
      <c r="J320" t="n">
        <v>0</v>
      </c>
      <c r="K320" t="n">
        <v>0</v>
      </c>
      <c r="L320" t="n">
        <v>0</v>
      </c>
      <c r="M320" t="n">
        <v>0</v>
      </c>
      <c r="N320" t="n">
        <v>0</v>
      </c>
      <c r="O320" t="n">
        <v>0</v>
      </c>
      <c r="P320" t="n">
        <v>0</v>
      </c>
      <c r="Q320" t="n">
        <v>0</v>
      </c>
      <c r="R320" s="2" t="inlineStr"/>
    </row>
    <row r="321" ht="15" customHeight="1">
      <c r="A321" t="inlineStr">
        <is>
          <t>A 13856-2022</t>
        </is>
      </c>
      <c r="B321" s="1" t="n">
        <v>44649.6965162037</v>
      </c>
      <c r="C321" s="1" t="n">
        <v>45892</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52256-2023</t>
        </is>
      </c>
      <c r="B322" s="1" t="n">
        <v>45224.51471064815</v>
      </c>
      <c r="C322" s="1" t="n">
        <v>45892</v>
      </c>
      <c r="D322" t="inlineStr">
        <is>
          <t>ÖREBRO LÄN</t>
        </is>
      </c>
      <c r="E322" t="inlineStr">
        <is>
          <t>ÖREBRO</t>
        </is>
      </c>
      <c r="G322" t="n">
        <v>2.8</v>
      </c>
      <c r="H322" t="n">
        <v>0</v>
      </c>
      <c r="I322" t="n">
        <v>0</v>
      </c>
      <c r="J322" t="n">
        <v>0</v>
      </c>
      <c r="K322" t="n">
        <v>0</v>
      </c>
      <c r="L322" t="n">
        <v>0</v>
      </c>
      <c r="M322" t="n">
        <v>0</v>
      </c>
      <c r="N322" t="n">
        <v>0</v>
      </c>
      <c r="O322" t="n">
        <v>0</v>
      </c>
      <c r="P322" t="n">
        <v>0</v>
      </c>
      <c r="Q322" t="n">
        <v>0</v>
      </c>
      <c r="R322" s="2" t="inlineStr"/>
    </row>
    <row r="323" ht="15" customHeight="1">
      <c r="A323" t="inlineStr">
        <is>
          <t>A 22719-2025</t>
        </is>
      </c>
      <c r="B323" s="1" t="n">
        <v>45789</v>
      </c>
      <c r="C323" s="1" t="n">
        <v>45892</v>
      </c>
      <c r="D323" t="inlineStr">
        <is>
          <t>ÖREBRO LÄN</t>
        </is>
      </c>
      <c r="E323" t="inlineStr">
        <is>
          <t>ÖREBRO</t>
        </is>
      </c>
      <c r="G323" t="n">
        <v>1.5</v>
      </c>
      <c r="H323" t="n">
        <v>0</v>
      </c>
      <c r="I323" t="n">
        <v>0</v>
      </c>
      <c r="J323" t="n">
        <v>0</v>
      </c>
      <c r="K323" t="n">
        <v>0</v>
      </c>
      <c r="L323" t="n">
        <v>0</v>
      </c>
      <c r="M323" t="n">
        <v>0</v>
      </c>
      <c r="N323" t="n">
        <v>0</v>
      </c>
      <c r="O323" t="n">
        <v>0</v>
      </c>
      <c r="P323" t="n">
        <v>0</v>
      </c>
      <c r="Q323" t="n">
        <v>0</v>
      </c>
      <c r="R323" s="2" t="inlineStr"/>
    </row>
    <row r="324" ht="15" customHeight="1">
      <c r="A324" t="inlineStr">
        <is>
          <t>A 13657-2025</t>
        </is>
      </c>
      <c r="B324" s="1" t="n">
        <v>45736.7427662037</v>
      </c>
      <c r="C324" s="1" t="n">
        <v>45892</v>
      </c>
      <c r="D324" t="inlineStr">
        <is>
          <t>ÖREBRO LÄN</t>
        </is>
      </c>
      <c r="E324" t="inlineStr">
        <is>
          <t>ÖREBRO</t>
        </is>
      </c>
      <c r="G324" t="n">
        <v>3.8</v>
      </c>
      <c r="H324" t="n">
        <v>0</v>
      </c>
      <c r="I324" t="n">
        <v>0</v>
      </c>
      <c r="J324" t="n">
        <v>0</v>
      </c>
      <c r="K324" t="n">
        <v>0</v>
      </c>
      <c r="L324" t="n">
        <v>0</v>
      </c>
      <c r="M324" t="n">
        <v>0</v>
      </c>
      <c r="N324" t="n">
        <v>0</v>
      </c>
      <c r="O324" t="n">
        <v>0</v>
      </c>
      <c r="P324" t="n">
        <v>0</v>
      </c>
      <c r="Q324" t="n">
        <v>0</v>
      </c>
      <c r="R324" s="2" t="inlineStr"/>
    </row>
    <row r="325" ht="15" customHeight="1">
      <c r="A325" t="inlineStr">
        <is>
          <t>A 9314-2023</t>
        </is>
      </c>
      <c r="B325" s="1" t="n">
        <v>44980.67747685185</v>
      </c>
      <c r="C325" s="1" t="n">
        <v>45892</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60289-2023</t>
        </is>
      </c>
      <c r="B326" s="1" t="n">
        <v>45257</v>
      </c>
      <c r="C326" s="1" t="n">
        <v>45892</v>
      </c>
      <c r="D326" t="inlineStr">
        <is>
          <t>ÖREBRO LÄN</t>
        </is>
      </c>
      <c r="E326" t="inlineStr">
        <is>
          <t>ÖREBRO</t>
        </is>
      </c>
      <c r="G326" t="n">
        <v>10.9</v>
      </c>
      <c r="H326" t="n">
        <v>0</v>
      </c>
      <c r="I326" t="n">
        <v>0</v>
      </c>
      <c r="J326" t="n">
        <v>0</v>
      </c>
      <c r="K326" t="n">
        <v>0</v>
      </c>
      <c r="L326" t="n">
        <v>0</v>
      </c>
      <c r="M326" t="n">
        <v>0</v>
      </c>
      <c r="N326" t="n">
        <v>0</v>
      </c>
      <c r="O326" t="n">
        <v>0</v>
      </c>
      <c r="P326" t="n">
        <v>0</v>
      </c>
      <c r="Q326" t="n">
        <v>0</v>
      </c>
      <c r="R326" s="2" t="inlineStr"/>
    </row>
    <row r="327" ht="15" customHeight="1">
      <c r="A327" t="inlineStr">
        <is>
          <t>A 12017-2024</t>
        </is>
      </c>
      <c r="B327" s="1" t="n">
        <v>45377</v>
      </c>
      <c r="C327" s="1" t="n">
        <v>45892</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54678-2023</t>
        </is>
      </c>
      <c r="B328" s="1" t="n">
        <v>45235</v>
      </c>
      <c r="C328" s="1" t="n">
        <v>45892</v>
      </c>
      <c r="D328" t="inlineStr">
        <is>
          <t>ÖREBRO LÄN</t>
        </is>
      </c>
      <c r="E328" t="inlineStr">
        <is>
          <t>ÖREBRO</t>
        </is>
      </c>
      <c r="G328" t="n">
        <v>1.7</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45892</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22755-2025</t>
        </is>
      </c>
      <c r="B330" s="1" t="n">
        <v>45789.61872685186</v>
      </c>
      <c r="C330" s="1" t="n">
        <v>45892</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34336-2024</t>
        </is>
      </c>
      <c r="B331" s="1" t="n">
        <v>45524.94774305556</v>
      </c>
      <c r="C331" s="1" t="n">
        <v>45892</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190-2024</t>
        </is>
      </c>
      <c r="B332" s="1" t="n">
        <v>45294.61858796296</v>
      </c>
      <c r="C332" s="1" t="n">
        <v>45892</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15555-2025</t>
        </is>
      </c>
      <c r="B333" s="1" t="n">
        <v>45747.67768518518</v>
      </c>
      <c r="C333" s="1" t="n">
        <v>45892</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61279-2024</t>
        </is>
      </c>
      <c r="B334" s="1" t="n">
        <v>45645</v>
      </c>
      <c r="C334" s="1" t="n">
        <v>45892</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44511-2023</t>
        </is>
      </c>
      <c r="B335" s="1" t="n">
        <v>45189</v>
      </c>
      <c r="C335" s="1" t="n">
        <v>45892</v>
      </c>
      <c r="D335" t="inlineStr">
        <is>
          <t>ÖREBRO LÄN</t>
        </is>
      </c>
      <c r="E335" t="inlineStr">
        <is>
          <t>ÖREBRO</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6522-2023</t>
        </is>
      </c>
      <c r="B336" s="1" t="n">
        <v>44966</v>
      </c>
      <c r="C336" s="1" t="n">
        <v>45892</v>
      </c>
      <c r="D336" t="inlineStr">
        <is>
          <t>ÖREBRO LÄN</t>
        </is>
      </c>
      <c r="E336" t="inlineStr">
        <is>
          <t>ÖREBRO</t>
        </is>
      </c>
      <c r="G336" t="n">
        <v>4.4</v>
      </c>
      <c r="H336" t="n">
        <v>0</v>
      </c>
      <c r="I336" t="n">
        <v>0</v>
      </c>
      <c r="J336" t="n">
        <v>0</v>
      </c>
      <c r="K336" t="n">
        <v>0</v>
      </c>
      <c r="L336" t="n">
        <v>0</v>
      </c>
      <c r="M336" t="n">
        <v>0</v>
      </c>
      <c r="N336" t="n">
        <v>0</v>
      </c>
      <c r="O336" t="n">
        <v>0</v>
      </c>
      <c r="P336" t="n">
        <v>0</v>
      </c>
      <c r="Q336" t="n">
        <v>0</v>
      </c>
      <c r="R336" s="2" t="inlineStr"/>
    </row>
    <row r="337" ht="15" customHeight="1">
      <c r="A337" t="inlineStr">
        <is>
          <t>A 38790-2024</t>
        </is>
      </c>
      <c r="B337" s="1" t="n">
        <v>45547.48450231482</v>
      </c>
      <c r="C337" s="1" t="n">
        <v>45892</v>
      </c>
      <c r="D337" t="inlineStr">
        <is>
          <t>ÖREBRO LÄN</t>
        </is>
      </c>
      <c r="E337" t="inlineStr">
        <is>
          <t>ÖREBRO</t>
        </is>
      </c>
      <c r="G337" t="n">
        <v>2</v>
      </c>
      <c r="H337" t="n">
        <v>0</v>
      </c>
      <c r="I337" t="n">
        <v>0</v>
      </c>
      <c r="J337" t="n">
        <v>0</v>
      </c>
      <c r="K337" t="n">
        <v>0</v>
      </c>
      <c r="L337" t="n">
        <v>0</v>
      </c>
      <c r="M337" t="n">
        <v>0</v>
      </c>
      <c r="N337" t="n">
        <v>0</v>
      </c>
      <c r="O337" t="n">
        <v>0</v>
      </c>
      <c r="P337" t="n">
        <v>0</v>
      </c>
      <c r="Q337" t="n">
        <v>0</v>
      </c>
      <c r="R337" s="2" t="inlineStr"/>
    </row>
    <row r="338" ht="15" customHeight="1">
      <c r="A338" t="inlineStr">
        <is>
          <t>A 71269-2021</t>
        </is>
      </c>
      <c r="B338" s="1" t="n">
        <v>44539</v>
      </c>
      <c r="C338" s="1" t="n">
        <v>45892</v>
      </c>
      <c r="D338" t="inlineStr">
        <is>
          <t>ÖREBRO LÄN</t>
        </is>
      </c>
      <c r="E338" t="inlineStr">
        <is>
          <t>ÖREBRO</t>
        </is>
      </c>
      <c r="G338" t="n">
        <v>1.4</v>
      </c>
      <c r="H338" t="n">
        <v>0</v>
      </c>
      <c r="I338" t="n">
        <v>0</v>
      </c>
      <c r="J338" t="n">
        <v>0</v>
      </c>
      <c r="K338" t="n">
        <v>0</v>
      </c>
      <c r="L338" t="n">
        <v>0</v>
      </c>
      <c r="M338" t="n">
        <v>0</v>
      </c>
      <c r="N338" t="n">
        <v>0</v>
      </c>
      <c r="O338" t="n">
        <v>0</v>
      </c>
      <c r="P338" t="n">
        <v>0</v>
      </c>
      <c r="Q338" t="n">
        <v>0</v>
      </c>
      <c r="R338" s="2" t="inlineStr"/>
    </row>
    <row r="339" ht="15" customHeight="1">
      <c r="A339" t="inlineStr">
        <is>
          <t>A 18449-2023</t>
        </is>
      </c>
      <c r="B339" s="1" t="n">
        <v>45042.5203125</v>
      </c>
      <c r="C339" s="1" t="n">
        <v>45892</v>
      </c>
      <c r="D339" t="inlineStr">
        <is>
          <t>ÖREBRO LÄN</t>
        </is>
      </c>
      <c r="E339" t="inlineStr">
        <is>
          <t>ÖREBRO</t>
        </is>
      </c>
      <c r="G339" t="n">
        <v>1.5</v>
      </c>
      <c r="H339" t="n">
        <v>0</v>
      </c>
      <c r="I339" t="n">
        <v>0</v>
      </c>
      <c r="J339" t="n">
        <v>0</v>
      </c>
      <c r="K339" t="n">
        <v>0</v>
      </c>
      <c r="L339" t="n">
        <v>0</v>
      </c>
      <c r="M339" t="n">
        <v>0</v>
      </c>
      <c r="N339" t="n">
        <v>0</v>
      </c>
      <c r="O339" t="n">
        <v>0</v>
      </c>
      <c r="P339" t="n">
        <v>0</v>
      </c>
      <c r="Q339" t="n">
        <v>0</v>
      </c>
      <c r="R339" s="2" t="inlineStr"/>
    </row>
    <row r="340" ht="15" customHeight="1">
      <c r="A340" t="inlineStr">
        <is>
          <t>A 16736-2023</t>
        </is>
      </c>
      <c r="B340" s="1" t="n">
        <v>45030.72328703704</v>
      </c>
      <c r="C340" s="1" t="n">
        <v>45892</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30316-2024</t>
        </is>
      </c>
      <c r="B341" s="1" t="n">
        <v>45490</v>
      </c>
      <c r="C341" s="1" t="n">
        <v>45892</v>
      </c>
      <c r="D341" t="inlineStr">
        <is>
          <t>ÖREBRO LÄN</t>
        </is>
      </c>
      <c r="E341" t="inlineStr">
        <is>
          <t>ÖREBRO</t>
        </is>
      </c>
      <c r="G341" t="n">
        <v>5.5</v>
      </c>
      <c r="H341" t="n">
        <v>0</v>
      </c>
      <c r="I341" t="n">
        <v>0</v>
      </c>
      <c r="J341" t="n">
        <v>0</v>
      </c>
      <c r="K341" t="n">
        <v>0</v>
      </c>
      <c r="L341" t="n">
        <v>0</v>
      </c>
      <c r="M341" t="n">
        <v>0</v>
      </c>
      <c r="N341" t="n">
        <v>0</v>
      </c>
      <c r="O341" t="n">
        <v>0</v>
      </c>
      <c r="P341" t="n">
        <v>0</v>
      </c>
      <c r="Q341" t="n">
        <v>0</v>
      </c>
      <c r="R341" s="2" t="inlineStr"/>
    </row>
    <row r="342" ht="15" customHeight="1">
      <c r="A342" t="inlineStr">
        <is>
          <t>A 50375-2024</t>
        </is>
      </c>
      <c r="B342" s="1" t="n">
        <v>45601.29311342593</v>
      </c>
      <c r="C342" s="1" t="n">
        <v>45892</v>
      </c>
      <c r="D342" t="inlineStr">
        <is>
          <t>ÖREBRO LÄN</t>
        </is>
      </c>
      <c r="E342" t="inlineStr">
        <is>
          <t>ÖREBRO</t>
        </is>
      </c>
      <c r="G342" t="n">
        <v>5</v>
      </c>
      <c r="H342" t="n">
        <v>0</v>
      </c>
      <c r="I342" t="n">
        <v>0</v>
      </c>
      <c r="J342" t="n">
        <v>0</v>
      </c>
      <c r="K342" t="n">
        <v>0</v>
      </c>
      <c r="L342" t="n">
        <v>0</v>
      </c>
      <c r="M342" t="n">
        <v>0</v>
      </c>
      <c r="N342" t="n">
        <v>0</v>
      </c>
      <c r="O342" t="n">
        <v>0</v>
      </c>
      <c r="P342" t="n">
        <v>0</v>
      </c>
      <c r="Q342" t="n">
        <v>0</v>
      </c>
      <c r="R342" s="2" t="inlineStr"/>
    </row>
    <row r="343" ht="15" customHeight="1">
      <c r="A343" t="inlineStr">
        <is>
          <t>A 44199-2024</t>
        </is>
      </c>
      <c r="B343" s="1" t="n">
        <v>45573</v>
      </c>
      <c r="C343" s="1" t="n">
        <v>45892</v>
      </c>
      <c r="D343" t="inlineStr">
        <is>
          <t>ÖREBRO LÄN</t>
        </is>
      </c>
      <c r="E343" t="inlineStr">
        <is>
          <t>ÖREBRO</t>
        </is>
      </c>
      <c r="G343" t="n">
        <v>4.3</v>
      </c>
      <c r="H343" t="n">
        <v>0</v>
      </c>
      <c r="I343" t="n">
        <v>0</v>
      </c>
      <c r="J343" t="n">
        <v>0</v>
      </c>
      <c r="K343" t="n">
        <v>0</v>
      </c>
      <c r="L343" t="n">
        <v>0</v>
      </c>
      <c r="M343" t="n">
        <v>0</v>
      </c>
      <c r="N343" t="n">
        <v>0</v>
      </c>
      <c r="O343" t="n">
        <v>0</v>
      </c>
      <c r="P343" t="n">
        <v>0</v>
      </c>
      <c r="Q343" t="n">
        <v>0</v>
      </c>
      <c r="R343" s="2" t="inlineStr"/>
    </row>
    <row r="344" ht="15" customHeight="1">
      <c r="A344" t="inlineStr">
        <is>
          <t>A 4380-2025</t>
        </is>
      </c>
      <c r="B344" s="1" t="n">
        <v>45686.3959375</v>
      </c>
      <c r="C344" s="1" t="n">
        <v>45892</v>
      </c>
      <c r="D344" t="inlineStr">
        <is>
          <t>ÖREBRO LÄN</t>
        </is>
      </c>
      <c r="E344" t="inlineStr">
        <is>
          <t>ÖREBRO</t>
        </is>
      </c>
      <c r="G344" t="n">
        <v>3.2</v>
      </c>
      <c r="H344" t="n">
        <v>0</v>
      </c>
      <c r="I344" t="n">
        <v>0</v>
      </c>
      <c r="J344" t="n">
        <v>0</v>
      </c>
      <c r="K344" t="n">
        <v>0</v>
      </c>
      <c r="L344" t="n">
        <v>0</v>
      </c>
      <c r="M344" t="n">
        <v>0</v>
      </c>
      <c r="N344" t="n">
        <v>0</v>
      </c>
      <c r="O344" t="n">
        <v>0</v>
      </c>
      <c r="P344" t="n">
        <v>0</v>
      </c>
      <c r="Q344" t="n">
        <v>0</v>
      </c>
      <c r="R344" s="2" t="inlineStr"/>
    </row>
    <row r="345" ht="15" customHeight="1">
      <c r="A345" t="inlineStr">
        <is>
          <t>A 52447-2024</t>
        </is>
      </c>
      <c r="B345" s="1" t="n">
        <v>45609.49157407408</v>
      </c>
      <c r="C345" s="1" t="n">
        <v>45892</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26443-2024</t>
        </is>
      </c>
      <c r="B346" s="1" t="n">
        <v>45469.49901620371</v>
      </c>
      <c r="C346" s="1" t="n">
        <v>45892</v>
      </c>
      <c r="D346" t="inlineStr">
        <is>
          <t>ÖREBRO LÄN</t>
        </is>
      </c>
      <c r="E346" t="inlineStr">
        <is>
          <t>ÖREBRO</t>
        </is>
      </c>
      <c r="G346" t="n">
        <v>5.7</v>
      </c>
      <c r="H346" t="n">
        <v>0</v>
      </c>
      <c r="I346" t="n">
        <v>0</v>
      </c>
      <c r="J346" t="n">
        <v>0</v>
      </c>
      <c r="K346" t="n">
        <v>0</v>
      </c>
      <c r="L346" t="n">
        <v>0</v>
      </c>
      <c r="M346" t="n">
        <v>0</v>
      </c>
      <c r="N346" t="n">
        <v>0</v>
      </c>
      <c r="O346" t="n">
        <v>0</v>
      </c>
      <c r="P346" t="n">
        <v>0</v>
      </c>
      <c r="Q346" t="n">
        <v>0</v>
      </c>
      <c r="R346" s="2" t="inlineStr"/>
    </row>
    <row r="347" ht="15" customHeight="1">
      <c r="A347" t="inlineStr">
        <is>
          <t>A 5136-2024</t>
        </is>
      </c>
      <c r="B347" s="1" t="n">
        <v>45330</v>
      </c>
      <c r="C347" s="1" t="n">
        <v>45892</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35477-2024</t>
        </is>
      </c>
      <c r="B348" s="1" t="n">
        <v>45531</v>
      </c>
      <c r="C348" s="1" t="n">
        <v>45892</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22045-2024</t>
        </is>
      </c>
      <c r="B349" s="1" t="n">
        <v>45443.61171296296</v>
      </c>
      <c r="C349" s="1" t="n">
        <v>45892</v>
      </c>
      <c r="D349" t="inlineStr">
        <is>
          <t>ÖREBRO LÄN</t>
        </is>
      </c>
      <c r="E349" t="inlineStr">
        <is>
          <t>ÖREBRO</t>
        </is>
      </c>
      <c r="F349" t="inlineStr">
        <is>
          <t>Övriga Aktiebolag</t>
        </is>
      </c>
      <c r="G349" t="n">
        <v>0.9</v>
      </c>
      <c r="H349" t="n">
        <v>0</v>
      </c>
      <c r="I349" t="n">
        <v>0</v>
      </c>
      <c r="J349" t="n">
        <v>0</v>
      </c>
      <c r="K349" t="n">
        <v>0</v>
      </c>
      <c r="L349" t="n">
        <v>0</v>
      </c>
      <c r="M349" t="n">
        <v>0</v>
      </c>
      <c r="N349" t="n">
        <v>0</v>
      </c>
      <c r="O349" t="n">
        <v>0</v>
      </c>
      <c r="P349" t="n">
        <v>0</v>
      </c>
      <c r="Q349" t="n">
        <v>0</v>
      </c>
      <c r="R349" s="2" t="inlineStr"/>
    </row>
    <row r="350" ht="15" customHeight="1">
      <c r="A350" t="inlineStr">
        <is>
          <t>A 43803-2023</t>
        </is>
      </c>
      <c r="B350" s="1" t="n">
        <v>45187</v>
      </c>
      <c r="C350" s="1" t="n">
        <v>45892</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55943-2024</t>
        </is>
      </c>
      <c r="B351" s="1" t="n">
        <v>45623.61278935185</v>
      </c>
      <c r="C351" s="1" t="n">
        <v>45892</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3-2024</t>
        </is>
      </c>
      <c r="B352" s="1" t="n">
        <v>45292</v>
      </c>
      <c r="C352" s="1" t="n">
        <v>45892</v>
      </c>
      <c r="D352" t="inlineStr">
        <is>
          <t>ÖREBRO LÄN</t>
        </is>
      </c>
      <c r="E352" t="inlineStr">
        <is>
          <t>ÖREBRO</t>
        </is>
      </c>
      <c r="G352" t="n">
        <v>2.7</v>
      </c>
      <c r="H352" t="n">
        <v>0</v>
      </c>
      <c r="I352" t="n">
        <v>0</v>
      </c>
      <c r="J352" t="n">
        <v>0</v>
      </c>
      <c r="K352" t="n">
        <v>0</v>
      </c>
      <c r="L352" t="n">
        <v>0</v>
      </c>
      <c r="M352" t="n">
        <v>0</v>
      </c>
      <c r="N352" t="n">
        <v>0</v>
      </c>
      <c r="O352" t="n">
        <v>0</v>
      </c>
      <c r="P352" t="n">
        <v>0</v>
      </c>
      <c r="Q352" t="n">
        <v>0</v>
      </c>
      <c r="R352" s="2" t="inlineStr"/>
    </row>
    <row r="353" ht="15" customHeight="1">
      <c r="A353" t="inlineStr">
        <is>
          <t>A 21306-2024</t>
        </is>
      </c>
      <c r="B353" s="1" t="n">
        <v>45440.67883101852</v>
      </c>
      <c r="C353" s="1" t="n">
        <v>45892</v>
      </c>
      <c r="D353" t="inlineStr">
        <is>
          <t>ÖREBRO LÄN</t>
        </is>
      </c>
      <c r="E353" t="inlineStr">
        <is>
          <t>ÖREBRO</t>
        </is>
      </c>
      <c r="F353" t="inlineStr">
        <is>
          <t>Övriga Aktiebolag</t>
        </is>
      </c>
      <c r="G353" t="n">
        <v>2</v>
      </c>
      <c r="H353" t="n">
        <v>0</v>
      </c>
      <c r="I353" t="n">
        <v>0</v>
      </c>
      <c r="J353" t="n">
        <v>0</v>
      </c>
      <c r="K353" t="n">
        <v>0</v>
      </c>
      <c r="L353" t="n">
        <v>0</v>
      </c>
      <c r="M353" t="n">
        <v>0</v>
      </c>
      <c r="N353" t="n">
        <v>0</v>
      </c>
      <c r="O353" t="n">
        <v>0</v>
      </c>
      <c r="P353" t="n">
        <v>0</v>
      </c>
      <c r="Q353" t="n">
        <v>0</v>
      </c>
      <c r="R353" s="2" t="inlineStr"/>
    </row>
    <row r="354" ht="15" customHeight="1">
      <c r="A354" t="inlineStr">
        <is>
          <t>A 60028-2024</t>
        </is>
      </c>
      <c r="B354" s="1" t="n">
        <v>45642</v>
      </c>
      <c r="C354" s="1" t="n">
        <v>45892</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1257-2022</t>
        </is>
      </c>
      <c r="B355" s="1" t="n">
        <v>44572</v>
      </c>
      <c r="C355" s="1" t="n">
        <v>45892</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5406-2025</t>
        </is>
      </c>
      <c r="B356" s="1" t="n">
        <v>45692.64821759259</v>
      </c>
      <c r="C356" s="1" t="n">
        <v>45892</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64730-2023</t>
        </is>
      </c>
      <c r="B357" s="1" t="n">
        <v>45281</v>
      </c>
      <c r="C357" s="1" t="n">
        <v>45892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6869-2025</t>
        </is>
      </c>
      <c r="B358" s="1" t="n">
        <v>45700</v>
      </c>
      <c r="C358" s="1" t="n">
        <v>45892</v>
      </c>
      <c r="D358" t="inlineStr">
        <is>
          <t>ÖREBRO LÄN</t>
        </is>
      </c>
      <c r="E358" t="inlineStr">
        <is>
          <t>ÖREBRO</t>
        </is>
      </c>
      <c r="G358" t="n">
        <v>1.8</v>
      </c>
      <c r="H358" t="n">
        <v>0</v>
      </c>
      <c r="I358" t="n">
        <v>0</v>
      </c>
      <c r="J358" t="n">
        <v>0</v>
      </c>
      <c r="K358" t="n">
        <v>0</v>
      </c>
      <c r="L358" t="n">
        <v>0</v>
      </c>
      <c r="M358" t="n">
        <v>0</v>
      </c>
      <c r="N358" t="n">
        <v>0</v>
      </c>
      <c r="O358" t="n">
        <v>0</v>
      </c>
      <c r="P358" t="n">
        <v>0</v>
      </c>
      <c r="Q358" t="n">
        <v>0</v>
      </c>
      <c r="R358" s="2" t="inlineStr"/>
    </row>
    <row r="359" ht="15" customHeight="1">
      <c r="A359" t="inlineStr">
        <is>
          <t>A 4416-2023</t>
        </is>
      </c>
      <c r="B359" s="1" t="n">
        <v>44956</v>
      </c>
      <c r="C359" s="1" t="n">
        <v>45892</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52018-2024</t>
        </is>
      </c>
      <c r="B360" s="1" t="n">
        <v>45607.82974537037</v>
      </c>
      <c r="C360" s="1" t="n">
        <v>45892</v>
      </c>
      <c r="D360" t="inlineStr">
        <is>
          <t>ÖREBRO LÄN</t>
        </is>
      </c>
      <c r="E360" t="inlineStr">
        <is>
          <t>ÖREBRO</t>
        </is>
      </c>
      <c r="G360" t="n">
        <v>4.3</v>
      </c>
      <c r="H360" t="n">
        <v>0</v>
      </c>
      <c r="I360" t="n">
        <v>0</v>
      </c>
      <c r="J360" t="n">
        <v>0</v>
      </c>
      <c r="K360" t="n">
        <v>0</v>
      </c>
      <c r="L360" t="n">
        <v>0</v>
      </c>
      <c r="M360" t="n">
        <v>0</v>
      </c>
      <c r="N360" t="n">
        <v>0</v>
      </c>
      <c r="O360" t="n">
        <v>0</v>
      </c>
      <c r="P360" t="n">
        <v>0</v>
      </c>
      <c r="Q360" t="n">
        <v>0</v>
      </c>
      <c r="R360" s="2" t="inlineStr"/>
    </row>
    <row r="361" ht="15" customHeight="1">
      <c r="A361" t="inlineStr">
        <is>
          <t>A 16961-2022</t>
        </is>
      </c>
      <c r="B361" s="1" t="n">
        <v>44676</v>
      </c>
      <c r="C361" s="1" t="n">
        <v>45892</v>
      </c>
      <c r="D361" t="inlineStr">
        <is>
          <t>ÖREBRO LÄN</t>
        </is>
      </c>
      <c r="E361" t="inlineStr">
        <is>
          <t>ÖREBRO</t>
        </is>
      </c>
      <c r="G361" t="n">
        <v>1.2</v>
      </c>
      <c r="H361" t="n">
        <v>0</v>
      </c>
      <c r="I361" t="n">
        <v>0</v>
      </c>
      <c r="J361" t="n">
        <v>0</v>
      </c>
      <c r="K361" t="n">
        <v>0</v>
      </c>
      <c r="L361" t="n">
        <v>0</v>
      </c>
      <c r="M361" t="n">
        <v>0</v>
      </c>
      <c r="N361" t="n">
        <v>0</v>
      </c>
      <c r="O361" t="n">
        <v>0</v>
      </c>
      <c r="P361" t="n">
        <v>0</v>
      </c>
      <c r="Q361" t="n">
        <v>0</v>
      </c>
      <c r="R361" s="2" t="inlineStr"/>
    </row>
    <row r="362" ht="15" customHeight="1">
      <c r="A362" t="inlineStr">
        <is>
          <t>A 34358-2022</t>
        </is>
      </c>
      <c r="B362" s="1" t="n">
        <v>44792.45494212963</v>
      </c>
      <c r="C362" s="1" t="n">
        <v>45892</v>
      </c>
      <c r="D362" t="inlineStr">
        <is>
          <t>ÖREBRO LÄN</t>
        </is>
      </c>
      <c r="E362" t="inlineStr">
        <is>
          <t>ÖREBRO</t>
        </is>
      </c>
      <c r="F362" t="inlineStr">
        <is>
          <t>Övriga Aktiebolag</t>
        </is>
      </c>
      <c r="G362" t="n">
        <v>3.4</v>
      </c>
      <c r="H362" t="n">
        <v>0</v>
      </c>
      <c r="I362" t="n">
        <v>0</v>
      </c>
      <c r="J362" t="n">
        <v>0</v>
      </c>
      <c r="K362" t="n">
        <v>0</v>
      </c>
      <c r="L362" t="n">
        <v>0</v>
      </c>
      <c r="M362" t="n">
        <v>0</v>
      </c>
      <c r="N362" t="n">
        <v>0</v>
      </c>
      <c r="O362" t="n">
        <v>0</v>
      </c>
      <c r="P362" t="n">
        <v>0</v>
      </c>
      <c r="Q362" t="n">
        <v>0</v>
      </c>
      <c r="R362" s="2" t="inlineStr"/>
    </row>
    <row r="363" ht="15" customHeight="1">
      <c r="A363" t="inlineStr">
        <is>
          <t>A 17983-2025</t>
        </is>
      </c>
      <c r="B363" s="1" t="n">
        <v>45761.38829861111</v>
      </c>
      <c r="C363" s="1" t="n">
        <v>45892</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6794-2025</t>
        </is>
      </c>
      <c r="B364" s="1" t="n">
        <v>45700.66429398148</v>
      </c>
      <c r="C364" s="1" t="n">
        <v>45892</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22348-2024</t>
        </is>
      </c>
      <c r="B365" s="1" t="n">
        <v>45446.61256944444</v>
      </c>
      <c r="C365" s="1" t="n">
        <v>45892</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23594-2023</t>
        </is>
      </c>
      <c r="B366" s="1" t="n">
        <v>45077</v>
      </c>
      <c r="C366" s="1" t="n">
        <v>45892</v>
      </c>
      <c r="D366" t="inlineStr">
        <is>
          <t>ÖREBRO LÄN</t>
        </is>
      </c>
      <c r="E366" t="inlineStr">
        <is>
          <t>ÖREBRO</t>
        </is>
      </c>
      <c r="G366" t="n">
        <v>9.9</v>
      </c>
      <c r="H366" t="n">
        <v>0</v>
      </c>
      <c r="I366" t="n">
        <v>0</v>
      </c>
      <c r="J366" t="n">
        <v>0</v>
      </c>
      <c r="K366" t="n">
        <v>0</v>
      </c>
      <c r="L366" t="n">
        <v>0</v>
      </c>
      <c r="M366" t="n">
        <v>0</v>
      </c>
      <c r="N366" t="n">
        <v>0</v>
      </c>
      <c r="O366" t="n">
        <v>0</v>
      </c>
      <c r="P366" t="n">
        <v>0</v>
      </c>
      <c r="Q366" t="n">
        <v>0</v>
      </c>
      <c r="R366" s="2" t="inlineStr"/>
    </row>
    <row r="367" ht="15" customHeight="1">
      <c r="A367" t="inlineStr">
        <is>
          <t>A 2596-2022</t>
        </is>
      </c>
      <c r="B367" s="1" t="n">
        <v>44580</v>
      </c>
      <c r="C367" s="1" t="n">
        <v>45892</v>
      </c>
      <c r="D367" t="inlineStr">
        <is>
          <t>ÖREBRO LÄN</t>
        </is>
      </c>
      <c r="E367" t="inlineStr">
        <is>
          <t>ÖREBRO</t>
        </is>
      </c>
      <c r="G367" t="n">
        <v>4.3</v>
      </c>
      <c r="H367" t="n">
        <v>0</v>
      </c>
      <c r="I367" t="n">
        <v>0</v>
      </c>
      <c r="J367" t="n">
        <v>0</v>
      </c>
      <c r="K367" t="n">
        <v>0</v>
      </c>
      <c r="L367" t="n">
        <v>0</v>
      </c>
      <c r="M367" t="n">
        <v>0</v>
      </c>
      <c r="N367" t="n">
        <v>0</v>
      </c>
      <c r="O367" t="n">
        <v>0</v>
      </c>
      <c r="P367" t="n">
        <v>0</v>
      </c>
      <c r="Q367" t="n">
        <v>0</v>
      </c>
      <c r="R367" s="2" t="inlineStr"/>
    </row>
    <row r="368" ht="15" customHeight="1">
      <c r="A368" t="inlineStr">
        <is>
          <t>A 52444-2024</t>
        </is>
      </c>
      <c r="B368" s="1" t="n">
        <v>45609.48894675926</v>
      </c>
      <c r="C368" s="1" t="n">
        <v>45892</v>
      </c>
      <c r="D368" t="inlineStr">
        <is>
          <t>ÖREBRO LÄN</t>
        </is>
      </c>
      <c r="E368" t="inlineStr">
        <is>
          <t>ÖREBRO</t>
        </is>
      </c>
      <c r="G368" t="n">
        <v>1.7</v>
      </c>
      <c r="H368" t="n">
        <v>0</v>
      </c>
      <c r="I368" t="n">
        <v>0</v>
      </c>
      <c r="J368" t="n">
        <v>0</v>
      </c>
      <c r="K368" t="n">
        <v>0</v>
      </c>
      <c r="L368" t="n">
        <v>0</v>
      </c>
      <c r="M368" t="n">
        <v>0</v>
      </c>
      <c r="N368" t="n">
        <v>0</v>
      </c>
      <c r="O368" t="n">
        <v>0</v>
      </c>
      <c r="P368" t="n">
        <v>0</v>
      </c>
      <c r="Q368" t="n">
        <v>0</v>
      </c>
      <c r="R368" s="2" t="inlineStr"/>
    </row>
    <row r="369" ht="15" customHeight="1">
      <c r="A369" t="inlineStr">
        <is>
          <t>A 15695-2024</t>
        </is>
      </c>
      <c r="B369" s="1" t="n">
        <v>45404.45487268519</v>
      </c>
      <c r="C369" s="1" t="n">
        <v>45892</v>
      </c>
      <c r="D369" t="inlineStr">
        <is>
          <t>ÖREBRO LÄN</t>
        </is>
      </c>
      <c r="E369" t="inlineStr">
        <is>
          <t>ÖREBRO</t>
        </is>
      </c>
      <c r="G369" t="n">
        <v>2.7</v>
      </c>
      <c r="H369" t="n">
        <v>0</v>
      </c>
      <c r="I369" t="n">
        <v>0</v>
      </c>
      <c r="J369" t="n">
        <v>0</v>
      </c>
      <c r="K369" t="n">
        <v>0</v>
      </c>
      <c r="L369" t="n">
        <v>0</v>
      </c>
      <c r="M369" t="n">
        <v>0</v>
      </c>
      <c r="N369" t="n">
        <v>0</v>
      </c>
      <c r="O369" t="n">
        <v>0</v>
      </c>
      <c r="P369" t="n">
        <v>0</v>
      </c>
      <c r="Q369" t="n">
        <v>0</v>
      </c>
      <c r="R369" s="2" t="inlineStr"/>
    </row>
    <row r="370" ht="15" customHeight="1">
      <c r="A370" t="inlineStr">
        <is>
          <t>A 30089-2024</t>
        </is>
      </c>
      <c r="B370" s="1" t="n">
        <v>45485</v>
      </c>
      <c r="C370" s="1" t="n">
        <v>45892</v>
      </c>
      <c r="D370" t="inlineStr">
        <is>
          <t>ÖREBRO LÄN</t>
        </is>
      </c>
      <c r="E370" t="inlineStr">
        <is>
          <t>ÖREBRO</t>
        </is>
      </c>
      <c r="G370" t="n">
        <v>2.2</v>
      </c>
      <c r="H370" t="n">
        <v>0</v>
      </c>
      <c r="I370" t="n">
        <v>0</v>
      </c>
      <c r="J370" t="n">
        <v>0</v>
      </c>
      <c r="K370" t="n">
        <v>0</v>
      </c>
      <c r="L370" t="n">
        <v>0</v>
      </c>
      <c r="M370" t="n">
        <v>0</v>
      </c>
      <c r="N370" t="n">
        <v>0</v>
      </c>
      <c r="O370" t="n">
        <v>0</v>
      </c>
      <c r="P370" t="n">
        <v>0</v>
      </c>
      <c r="Q370" t="n">
        <v>0</v>
      </c>
      <c r="R370" s="2" t="inlineStr"/>
    </row>
    <row r="371" ht="15" customHeight="1">
      <c r="A371" t="inlineStr">
        <is>
          <t>A 41995-2024</t>
        </is>
      </c>
      <c r="B371" s="1" t="n">
        <v>45561.6475462963</v>
      </c>
      <c r="C371" s="1" t="n">
        <v>45892</v>
      </c>
      <c r="D371" t="inlineStr">
        <is>
          <t>ÖREBRO LÄN</t>
        </is>
      </c>
      <c r="E371" t="inlineStr">
        <is>
          <t>ÖREBRO</t>
        </is>
      </c>
      <c r="G371" t="n">
        <v>1.3</v>
      </c>
      <c r="H371" t="n">
        <v>0</v>
      </c>
      <c r="I371" t="n">
        <v>0</v>
      </c>
      <c r="J371" t="n">
        <v>0</v>
      </c>
      <c r="K371" t="n">
        <v>0</v>
      </c>
      <c r="L371" t="n">
        <v>0</v>
      </c>
      <c r="M371" t="n">
        <v>0</v>
      </c>
      <c r="N371" t="n">
        <v>0</v>
      </c>
      <c r="O371" t="n">
        <v>0</v>
      </c>
      <c r="P371" t="n">
        <v>0</v>
      </c>
      <c r="Q371" t="n">
        <v>0</v>
      </c>
      <c r="R371" s="2" t="inlineStr"/>
    </row>
    <row r="372" ht="15" customHeight="1">
      <c r="A372" t="inlineStr">
        <is>
          <t>A 25996-2024</t>
        </is>
      </c>
      <c r="B372" s="1" t="n">
        <v>45467.89081018518</v>
      </c>
      <c r="C372" s="1" t="n">
        <v>45892</v>
      </c>
      <c r="D372" t="inlineStr">
        <is>
          <t>ÖREBRO LÄN</t>
        </is>
      </c>
      <c r="E372" t="inlineStr">
        <is>
          <t>ÖREBRO</t>
        </is>
      </c>
      <c r="G372" t="n">
        <v>4.7</v>
      </c>
      <c r="H372" t="n">
        <v>0</v>
      </c>
      <c r="I372" t="n">
        <v>0</v>
      </c>
      <c r="J372" t="n">
        <v>0</v>
      </c>
      <c r="K372" t="n">
        <v>0</v>
      </c>
      <c r="L372" t="n">
        <v>0</v>
      </c>
      <c r="M372" t="n">
        <v>0</v>
      </c>
      <c r="N372" t="n">
        <v>0</v>
      </c>
      <c r="O372" t="n">
        <v>0</v>
      </c>
      <c r="P372" t="n">
        <v>0</v>
      </c>
      <c r="Q372" t="n">
        <v>0</v>
      </c>
      <c r="R372" s="2" t="inlineStr"/>
    </row>
    <row r="373" ht="15" customHeight="1">
      <c r="A373" t="inlineStr">
        <is>
          <t>A 13418-2024</t>
        </is>
      </c>
      <c r="B373" s="1" t="n">
        <v>45387.46482638889</v>
      </c>
      <c r="C373" s="1" t="n">
        <v>45892</v>
      </c>
      <c r="D373" t="inlineStr">
        <is>
          <t>ÖREBRO LÄN</t>
        </is>
      </c>
      <c r="E373" t="inlineStr">
        <is>
          <t>ÖREBRO</t>
        </is>
      </c>
      <c r="G373" t="n">
        <v>4.2</v>
      </c>
      <c r="H373" t="n">
        <v>0</v>
      </c>
      <c r="I373" t="n">
        <v>0</v>
      </c>
      <c r="J373" t="n">
        <v>0</v>
      </c>
      <c r="K373" t="n">
        <v>0</v>
      </c>
      <c r="L373" t="n">
        <v>0</v>
      </c>
      <c r="M373" t="n">
        <v>0</v>
      </c>
      <c r="N373" t="n">
        <v>0</v>
      </c>
      <c r="O373" t="n">
        <v>0</v>
      </c>
      <c r="P373" t="n">
        <v>0</v>
      </c>
      <c r="Q373" t="n">
        <v>0</v>
      </c>
      <c r="R373" s="2" t="inlineStr"/>
    </row>
    <row r="374" ht="15" customHeight="1">
      <c r="A374" t="inlineStr">
        <is>
          <t>A 5643-2025</t>
        </is>
      </c>
      <c r="B374" s="1" t="n">
        <v>45693</v>
      </c>
      <c r="C374" s="1" t="n">
        <v>45892</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8571-2021</t>
        </is>
      </c>
      <c r="B375" s="1" t="n">
        <v>44245</v>
      </c>
      <c r="C375" s="1" t="n">
        <v>45892</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13857-2022</t>
        </is>
      </c>
      <c r="B376" s="1" t="n">
        <v>44649</v>
      </c>
      <c r="C376" s="1" t="n">
        <v>45892</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7611-2024</t>
        </is>
      </c>
      <c r="B377" s="1" t="n">
        <v>45348.58864583333</v>
      </c>
      <c r="C377" s="1" t="n">
        <v>45892</v>
      </c>
      <c r="D377" t="inlineStr">
        <is>
          <t>ÖREBRO LÄN</t>
        </is>
      </c>
      <c r="E377" t="inlineStr">
        <is>
          <t>ÖREBRO</t>
        </is>
      </c>
      <c r="G377" t="n">
        <v>4.2</v>
      </c>
      <c r="H377" t="n">
        <v>0</v>
      </c>
      <c r="I377" t="n">
        <v>0</v>
      </c>
      <c r="J377" t="n">
        <v>0</v>
      </c>
      <c r="K377" t="n">
        <v>0</v>
      </c>
      <c r="L377" t="n">
        <v>0</v>
      </c>
      <c r="M377" t="n">
        <v>0</v>
      </c>
      <c r="N377" t="n">
        <v>0</v>
      </c>
      <c r="O377" t="n">
        <v>0</v>
      </c>
      <c r="P377" t="n">
        <v>0</v>
      </c>
      <c r="Q377" t="n">
        <v>0</v>
      </c>
      <c r="R377" s="2" t="inlineStr"/>
    </row>
    <row r="378" ht="15" customHeight="1">
      <c r="A378" t="inlineStr">
        <is>
          <t>A 46030-2024</t>
        </is>
      </c>
      <c r="B378" s="1" t="n">
        <v>45580.70377314815</v>
      </c>
      <c r="C378" s="1" t="n">
        <v>45892</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55692-2023</t>
        </is>
      </c>
      <c r="B379" s="1" t="n">
        <v>45239</v>
      </c>
      <c r="C379" s="1" t="n">
        <v>45892</v>
      </c>
      <c r="D379" t="inlineStr">
        <is>
          <t>ÖREBRO LÄN</t>
        </is>
      </c>
      <c r="E379" t="inlineStr">
        <is>
          <t>ÖREBRO</t>
        </is>
      </c>
      <c r="F379" t="inlineStr">
        <is>
          <t>Övriga Aktiebolag</t>
        </is>
      </c>
      <c r="G379" t="n">
        <v>0.4</v>
      </c>
      <c r="H379" t="n">
        <v>0</v>
      </c>
      <c r="I379" t="n">
        <v>0</v>
      </c>
      <c r="J379" t="n">
        <v>0</v>
      </c>
      <c r="K379" t="n">
        <v>0</v>
      </c>
      <c r="L379" t="n">
        <v>0</v>
      </c>
      <c r="M379" t="n">
        <v>0</v>
      </c>
      <c r="N379" t="n">
        <v>0</v>
      </c>
      <c r="O379" t="n">
        <v>0</v>
      </c>
      <c r="P379" t="n">
        <v>0</v>
      </c>
      <c r="Q379" t="n">
        <v>0</v>
      </c>
      <c r="R379" s="2" t="inlineStr"/>
    </row>
    <row r="380" ht="15" customHeight="1">
      <c r="A380" t="inlineStr">
        <is>
          <t>A 5342-2024</t>
        </is>
      </c>
      <c r="B380" s="1" t="n">
        <v>45331.44145833333</v>
      </c>
      <c r="C380" s="1" t="n">
        <v>45892</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48644-2024</t>
        </is>
      </c>
      <c r="B381" s="1" t="n">
        <v>45593.47466435185</v>
      </c>
      <c r="C381" s="1" t="n">
        <v>45892</v>
      </c>
      <c r="D381" t="inlineStr">
        <is>
          <t>ÖREBRO LÄN</t>
        </is>
      </c>
      <c r="E381" t="inlineStr">
        <is>
          <t>ÖREBRO</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15789-2023</t>
        </is>
      </c>
      <c r="B382" s="1" t="n">
        <v>45021.71539351852</v>
      </c>
      <c r="C382" s="1" t="n">
        <v>45892</v>
      </c>
      <c r="D382" t="inlineStr">
        <is>
          <t>ÖREBRO LÄN</t>
        </is>
      </c>
      <c r="E382" t="inlineStr">
        <is>
          <t>ÖREBRO</t>
        </is>
      </c>
      <c r="F382" t="inlineStr">
        <is>
          <t>Övriga Aktiebolag</t>
        </is>
      </c>
      <c r="G382" t="n">
        <v>3.7</v>
      </c>
      <c r="H382" t="n">
        <v>0</v>
      </c>
      <c r="I382" t="n">
        <v>0</v>
      </c>
      <c r="J382" t="n">
        <v>0</v>
      </c>
      <c r="K382" t="n">
        <v>0</v>
      </c>
      <c r="L382" t="n">
        <v>0</v>
      </c>
      <c r="M382" t="n">
        <v>0</v>
      </c>
      <c r="N382" t="n">
        <v>0</v>
      </c>
      <c r="O382" t="n">
        <v>0</v>
      </c>
      <c r="P382" t="n">
        <v>0</v>
      </c>
      <c r="Q382" t="n">
        <v>0</v>
      </c>
      <c r="R382" s="2" t="inlineStr"/>
    </row>
    <row r="383" ht="15" customHeight="1">
      <c r="A383" t="inlineStr">
        <is>
          <t>A 52612-2024</t>
        </is>
      </c>
      <c r="B383" s="1" t="n">
        <v>45609</v>
      </c>
      <c r="C383" s="1" t="n">
        <v>45892</v>
      </c>
      <c r="D383" t="inlineStr">
        <is>
          <t>ÖREBRO LÄN</t>
        </is>
      </c>
      <c r="E383" t="inlineStr">
        <is>
          <t>ÖREBRO</t>
        </is>
      </c>
      <c r="F383" t="inlineStr">
        <is>
          <t>Kommuner</t>
        </is>
      </c>
      <c r="G383" t="n">
        <v>5.5</v>
      </c>
      <c r="H383" t="n">
        <v>0</v>
      </c>
      <c r="I383" t="n">
        <v>0</v>
      </c>
      <c r="J383" t="n">
        <v>0</v>
      </c>
      <c r="K383" t="n">
        <v>0</v>
      </c>
      <c r="L383" t="n">
        <v>0</v>
      </c>
      <c r="M383" t="n">
        <v>0</v>
      </c>
      <c r="N383" t="n">
        <v>0</v>
      </c>
      <c r="O383" t="n">
        <v>0</v>
      </c>
      <c r="P383" t="n">
        <v>0</v>
      </c>
      <c r="Q383" t="n">
        <v>0</v>
      </c>
      <c r="R383" s="2" t="inlineStr"/>
    </row>
    <row r="384" ht="15" customHeight="1">
      <c r="A384" t="inlineStr">
        <is>
          <t>A 37786-2024</t>
        </is>
      </c>
      <c r="B384" s="1" t="n">
        <v>45542.82987268519</v>
      </c>
      <c r="C384" s="1" t="n">
        <v>45892</v>
      </c>
      <c r="D384" t="inlineStr">
        <is>
          <t>ÖREBRO LÄN</t>
        </is>
      </c>
      <c r="E384" t="inlineStr">
        <is>
          <t>ÖREBRO</t>
        </is>
      </c>
      <c r="G384" t="n">
        <v>3.1</v>
      </c>
      <c r="H384" t="n">
        <v>0</v>
      </c>
      <c r="I384" t="n">
        <v>0</v>
      </c>
      <c r="J384" t="n">
        <v>0</v>
      </c>
      <c r="K384" t="n">
        <v>0</v>
      </c>
      <c r="L384" t="n">
        <v>0</v>
      </c>
      <c r="M384" t="n">
        <v>0</v>
      </c>
      <c r="N384" t="n">
        <v>0</v>
      </c>
      <c r="O384" t="n">
        <v>0</v>
      </c>
      <c r="P384" t="n">
        <v>0</v>
      </c>
      <c r="Q384" t="n">
        <v>0</v>
      </c>
      <c r="R384" s="2" t="inlineStr"/>
    </row>
    <row r="385" ht="15" customHeight="1">
      <c r="A385" t="inlineStr">
        <is>
          <t>A 15866-2022</t>
        </is>
      </c>
      <c r="B385" s="1" t="n">
        <v>44664</v>
      </c>
      <c r="C385" s="1" t="n">
        <v>45892</v>
      </c>
      <c r="D385" t="inlineStr">
        <is>
          <t>ÖREBRO LÄN</t>
        </is>
      </c>
      <c r="E385" t="inlineStr">
        <is>
          <t>ÖREBRO</t>
        </is>
      </c>
      <c r="G385" t="n">
        <v>4</v>
      </c>
      <c r="H385" t="n">
        <v>0</v>
      </c>
      <c r="I385" t="n">
        <v>0</v>
      </c>
      <c r="J385" t="n">
        <v>0</v>
      </c>
      <c r="K385" t="n">
        <v>0</v>
      </c>
      <c r="L385" t="n">
        <v>0</v>
      </c>
      <c r="M385" t="n">
        <v>0</v>
      </c>
      <c r="N385" t="n">
        <v>0</v>
      </c>
      <c r="O385" t="n">
        <v>0</v>
      </c>
      <c r="P385" t="n">
        <v>0</v>
      </c>
      <c r="Q385" t="n">
        <v>0</v>
      </c>
      <c r="R385" s="2" t="inlineStr"/>
    </row>
    <row r="386" ht="15" customHeight="1">
      <c r="A386" t="inlineStr">
        <is>
          <t>A 28054-2022</t>
        </is>
      </c>
      <c r="B386" s="1" t="n">
        <v>44746.41938657407</v>
      </c>
      <c r="C386" s="1" t="n">
        <v>45892</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55875-2024</t>
        </is>
      </c>
      <c r="B387" s="1" t="n">
        <v>45623.55375</v>
      </c>
      <c r="C387" s="1" t="n">
        <v>45892</v>
      </c>
      <c r="D387" t="inlineStr">
        <is>
          <t>ÖREBRO LÄN</t>
        </is>
      </c>
      <c r="E387" t="inlineStr">
        <is>
          <t>ÖREBRO</t>
        </is>
      </c>
      <c r="G387" t="n">
        <v>3.5</v>
      </c>
      <c r="H387" t="n">
        <v>0</v>
      </c>
      <c r="I387" t="n">
        <v>0</v>
      </c>
      <c r="J387" t="n">
        <v>0</v>
      </c>
      <c r="K387" t="n">
        <v>0</v>
      </c>
      <c r="L387" t="n">
        <v>0</v>
      </c>
      <c r="M387" t="n">
        <v>0</v>
      </c>
      <c r="N387" t="n">
        <v>0</v>
      </c>
      <c r="O387" t="n">
        <v>0</v>
      </c>
      <c r="P387" t="n">
        <v>0</v>
      </c>
      <c r="Q387" t="n">
        <v>0</v>
      </c>
      <c r="R387" s="2" t="inlineStr"/>
    </row>
    <row r="388" ht="15" customHeight="1">
      <c r="A388" t="inlineStr">
        <is>
          <t>A 71295-2021</t>
        </is>
      </c>
      <c r="B388" s="1" t="n">
        <v>44539.63009259259</v>
      </c>
      <c r="C388" s="1" t="n">
        <v>45892</v>
      </c>
      <c r="D388" t="inlineStr">
        <is>
          <t>ÖREBRO LÄN</t>
        </is>
      </c>
      <c r="E388" t="inlineStr">
        <is>
          <t>ÖREBRO</t>
        </is>
      </c>
      <c r="G388" t="n">
        <v>2.3</v>
      </c>
      <c r="H388" t="n">
        <v>0</v>
      </c>
      <c r="I388" t="n">
        <v>0</v>
      </c>
      <c r="J388" t="n">
        <v>0</v>
      </c>
      <c r="K388" t="n">
        <v>0</v>
      </c>
      <c r="L388" t="n">
        <v>0</v>
      </c>
      <c r="M388" t="n">
        <v>0</v>
      </c>
      <c r="N388" t="n">
        <v>0</v>
      </c>
      <c r="O388" t="n">
        <v>0</v>
      </c>
      <c r="P388" t="n">
        <v>0</v>
      </c>
      <c r="Q388" t="n">
        <v>0</v>
      </c>
      <c r="R388" s="2" t="inlineStr"/>
    </row>
    <row r="389" ht="15" customHeight="1">
      <c r="A389" t="inlineStr">
        <is>
          <t>A 541-2025</t>
        </is>
      </c>
      <c r="B389" s="1" t="n">
        <v>45664.52034722222</v>
      </c>
      <c r="C389" s="1" t="n">
        <v>45892</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53143-2023</t>
        </is>
      </c>
      <c r="B390" s="1" t="n">
        <v>45229</v>
      </c>
      <c r="C390" s="1" t="n">
        <v>45892</v>
      </c>
      <c r="D390" t="inlineStr">
        <is>
          <t>ÖREBRO LÄN</t>
        </is>
      </c>
      <c r="E390" t="inlineStr">
        <is>
          <t>ÖREBRO</t>
        </is>
      </c>
      <c r="G390" t="n">
        <v>3.3</v>
      </c>
      <c r="H390" t="n">
        <v>0</v>
      </c>
      <c r="I390" t="n">
        <v>0</v>
      </c>
      <c r="J390" t="n">
        <v>0</v>
      </c>
      <c r="K390" t="n">
        <v>0</v>
      </c>
      <c r="L390" t="n">
        <v>0</v>
      </c>
      <c r="M390" t="n">
        <v>0</v>
      </c>
      <c r="N390" t="n">
        <v>0</v>
      </c>
      <c r="O390" t="n">
        <v>0</v>
      </c>
      <c r="P390" t="n">
        <v>0</v>
      </c>
      <c r="Q390" t="n">
        <v>0</v>
      </c>
      <c r="R390" s="2" t="inlineStr"/>
    </row>
    <row r="391" ht="15" customHeight="1">
      <c r="A391" t="inlineStr">
        <is>
          <t>A 25407-2021</t>
        </is>
      </c>
      <c r="B391" s="1" t="n">
        <v>44342</v>
      </c>
      <c r="C391" s="1" t="n">
        <v>45892</v>
      </c>
      <c r="D391" t="inlineStr">
        <is>
          <t>ÖREBRO LÄN</t>
        </is>
      </c>
      <c r="E391" t="inlineStr">
        <is>
          <t>ÖREBRO</t>
        </is>
      </c>
      <c r="F391" t="inlineStr">
        <is>
          <t>Kommuner</t>
        </is>
      </c>
      <c r="G391" t="n">
        <v>7.2</v>
      </c>
      <c r="H391" t="n">
        <v>0</v>
      </c>
      <c r="I391" t="n">
        <v>0</v>
      </c>
      <c r="J391" t="n">
        <v>0</v>
      </c>
      <c r="K391" t="n">
        <v>0</v>
      </c>
      <c r="L391" t="n">
        <v>0</v>
      </c>
      <c r="M391" t="n">
        <v>0</v>
      </c>
      <c r="N391" t="n">
        <v>0</v>
      </c>
      <c r="O391" t="n">
        <v>0</v>
      </c>
      <c r="P391" t="n">
        <v>0</v>
      </c>
      <c r="Q391" t="n">
        <v>0</v>
      </c>
      <c r="R391" s="2" t="inlineStr"/>
    </row>
    <row r="392" ht="15" customHeight="1">
      <c r="A392" t="inlineStr">
        <is>
          <t>A 11516-2024</t>
        </is>
      </c>
      <c r="B392" s="1" t="n">
        <v>45372</v>
      </c>
      <c r="C392" s="1" t="n">
        <v>45892</v>
      </c>
      <c r="D392" t="inlineStr">
        <is>
          <t>ÖREBRO LÄN</t>
        </is>
      </c>
      <c r="E392" t="inlineStr">
        <is>
          <t>ÖREBRO</t>
        </is>
      </c>
      <c r="G392" t="n">
        <v>10.7</v>
      </c>
      <c r="H392" t="n">
        <v>0</v>
      </c>
      <c r="I392" t="n">
        <v>0</v>
      </c>
      <c r="J392" t="n">
        <v>0</v>
      </c>
      <c r="K392" t="n">
        <v>0</v>
      </c>
      <c r="L392" t="n">
        <v>0</v>
      </c>
      <c r="M392" t="n">
        <v>0</v>
      </c>
      <c r="N392" t="n">
        <v>0</v>
      </c>
      <c r="O392" t="n">
        <v>0</v>
      </c>
      <c r="P392" t="n">
        <v>0</v>
      </c>
      <c r="Q392" t="n">
        <v>0</v>
      </c>
      <c r="R392" s="2" t="inlineStr"/>
    </row>
    <row r="393" ht="15" customHeight="1">
      <c r="A393" t="inlineStr">
        <is>
          <t>A 3841-2023</t>
        </is>
      </c>
      <c r="B393" s="1" t="n">
        <v>44951</v>
      </c>
      <c r="C393" s="1" t="n">
        <v>45892</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49215-2023</t>
        </is>
      </c>
      <c r="B394" s="1" t="n">
        <v>45210.61050925926</v>
      </c>
      <c r="C394" s="1" t="n">
        <v>45892</v>
      </c>
      <c r="D394" t="inlineStr">
        <is>
          <t>ÖREBRO LÄN</t>
        </is>
      </c>
      <c r="E394" t="inlineStr">
        <is>
          <t>ÖREBRO</t>
        </is>
      </c>
      <c r="F394" t="inlineStr">
        <is>
          <t>Övriga Aktiebolag</t>
        </is>
      </c>
      <c r="G394" t="n">
        <v>4.2</v>
      </c>
      <c r="H394" t="n">
        <v>0</v>
      </c>
      <c r="I394" t="n">
        <v>0</v>
      </c>
      <c r="J394" t="n">
        <v>0</v>
      </c>
      <c r="K394" t="n">
        <v>0</v>
      </c>
      <c r="L394" t="n">
        <v>0</v>
      </c>
      <c r="M394" t="n">
        <v>0</v>
      </c>
      <c r="N394" t="n">
        <v>0</v>
      </c>
      <c r="O394" t="n">
        <v>0</v>
      </c>
      <c r="P394" t="n">
        <v>0</v>
      </c>
      <c r="Q394" t="n">
        <v>0</v>
      </c>
      <c r="R394" s="2" t="inlineStr"/>
    </row>
    <row r="395" ht="15" customHeight="1">
      <c r="A395" t="inlineStr">
        <is>
          <t>A 55453-2024</t>
        </is>
      </c>
      <c r="B395" s="1" t="n">
        <v>45622.42097222222</v>
      </c>
      <c r="C395" s="1" t="n">
        <v>45892</v>
      </c>
      <c r="D395" t="inlineStr">
        <is>
          <t>ÖREBRO LÄN</t>
        </is>
      </c>
      <c r="E395" t="inlineStr">
        <is>
          <t>ÖREBRO</t>
        </is>
      </c>
      <c r="G395" t="n">
        <v>8.5</v>
      </c>
      <c r="H395" t="n">
        <v>0</v>
      </c>
      <c r="I395" t="n">
        <v>0</v>
      </c>
      <c r="J395" t="n">
        <v>0</v>
      </c>
      <c r="K395" t="n">
        <v>0</v>
      </c>
      <c r="L395" t="n">
        <v>0</v>
      </c>
      <c r="M395" t="n">
        <v>0</v>
      </c>
      <c r="N395" t="n">
        <v>0</v>
      </c>
      <c r="O395" t="n">
        <v>0</v>
      </c>
      <c r="P395" t="n">
        <v>0</v>
      </c>
      <c r="Q395" t="n">
        <v>0</v>
      </c>
      <c r="R395" s="2" t="inlineStr"/>
    </row>
    <row r="396" ht="15" customHeight="1">
      <c r="A396" t="inlineStr">
        <is>
          <t>A 45027-2024</t>
        </is>
      </c>
      <c r="B396" s="1" t="n">
        <v>45575</v>
      </c>
      <c r="C396" s="1" t="n">
        <v>45892</v>
      </c>
      <c r="D396" t="inlineStr">
        <is>
          <t>ÖREBRO LÄN</t>
        </is>
      </c>
      <c r="E396" t="inlineStr">
        <is>
          <t>ÖREBRO</t>
        </is>
      </c>
      <c r="G396" t="n">
        <v>6.3</v>
      </c>
      <c r="H396" t="n">
        <v>0</v>
      </c>
      <c r="I396" t="n">
        <v>0</v>
      </c>
      <c r="J396" t="n">
        <v>0</v>
      </c>
      <c r="K396" t="n">
        <v>0</v>
      </c>
      <c r="L396" t="n">
        <v>0</v>
      </c>
      <c r="M396" t="n">
        <v>0</v>
      </c>
      <c r="N396" t="n">
        <v>0</v>
      </c>
      <c r="O396" t="n">
        <v>0</v>
      </c>
      <c r="P396" t="n">
        <v>0</v>
      </c>
      <c r="Q396" t="n">
        <v>0</v>
      </c>
      <c r="R396" s="2" t="inlineStr"/>
    </row>
    <row r="397" ht="15" customHeight="1">
      <c r="A397" t="inlineStr">
        <is>
          <t>A 25578-2025</t>
        </is>
      </c>
      <c r="B397" s="1" t="n">
        <v>45803.47803240741</v>
      </c>
      <c r="C397" s="1" t="n">
        <v>45892</v>
      </c>
      <c r="D397" t="inlineStr">
        <is>
          <t>ÖREBRO LÄN</t>
        </is>
      </c>
      <c r="E397" t="inlineStr">
        <is>
          <t>ÖREBRO</t>
        </is>
      </c>
      <c r="G397" t="n">
        <v>0.9</v>
      </c>
      <c r="H397" t="n">
        <v>0</v>
      </c>
      <c r="I397" t="n">
        <v>0</v>
      </c>
      <c r="J397" t="n">
        <v>0</v>
      </c>
      <c r="K397" t="n">
        <v>0</v>
      </c>
      <c r="L397" t="n">
        <v>0</v>
      </c>
      <c r="M397" t="n">
        <v>0</v>
      </c>
      <c r="N397" t="n">
        <v>0</v>
      </c>
      <c r="O397" t="n">
        <v>0</v>
      </c>
      <c r="P397" t="n">
        <v>0</v>
      </c>
      <c r="Q397" t="n">
        <v>0</v>
      </c>
      <c r="R397" s="2" t="inlineStr"/>
    </row>
    <row r="398" ht="15" customHeight="1">
      <c r="A398" t="inlineStr">
        <is>
          <t>A 25519-2025</t>
        </is>
      </c>
      <c r="B398" s="1" t="n">
        <v>45803.38447916666</v>
      </c>
      <c r="C398" s="1" t="n">
        <v>45892</v>
      </c>
      <c r="D398" t="inlineStr">
        <is>
          <t>ÖREBRO LÄN</t>
        </is>
      </c>
      <c r="E398" t="inlineStr">
        <is>
          <t>ÖREBRO</t>
        </is>
      </c>
      <c r="G398" t="n">
        <v>7.4</v>
      </c>
      <c r="H398" t="n">
        <v>0</v>
      </c>
      <c r="I398" t="n">
        <v>0</v>
      </c>
      <c r="J398" t="n">
        <v>0</v>
      </c>
      <c r="K398" t="n">
        <v>0</v>
      </c>
      <c r="L398" t="n">
        <v>0</v>
      </c>
      <c r="M398" t="n">
        <v>0</v>
      </c>
      <c r="N398" t="n">
        <v>0</v>
      </c>
      <c r="O398" t="n">
        <v>0</v>
      </c>
      <c r="P398" t="n">
        <v>0</v>
      </c>
      <c r="Q398" t="n">
        <v>0</v>
      </c>
      <c r="R398" s="2" t="inlineStr"/>
    </row>
    <row r="399" ht="15" customHeight="1">
      <c r="A399" t="inlineStr">
        <is>
          <t>A 43399-2022</t>
        </is>
      </c>
      <c r="B399" s="1" t="n">
        <v>44834</v>
      </c>
      <c r="C399" s="1" t="n">
        <v>45892</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16140-2023</t>
        </is>
      </c>
      <c r="B400" s="1" t="n">
        <v>45027.6433912037</v>
      </c>
      <c r="C400" s="1" t="n">
        <v>45892</v>
      </c>
      <c r="D400" t="inlineStr">
        <is>
          <t>ÖREBRO LÄN</t>
        </is>
      </c>
      <c r="E400" t="inlineStr">
        <is>
          <t>ÖREBRO</t>
        </is>
      </c>
      <c r="G400" t="n">
        <v>2</v>
      </c>
      <c r="H400" t="n">
        <v>0</v>
      </c>
      <c r="I400" t="n">
        <v>0</v>
      </c>
      <c r="J400" t="n">
        <v>0</v>
      </c>
      <c r="K400" t="n">
        <v>0</v>
      </c>
      <c r="L400" t="n">
        <v>0</v>
      </c>
      <c r="M400" t="n">
        <v>0</v>
      </c>
      <c r="N400" t="n">
        <v>0</v>
      </c>
      <c r="O400" t="n">
        <v>0</v>
      </c>
      <c r="P400" t="n">
        <v>0</v>
      </c>
      <c r="Q400" t="n">
        <v>0</v>
      </c>
      <c r="R400" s="2" t="inlineStr"/>
    </row>
    <row r="401" ht="15" customHeight="1">
      <c r="A401" t="inlineStr">
        <is>
          <t>A 19553-2023</t>
        </is>
      </c>
      <c r="B401" s="1" t="n">
        <v>45050</v>
      </c>
      <c r="C401" s="1" t="n">
        <v>45892</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14291-2023</t>
        </is>
      </c>
      <c r="B402" s="1" t="n">
        <v>45010</v>
      </c>
      <c r="C402" s="1" t="n">
        <v>45892</v>
      </c>
      <c r="D402" t="inlineStr">
        <is>
          <t>ÖREBRO LÄN</t>
        </is>
      </c>
      <c r="E402" t="inlineStr">
        <is>
          <t>ÖREBRO</t>
        </is>
      </c>
      <c r="G402" t="n">
        <v>0.8</v>
      </c>
      <c r="H402" t="n">
        <v>0</v>
      </c>
      <c r="I402" t="n">
        <v>0</v>
      </c>
      <c r="J402" t="n">
        <v>0</v>
      </c>
      <c r="K402" t="n">
        <v>0</v>
      </c>
      <c r="L402" t="n">
        <v>0</v>
      </c>
      <c r="M402" t="n">
        <v>0</v>
      </c>
      <c r="N402" t="n">
        <v>0</v>
      </c>
      <c r="O402" t="n">
        <v>0</v>
      </c>
      <c r="P402" t="n">
        <v>0</v>
      </c>
      <c r="Q402" t="n">
        <v>0</v>
      </c>
      <c r="R402" s="2" t="inlineStr"/>
    </row>
    <row r="403" ht="15" customHeight="1">
      <c r="A403" t="inlineStr">
        <is>
          <t>A 52391-2024</t>
        </is>
      </c>
      <c r="B403" s="1" t="n">
        <v>45609.43180555556</v>
      </c>
      <c r="C403" s="1" t="n">
        <v>45892</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58527-2024</t>
        </is>
      </c>
      <c r="B404" s="1" t="n">
        <v>45635.44388888889</v>
      </c>
      <c r="C404" s="1" t="n">
        <v>45892</v>
      </c>
      <c r="D404" t="inlineStr">
        <is>
          <t>ÖREBRO LÄN</t>
        </is>
      </c>
      <c r="E404" t="inlineStr">
        <is>
          <t>ÖREBRO</t>
        </is>
      </c>
      <c r="F404" t="inlineStr">
        <is>
          <t>Sveaskog</t>
        </is>
      </c>
      <c r="G404" t="n">
        <v>6.4</v>
      </c>
      <c r="H404" t="n">
        <v>0</v>
      </c>
      <c r="I404" t="n">
        <v>0</v>
      </c>
      <c r="J404" t="n">
        <v>0</v>
      </c>
      <c r="K404" t="n">
        <v>0</v>
      </c>
      <c r="L404" t="n">
        <v>0</v>
      </c>
      <c r="M404" t="n">
        <v>0</v>
      </c>
      <c r="N404" t="n">
        <v>0</v>
      </c>
      <c r="O404" t="n">
        <v>0</v>
      </c>
      <c r="P404" t="n">
        <v>0</v>
      </c>
      <c r="Q404" t="n">
        <v>0</v>
      </c>
      <c r="R404" s="2" t="inlineStr"/>
    </row>
    <row r="405" ht="15" customHeight="1">
      <c r="A405" t="inlineStr">
        <is>
          <t>A 52401-2024</t>
        </is>
      </c>
      <c r="B405" s="1" t="n">
        <v>45609.44553240741</v>
      </c>
      <c r="C405" s="1" t="n">
        <v>45892</v>
      </c>
      <c r="D405" t="inlineStr">
        <is>
          <t>ÖREBRO LÄN</t>
        </is>
      </c>
      <c r="E405" t="inlineStr">
        <is>
          <t>ÖREBRO</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55593-2022</t>
        </is>
      </c>
      <c r="B406" s="1" t="n">
        <v>44888</v>
      </c>
      <c r="C406" s="1" t="n">
        <v>45892</v>
      </c>
      <c r="D406" t="inlineStr">
        <is>
          <t>ÖREBRO LÄN</t>
        </is>
      </c>
      <c r="E406" t="inlineStr">
        <is>
          <t>ÖREBRO</t>
        </is>
      </c>
      <c r="G406" t="n">
        <v>3.6</v>
      </c>
      <c r="H406" t="n">
        <v>0</v>
      </c>
      <c r="I406" t="n">
        <v>0</v>
      </c>
      <c r="J406" t="n">
        <v>0</v>
      </c>
      <c r="K406" t="n">
        <v>0</v>
      </c>
      <c r="L406" t="n">
        <v>0</v>
      </c>
      <c r="M406" t="n">
        <v>0</v>
      </c>
      <c r="N406" t="n">
        <v>0</v>
      </c>
      <c r="O406" t="n">
        <v>0</v>
      </c>
      <c r="P406" t="n">
        <v>0</v>
      </c>
      <c r="Q406" t="n">
        <v>0</v>
      </c>
      <c r="R406" s="2" t="inlineStr"/>
    </row>
    <row r="407" ht="15" customHeight="1">
      <c r="A407" t="inlineStr">
        <is>
          <t>A 26338-2021</t>
        </is>
      </c>
      <c r="B407" s="1" t="n">
        <v>44347</v>
      </c>
      <c r="C407" s="1" t="n">
        <v>45892</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53234-2023</t>
        </is>
      </c>
      <c r="B408" s="1" t="n">
        <v>45229</v>
      </c>
      <c r="C408" s="1" t="n">
        <v>45892</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59757-2023</t>
        </is>
      </c>
      <c r="B409" s="1" t="n">
        <v>45257.40833333333</v>
      </c>
      <c r="C409" s="1" t="n">
        <v>45892</v>
      </c>
      <c r="D409" t="inlineStr">
        <is>
          <t>ÖREBRO LÄN</t>
        </is>
      </c>
      <c r="E409" t="inlineStr">
        <is>
          <t>ÖREBRO</t>
        </is>
      </c>
      <c r="G409" t="n">
        <v>1</v>
      </c>
      <c r="H409" t="n">
        <v>0</v>
      </c>
      <c r="I409" t="n">
        <v>0</v>
      </c>
      <c r="J409" t="n">
        <v>0</v>
      </c>
      <c r="K409" t="n">
        <v>0</v>
      </c>
      <c r="L409" t="n">
        <v>0</v>
      </c>
      <c r="M409" t="n">
        <v>0</v>
      </c>
      <c r="N409" t="n">
        <v>0</v>
      </c>
      <c r="O409" t="n">
        <v>0</v>
      </c>
      <c r="P409" t="n">
        <v>0</v>
      </c>
      <c r="Q409" t="n">
        <v>0</v>
      </c>
      <c r="R409" s="2" t="inlineStr"/>
    </row>
    <row r="410" ht="15" customHeight="1">
      <c r="A410" t="inlineStr">
        <is>
          <t>A 11067-2025</t>
        </is>
      </c>
      <c r="B410" s="1" t="n">
        <v>45723</v>
      </c>
      <c r="C410" s="1" t="n">
        <v>45892</v>
      </c>
      <c r="D410" t="inlineStr">
        <is>
          <t>ÖREBRO LÄN</t>
        </is>
      </c>
      <c r="E410" t="inlineStr">
        <is>
          <t>ÖREBRO</t>
        </is>
      </c>
      <c r="G410" t="n">
        <v>3.1</v>
      </c>
      <c r="H410" t="n">
        <v>0</v>
      </c>
      <c r="I410" t="n">
        <v>0</v>
      </c>
      <c r="J410" t="n">
        <v>0</v>
      </c>
      <c r="K410" t="n">
        <v>0</v>
      </c>
      <c r="L410" t="n">
        <v>0</v>
      </c>
      <c r="M410" t="n">
        <v>0</v>
      </c>
      <c r="N410" t="n">
        <v>0</v>
      </c>
      <c r="O410" t="n">
        <v>0</v>
      </c>
      <c r="P410" t="n">
        <v>0</v>
      </c>
      <c r="Q410" t="n">
        <v>0</v>
      </c>
      <c r="R410" s="2" t="inlineStr"/>
    </row>
    <row r="411" ht="15" customHeight="1">
      <c r="A411" t="inlineStr">
        <is>
          <t>A 63142-2023</t>
        </is>
      </c>
      <c r="B411" s="1" t="n">
        <v>45273</v>
      </c>
      <c r="C411" s="1" t="n">
        <v>45892</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3659-2025</t>
        </is>
      </c>
      <c r="B412" s="1" t="n">
        <v>45681</v>
      </c>
      <c r="C412" s="1" t="n">
        <v>45892</v>
      </c>
      <c r="D412" t="inlineStr">
        <is>
          <t>ÖREBRO LÄN</t>
        </is>
      </c>
      <c r="E412" t="inlineStr">
        <is>
          <t>ÖREBRO</t>
        </is>
      </c>
      <c r="G412" t="n">
        <v>15.8</v>
      </c>
      <c r="H412" t="n">
        <v>0</v>
      </c>
      <c r="I412" t="n">
        <v>0</v>
      </c>
      <c r="J412" t="n">
        <v>0</v>
      </c>
      <c r="K412" t="n">
        <v>0</v>
      </c>
      <c r="L412" t="n">
        <v>0</v>
      </c>
      <c r="M412" t="n">
        <v>0</v>
      </c>
      <c r="N412" t="n">
        <v>0</v>
      </c>
      <c r="O412" t="n">
        <v>0</v>
      </c>
      <c r="P412" t="n">
        <v>0</v>
      </c>
      <c r="Q412" t="n">
        <v>0</v>
      </c>
      <c r="R412" s="2" t="inlineStr"/>
    </row>
    <row r="413" ht="15" customHeight="1">
      <c r="A413" t="inlineStr">
        <is>
          <t>A 23741-2022</t>
        </is>
      </c>
      <c r="B413" s="1" t="n">
        <v>44722</v>
      </c>
      <c r="C413" s="1" t="n">
        <v>45892</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59121-2024</t>
        </is>
      </c>
      <c r="B414" s="1" t="n">
        <v>45637.37755787037</v>
      </c>
      <c r="C414" s="1" t="n">
        <v>45892</v>
      </c>
      <c r="D414" t="inlineStr">
        <is>
          <t>ÖREBRO LÄN</t>
        </is>
      </c>
      <c r="E414" t="inlineStr">
        <is>
          <t>ÖREBRO</t>
        </is>
      </c>
      <c r="G414" t="n">
        <v>1</v>
      </c>
      <c r="H414" t="n">
        <v>0</v>
      </c>
      <c r="I414" t="n">
        <v>0</v>
      </c>
      <c r="J414" t="n">
        <v>0</v>
      </c>
      <c r="K414" t="n">
        <v>0</v>
      </c>
      <c r="L414" t="n">
        <v>0</v>
      </c>
      <c r="M414" t="n">
        <v>0</v>
      </c>
      <c r="N414" t="n">
        <v>0</v>
      </c>
      <c r="O414" t="n">
        <v>0</v>
      </c>
      <c r="P414" t="n">
        <v>0</v>
      </c>
      <c r="Q414" t="n">
        <v>0</v>
      </c>
      <c r="R414" s="2" t="inlineStr"/>
    </row>
    <row r="415" ht="15" customHeight="1">
      <c r="A415" t="inlineStr">
        <is>
          <t>A 13347-2023</t>
        </is>
      </c>
      <c r="B415" s="1" t="n">
        <v>45004</v>
      </c>
      <c r="C415" s="1" t="n">
        <v>45892</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6752-2022</t>
        </is>
      </c>
      <c r="B416" s="1" t="n">
        <v>44602.48082175926</v>
      </c>
      <c r="C416" s="1" t="n">
        <v>45892</v>
      </c>
      <c r="D416" t="inlineStr">
        <is>
          <t>ÖREBRO LÄN</t>
        </is>
      </c>
      <c r="E416" t="inlineStr">
        <is>
          <t>ÖREBRO</t>
        </is>
      </c>
      <c r="G416" t="n">
        <v>3.1</v>
      </c>
      <c r="H416" t="n">
        <v>0</v>
      </c>
      <c r="I416" t="n">
        <v>0</v>
      </c>
      <c r="J416" t="n">
        <v>0</v>
      </c>
      <c r="K416" t="n">
        <v>0</v>
      </c>
      <c r="L416" t="n">
        <v>0</v>
      </c>
      <c r="M416" t="n">
        <v>0</v>
      </c>
      <c r="N416" t="n">
        <v>0</v>
      </c>
      <c r="O416" t="n">
        <v>0</v>
      </c>
      <c r="P416" t="n">
        <v>0</v>
      </c>
      <c r="Q416" t="n">
        <v>0</v>
      </c>
      <c r="R416" s="2" t="inlineStr"/>
    </row>
    <row r="417" ht="15" customHeight="1">
      <c r="A417" t="inlineStr">
        <is>
          <t>A 57867-2024</t>
        </is>
      </c>
      <c r="B417" s="1" t="n">
        <v>45631.43864583333</v>
      </c>
      <c r="C417" s="1" t="n">
        <v>45892</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13355-2023</t>
        </is>
      </c>
      <c r="B418" s="1" t="n">
        <v>45004</v>
      </c>
      <c r="C418" s="1" t="n">
        <v>45892</v>
      </c>
      <c r="D418" t="inlineStr">
        <is>
          <t>ÖREBRO LÄN</t>
        </is>
      </c>
      <c r="E418" t="inlineStr">
        <is>
          <t>ÖREBRO</t>
        </is>
      </c>
      <c r="G418" t="n">
        <v>2.3</v>
      </c>
      <c r="H418" t="n">
        <v>0</v>
      </c>
      <c r="I418" t="n">
        <v>0</v>
      </c>
      <c r="J418" t="n">
        <v>0</v>
      </c>
      <c r="K418" t="n">
        <v>0</v>
      </c>
      <c r="L418" t="n">
        <v>0</v>
      </c>
      <c r="M418" t="n">
        <v>0</v>
      </c>
      <c r="N418" t="n">
        <v>0</v>
      </c>
      <c r="O418" t="n">
        <v>0</v>
      </c>
      <c r="P418" t="n">
        <v>0</v>
      </c>
      <c r="Q418" t="n">
        <v>0</v>
      </c>
      <c r="R418" s="2" t="inlineStr"/>
    </row>
    <row r="419" ht="15" customHeight="1">
      <c r="A419" t="inlineStr">
        <is>
          <t>A 9704-2023</t>
        </is>
      </c>
      <c r="B419" s="1" t="n">
        <v>44984</v>
      </c>
      <c r="C419" s="1" t="n">
        <v>45892</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14544-2023</t>
        </is>
      </c>
      <c r="B420" s="1" t="n">
        <v>45013</v>
      </c>
      <c r="C420" s="1" t="n">
        <v>45892</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45892</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12099-2023</t>
        </is>
      </c>
      <c r="B422" s="1" t="n">
        <v>44998.37043981482</v>
      </c>
      <c r="C422" s="1" t="n">
        <v>45892</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3120-2022</t>
        </is>
      </c>
      <c r="B423" s="1" t="n">
        <v>44582</v>
      </c>
      <c r="C423" s="1" t="n">
        <v>45892</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19388-2024</t>
        </is>
      </c>
      <c r="B424" s="1" t="n">
        <v>45429.37775462963</v>
      </c>
      <c r="C424" s="1" t="n">
        <v>45892</v>
      </c>
      <c r="D424" t="inlineStr">
        <is>
          <t>ÖREBRO LÄN</t>
        </is>
      </c>
      <c r="E424" t="inlineStr">
        <is>
          <t>ÖREBRO</t>
        </is>
      </c>
      <c r="G424" t="n">
        <v>4.3</v>
      </c>
      <c r="H424" t="n">
        <v>0</v>
      </c>
      <c r="I424" t="n">
        <v>0</v>
      </c>
      <c r="J424" t="n">
        <v>0</v>
      </c>
      <c r="K424" t="n">
        <v>0</v>
      </c>
      <c r="L424" t="n">
        <v>0</v>
      </c>
      <c r="M424" t="n">
        <v>0</v>
      </c>
      <c r="N424" t="n">
        <v>0</v>
      </c>
      <c r="O424" t="n">
        <v>0</v>
      </c>
      <c r="P424" t="n">
        <v>0</v>
      </c>
      <c r="Q424" t="n">
        <v>0</v>
      </c>
      <c r="R424" s="2" t="inlineStr"/>
    </row>
    <row r="425" ht="15" customHeight="1">
      <c r="A425" t="inlineStr">
        <is>
          <t>A 17869-2024</t>
        </is>
      </c>
      <c r="B425" s="1" t="n">
        <v>45419</v>
      </c>
      <c r="C425" s="1" t="n">
        <v>45892</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5026-2022</t>
        </is>
      </c>
      <c r="B426" s="1" t="n">
        <v>44593.63974537037</v>
      </c>
      <c r="C426" s="1" t="n">
        <v>45892</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10832-2023</t>
        </is>
      </c>
      <c r="B427" s="1" t="n">
        <v>44990.91711805556</v>
      </c>
      <c r="C427" s="1" t="n">
        <v>45892</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40597-2021</t>
        </is>
      </c>
      <c r="B428" s="1" t="n">
        <v>44420</v>
      </c>
      <c r="C428" s="1" t="n">
        <v>45892</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27180-2025</t>
        </is>
      </c>
      <c r="B429" s="1" t="n">
        <v>45812.35736111111</v>
      </c>
      <c r="C429" s="1" t="n">
        <v>45892</v>
      </c>
      <c r="D429" t="inlineStr">
        <is>
          <t>ÖREBRO LÄN</t>
        </is>
      </c>
      <c r="E429" t="inlineStr">
        <is>
          <t>ÖREBRO</t>
        </is>
      </c>
      <c r="G429" t="n">
        <v>1.3</v>
      </c>
      <c r="H429" t="n">
        <v>0</v>
      </c>
      <c r="I429" t="n">
        <v>0</v>
      </c>
      <c r="J429" t="n">
        <v>0</v>
      </c>
      <c r="K429" t="n">
        <v>0</v>
      </c>
      <c r="L429" t="n">
        <v>0</v>
      </c>
      <c r="M429" t="n">
        <v>0</v>
      </c>
      <c r="N429" t="n">
        <v>0</v>
      </c>
      <c r="O429" t="n">
        <v>0</v>
      </c>
      <c r="P429" t="n">
        <v>0</v>
      </c>
      <c r="Q429" t="n">
        <v>0</v>
      </c>
      <c r="R429" s="2" t="inlineStr"/>
    </row>
    <row r="430" ht="15" customHeight="1">
      <c r="A430" t="inlineStr">
        <is>
          <t>A 27215-2025</t>
        </is>
      </c>
      <c r="B430" s="1" t="n">
        <v>45812.41869212963</v>
      </c>
      <c r="C430" s="1" t="n">
        <v>45892</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27225-2025</t>
        </is>
      </c>
      <c r="B431" s="1" t="n">
        <v>45812.42856481481</v>
      </c>
      <c r="C431" s="1" t="n">
        <v>45892</v>
      </c>
      <c r="D431" t="inlineStr">
        <is>
          <t>ÖREBRO LÄN</t>
        </is>
      </c>
      <c r="E431" t="inlineStr">
        <is>
          <t>ÖREBRO</t>
        </is>
      </c>
      <c r="G431" t="n">
        <v>4</v>
      </c>
      <c r="H431" t="n">
        <v>0</v>
      </c>
      <c r="I431" t="n">
        <v>0</v>
      </c>
      <c r="J431" t="n">
        <v>0</v>
      </c>
      <c r="K431" t="n">
        <v>0</v>
      </c>
      <c r="L431" t="n">
        <v>0</v>
      </c>
      <c r="M431" t="n">
        <v>0</v>
      </c>
      <c r="N431" t="n">
        <v>0</v>
      </c>
      <c r="O431" t="n">
        <v>0</v>
      </c>
      <c r="P431" t="n">
        <v>0</v>
      </c>
      <c r="Q431" t="n">
        <v>0</v>
      </c>
      <c r="R431" s="2" t="inlineStr"/>
    </row>
    <row r="432" ht="15" customHeight="1">
      <c r="A432" t="inlineStr">
        <is>
          <t>A 2318-2023</t>
        </is>
      </c>
      <c r="B432" s="1" t="n">
        <v>44942</v>
      </c>
      <c r="C432" s="1" t="n">
        <v>45892</v>
      </c>
      <c r="D432" t="inlineStr">
        <is>
          <t>ÖREBRO LÄN</t>
        </is>
      </c>
      <c r="E432" t="inlineStr">
        <is>
          <t>ÖREBRO</t>
        </is>
      </c>
      <c r="G432" t="n">
        <v>1.9</v>
      </c>
      <c r="H432" t="n">
        <v>0</v>
      </c>
      <c r="I432" t="n">
        <v>0</v>
      </c>
      <c r="J432" t="n">
        <v>0</v>
      </c>
      <c r="K432" t="n">
        <v>0</v>
      </c>
      <c r="L432" t="n">
        <v>0</v>
      </c>
      <c r="M432" t="n">
        <v>0</v>
      </c>
      <c r="N432" t="n">
        <v>0</v>
      </c>
      <c r="O432" t="n">
        <v>0</v>
      </c>
      <c r="P432" t="n">
        <v>0</v>
      </c>
      <c r="Q432" t="n">
        <v>0</v>
      </c>
      <c r="R432" s="2" t="inlineStr"/>
    </row>
    <row r="433" ht="15" customHeight="1">
      <c r="A433" t="inlineStr">
        <is>
          <t>A 20121-2024</t>
        </is>
      </c>
      <c r="B433" s="1" t="n">
        <v>45434</v>
      </c>
      <c r="C433" s="1" t="n">
        <v>45892</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20150-2024</t>
        </is>
      </c>
      <c r="B434" s="1" t="n">
        <v>45434.57969907407</v>
      </c>
      <c r="C434" s="1" t="n">
        <v>45892</v>
      </c>
      <c r="D434" t="inlineStr">
        <is>
          <t>ÖREBRO LÄN</t>
        </is>
      </c>
      <c r="E434" t="inlineStr">
        <is>
          <t>ÖREBRO</t>
        </is>
      </c>
      <c r="G434" t="n">
        <v>0.5</v>
      </c>
      <c r="H434" t="n">
        <v>0</v>
      </c>
      <c r="I434" t="n">
        <v>0</v>
      </c>
      <c r="J434" t="n">
        <v>0</v>
      </c>
      <c r="K434" t="n">
        <v>0</v>
      </c>
      <c r="L434" t="n">
        <v>0</v>
      </c>
      <c r="M434" t="n">
        <v>0</v>
      </c>
      <c r="N434" t="n">
        <v>0</v>
      </c>
      <c r="O434" t="n">
        <v>0</v>
      </c>
      <c r="P434" t="n">
        <v>0</v>
      </c>
      <c r="Q434" t="n">
        <v>0</v>
      </c>
      <c r="R434" s="2" t="inlineStr"/>
    </row>
    <row r="435" ht="15" customHeight="1">
      <c r="A435" t="inlineStr">
        <is>
          <t>A 48581-2024</t>
        </is>
      </c>
      <c r="B435" s="1" t="n">
        <v>45593.41642361111</v>
      </c>
      <c r="C435" s="1" t="n">
        <v>45892</v>
      </c>
      <c r="D435" t="inlineStr">
        <is>
          <t>ÖREBRO LÄN</t>
        </is>
      </c>
      <c r="E435" t="inlineStr">
        <is>
          <t>ÖREBRO</t>
        </is>
      </c>
      <c r="G435" t="n">
        <v>0.7</v>
      </c>
      <c r="H435" t="n">
        <v>0</v>
      </c>
      <c r="I435" t="n">
        <v>0</v>
      </c>
      <c r="J435" t="n">
        <v>0</v>
      </c>
      <c r="K435" t="n">
        <v>0</v>
      </c>
      <c r="L435" t="n">
        <v>0</v>
      </c>
      <c r="M435" t="n">
        <v>0</v>
      </c>
      <c r="N435" t="n">
        <v>0</v>
      </c>
      <c r="O435" t="n">
        <v>0</v>
      </c>
      <c r="P435" t="n">
        <v>0</v>
      </c>
      <c r="Q435" t="n">
        <v>0</v>
      </c>
      <c r="R435" s="2" t="inlineStr"/>
    </row>
    <row r="436" ht="15" customHeight="1">
      <c r="A436" t="inlineStr">
        <is>
          <t>A 767-2024</t>
        </is>
      </c>
      <c r="B436" s="1" t="n">
        <v>45300.51892361111</v>
      </c>
      <c r="C436" s="1" t="n">
        <v>45892</v>
      </c>
      <c r="D436" t="inlineStr">
        <is>
          <t>ÖREBRO LÄN</t>
        </is>
      </c>
      <c r="E436" t="inlineStr">
        <is>
          <t>ÖREBRO</t>
        </is>
      </c>
      <c r="G436" t="n">
        <v>2</v>
      </c>
      <c r="H436" t="n">
        <v>0</v>
      </c>
      <c r="I436" t="n">
        <v>0</v>
      </c>
      <c r="J436" t="n">
        <v>0</v>
      </c>
      <c r="K436" t="n">
        <v>0</v>
      </c>
      <c r="L436" t="n">
        <v>0</v>
      </c>
      <c r="M436" t="n">
        <v>0</v>
      </c>
      <c r="N436" t="n">
        <v>0</v>
      </c>
      <c r="O436" t="n">
        <v>0</v>
      </c>
      <c r="P436" t="n">
        <v>0</v>
      </c>
      <c r="Q436" t="n">
        <v>0</v>
      </c>
      <c r="R436" s="2" t="inlineStr"/>
    </row>
    <row r="437" ht="15" customHeight="1">
      <c r="A437" t="inlineStr">
        <is>
          <t>A 27220-2025</t>
        </is>
      </c>
      <c r="B437" s="1" t="n">
        <v>45812.42293981482</v>
      </c>
      <c r="C437" s="1" t="n">
        <v>45892</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18661-2025</t>
        </is>
      </c>
      <c r="B438" s="1" t="n">
        <v>45763.58675925926</v>
      </c>
      <c r="C438" s="1" t="n">
        <v>45892</v>
      </c>
      <c r="D438" t="inlineStr">
        <is>
          <t>ÖREBRO LÄN</t>
        </is>
      </c>
      <c r="E438" t="inlineStr">
        <is>
          <t>ÖREBRO</t>
        </is>
      </c>
      <c r="G438" t="n">
        <v>3.7</v>
      </c>
      <c r="H438" t="n">
        <v>0</v>
      </c>
      <c r="I438" t="n">
        <v>0</v>
      </c>
      <c r="J438" t="n">
        <v>0</v>
      </c>
      <c r="K438" t="n">
        <v>0</v>
      </c>
      <c r="L438" t="n">
        <v>0</v>
      </c>
      <c r="M438" t="n">
        <v>0</v>
      </c>
      <c r="N438" t="n">
        <v>0</v>
      </c>
      <c r="O438" t="n">
        <v>0</v>
      </c>
      <c r="P438" t="n">
        <v>0</v>
      </c>
      <c r="Q438" t="n">
        <v>0</v>
      </c>
      <c r="R438" s="2" t="inlineStr"/>
    </row>
    <row r="439" ht="15" customHeight="1">
      <c r="A439" t="inlineStr">
        <is>
          <t>A 40231-2022</t>
        </is>
      </c>
      <c r="B439" s="1" t="n">
        <v>44820</v>
      </c>
      <c r="C439" s="1" t="n">
        <v>45892</v>
      </c>
      <c r="D439" t="inlineStr">
        <is>
          <t>ÖREBRO LÄN</t>
        </is>
      </c>
      <c r="E439" t="inlineStr">
        <is>
          <t>ÖREBRO</t>
        </is>
      </c>
      <c r="F439" t="inlineStr">
        <is>
          <t>Allmännings- och besparingsskogar</t>
        </is>
      </c>
      <c r="G439" t="n">
        <v>2.2</v>
      </c>
      <c r="H439" t="n">
        <v>0</v>
      </c>
      <c r="I439" t="n">
        <v>0</v>
      </c>
      <c r="J439" t="n">
        <v>0</v>
      </c>
      <c r="K439" t="n">
        <v>0</v>
      </c>
      <c r="L439" t="n">
        <v>0</v>
      </c>
      <c r="M439" t="n">
        <v>0</v>
      </c>
      <c r="N439" t="n">
        <v>0</v>
      </c>
      <c r="O439" t="n">
        <v>0</v>
      </c>
      <c r="P439" t="n">
        <v>0</v>
      </c>
      <c r="Q439" t="n">
        <v>0</v>
      </c>
      <c r="R439" s="2" t="inlineStr"/>
    </row>
    <row r="440" ht="15" customHeight="1">
      <c r="A440" t="inlineStr">
        <is>
          <t>A 52441-2024</t>
        </is>
      </c>
      <c r="B440" s="1" t="n">
        <v>45609.48451388889</v>
      </c>
      <c r="C440" s="1" t="n">
        <v>45892</v>
      </c>
      <c r="D440" t="inlineStr">
        <is>
          <t>ÖREBRO LÄN</t>
        </is>
      </c>
      <c r="E440" t="inlineStr">
        <is>
          <t>ÖREBRO</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58611-2024</t>
        </is>
      </c>
      <c r="B441" s="1" t="n">
        <v>45635.55555555555</v>
      </c>
      <c r="C441" s="1" t="n">
        <v>45892</v>
      </c>
      <c r="D441" t="inlineStr">
        <is>
          <t>ÖREBRO LÄN</t>
        </is>
      </c>
      <c r="E441" t="inlineStr">
        <is>
          <t>ÖREBRO</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14963-2025</t>
        </is>
      </c>
      <c r="B442" s="1" t="n">
        <v>45743.58699074074</v>
      </c>
      <c r="C442" s="1" t="n">
        <v>45892</v>
      </c>
      <c r="D442" t="inlineStr">
        <is>
          <t>ÖREBRO LÄN</t>
        </is>
      </c>
      <c r="E442" t="inlineStr">
        <is>
          <t>ÖREBRO</t>
        </is>
      </c>
      <c r="G442" t="n">
        <v>9.1</v>
      </c>
      <c r="H442" t="n">
        <v>0</v>
      </c>
      <c r="I442" t="n">
        <v>0</v>
      </c>
      <c r="J442" t="n">
        <v>0</v>
      </c>
      <c r="K442" t="n">
        <v>0</v>
      </c>
      <c r="L442" t="n">
        <v>0</v>
      </c>
      <c r="M442" t="n">
        <v>0</v>
      </c>
      <c r="N442" t="n">
        <v>0</v>
      </c>
      <c r="O442" t="n">
        <v>0</v>
      </c>
      <c r="P442" t="n">
        <v>0</v>
      </c>
      <c r="Q442" t="n">
        <v>0</v>
      </c>
      <c r="R442" s="2" t="inlineStr"/>
    </row>
    <row r="443" ht="15" customHeight="1">
      <c r="A443" t="inlineStr">
        <is>
          <t>A 38075-2022</t>
        </is>
      </c>
      <c r="B443" s="1" t="n">
        <v>44811</v>
      </c>
      <c r="C443" s="1" t="n">
        <v>45892</v>
      </c>
      <c r="D443" t="inlineStr">
        <is>
          <t>ÖREBRO LÄN</t>
        </is>
      </c>
      <c r="E443" t="inlineStr">
        <is>
          <t>ÖREBRO</t>
        </is>
      </c>
      <c r="G443" t="n">
        <v>0.2</v>
      </c>
      <c r="H443" t="n">
        <v>0</v>
      </c>
      <c r="I443" t="n">
        <v>0</v>
      </c>
      <c r="J443" t="n">
        <v>0</v>
      </c>
      <c r="K443" t="n">
        <v>0</v>
      </c>
      <c r="L443" t="n">
        <v>0</v>
      </c>
      <c r="M443" t="n">
        <v>0</v>
      </c>
      <c r="N443" t="n">
        <v>0</v>
      </c>
      <c r="O443" t="n">
        <v>0</v>
      </c>
      <c r="P443" t="n">
        <v>0</v>
      </c>
      <c r="Q443" t="n">
        <v>0</v>
      </c>
      <c r="R443" s="2" t="inlineStr"/>
    </row>
    <row r="444" ht="15" customHeight="1">
      <c r="A444" t="inlineStr">
        <is>
          <t>A 33455-2023</t>
        </is>
      </c>
      <c r="B444" s="1" t="n">
        <v>45130.98962962963</v>
      </c>
      <c r="C444" s="1" t="n">
        <v>45892</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19831-2021</t>
        </is>
      </c>
      <c r="B445" s="1" t="n">
        <v>44313</v>
      </c>
      <c r="C445" s="1" t="n">
        <v>45892</v>
      </c>
      <c r="D445" t="inlineStr">
        <is>
          <t>ÖREBRO LÄN</t>
        </is>
      </c>
      <c r="E445" t="inlineStr">
        <is>
          <t>ÖREBRO</t>
        </is>
      </c>
      <c r="G445" t="n">
        <v>3.2</v>
      </c>
      <c r="H445" t="n">
        <v>0</v>
      </c>
      <c r="I445" t="n">
        <v>0</v>
      </c>
      <c r="J445" t="n">
        <v>0</v>
      </c>
      <c r="K445" t="n">
        <v>0</v>
      </c>
      <c r="L445" t="n">
        <v>0</v>
      </c>
      <c r="M445" t="n">
        <v>0</v>
      </c>
      <c r="N445" t="n">
        <v>0</v>
      </c>
      <c r="O445" t="n">
        <v>0</v>
      </c>
      <c r="P445" t="n">
        <v>0</v>
      </c>
      <c r="Q445" t="n">
        <v>0</v>
      </c>
      <c r="R445" s="2" t="inlineStr"/>
    </row>
    <row r="446" ht="15" customHeight="1">
      <c r="A446" t="inlineStr">
        <is>
          <t>A 5133-2024</t>
        </is>
      </c>
      <c r="B446" s="1" t="n">
        <v>45330</v>
      </c>
      <c r="C446" s="1" t="n">
        <v>45892</v>
      </c>
      <c r="D446" t="inlineStr">
        <is>
          <t>ÖREBRO LÄN</t>
        </is>
      </c>
      <c r="E446" t="inlineStr">
        <is>
          <t>ÖREBRO</t>
        </is>
      </c>
      <c r="G446" t="n">
        <v>0.5</v>
      </c>
      <c r="H446" t="n">
        <v>0</v>
      </c>
      <c r="I446" t="n">
        <v>0</v>
      </c>
      <c r="J446" t="n">
        <v>0</v>
      </c>
      <c r="K446" t="n">
        <v>0</v>
      </c>
      <c r="L446" t="n">
        <v>0</v>
      </c>
      <c r="M446" t="n">
        <v>0</v>
      </c>
      <c r="N446" t="n">
        <v>0</v>
      </c>
      <c r="O446" t="n">
        <v>0</v>
      </c>
      <c r="P446" t="n">
        <v>0</v>
      </c>
      <c r="Q446" t="n">
        <v>0</v>
      </c>
      <c r="R446" s="2" t="inlineStr"/>
    </row>
    <row r="447" ht="15" customHeight="1">
      <c r="A447" t="inlineStr">
        <is>
          <t>A 58219-2024</t>
        </is>
      </c>
      <c r="B447" s="1" t="n">
        <v>45632</v>
      </c>
      <c r="C447" s="1" t="n">
        <v>45892</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35637-2025</t>
        </is>
      </c>
      <c r="B448" s="1" t="n">
        <v>45859.46859953704</v>
      </c>
      <c r="C448" s="1" t="n">
        <v>45892</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28120-2025</t>
        </is>
      </c>
      <c r="B449" s="1" t="n">
        <v>45818.30459490741</v>
      </c>
      <c r="C449" s="1" t="n">
        <v>45892</v>
      </c>
      <c r="D449" t="inlineStr">
        <is>
          <t>ÖREBRO LÄN</t>
        </is>
      </c>
      <c r="E449" t="inlineStr">
        <is>
          <t>ÖREBRO</t>
        </is>
      </c>
      <c r="G449" t="n">
        <v>1.5</v>
      </c>
      <c r="H449" t="n">
        <v>0</v>
      </c>
      <c r="I449" t="n">
        <v>0</v>
      </c>
      <c r="J449" t="n">
        <v>0</v>
      </c>
      <c r="K449" t="n">
        <v>0</v>
      </c>
      <c r="L449" t="n">
        <v>0</v>
      </c>
      <c r="M449" t="n">
        <v>0</v>
      </c>
      <c r="N449" t="n">
        <v>0</v>
      </c>
      <c r="O449" t="n">
        <v>0</v>
      </c>
      <c r="P449" t="n">
        <v>0</v>
      </c>
      <c r="Q449" t="n">
        <v>0</v>
      </c>
      <c r="R449" s="2" t="inlineStr"/>
    </row>
    <row r="450" ht="15" customHeight="1">
      <c r="A450" t="inlineStr">
        <is>
          <t>A 2069-2025</t>
        </is>
      </c>
      <c r="B450" s="1" t="n">
        <v>45672.56614583333</v>
      </c>
      <c r="C450" s="1" t="n">
        <v>45892</v>
      </c>
      <c r="D450" t="inlineStr">
        <is>
          <t>ÖREBRO LÄN</t>
        </is>
      </c>
      <c r="E450" t="inlineStr">
        <is>
          <t>ÖREBRO</t>
        </is>
      </c>
      <c r="G450" t="n">
        <v>3.8</v>
      </c>
      <c r="H450" t="n">
        <v>0</v>
      </c>
      <c r="I450" t="n">
        <v>0</v>
      </c>
      <c r="J450" t="n">
        <v>0</v>
      </c>
      <c r="K450" t="n">
        <v>0</v>
      </c>
      <c r="L450" t="n">
        <v>0</v>
      </c>
      <c r="M450" t="n">
        <v>0</v>
      </c>
      <c r="N450" t="n">
        <v>0</v>
      </c>
      <c r="O450" t="n">
        <v>0</v>
      </c>
      <c r="P450" t="n">
        <v>0</v>
      </c>
      <c r="Q450" t="n">
        <v>0</v>
      </c>
      <c r="R450" s="2" t="inlineStr"/>
    </row>
    <row r="451" ht="15" customHeight="1">
      <c r="A451" t="inlineStr">
        <is>
          <t>A 52477-2024</t>
        </is>
      </c>
      <c r="B451" s="1" t="n">
        <v>45609</v>
      </c>
      <c r="C451" s="1" t="n">
        <v>45892</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10368-2021</t>
        </is>
      </c>
      <c r="B452" s="1" t="n">
        <v>44257</v>
      </c>
      <c r="C452" s="1" t="n">
        <v>45892</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58277-2022</t>
        </is>
      </c>
      <c r="B453" s="1" t="n">
        <v>44901.48108796297</v>
      </c>
      <c r="C453" s="1" t="n">
        <v>45892</v>
      </c>
      <c r="D453" t="inlineStr">
        <is>
          <t>ÖREBRO LÄN</t>
        </is>
      </c>
      <c r="E453" t="inlineStr">
        <is>
          <t>ÖREBRO</t>
        </is>
      </c>
      <c r="G453" t="n">
        <v>1.8</v>
      </c>
      <c r="H453" t="n">
        <v>0</v>
      </c>
      <c r="I453" t="n">
        <v>0</v>
      </c>
      <c r="J453" t="n">
        <v>0</v>
      </c>
      <c r="K453" t="n">
        <v>0</v>
      </c>
      <c r="L453" t="n">
        <v>0</v>
      </c>
      <c r="M453" t="n">
        <v>0</v>
      </c>
      <c r="N453" t="n">
        <v>0</v>
      </c>
      <c r="O453" t="n">
        <v>0</v>
      </c>
      <c r="P453" t="n">
        <v>0</v>
      </c>
      <c r="Q453" t="n">
        <v>0</v>
      </c>
      <c r="R453" s="2" t="inlineStr"/>
    </row>
    <row r="454" ht="15" customHeight="1">
      <c r="A454" t="inlineStr">
        <is>
          <t>A 4284-2025</t>
        </is>
      </c>
      <c r="B454" s="1" t="n">
        <v>45685</v>
      </c>
      <c r="C454" s="1" t="n">
        <v>45892</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28938-2025</t>
        </is>
      </c>
      <c r="B455" s="1" t="n">
        <v>45820.70626157407</v>
      </c>
      <c r="C455" s="1" t="n">
        <v>45892</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2771-2023</t>
        </is>
      </c>
      <c r="B456" s="1" t="n">
        <v>44944.64704861111</v>
      </c>
      <c r="C456" s="1" t="n">
        <v>45892</v>
      </c>
      <c r="D456" t="inlineStr">
        <is>
          <t>ÖREBRO LÄN</t>
        </is>
      </c>
      <c r="E456" t="inlineStr">
        <is>
          <t>ÖREBRO</t>
        </is>
      </c>
      <c r="G456" t="n">
        <v>15.4</v>
      </c>
      <c r="H456" t="n">
        <v>0</v>
      </c>
      <c r="I456" t="n">
        <v>0</v>
      </c>
      <c r="J456" t="n">
        <v>0</v>
      </c>
      <c r="K456" t="n">
        <v>0</v>
      </c>
      <c r="L456" t="n">
        <v>0</v>
      </c>
      <c r="M456" t="n">
        <v>0</v>
      </c>
      <c r="N456" t="n">
        <v>0</v>
      </c>
      <c r="O456" t="n">
        <v>0</v>
      </c>
      <c r="P456" t="n">
        <v>0</v>
      </c>
      <c r="Q456" t="n">
        <v>0</v>
      </c>
      <c r="R456" s="2" t="inlineStr"/>
    </row>
    <row r="457" ht="15" customHeight="1">
      <c r="A457" t="inlineStr">
        <is>
          <t>A 42518-2021</t>
        </is>
      </c>
      <c r="B457" s="1" t="n">
        <v>44427.81496527778</v>
      </c>
      <c r="C457" s="1" t="n">
        <v>45892</v>
      </c>
      <c r="D457" t="inlineStr">
        <is>
          <t>ÖREBRO LÄN</t>
        </is>
      </c>
      <c r="E457" t="inlineStr">
        <is>
          <t>ÖREBRO</t>
        </is>
      </c>
      <c r="G457" t="n">
        <v>4.5</v>
      </c>
      <c r="H457" t="n">
        <v>0</v>
      </c>
      <c r="I457" t="n">
        <v>0</v>
      </c>
      <c r="J457" t="n">
        <v>0</v>
      </c>
      <c r="K457" t="n">
        <v>0</v>
      </c>
      <c r="L457" t="n">
        <v>0</v>
      </c>
      <c r="M457" t="n">
        <v>0</v>
      </c>
      <c r="N457" t="n">
        <v>0</v>
      </c>
      <c r="O457" t="n">
        <v>0</v>
      </c>
      <c r="P457" t="n">
        <v>0</v>
      </c>
      <c r="Q457" t="n">
        <v>0</v>
      </c>
      <c r="R457" s="2" t="inlineStr"/>
    </row>
    <row r="458" ht="15" customHeight="1">
      <c r="A458" t="inlineStr">
        <is>
          <t>A 14524-2025</t>
        </is>
      </c>
      <c r="B458" s="1" t="n">
        <v>45741.64815972222</v>
      </c>
      <c r="C458" s="1" t="n">
        <v>45892</v>
      </c>
      <c r="D458" t="inlineStr">
        <is>
          <t>ÖREBRO LÄN</t>
        </is>
      </c>
      <c r="E458" t="inlineStr">
        <is>
          <t>ÖREBRO</t>
        </is>
      </c>
      <c r="G458" t="n">
        <v>2.8</v>
      </c>
      <c r="H458" t="n">
        <v>0</v>
      </c>
      <c r="I458" t="n">
        <v>0</v>
      </c>
      <c r="J458" t="n">
        <v>0</v>
      </c>
      <c r="K458" t="n">
        <v>0</v>
      </c>
      <c r="L458" t="n">
        <v>0</v>
      </c>
      <c r="M458" t="n">
        <v>0</v>
      </c>
      <c r="N458" t="n">
        <v>0</v>
      </c>
      <c r="O458" t="n">
        <v>0</v>
      </c>
      <c r="P458" t="n">
        <v>0</v>
      </c>
      <c r="Q458" t="n">
        <v>0</v>
      </c>
      <c r="R458" s="2" t="inlineStr"/>
    </row>
    <row r="459" ht="15" customHeight="1">
      <c r="A459" t="inlineStr">
        <is>
          <t>A 2076-2025</t>
        </is>
      </c>
      <c r="B459" s="1" t="n">
        <v>45672</v>
      </c>
      <c r="C459" s="1" t="n">
        <v>45892</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15354-2024</t>
        </is>
      </c>
      <c r="B460" s="1" t="n">
        <v>45400.85319444445</v>
      </c>
      <c r="C460" s="1" t="n">
        <v>45892</v>
      </c>
      <c r="D460" t="inlineStr">
        <is>
          <t>ÖREBRO LÄN</t>
        </is>
      </c>
      <c r="E460" t="inlineStr">
        <is>
          <t>ÖREBRO</t>
        </is>
      </c>
      <c r="G460" t="n">
        <v>0.7</v>
      </c>
      <c r="H460" t="n">
        <v>0</v>
      </c>
      <c r="I460" t="n">
        <v>0</v>
      </c>
      <c r="J460" t="n">
        <v>0</v>
      </c>
      <c r="K460" t="n">
        <v>0</v>
      </c>
      <c r="L460" t="n">
        <v>0</v>
      </c>
      <c r="M460" t="n">
        <v>0</v>
      </c>
      <c r="N460" t="n">
        <v>0</v>
      </c>
      <c r="O460" t="n">
        <v>0</v>
      </c>
      <c r="P460" t="n">
        <v>0</v>
      </c>
      <c r="Q460" t="n">
        <v>0</v>
      </c>
      <c r="R460" s="2" t="inlineStr"/>
    </row>
    <row r="461" ht="15" customHeight="1">
      <c r="A461" t="inlineStr">
        <is>
          <t>A 41543-2024</t>
        </is>
      </c>
      <c r="B461" s="1" t="n">
        <v>45560</v>
      </c>
      <c r="C461" s="1" t="n">
        <v>45892</v>
      </c>
      <c r="D461" t="inlineStr">
        <is>
          <t>ÖREBRO LÄN</t>
        </is>
      </c>
      <c r="E461" t="inlineStr">
        <is>
          <t>ÖREBRO</t>
        </is>
      </c>
      <c r="G461" t="n">
        <v>2.8</v>
      </c>
      <c r="H461" t="n">
        <v>0</v>
      </c>
      <c r="I461" t="n">
        <v>0</v>
      </c>
      <c r="J461" t="n">
        <v>0</v>
      </c>
      <c r="K461" t="n">
        <v>0</v>
      </c>
      <c r="L461" t="n">
        <v>0</v>
      </c>
      <c r="M461" t="n">
        <v>0</v>
      </c>
      <c r="N461" t="n">
        <v>0</v>
      </c>
      <c r="O461" t="n">
        <v>0</v>
      </c>
      <c r="P461" t="n">
        <v>0</v>
      </c>
      <c r="Q461" t="n">
        <v>0</v>
      </c>
      <c r="R461" s="2" t="inlineStr"/>
    </row>
    <row r="462" ht="15" customHeight="1">
      <c r="A462" t="inlineStr">
        <is>
          <t>A 28920-2025</t>
        </is>
      </c>
      <c r="B462" s="1" t="n">
        <v>45820.66532407407</v>
      </c>
      <c r="C462" s="1" t="n">
        <v>45892</v>
      </c>
      <c r="D462" t="inlineStr">
        <is>
          <t>ÖREBRO LÄN</t>
        </is>
      </c>
      <c r="E462" t="inlineStr">
        <is>
          <t>ÖREBRO</t>
        </is>
      </c>
      <c r="G462" t="n">
        <v>3</v>
      </c>
      <c r="H462" t="n">
        <v>0</v>
      </c>
      <c r="I462" t="n">
        <v>0</v>
      </c>
      <c r="J462" t="n">
        <v>0</v>
      </c>
      <c r="K462" t="n">
        <v>0</v>
      </c>
      <c r="L462" t="n">
        <v>0</v>
      </c>
      <c r="M462" t="n">
        <v>0</v>
      </c>
      <c r="N462" t="n">
        <v>0</v>
      </c>
      <c r="O462" t="n">
        <v>0</v>
      </c>
      <c r="P462" t="n">
        <v>0</v>
      </c>
      <c r="Q462" t="n">
        <v>0</v>
      </c>
      <c r="R462" s="2" t="inlineStr"/>
    </row>
    <row r="463" ht="15" customHeight="1">
      <c r="A463" t="inlineStr">
        <is>
          <t>A 29339-2025</t>
        </is>
      </c>
      <c r="B463" s="1" t="n">
        <v>45824.5044212963</v>
      </c>
      <c r="C463" s="1" t="n">
        <v>45892</v>
      </c>
      <c r="D463" t="inlineStr">
        <is>
          <t>ÖREBRO LÄN</t>
        </is>
      </c>
      <c r="E463" t="inlineStr">
        <is>
          <t>ÖREBRO</t>
        </is>
      </c>
      <c r="G463" t="n">
        <v>4.3</v>
      </c>
      <c r="H463" t="n">
        <v>0</v>
      </c>
      <c r="I463" t="n">
        <v>0</v>
      </c>
      <c r="J463" t="n">
        <v>0</v>
      </c>
      <c r="K463" t="n">
        <v>0</v>
      </c>
      <c r="L463" t="n">
        <v>0</v>
      </c>
      <c r="M463" t="n">
        <v>0</v>
      </c>
      <c r="N463" t="n">
        <v>0</v>
      </c>
      <c r="O463" t="n">
        <v>0</v>
      </c>
      <c r="P463" t="n">
        <v>0</v>
      </c>
      <c r="Q463" t="n">
        <v>0</v>
      </c>
      <c r="R463" s="2" t="inlineStr"/>
    </row>
    <row r="464" ht="15" customHeight="1">
      <c r="A464" t="inlineStr">
        <is>
          <t>A 60059-2023</t>
        </is>
      </c>
      <c r="B464" s="1" t="n">
        <v>45258.38157407408</v>
      </c>
      <c r="C464" s="1" t="n">
        <v>45892</v>
      </c>
      <c r="D464" t="inlineStr">
        <is>
          <t>ÖREBRO LÄN</t>
        </is>
      </c>
      <c r="E464" t="inlineStr">
        <is>
          <t>ÖREBRO</t>
        </is>
      </c>
      <c r="G464" t="n">
        <v>4</v>
      </c>
      <c r="H464" t="n">
        <v>0</v>
      </c>
      <c r="I464" t="n">
        <v>0</v>
      </c>
      <c r="J464" t="n">
        <v>0</v>
      </c>
      <c r="K464" t="n">
        <v>0</v>
      </c>
      <c r="L464" t="n">
        <v>0</v>
      </c>
      <c r="M464" t="n">
        <v>0</v>
      </c>
      <c r="N464" t="n">
        <v>0</v>
      </c>
      <c r="O464" t="n">
        <v>0</v>
      </c>
      <c r="P464" t="n">
        <v>0</v>
      </c>
      <c r="Q464" t="n">
        <v>0</v>
      </c>
      <c r="R464" s="2" t="inlineStr"/>
    </row>
    <row r="465" ht="15" customHeight="1">
      <c r="A465" t="inlineStr">
        <is>
          <t>A 26858-2024</t>
        </is>
      </c>
      <c r="B465" s="1" t="n">
        <v>45470</v>
      </c>
      <c r="C465" s="1" t="n">
        <v>45892</v>
      </c>
      <c r="D465" t="inlineStr">
        <is>
          <t>ÖREBRO LÄN</t>
        </is>
      </c>
      <c r="E465" t="inlineStr">
        <is>
          <t>ÖREBRO</t>
        </is>
      </c>
      <c r="G465" t="n">
        <v>2.3</v>
      </c>
      <c r="H465" t="n">
        <v>0</v>
      </c>
      <c r="I465" t="n">
        <v>0</v>
      </c>
      <c r="J465" t="n">
        <v>0</v>
      </c>
      <c r="K465" t="n">
        <v>0</v>
      </c>
      <c r="L465" t="n">
        <v>0</v>
      </c>
      <c r="M465" t="n">
        <v>0</v>
      </c>
      <c r="N465" t="n">
        <v>0</v>
      </c>
      <c r="O465" t="n">
        <v>0</v>
      </c>
      <c r="P465" t="n">
        <v>0</v>
      </c>
      <c r="Q465" t="n">
        <v>0</v>
      </c>
      <c r="R465" s="2" t="inlineStr"/>
    </row>
    <row r="466" ht="15" customHeight="1">
      <c r="A466" t="inlineStr">
        <is>
          <t>A 35928-2025</t>
        </is>
      </c>
      <c r="B466" s="1" t="n">
        <v>45862</v>
      </c>
      <c r="C466" s="1" t="n">
        <v>45892</v>
      </c>
      <c r="D466" t="inlineStr">
        <is>
          <t>ÖREBRO LÄN</t>
        </is>
      </c>
      <c r="E466" t="inlineStr">
        <is>
          <t>ÖREBRO</t>
        </is>
      </c>
      <c r="G466" t="n">
        <v>4.4</v>
      </c>
      <c r="H466" t="n">
        <v>0</v>
      </c>
      <c r="I466" t="n">
        <v>0</v>
      </c>
      <c r="J466" t="n">
        <v>0</v>
      </c>
      <c r="K466" t="n">
        <v>0</v>
      </c>
      <c r="L466" t="n">
        <v>0</v>
      </c>
      <c r="M466" t="n">
        <v>0</v>
      </c>
      <c r="N466" t="n">
        <v>0</v>
      </c>
      <c r="O466" t="n">
        <v>0</v>
      </c>
      <c r="P466" t="n">
        <v>0</v>
      </c>
      <c r="Q466" t="n">
        <v>0</v>
      </c>
      <c r="R466" s="2" t="inlineStr"/>
    </row>
    <row r="467" ht="15" customHeight="1">
      <c r="A467" t="inlineStr">
        <is>
          <t>A 71275-2021</t>
        </is>
      </c>
      <c r="B467" s="1" t="n">
        <v>44539</v>
      </c>
      <c r="C467" s="1" t="n">
        <v>45892</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71285-2021</t>
        </is>
      </c>
      <c r="B468" s="1" t="n">
        <v>44539.62236111111</v>
      </c>
      <c r="C468" s="1" t="n">
        <v>45892</v>
      </c>
      <c r="D468" t="inlineStr">
        <is>
          <t>ÖREBRO LÄN</t>
        </is>
      </c>
      <c r="E468" t="inlineStr">
        <is>
          <t>ÖREBRO</t>
        </is>
      </c>
      <c r="G468" t="n">
        <v>0.8</v>
      </c>
      <c r="H468" t="n">
        <v>0</v>
      </c>
      <c r="I468" t="n">
        <v>0</v>
      </c>
      <c r="J468" t="n">
        <v>0</v>
      </c>
      <c r="K468" t="n">
        <v>0</v>
      </c>
      <c r="L468" t="n">
        <v>0</v>
      </c>
      <c r="M468" t="n">
        <v>0</v>
      </c>
      <c r="N468" t="n">
        <v>0</v>
      </c>
      <c r="O468" t="n">
        <v>0</v>
      </c>
      <c r="P468" t="n">
        <v>0</v>
      </c>
      <c r="Q468" t="n">
        <v>0</v>
      </c>
      <c r="R468" s="2" t="inlineStr"/>
    </row>
    <row r="469" ht="15" customHeight="1">
      <c r="A469" t="inlineStr">
        <is>
          <t>A 29554-2025</t>
        </is>
      </c>
      <c r="B469" s="1" t="n">
        <v>45825</v>
      </c>
      <c r="C469" s="1" t="n">
        <v>45892</v>
      </c>
      <c r="D469" t="inlineStr">
        <is>
          <t>ÖREBRO LÄN</t>
        </is>
      </c>
      <c r="E469" t="inlineStr">
        <is>
          <t>ÖREBRO</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2658-2023</t>
        </is>
      </c>
      <c r="B470" s="1" t="n">
        <v>44944</v>
      </c>
      <c r="C470" s="1" t="n">
        <v>45892</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29701-2025</t>
        </is>
      </c>
      <c r="B471" s="1" t="n">
        <v>45825.55261574074</v>
      </c>
      <c r="C471" s="1" t="n">
        <v>45892</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58216-2024</t>
        </is>
      </c>
      <c r="B472" s="1" t="n">
        <v>45632</v>
      </c>
      <c r="C472" s="1" t="n">
        <v>45892</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3763-2025</t>
        </is>
      </c>
      <c r="B473" s="1" t="n">
        <v>45681</v>
      </c>
      <c r="C473" s="1" t="n">
        <v>45892</v>
      </c>
      <c r="D473" t="inlineStr">
        <is>
          <t>ÖREBRO LÄN</t>
        </is>
      </c>
      <c r="E473" t="inlineStr">
        <is>
          <t>ÖREBRO</t>
        </is>
      </c>
      <c r="G473" t="n">
        <v>10.1</v>
      </c>
      <c r="H473" t="n">
        <v>0</v>
      </c>
      <c r="I473" t="n">
        <v>0</v>
      </c>
      <c r="J473" t="n">
        <v>0</v>
      </c>
      <c r="K473" t="n">
        <v>0</v>
      </c>
      <c r="L473" t="n">
        <v>0</v>
      </c>
      <c r="M473" t="n">
        <v>0</v>
      </c>
      <c r="N473" t="n">
        <v>0</v>
      </c>
      <c r="O473" t="n">
        <v>0</v>
      </c>
      <c r="P473" t="n">
        <v>0</v>
      </c>
      <c r="Q473" t="n">
        <v>0</v>
      </c>
      <c r="R473" s="2" t="inlineStr"/>
    </row>
    <row r="474" ht="15" customHeight="1">
      <c r="A474" t="inlineStr">
        <is>
          <t>A 29286-2025</t>
        </is>
      </c>
      <c r="B474" s="1" t="n">
        <v>45824.43502314815</v>
      </c>
      <c r="C474" s="1" t="n">
        <v>45892</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5324-2024</t>
        </is>
      </c>
      <c r="B475" s="1" t="n">
        <v>45331</v>
      </c>
      <c r="C475" s="1" t="n">
        <v>45892</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36447-2025</t>
        </is>
      </c>
      <c r="B476" s="1" t="n">
        <v>45869.41387731482</v>
      </c>
      <c r="C476" s="1" t="n">
        <v>45892</v>
      </c>
      <c r="D476" t="inlineStr">
        <is>
          <t>ÖREBRO LÄN</t>
        </is>
      </c>
      <c r="E476" t="inlineStr">
        <is>
          <t>ÖREBRO</t>
        </is>
      </c>
      <c r="F476" t="inlineStr">
        <is>
          <t>Övriga Aktiebolag</t>
        </is>
      </c>
      <c r="G476" t="n">
        <v>12.6</v>
      </c>
      <c r="H476" t="n">
        <v>0</v>
      </c>
      <c r="I476" t="n">
        <v>0</v>
      </c>
      <c r="J476" t="n">
        <v>0</v>
      </c>
      <c r="K476" t="n">
        <v>0</v>
      </c>
      <c r="L476" t="n">
        <v>0</v>
      </c>
      <c r="M476" t="n">
        <v>0</v>
      </c>
      <c r="N476" t="n">
        <v>0</v>
      </c>
      <c r="O476" t="n">
        <v>0</v>
      </c>
      <c r="P476" t="n">
        <v>0</v>
      </c>
      <c r="Q476" t="n">
        <v>0</v>
      </c>
      <c r="R476" s="2" t="inlineStr"/>
    </row>
    <row r="477" ht="15" customHeight="1">
      <c r="A477" t="inlineStr">
        <is>
          <t>A 11382-2023</t>
        </is>
      </c>
      <c r="B477" s="1" t="n">
        <v>44993.45635416666</v>
      </c>
      <c r="C477" s="1" t="n">
        <v>45892</v>
      </c>
      <c r="D477" t="inlineStr">
        <is>
          <t>ÖREBRO LÄN</t>
        </is>
      </c>
      <c r="E477" t="inlineStr">
        <is>
          <t>ÖREBRO</t>
        </is>
      </c>
      <c r="G477" t="n">
        <v>3.3</v>
      </c>
      <c r="H477" t="n">
        <v>0</v>
      </c>
      <c r="I477" t="n">
        <v>0</v>
      </c>
      <c r="J477" t="n">
        <v>0</v>
      </c>
      <c r="K477" t="n">
        <v>0</v>
      </c>
      <c r="L477" t="n">
        <v>0</v>
      </c>
      <c r="M477" t="n">
        <v>0</v>
      </c>
      <c r="N477" t="n">
        <v>0</v>
      </c>
      <c r="O477" t="n">
        <v>0</v>
      </c>
      <c r="P477" t="n">
        <v>0</v>
      </c>
      <c r="Q477" t="n">
        <v>0</v>
      </c>
      <c r="R477" s="2" t="inlineStr"/>
    </row>
    <row r="478" ht="15" customHeight="1">
      <c r="A478" t="inlineStr">
        <is>
          <t>A 52016-2024</t>
        </is>
      </c>
      <c r="B478" s="1" t="n">
        <v>45607.81917824074</v>
      </c>
      <c r="C478" s="1" t="n">
        <v>45892</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36448-2025</t>
        </is>
      </c>
      <c r="B479" s="1" t="n">
        <v>45869.41929398148</v>
      </c>
      <c r="C479" s="1" t="n">
        <v>45892</v>
      </c>
      <c r="D479" t="inlineStr">
        <is>
          <t>ÖREBRO LÄN</t>
        </is>
      </c>
      <c r="E479" t="inlineStr">
        <is>
          <t>ÖREBRO</t>
        </is>
      </c>
      <c r="F479" t="inlineStr">
        <is>
          <t>Övriga Aktiebolag</t>
        </is>
      </c>
      <c r="G479" t="n">
        <v>4.3</v>
      </c>
      <c r="H479" t="n">
        <v>0</v>
      </c>
      <c r="I479" t="n">
        <v>0</v>
      </c>
      <c r="J479" t="n">
        <v>0</v>
      </c>
      <c r="K479" t="n">
        <v>0</v>
      </c>
      <c r="L479" t="n">
        <v>0</v>
      </c>
      <c r="M479" t="n">
        <v>0</v>
      </c>
      <c r="N479" t="n">
        <v>0</v>
      </c>
      <c r="O479" t="n">
        <v>0</v>
      </c>
      <c r="P479" t="n">
        <v>0</v>
      </c>
      <c r="Q479" t="n">
        <v>0</v>
      </c>
      <c r="R479" s="2" t="inlineStr"/>
    </row>
    <row r="480" ht="15" customHeight="1">
      <c r="A480" t="inlineStr">
        <is>
          <t>A 27112-2023</t>
        </is>
      </c>
      <c r="B480" s="1" t="n">
        <v>45096</v>
      </c>
      <c r="C480" s="1" t="n">
        <v>45892</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16739-2022</t>
        </is>
      </c>
      <c r="B481" s="1" t="n">
        <v>44673</v>
      </c>
      <c r="C481" s="1" t="n">
        <v>45892</v>
      </c>
      <c r="D481" t="inlineStr">
        <is>
          <t>ÖREBRO LÄN</t>
        </is>
      </c>
      <c r="E481" t="inlineStr">
        <is>
          <t>ÖREBRO</t>
        </is>
      </c>
      <c r="G481" t="n">
        <v>4.7</v>
      </c>
      <c r="H481" t="n">
        <v>0</v>
      </c>
      <c r="I481" t="n">
        <v>0</v>
      </c>
      <c r="J481" t="n">
        <v>0</v>
      </c>
      <c r="K481" t="n">
        <v>0</v>
      </c>
      <c r="L481" t="n">
        <v>0</v>
      </c>
      <c r="M481" t="n">
        <v>0</v>
      </c>
      <c r="N481" t="n">
        <v>0</v>
      </c>
      <c r="O481" t="n">
        <v>0</v>
      </c>
      <c r="P481" t="n">
        <v>0</v>
      </c>
      <c r="Q481" t="n">
        <v>0</v>
      </c>
      <c r="R481" s="2" t="inlineStr"/>
    </row>
    <row r="482" ht="15" customHeight="1">
      <c r="A482" t="inlineStr">
        <is>
          <t>A 8331-2021</t>
        </is>
      </c>
      <c r="B482" s="1" t="n">
        <v>44244</v>
      </c>
      <c r="C482" s="1" t="n">
        <v>45892</v>
      </c>
      <c r="D482" t="inlineStr">
        <is>
          <t>ÖREBRO LÄN</t>
        </is>
      </c>
      <c r="E482" t="inlineStr">
        <is>
          <t>ÖREBRO</t>
        </is>
      </c>
      <c r="G482" t="n">
        <v>9.1</v>
      </c>
      <c r="H482" t="n">
        <v>0</v>
      </c>
      <c r="I482" t="n">
        <v>0</v>
      </c>
      <c r="J482" t="n">
        <v>0</v>
      </c>
      <c r="K482" t="n">
        <v>0</v>
      </c>
      <c r="L482" t="n">
        <v>0</v>
      </c>
      <c r="M482" t="n">
        <v>0</v>
      </c>
      <c r="N482" t="n">
        <v>0</v>
      </c>
      <c r="O482" t="n">
        <v>0</v>
      </c>
      <c r="P482" t="n">
        <v>0</v>
      </c>
      <c r="Q482" t="n">
        <v>0</v>
      </c>
      <c r="R482" s="2" t="inlineStr"/>
    </row>
    <row r="483" ht="15" customHeight="1">
      <c r="A483" t="inlineStr">
        <is>
          <t>A 13592-2023</t>
        </is>
      </c>
      <c r="B483" s="1" t="n">
        <v>45006.56870370371</v>
      </c>
      <c r="C483" s="1" t="n">
        <v>45892</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40656-2023</t>
        </is>
      </c>
      <c r="B484" s="1" t="n">
        <v>45170</v>
      </c>
      <c r="C484" s="1" t="n">
        <v>45892</v>
      </c>
      <c r="D484" t="inlineStr">
        <is>
          <t>ÖREBRO LÄN</t>
        </is>
      </c>
      <c r="E484" t="inlineStr">
        <is>
          <t>ÖREBRO</t>
        </is>
      </c>
      <c r="F484" t="inlineStr">
        <is>
          <t>Övriga Aktiebolag</t>
        </is>
      </c>
      <c r="G484" t="n">
        <v>0.8</v>
      </c>
      <c r="H484" t="n">
        <v>0</v>
      </c>
      <c r="I484" t="n">
        <v>0</v>
      </c>
      <c r="J484" t="n">
        <v>0</v>
      </c>
      <c r="K484" t="n">
        <v>0</v>
      </c>
      <c r="L484" t="n">
        <v>0</v>
      </c>
      <c r="M484" t="n">
        <v>0</v>
      </c>
      <c r="N484" t="n">
        <v>0</v>
      </c>
      <c r="O484" t="n">
        <v>0</v>
      </c>
      <c r="P484" t="n">
        <v>0</v>
      </c>
      <c r="Q484" t="n">
        <v>0</v>
      </c>
      <c r="R484" s="2" t="inlineStr"/>
    </row>
    <row r="485" ht="15" customHeight="1">
      <c r="A485" t="inlineStr">
        <is>
          <t>A 18360-2024</t>
        </is>
      </c>
      <c r="B485" s="1" t="n">
        <v>45422</v>
      </c>
      <c r="C485" s="1" t="n">
        <v>45892</v>
      </c>
      <c r="D485" t="inlineStr">
        <is>
          <t>ÖREBRO LÄN</t>
        </is>
      </c>
      <c r="E485" t="inlineStr">
        <is>
          <t>ÖREBRO</t>
        </is>
      </c>
      <c r="G485" t="n">
        <v>0.7</v>
      </c>
      <c r="H485" t="n">
        <v>0</v>
      </c>
      <c r="I485" t="n">
        <v>0</v>
      </c>
      <c r="J485" t="n">
        <v>0</v>
      </c>
      <c r="K485" t="n">
        <v>0</v>
      </c>
      <c r="L485" t="n">
        <v>0</v>
      </c>
      <c r="M485" t="n">
        <v>0</v>
      </c>
      <c r="N485" t="n">
        <v>0</v>
      </c>
      <c r="O485" t="n">
        <v>0</v>
      </c>
      <c r="P485" t="n">
        <v>0</v>
      </c>
      <c r="Q485" t="n">
        <v>0</v>
      </c>
      <c r="R485" s="2" t="inlineStr"/>
    </row>
    <row r="486" ht="15" customHeight="1">
      <c r="A486" t="inlineStr">
        <is>
          <t>A 16676-2025</t>
        </is>
      </c>
      <c r="B486" s="1" t="n">
        <v>45754.44658564815</v>
      </c>
      <c r="C486" s="1" t="n">
        <v>45892</v>
      </c>
      <c r="D486" t="inlineStr">
        <is>
          <t>ÖREBRO LÄN</t>
        </is>
      </c>
      <c r="E486" t="inlineStr">
        <is>
          <t>ÖREBRO</t>
        </is>
      </c>
      <c r="G486" t="n">
        <v>5.8</v>
      </c>
      <c r="H486" t="n">
        <v>0</v>
      </c>
      <c r="I486" t="n">
        <v>0</v>
      </c>
      <c r="J486" t="n">
        <v>0</v>
      </c>
      <c r="K486" t="n">
        <v>0</v>
      </c>
      <c r="L486" t="n">
        <v>0</v>
      </c>
      <c r="M486" t="n">
        <v>0</v>
      </c>
      <c r="N486" t="n">
        <v>0</v>
      </c>
      <c r="O486" t="n">
        <v>0</v>
      </c>
      <c r="P486" t="n">
        <v>0</v>
      </c>
      <c r="Q486" t="n">
        <v>0</v>
      </c>
      <c r="R486" s="2" t="inlineStr"/>
    </row>
    <row r="487" ht="15" customHeight="1">
      <c r="A487" t="inlineStr">
        <is>
          <t>A 12245-2023</t>
        </is>
      </c>
      <c r="B487" s="1" t="n">
        <v>44998.64402777778</v>
      </c>
      <c r="C487" s="1" t="n">
        <v>45892</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5357-2024</t>
        </is>
      </c>
      <c r="B488" s="1" t="n">
        <v>45331</v>
      </c>
      <c r="C488" s="1" t="n">
        <v>45892</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57243-2022</t>
        </is>
      </c>
      <c r="B489" s="1" t="n">
        <v>44895.71835648148</v>
      </c>
      <c r="C489" s="1" t="n">
        <v>45892</v>
      </c>
      <c r="D489" t="inlineStr">
        <is>
          <t>ÖREBRO LÄN</t>
        </is>
      </c>
      <c r="E489" t="inlineStr">
        <is>
          <t>ÖREBRO</t>
        </is>
      </c>
      <c r="G489" t="n">
        <v>6</v>
      </c>
      <c r="H489" t="n">
        <v>0</v>
      </c>
      <c r="I489" t="n">
        <v>0</v>
      </c>
      <c r="J489" t="n">
        <v>0</v>
      </c>
      <c r="K489" t="n">
        <v>0</v>
      </c>
      <c r="L489" t="n">
        <v>0</v>
      </c>
      <c r="M489" t="n">
        <v>0</v>
      </c>
      <c r="N489" t="n">
        <v>0</v>
      </c>
      <c r="O489" t="n">
        <v>0</v>
      </c>
      <c r="P489" t="n">
        <v>0</v>
      </c>
      <c r="Q489" t="n">
        <v>0</v>
      </c>
      <c r="R489" s="2" t="inlineStr"/>
    </row>
    <row r="490" ht="15" customHeight="1">
      <c r="A490" t="inlineStr">
        <is>
          <t>A 30550-2025</t>
        </is>
      </c>
      <c r="B490" s="1" t="n">
        <v>45831.38224537037</v>
      </c>
      <c r="C490" s="1" t="n">
        <v>45892</v>
      </c>
      <c r="D490" t="inlineStr">
        <is>
          <t>ÖREBRO LÄN</t>
        </is>
      </c>
      <c r="E490" t="inlineStr">
        <is>
          <t>ÖREBRO</t>
        </is>
      </c>
      <c r="G490" t="n">
        <v>1.8</v>
      </c>
      <c r="H490" t="n">
        <v>0</v>
      </c>
      <c r="I490" t="n">
        <v>0</v>
      </c>
      <c r="J490" t="n">
        <v>0</v>
      </c>
      <c r="K490" t="n">
        <v>0</v>
      </c>
      <c r="L490" t="n">
        <v>0</v>
      </c>
      <c r="M490" t="n">
        <v>0</v>
      </c>
      <c r="N490" t="n">
        <v>0</v>
      </c>
      <c r="O490" t="n">
        <v>0</v>
      </c>
      <c r="P490" t="n">
        <v>0</v>
      </c>
      <c r="Q490" t="n">
        <v>0</v>
      </c>
      <c r="R490" s="2" t="inlineStr"/>
    </row>
    <row r="491" ht="15" customHeight="1">
      <c r="A491" t="inlineStr">
        <is>
          <t>A 18550-2025</t>
        </is>
      </c>
      <c r="B491" s="1" t="n">
        <v>45763.43422453704</v>
      </c>
      <c r="C491" s="1" t="n">
        <v>45892</v>
      </c>
      <c r="D491" t="inlineStr">
        <is>
          <t>ÖREBRO LÄN</t>
        </is>
      </c>
      <c r="E491" t="inlineStr">
        <is>
          <t>ÖREBRO</t>
        </is>
      </c>
      <c r="G491" t="n">
        <v>11.5</v>
      </c>
      <c r="H491" t="n">
        <v>0</v>
      </c>
      <c r="I491" t="n">
        <v>0</v>
      </c>
      <c r="J491" t="n">
        <v>0</v>
      </c>
      <c r="K491" t="n">
        <v>0</v>
      </c>
      <c r="L491" t="n">
        <v>0</v>
      </c>
      <c r="M491" t="n">
        <v>0</v>
      </c>
      <c r="N491" t="n">
        <v>0</v>
      </c>
      <c r="O491" t="n">
        <v>0</v>
      </c>
      <c r="P491" t="n">
        <v>0</v>
      </c>
      <c r="Q491" t="n">
        <v>0</v>
      </c>
      <c r="R491" s="2" t="inlineStr"/>
    </row>
    <row r="492" ht="15" customHeight="1">
      <c r="A492" t="inlineStr">
        <is>
          <t>A 30731-2025</t>
        </is>
      </c>
      <c r="B492" s="1" t="n">
        <v>45831.57280092593</v>
      </c>
      <c r="C492" s="1" t="n">
        <v>45892</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40051-2024</t>
        </is>
      </c>
      <c r="B493" s="1" t="n">
        <v>45553</v>
      </c>
      <c r="C493" s="1" t="n">
        <v>45892</v>
      </c>
      <c r="D493" t="inlineStr">
        <is>
          <t>ÖREBRO LÄN</t>
        </is>
      </c>
      <c r="E493" t="inlineStr">
        <is>
          <t>ÖREBRO</t>
        </is>
      </c>
      <c r="G493" t="n">
        <v>3.5</v>
      </c>
      <c r="H493" t="n">
        <v>0</v>
      </c>
      <c r="I493" t="n">
        <v>0</v>
      </c>
      <c r="J493" t="n">
        <v>0</v>
      </c>
      <c r="K493" t="n">
        <v>0</v>
      </c>
      <c r="L493" t="n">
        <v>0</v>
      </c>
      <c r="M493" t="n">
        <v>0</v>
      </c>
      <c r="N493" t="n">
        <v>0</v>
      </c>
      <c r="O493" t="n">
        <v>0</v>
      </c>
      <c r="P493" t="n">
        <v>0</v>
      </c>
      <c r="Q493" t="n">
        <v>0</v>
      </c>
      <c r="R493" s="2" t="inlineStr"/>
    </row>
    <row r="494" ht="15" customHeight="1">
      <c r="A494" t="inlineStr">
        <is>
          <t>A 50446-2023</t>
        </is>
      </c>
      <c r="B494" s="1" t="n">
        <v>45216</v>
      </c>
      <c r="C494" s="1" t="n">
        <v>45892</v>
      </c>
      <c r="D494" t="inlineStr">
        <is>
          <t>ÖREBRO LÄN</t>
        </is>
      </c>
      <c r="E494" t="inlineStr">
        <is>
          <t>ÖREBRO</t>
        </is>
      </c>
      <c r="F494" t="inlineStr">
        <is>
          <t>Övriga Aktiebolag</t>
        </is>
      </c>
      <c r="G494" t="n">
        <v>2.8</v>
      </c>
      <c r="H494" t="n">
        <v>0</v>
      </c>
      <c r="I494" t="n">
        <v>0</v>
      </c>
      <c r="J494" t="n">
        <v>0</v>
      </c>
      <c r="K494" t="n">
        <v>0</v>
      </c>
      <c r="L494" t="n">
        <v>0</v>
      </c>
      <c r="M494" t="n">
        <v>0</v>
      </c>
      <c r="N494" t="n">
        <v>0</v>
      </c>
      <c r="O494" t="n">
        <v>0</v>
      </c>
      <c r="P494" t="n">
        <v>0</v>
      </c>
      <c r="Q494" t="n">
        <v>0</v>
      </c>
      <c r="R494" s="2" t="inlineStr"/>
    </row>
    <row r="495" ht="15" customHeight="1">
      <c r="A495" t="inlineStr">
        <is>
          <t>A 50450-2023</t>
        </is>
      </c>
      <c r="B495" s="1" t="n">
        <v>45216.73533564815</v>
      </c>
      <c r="C495" s="1" t="n">
        <v>45892</v>
      </c>
      <c r="D495" t="inlineStr">
        <is>
          <t>ÖREBRO LÄN</t>
        </is>
      </c>
      <c r="E495" t="inlineStr">
        <is>
          <t>ÖREBRO</t>
        </is>
      </c>
      <c r="F495" t="inlineStr">
        <is>
          <t>Övriga Aktiebolag</t>
        </is>
      </c>
      <c r="G495" t="n">
        <v>0.8</v>
      </c>
      <c r="H495" t="n">
        <v>0</v>
      </c>
      <c r="I495" t="n">
        <v>0</v>
      </c>
      <c r="J495" t="n">
        <v>0</v>
      </c>
      <c r="K495" t="n">
        <v>0</v>
      </c>
      <c r="L495" t="n">
        <v>0</v>
      </c>
      <c r="M495" t="n">
        <v>0</v>
      </c>
      <c r="N495" t="n">
        <v>0</v>
      </c>
      <c r="O495" t="n">
        <v>0</v>
      </c>
      <c r="P495" t="n">
        <v>0</v>
      </c>
      <c r="Q495" t="n">
        <v>0</v>
      </c>
      <c r="R495" s="2" t="inlineStr"/>
    </row>
    <row r="496" ht="15" customHeight="1">
      <c r="A496" t="inlineStr">
        <is>
          <t>A 26117-2021</t>
        </is>
      </c>
      <c r="B496" s="1" t="n">
        <v>44345</v>
      </c>
      <c r="C496" s="1" t="n">
        <v>45892</v>
      </c>
      <c r="D496" t="inlineStr">
        <is>
          <t>ÖREBRO LÄN</t>
        </is>
      </c>
      <c r="E496" t="inlineStr">
        <is>
          <t>ÖREBRO</t>
        </is>
      </c>
      <c r="G496" t="n">
        <v>8.1</v>
      </c>
      <c r="H496" t="n">
        <v>0</v>
      </c>
      <c r="I496" t="n">
        <v>0</v>
      </c>
      <c r="J496" t="n">
        <v>0</v>
      </c>
      <c r="K496" t="n">
        <v>0</v>
      </c>
      <c r="L496" t="n">
        <v>0</v>
      </c>
      <c r="M496" t="n">
        <v>0</v>
      </c>
      <c r="N496" t="n">
        <v>0</v>
      </c>
      <c r="O496" t="n">
        <v>0</v>
      </c>
      <c r="P496" t="n">
        <v>0</v>
      </c>
      <c r="Q496" t="n">
        <v>0</v>
      </c>
      <c r="R496" s="2" t="inlineStr"/>
    </row>
    <row r="497" ht="15" customHeight="1">
      <c r="A497" t="inlineStr">
        <is>
          <t>A 8008-2024</t>
        </is>
      </c>
      <c r="B497" s="1" t="n">
        <v>45350.6794212963</v>
      </c>
      <c r="C497" s="1" t="n">
        <v>45892</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31232-2025</t>
        </is>
      </c>
      <c r="B498" s="1" t="n">
        <v>45832.8252199074</v>
      </c>
      <c r="C498" s="1" t="n">
        <v>45892</v>
      </c>
      <c r="D498" t="inlineStr">
        <is>
          <t>ÖREBRO LÄN</t>
        </is>
      </c>
      <c r="E498" t="inlineStr">
        <is>
          <t>ÖREBRO</t>
        </is>
      </c>
      <c r="F498" t="inlineStr">
        <is>
          <t>Övriga Aktiebolag</t>
        </is>
      </c>
      <c r="G498" t="n">
        <v>2.1</v>
      </c>
      <c r="H498" t="n">
        <v>0</v>
      </c>
      <c r="I498" t="n">
        <v>0</v>
      </c>
      <c r="J498" t="n">
        <v>0</v>
      </c>
      <c r="K498" t="n">
        <v>0</v>
      </c>
      <c r="L498" t="n">
        <v>0</v>
      </c>
      <c r="M498" t="n">
        <v>0</v>
      </c>
      <c r="N498" t="n">
        <v>0</v>
      </c>
      <c r="O498" t="n">
        <v>0</v>
      </c>
      <c r="P498" t="n">
        <v>0</v>
      </c>
      <c r="Q498" t="n">
        <v>0</v>
      </c>
      <c r="R498" s="2" t="inlineStr"/>
    </row>
    <row r="499" ht="15" customHeight="1">
      <c r="A499" t="inlineStr">
        <is>
          <t>A 30951-2025</t>
        </is>
      </c>
      <c r="B499" s="1" t="n">
        <v>45832.43225694444</v>
      </c>
      <c r="C499" s="1" t="n">
        <v>45892</v>
      </c>
      <c r="D499" t="inlineStr">
        <is>
          <t>ÖREBRO LÄN</t>
        </is>
      </c>
      <c r="E499" t="inlineStr">
        <is>
          <t>ÖREBRO</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46834-2022</t>
        </is>
      </c>
      <c r="B500" s="1" t="n">
        <v>44851</v>
      </c>
      <c r="C500" s="1" t="n">
        <v>45892</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31233-2025</t>
        </is>
      </c>
      <c r="B501" s="1" t="n">
        <v>45832.83341435185</v>
      </c>
      <c r="C501" s="1" t="n">
        <v>45892</v>
      </c>
      <c r="D501" t="inlineStr">
        <is>
          <t>ÖREBRO LÄN</t>
        </is>
      </c>
      <c r="E501" t="inlineStr">
        <is>
          <t>ÖREBRO</t>
        </is>
      </c>
      <c r="F501" t="inlineStr">
        <is>
          <t>Övriga Aktiebolag</t>
        </is>
      </c>
      <c r="G501" t="n">
        <v>2</v>
      </c>
      <c r="H501" t="n">
        <v>0</v>
      </c>
      <c r="I501" t="n">
        <v>0</v>
      </c>
      <c r="J501" t="n">
        <v>0</v>
      </c>
      <c r="K501" t="n">
        <v>0</v>
      </c>
      <c r="L501" t="n">
        <v>0</v>
      </c>
      <c r="M501" t="n">
        <v>0</v>
      </c>
      <c r="N501" t="n">
        <v>0</v>
      </c>
      <c r="O501" t="n">
        <v>0</v>
      </c>
      <c r="P501" t="n">
        <v>0</v>
      </c>
      <c r="Q501" t="n">
        <v>0</v>
      </c>
      <c r="R501" s="2" t="inlineStr"/>
    </row>
    <row r="502" ht="15" customHeight="1">
      <c r="A502" t="inlineStr">
        <is>
          <t>A 3789-2023</t>
        </is>
      </c>
      <c r="B502" s="1" t="n">
        <v>44951</v>
      </c>
      <c r="C502" s="1" t="n">
        <v>45892</v>
      </c>
      <c r="D502" t="inlineStr">
        <is>
          <t>ÖREBRO LÄN</t>
        </is>
      </c>
      <c r="E502" t="inlineStr">
        <is>
          <t>ÖREBRO</t>
        </is>
      </c>
      <c r="G502" t="n">
        <v>7.5</v>
      </c>
      <c r="H502" t="n">
        <v>0</v>
      </c>
      <c r="I502" t="n">
        <v>0</v>
      </c>
      <c r="J502" t="n">
        <v>0</v>
      </c>
      <c r="K502" t="n">
        <v>0</v>
      </c>
      <c r="L502" t="n">
        <v>0</v>
      </c>
      <c r="M502" t="n">
        <v>0</v>
      </c>
      <c r="N502" t="n">
        <v>0</v>
      </c>
      <c r="O502" t="n">
        <v>0</v>
      </c>
      <c r="P502" t="n">
        <v>0</v>
      </c>
      <c r="Q502" t="n">
        <v>0</v>
      </c>
      <c r="R502" s="2" t="inlineStr"/>
    </row>
    <row r="503" ht="15" customHeight="1">
      <c r="A503" t="inlineStr">
        <is>
          <t>A 6879-2024</t>
        </is>
      </c>
      <c r="B503" s="1" t="n">
        <v>45342.85280092592</v>
      </c>
      <c r="C503" s="1" t="n">
        <v>45892</v>
      </c>
      <c r="D503" t="inlineStr">
        <is>
          <t>ÖREBRO LÄN</t>
        </is>
      </c>
      <c r="E503" t="inlineStr">
        <is>
          <t>ÖREBRO</t>
        </is>
      </c>
      <c r="G503" t="n">
        <v>1.6</v>
      </c>
      <c r="H503" t="n">
        <v>0</v>
      </c>
      <c r="I503" t="n">
        <v>0</v>
      </c>
      <c r="J503" t="n">
        <v>0</v>
      </c>
      <c r="K503" t="n">
        <v>0</v>
      </c>
      <c r="L503" t="n">
        <v>0</v>
      </c>
      <c r="M503" t="n">
        <v>0</v>
      </c>
      <c r="N503" t="n">
        <v>0</v>
      </c>
      <c r="O503" t="n">
        <v>0</v>
      </c>
      <c r="P503" t="n">
        <v>0</v>
      </c>
      <c r="Q503" t="n">
        <v>0</v>
      </c>
      <c r="R503" s="2" t="inlineStr"/>
    </row>
    <row r="504" ht="15" customHeight="1">
      <c r="A504" t="inlineStr">
        <is>
          <t>A 31237-2025</t>
        </is>
      </c>
      <c r="B504" s="1" t="n">
        <v>45832.84313657408</v>
      </c>
      <c r="C504" s="1" t="n">
        <v>45892</v>
      </c>
      <c r="D504" t="inlineStr">
        <is>
          <t>ÖREBRO LÄN</t>
        </is>
      </c>
      <c r="E504" t="inlineStr">
        <is>
          <t>ÖREBRO</t>
        </is>
      </c>
      <c r="F504" t="inlineStr">
        <is>
          <t>Övriga Aktiebolag</t>
        </is>
      </c>
      <c r="G504" t="n">
        <v>1.7</v>
      </c>
      <c r="H504" t="n">
        <v>0</v>
      </c>
      <c r="I504" t="n">
        <v>0</v>
      </c>
      <c r="J504" t="n">
        <v>0</v>
      </c>
      <c r="K504" t="n">
        <v>0</v>
      </c>
      <c r="L504" t="n">
        <v>0</v>
      </c>
      <c r="M504" t="n">
        <v>0</v>
      </c>
      <c r="N504" t="n">
        <v>0</v>
      </c>
      <c r="O504" t="n">
        <v>0</v>
      </c>
      <c r="P504" t="n">
        <v>0</v>
      </c>
      <c r="Q504" t="n">
        <v>0</v>
      </c>
      <c r="R504" s="2" t="inlineStr"/>
    </row>
    <row r="505" ht="15" customHeight="1">
      <c r="A505" t="inlineStr">
        <is>
          <t>A 58032-2023</t>
        </is>
      </c>
      <c r="B505" s="1" t="n">
        <v>45247</v>
      </c>
      <c r="C505" s="1" t="n">
        <v>45892</v>
      </c>
      <c r="D505" t="inlineStr">
        <is>
          <t>ÖREBRO LÄN</t>
        </is>
      </c>
      <c r="E505" t="inlineStr">
        <is>
          <t>ÖREBRO</t>
        </is>
      </c>
      <c r="G505" t="n">
        <v>1.1</v>
      </c>
      <c r="H505" t="n">
        <v>0</v>
      </c>
      <c r="I505" t="n">
        <v>0</v>
      </c>
      <c r="J505" t="n">
        <v>0</v>
      </c>
      <c r="K505" t="n">
        <v>0</v>
      </c>
      <c r="L505" t="n">
        <v>0</v>
      </c>
      <c r="M505" t="n">
        <v>0</v>
      </c>
      <c r="N505" t="n">
        <v>0</v>
      </c>
      <c r="O505" t="n">
        <v>0</v>
      </c>
      <c r="P505" t="n">
        <v>0</v>
      </c>
      <c r="Q505" t="n">
        <v>0</v>
      </c>
      <c r="R505" s="2" t="inlineStr"/>
    </row>
    <row r="506" ht="15" customHeight="1">
      <c r="A506" t="inlineStr">
        <is>
          <t>A 58035-2023</t>
        </is>
      </c>
      <c r="B506" s="1" t="n">
        <v>45247</v>
      </c>
      <c r="C506" s="1" t="n">
        <v>45892</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31066-2025</t>
        </is>
      </c>
      <c r="B507" s="1" t="n">
        <v>45832</v>
      </c>
      <c r="C507" s="1" t="n">
        <v>45892</v>
      </c>
      <c r="D507" t="inlineStr">
        <is>
          <t>ÖREBRO LÄN</t>
        </is>
      </c>
      <c r="E507" t="inlineStr">
        <is>
          <t>ÖREBRO</t>
        </is>
      </c>
      <c r="G507" t="n">
        <v>11.1</v>
      </c>
      <c r="H507" t="n">
        <v>0</v>
      </c>
      <c r="I507" t="n">
        <v>0</v>
      </c>
      <c r="J507" t="n">
        <v>0</v>
      </c>
      <c r="K507" t="n">
        <v>0</v>
      </c>
      <c r="L507" t="n">
        <v>0</v>
      </c>
      <c r="M507" t="n">
        <v>0</v>
      </c>
      <c r="N507" t="n">
        <v>0</v>
      </c>
      <c r="O507" t="n">
        <v>0</v>
      </c>
      <c r="P507" t="n">
        <v>0</v>
      </c>
      <c r="Q507" t="n">
        <v>0</v>
      </c>
      <c r="R507" s="2" t="inlineStr"/>
    </row>
    <row r="508" ht="15" customHeight="1">
      <c r="A508" t="inlineStr">
        <is>
          <t>A 6387-2021</t>
        </is>
      </c>
      <c r="B508" s="1" t="n">
        <v>44235</v>
      </c>
      <c r="C508" s="1" t="n">
        <v>45892</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57869-2024</t>
        </is>
      </c>
      <c r="B509" s="1" t="n">
        <v>45631.44207175926</v>
      </c>
      <c r="C509" s="1" t="n">
        <v>45892</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11565-2023</t>
        </is>
      </c>
      <c r="B510" s="1" t="n">
        <v>44994</v>
      </c>
      <c r="C510" s="1" t="n">
        <v>45892</v>
      </c>
      <c r="D510" t="inlineStr">
        <is>
          <t>ÖREBRO LÄN</t>
        </is>
      </c>
      <c r="E510" t="inlineStr">
        <is>
          <t>ÖREBRO</t>
        </is>
      </c>
      <c r="G510" t="n">
        <v>4.7</v>
      </c>
      <c r="H510" t="n">
        <v>0</v>
      </c>
      <c r="I510" t="n">
        <v>0</v>
      </c>
      <c r="J510" t="n">
        <v>0</v>
      </c>
      <c r="K510" t="n">
        <v>0</v>
      </c>
      <c r="L510" t="n">
        <v>0</v>
      </c>
      <c r="M510" t="n">
        <v>0</v>
      </c>
      <c r="N510" t="n">
        <v>0</v>
      </c>
      <c r="O510" t="n">
        <v>0</v>
      </c>
      <c r="P510" t="n">
        <v>0</v>
      </c>
      <c r="Q510" t="n">
        <v>0</v>
      </c>
      <c r="R510" s="2" t="inlineStr"/>
    </row>
    <row r="511" ht="15" customHeight="1">
      <c r="A511" t="inlineStr">
        <is>
          <t>A 7506-2025</t>
        </is>
      </c>
      <c r="B511" s="1" t="n">
        <v>45705</v>
      </c>
      <c r="C511" s="1" t="n">
        <v>45892</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65257-2023</t>
        </is>
      </c>
      <c r="B512" s="1" t="n">
        <v>45290</v>
      </c>
      <c r="C512" s="1" t="n">
        <v>45892</v>
      </c>
      <c r="D512" t="inlineStr">
        <is>
          <t>ÖREBRO LÄN</t>
        </is>
      </c>
      <c r="E512" t="inlineStr">
        <is>
          <t>ÖREBRO</t>
        </is>
      </c>
      <c r="F512" t="inlineStr">
        <is>
          <t>Övriga Aktiebolag</t>
        </is>
      </c>
      <c r="G512" t="n">
        <v>2.4</v>
      </c>
      <c r="H512" t="n">
        <v>0</v>
      </c>
      <c r="I512" t="n">
        <v>0</v>
      </c>
      <c r="J512" t="n">
        <v>0</v>
      </c>
      <c r="K512" t="n">
        <v>0</v>
      </c>
      <c r="L512" t="n">
        <v>0</v>
      </c>
      <c r="M512" t="n">
        <v>0</v>
      </c>
      <c r="N512" t="n">
        <v>0</v>
      </c>
      <c r="O512" t="n">
        <v>0</v>
      </c>
      <c r="P512" t="n">
        <v>0</v>
      </c>
      <c r="Q512" t="n">
        <v>0</v>
      </c>
      <c r="R512" s="2" t="inlineStr"/>
    </row>
    <row r="513" ht="15" customHeight="1">
      <c r="A513" t="inlineStr">
        <is>
          <t>A 1647-2024</t>
        </is>
      </c>
      <c r="B513" s="1" t="n">
        <v>45306</v>
      </c>
      <c r="C513" s="1" t="n">
        <v>45892</v>
      </c>
      <c r="D513" t="inlineStr">
        <is>
          <t>ÖREBRO LÄN</t>
        </is>
      </c>
      <c r="E513" t="inlineStr">
        <is>
          <t>ÖREBRO</t>
        </is>
      </c>
      <c r="G513" t="n">
        <v>1.3</v>
      </c>
      <c r="H513" t="n">
        <v>0</v>
      </c>
      <c r="I513" t="n">
        <v>0</v>
      </c>
      <c r="J513" t="n">
        <v>0</v>
      </c>
      <c r="K513" t="n">
        <v>0</v>
      </c>
      <c r="L513" t="n">
        <v>0</v>
      </c>
      <c r="M513" t="n">
        <v>0</v>
      </c>
      <c r="N513" t="n">
        <v>0</v>
      </c>
      <c r="O513" t="n">
        <v>0</v>
      </c>
      <c r="P513" t="n">
        <v>0</v>
      </c>
      <c r="Q513" t="n">
        <v>0</v>
      </c>
      <c r="R513" s="2" t="inlineStr"/>
    </row>
    <row r="514" ht="15" customHeight="1">
      <c r="A514" t="inlineStr">
        <is>
          <t>A 31906-2023</t>
        </is>
      </c>
      <c r="B514" s="1" t="n">
        <v>45118.8353125</v>
      </c>
      <c r="C514" s="1" t="n">
        <v>45892</v>
      </c>
      <c r="D514" t="inlineStr">
        <is>
          <t>ÖREBRO LÄN</t>
        </is>
      </c>
      <c r="E514" t="inlineStr">
        <is>
          <t>ÖREBRO</t>
        </is>
      </c>
      <c r="G514" t="n">
        <v>9</v>
      </c>
      <c r="H514" t="n">
        <v>0</v>
      </c>
      <c r="I514" t="n">
        <v>0</v>
      </c>
      <c r="J514" t="n">
        <v>0</v>
      </c>
      <c r="K514" t="n">
        <v>0</v>
      </c>
      <c r="L514" t="n">
        <v>0</v>
      </c>
      <c r="M514" t="n">
        <v>0</v>
      </c>
      <c r="N514" t="n">
        <v>0</v>
      </c>
      <c r="O514" t="n">
        <v>0</v>
      </c>
      <c r="P514" t="n">
        <v>0</v>
      </c>
      <c r="Q514" t="n">
        <v>0</v>
      </c>
      <c r="R514" s="2" t="inlineStr"/>
    </row>
    <row r="515" ht="15" customHeight="1">
      <c r="A515" t="inlineStr">
        <is>
          <t>A 22510-2024</t>
        </is>
      </c>
      <c r="B515" s="1" t="n">
        <v>45447.37440972222</v>
      </c>
      <c r="C515" s="1" t="n">
        <v>45892</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42285-2020</t>
        </is>
      </c>
      <c r="B516" s="1" t="n">
        <v>44076</v>
      </c>
      <c r="C516" s="1" t="n">
        <v>45892</v>
      </c>
      <c r="D516" t="inlineStr">
        <is>
          <t>ÖREBRO LÄN</t>
        </is>
      </c>
      <c r="E516" t="inlineStr">
        <is>
          <t>ÖREBRO</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31326-2024</t>
        </is>
      </c>
      <c r="B517" s="1" t="n">
        <v>45504.5934375</v>
      </c>
      <c r="C517" s="1" t="n">
        <v>45892</v>
      </c>
      <c r="D517" t="inlineStr">
        <is>
          <t>ÖREBRO LÄN</t>
        </is>
      </c>
      <c r="E517" t="inlineStr">
        <is>
          <t>ÖREBRO</t>
        </is>
      </c>
      <c r="G517" t="n">
        <v>6.4</v>
      </c>
      <c r="H517" t="n">
        <v>0</v>
      </c>
      <c r="I517" t="n">
        <v>0</v>
      </c>
      <c r="J517" t="n">
        <v>0</v>
      </c>
      <c r="K517" t="n">
        <v>0</v>
      </c>
      <c r="L517" t="n">
        <v>0</v>
      </c>
      <c r="M517" t="n">
        <v>0</v>
      </c>
      <c r="N517" t="n">
        <v>0</v>
      </c>
      <c r="O517" t="n">
        <v>0</v>
      </c>
      <c r="P517" t="n">
        <v>0</v>
      </c>
      <c r="Q517" t="n">
        <v>0</v>
      </c>
      <c r="R517" s="2" t="inlineStr"/>
    </row>
    <row r="518" ht="15" customHeight="1">
      <c r="A518" t="inlineStr">
        <is>
          <t>A 20589-2024</t>
        </is>
      </c>
      <c r="B518" s="1" t="n">
        <v>45436.42077546296</v>
      </c>
      <c r="C518" s="1" t="n">
        <v>45892</v>
      </c>
      <c r="D518" t="inlineStr">
        <is>
          <t>ÖREBRO LÄN</t>
        </is>
      </c>
      <c r="E518" t="inlineStr">
        <is>
          <t>ÖREBRO</t>
        </is>
      </c>
      <c r="G518" t="n">
        <v>3.7</v>
      </c>
      <c r="H518" t="n">
        <v>0</v>
      </c>
      <c r="I518" t="n">
        <v>0</v>
      </c>
      <c r="J518" t="n">
        <v>0</v>
      </c>
      <c r="K518" t="n">
        <v>0</v>
      </c>
      <c r="L518" t="n">
        <v>0</v>
      </c>
      <c r="M518" t="n">
        <v>0</v>
      </c>
      <c r="N518" t="n">
        <v>0</v>
      </c>
      <c r="O518" t="n">
        <v>0</v>
      </c>
      <c r="P518" t="n">
        <v>0</v>
      </c>
      <c r="Q518" t="n">
        <v>0</v>
      </c>
      <c r="R518" s="2" t="inlineStr"/>
    </row>
    <row r="519" ht="15" customHeight="1">
      <c r="A519" t="inlineStr">
        <is>
          <t>A 70719-2021</t>
        </is>
      </c>
      <c r="B519" s="1" t="n">
        <v>44537</v>
      </c>
      <c r="C519" s="1" t="n">
        <v>45892</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31240-2023</t>
        </is>
      </c>
      <c r="B520" s="1" t="n">
        <v>45114</v>
      </c>
      <c r="C520" s="1" t="n">
        <v>45892</v>
      </c>
      <c r="D520" t="inlineStr">
        <is>
          <t>ÖREBRO LÄN</t>
        </is>
      </c>
      <c r="E520" t="inlineStr">
        <is>
          <t>ÖREBRO</t>
        </is>
      </c>
      <c r="F520" t="inlineStr">
        <is>
          <t>Allmännings- och besparingsskogar</t>
        </is>
      </c>
      <c r="G520" t="n">
        <v>6.2</v>
      </c>
      <c r="H520" t="n">
        <v>0</v>
      </c>
      <c r="I520" t="n">
        <v>0</v>
      </c>
      <c r="J520" t="n">
        <v>0</v>
      </c>
      <c r="K520" t="n">
        <v>0</v>
      </c>
      <c r="L520" t="n">
        <v>0</v>
      </c>
      <c r="M520" t="n">
        <v>0</v>
      </c>
      <c r="N520" t="n">
        <v>0</v>
      </c>
      <c r="O520" t="n">
        <v>0</v>
      </c>
      <c r="P520" t="n">
        <v>0</v>
      </c>
      <c r="Q520" t="n">
        <v>0</v>
      </c>
      <c r="R520" s="2" t="inlineStr"/>
    </row>
    <row r="521" ht="15" customHeight="1">
      <c r="A521" t="inlineStr">
        <is>
          <t>A 16694-2025</t>
        </is>
      </c>
      <c r="B521" s="1" t="n">
        <v>45754.46480324074</v>
      </c>
      <c r="C521" s="1" t="n">
        <v>45892</v>
      </c>
      <c r="D521" t="inlineStr">
        <is>
          <t>ÖREBRO LÄN</t>
        </is>
      </c>
      <c r="E521" t="inlineStr">
        <is>
          <t>ÖREBRO</t>
        </is>
      </c>
      <c r="G521" t="n">
        <v>1.2</v>
      </c>
      <c r="H521" t="n">
        <v>0</v>
      </c>
      <c r="I521" t="n">
        <v>0</v>
      </c>
      <c r="J521" t="n">
        <v>0</v>
      </c>
      <c r="K521" t="n">
        <v>0</v>
      </c>
      <c r="L521" t="n">
        <v>0</v>
      </c>
      <c r="M521" t="n">
        <v>0</v>
      </c>
      <c r="N521" t="n">
        <v>0</v>
      </c>
      <c r="O521" t="n">
        <v>0</v>
      </c>
      <c r="P521" t="n">
        <v>0</v>
      </c>
      <c r="Q521" t="n">
        <v>0</v>
      </c>
      <c r="R521" s="2" t="inlineStr"/>
    </row>
    <row r="522" ht="15" customHeight="1">
      <c r="A522" t="inlineStr">
        <is>
          <t>A 30374-2023</t>
        </is>
      </c>
      <c r="B522" s="1" t="n">
        <v>45111</v>
      </c>
      <c r="C522" s="1" t="n">
        <v>45892</v>
      </c>
      <c r="D522" t="inlineStr">
        <is>
          <t>ÖREBRO LÄN</t>
        </is>
      </c>
      <c r="E522" t="inlineStr">
        <is>
          <t>ÖREBRO</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38898-2023</t>
        </is>
      </c>
      <c r="B523" s="1" t="n">
        <v>45163</v>
      </c>
      <c r="C523" s="1" t="n">
        <v>45892</v>
      </c>
      <c r="D523" t="inlineStr">
        <is>
          <t>ÖREBRO LÄN</t>
        </is>
      </c>
      <c r="E523" t="inlineStr">
        <is>
          <t>ÖREBRO</t>
        </is>
      </c>
      <c r="G523" t="n">
        <v>5.1</v>
      </c>
      <c r="H523" t="n">
        <v>0</v>
      </c>
      <c r="I523" t="n">
        <v>0</v>
      </c>
      <c r="J523" t="n">
        <v>0</v>
      </c>
      <c r="K523" t="n">
        <v>0</v>
      </c>
      <c r="L523" t="n">
        <v>0</v>
      </c>
      <c r="M523" t="n">
        <v>0</v>
      </c>
      <c r="N523" t="n">
        <v>0</v>
      </c>
      <c r="O523" t="n">
        <v>0</v>
      </c>
      <c r="P523" t="n">
        <v>0</v>
      </c>
      <c r="Q523" t="n">
        <v>0</v>
      </c>
      <c r="R523" s="2" t="inlineStr"/>
    </row>
    <row r="524" ht="15" customHeight="1">
      <c r="A524" t="inlineStr">
        <is>
          <t>A 5764-2022</t>
        </is>
      </c>
      <c r="B524" s="1" t="n">
        <v>44596</v>
      </c>
      <c r="C524" s="1" t="n">
        <v>45892</v>
      </c>
      <c r="D524" t="inlineStr">
        <is>
          <t>ÖREBRO LÄN</t>
        </is>
      </c>
      <c r="E524" t="inlineStr">
        <is>
          <t>ÖREBRO</t>
        </is>
      </c>
      <c r="G524" t="n">
        <v>3.5</v>
      </c>
      <c r="H524" t="n">
        <v>0</v>
      </c>
      <c r="I524" t="n">
        <v>0</v>
      </c>
      <c r="J524" t="n">
        <v>0</v>
      </c>
      <c r="K524" t="n">
        <v>0</v>
      </c>
      <c r="L524" t="n">
        <v>0</v>
      </c>
      <c r="M524" t="n">
        <v>0</v>
      </c>
      <c r="N524" t="n">
        <v>0</v>
      </c>
      <c r="O524" t="n">
        <v>0</v>
      </c>
      <c r="P524" t="n">
        <v>0</v>
      </c>
      <c r="Q524" t="n">
        <v>0</v>
      </c>
      <c r="R524" s="2" t="inlineStr"/>
    </row>
    <row r="525" ht="15" customHeight="1">
      <c r="A525" t="inlineStr">
        <is>
          <t>A 14717-2024</t>
        </is>
      </c>
      <c r="B525" s="1" t="n">
        <v>45397.55104166667</v>
      </c>
      <c r="C525" s="1" t="n">
        <v>45892</v>
      </c>
      <c r="D525" t="inlineStr">
        <is>
          <t>ÖREBRO LÄN</t>
        </is>
      </c>
      <c r="E525" t="inlineStr">
        <is>
          <t>ÖREBRO</t>
        </is>
      </c>
      <c r="G525" t="n">
        <v>0.7</v>
      </c>
      <c r="H525" t="n">
        <v>0</v>
      </c>
      <c r="I525" t="n">
        <v>0</v>
      </c>
      <c r="J525" t="n">
        <v>0</v>
      </c>
      <c r="K525" t="n">
        <v>0</v>
      </c>
      <c r="L525" t="n">
        <v>0</v>
      </c>
      <c r="M525" t="n">
        <v>0</v>
      </c>
      <c r="N525" t="n">
        <v>0</v>
      </c>
      <c r="O525" t="n">
        <v>0</v>
      </c>
      <c r="P525" t="n">
        <v>0</v>
      </c>
      <c r="Q525" t="n">
        <v>0</v>
      </c>
      <c r="R525" s="2" t="inlineStr"/>
    </row>
    <row r="526" ht="15" customHeight="1">
      <c r="A526" t="inlineStr">
        <is>
          <t>A 21036-2024</t>
        </is>
      </c>
      <c r="B526" s="1" t="n">
        <v>45439.65954861111</v>
      </c>
      <c r="C526" s="1" t="n">
        <v>45892</v>
      </c>
      <c r="D526" t="inlineStr">
        <is>
          <t>ÖREBRO LÄN</t>
        </is>
      </c>
      <c r="E526" t="inlineStr">
        <is>
          <t>ÖREBRO</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37968-2024</t>
        </is>
      </c>
      <c r="B527" s="1" t="n">
        <v>45544</v>
      </c>
      <c r="C527" s="1" t="n">
        <v>45892</v>
      </c>
      <c r="D527" t="inlineStr">
        <is>
          <t>ÖREBRO LÄN</t>
        </is>
      </c>
      <c r="E527" t="inlineStr">
        <is>
          <t>ÖREBRO</t>
        </is>
      </c>
      <c r="G527" t="n">
        <v>2</v>
      </c>
      <c r="H527" t="n">
        <v>0</v>
      </c>
      <c r="I527" t="n">
        <v>0</v>
      </c>
      <c r="J527" t="n">
        <v>0</v>
      </c>
      <c r="K527" t="n">
        <v>0</v>
      </c>
      <c r="L527" t="n">
        <v>0</v>
      </c>
      <c r="M527" t="n">
        <v>0</v>
      </c>
      <c r="N527" t="n">
        <v>0</v>
      </c>
      <c r="O527" t="n">
        <v>0</v>
      </c>
      <c r="P527" t="n">
        <v>0</v>
      </c>
      <c r="Q527" t="n">
        <v>0</v>
      </c>
      <c r="R527" s="2" t="inlineStr"/>
    </row>
    <row r="528" ht="15" customHeight="1">
      <c r="A528" t="inlineStr">
        <is>
          <t>A 32188-2025</t>
        </is>
      </c>
      <c r="B528" s="1" t="n">
        <v>45835.56965277778</v>
      </c>
      <c r="C528" s="1" t="n">
        <v>45892</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32195-2025</t>
        </is>
      </c>
      <c r="B529" s="1" t="n">
        <v>45835.57407407407</v>
      </c>
      <c r="C529" s="1" t="n">
        <v>45892</v>
      </c>
      <c r="D529" t="inlineStr">
        <is>
          <t>ÖREBRO LÄN</t>
        </is>
      </c>
      <c r="E529" t="inlineStr">
        <is>
          <t>ÖREBRO</t>
        </is>
      </c>
      <c r="G529" t="n">
        <v>1.5</v>
      </c>
      <c r="H529" t="n">
        <v>0</v>
      </c>
      <c r="I529" t="n">
        <v>0</v>
      </c>
      <c r="J529" t="n">
        <v>0</v>
      </c>
      <c r="K529" t="n">
        <v>0</v>
      </c>
      <c r="L529" t="n">
        <v>0</v>
      </c>
      <c r="M529" t="n">
        <v>0</v>
      </c>
      <c r="N529" t="n">
        <v>0</v>
      </c>
      <c r="O529" t="n">
        <v>0</v>
      </c>
      <c r="P529" t="n">
        <v>0</v>
      </c>
      <c r="Q529" t="n">
        <v>0</v>
      </c>
      <c r="R529" s="2" t="inlineStr"/>
    </row>
    <row r="530" ht="15" customHeight="1">
      <c r="A530" t="inlineStr">
        <is>
          <t>A 32218-2025</t>
        </is>
      </c>
      <c r="B530" s="1" t="n">
        <v>45835.58880787037</v>
      </c>
      <c r="C530" s="1" t="n">
        <v>45892</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25443-2021</t>
        </is>
      </c>
      <c r="B531" s="1" t="n">
        <v>44342</v>
      </c>
      <c r="C531" s="1" t="n">
        <v>45892</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13700-2024</t>
        </is>
      </c>
      <c r="B532" s="1" t="n">
        <v>45390.59277777778</v>
      </c>
      <c r="C532" s="1" t="n">
        <v>45892</v>
      </c>
      <c r="D532" t="inlineStr">
        <is>
          <t>ÖREBRO LÄN</t>
        </is>
      </c>
      <c r="E532" t="inlineStr">
        <is>
          <t>ÖREBRO</t>
        </is>
      </c>
      <c r="G532" t="n">
        <v>1.2</v>
      </c>
      <c r="H532" t="n">
        <v>0</v>
      </c>
      <c r="I532" t="n">
        <v>0</v>
      </c>
      <c r="J532" t="n">
        <v>0</v>
      </c>
      <c r="K532" t="n">
        <v>0</v>
      </c>
      <c r="L532" t="n">
        <v>0</v>
      </c>
      <c r="M532" t="n">
        <v>0</v>
      </c>
      <c r="N532" t="n">
        <v>0</v>
      </c>
      <c r="O532" t="n">
        <v>0</v>
      </c>
      <c r="P532" t="n">
        <v>0</v>
      </c>
      <c r="Q532" t="n">
        <v>0</v>
      </c>
      <c r="R532" s="2" t="inlineStr"/>
    </row>
    <row r="533" ht="15" customHeight="1">
      <c r="A533" t="inlineStr">
        <is>
          <t>A 8332-2021</t>
        </is>
      </c>
      <c r="B533" s="1" t="n">
        <v>44244</v>
      </c>
      <c r="C533" s="1" t="n">
        <v>45892</v>
      </c>
      <c r="D533" t="inlineStr">
        <is>
          <t>ÖREBRO LÄN</t>
        </is>
      </c>
      <c r="E533" t="inlineStr">
        <is>
          <t>ÖREBRO</t>
        </is>
      </c>
      <c r="G533" t="n">
        <v>11</v>
      </c>
      <c r="H533" t="n">
        <v>0</v>
      </c>
      <c r="I533" t="n">
        <v>0</v>
      </c>
      <c r="J533" t="n">
        <v>0</v>
      </c>
      <c r="K533" t="n">
        <v>0</v>
      </c>
      <c r="L533" t="n">
        <v>0</v>
      </c>
      <c r="M533" t="n">
        <v>0</v>
      </c>
      <c r="N533" t="n">
        <v>0</v>
      </c>
      <c r="O533" t="n">
        <v>0</v>
      </c>
      <c r="P533" t="n">
        <v>0</v>
      </c>
      <c r="Q533" t="n">
        <v>0</v>
      </c>
      <c r="R533" s="2" t="inlineStr"/>
    </row>
    <row r="534" ht="15" customHeight="1">
      <c r="A534" t="inlineStr">
        <is>
          <t>A 1492-2022</t>
        </is>
      </c>
      <c r="B534" s="1" t="n">
        <v>44573</v>
      </c>
      <c r="C534" s="1" t="n">
        <v>45892</v>
      </c>
      <c r="D534" t="inlineStr">
        <is>
          <t>ÖREBRO LÄN</t>
        </is>
      </c>
      <c r="E534" t="inlineStr">
        <is>
          <t>ÖREBRO</t>
        </is>
      </c>
      <c r="G534" t="n">
        <v>1.3</v>
      </c>
      <c r="H534" t="n">
        <v>0</v>
      </c>
      <c r="I534" t="n">
        <v>0</v>
      </c>
      <c r="J534" t="n">
        <v>0</v>
      </c>
      <c r="K534" t="n">
        <v>0</v>
      </c>
      <c r="L534" t="n">
        <v>0</v>
      </c>
      <c r="M534" t="n">
        <v>0</v>
      </c>
      <c r="N534" t="n">
        <v>0</v>
      </c>
      <c r="O534" t="n">
        <v>0</v>
      </c>
      <c r="P534" t="n">
        <v>0</v>
      </c>
      <c r="Q534" t="n">
        <v>0</v>
      </c>
      <c r="R534" s="2" t="inlineStr"/>
    </row>
    <row r="535" ht="15" customHeight="1">
      <c r="A535" t="inlineStr">
        <is>
          <t>A 6213-2021</t>
        </is>
      </c>
      <c r="B535" s="1" t="n">
        <v>44232</v>
      </c>
      <c r="C535" s="1" t="n">
        <v>45892</v>
      </c>
      <c r="D535" t="inlineStr">
        <is>
          <t>ÖREBRO LÄN</t>
        </is>
      </c>
      <c r="E535" t="inlineStr">
        <is>
          <t>ÖREBRO</t>
        </is>
      </c>
      <c r="G535" t="n">
        <v>4</v>
      </c>
      <c r="H535" t="n">
        <v>0</v>
      </c>
      <c r="I535" t="n">
        <v>0</v>
      </c>
      <c r="J535" t="n">
        <v>0</v>
      </c>
      <c r="K535" t="n">
        <v>0</v>
      </c>
      <c r="L535" t="n">
        <v>0</v>
      </c>
      <c r="M535" t="n">
        <v>0</v>
      </c>
      <c r="N535" t="n">
        <v>0</v>
      </c>
      <c r="O535" t="n">
        <v>0</v>
      </c>
      <c r="P535" t="n">
        <v>0</v>
      </c>
      <c r="Q535" t="n">
        <v>0</v>
      </c>
      <c r="R535" s="2" t="inlineStr"/>
    </row>
    <row r="536" ht="15" customHeight="1">
      <c r="A536" t="inlineStr">
        <is>
          <t>A 32904-2025</t>
        </is>
      </c>
      <c r="B536" s="1" t="n">
        <v>45839</v>
      </c>
      <c r="C536" s="1" t="n">
        <v>45892</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5398-2022</t>
        </is>
      </c>
      <c r="B537" s="1" t="n">
        <v>44595.3353587963</v>
      </c>
      <c r="C537" s="1" t="n">
        <v>45892</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5946-2021</t>
        </is>
      </c>
      <c r="B538" s="1" t="n">
        <v>44230</v>
      </c>
      <c r="C538" s="1" t="n">
        <v>45892</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58615-2024</t>
        </is>
      </c>
      <c r="B539" s="1" t="n">
        <v>45635.5587037037</v>
      </c>
      <c r="C539" s="1" t="n">
        <v>45892</v>
      </c>
      <c r="D539" t="inlineStr">
        <is>
          <t>ÖREBRO LÄN</t>
        </is>
      </c>
      <c r="E539" t="inlineStr">
        <is>
          <t>ÖREBRO</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58620-2024</t>
        </is>
      </c>
      <c r="B540" s="1" t="n">
        <v>45635.56246527778</v>
      </c>
      <c r="C540" s="1" t="n">
        <v>45892</v>
      </c>
      <c r="D540" t="inlineStr">
        <is>
          <t>ÖREBRO LÄN</t>
        </is>
      </c>
      <c r="E540" t="inlineStr">
        <is>
          <t>ÖREBRO</t>
        </is>
      </c>
      <c r="F540" t="inlineStr">
        <is>
          <t>Sveaskog</t>
        </is>
      </c>
      <c r="G540" t="n">
        <v>4.5</v>
      </c>
      <c r="H540" t="n">
        <v>0</v>
      </c>
      <c r="I540" t="n">
        <v>0</v>
      </c>
      <c r="J540" t="n">
        <v>0</v>
      </c>
      <c r="K540" t="n">
        <v>0</v>
      </c>
      <c r="L540" t="n">
        <v>0</v>
      </c>
      <c r="M540" t="n">
        <v>0</v>
      </c>
      <c r="N540" t="n">
        <v>0</v>
      </c>
      <c r="O540" t="n">
        <v>0</v>
      </c>
      <c r="P540" t="n">
        <v>0</v>
      </c>
      <c r="Q540" t="n">
        <v>0</v>
      </c>
      <c r="R540" s="2" t="inlineStr"/>
    </row>
    <row r="541" ht="15" customHeight="1">
      <c r="A541" t="inlineStr">
        <is>
          <t>A 1014-2024</t>
        </is>
      </c>
      <c r="B541" s="1" t="n">
        <v>45301</v>
      </c>
      <c r="C541" s="1" t="n">
        <v>45892</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30472-2022</t>
        </is>
      </c>
      <c r="B542" s="1" t="n">
        <v>44761.70467592592</v>
      </c>
      <c r="C542" s="1" t="n">
        <v>45892</v>
      </c>
      <c r="D542" t="inlineStr">
        <is>
          <t>ÖREBRO LÄN</t>
        </is>
      </c>
      <c r="E542" t="inlineStr">
        <is>
          <t>ÖREBRO</t>
        </is>
      </c>
      <c r="F542" t="inlineStr">
        <is>
          <t>Övriga Aktiebolag</t>
        </is>
      </c>
      <c r="G542" t="n">
        <v>5.6</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45892</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34056-2023</t>
        </is>
      </c>
      <c r="B544" s="1" t="n">
        <v>45135</v>
      </c>
      <c r="C544" s="1" t="n">
        <v>45892</v>
      </c>
      <c r="D544" t="inlineStr">
        <is>
          <t>ÖREBRO LÄN</t>
        </is>
      </c>
      <c r="E544" t="inlineStr">
        <is>
          <t>ÖREBRO</t>
        </is>
      </c>
      <c r="F544" t="inlineStr">
        <is>
          <t>Övriga Aktiebolag</t>
        </is>
      </c>
      <c r="G544" t="n">
        <v>4.1</v>
      </c>
      <c r="H544" t="n">
        <v>0</v>
      </c>
      <c r="I544" t="n">
        <v>0</v>
      </c>
      <c r="J544" t="n">
        <v>0</v>
      </c>
      <c r="K544" t="n">
        <v>0</v>
      </c>
      <c r="L544" t="n">
        <v>0</v>
      </c>
      <c r="M544" t="n">
        <v>0</v>
      </c>
      <c r="N544" t="n">
        <v>0</v>
      </c>
      <c r="O544" t="n">
        <v>0</v>
      </c>
      <c r="P544" t="n">
        <v>0</v>
      </c>
      <c r="Q544" t="n">
        <v>0</v>
      </c>
      <c r="R544" s="2" t="inlineStr"/>
    </row>
    <row r="545" ht="15" customHeight="1">
      <c r="A545" t="inlineStr">
        <is>
          <t>A 38415-2023</t>
        </is>
      </c>
      <c r="B545" s="1" t="n">
        <v>45162.35502314815</v>
      </c>
      <c r="C545" s="1" t="n">
        <v>45892</v>
      </c>
      <c r="D545" t="inlineStr">
        <is>
          <t>ÖREBRO LÄN</t>
        </is>
      </c>
      <c r="E545" t="inlineStr">
        <is>
          <t>ÖREBRO</t>
        </is>
      </c>
      <c r="G545" t="n">
        <v>2.6</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45892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51373-2023</t>
        </is>
      </c>
      <c r="B547" s="1" t="n">
        <v>45213</v>
      </c>
      <c r="C547" s="1" t="n">
        <v>45892</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33191-2025</t>
        </is>
      </c>
      <c r="B548" s="1" t="n">
        <v>45840.6003587963</v>
      </c>
      <c r="C548" s="1" t="n">
        <v>45892</v>
      </c>
      <c r="D548" t="inlineStr">
        <is>
          <t>ÖREBRO LÄN</t>
        </is>
      </c>
      <c r="E548" t="inlineStr">
        <is>
          <t>ÖREBRO</t>
        </is>
      </c>
      <c r="G548" t="n">
        <v>2.6</v>
      </c>
      <c r="H548" t="n">
        <v>0</v>
      </c>
      <c r="I548" t="n">
        <v>0</v>
      </c>
      <c r="J548" t="n">
        <v>0</v>
      </c>
      <c r="K548" t="n">
        <v>0</v>
      </c>
      <c r="L548" t="n">
        <v>0</v>
      </c>
      <c r="M548" t="n">
        <v>0</v>
      </c>
      <c r="N548" t="n">
        <v>0</v>
      </c>
      <c r="O548" t="n">
        <v>0</v>
      </c>
      <c r="P548" t="n">
        <v>0</v>
      </c>
      <c r="Q548" t="n">
        <v>0</v>
      </c>
      <c r="R548" s="2" t="inlineStr"/>
    </row>
    <row r="549" ht="15" customHeight="1">
      <c r="A549" t="inlineStr">
        <is>
          <t>A 35843-2022</t>
        </is>
      </c>
      <c r="B549" s="1" t="n">
        <v>44802</v>
      </c>
      <c r="C549" s="1" t="n">
        <v>45892</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13599-2025</t>
        </is>
      </c>
      <c r="B550" s="1" t="n">
        <v>45736.60597222222</v>
      </c>
      <c r="C550" s="1" t="n">
        <v>45892</v>
      </c>
      <c r="D550" t="inlineStr">
        <is>
          <t>ÖREBRO LÄN</t>
        </is>
      </c>
      <c r="E550" t="inlineStr">
        <is>
          <t>ÖREBRO</t>
        </is>
      </c>
      <c r="G550" t="n">
        <v>1.9</v>
      </c>
      <c r="H550" t="n">
        <v>0</v>
      </c>
      <c r="I550" t="n">
        <v>0</v>
      </c>
      <c r="J550" t="n">
        <v>0</v>
      </c>
      <c r="K550" t="n">
        <v>0</v>
      </c>
      <c r="L550" t="n">
        <v>0</v>
      </c>
      <c r="M550" t="n">
        <v>0</v>
      </c>
      <c r="N550" t="n">
        <v>0</v>
      </c>
      <c r="O550" t="n">
        <v>0</v>
      </c>
      <c r="P550" t="n">
        <v>0</v>
      </c>
      <c r="Q550" t="n">
        <v>0</v>
      </c>
      <c r="R550" s="2" t="inlineStr"/>
    </row>
    <row r="551" ht="15" customHeight="1">
      <c r="A551" t="inlineStr">
        <is>
          <t>A 60128-2023</t>
        </is>
      </c>
      <c r="B551" s="1" t="n">
        <v>45258</v>
      </c>
      <c r="C551" s="1" t="n">
        <v>45892</v>
      </c>
      <c r="D551" t="inlineStr">
        <is>
          <t>ÖREBRO LÄN</t>
        </is>
      </c>
      <c r="E551" t="inlineStr">
        <is>
          <t>ÖREBRO</t>
        </is>
      </c>
      <c r="G551" t="n">
        <v>0.6</v>
      </c>
      <c r="H551" t="n">
        <v>0</v>
      </c>
      <c r="I551" t="n">
        <v>0</v>
      </c>
      <c r="J551" t="n">
        <v>0</v>
      </c>
      <c r="K551" t="n">
        <v>0</v>
      </c>
      <c r="L551" t="n">
        <v>0</v>
      </c>
      <c r="M551" t="n">
        <v>0</v>
      </c>
      <c r="N551" t="n">
        <v>0</v>
      </c>
      <c r="O551" t="n">
        <v>0</v>
      </c>
      <c r="P551" t="n">
        <v>0</v>
      </c>
      <c r="Q551" t="n">
        <v>0</v>
      </c>
      <c r="R551" s="2" t="inlineStr"/>
    </row>
    <row r="552" ht="15" customHeight="1">
      <c r="A552" t="inlineStr">
        <is>
          <t>A 20146-2024</t>
        </is>
      </c>
      <c r="B552" s="1" t="n">
        <v>45434.57641203704</v>
      </c>
      <c r="C552" s="1" t="n">
        <v>45892</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45892</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10937-2024</t>
        </is>
      </c>
      <c r="B554" s="1" t="n">
        <v>45370.44461805555</v>
      </c>
      <c r="C554" s="1" t="n">
        <v>45892</v>
      </c>
      <c r="D554" t="inlineStr">
        <is>
          <t>ÖREBRO LÄN</t>
        </is>
      </c>
      <c r="E554" t="inlineStr">
        <is>
          <t>ÖREBRO</t>
        </is>
      </c>
      <c r="G554" t="n">
        <v>4.3</v>
      </c>
      <c r="H554" t="n">
        <v>0</v>
      </c>
      <c r="I554" t="n">
        <v>0</v>
      </c>
      <c r="J554" t="n">
        <v>0</v>
      </c>
      <c r="K554" t="n">
        <v>0</v>
      </c>
      <c r="L554" t="n">
        <v>0</v>
      </c>
      <c r="M554" t="n">
        <v>0</v>
      </c>
      <c r="N554" t="n">
        <v>0</v>
      </c>
      <c r="O554" t="n">
        <v>0</v>
      </c>
      <c r="P554" t="n">
        <v>0</v>
      </c>
      <c r="Q554" t="n">
        <v>0</v>
      </c>
      <c r="R554" s="2" t="inlineStr"/>
    </row>
    <row r="555" ht="15" customHeight="1">
      <c r="A555" t="inlineStr">
        <is>
          <t>A 20115-2024</t>
        </is>
      </c>
      <c r="B555" s="1" t="n">
        <v>45434</v>
      </c>
      <c r="C555" s="1" t="n">
        <v>45892</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33019-2025</t>
        </is>
      </c>
      <c r="B556" s="1" t="n">
        <v>45840</v>
      </c>
      <c r="C556" s="1" t="n">
        <v>45892</v>
      </c>
      <c r="D556" t="inlineStr">
        <is>
          <t>ÖREBRO LÄN</t>
        </is>
      </c>
      <c r="E556" t="inlineStr">
        <is>
          <t>ÖREBRO</t>
        </is>
      </c>
      <c r="G556" t="n">
        <v>4.2</v>
      </c>
      <c r="H556" t="n">
        <v>0</v>
      </c>
      <c r="I556" t="n">
        <v>0</v>
      </c>
      <c r="J556" t="n">
        <v>0</v>
      </c>
      <c r="K556" t="n">
        <v>0</v>
      </c>
      <c r="L556" t="n">
        <v>0</v>
      </c>
      <c r="M556" t="n">
        <v>0</v>
      </c>
      <c r="N556" t="n">
        <v>0</v>
      </c>
      <c r="O556" t="n">
        <v>0</v>
      </c>
      <c r="P556" t="n">
        <v>0</v>
      </c>
      <c r="Q556" t="n">
        <v>0</v>
      </c>
      <c r="R556" s="2" t="inlineStr"/>
    </row>
    <row r="557" ht="15" customHeight="1">
      <c r="A557" t="inlineStr">
        <is>
          <t>A 49797-2024</t>
        </is>
      </c>
      <c r="B557" s="1" t="n">
        <v>45597.37265046296</v>
      </c>
      <c r="C557" s="1" t="n">
        <v>45892</v>
      </c>
      <c r="D557" t="inlineStr">
        <is>
          <t>ÖREBRO LÄN</t>
        </is>
      </c>
      <c r="E557" t="inlineStr">
        <is>
          <t>ÖREBRO</t>
        </is>
      </c>
      <c r="G557" t="n">
        <v>11.6</v>
      </c>
      <c r="H557" t="n">
        <v>0</v>
      </c>
      <c r="I557" t="n">
        <v>0</v>
      </c>
      <c r="J557" t="n">
        <v>0</v>
      </c>
      <c r="K557" t="n">
        <v>0</v>
      </c>
      <c r="L557" t="n">
        <v>0</v>
      </c>
      <c r="M557" t="n">
        <v>0</v>
      </c>
      <c r="N557" t="n">
        <v>0</v>
      </c>
      <c r="O557" t="n">
        <v>0</v>
      </c>
      <c r="P557" t="n">
        <v>0</v>
      </c>
      <c r="Q557" t="n">
        <v>0</v>
      </c>
      <c r="R557" s="2" t="inlineStr"/>
    </row>
    <row r="558" ht="15" customHeight="1">
      <c r="A558" t="inlineStr">
        <is>
          <t>A 38057-2025</t>
        </is>
      </c>
      <c r="B558" s="1" t="n">
        <v>45882.42570601852</v>
      </c>
      <c r="C558" s="1" t="n">
        <v>45892</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16936-2023</t>
        </is>
      </c>
      <c r="B559" s="1" t="n">
        <v>45033.63005787037</v>
      </c>
      <c r="C559" s="1" t="n">
        <v>45892</v>
      </c>
      <c r="D559" t="inlineStr">
        <is>
          <t>ÖREBRO LÄN</t>
        </is>
      </c>
      <c r="E559" t="inlineStr">
        <is>
          <t>ÖREBRO</t>
        </is>
      </c>
      <c r="G559" t="n">
        <v>2</v>
      </c>
      <c r="H559" t="n">
        <v>0</v>
      </c>
      <c r="I559" t="n">
        <v>0</v>
      </c>
      <c r="J559" t="n">
        <v>0</v>
      </c>
      <c r="K559" t="n">
        <v>0</v>
      </c>
      <c r="L559" t="n">
        <v>0</v>
      </c>
      <c r="M559" t="n">
        <v>0</v>
      </c>
      <c r="N559" t="n">
        <v>0</v>
      </c>
      <c r="O559" t="n">
        <v>0</v>
      </c>
      <c r="P559" t="n">
        <v>0</v>
      </c>
      <c r="Q559" t="n">
        <v>0</v>
      </c>
      <c r="R559" s="2" t="inlineStr"/>
    </row>
    <row r="560" ht="15" customHeight="1">
      <c r="A560" t="inlineStr">
        <is>
          <t>A 40588-2021</t>
        </is>
      </c>
      <c r="B560" s="1" t="n">
        <v>44420</v>
      </c>
      <c r="C560" s="1" t="n">
        <v>45892</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8565-2021</t>
        </is>
      </c>
      <c r="B561" s="1" t="n">
        <v>44245</v>
      </c>
      <c r="C561" s="1" t="n">
        <v>45892</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8575-2021</t>
        </is>
      </c>
      <c r="B562" s="1" t="n">
        <v>44245</v>
      </c>
      <c r="C562" s="1" t="n">
        <v>45892</v>
      </c>
      <c r="D562" t="inlineStr">
        <is>
          <t>ÖREBRO LÄN</t>
        </is>
      </c>
      <c r="E562" t="inlineStr">
        <is>
          <t>ÖREBRO</t>
        </is>
      </c>
      <c r="G562" t="n">
        <v>3.4</v>
      </c>
      <c r="H562" t="n">
        <v>0</v>
      </c>
      <c r="I562" t="n">
        <v>0</v>
      </c>
      <c r="J562" t="n">
        <v>0</v>
      </c>
      <c r="K562" t="n">
        <v>0</v>
      </c>
      <c r="L562" t="n">
        <v>0</v>
      </c>
      <c r="M562" t="n">
        <v>0</v>
      </c>
      <c r="N562" t="n">
        <v>0</v>
      </c>
      <c r="O562" t="n">
        <v>0</v>
      </c>
      <c r="P562" t="n">
        <v>0</v>
      </c>
      <c r="Q562" t="n">
        <v>0</v>
      </c>
      <c r="R562" s="2" t="inlineStr"/>
    </row>
    <row r="563" ht="15" customHeight="1">
      <c r="A563" t="inlineStr">
        <is>
          <t>A 40442-2020</t>
        </is>
      </c>
      <c r="B563" s="1" t="n">
        <v>44069</v>
      </c>
      <c r="C563" s="1" t="n">
        <v>45892</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57485-2023</t>
        </is>
      </c>
      <c r="B564" s="1" t="n">
        <v>45246</v>
      </c>
      <c r="C564" s="1" t="n">
        <v>45892</v>
      </c>
      <c r="D564" t="inlineStr">
        <is>
          <t>ÖREBRO LÄN</t>
        </is>
      </c>
      <c r="E564" t="inlineStr">
        <is>
          <t>ÖREBRO</t>
        </is>
      </c>
      <c r="G564" t="n">
        <v>0.9</v>
      </c>
      <c r="H564" t="n">
        <v>0</v>
      </c>
      <c r="I564" t="n">
        <v>0</v>
      </c>
      <c r="J564" t="n">
        <v>0</v>
      </c>
      <c r="K564" t="n">
        <v>0</v>
      </c>
      <c r="L564" t="n">
        <v>0</v>
      </c>
      <c r="M564" t="n">
        <v>0</v>
      </c>
      <c r="N564" t="n">
        <v>0</v>
      </c>
      <c r="O564" t="n">
        <v>0</v>
      </c>
      <c r="P564" t="n">
        <v>0</v>
      </c>
      <c r="Q564" t="n">
        <v>0</v>
      </c>
      <c r="R564" s="2" t="inlineStr"/>
    </row>
    <row r="565" ht="15" customHeight="1">
      <c r="A565" t="inlineStr">
        <is>
          <t>A 37025-2024</t>
        </is>
      </c>
      <c r="B565" s="1" t="n">
        <v>45539.3840162037</v>
      </c>
      <c r="C565" s="1" t="n">
        <v>45892</v>
      </c>
      <c r="D565" t="inlineStr">
        <is>
          <t>ÖREBRO LÄN</t>
        </is>
      </c>
      <c r="E565" t="inlineStr">
        <is>
          <t>ÖREBRO</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37027-2024</t>
        </is>
      </c>
      <c r="B566" s="1" t="n">
        <v>45539.38487268519</v>
      </c>
      <c r="C566" s="1" t="n">
        <v>45892</v>
      </c>
      <c r="D566" t="inlineStr">
        <is>
          <t>ÖREBRO LÄN</t>
        </is>
      </c>
      <c r="E566" t="inlineStr">
        <is>
          <t>ÖREBRO</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45892</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60506-2024</t>
        </is>
      </c>
      <c r="B568" s="1" t="n">
        <v>45643.66630787037</v>
      </c>
      <c r="C568" s="1" t="n">
        <v>45892</v>
      </c>
      <c r="D568" t="inlineStr">
        <is>
          <t>ÖREBRO LÄN</t>
        </is>
      </c>
      <c r="E568" t="inlineStr">
        <is>
          <t>ÖREBRO</t>
        </is>
      </c>
      <c r="G568" t="n">
        <v>5.8</v>
      </c>
      <c r="H568" t="n">
        <v>0</v>
      </c>
      <c r="I568" t="n">
        <v>0</v>
      </c>
      <c r="J568" t="n">
        <v>0</v>
      </c>
      <c r="K568" t="n">
        <v>0</v>
      </c>
      <c r="L568" t="n">
        <v>0</v>
      </c>
      <c r="M568" t="n">
        <v>0</v>
      </c>
      <c r="N568" t="n">
        <v>0</v>
      </c>
      <c r="O568" t="n">
        <v>0</v>
      </c>
      <c r="P568" t="n">
        <v>0</v>
      </c>
      <c r="Q568" t="n">
        <v>0</v>
      </c>
      <c r="R568" s="2" t="inlineStr"/>
    </row>
    <row r="569" ht="15" customHeight="1">
      <c r="A569" t="inlineStr">
        <is>
          <t>A 44284-2022</t>
        </is>
      </c>
      <c r="B569" s="1" t="n">
        <v>44839.59194444444</v>
      </c>
      <c r="C569" s="1" t="n">
        <v>45892</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28821-2025</t>
        </is>
      </c>
      <c r="B570" s="1" t="n">
        <v>45820</v>
      </c>
      <c r="C570" s="1" t="n">
        <v>45892</v>
      </c>
      <c r="D570" t="inlineStr">
        <is>
          <t>ÖREBRO LÄN</t>
        </is>
      </c>
      <c r="E570" t="inlineStr">
        <is>
          <t>ÖREBRO</t>
        </is>
      </c>
      <c r="G570" t="n">
        <v>12.6</v>
      </c>
      <c r="H570" t="n">
        <v>0</v>
      </c>
      <c r="I570" t="n">
        <v>0</v>
      </c>
      <c r="J570" t="n">
        <v>0</v>
      </c>
      <c r="K570" t="n">
        <v>0</v>
      </c>
      <c r="L570" t="n">
        <v>0</v>
      </c>
      <c r="M570" t="n">
        <v>0</v>
      </c>
      <c r="N570" t="n">
        <v>0</v>
      </c>
      <c r="O570" t="n">
        <v>0</v>
      </c>
      <c r="P570" t="n">
        <v>0</v>
      </c>
      <c r="Q570" t="n">
        <v>0</v>
      </c>
      <c r="R570" s="2" t="inlineStr"/>
    </row>
    <row r="571" ht="15" customHeight="1">
      <c r="A571" t="inlineStr">
        <is>
          <t>A 8022-2022</t>
        </is>
      </c>
      <c r="B571" s="1" t="n">
        <v>44609</v>
      </c>
      <c r="C571" s="1" t="n">
        <v>45892</v>
      </c>
      <c r="D571" t="inlineStr">
        <is>
          <t>ÖREBRO LÄN</t>
        </is>
      </c>
      <c r="E571" t="inlineStr">
        <is>
          <t>ÖREBRO</t>
        </is>
      </c>
      <c r="G571" t="n">
        <v>5.6</v>
      </c>
      <c r="H571" t="n">
        <v>0</v>
      </c>
      <c r="I571" t="n">
        <v>0</v>
      </c>
      <c r="J571" t="n">
        <v>0</v>
      </c>
      <c r="K571" t="n">
        <v>0</v>
      </c>
      <c r="L571" t="n">
        <v>0</v>
      </c>
      <c r="M571" t="n">
        <v>0</v>
      </c>
      <c r="N571" t="n">
        <v>0</v>
      </c>
      <c r="O571" t="n">
        <v>0</v>
      </c>
      <c r="P571" t="n">
        <v>0</v>
      </c>
      <c r="Q571" t="n">
        <v>0</v>
      </c>
      <c r="R571" s="2" t="inlineStr"/>
    </row>
    <row r="572" ht="15" customHeight="1">
      <c r="A572" t="inlineStr">
        <is>
          <t>A 35833-2024</t>
        </is>
      </c>
      <c r="B572" s="1" t="n">
        <v>45532.68699074074</v>
      </c>
      <c r="C572" s="1" t="n">
        <v>45892</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29978-2024</t>
        </is>
      </c>
      <c r="B573" s="1" t="n">
        <v>45488.48340277778</v>
      </c>
      <c r="C573" s="1" t="n">
        <v>45892</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19978-2025</t>
        </is>
      </c>
      <c r="B574" s="1" t="n">
        <v>45771.7062037037</v>
      </c>
      <c r="C574" s="1" t="n">
        <v>45892</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11663-2024</t>
        </is>
      </c>
      <c r="B575" s="1" t="n">
        <v>45373</v>
      </c>
      <c r="C575" s="1" t="n">
        <v>45892</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7134-2025</t>
        </is>
      </c>
      <c r="B576" s="1" t="n">
        <v>45702</v>
      </c>
      <c r="C576" s="1" t="n">
        <v>45892</v>
      </c>
      <c r="D576" t="inlineStr">
        <is>
          <t>ÖREBRO LÄN</t>
        </is>
      </c>
      <c r="E576" t="inlineStr">
        <is>
          <t>ÖREBRO</t>
        </is>
      </c>
      <c r="F576" t="inlineStr">
        <is>
          <t>Övriga Aktiebolag</t>
        </is>
      </c>
      <c r="G576" t="n">
        <v>2.1</v>
      </c>
      <c r="H576" t="n">
        <v>0</v>
      </c>
      <c r="I576" t="n">
        <v>0</v>
      </c>
      <c r="J576" t="n">
        <v>0</v>
      </c>
      <c r="K576" t="n">
        <v>0</v>
      </c>
      <c r="L576" t="n">
        <v>0</v>
      </c>
      <c r="M576" t="n">
        <v>0</v>
      </c>
      <c r="N576" t="n">
        <v>0</v>
      </c>
      <c r="O576" t="n">
        <v>0</v>
      </c>
      <c r="P576" t="n">
        <v>0</v>
      </c>
      <c r="Q576" t="n">
        <v>0</v>
      </c>
      <c r="R576" s="2" t="inlineStr"/>
    </row>
    <row r="577" ht="15" customHeight="1">
      <c r="A577" t="inlineStr">
        <is>
          <t>A 58608-2024</t>
        </is>
      </c>
      <c r="B577" s="1" t="n">
        <v>45635.55185185185</v>
      </c>
      <c r="C577" s="1" t="n">
        <v>45892</v>
      </c>
      <c r="D577" t="inlineStr">
        <is>
          <t>ÖREBRO LÄN</t>
        </is>
      </c>
      <c r="E577" t="inlineStr">
        <is>
          <t>ÖREBRO</t>
        </is>
      </c>
      <c r="F577" t="inlineStr">
        <is>
          <t>Sveaskog</t>
        </is>
      </c>
      <c r="G577" t="n">
        <v>0.3</v>
      </c>
      <c r="H577" t="n">
        <v>0</v>
      </c>
      <c r="I577" t="n">
        <v>0</v>
      </c>
      <c r="J577" t="n">
        <v>0</v>
      </c>
      <c r="K577" t="n">
        <v>0</v>
      </c>
      <c r="L577" t="n">
        <v>0</v>
      </c>
      <c r="M577" t="n">
        <v>0</v>
      </c>
      <c r="N577" t="n">
        <v>0</v>
      </c>
      <c r="O577" t="n">
        <v>0</v>
      </c>
      <c r="P577" t="n">
        <v>0</v>
      </c>
      <c r="Q577" t="n">
        <v>0</v>
      </c>
      <c r="R577" s="2" t="inlineStr"/>
    </row>
    <row r="578" ht="15" customHeight="1">
      <c r="A578" t="inlineStr">
        <is>
          <t>A 39003-2025</t>
        </is>
      </c>
      <c r="B578" s="1" t="n">
        <v>45888.34467592592</v>
      </c>
      <c r="C578" s="1" t="n">
        <v>45892</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48687-2024</t>
        </is>
      </c>
      <c r="B579" s="1" t="n">
        <v>45593.49899305555</v>
      </c>
      <c r="C579" s="1" t="n">
        <v>45892</v>
      </c>
      <c r="D579" t="inlineStr">
        <is>
          <t>ÖREBRO LÄN</t>
        </is>
      </c>
      <c r="E579" t="inlineStr">
        <is>
          <t>ÖREBRO</t>
        </is>
      </c>
      <c r="F579" t="inlineStr">
        <is>
          <t>Övriga Aktiebolag</t>
        </is>
      </c>
      <c r="G579" t="n">
        <v>3.8</v>
      </c>
      <c r="H579" t="n">
        <v>0</v>
      </c>
      <c r="I579" t="n">
        <v>0</v>
      </c>
      <c r="J579" t="n">
        <v>0</v>
      </c>
      <c r="K579" t="n">
        <v>0</v>
      </c>
      <c r="L579" t="n">
        <v>0</v>
      </c>
      <c r="M579" t="n">
        <v>0</v>
      </c>
      <c r="N579" t="n">
        <v>0</v>
      </c>
      <c r="O579" t="n">
        <v>0</v>
      </c>
      <c r="P579" t="n">
        <v>0</v>
      </c>
      <c r="Q579" t="n">
        <v>0</v>
      </c>
      <c r="R579" s="2" t="inlineStr"/>
    </row>
    <row r="580" ht="15" customHeight="1">
      <c r="A580" t="inlineStr">
        <is>
          <t>A 39446-2025</t>
        </is>
      </c>
      <c r="B580" s="1" t="n">
        <v>45889.70388888889</v>
      </c>
      <c r="C580" s="1" t="n">
        <v>45892</v>
      </c>
      <c r="D580" t="inlineStr">
        <is>
          <t>ÖREBRO LÄN</t>
        </is>
      </c>
      <c r="E580" t="inlineStr">
        <is>
          <t>ÖREBRO</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41678-2024</t>
        </is>
      </c>
      <c r="B581" s="1" t="n">
        <v>45560</v>
      </c>
      <c r="C581" s="1" t="n">
        <v>45892</v>
      </c>
      <c r="D581" t="inlineStr">
        <is>
          <t>ÖREBRO LÄN</t>
        </is>
      </c>
      <c r="E581" t="inlineStr">
        <is>
          <t>ÖREBRO</t>
        </is>
      </c>
      <c r="G581" t="n">
        <v>11.3</v>
      </c>
      <c r="H581" t="n">
        <v>0</v>
      </c>
      <c r="I581" t="n">
        <v>0</v>
      </c>
      <c r="J581" t="n">
        <v>0</v>
      </c>
      <c r="K581" t="n">
        <v>0</v>
      </c>
      <c r="L581" t="n">
        <v>0</v>
      </c>
      <c r="M581" t="n">
        <v>0</v>
      </c>
      <c r="N581" t="n">
        <v>0</v>
      </c>
      <c r="O581" t="n">
        <v>0</v>
      </c>
      <c r="P581" t="n">
        <v>0</v>
      </c>
      <c r="Q581" t="n">
        <v>0</v>
      </c>
      <c r="R581" s="2" t="inlineStr"/>
    </row>
    <row r="582" ht="15" customHeight="1">
      <c r="A582" t="inlineStr">
        <is>
          <t>A 38422-2023</t>
        </is>
      </c>
      <c r="B582" s="1" t="n">
        <v>45162.36422453704</v>
      </c>
      <c r="C582" s="1" t="n">
        <v>45892</v>
      </c>
      <c r="D582" t="inlineStr">
        <is>
          <t>ÖREBRO LÄN</t>
        </is>
      </c>
      <c r="E582" t="inlineStr">
        <is>
          <t>ÖREBRO</t>
        </is>
      </c>
      <c r="G582" t="n">
        <v>8</v>
      </c>
      <c r="H582" t="n">
        <v>0</v>
      </c>
      <c r="I582" t="n">
        <v>0</v>
      </c>
      <c r="J582" t="n">
        <v>0</v>
      </c>
      <c r="K582" t="n">
        <v>0</v>
      </c>
      <c r="L582" t="n">
        <v>0</v>
      </c>
      <c r="M582" t="n">
        <v>0</v>
      </c>
      <c r="N582" t="n">
        <v>0</v>
      </c>
      <c r="O582" t="n">
        <v>0</v>
      </c>
      <c r="P582" t="n">
        <v>0</v>
      </c>
      <c r="Q582" t="n">
        <v>0</v>
      </c>
      <c r="R582" s="2" t="inlineStr"/>
    </row>
    <row r="583" ht="15" customHeight="1">
      <c r="A583" t="inlineStr">
        <is>
          <t>A 56040-2024</t>
        </is>
      </c>
      <c r="B583" s="1" t="n">
        <v>45624.3344212963</v>
      </c>
      <c r="C583" s="1" t="n">
        <v>45892</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14487-2023</t>
        </is>
      </c>
      <c r="B584" s="1" t="n">
        <v>45012</v>
      </c>
      <c r="C584" s="1" t="n">
        <v>45892</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45892</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35062-2025</t>
        </is>
      </c>
      <c r="B586" s="1" t="n">
        <v>45852</v>
      </c>
      <c r="C586" s="1" t="n">
        <v>45892</v>
      </c>
      <c r="D586" t="inlineStr">
        <is>
          <t>ÖREBRO LÄN</t>
        </is>
      </c>
      <c r="E586" t="inlineStr">
        <is>
          <t>ÖREBRO</t>
        </is>
      </c>
      <c r="G586" t="n">
        <v>2.8</v>
      </c>
      <c r="H586" t="n">
        <v>0</v>
      </c>
      <c r="I586" t="n">
        <v>0</v>
      </c>
      <c r="J586" t="n">
        <v>0</v>
      </c>
      <c r="K586" t="n">
        <v>0</v>
      </c>
      <c r="L586" t="n">
        <v>0</v>
      </c>
      <c r="M586" t="n">
        <v>0</v>
      </c>
      <c r="N586" t="n">
        <v>0</v>
      </c>
      <c r="O586" t="n">
        <v>0</v>
      </c>
      <c r="P586" t="n">
        <v>0</v>
      </c>
      <c r="Q586" t="n">
        <v>0</v>
      </c>
      <c r="R586" s="2" t="inlineStr"/>
    </row>
    <row r="587" ht="15" customHeight="1">
      <c r="A587" t="inlineStr">
        <is>
          <t>A 27956-2023</t>
        </is>
      </c>
      <c r="B587" s="1" t="n">
        <v>45098</v>
      </c>
      <c r="C587" s="1" t="n">
        <v>45892</v>
      </c>
      <c r="D587" t="inlineStr">
        <is>
          <t>ÖREBRO LÄN</t>
        </is>
      </c>
      <c r="E587" t="inlineStr">
        <is>
          <t>ÖREBRO</t>
        </is>
      </c>
      <c r="G587" t="n">
        <v>0.8</v>
      </c>
      <c r="H587" t="n">
        <v>0</v>
      </c>
      <c r="I587" t="n">
        <v>0</v>
      </c>
      <c r="J587" t="n">
        <v>0</v>
      </c>
      <c r="K587" t="n">
        <v>0</v>
      </c>
      <c r="L587" t="n">
        <v>0</v>
      </c>
      <c r="M587" t="n">
        <v>0</v>
      </c>
      <c r="N587" t="n">
        <v>0</v>
      </c>
      <c r="O587" t="n">
        <v>0</v>
      </c>
      <c r="P587" t="n">
        <v>0</v>
      </c>
      <c r="Q587" t="n">
        <v>0</v>
      </c>
      <c r="R587" s="2" t="inlineStr"/>
    </row>
    <row r="588" ht="15" customHeight="1">
      <c r="A588" t="inlineStr">
        <is>
          <t>A 13321-2024</t>
        </is>
      </c>
      <c r="B588" s="1" t="n">
        <v>45386.83142361111</v>
      </c>
      <c r="C588" s="1" t="n">
        <v>45892</v>
      </c>
      <c r="D588" t="inlineStr">
        <is>
          <t>ÖREBRO LÄN</t>
        </is>
      </c>
      <c r="E588" t="inlineStr">
        <is>
          <t>ÖREBRO</t>
        </is>
      </c>
      <c r="G588" t="n">
        <v>13.1</v>
      </c>
      <c r="H588" t="n">
        <v>0</v>
      </c>
      <c r="I588" t="n">
        <v>0</v>
      </c>
      <c r="J588" t="n">
        <v>0</v>
      </c>
      <c r="K588" t="n">
        <v>0</v>
      </c>
      <c r="L588" t="n">
        <v>0</v>
      </c>
      <c r="M588" t="n">
        <v>0</v>
      </c>
      <c r="N588" t="n">
        <v>0</v>
      </c>
      <c r="O588" t="n">
        <v>0</v>
      </c>
      <c r="P588" t="n">
        <v>0</v>
      </c>
      <c r="Q588" t="n">
        <v>0</v>
      </c>
      <c r="R588" s="2" t="inlineStr"/>
    </row>
    <row r="589" ht="15" customHeight="1">
      <c r="A589" t="inlineStr">
        <is>
          <t>A 39479-2025</t>
        </is>
      </c>
      <c r="B589" s="1" t="n">
        <v>45890.34752314815</v>
      </c>
      <c r="C589" s="1" t="n">
        <v>45892</v>
      </c>
      <c r="D589" t="inlineStr">
        <is>
          <t>ÖREBRO LÄN</t>
        </is>
      </c>
      <c r="E589" t="inlineStr">
        <is>
          <t>ÖREBRO</t>
        </is>
      </c>
      <c r="G589" t="n">
        <v>0.7</v>
      </c>
      <c r="H589" t="n">
        <v>0</v>
      </c>
      <c r="I589" t="n">
        <v>0</v>
      </c>
      <c r="J589" t="n">
        <v>0</v>
      </c>
      <c r="K589" t="n">
        <v>0</v>
      </c>
      <c r="L589" t="n">
        <v>0</v>
      </c>
      <c r="M589" t="n">
        <v>0</v>
      </c>
      <c r="N589" t="n">
        <v>0</v>
      </c>
      <c r="O589" t="n">
        <v>0</v>
      </c>
      <c r="P589" t="n">
        <v>0</v>
      </c>
      <c r="Q589" t="n">
        <v>0</v>
      </c>
      <c r="R589" s="2" t="inlineStr"/>
    </row>
    <row r="590" ht="15" customHeight="1">
      <c r="A590" t="inlineStr">
        <is>
          <t>A 15652-2025</t>
        </is>
      </c>
      <c r="B590" s="1" t="n">
        <v>45748</v>
      </c>
      <c r="C590" s="1" t="n">
        <v>45892</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40522-2024</t>
        </is>
      </c>
      <c r="B591" s="1" t="n">
        <v>45555.59717592593</v>
      </c>
      <c r="C591" s="1" t="n">
        <v>45892</v>
      </c>
      <c r="D591" t="inlineStr">
        <is>
          <t>ÖREBRO LÄN</t>
        </is>
      </c>
      <c r="E591" t="inlineStr">
        <is>
          <t>ÖREBRO</t>
        </is>
      </c>
      <c r="G591" t="n">
        <v>5.1</v>
      </c>
      <c r="H591" t="n">
        <v>0</v>
      </c>
      <c r="I591" t="n">
        <v>0</v>
      </c>
      <c r="J591" t="n">
        <v>0</v>
      </c>
      <c r="K591" t="n">
        <v>0</v>
      </c>
      <c r="L591" t="n">
        <v>0</v>
      </c>
      <c r="M591" t="n">
        <v>0</v>
      </c>
      <c r="N591" t="n">
        <v>0</v>
      </c>
      <c r="O591" t="n">
        <v>0</v>
      </c>
      <c r="P591" t="n">
        <v>0</v>
      </c>
      <c r="Q591" t="n">
        <v>0</v>
      </c>
      <c r="R591" s="2" t="inlineStr"/>
    </row>
    <row r="592" ht="15" customHeight="1">
      <c r="A592" t="inlineStr">
        <is>
          <t>A 16737-2023</t>
        </is>
      </c>
      <c r="B592" s="1" t="n">
        <v>45030.72472222222</v>
      </c>
      <c r="C592" s="1" t="n">
        <v>45892</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5762-2025</t>
        </is>
      </c>
      <c r="B593" s="1" t="n">
        <v>45694.57181712963</v>
      </c>
      <c r="C593" s="1" t="n">
        <v>45892</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51180-2023</t>
        </is>
      </c>
      <c r="B594" s="1" t="n">
        <v>45219</v>
      </c>
      <c r="C594" s="1" t="n">
        <v>45892</v>
      </c>
      <c r="D594" t="inlineStr">
        <is>
          <t>ÖREBRO LÄN</t>
        </is>
      </c>
      <c r="E594" t="inlineStr">
        <is>
          <t>ÖREBRO</t>
        </is>
      </c>
      <c r="G594" t="n">
        <v>6.5</v>
      </c>
      <c r="H594" t="n">
        <v>0</v>
      </c>
      <c r="I594" t="n">
        <v>0</v>
      </c>
      <c r="J594" t="n">
        <v>0</v>
      </c>
      <c r="K594" t="n">
        <v>0</v>
      </c>
      <c r="L594" t="n">
        <v>0</v>
      </c>
      <c r="M594" t="n">
        <v>0</v>
      </c>
      <c r="N594" t="n">
        <v>0</v>
      </c>
      <c r="O594" t="n">
        <v>0</v>
      </c>
      <c r="P594" t="n">
        <v>0</v>
      </c>
      <c r="Q594" t="n">
        <v>0</v>
      </c>
      <c r="R594" s="2" t="inlineStr"/>
    </row>
    <row r="595" ht="15" customHeight="1">
      <c r="A595" t="inlineStr">
        <is>
          <t>A 58621-2024</t>
        </is>
      </c>
      <c r="B595" s="1" t="n">
        <v>45635.56321759259</v>
      </c>
      <c r="C595" s="1" t="n">
        <v>45892</v>
      </c>
      <c r="D595" t="inlineStr">
        <is>
          <t>ÖREBRO LÄN</t>
        </is>
      </c>
      <c r="E595" t="inlineStr">
        <is>
          <t>ÖREBRO</t>
        </is>
      </c>
      <c r="F595" t="inlineStr">
        <is>
          <t>Sveaskog</t>
        </is>
      </c>
      <c r="G595" t="n">
        <v>0.7</v>
      </c>
      <c r="H595" t="n">
        <v>0</v>
      </c>
      <c r="I595" t="n">
        <v>0</v>
      </c>
      <c r="J595" t="n">
        <v>0</v>
      </c>
      <c r="K595" t="n">
        <v>0</v>
      </c>
      <c r="L595" t="n">
        <v>0</v>
      </c>
      <c r="M595" t="n">
        <v>0</v>
      </c>
      <c r="N595" t="n">
        <v>0</v>
      </c>
      <c r="O595" t="n">
        <v>0</v>
      </c>
      <c r="P595" t="n">
        <v>0</v>
      </c>
      <c r="Q595" t="n">
        <v>0</v>
      </c>
      <c r="R595" s="2" t="inlineStr"/>
    </row>
    <row r="596" ht="15" customHeight="1">
      <c r="A596" t="inlineStr">
        <is>
          <t>A 49029-2024</t>
        </is>
      </c>
      <c r="B596" s="1" t="n">
        <v>45594</v>
      </c>
      <c r="C596" s="1" t="n">
        <v>45892</v>
      </c>
      <c r="D596" t="inlineStr">
        <is>
          <t>ÖREBRO LÄN</t>
        </is>
      </c>
      <c r="E596" t="inlineStr">
        <is>
          <t>ÖREBRO</t>
        </is>
      </c>
      <c r="G596" t="n">
        <v>3.7</v>
      </c>
      <c r="H596" t="n">
        <v>0</v>
      </c>
      <c r="I596" t="n">
        <v>0</v>
      </c>
      <c r="J596" t="n">
        <v>0</v>
      </c>
      <c r="K596" t="n">
        <v>0</v>
      </c>
      <c r="L596" t="n">
        <v>0</v>
      </c>
      <c r="M596" t="n">
        <v>0</v>
      </c>
      <c r="N596" t="n">
        <v>0</v>
      </c>
      <c r="O596" t="n">
        <v>0</v>
      </c>
      <c r="P596" t="n">
        <v>0</v>
      </c>
      <c r="Q596" t="n">
        <v>0</v>
      </c>
      <c r="R596" s="2" t="inlineStr"/>
    </row>
    <row r="597" ht="15" customHeight="1">
      <c r="A597" t="inlineStr">
        <is>
          <t>A 49062-2023</t>
        </is>
      </c>
      <c r="B597" s="1" t="n">
        <v>45210.35119212963</v>
      </c>
      <c r="C597" s="1" t="n">
        <v>45892</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5578-2024</t>
        </is>
      </c>
      <c r="B598" s="1" t="n">
        <v>45334.49104166667</v>
      </c>
      <c r="C598" s="1" t="n">
        <v>45892</v>
      </c>
      <c r="D598" t="inlineStr">
        <is>
          <t>ÖREBRO LÄN</t>
        </is>
      </c>
      <c r="E598" t="inlineStr">
        <is>
          <t>ÖREBRO</t>
        </is>
      </c>
      <c r="G598" t="n">
        <v>2.4</v>
      </c>
      <c r="H598" t="n">
        <v>0</v>
      </c>
      <c r="I598" t="n">
        <v>0</v>
      </c>
      <c r="J598" t="n">
        <v>0</v>
      </c>
      <c r="K598" t="n">
        <v>0</v>
      </c>
      <c r="L598" t="n">
        <v>0</v>
      </c>
      <c r="M598" t="n">
        <v>0</v>
      </c>
      <c r="N598" t="n">
        <v>0</v>
      </c>
      <c r="O598" t="n">
        <v>0</v>
      </c>
      <c r="P598" t="n">
        <v>0</v>
      </c>
      <c r="Q598" t="n">
        <v>0</v>
      </c>
      <c r="R598" s="2" t="inlineStr"/>
    </row>
    <row r="599" ht="15" customHeight="1">
      <c r="A599" t="inlineStr">
        <is>
          <t>A 35829-2024</t>
        </is>
      </c>
      <c r="B599" s="1" t="n">
        <v>45532</v>
      </c>
      <c r="C599" s="1" t="n">
        <v>45892</v>
      </c>
      <c r="D599" t="inlineStr">
        <is>
          <t>ÖREBRO LÄN</t>
        </is>
      </c>
      <c r="E599" t="inlineStr">
        <is>
          <t>ÖREBRO</t>
        </is>
      </c>
      <c r="G599" t="n">
        <v>4.6</v>
      </c>
      <c r="H599" t="n">
        <v>0</v>
      </c>
      <c r="I599" t="n">
        <v>0</v>
      </c>
      <c r="J599" t="n">
        <v>0</v>
      </c>
      <c r="K599" t="n">
        <v>0</v>
      </c>
      <c r="L599" t="n">
        <v>0</v>
      </c>
      <c r="M599" t="n">
        <v>0</v>
      </c>
      <c r="N599" t="n">
        <v>0</v>
      </c>
      <c r="O599" t="n">
        <v>0</v>
      </c>
      <c r="P599" t="n">
        <v>0</v>
      </c>
      <c r="Q599" t="n">
        <v>0</v>
      </c>
      <c r="R599" s="2" t="inlineStr"/>
    </row>
    <row r="600" ht="15" customHeight="1">
      <c r="A600" t="inlineStr">
        <is>
          <t>A 18662-2025</t>
        </is>
      </c>
      <c r="B600" s="1" t="n">
        <v>45763.5877662037</v>
      </c>
      <c r="C600" s="1" t="n">
        <v>45892</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32086-2023</t>
        </is>
      </c>
      <c r="B601" s="1" t="n">
        <v>45119.59789351852</v>
      </c>
      <c r="C601" s="1" t="n">
        <v>45892</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22079-2023</t>
        </is>
      </c>
      <c r="B602" s="1" t="n">
        <v>45069</v>
      </c>
      <c r="C602" s="1" t="n">
        <v>45892</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13181-2023</t>
        </is>
      </c>
      <c r="B603" s="1" t="n">
        <v>45002.60659722222</v>
      </c>
      <c r="C603" s="1" t="n">
        <v>45892</v>
      </c>
      <c r="D603" t="inlineStr">
        <is>
          <t>ÖREBRO LÄN</t>
        </is>
      </c>
      <c r="E603" t="inlineStr">
        <is>
          <t>ÖREBRO</t>
        </is>
      </c>
      <c r="G603" t="n">
        <v>1.2</v>
      </c>
      <c r="H603" t="n">
        <v>0</v>
      </c>
      <c r="I603" t="n">
        <v>0</v>
      </c>
      <c r="J603" t="n">
        <v>0</v>
      </c>
      <c r="K603" t="n">
        <v>0</v>
      </c>
      <c r="L603" t="n">
        <v>0</v>
      </c>
      <c r="M603" t="n">
        <v>0</v>
      </c>
      <c r="N603" t="n">
        <v>0</v>
      </c>
      <c r="O603" t="n">
        <v>0</v>
      </c>
      <c r="P603" t="n">
        <v>0</v>
      </c>
      <c r="Q603" t="n">
        <v>0</v>
      </c>
      <c r="R603" s="2" t="inlineStr"/>
    </row>
    <row r="604" ht="15" customHeight="1">
      <c r="A604" t="inlineStr">
        <is>
          <t>A 61078-2024</t>
        </is>
      </c>
      <c r="B604" s="1" t="n">
        <v>45645.51034722223</v>
      </c>
      <c r="C604" s="1" t="n">
        <v>45892</v>
      </c>
      <c r="D604" t="inlineStr">
        <is>
          <t>ÖREBRO LÄN</t>
        </is>
      </c>
      <c r="E604" t="inlineStr">
        <is>
          <t>ÖREBRO</t>
        </is>
      </c>
      <c r="G604" t="n">
        <v>4.1</v>
      </c>
      <c r="H604" t="n">
        <v>0</v>
      </c>
      <c r="I604" t="n">
        <v>0</v>
      </c>
      <c r="J604" t="n">
        <v>0</v>
      </c>
      <c r="K604" t="n">
        <v>0</v>
      </c>
      <c r="L604" t="n">
        <v>0</v>
      </c>
      <c r="M604" t="n">
        <v>0</v>
      </c>
      <c r="N604" t="n">
        <v>0</v>
      </c>
      <c r="O604" t="n">
        <v>0</v>
      </c>
      <c r="P604" t="n">
        <v>0</v>
      </c>
      <c r="Q604" t="n">
        <v>0</v>
      </c>
      <c r="R604" s="2" t="inlineStr"/>
    </row>
    <row r="605" ht="15" customHeight="1">
      <c r="A605" t="inlineStr">
        <is>
          <t>A 62511-2023</t>
        </is>
      </c>
      <c r="B605" s="1" t="n">
        <v>45268.61855324074</v>
      </c>
      <c r="C605" s="1" t="n">
        <v>45892</v>
      </c>
      <c r="D605" t="inlineStr">
        <is>
          <t>ÖREBRO LÄN</t>
        </is>
      </c>
      <c r="E605" t="inlineStr">
        <is>
          <t>ÖREBRO</t>
        </is>
      </c>
      <c r="F605" t="inlineStr">
        <is>
          <t>Övriga Aktiebolag</t>
        </is>
      </c>
      <c r="G605" t="n">
        <v>3.6</v>
      </c>
      <c r="H605" t="n">
        <v>0</v>
      </c>
      <c r="I605" t="n">
        <v>0</v>
      </c>
      <c r="J605" t="n">
        <v>0</v>
      </c>
      <c r="K605" t="n">
        <v>0</v>
      </c>
      <c r="L605" t="n">
        <v>0</v>
      </c>
      <c r="M605" t="n">
        <v>0</v>
      </c>
      <c r="N605" t="n">
        <v>0</v>
      </c>
      <c r="O605" t="n">
        <v>0</v>
      </c>
      <c r="P605" t="n">
        <v>0</v>
      </c>
      <c r="Q605" t="n">
        <v>0</v>
      </c>
      <c r="R605" s="2" t="inlineStr"/>
    </row>
    <row r="606" ht="15" customHeight="1">
      <c r="A606" t="inlineStr">
        <is>
          <t>A 2630-2023</t>
        </is>
      </c>
      <c r="B606" s="1" t="n">
        <v>44944.39105324074</v>
      </c>
      <c r="C606" s="1" t="n">
        <v>45892</v>
      </c>
      <c r="D606" t="inlineStr">
        <is>
          <t>ÖREBRO LÄN</t>
        </is>
      </c>
      <c r="E606" t="inlineStr">
        <is>
          <t>ÖREBRO</t>
        </is>
      </c>
      <c r="G606" t="n">
        <v>6.1</v>
      </c>
      <c r="H606" t="n">
        <v>0</v>
      </c>
      <c r="I606" t="n">
        <v>0</v>
      </c>
      <c r="J606" t="n">
        <v>0</v>
      </c>
      <c r="K606" t="n">
        <v>0</v>
      </c>
      <c r="L606" t="n">
        <v>0</v>
      </c>
      <c r="M606" t="n">
        <v>0</v>
      </c>
      <c r="N606" t="n">
        <v>0</v>
      </c>
      <c r="O606" t="n">
        <v>0</v>
      </c>
      <c r="P606" t="n">
        <v>0</v>
      </c>
      <c r="Q606" t="n">
        <v>0</v>
      </c>
      <c r="R606" s="2" t="inlineStr"/>
    </row>
    <row r="607" ht="15" customHeight="1">
      <c r="A607" t="inlineStr">
        <is>
          <t>A 5330-2024</t>
        </is>
      </c>
      <c r="B607" s="1" t="n">
        <v>45331.4187962963</v>
      </c>
      <c r="C607" s="1" t="n">
        <v>45892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54925-2023</t>
        </is>
      </c>
      <c r="B608" s="1" t="n">
        <v>45229</v>
      </c>
      <c r="C608" s="1" t="n">
        <v>45892</v>
      </c>
      <c r="D608" t="inlineStr">
        <is>
          <t>ÖREBRO LÄN</t>
        </is>
      </c>
      <c r="E608" t="inlineStr">
        <is>
          <t>ÖREBRO</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10830-2023</t>
        </is>
      </c>
      <c r="B609" s="1" t="n">
        <v>44990.89752314815</v>
      </c>
      <c r="C609" s="1" t="n">
        <v>45892</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9585-2025</t>
        </is>
      </c>
      <c r="B610" s="1" t="n">
        <v>45715.63409722222</v>
      </c>
      <c r="C610" s="1" t="n">
        <v>45892</v>
      </c>
      <c r="D610" t="inlineStr">
        <is>
          <t>ÖREBRO LÄN</t>
        </is>
      </c>
      <c r="E610" t="inlineStr">
        <is>
          <t>ÖREBRO</t>
        </is>
      </c>
      <c r="G610" t="n">
        <v>3.4</v>
      </c>
      <c r="H610" t="n">
        <v>0</v>
      </c>
      <c r="I610" t="n">
        <v>0</v>
      </c>
      <c r="J610" t="n">
        <v>0</v>
      </c>
      <c r="K610" t="n">
        <v>0</v>
      </c>
      <c r="L610" t="n">
        <v>0</v>
      </c>
      <c r="M610" t="n">
        <v>0</v>
      </c>
      <c r="N610" t="n">
        <v>0</v>
      </c>
      <c r="O610" t="n">
        <v>0</v>
      </c>
      <c r="P610" t="n">
        <v>0</v>
      </c>
      <c r="Q610" t="n">
        <v>0</v>
      </c>
      <c r="R610" s="2" t="inlineStr"/>
    </row>
    <row r="611" ht="15" customHeight="1">
      <c r="A611" t="inlineStr">
        <is>
          <t>A 5125-2024</t>
        </is>
      </c>
      <c r="B611" s="1" t="n">
        <v>45330</v>
      </c>
      <c r="C611" s="1" t="n">
        <v>45892</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row r="612">
      <c r="A612" t="inlineStr">
        <is>
          <t>A 42138-2024</t>
        </is>
      </c>
      <c r="B612" s="1" t="n">
        <v>45562.41854166667</v>
      </c>
      <c r="C612" s="1" t="n">
        <v>45892</v>
      </c>
      <c r="D612" t="inlineStr">
        <is>
          <t>ÖREBRO LÄN</t>
        </is>
      </c>
      <c r="E612" t="inlineStr">
        <is>
          <t>ÖREBRO</t>
        </is>
      </c>
      <c r="G612" t="n">
        <v>1.4</v>
      </c>
      <c r="H612" t="n">
        <v>0</v>
      </c>
      <c r="I612" t="n">
        <v>0</v>
      </c>
      <c r="J612" t="n">
        <v>0</v>
      </c>
      <c r="K612" t="n">
        <v>0</v>
      </c>
      <c r="L612" t="n">
        <v>0</v>
      </c>
      <c r="M612" t="n">
        <v>0</v>
      </c>
      <c r="N612" t="n">
        <v>0</v>
      </c>
      <c r="O612" t="n">
        <v>0</v>
      </c>
      <c r="P612" t="n">
        <v>0</v>
      </c>
      <c r="Q612" t="n">
        <v>0</v>
      </c>
      <c r="R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2025-08-23T08:35:40Z</dcterms:created>
  <dcterms:modified xmlns:dcterms="http://purl.org/dc/terms/" xmlns:xsi="http://www.w3.org/2001/XMLSchema-instance" xsi:type="dcterms:W3CDTF">2025-08-23T08:35:41Z</dcterms:modified>
</cp:coreProperties>
</file>