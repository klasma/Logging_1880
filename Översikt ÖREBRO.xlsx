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45970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45970</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45970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45970</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45970</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45970</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45970</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45970</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45970</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12974-2022</t>
        </is>
      </c>
      <c r="B11" s="1" t="n">
        <v>44643.38490740741</v>
      </c>
      <c r="C11" s="1" t="n">
        <v>45970</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51530-2024</t>
        </is>
      </c>
      <c r="B12" s="1" t="n">
        <v>45604</v>
      </c>
      <c r="C12" s="1" t="n">
        <v>45970</v>
      </c>
      <c r="D12" t="inlineStr">
        <is>
          <t>ÖREBRO LÄN</t>
        </is>
      </c>
      <c r="E12" t="inlineStr">
        <is>
          <t>ÖREBRO</t>
        </is>
      </c>
      <c r="F12" t="inlineStr">
        <is>
          <t>Kommuner</t>
        </is>
      </c>
      <c r="G12" t="n">
        <v>15.4</v>
      </c>
      <c r="H12" t="n">
        <v>1</v>
      </c>
      <c r="I12" t="n">
        <v>0</v>
      </c>
      <c r="J12" t="n">
        <v>3</v>
      </c>
      <c r="K12" t="n">
        <v>0</v>
      </c>
      <c r="L12" t="n">
        <v>0</v>
      </c>
      <c r="M12" t="n">
        <v>0</v>
      </c>
      <c r="N12" t="n">
        <v>0</v>
      </c>
      <c r="O12" t="n">
        <v>3</v>
      </c>
      <c r="P12" t="n">
        <v>0</v>
      </c>
      <c r="Q12" t="n">
        <v>4</v>
      </c>
      <c r="R12" s="2" t="inlineStr">
        <is>
          <t>Leptoporus mollis
Tallticka
Ullticka
Revlummer</t>
        </is>
      </c>
      <c r="S12">
        <f>HYPERLINK("https://klasma.github.io/Logging_1880/artfynd/A 51530-2024 artfynd.xlsx", "A 51530-2024")</f>
        <v/>
      </c>
      <c r="T12">
        <f>HYPERLINK("https://klasma.github.io/Logging_1880/kartor/A 51530-2024 karta.png", "A 51530-2024")</f>
        <v/>
      </c>
      <c r="V12">
        <f>HYPERLINK("https://klasma.github.io/Logging_1880/klagomål/A 51530-2024 FSC-klagomål.docx", "A 51530-2024")</f>
        <v/>
      </c>
      <c r="W12">
        <f>HYPERLINK("https://klasma.github.io/Logging_1880/klagomålsmail/A 51530-2024 FSC-klagomål mail.docx", "A 51530-2024")</f>
        <v/>
      </c>
      <c r="X12">
        <f>HYPERLINK("https://klasma.github.io/Logging_1880/tillsyn/A 51530-2024 tillsynsbegäran.docx", "A 51530-2024")</f>
        <v/>
      </c>
      <c r="Y12">
        <f>HYPERLINK("https://klasma.github.io/Logging_1880/tillsynsmail/A 51530-2024 tillsynsbegäran mail.docx", "A 51530-2024")</f>
        <v/>
      </c>
    </row>
    <row r="13" ht="15" customHeight="1">
      <c r="A13" t="inlineStr">
        <is>
          <t>A 33069-2025</t>
        </is>
      </c>
      <c r="B13" s="1" t="n">
        <v>45840</v>
      </c>
      <c r="C13" s="1" t="n">
        <v>45970</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45970</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45970</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8564-2021</t>
        </is>
      </c>
      <c r="B16" s="1" t="n">
        <v>44245</v>
      </c>
      <c r="C16" s="1" t="n">
        <v>45970</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8564-2021 artfynd.xlsx", "A 8564-2021")</f>
        <v/>
      </c>
      <c r="T16">
        <f>HYPERLINK("https://klasma.github.io/Logging_1880/kartor/A 8564-2021 karta.png", "A 8564-2021")</f>
        <v/>
      </c>
      <c r="V16">
        <f>HYPERLINK("https://klasma.github.io/Logging_1880/klagomål/A 8564-2021 FSC-klagomål.docx", "A 8564-2021")</f>
        <v/>
      </c>
      <c r="W16">
        <f>HYPERLINK("https://klasma.github.io/Logging_1880/klagomålsmail/A 8564-2021 FSC-klagomål mail.docx", "A 8564-2021")</f>
        <v/>
      </c>
      <c r="X16">
        <f>HYPERLINK("https://klasma.github.io/Logging_1880/tillsyn/A 8564-2021 tillsynsbegäran.docx", "A 8564-2021")</f>
        <v/>
      </c>
      <c r="Y16">
        <f>HYPERLINK("https://klasma.github.io/Logging_1880/tillsynsmail/A 8564-2021 tillsynsbegäran mail.docx", "A 8564-2021")</f>
        <v/>
      </c>
    </row>
    <row r="17" ht="15" customHeight="1">
      <c r="A17" t="inlineStr">
        <is>
          <t>A 29487-2022</t>
        </is>
      </c>
      <c r="B17" s="1" t="n">
        <v>44753</v>
      </c>
      <c r="C17" s="1" t="n">
        <v>45970</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45970</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13627-2025</t>
        </is>
      </c>
      <c r="B19" s="1" t="n">
        <v>45736</v>
      </c>
      <c r="C19" s="1" t="n">
        <v>45970</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50096-2023</t>
        </is>
      </c>
      <c r="B20" s="1" t="n">
        <v>45215</v>
      </c>
      <c r="C20" s="1" t="n">
        <v>45970</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45970</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575-2024</t>
        </is>
      </c>
      <c r="B22" s="1" t="n">
        <v>45299</v>
      </c>
      <c r="C22" s="1" t="n">
        <v>45970</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45970</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45970</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45970</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45970</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45970</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2586-2021</t>
        </is>
      </c>
      <c r="B28" s="1" t="n">
        <v>44214</v>
      </c>
      <c r="C28" s="1" t="n">
        <v>45970</v>
      </c>
      <c r="D28" t="inlineStr">
        <is>
          <t>ÖREBRO LÄN</t>
        </is>
      </c>
      <c r="E28" t="inlineStr">
        <is>
          <t>ÖREBRO</t>
        </is>
      </c>
      <c r="G28" t="n">
        <v>8</v>
      </c>
      <c r="H28" t="n">
        <v>1</v>
      </c>
      <c r="I28" t="n">
        <v>0</v>
      </c>
      <c r="J28" t="n">
        <v>1</v>
      </c>
      <c r="K28" t="n">
        <v>0</v>
      </c>
      <c r="L28" t="n">
        <v>0</v>
      </c>
      <c r="M28" t="n">
        <v>0</v>
      </c>
      <c r="N28" t="n">
        <v>0</v>
      </c>
      <c r="O28" t="n">
        <v>1</v>
      </c>
      <c r="P28" t="n">
        <v>0</v>
      </c>
      <c r="Q28" t="n">
        <v>2</v>
      </c>
      <c r="R28" s="2" t="inlineStr">
        <is>
          <t>Tallticka
Fläcknycklar</t>
        </is>
      </c>
      <c r="S28">
        <f>HYPERLINK("https://klasma.github.io/Logging_1880/artfynd/A 2586-2021 artfynd.xlsx", "A 2586-2021")</f>
        <v/>
      </c>
      <c r="T28">
        <f>HYPERLINK("https://klasma.github.io/Logging_1880/kartor/A 2586-2021 karta.png", "A 2586-2021")</f>
        <v/>
      </c>
      <c r="V28">
        <f>HYPERLINK("https://klasma.github.io/Logging_1880/klagomål/A 2586-2021 FSC-klagomål.docx", "A 2586-2021")</f>
        <v/>
      </c>
      <c r="W28">
        <f>HYPERLINK("https://klasma.github.io/Logging_1880/klagomålsmail/A 2586-2021 FSC-klagomål mail.docx", "A 2586-2021")</f>
        <v/>
      </c>
      <c r="X28">
        <f>HYPERLINK("https://klasma.github.io/Logging_1880/tillsyn/A 2586-2021 tillsynsbegäran.docx", "A 2586-2021")</f>
        <v/>
      </c>
      <c r="Y28">
        <f>HYPERLINK("https://klasma.github.io/Logging_1880/tillsynsmail/A 2586-2021 tillsynsbegäran mail.docx", "A 2586-2021")</f>
        <v/>
      </c>
    </row>
    <row r="29" ht="15" customHeight="1">
      <c r="A29" t="inlineStr">
        <is>
          <t>A 7608-2024</t>
        </is>
      </c>
      <c r="B29" s="1" t="n">
        <v>45348</v>
      </c>
      <c r="C29" s="1" t="n">
        <v>45970</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22577-2024</t>
        </is>
      </c>
      <c r="B30" s="1" t="n">
        <v>45447</v>
      </c>
      <c r="C30" s="1" t="n">
        <v>45970</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52400-2024</t>
        </is>
      </c>
      <c r="B31" s="1" t="n">
        <v>45609.44461805555</v>
      </c>
      <c r="C31" s="1" t="n">
        <v>45970</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13395-2024</t>
        </is>
      </c>
      <c r="B32" s="1" t="n">
        <v>45387.42296296296</v>
      </c>
      <c r="C32" s="1" t="n">
        <v>45970</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14956-2025</t>
        </is>
      </c>
      <c r="B33" s="1" t="n">
        <v>45743.58409722222</v>
      </c>
      <c r="C33" s="1" t="n">
        <v>45970</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51550-2025</t>
        </is>
      </c>
      <c r="B34" s="1" t="n">
        <v>45950.83359953704</v>
      </c>
      <c r="C34" s="1" t="n">
        <v>45970</v>
      </c>
      <c r="D34" t="inlineStr">
        <is>
          <t>ÖREBRO LÄN</t>
        </is>
      </c>
      <c r="E34" t="inlineStr">
        <is>
          <t>ÖREBRO</t>
        </is>
      </c>
      <c r="F34" t="inlineStr">
        <is>
          <t>Övriga Aktiebolag</t>
        </is>
      </c>
      <c r="G34" t="n">
        <v>5.5</v>
      </c>
      <c r="H34" t="n">
        <v>0</v>
      </c>
      <c r="I34" t="n">
        <v>1</v>
      </c>
      <c r="J34" t="n">
        <v>1</v>
      </c>
      <c r="K34" t="n">
        <v>0</v>
      </c>
      <c r="L34" t="n">
        <v>0</v>
      </c>
      <c r="M34" t="n">
        <v>0</v>
      </c>
      <c r="N34" t="n">
        <v>0</v>
      </c>
      <c r="O34" t="n">
        <v>1</v>
      </c>
      <c r="P34" t="n">
        <v>0</v>
      </c>
      <c r="Q34" t="n">
        <v>2</v>
      </c>
      <c r="R34" s="2" t="inlineStr">
        <is>
          <t>Bryngökbi
Tibast</t>
        </is>
      </c>
      <c r="S34">
        <f>HYPERLINK("https://klasma.github.io/Logging_1880/artfynd/A 51550-2025 artfynd.xlsx", "A 51550-2025")</f>
        <v/>
      </c>
      <c r="T34">
        <f>HYPERLINK("https://klasma.github.io/Logging_1880/kartor/A 51550-2025 karta.png", "A 51550-2025")</f>
        <v/>
      </c>
      <c r="V34">
        <f>HYPERLINK("https://klasma.github.io/Logging_1880/klagomål/A 51550-2025 FSC-klagomål.docx", "A 51550-2025")</f>
        <v/>
      </c>
      <c r="W34">
        <f>HYPERLINK("https://klasma.github.io/Logging_1880/klagomålsmail/A 51550-2025 FSC-klagomål mail.docx", "A 51550-2025")</f>
        <v/>
      </c>
      <c r="X34">
        <f>HYPERLINK("https://klasma.github.io/Logging_1880/tillsyn/A 51550-2025 tillsynsbegäran.docx", "A 51550-2025")</f>
        <v/>
      </c>
      <c r="Y34">
        <f>HYPERLINK("https://klasma.github.io/Logging_1880/tillsynsmail/A 51550-2025 tillsynsbegäran mail.docx", "A 51550-2025")</f>
        <v/>
      </c>
    </row>
    <row r="35" ht="15" customHeight="1">
      <c r="A35" t="inlineStr">
        <is>
          <t>A 30409-2025</t>
        </is>
      </c>
      <c r="B35" s="1" t="n">
        <v>45827.59738425926</v>
      </c>
      <c r="C35" s="1" t="n">
        <v>45970</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8267-2021</t>
        </is>
      </c>
      <c r="B36" s="1" t="n">
        <v>44244</v>
      </c>
      <c r="C36" s="1" t="n">
        <v>45970</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37019-2024</t>
        </is>
      </c>
      <c r="B37" s="1" t="n">
        <v>45539.37905092593</v>
      </c>
      <c r="C37" s="1" t="n">
        <v>45970</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29704-2022</t>
        </is>
      </c>
      <c r="B38" s="1" t="n">
        <v>44755</v>
      </c>
      <c r="C38" s="1" t="n">
        <v>45970</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45970</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45970</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32105-2023</t>
        </is>
      </c>
      <c r="B41" s="1" t="n">
        <v>45119</v>
      </c>
      <c r="C41" s="1" t="n">
        <v>45970</v>
      </c>
      <c r="D41" t="inlineStr">
        <is>
          <t>ÖREBRO LÄN</t>
        </is>
      </c>
      <c r="E41" t="inlineStr">
        <is>
          <t>ÖREBRO</t>
        </is>
      </c>
      <c r="G41" t="n">
        <v>1.3</v>
      </c>
      <c r="H41" t="n">
        <v>1</v>
      </c>
      <c r="I41" t="n">
        <v>0</v>
      </c>
      <c r="J41" t="n">
        <v>1</v>
      </c>
      <c r="K41" t="n">
        <v>0</v>
      </c>
      <c r="L41" t="n">
        <v>0</v>
      </c>
      <c r="M41" t="n">
        <v>0</v>
      </c>
      <c r="N41" t="n">
        <v>0</v>
      </c>
      <c r="O41" t="n">
        <v>1</v>
      </c>
      <c r="P41" t="n">
        <v>0</v>
      </c>
      <c r="Q41" t="n">
        <v>1</v>
      </c>
      <c r="R41" s="2" t="inlineStr">
        <is>
          <t>Rödvingetrast</t>
        </is>
      </c>
      <c r="S41">
        <f>HYPERLINK("https://klasma.github.io/Logging_1880/artfynd/A 32105-2023 artfynd.xlsx", "A 32105-2023")</f>
        <v/>
      </c>
      <c r="T41">
        <f>HYPERLINK("https://klasma.github.io/Logging_1880/kartor/A 32105-2023 karta.png", "A 32105-2023")</f>
        <v/>
      </c>
      <c r="V41">
        <f>HYPERLINK("https://klasma.github.io/Logging_1880/klagomål/A 32105-2023 FSC-klagomål.docx", "A 32105-2023")</f>
        <v/>
      </c>
      <c r="W41">
        <f>HYPERLINK("https://klasma.github.io/Logging_1880/klagomålsmail/A 32105-2023 FSC-klagomål mail.docx", "A 32105-2023")</f>
        <v/>
      </c>
      <c r="X41">
        <f>HYPERLINK("https://klasma.github.io/Logging_1880/tillsyn/A 32105-2023 tillsynsbegäran.docx", "A 32105-2023")</f>
        <v/>
      </c>
      <c r="Y41">
        <f>HYPERLINK("https://klasma.github.io/Logging_1880/tillsynsmail/A 32105-2023 tillsynsbegäran mail.docx", "A 32105-2023")</f>
        <v/>
      </c>
      <c r="Z41">
        <f>HYPERLINK("https://klasma.github.io/Logging_1880/fåglar/A 32105-2023 prioriterade fågelarter.docx", "A 32105-2023")</f>
        <v/>
      </c>
    </row>
    <row r="42" ht="15" customHeight="1">
      <c r="A42" t="inlineStr">
        <is>
          <t>A 2077-2023</t>
        </is>
      </c>
      <c r="B42" s="1" t="n">
        <v>44939</v>
      </c>
      <c r="C42" s="1" t="n">
        <v>45970</v>
      </c>
      <c r="D42" t="inlineStr">
        <is>
          <t>ÖREBRO LÄN</t>
        </is>
      </c>
      <c r="E42" t="inlineStr">
        <is>
          <t>ÖREBRO</t>
        </is>
      </c>
      <c r="G42" t="n">
        <v>1.4</v>
      </c>
      <c r="H42" t="n">
        <v>1</v>
      </c>
      <c r="I42" t="n">
        <v>0</v>
      </c>
      <c r="J42" t="n">
        <v>1</v>
      </c>
      <c r="K42" t="n">
        <v>0</v>
      </c>
      <c r="L42" t="n">
        <v>0</v>
      </c>
      <c r="M42" t="n">
        <v>0</v>
      </c>
      <c r="N42" t="n">
        <v>0</v>
      </c>
      <c r="O42" t="n">
        <v>1</v>
      </c>
      <c r="P42" t="n">
        <v>0</v>
      </c>
      <c r="Q42" t="n">
        <v>1</v>
      </c>
      <c r="R42" s="2" t="inlineStr">
        <is>
          <t>Rödvingetrast</t>
        </is>
      </c>
      <c r="S42">
        <f>HYPERLINK("https://klasma.github.io/Logging_1880/artfynd/A 2077-2023 artfynd.xlsx", "A 2077-2023")</f>
        <v/>
      </c>
      <c r="T42">
        <f>HYPERLINK("https://klasma.github.io/Logging_1880/kartor/A 2077-2023 karta.png", "A 2077-2023")</f>
        <v/>
      </c>
      <c r="V42">
        <f>HYPERLINK("https://klasma.github.io/Logging_1880/klagomål/A 2077-2023 FSC-klagomål.docx", "A 2077-2023")</f>
        <v/>
      </c>
      <c r="W42">
        <f>HYPERLINK("https://klasma.github.io/Logging_1880/klagomålsmail/A 2077-2023 FSC-klagomål mail.docx", "A 2077-2023")</f>
        <v/>
      </c>
      <c r="X42">
        <f>HYPERLINK("https://klasma.github.io/Logging_1880/tillsyn/A 2077-2023 tillsynsbegäran.docx", "A 2077-2023")</f>
        <v/>
      </c>
      <c r="Y42">
        <f>HYPERLINK("https://klasma.github.io/Logging_1880/tillsynsmail/A 2077-2023 tillsynsbegäran mail.docx", "A 2077-2023")</f>
        <v/>
      </c>
      <c r="Z42">
        <f>HYPERLINK("https://klasma.github.io/Logging_1880/fåglar/A 2077-2023 prioriterade fågelarter.docx", "A 2077-2023")</f>
        <v/>
      </c>
    </row>
    <row r="43" ht="15" customHeight="1">
      <c r="A43" t="inlineStr">
        <is>
          <t>A 44389-2021</t>
        </is>
      </c>
      <c r="B43" s="1" t="n">
        <v>44435</v>
      </c>
      <c r="C43" s="1" t="n">
        <v>45970</v>
      </c>
      <c r="D43" t="inlineStr">
        <is>
          <t>ÖREBRO LÄN</t>
        </is>
      </c>
      <c r="E43" t="inlineStr">
        <is>
          <t>ÖREBRO</t>
        </is>
      </c>
      <c r="G43" t="n">
        <v>2.2</v>
      </c>
      <c r="H43" t="n">
        <v>1</v>
      </c>
      <c r="I43" t="n">
        <v>0</v>
      </c>
      <c r="J43" t="n">
        <v>0</v>
      </c>
      <c r="K43" t="n">
        <v>1</v>
      </c>
      <c r="L43" t="n">
        <v>0</v>
      </c>
      <c r="M43" t="n">
        <v>0</v>
      </c>
      <c r="N43" t="n">
        <v>0</v>
      </c>
      <c r="O43" t="n">
        <v>1</v>
      </c>
      <c r="P43" t="n">
        <v>1</v>
      </c>
      <c r="Q43" t="n">
        <v>1</v>
      </c>
      <c r="R43" s="2" t="inlineStr">
        <is>
          <t>Knärot</t>
        </is>
      </c>
      <c r="S43">
        <f>HYPERLINK("https://klasma.github.io/Logging_1880/artfynd/A 44389-2021 artfynd.xlsx", "A 44389-2021")</f>
        <v/>
      </c>
      <c r="T43">
        <f>HYPERLINK("https://klasma.github.io/Logging_1880/kartor/A 44389-2021 karta.png", "A 44389-2021")</f>
        <v/>
      </c>
      <c r="U43">
        <f>HYPERLINK("https://klasma.github.io/Logging_1880/knärot/A 44389-2021 karta knärot.png", "A 44389-2021")</f>
        <v/>
      </c>
      <c r="V43">
        <f>HYPERLINK("https://klasma.github.io/Logging_1880/klagomål/A 44389-2021 FSC-klagomål.docx", "A 44389-2021")</f>
        <v/>
      </c>
      <c r="W43">
        <f>HYPERLINK("https://klasma.github.io/Logging_1880/klagomålsmail/A 44389-2021 FSC-klagomål mail.docx", "A 44389-2021")</f>
        <v/>
      </c>
      <c r="X43">
        <f>HYPERLINK("https://klasma.github.io/Logging_1880/tillsyn/A 44389-2021 tillsynsbegäran.docx", "A 44389-2021")</f>
        <v/>
      </c>
      <c r="Y43">
        <f>HYPERLINK("https://klasma.github.io/Logging_1880/tillsynsmail/A 44389-2021 tillsynsbegäran mail.docx", "A 44389-2021")</f>
        <v/>
      </c>
    </row>
    <row r="44" ht="15" customHeight="1">
      <c r="A44" t="inlineStr">
        <is>
          <t>A 43332-2022</t>
        </is>
      </c>
      <c r="B44" s="1" t="n">
        <v>44834</v>
      </c>
      <c r="C44" s="1" t="n">
        <v>45970</v>
      </c>
      <c r="D44" t="inlineStr">
        <is>
          <t>ÖREBRO LÄN</t>
        </is>
      </c>
      <c r="E44" t="inlineStr">
        <is>
          <t>ÖREBRO</t>
        </is>
      </c>
      <c r="G44" t="n">
        <v>2.3</v>
      </c>
      <c r="H44" t="n">
        <v>1</v>
      </c>
      <c r="I44" t="n">
        <v>0</v>
      </c>
      <c r="J44" t="n">
        <v>1</v>
      </c>
      <c r="K44" t="n">
        <v>0</v>
      </c>
      <c r="L44" t="n">
        <v>0</v>
      </c>
      <c r="M44" t="n">
        <v>0</v>
      </c>
      <c r="N44" t="n">
        <v>0</v>
      </c>
      <c r="O44" t="n">
        <v>1</v>
      </c>
      <c r="P44" t="n">
        <v>0</v>
      </c>
      <c r="Q44" t="n">
        <v>1</v>
      </c>
      <c r="R44" s="2" t="inlineStr">
        <is>
          <t>Spillkråka</t>
        </is>
      </c>
      <c r="S44">
        <f>HYPERLINK("https://klasma.github.io/Logging_1880/artfynd/A 43332-2022 artfynd.xlsx", "A 43332-2022")</f>
        <v/>
      </c>
      <c r="T44">
        <f>HYPERLINK("https://klasma.github.io/Logging_1880/kartor/A 43332-2022 karta.png", "A 43332-2022")</f>
        <v/>
      </c>
      <c r="V44">
        <f>HYPERLINK("https://klasma.github.io/Logging_1880/klagomål/A 43332-2022 FSC-klagomål.docx", "A 43332-2022")</f>
        <v/>
      </c>
      <c r="W44">
        <f>HYPERLINK("https://klasma.github.io/Logging_1880/klagomålsmail/A 43332-2022 FSC-klagomål mail.docx", "A 43332-2022")</f>
        <v/>
      </c>
      <c r="X44">
        <f>HYPERLINK("https://klasma.github.io/Logging_1880/tillsyn/A 43332-2022 tillsynsbegäran.docx", "A 43332-2022")</f>
        <v/>
      </c>
      <c r="Y44">
        <f>HYPERLINK("https://klasma.github.io/Logging_1880/tillsynsmail/A 43332-2022 tillsynsbegäran mail.docx", "A 43332-2022")</f>
        <v/>
      </c>
      <c r="Z44">
        <f>HYPERLINK("https://klasma.github.io/Logging_1880/fåglar/A 43332-2022 prioriterade fågelarter.docx", "A 43332-2022")</f>
        <v/>
      </c>
    </row>
    <row r="45" ht="15" customHeight="1">
      <c r="A45" t="inlineStr">
        <is>
          <t>A 44744-2024</t>
        </is>
      </c>
      <c r="B45" s="1" t="n">
        <v>45574.59789351852</v>
      </c>
      <c r="C45" s="1" t="n">
        <v>45970</v>
      </c>
      <c r="D45" t="inlineStr">
        <is>
          <t>ÖREBRO LÄN</t>
        </is>
      </c>
      <c r="E45" t="inlineStr">
        <is>
          <t>ÖREBRO</t>
        </is>
      </c>
      <c r="G45" t="n">
        <v>11.6</v>
      </c>
      <c r="H45" t="n">
        <v>1</v>
      </c>
      <c r="I45" t="n">
        <v>0</v>
      </c>
      <c r="J45" t="n">
        <v>0</v>
      </c>
      <c r="K45" t="n">
        <v>0</v>
      </c>
      <c r="L45" t="n">
        <v>0</v>
      </c>
      <c r="M45" t="n">
        <v>0</v>
      </c>
      <c r="N45" t="n">
        <v>0</v>
      </c>
      <c r="O45" t="n">
        <v>0</v>
      </c>
      <c r="P45" t="n">
        <v>0</v>
      </c>
      <c r="Q45" t="n">
        <v>1</v>
      </c>
      <c r="R45" s="2" t="inlineStr">
        <is>
          <t>Revlummer</t>
        </is>
      </c>
      <c r="S45">
        <f>HYPERLINK("https://klasma.github.io/Logging_1880/artfynd/A 44744-2024 artfynd.xlsx", "A 44744-2024")</f>
        <v/>
      </c>
      <c r="T45">
        <f>HYPERLINK("https://klasma.github.io/Logging_1880/kartor/A 44744-2024 karta.png", "A 44744-2024")</f>
        <v/>
      </c>
      <c r="V45">
        <f>HYPERLINK("https://klasma.github.io/Logging_1880/klagomål/A 44744-2024 FSC-klagomål.docx", "A 44744-2024")</f>
        <v/>
      </c>
      <c r="W45">
        <f>HYPERLINK("https://klasma.github.io/Logging_1880/klagomålsmail/A 44744-2024 FSC-klagomål mail.docx", "A 44744-2024")</f>
        <v/>
      </c>
      <c r="X45">
        <f>HYPERLINK("https://klasma.github.io/Logging_1880/tillsyn/A 44744-2024 tillsynsbegäran.docx", "A 44744-2024")</f>
        <v/>
      </c>
      <c r="Y45">
        <f>HYPERLINK("https://klasma.github.io/Logging_1880/tillsynsmail/A 44744-2024 tillsynsbegäran mail.docx", "A 44744-2024")</f>
        <v/>
      </c>
    </row>
    <row r="46" ht="15" customHeight="1">
      <c r="A46" t="inlineStr">
        <is>
          <t>A 31695-2024</t>
        </is>
      </c>
      <c r="B46" s="1" t="n">
        <v>45508</v>
      </c>
      <c r="C46" s="1" t="n">
        <v>45970</v>
      </c>
      <c r="D46" t="inlineStr">
        <is>
          <t>ÖREBRO LÄN</t>
        </is>
      </c>
      <c r="E46" t="inlineStr">
        <is>
          <t>ÖREBRO</t>
        </is>
      </c>
      <c r="G46" t="n">
        <v>1.3</v>
      </c>
      <c r="H46" t="n">
        <v>1</v>
      </c>
      <c r="I46" t="n">
        <v>1</v>
      </c>
      <c r="J46" t="n">
        <v>0</v>
      </c>
      <c r="K46" t="n">
        <v>0</v>
      </c>
      <c r="L46" t="n">
        <v>0</v>
      </c>
      <c r="M46" t="n">
        <v>0</v>
      </c>
      <c r="N46" t="n">
        <v>0</v>
      </c>
      <c r="O46" t="n">
        <v>0</v>
      </c>
      <c r="P46" t="n">
        <v>0</v>
      </c>
      <c r="Q46" t="n">
        <v>1</v>
      </c>
      <c r="R46" s="2" t="inlineStr">
        <is>
          <t>Skogsknipprot</t>
        </is>
      </c>
      <c r="S46">
        <f>HYPERLINK("https://klasma.github.io/Logging_1880/artfynd/A 31695-2024 artfynd.xlsx", "A 31695-2024")</f>
        <v/>
      </c>
      <c r="T46">
        <f>HYPERLINK("https://klasma.github.io/Logging_1880/kartor/A 31695-2024 karta.png", "A 31695-2024")</f>
        <v/>
      </c>
      <c r="V46">
        <f>HYPERLINK("https://klasma.github.io/Logging_1880/klagomål/A 31695-2024 FSC-klagomål.docx", "A 31695-2024")</f>
        <v/>
      </c>
      <c r="W46">
        <f>HYPERLINK("https://klasma.github.io/Logging_1880/klagomålsmail/A 31695-2024 FSC-klagomål mail.docx", "A 31695-2024")</f>
        <v/>
      </c>
      <c r="X46">
        <f>HYPERLINK("https://klasma.github.io/Logging_1880/tillsyn/A 31695-2024 tillsynsbegäran.docx", "A 31695-2024")</f>
        <v/>
      </c>
      <c r="Y46">
        <f>HYPERLINK("https://klasma.github.io/Logging_1880/tillsynsmail/A 31695-2024 tillsynsbegäran mail.docx", "A 31695-2024")</f>
        <v/>
      </c>
    </row>
    <row r="47" ht="15" customHeight="1">
      <c r="A47" t="inlineStr">
        <is>
          <t>A 20032-2023</t>
        </is>
      </c>
      <c r="B47" s="1" t="n">
        <v>45054</v>
      </c>
      <c r="C47" s="1" t="n">
        <v>45970</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11501-2025</t>
        </is>
      </c>
      <c r="B48" s="1" t="n">
        <v>45726</v>
      </c>
      <c r="C48" s="1" t="n">
        <v>45970</v>
      </c>
      <c r="D48" t="inlineStr">
        <is>
          <t>ÖREBRO LÄN</t>
        </is>
      </c>
      <c r="E48" t="inlineStr">
        <is>
          <t>ÖREBRO</t>
        </is>
      </c>
      <c r="G48" t="n">
        <v>0.8</v>
      </c>
      <c r="H48" t="n">
        <v>1</v>
      </c>
      <c r="I48" t="n">
        <v>0</v>
      </c>
      <c r="J48" t="n">
        <v>0</v>
      </c>
      <c r="K48" t="n">
        <v>0</v>
      </c>
      <c r="L48" t="n">
        <v>0</v>
      </c>
      <c r="M48" t="n">
        <v>0</v>
      </c>
      <c r="N48" t="n">
        <v>0</v>
      </c>
      <c r="O48" t="n">
        <v>0</v>
      </c>
      <c r="P48" t="n">
        <v>0</v>
      </c>
      <c r="Q48" t="n">
        <v>1</v>
      </c>
      <c r="R48" s="2" t="inlineStr">
        <is>
          <t>Kopparödla</t>
        </is>
      </c>
      <c r="S48">
        <f>HYPERLINK("https://klasma.github.io/Logging_1880/artfynd/A 11501-2025 artfynd.xlsx", "A 11501-2025")</f>
        <v/>
      </c>
      <c r="T48">
        <f>HYPERLINK("https://klasma.github.io/Logging_1880/kartor/A 11501-2025 karta.png", "A 11501-2025")</f>
        <v/>
      </c>
      <c r="V48">
        <f>HYPERLINK("https://klasma.github.io/Logging_1880/klagomål/A 11501-2025 FSC-klagomål.docx", "A 11501-2025")</f>
        <v/>
      </c>
      <c r="W48">
        <f>HYPERLINK("https://klasma.github.io/Logging_1880/klagomålsmail/A 11501-2025 FSC-klagomål mail.docx", "A 11501-2025")</f>
        <v/>
      </c>
      <c r="X48">
        <f>HYPERLINK("https://klasma.github.io/Logging_1880/tillsyn/A 11501-2025 tillsynsbegäran.docx", "A 11501-2025")</f>
        <v/>
      </c>
      <c r="Y48">
        <f>HYPERLINK("https://klasma.github.io/Logging_1880/tillsynsmail/A 11501-2025 tillsynsbegäran mail.docx", "A 11501-2025")</f>
        <v/>
      </c>
    </row>
    <row r="49" ht="15" customHeight="1">
      <c r="A49" t="inlineStr">
        <is>
          <t>A 58966-2020</t>
        </is>
      </c>
      <c r="B49" s="1" t="n">
        <v>44146</v>
      </c>
      <c r="C49" s="1" t="n">
        <v>45970</v>
      </c>
      <c r="D49" t="inlineStr">
        <is>
          <t>ÖREBRO LÄN</t>
        </is>
      </c>
      <c r="E49" t="inlineStr">
        <is>
          <t>ÖREBRO</t>
        </is>
      </c>
      <c r="F49" t="inlineStr">
        <is>
          <t>Övriga Aktiebolag</t>
        </is>
      </c>
      <c r="G49" t="n">
        <v>1.2</v>
      </c>
      <c r="H49" t="n">
        <v>1</v>
      </c>
      <c r="I49" t="n">
        <v>0</v>
      </c>
      <c r="J49" t="n">
        <v>1</v>
      </c>
      <c r="K49" t="n">
        <v>0</v>
      </c>
      <c r="L49" t="n">
        <v>0</v>
      </c>
      <c r="M49" t="n">
        <v>0</v>
      </c>
      <c r="N49" t="n">
        <v>0</v>
      </c>
      <c r="O49" t="n">
        <v>1</v>
      </c>
      <c r="P49" t="n">
        <v>0</v>
      </c>
      <c r="Q49" t="n">
        <v>1</v>
      </c>
      <c r="R49" s="2" t="inlineStr">
        <is>
          <t>Kråka</t>
        </is>
      </c>
      <c r="S49">
        <f>HYPERLINK("https://klasma.github.io/Logging_1880/artfynd/A 58966-2020 artfynd.xlsx", "A 58966-2020")</f>
        <v/>
      </c>
      <c r="T49">
        <f>HYPERLINK("https://klasma.github.io/Logging_1880/kartor/A 58966-2020 karta.png", "A 58966-2020")</f>
        <v/>
      </c>
      <c r="V49">
        <f>HYPERLINK("https://klasma.github.io/Logging_1880/klagomål/A 58966-2020 FSC-klagomål.docx", "A 58966-2020")</f>
        <v/>
      </c>
      <c r="W49">
        <f>HYPERLINK("https://klasma.github.io/Logging_1880/klagomålsmail/A 58966-2020 FSC-klagomål mail.docx", "A 58966-2020")</f>
        <v/>
      </c>
      <c r="X49">
        <f>HYPERLINK("https://klasma.github.io/Logging_1880/tillsyn/A 58966-2020 tillsynsbegäran.docx", "A 58966-2020")</f>
        <v/>
      </c>
      <c r="Y49">
        <f>HYPERLINK("https://klasma.github.io/Logging_1880/tillsynsmail/A 58966-2020 tillsynsbegäran mail.docx", "A 58966-2020")</f>
        <v/>
      </c>
      <c r="Z49">
        <f>HYPERLINK("https://klasma.github.io/Logging_1880/fåglar/A 58966-2020 prioriterade fågelarter.docx", "A 58966-2020")</f>
        <v/>
      </c>
    </row>
    <row r="50" ht="15" customHeight="1">
      <c r="A50" t="inlineStr">
        <is>
          <t>A 23998-2025</t>
        </is>
      </c>
      <c r="B50" s="1" t="n">
        <v>45796.42209490741</v>
      </c>
      <c r="C50" s="1" t="n">
        <v>45970</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22604-2024</t>
        </is>
      </c>
      <c r="B51" s="1" t="n">
        <v>45447</v>
      </c>
      <c r="C51" s="1" t="n">
        <v>45970</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4014-2021</t>
        </is>
      </c>
      <c r="B52" s="1" t="n">
        <v>44218</v>
      </c>
      <c r="C52" s="1" t="n">
        <v>45970</v>
      </c>
      <c r="D52" t="inlineStr">
        <is>
          <t>ÖREBRO LÄN</t>
        </is>
      </c>
      <c r="E52" t="inlineStr">
        <is>
          <t>ÖREBRO</t>
        </is>
      </c>
      <c r="G52" t="n">
        <v>10.5</v>
      </c>
      <c r="H52" t="n">
        <v>0</v>
      </c>
      <c r="I52" t="n">
        <v>1</v>
      </c>
      <c r="J52" t="n">
        <v>0</v>
      </c>
      <c r="K52" t="n">
        <v>0</v>
      </c>
      <c r="L52" t="n">
        <v>0</v>
      </c>
      <c r="M52" t="n">
        <v>0</v>
      </c>
      <c r="N52" t="n">
        <v>0</v>
      </c>
      <c r="O52" t="n">
        <v>0</v>
      </c>
      <c r="P52" t="n">
        <v>0</v>
      </c>
      <c r="Q52" t="n">
        <v>1</v>
      </c>
      <c r="R52" s="2" t="inlineStr">
        <is>
          <t>Springkorn</t>
        </is>
      </c>
      <c r="S52">
        <f>HYPERLINK("https://klasma.github.io/Logging_1880/artfynd/A 4014-2021 artfynd.xlsx", "A 4014-2021")</f>
        <v/>
      </c>
      <c r="T52">
        <f>HYPERLINK("https://klasma.github.io/Logging_1880/kartor/A 4014-2021 karta.png", "A 4014-2021")</f>
        <v/>
      </c>
      <c r="V52">
        <f>HYPERLINK("https://klasma.github.io/Logging_1880/klagomål/A 4014-2021 FSC-klagomål.docx", "A 4014-2021")</f>
        <v/>
      </c>
      <c r="W52">
        <f>HYPERLINK("https://klasma.github.io/Logging_1880/klagomålsmail/A 4014-2021 FSC-klagomål mail.docx", "A 4014-2021")</f>
        <v/>
      </c>
      <c r="X52">
        <f>HYPERLINK("https://klasma.github.io/Logging_1880/tillsyn/A 4014-2021 tillsynsbegäran.docx", "A 4014-2021")</f>
        <v/>
      </c>
      <c r="Y52">
        <f>HYPERLINK("https://klasma.github.io/Logging_1880/tillsynsmail/A 4014-2021 tillsynsbegäran mail.docx", "A 4014-2021")</f>
        <v/>
      </c>
    </row>
    <row r="53" ht="15" customHeight="1">
      <c r="A53" t="inlineStr">
        <is>
          <t>A 30725-2023</t>
        </is>
      </c>
      <c r="B53" s="1" t="n">
        <v>45112.61451388889</v>
      </c>
      <c r="C53" s="1" t="n">
        <v>45970</v>
      </c>
      <c r="D53" t="inlineStr">
        <is>
          <t>ÖREBRO LÄN</t>
        </is>
      </c>
      <c r="E53" t="inlineStr">
        <is>
          <t>ÖREBRO</t>
        </is>
      </c>
      <c r="G53" t="n">
        <v>1.8</v>
      </c>
      <c r="H53" t="n">
        <v>1</v>
      </c>
      <c r="I53" t="n">
        <v>0</v>
      </c>
      <c r="J53" t="n">
        <v>1</v>
      </c>
      <c r="K53" t="n">
        <v>0</v>
      </c>
      <c r="L53" t="n">
        <v>0</v>
      </c>
      <c r="M53" t="n">
        <v>0</v>
      </c>
      <c r="N53" t="n">
        <v>0</v>
      </c>
      <c r="O53" t="n">
        <v>1</v>
      </c>
      <c r="P53" t="n">
        <v>0</v>
      </c>
      <c r="Q53" t="n">
        <v>1</v>
      </c>
      <c r="R53" s="2" t="inlineStr">
        <is>
          <t>Gulsparv</t>
        </is>
      </c>
      <c r="S53">
        <f>HYPERLINK("https://klasma.github.io/Logging_1880/artfynd/A 30725-2023 artfynd.xlsx", "A 30725-2023")</f>
        <v/>
      </c>
      <c r="T53">
        <f>HYPERLINK("https://klasma.github.io/Logging_1880/kartor/A 30725-2023 karta.png", "A 30725-2023")</f>
        <v/>
      </c>
      <c r="V53">
        <f>HYPERLINK("https://klasma.github.io/Logging_1880/klagomål/A 30725-2023 FSC-klagomål.docx", "A 30725-2023")</f>
        <v/>
      </c>
      <c r="W53">
        <f>HYPERLINK("https://klasma.github.io/Logging_1880/klagomålsmail/A 30725-2023 FSC-klagomål mail.docx", "A 30725-2023")</f>
        <v/>
      </c>
      <c r="X53">
        <f>HYPERLINK("https://klasma.github.io/Logging_1880/tillsyn/A 30725-2023 tillsynsbegäran.docx", "A 30725-2023")</f>
        <v/>
      </c>
      <c r="Y53">
        <f>HYPERLINK("https://klasma.github.io/Logging_1880/tillsynsmail/A 30725-2023 tillsynsbegäran mail.docx", "A 30725-2023")</f>
        <v/>
      </c>
      <c r="Z53">
        <f>HYPERLINK("https://klasma.github.io/Logging_1880/fåglar/A 30725-2023 prioriterade fågelarter.docx", "A 30725-2023")</f>
        <v/>
      </c>
    </row>
    <row r="54" ht="15" customHeight="1">
      <c r="A54" t="inlineStr">
        <is>
          <t>A 5097-2023</t>
        </is>
      </c>
      <c r="B54" s="1" t="n">
        <v>44958</v>
      </c>
      <c r="C54" s="1" t="n">
        <v>45970</v>
      </c>
      <c r="D54" t="inlineStr">
        <is>
          <t>ÖREBRO LÄN</t>
        </is>
      </c>
      <c r="E54" t="inlineStr">
        <is>
          <t>ÖREBRO</t>
        </is>
      </c>
      <c r="G54" t="n">
        <v>3.6</v>
      </c>
      <c r="H54" t="n">
        <v>1</v>
      </c>
      <c r="I54" t="n">
        <v>0</v>
      </c>
      <c r="J54" t="n">
        <v>0</v>
      </c>
      <c r="K54" t="n">
        <v>0</v>
      </c>
      <c r="L54" t="n">
        <v>0</v>
      </c>
      <c r="M54" t="n">
        <v>0</v>
      </c>
      <c r="N54" t="n">
        <v>0</v>
      </c>
      <c r="O54" t="n">
        <v>0</v>
      </c>
      <c r="P54" t="n">
        <v>0</v>
      </c>
      <c r="Q54" t="n">
        <v>1</v>
      </c>
      <c r="R54" s="2" t="inlineStr">
        <is>
          <t>Grönvit nattviol</t>
        </is>
      </c>
      <c r="S54">
        <f>HYPERLINK("https://klasma.github.io/Logging_1880/artfynd/A 5097-2023 artfynd.xlsx", "A 5097-2023")</f>
        <v/>
      </c>
      <c r="T54">
        <f>HYPERLINK("https://klasma.github.io/Logging_1880/kartor/A 5097-2023 karta.png", "A 5097-2023")</f>
        <v/>
      </c>
      <c r="V54">
        <f>HYPERLINK("https://klasma.github.io/Logging_1880/klagomål/A 5097-2023 FSC-klagomål.docx", "A 5097-2023")</f>
        <v/>
      </c>
      <c r="W54">
        <f>HYPERLINK("https://klasma.github.io/Logging_1880/klagomålsmail/A 5097-2023 FSC-klagomål mail.docx", "A 5097-2023")</f>
        <v/>
      </c>
      <c r="X54">
        <f>HYPERLINK("https://klasma.github.io/Logging_1880/tillsyn/A 5097-2023 tillsynsbegäran.docx", "A 5097-2023")</f>
        <v/>
      </c>
      <c r="Y54">
        <f>HYPERLINK("https://klasma.github.io/Logging_1880/tillsynsmail/A 5097-2023 tillsynsbegäran mail.docx", "A 5097-2023")</f>
        <v/>
      </c>
    </row>
    <row r="55" ht="15" customHeight="1">
      <c r="A55" t="inlineStr">
        <is>
          <t>A 20247-2023</t>
        </is>
      </c>
      <c r="B55" s="1" t="n">
        <v>45055</v>
      </c>
      <c r="C55" s="1" t="n">
        <v>45970</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42636-2023</t>
        </is>
      </c>
      <c r="B56" s="1" t="n">
        <v>45181.49559027778</v>
      </c>
      <c r="C56" s="1" t="n">
        <v>45970</v>
      </c>
      <c r="D56" t="inlineStr">
        <is>
          <t>ÖREBRO LÄN</t>
        </is>
      </c>
      <c r="E56" t="inlineStr">
        <is>
          <t>ÖREBRO</t>
        </is>
      </c>
      <c r="G56" t="n">
        <v>1.7</v>
      </c>
      <c r="H56" t="n">
        <v>0</v>
      </c>
      <c r="I56" t="n">
        <v>0</v>
      </c>
      <c r="J56" t="n">
        <v>1</v>
      </c>
      <c r="K56" t="n">
        <v>0</v>
      </c>
      <c r="L56" t="n">
        <v>0</v>
      </c>
      <c r="M56" t="n">
        <v>0</v>
      </c>
      <c r="N56" t="n">
        <v>0</v>
      </c>
      <c r="O56" t="n">
        <v>1</v>
      </c>
      <c r="P56" t="n">
        <v>0</v>
      </c>
      <c r="Q56" t="n">
        <v>1</v>
      </c>
      <c r="R56" s="2" t="inlineStr">
        <is>
          <t>Igelkott</t>
        </is>
      </c>
      <c r="S56">
        <f>HYPERLINK("https://klasma.github.io/Logging_1880/artfynd/A 42636-2023 artfynd.xlsx", "A 42636-2023")</f>
        <v/>
      </c>
      <c r="T56">
        <f>HYPERLINK("https://klasma.github.io/Logging_1880/kartor/A 42636-2023 karta.png", "A 42636-2023")</f>
        <v/>
      </c>
      <c r="V56">
        <f>HYPERLINK("https://klasma.github.io/Logging_1880/klagomål/A 42636-2023 FSC-klagomål.docx", "A 42636-2023")</f>
        <v/>
      </c>
      <c r="W56">
        <f>HYPERLINK("https://klasma.github.io/Logging_1880/klagomålsmail/A 42636-2023 FSC-klagomål mail.docx", "A 42636-2023")</f>
        <v/>
      </c>
      <c r="X56">
        <f>HYPERLINK("https://klasma.github.io/Logging_1880/tillsyn/A 42636-2023 tillsynsbegäran.docx", "A 42636-2023")</f>
        <v/>
      </c>
      <c r="Y56">
        <f>HYPERLINK("https://klasma.github.io/Logging_1880/tillsynsmail/A 42636-2023 tillsynsbegäran mail.docx", "A 42636-2023")</f>
        <v/>
      </c>
    </row>
    <row r="57" ht="15" customHeight="1">
      <c r="A57" t="inlineStr">
        <is>
          <t>A 55904-2024</t>
        </is>
      </c>
      <c r="B57" s="1" t="n">
        <v>45623.58190972222</v>
      </c>
      <c r="C57" s="1" t="n">
        <v>45970</v>
      </c>
      <c r="D57" t="inlineStr">
        <is>
          <t>ÖREBRO LÄN</t>
        </is>
      </c>
      <c r="E57" t="inlineStr">
        <is>
          <t>ÖREBRO</t>
        </is>
      </c>
      <c r="G57" t="n">
        <v>1.2</v>
      </c>
      <c r="H57" t="n">
        <v>1</v>
      </c>
      <c r="I57" t="n">
        <v>0</v>
      </c>
      <c r="J57" t="n">
        <v>0</v>
      </c>
      <c r="K57" t="n">
        <v>0</v>
      </c>
      <c r="L57" t="n">
        <v>0</v>
      </c>
      <c r="M57" t="n">
        <v>0</v>
      </c>
      <c r="N57" t="n">
        <v>0</v>
      </c>
      <c r="O57" t="n">
        <v>0</v>
      </c>
      <c r="P57" t="n">
        <v>0</v>
      </c>
      <c r="Q57" t="n">
        <v>1</v>
      </c>
      <c r="R57" s="2" t="inlineStr">
        <is>
          <t>Trana</t>
        </is>
      </c>
      <c r="S57">
        <f>HYPERLINK("https://klasma.github.io/Logging_1880/artfynd/A 55904-2024 artfynd.xlsx", "A 55904-2024")</f>
        <v/>
      </c>
      <c r="T57">
        <f>HYPERLINK("https://klasma.github.io/Logging_1880/kartor/A 55904-2024 karta.png", "A 55904-2024")</f>
        <v/>
      </c>
      <c r="V57">
        <f>HYPERLINK("https://klasma.github.io/Logging_1880/klagomål/A 55904-2024 FSC-klagomål.docx", "A 55904-2024")</f>
        <v/>
      </c>
      <c r="W57">
        <f>HYPERLINK("https://klasma.github.io/Logging_1880/klagomålsmail/A 55904-2024 FSC-klagomål mail.docx", "A 55904-2024")</f>
        <v/>
      </c>
      <c r="X57">
        <f>HYPERLINK("https://klasma.github.io/Logging_1880/tillsyn/A 55904-2024 tillsynsbegäran.docx", "A 55904-2024")</f>
        <v/>
      </c>
      <c r="Y57">
        <f>HYPERLINK("https://klasma.github.io/Logging_1880/tillsynsmail/A 55904-2024 tillsynsbegäran mail.docx", "A 55904-2024")</f>
        <v/>
      </c>
      <c r="Z57">
        <f>HYPERLINK("https://klasma.github.io/Logging_1880/fåglar/A 55904-2024 prioriterade fågelarter.docx", "A 55904-2024")</f>
        <v/>
      </c>
    </row>
    <row r="58" ht="15" customHeight="1">
      <c r="A58" t="inlineStr">
        <is>
          <t>A 15621-2021</t>
        </is>
      </c>
      <c r="B58" s="1" t="n">
        <v>44285</v>
      </c>
      <c r="C58" s="1" t="n">
        <v>45970</v>
      </c>
      <c r="D58" t="inlineStr">
        <is>
          <t>ÖREBRO LÄN</t>
        </is>
      </c>
      <c r="E58" t="inlineStr">
        <is>
          <t>ÖREBRO</t>
        </is>
      </c>
      <c r="G58" t="n">
        <v>2.8</v>
      </c>
      <c r="H58" t="n">
        <v>1</v>
      </c>
      <c r="I58" t="n">
        <v>0</v>
      </c>
      <c r="J58" t="n">
        <v>0</v>
      </c>
      <c r="K58" t="n">
        <v>0</v>
      </c>
      <c r="L58" t="n">
        <v>0</v>
      </c>
      <c r="M58" t="n">
        <v>0</v>
      </c>
      <c r="N58" t="n">
        <v>0</v>
      </c>
      <c r="O58" t="n">
        <v>0</v>
      </c>
      <c r="P58" t="n">
        <v>0</v>
      </c>
      <c r="Q58" t="n">
        <v>1</v>
      </c>
      <c r="R58" s="2" t="inlineStr">
        <is>
          <t>Fläcknycklar</t>
        </is>
      </c>
      <c r="S58">
        <f>HYPERLINK("https://klasma.github.io/Logging_1880/artfynd/A 15621-2021 artfynd.xlsx", "A 15621-2021")</f>
        <v/>
      </c>
      <c r="T58">
        <f>HYPERLINK("https://klasma.github.io/Logging_1880/kartor/A 15621-2021 karta.png", "A 15621-2021")</f>
        <v/>
      </c>
      <c r="V58">
        <f>HYPERLINK("https://klasma.github.io/Logging_1880/klagomål/A 15621-2021 FSC-klagomål.docx", "A 15621-2021")</f>
        <v/>
      </c>
      <c r="W58">
        <f>HYPERLINK("https://klasma.github.io/Logging_1880/klagomålsmail/A 15621-2021 FSC-klagomål mail.docx", "A 15621-2021")</f>
        <v/>
      </c>
      <c r="X58">
        <f>HYPERLINK("https://klasma.github.io/Logging_1880/tillsyn/A 15621-2021 tillsynsbegäran.docx", "A 15621-2021")</f>
        <v/>
      </c>
      <c r="Y58">
        <f>HYPERLINK("https://klasma.github.io/Logging_1880/tillsynsmail/A 15621-2021 tillsynsbegäran mail.docx", "A 15621-2021")</f>
        <v/>
      </c>
    </row>
    <row r="59" ht="15" customHeight="1">
      <c r="A59" t="inlineStr">
        <is>
          <t>A 50499-2025</t>
        </is>
      </c>
      <c r="B59" s="1" t="n">
        <v>45945.41712962963</v>
      </c>
      <c r="C59" s="1" t="n">
        <v>45970</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28936-2025</t>
        </is>
      </c>
      <c r="B60" s="1" t="n">
        <v>45820.69287037037</v>
      </c>
      <c r="C60" s="1" t="n">
        <v>45970</v>
      </c>
      <c r="D60" t="inlineStr">
        <is>
          <t>ÖREBRO LÄN</t>
        </is>
      </c>
      <c r="E60" t="inlineStr">
        <is>
          <t>ÖREBRO</t>
        </is>
      </c>
      <c r="G60" t="n">
        <v>0.9</v>
      </c>
      <c r="H60" t="n">
        <v>1</v>
      </c>
      <c r="I60" t="n">
        <v>0</v>
      </c>
      <c r="J60" t="n">
        <v>0</v>
      </c>
      <c r="K60" t="n">
        <v>0</v>
      </c>
      <c r="L60" t="n">
        <v>0</v>
      </c>
      <c r="M60" t="n">
        <v>0</v>
      </c>
      <c r="N60" t="n">
        <v>0</v>
      </c>
      <c r="O60" t="n">
        <v>0</v>
      </c>
      <c r="P60" t="n">
        <v>0</v>
      </c>
      <c r="Q60" t="n">
        <v>1</v>
      </c>
      <c r="R60" s="2" t="inlineStr">
        <is>
          <t>Kungsfågel</t>
        </is>
      </c>
      <c r="S60">
        <f>HYPERLINK("https://klasma.github.io/Logging_1880/artfynd/A 28936-2025 artfynd.xlsx", "A 28936-2025")</f>
        <v/>
      </c>
      <c r="T60">
        <f>HYPERLINK("https://klasma.github.io/Logging_1880/kartor/A 28936-2025 karta.png", "A 28936-2025")</f>
        <v/>
      </c>
      <c r="V60">
        <f>HYPERLINK("https://klasma.github.io/Logging_1880/klagomål/A 28936-2025 FSC-klagomål.docx", "A 28936-2025")</f>
        <v/>
      </c>
      <c r="W60">
        <f>HYPERLINK("https://klasma.github.io/Logging_1880/klagomålsmail/A 28936-2025 FSC-klagomål mail.docx", "A 28936-2025")</f>
        <v/>
      </c>
      <c r="X60">
        <f>HYPERLINK("https://klasma.github.io/Logging_1880/tillsyn/A 28936-2025 tillsynsbegäran.docx", "A 28936-2025")</f>
        <v/>
      </c>
      <c r="Y60">
        <f>HYPERLINK("https://klasma.github.io/Logging_1880/tillsynsmail/A 28936-2025 tillsynsbegäran mail.docx", "A 28936-2025")</f>
        <v/>
      </c>
      <c r="Z60">
        <f>HYPERLINK("https://klasma.github.io/Logging_1880/fåglar/A 28936-2025 prioriterade fågelarter.docx", "A 28936-2025")</f>
        <v/>
      </c>
    </row>
    <row r="61" ht="15" customHeight="1">
      <c r="A61" t="inlineStr">
        <is>
          <t>A 26890-2022</t>
        </is>
      </c>
      <c r="B61" s="1" t="n">
        <v>44740</v>
      </c>
      <c r="C61" s="1" t="n">
        <v>45970</v>
      </c>
      <c r="D61" t="inlineStr">
        <is>
          <t>ÖREBRO LÄN</t>
        </is>
      </c>
      <c r="E61" t="inlineStr">
        <is>
          <t>ÖREBRO</t>
        </is>
      </c>
      <c r="G61" t="n">
        <v>4.2</v>
      </c>
      <c r="H61" t="n">
        <v>1</v>
      </c>
      <c r="I61" t="n">
        <v>0</v>
      </c>
      <c r="J61" t="n">
        <v>0</v>
      </c>
      <c r="K61" t="n">
        <v>1</v>
      </c>
      <c r="L61" t="n">
        <v>0</v>
      </c>
      <c r="M61" t="n">
        <v>0</v>
      </c>
      <c r="N61" t="n">
        <v>0</v>
      </c>
      <c r="O61" t="n">
        <v>1</v>
      </c>
      <c r="P61" t="n">
        <v>1</v>
      </c>
      <c r="Q61" t="n">
        <v>1</v>
      </c>
      <c r="R61" s="2" t="inlineStr">
        <is>
          <t>Hällebräcka</t>
        </is>
      </c>
      <c r="S61">
        <f>HYPERLINK("https://klasma.github.io/Logging_1880/artfynd/A 26890-2022 artfynd.xlsx", "A 26890-2022")</f>
        <v/>
      </c>
      <c r="T61">
        <f>HYPERLINK("https://klasma.github.io/Logging_1880/kartor/A 26890-2022 karta.png", "A 26890-2022")</f>
        <v/>
      </c>
      <c r="V61">
        <f>HYPERLINK("https://klasma.github.io/Logging_1880/klagomål/A 26890-2022 FSC-klagomål.docx", "A 26890-2022")</f>
        <v/>
      </c>
      <c r="W61">
        <f>HYPERLINK("https://klasma.github.io/Logging_1880/klagomålsmail/A 26890-2022 FSC-klagomål mail.docx", "A 26890-2022")</f>
        <v/>
      </c>
      <c r="X61">
        <f>HYPERLINK("https://klasma.github.io/Logging_1880/tillsyn/A 26890-2022 tillsynsbegäran.docx", "A 26890-2022")</f>
        <v/>
      </c>
      <c r="Y61">
        <f>HYPERLINK("https://klasma.github.io/Logging_1880/tillsynsmail/A 26890-2022 tillsynsbegäran mail.docx", "A 26890-2022")</f>
        <v/>
      </c>
    </row>
    <row r="62" ht="15" customHeight="1">
      <c r="A62" t="inlineStr">
        <is>
          <t>A 32226-2025</t>
        </is>
      </c>
      <c r="B62" s="1" t="n">
        <v>45835.59478009259</v>
      </c>
      <c r="C62" s="1" t="n">
        <v>45970</v>
      </c>
      <c r="D62" t="inlineStr">
        <is>
          <t>ÖREBRO LÄN</t>
        </is>
      </c>
      <c r="E62" t="inlineStr">
        <is>
          <t>ÖREBRO</t>
        </is>
      </c>
      <c r="G62" t="n">
        <v>1.2</v>
      </c>
      <c r="H62" t="n">
        <v>0</v>
      </c>
      <c r="I62" t="n">
        <v>0</v>
      </c>
      <c r="J62" t="n">
        <v>1</v>
      </c>
      <c r="K62" t="n">
        <v>0</v>
      </c>
      <c r="L62" t="n">
        <v>0</v>
      </c>
      <c r="M62" t="n">
        <v>0</v>
      </c>
      <c r="N62" t="n">
        <v>0</v>
      </c>
      <c r="O62" t="n">
        <v>1</v>
      </c>
      <c r="P62" t="n">
        <v>0</v>
      </c>
      <c r="Q62" t="n">
        <v>1</v>
      </c>
      <c r="R62" s="2" t="inlineStr">
        <is>
          <t>Dofttaggsvamp</t>
        </is>
      </c>
      <c r="S62">
        <f>HYPERLINK("https://klasma.github.io/Logging_1880/artfynd/A 32226-2025 artfynd.xlsx", "A 32226-2025")</f>
        <v/>
      </c>
      <c r="T62">
        <f>HYPERLINK("https://klasma.github.io/Logging_1880/kartor/A 32226-2025 karta.png", "A 32226-2025")</f>
        <v/>
      </c>
      <c r="V62">
        <f>HYPERLINK("https://klasma.github.io/Logging_1880/klagomål/A 32226-2025 FSC-klagomål.docx", "A 32226-2025")</f>
        <v/>
      </c>
      <c r="W62">
        <f>HYPERLINK("https://klasma.github.io/Logging_1880/klagomålsmail/A 32226-2025 FSC-klagomål mail.docx", "A 32226-2025")</f>
        <v/>
      </c>
      <c r="X62">
        <f>HYPERLINK("https://klasma.github.io/Logging_1880/tillsyn/A 32226-2025 tillsynsbegäran.docx", "A 32226-2025")</f>
        <v/>
      </c>
      <c r="Y62">
        <f>HYPERLINK("https://klasma.github.io/Logging_1880/tillsynsmail/A 32226-2025 tillsynsbegäran mail.docx", "A 32226-2025")</f>
        <v/>
      </c>
    </row>
    <row r="63" ht="15" customHeight="1">
      <c r="A63" t="inlineStr">
        <is>
          <t>A 32204-2025</t>
        </is>
      </c>
      <c r="B63" s="1" t="n">
        <v>45835.58074074074</v>
      </c>
      <c r="C63" s="1" t="n">
        <v>45970</v>
      </c>
      <c r="D63" t="inlineStr">
        <is>
          <t>ÖREBRO LÄN</t>
        </is>
      </c>
      <c r="E63" t="inlineStr">
        <is>
          <t>ÖREBRO</t>
        </is>
      </c>
      <c r="G63" t="n">
        <v>3.4</v>
      </c>
      <c r="H63" t="n">
        <v>1</v>
      </c>
      <c r="I63" t="n">
        <v>0</v>
      </c>
      <c r="J63" t="n">
        <v>0</v>
      </c>
      <c r="K63" t="n">
        <v>0</v>
      </c>
      <c r="L63" t="n">
        <v>0</v>
      </c>
      <c r="M63" t="n">
        <v>0</v>
      </c>
      <c r="N63" t="n">
        <v>0</v>
      </c>
      <c r="O63" t="n">
        <v>0</v>
      </c>
      <c r="P63" t="n">
        <v>0</v>
      </c>
      <c r="Q63" t="n">
        <v>1</v>
      </c>
      <c r="R63" s="2" t="inlineStr">
        <is>
          <t>Tjäder</t>
        </is>
      </c>
      <c r="S63">
        <f>HYPERLINK("https://klasma.github.io/Logging_1880/artfynd/A 32204-2025 artfynd.xlsx", "A 32204-2025")</f>
        <v/>
      </c>
      <c r="T63">
        <f>HYPERLINK("https://klasma.github.io/Logging_1880/kartor/A 32204-2025 karta.png", "A 32204-2025")</f>
        <v/>
      </c>
      <c r="V63">
        <f>HYPERLINK("https://klasma.github.io/Logging_1880/klagomål/A 32204-2025 FSC-klagomål.docx", "A 32204-2025")</f>
        <v/>
      </c>
      <c r="W63">
        <f>HYPERLINK("https://klasma.github.io/Logging_1880/klagomålsmail/A 32204-2025 FSC-klagomål mail.docx", "A 32204-2025")</f>
        <v/>
      </c>
      <c r="X63">
        <f>HYPERLINK("https://klasma.github.io/Logging_1880/tillsyn/A 32204-2025 tillsynsbegäran.docx", "A 32204-2025")</f>
        <v/>
      </c>
      <c r="Y63">
        <f>HYPERLINK("https://klasma.github.io/Logging_1880/tillsynsmail/A 32204-2025 tillsynsbegäran mail.docx", "A 32204-2025")</f>
        <v/>
      </c>
      <c r="Z63">
        <f>HYPERLINK("https://klasma.github.io/Logging_1880/fåglar/A 32204-2025 prioriterade fågelarter.docx", "A 32204-2025")</f>
        <v/>
      </c>
    </row>
    <row r="64" ht="15" customHeight="1">
      <c r="A64" t="inlineStr">
        <is>
          <t>A 57920-2024</t>
        </is>
      </c>
      <c r="B64" s="1" t="n">
        <v>45631.50894675926</v>
      </c>
      <c r="C64" s="1" t="n">
        <v>45970</v>
      </c>
      <c r="D64" t="inlineStr">
        <is>
          <t>ÖREBRO LÄN</t>
        </is>
      </c>
      <c r="E64" t="inlineStr">
        <is>
          <t>ÖREBRO</t>
        </is>
      </c>
      <c r="G64" t="n">
        <v>2.3</v>
      </c>
      <c r="H64" t="n">
        <v>1</v>
      </c>
      <c r="I64" t="n">
        <v>0</v>
      </c>
      <c r="J64" t="n">
        <v>0</v>
      </c>
      <c r="K64" t="n">
        <v>0</v>
      </c>
      <c r="L64" t="n">
        <v>0</v>
      </c>
      <c r="M64" t="n">
        <v>0</v>
      </c>
      <c r="N64" t="n">
        <v>0</v>
      </c>
      <c r="O64" t="n">
        <v>0</v>
      </c>
      <c r="P64" t="n">
        <v>0</v>
      </c>
      <c r="Q64" t="n">
        <v>1</v>
      </c>
      <c r="R64" s="2" t="inlineStr">
        <is>
          <t>Kungsfågel</t>
        </is>
      </c>
      <c r="S64">
        <f>HYPERLINK("https://klasma.github.io/Logging_1880/artfynd/A 57920-2024 artfynd.xlsx", "A 57920-2024")</f>
        <v/>
      </c>
      <c r="T64">
        <f>HYPERLINK("https://klasma.github.io/Logging_1880/kartor/A 57920-2024 karta.png", "A 57920-2024")</f>
        <v/>
      </c>
      <c r="V64">
        <f>HYPERLINK("https://klasma.github.io/Logging_1880/klagomål/A 57920-2024 FSC-klagomål.docx", "A 57920-2024")</f>
        <v/>
      </c>
      <c r="W64">
        <f>HYPERLINK("https://klasma.github.io/Logging_1880/klagomålsmail/A 57920-2024 FSC-klagomål mail.docx", "A 57920-2024")</f>
        <v/>
      </c>
      <c r="X64">
        <f>HYPERLINK("https://klasma.github.io/Logging_1880/tillsyn/A 57920-2024 tillsynsbegäran.docx", "A 57920-2024")</f>
        <v/>
      </c>
      <c r="Y64">
        <f>HYPERLINK("https://klasma.github.io/Logging_1880/tillsynsmail/A 57920-2024 tillsynsbegäran mail.docx", "A 57920-2024")</f>
        <v/>
      </c>
      <c r="Z64">
        <f>HYPERLINK("https://klasma.github.io/Logging_1880/fåglar/A 57920-2024 prioriterade fågelarter.docx", "A 57920-2024")</f>
        <v/>
      </c>
    </row>
    <row r="65" ht="15" customHeight="1">
      <c r="A65" t="inlineStr">
        <is>
          <t>A 9406-2021</t>
        </is>
      </c>
      <c r="B65" s="1" t="n">
        <v>44251</v>
      </c>
      <c r="C65" s="1" t="n">
        <v>45970</v>
      </c>
      <c r="D65" t="inlineStr">
        <is>
          <t>ÖREBRO LÄN</t>
        </is>
      </c>
      <c r="E65" t="inlineStr">
        <is>
          <t>ÖREBRO</t>
        </is>
      </c>
      <c r="G65" t="n">
        <v>6.1</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45970</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45970</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45970</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45970</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45970</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45970</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3081-2021</t>
        </is>
      </c>
      <c r="B72" s="1" t="n">
        <v>44216</v>
      </c>
      <c r="C72" s="1" t="n">
        <v>45970</v>
      </c>
      <c r="D72" t="inlineStr">
        <is>
          <t>ÖREBRO LÄN</t>
        </is>
      </c>
      <c r="E72" t="inlineStr">
        <is>
          <t>ÖREBRO</t>
        </is>
      </c>
      <c r="G72" t="n">
        <v>4.2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45970</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45970</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45970</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45970</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45970</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61965-2020</t>
        </is>
      </c>
      <c r="B78" s="1" t="n">
        <v>44155</v>
      </c>
      <c r="C78" s="1" t="n">
        <v>45970</v>
      </c>
      <c r="D78" t="inlineStr">
        <is>
          <t>ÖREBRO LÄN</t>
        </is>
      </c>
      <c r="E78" t="inlineStr">
        <is>
          <t>ÖREBRO</t>
        </is>
      </c>
      <c r="G78" t="n">
        <v>1.7</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45970</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45970</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45970</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45970</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45970</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45970</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45970</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45970</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45970</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45970</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45970</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45970</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45970</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45970</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45970</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45970</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45970</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3078-2021</t>
        </is>
      </c>
      <c r="B96" s="1" t="n">
        <v>44216</v>
      </c>
      <c r="C96" s="1" t="n">
        <v>45970</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3085-2021</t>
        </is>
      </c>
      <c r="B97" s="1" t="n">
        <v>44216</v>
      </c>
      <c r="C97" s="1" t="n">
        <v>45970</v>
      </c>
      <c r="D97" t="inlineStr">
        <is>
          <t>ÖREBRO LÄN</t>
        </is>
      </c>
      <c r="E97" t="inlineStr">
        <is>
          <t>ÖREBRO</t>
        </is>
      </c>
      <c r="G97" t="n">
        <v>2.9</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45970</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45970</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45970</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45970</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45970</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45970</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45970</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45970</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45970</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45970</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45970</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45970</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45970</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45970</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58633-2020</t>
        </is>
      </c>
      <c r="B112" s="1" t="n">
        <v>44145</v>
      </c>
      <c r="C112" s="1" t="n">
        <v>45970</v>
      </c>
      <c r="D112" t="inlineStr">
        <is>
          <t>ÖREBRO LÄN</t>
        </is>
      </c>
      <c r="E112" t="inlineStr">
        <is>
          <t>ÖREBRO</t>
        </is>
      </c>
      <c r="G112" t="n">
        <v>1.4</v>
      </c>
      <c r="H112" t="n">
        <v>0</v>
      </c>
      <c r="I112" t="n">
        <v>0</v>
      </c>
      <c r="J112" t="n">
        <v>0</v>
      </c>
      <c r="K112" t="n">
        <v>0</v>
      </c>
      <c r="L112" t="n">
        <v>0</v>
      </c>
      <c r="M112" t="n">
        <v>0</v>
      </c>
      <c r="N112" t="n">
        <v>0</v>
      </c>
      <c r="O112" t="n">
        <v>0</v>
      </c>
      <c r="P112" t="n">
        <v>0</v>
      </c>
      <c r="Q112" t="n">
        <v>0</v>
      </c>
      <c r="R112" s="2" t="inlineStr"/>
    </row>
    <row r="113" ht="15" customHeight="1">
      <c r="A113" t="inlineStr">
        <is>
          <t>A 64523-2021</t>
        </is>
      </c>
      <c r="B113" s="1" t="n">
        <v>44511</v>
      </c>
      <c r="C113" s="1" t="n">
        <v>45970</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60150-2020</t>
        </is>
      </c>
      <c r="B114" s="1" t="n">
        <v>44152</v>
      </c>
      <c r="C114" s="1" t="n">
        <v>45970</v>
      </c>
      <c r="D114" t="inlineStr">
        <is>
          <t>ÖREBRO LÄN</t>
        </is>
      </c>
      <c r="E114" t="inlineStr">
        <is>
          <t>ÖREBRO</t>
        </is>
      </c>
      <c r="G114" t="n">
        <v>1.6</v>
      </c>
      <c r="H114" t="n">
        <v>0</v>
      </c>
      <c r="I114" t="n">
        <v>0</v>
      </c>
      <c r="J114" t="n">
        <v>0</v>
      </c>
      <c r="K114" t="n">
        <v>0</v>
      </c>
      <c r="L114" t="n">
        <v>0</v>
      </c>
      <c r="M114" t="n">
        <v>0</v>
      </c>
      <c r="N114" t="n">
        <v>0</v>
      </c>
      <c r="O114" t="n">
        <v>0</v>
      </c>
      <c r="P114" t="n">
        <v>0</v>
      </c>
      <c r="Q114" t="n">
        <v>0</v>
      </c>
      <c r="R114" s="2" t="inlineStr"/>
    </row>
    <row r="115" ht="15" customHeight="1">
      <c r="A115" t="inlineStr">
        <is>
          <t>A 10019-2022</t>
        </is>
      </c>
      <c r="B115" s="1" t="n">
        <v>44621</v>
      </c>
      <c r="C115" s="1" t="n">
        <v>45970</v>
      </c>
      <c r="D115" t="inlineStr">
        <is>
          <t>ÖREBRO LÄN</t>
        </is>
      </c>
      <c r="E115" t="inlineStr">
        <is>
          <t>ÖREBRO</t>
        </is>
      </c>
      <c r="G115" t="n">
        <v>1.1</v>
      </c>
      <c r="H115" t="n">
        <v>0</v>
      </c>
      <c r="I115" t="n">
        <v>0</v>
      </c>
      <c r="J115" t="n">
        <v>0</v>
      </c>
      <c r="K115" t="n">
        <v>0</v>
      </c>
      <c r="L115" t="n">
        <v>0</v>
      </c>
      <c r="M115" t="n">
        <v>0</v>
      </c>
      <c r="N115" t="n">
        <v>0</v>
      </c>
      <c r="O115" t="n">
        <v>0</v>
      </c>
      <c r="P115" t="n">
        <v>0</v>
      </c>
      <c r="Q115" t="n">
        <v>0</v>
      </c>
      <c r="R115" s="2" t="inlineStr"/>
    </row>
    <row r="116" ht="15" customHeight="1">
      <c r="A116" t="inlineStr">
        <is>
          <t>A 44146-2021</t>
        </is>
      </c>
      <c r="B116" s="1" t="n">
        <v>44434</v>
      </c>
      <c r="C116" s="1" t="n">
        <v>45970</v>
      </c>
      <c r="D116" t="inlineStr">
        <is>
          <t>ÖREBRO LÄN</t>
        </is>
      </c>
      <c r="E116" t="inlineStr">
        <is>
          <t>ÖREBRO</t>
        </is>
      </c>
      <c r="G116" t="n">
        <v>1.7</v>
      </c>
      <c r="H116" t="n">
        <v>0</v>
      </c>
      <c r="I116" t="n">
        <v>0</v>
      </c>
      <c r="J116" t="n">
        <v>0</v>
      </c>
      <c r="K116" t="n">
        <v>0</v>
      </c>
      <c r="L116" t="n">
        <v>0</v>
      </c>
      <c r="M116" t="n">
        <v>0</v>
      </c>
      <c r="N116" t="n">
        <v>0</v>
      </c>
      <c r="O116" t="n">
        <v>0</v>
      </c>
      <c r="P116" t="n">
        <v>0</v>
      </c>
      <c r="Q116" t="n">
        <v>0</v>
      </c>
      <c r="R116" s="2" t="inlineStr"/>
    </row>
    <row r="117" ht="15" customHeight="1">
      <c r="A117" t="inlineStr">
        <is>
          <t>A 21567-2022</t>
        </is>
      </c>
      <c r="B117" s="1" t="n">
        <v>44706</v>
      </c>
      <c r="C117" s="1" t="n">
        <v>45970</v>
      </c>
      <c r="D117" t="inlineStr">
        <is>
          <t>ÖREBRO LÄN</t>
        </is>
      </c>
      <c r="E117" t="inlineStr">
        <is>
          <t>ÖREBRO</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58138-2021</t>
        </is>
      </c>
      <c r="B118" s="1" t="n">
        <v>44487</v>
      </c>
      <c r="C118" s="1" t="n">
        <v>45970</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45970</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18047-2022</t>
        </is>
      </c>
      <c r="B120" s="1" t="n">
        <v>44684</v>
      </c>
      <c r="C120" s="1" t="n">
        <v>45970</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16258-2022</t>
        </is>
      </c>
      <c r="B121" s="1" t="n">
        <v>44670</v>
      </c>
      <c r="C121" s="1" t="n">
        <v>45970</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7117-2021</t>
        </is>
      </c>
      <c r="B122" s="1" t="n">
        <v>44238</v>
      </c>
      <c r="C122" s="1" t="n">
        <v>45970</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26509-2021</t>
        </is>
      </c>
      <c r="B123" s="1" t="n">
        <v>44348.45107638889</v>
      </c>
      <c r="C123" s="1" t="n">
        <v>45970</v>
      </c>
      <c r="D123" t="inlineStr">
        <is>
          <t>ÖREBRO LÄN</t>
        </is>
      </c>
      <c r="E123" t="inlineStr">
        <is>
          <t>ÖREBRO</t>
        </is>
      </c>
      <c r="G123" t="n">
        <v>2.5</v>
      </c>
      <c r="H123" t="n">
        <v>0</v>
      </c>
      <c r="I123" t="n">
        <v>0</v>
      </c>
      <c r="J123" t="n">
        <v>0</v>
      </c>
      <c r="K123" t="n">
        <v>0</v>
      </c>
      <c r="L123" t="n">
        <v>0</v>
      </c>
      <c r="M123" t="n">
        <v>0</v>
      </c>
      <c r="N123" t="n">
        <v>0</v>
      </c>
      <c r="O123" t="n">
        <v>0</v>
      </c>
      <c r="P123" t="n">
        <v>0</v>
      </c>
      <c r="Q123" t="n">
        <v>0</v>
      </c>
      <c r="R123" s="2" t="inlineStr"/>
    </row>
    <row r="124" ht="15" customHeight="1">
      <c r="A124" t="inlineStr">
        <is>
          <t>A 4766-2022</t>
        </is>
      </c>
      <c r="B124" s="1" t="n">
        <v>44592</v>
      </c>
      <c r="C124" s="1" t="n">
        <v>45970</v>
      </c>
      <c r="D124" t="inlineStr">
        <is>
          <t>ÖREBRO LÄN</t>
        </is>
      </c>
      <c r="E124" t="inlineStr">
        <is>
          <t>ÖREBRO</t>
        </is>
      </c>
      <c r="G124" t="n">
        <v>2.9</v>
      </c>
      <c r="H124" t="n">
        <v>0</v>
      </c>
      <c r="I124" t="n">
        <v>0</v>
      </c>
      <c r="J124" t="n">
        <v>0</v>
      </c>
      <c r="K124" t="n">
        <v>0</v>
      </c>
      <c r="L124" t="n">
        <v>0</v>
      </c>
      <c r="M124" t="n">
        <v>0</v>
      </c>
      <c r="N124" t="n">
        <v>0</v>
      </c>
      <c r="O124" t="n">
        <v>0</v>
      </c>
      <c r="P124" t="n">
        <v>0</v>
      </c>
      <c r="Q124" t="n">
        <v>0</v>
      </c>
      <c r="R124" s="2" t="inlineStr"/>
    </row>
    <row r="125" ht="15" customHeight="1">
      <c r="A125" t="inlineStr">
        <is>
          <t>A 3087-2021</t>
        </is>
      </c>
      <c r="B125" s="1" t="n">
        <v>44216</v>
      </c>
      <c r="C125" s="1" t="n">
        <v>45970</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32231-2022</t>
        </is>
      </c>
      <c r="B126" s="1" t="n">
        <v>44781</v>
      </c>
      <c r="C126" s="1" t="n">
        <v>45970</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32247-2022</t>
        </is>
      </c>
      <c r="B127" s="1" t="n">
        <v>44781</v>
      </c>
      <c r="C127" s="1" t="n">
        <v>45970</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40312-2021</t>
        </is>
      </c>
      <c r="B128" s="1" t="n">
        <v>44419</v>
      </c>
      <c r="C128" s="1" t="n">
        <v>45970</v>
      </c>
      <c r="D128" t="inlineStr">
        <is>
          <t>ÖREBRO LÄN</t>
        </is>
      </c>
      <c r="E128" t="inlineStr">
        <is>
          <t>ÖREBRO</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57343-2021</t>
        </is>
      </c>
      <c r="B129" s="1" t="n">
        <v>44482</v>
      </c>
      <c r="C129" s="1" t="n">
        <v>45970</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41553-2022</t>
        </is>
      </c>
      <c r="B130" s="1" t="n">
        <v>44827.3940625</v>
      </c>
      <c r="C130" s="1" t="n">
        <v>45970</v>
      </c>
      <c r="D130" t="inlineStr">
        <is>
          <t>ÖREBRO LÄN</t>
        </is>
      </c>
      <c r="E130" t="inlineStr">
        <is>
          <t>ÖREBRO</t>
        </is>
      </c>
      <c r="G130" t="n">
        <v>3.7</v>
      </c>
      <c r="H130" t="n">
        <v>0</v>
      </c>
      <c r="I130" t="n">
        <v>0</v>
      </c>
      <c r="J130" t="n">
        <v>0</v>
      </c>
      <c r="K130" t="n">
        <v>0</v>
      </c>
      <c r="L130" t="n">
        <v>0</v>
      </c>
      <c r="M130" t="n">
        <v>0</v>
      </c>
      <c r="N130" t="n">
        <v>0</v>
      </c>
      <c r="O130" t="n">
        <v>0</v>
      </c>
      <c r="P130" t="n">
        <v>0</v>
      </c>
      <c r="Q130" t="n">
        <v>0</v>
      </c>
      <c r="R130" s="2" t="inlineStr"/>
    </row>
    <row r="131" ht="15" customHeight="1">
      <c r="A131" t="inlineStr">
        <is>
          <t>A 12478-2022</t>
        </is>
      </c>
      <c r="B131" s="1" t="n">
        <v>44638</v>
      </c>
      <c r="C131" s="1" t="n">
        <v>45970</v>
      </c>
      <c r="D131" t="inlineStr">
        <is>
          <t>ÖREBRO LÄN</t>
        </is>
      </c>
      <c r="E131" t="inlineStr">
        <is>
          <t>ÖREBRO</t>
        </is>
      </c>
      <c r="F131" t="inlineStr">
        <is>
          <t>Kyrkan</t>
        </is>
      </c>
      <c r="G131" t="n">
        <v>1.4</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45970</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45970</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60311-2020</t>
        </is>
      </c>
      <c r="B134" s="1" t="n">
        <v>44151</v>
      </c>
      <c r="C134" s="1" t="n">
        <v>45970</v>
      </c>
      <c r="D134" t="inlineStr">
        <is>
          <t>ÖREBRO LÄN</t>
        </is>
      </c>
      <c r="E134" t="inlineStr">
        <is>
          <t>ÖREBRO</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63247-2021</t>
        </is>
      </c>
      <c r="B135" s="1" t="n">
        <v>44505</v>
      </c>
      <c r="C135" s="1" t="n">
        <v>45970</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19458-2022</t>
        </is>
      </c>
      <c r="B136" s="1" t="n">
        <v>44693</v>
      </c>
      <c r="C136" s="1" t="n">
        <v>45970</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45970</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45970</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33814-2021</t>
        </is>
      </c>
      <c r="B139" s="1" t="n">
        <v>44378</v>
      </c>
      <c r="C139" s="1" t="n">
        <v>45970</v>
      </c>
      <c r="D139" t="inlineStr">
        <is>
          <t>ÖREBRO LÄN</t>
        </is>
      </c>
      <c r="E139" t="inlineStr">
        <is>
          <t>ÖREBRO</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45970</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6638-2022</t>
        </is>
      </c>
      <c r="B141" s="1" t="n">
        <v>44601</v>
      </c>
      <c r="C141" s="1" t="n">
        <v>45970</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19978-2025</t>
        </is>
      </c>
      <c r="B142" s="1" t="n">
        <v>45771.7062037037</v>
      </c>
      <c r="C142" s="1" t="n">
        <v>45970</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62651-2020</t>
        </is>
      </c>
      <c r="B143" s="1" t="n">
        <v>44161</v>
      </c>
      <c r="C143" s="1" t="n">
        <v>45970</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69613-2020</t>
        </is>
      </c>
      <c r="B144" s="1" t="n">
        <v>44195</v>
      </c>
      <c r="C144" s="1" t="n">
        <v>45970</v>
      </c>
      <c r="D144" t="inlineStr">
        <is>
          <t>ÖREBRO LÄN</t>
        </is>
      </c>
      <c r="E144" t="inlineStr">
        <is>
          <t>ÖREBRO</t>
        </is>
      </c>
      <c r="G144" t="n">
        <v>4.7</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45970</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30760-2022</t>
        </is>
      </c>
      <c r="B146" s="1" t="n">
        <v>44764.51827546296</v>
      </c>
      <c r="C146" s="1" t="n">
        <v>45970</v>
      </c>
      <c r="D146" t="inlineStr">
        <is>
          <t>ÖREBRO LÄN</t>
        </is>
      </c>
      <c r="E146" t="inlineStr">
        <is>
          <t>ÖREBRO</t>
        </is>
      </c>
      <c r="G146" t="n">
        <v>4</v>
      </c>
      <c r="H146" t="n">
        <v>0</v>
      </c>
      <c r="I146" t="n">
        <v>0</v>
      </c>
      <c r="J146" t="n">
        <v>0</v>
      </c>
      <c r="K146" t="n">
        <v>0</v>
      </c>
      <c r="L146" t="n">
        <v>0</v>
      </c>
      <c r="M146" t="n">
        <v>0</v>
      </c>
      <c r="N146" t="n">
        <v>0</v>
      </c>
      <c r="O146" t="n">
        <v>0</v>
      </c>
      <c r="P146" t="n">
        <v>0</v>
      </c>
      <c r="Q146" t="n">
        <v>0</v>
      </c>
      <c r="R146" s="2" t="inlineStr"/>
    </row>
    <row r="147" ht="15" customHeight="1">
      <c r="A147" t="inlineStr">
        <is>
          <t>A 29490-2022</t>
        </is>
      </c>
      <c r="B147" s="1" t="n">
        <v>44753</v>
      </c>
      <c r="C147" s="1" t="n">
        <v>45970</v>
      </c>
      <c r="D147" t="inlineStr">
        <is>
          <t>ÖREBRO LÄN</t>
        </is>
      </c>
      <c r="E147" t="inlineStr">
        <is>
          <t>ÖREBRO</t>
        </is>
      </c>
      <c r="F147" t="inlineStr">
        <is>
          <t>Kommuner</t>
        </is>
      </c>
      <c r="G147" t="n">
        <v>0.3</v>
      </c>
      <c r="H147" t="n">
        <v>0</v>
      </c>
      <c r="I147" t="n">
        <v>0</v>
      </c>
      <c r="J147" t="n">
        <v>0</v>
      </c>
      <c r="K147" t="n">
        <v>0</v>
      </c>
      <c r="L147" t="n">
        <v>0</v>
      </c>
      <c r="M147" t="n">
        <v>0</v>
      </c>
      <c r="N147" t="n">
        <v>0</v>
      </c>
      <c r="O147" t="n">
        <v>0</v>
      </c>
      <c r="P147" t="n">
        <v>0</v>
      </c>
      <c r="Q147" t="n">
        <v>0</v>
      </c>
      <c r="R147" s="2" t="inlineStr"/>
    </row>
    <row r="148" ht="15" customHeight="1">
      <c r="A148" t="inlineStr">
        <is>
          <t>A 19831-2021</t>
        </is>
      </c>
      <c r="B148" s="1" t="n">
        <v>44313</v>
      </c>
      <c r="C148" s="1" t="n">
        <v>45970</v>
      </c>
      <c r="D148" t="inlineStr">
        <is>
          <t>ÖREBRO LÄN</t>
        </is>
      </c>
      <c r="E148" t="inlineStr">
        <is>
          <t>ÖREBRO</t>
        </is>
      </c>
      <c r="G148" t="n">
        <v>3.2</v>
      </c>
      <c r="H148" t="n">
        <v>0</v>
      </c>
      <c r="I148" t="n">
        <v>0</v>
      </c>
      <c r="J148" t="n">
        <v>0</v>
      </c>
      <c r="K148" t="n">
        <v>0</v>
      </c>
      <c r="L148" t="n">
        <v>0</v>
      </c>
      <c r="M148" t="n">
        <v>0</v>
      </c>
      <c r="N148" t="n">
        <v>0</v>
      </c>
      <c r="O148" t="n">
        <v>0</v>
      </c>
      <c r="P148" t="n">
        <v>0</v>
      </c>
      <c r="Q148" t="n">
        <v>0</v>
      </c>
      <c r="R148" s="2" t="inlineStr"/>
    </row>
    <row r="149" ht="15" customHeight="1">
      <c r="A149" t="inlineStr">
        <is>
          <t>A 9362-2022</t>
        </is>
      </c>
      <c r="B149" s="1" t="n">
        <v>44616.59946759259</v>
      </c>
      <c r="C149" s="1" t="n">
        <v>45970</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37395-2021</t>
        </is>
      </c>
      <c r="B150" s="1" t="n">
        <v>44398</v>
      </c>
      <c r="C150" s="1" t="n">
        <v>45970</v>
      </c>
      <c r="D150" t="inlineStr">
        <is>
          <t>ÖREBRO LÄN</t>
        </is>
      </c>
      <c r="E150" t="inlineStr">
        <is>
          <t>ÖREBRO</t>
        </is>
      </c>
      <c r="G150" t="n">
        <v>3</v>
      </c>
      <c r="H150" t="n">
        <v>0</v>
      </c>
      <c r="I150" t="n">
        <v>0</v>
      </c>
      <c r="J150" t="n">
        <v>0</v>
      </c>
      <c r="K150" t="n">
        <v>0</v>
      </c>
      <c r="L150" t="n">
        <v>0</v>
      </c>
      <c r="M150" t="n">
        <v>0</v>
      </c>
      <c r="N150" t="n">
        <v>0</v>
      </c>
      <c r="O150" t="n">
        <v>0</v>
      </c>
      <c r="P150" t="n">
        <v>0</v>
      </c>
      <c r="Q150" t="n">
        <v>0</v>
      </c>
      <c r="R150" s="2" t="inlineStr"/>
    </row>
    <row r="151" ht="15" customHeight="1">
      <c r="A151" t="inlineStr">
        <is>
          <t>A 6752-2022</t>
        </is>
      </c>
      <c r="B151" s="1" t="n">
        <v>44602.48082175926</v>
      </c>
      <c r="C151" s="1" t="n">
        <v>45970</v>
      </c>
      <c r="D151" t="inlineStr">
        <is>
          <t>ÖREBRO LÄN</t>
        </is>
      </c>
      <c r="E151" t="inlineStr">
        <is>
          <t>ÖREBRO</t>
        </is>
      </c>
      <c r="G151" t="n">
        <v>3.1</v>
      </c>
      <c r="H151" t="n">
        <v>0</v>
      </c>
      <c r="I151" t="n">
        <v>0</v>
      </c>
      <c r="J151" t="n">
        <v>0</v>
      </c>
      <c r="K151" t="n">
        <v>0</v>
      </c>
      <c r="L151" t="n">
        <v>0</v>
      </c>
      <c r="M151" t="n">
        <v>0</v>
      </c>
      <c r="N151" t="n">
        <v>0</v>
      </c>
      <c r="O151" t="n">
        <v>0</v>
      </c>
      <c r="P151" t="n">
        <v>0</v>
      </c>
      <c r="Q151" t="n">
        <v>0</v>
      </c>
      <c r="R151" s="2" t="inlineStr"/>
    </row>
    <row r="152" ht="15" customHeight="1">
      <c r="A152" t="inlineStr">
        <is>
          <t>A 16261-2022</t>
        </is>
      </c>
      <c r="B152" s="1" t="n">
        <v>44670</v>
      </c>
      <c r="C152" s="1" t="n">
        <v>45970</v>
      </c>
      <c r="D152" t="inlineStr">
        <is>
          <t>ÖREBRO LÄN</t>
        </is>
      </c>
      <c r="E152" t="inlineStr">
        <is>
          <t>ÖREBRO</t>
        </is>
      </c>
      <c r="G152" t="n">
        <v>1.2</v>
      </c>
      <c r="H152" t="n">
        <v>0</v>
      </c>
      <c r="I152" t="n">
        <v>0</v>
      </c>
      <c r="J152" t="n">
        <v>0</v>
      </c>
      <c r="K152" t="n">
        <v>0</v>
      </c>
      <c r="L152" t="n">
        <v>0</v>
      </c>
      <c r="M152" t="n">
        <v>0</v>
      </c>
      <c r="N152" t="n">
        <v>0</v>
      </c>
      <c r="O152" t="n">
        <v>0</v>
      </c>
      <c r="P152" t="n">
        <v>0</v>
      </c>
      <c r="Q152" t="n">
        <v>0</v>
      </c>
      <c r="R152" s="2" t="inlineStr"/>
    </row>
    <row r="153" ht="15" customHeight="1">
      <c r="A153" t="inlineStr">
        <is>
          <t>A 44165-2022</t>
        </is>
      </c>
      <c r="B153" s="1" t="n">
        <v>44839</v>
      </c>
      <c r="C153" s="1" t="n">
        <v>45970</v>
      </c>
      <c r="D153" t="inlineStr">
        <is>
          <t>ÖREBRO LÄN</t>
        </is>
      </c>
      <c r="E153" t="inlineStr">
        <is>
          <t>ÖREBRO</t>
        </is>
      </c>
      <c r="G153" t="n">
        <v>0.5</v>
      </c>
      <c r="H153" t="n">
        <v>0</v>
      </c>
      <c r="I153" t="n">
        <v>0</v>
      </c>
      <c r="J153" t="n">
        <v>0</v>
      </c>
      <c r="K153" t="n">
        <v>0</v>
      </c>
      <c r="L153" t="n">
        <v>0</v>
      </c>
      <c r="M153" t="n">
        <v>0</v>
      </c>
      <c r="N153" t="n">
        <v>0</v>
      </c>
      <c r="O153" t="n">
        <v>0</v>
      </c>
      <c r="P153" t="n">
        <v>0</v>
      </c>
      <c r="Q153" t="n">
        <v>0</v>
      </c>
      <c r="R153" s="2" t="inlineStr"/>
    </row>
    <row r="154" ht="15" customHeight="1">
      <c r="A154" t="inlineStr">
        <is>
          <t>A 5357-2024</t>
        </is>
      </c>
      <c r="B154" s="1" t="n">
        <v>45331</v>
      </c>
      <c r="C154" s="1" t="n">
        <v>45970</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15354-2024</t>
        </is>
      </c>
      <c r="B155" s="1" t="n">
        <v>45400.85319444445</v>
      </c>
      <c r="C155" s="1" t="n">
        <v>45970</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66936-2021</t>
        </is>
      </c>
      <c r="B156" s="1" t="n">
        <v>44522.56349537037</v>
      </c>
      <c r="C156" s="1" t="n">
        <v>45970</v>
      </c>
      <c r="D156" t="inlineStr">
        <is>
          <t>ÖREBRO LÄN</t>
        </is>
      </c>
      <c r="E156" t="inlineStr">
        <is>
          <t>ÖREBRO</t>
        </is>
      </c>
      <c r="G156" t="n">
        <v>6.8</v>
      </c>
      <c r="H156" t="n">
        <v>0</v>
      </c>
      <c r="I156" t="n">
        <v>0</v>
      </c>
      <c r="J156" t="n">
        <v>0</v>
      </c>
      <c r="K156" t="n">
        <v>0</v>
      </c>
      <c r="L156" t="n">
        <v>0</v>
      </c>
      <c r="M156" t="n">
        <v>0</v>
      </c>
      <c r="N156" t="n">
        <v>0</v>
      </c>
      <c r="O156" t="n">
        <v>0</v>
      </c>
      <c r="P156" t="n">
        <v>0</v>
      </c>
      <c r="Q156" t="n">
        <v>0</v>
      </c>
      <c r="R156" s="2" t="inlineStr"/>
    </row>
    <row r="157" ht="15" customHeight="1">
      <c r="A157" t="inlineStr">
        <is>
          <t>A 11067-2025</t>
        </is>
      </c>
      <c r="B157" s="1" t="n">
        <v>45723</v>
      </c>
      <c r="C157" s="1" t="n">
        <v>45970</v>
      </c>
      <c r="D157" t="inlineStr">
        <is>
          <t>ÖREBRO LÄN</t>
        </is>
      </c>
      <c r="E157" t="inlineStr">
        <is>
          <t>ÖREBRO</t>
        </is>
      </c>
      <c r="G157" t="n">
        <v>3.1</v>
      </c>
      <c r="H157" t="n">
        <v>0</v>
      </c>
      <c r="I157" t="n">
        <v>0</v>
      </c>
      <c r="J157" t="n">
        <v>0</v>
      </c>
      <c r="K157" t="n">
        <v>0</v>
      </c>
      <c r="L157" t="n">
        <v>0</v>
      </c>
      <c r="M157" t="n">
        <v>0</v>
      </c>
      <c r="N157" t="n">
        <v>0</v>
      </c>
      <c r="O157" t="n">
        <v>0</v>
      </c>
      <c r="P157" t="n">
        <v>0</v>
      </c>
      <c r="Q157" t="n">
        <v>0</v>
      </c>
      <c r="R157" s="2" t="inlineStr"/>
    </row>
    <row r="158" ht="15" customHeight="1">
      <c r="A158" t="inlineStr">
        <is>
          <t>A 44131-2022</t>
        </is>
      </c>
      <c r="B158" s="1" t="n">
        <v>44839</v>
      </c>
      <c r="C158" s="1" t="n">
        <v>45970</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9585-2025</t>
        </is>
      </c>
      <c r="B159" s="1" t="n">
        <v>45715.63409722222</v>
      </c>
      <c r="C159" s="1" t="n">
        <v>45970</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34056-2023</t>
        </is>
      </c>
      <c r="B160" s="1" t="n">
        <v>45135</v>
      </c>
      <c r="C160" s="1" t="n">
        <v>45970</v>
      </c>
      <c r="D160" t="inlineStr">
        <is>
          <t>ÖREBRO LÄN</t>
        </is>
      </c>
      <c r="E160" t="inlineStr">
        <is>
          <t>ÖREBRO</t>
        </is>
      </c>
      <c r="F160" t="inlineStr">
        <is>
          <t>Övriga Aktiebolag</t>
        </is>
      </c>
      <c r="G160" t="n">
        <v>4.1</v>
      </c>
      <c r="H160" t="n">
        <v>0</v>
      </c>
      <c r="I160" t="n">
        <v>0</v>
      </c>
      <c r="J160" t="n">
        <v>0</v>
      </c>
      <c r="K160" t="n">
        <v>0</v>
      </c>
      <c r="L160" t="n">
        <v>0</v>
      </c>
      <c r="M160" t="n">
        <v>0</v>
      </c>
      <c r="N160" t="n">
        <v>0</v>
      </c>
      <c r="O160" t="n">
        <v>0</v>
      </c>
      <c r="P160" t="n">
        <v>0</v>
      </c>
      <c r="Q160" t="n">
        <v>0</v>
      </c>
      <c r="R160" s="2" t="inlineStr"/>
    </row>
    <row r="161" ht="15" customHeight="1">
      <c r="A161" t="inlineStr">
        <is>
          <t>A 33457-2023</t>
        </is>
      </c>
      <c r="B161" s="1" t="n">
        <v>45131</v>
      </c>
      <c r="C161" s="1" t="n">
        <v>45970</v>
      </c>
      <c r="D161" t="inlineStr">
        <is>
          <t>ÖREBRO LÄN</t>
        </is>
      </c>
      <c r="E161" t="inlineStr">
        <is>
          <t>ÖREBRO</t>
        </is>
      </c>
      <c r="G161" t="n">
        <v>0.5</v>
      </c>
      <c r="H161" t="n">
        <v>0</v>
      </c>
      <c r="I161" t="n">
        <v>0</v>
      </c>
      <c r="J161" t="n">
        <v>0</v>
      </c>
      <c r="K161" t="n">
        <v>0</v>
      </c>
      <c r="L161" t="n">
        <v>0</v>
      </c>
      <c r="M161" t="n">
        <v>0</v>
      </c>
      <c r="N161" t="n">
        <v>0</v>
      </c>
      <c r="O161" t="n">
        <v>0</v>
      </c>
      <c r="P161" t="n">
        <v>0</v>
      </c>
      <c r="Q161" t="n">
        <v>0</v>
      </c>
      <c r="R161" s="2" t="inlineStr"/>
    </row>
    <row r="162" ht="15" customHeight="1">
      <c r="A162" t="inlineStr">
        <is>
          <t>A 45237-2023</t>
        </is>
      </c>
      <c r="B162" s="1" t="n">
        <v>45191</v>
      </c>
      <c r="C162" s="1" t="n">
        <v>45970</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6879-2024</t>
        </is>
      </c>
      <c r="B163" s="1" t="n">
        <v>45342.85280092592</v>
      </c>
      <c r="C163" s="1" t="n">
        <v>45970</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681-2024</t>
        </is>
      </c>
      <c r="B164" s="1" t="n">
        <v>45300</v>
      </c>
      <c r="C164" s="1" t="n">
        <v>45970</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5946-2021</t>
        </is>
      </c>
      <c r="B165" s="1" t="n">
        <v>44230</v>
      </c>
      <c r="C165" s="1" t="n">
        <v>45970</v>
      </c>
      <c r="D165" t="inlineStr">
        <is>
          <t>ÖREBRO LÄN</t>
        </is>
      </c>
      <c r="E165" t="inlineStr">
        <is>
          <t>ÖREBRO</t>
        </is>
      </c>
      <c r="G165" t="n">
        <v>1.3</v>
      </c>
      <c r="H165" t="n">
        <v>0</v>
      </c>
      <c r="I165" t="n">
        <v>0</v>
      </c>
      <c r="J165" t="n">
        <v>0</v>
      </c>
      <c r="K165" t="n">
        <v>0</v>
      </c>
      <c r="L165" t="n">
        <v>0</v>
      </c>
      <c r="M165" t="n">
        <v>0</v>
      </c>
      <c r="N165" t="n">
        <v>0</v>
      </c>
      <c r="O165" t="n">
        <v>0</v>
      </c>
      <c r="P165" t="n">
        <v>0</v>
      </c>
      <c r="Q165" t="n">
        <v>0</v>
      </c>
      <c r="R165" s="2" t="inlineStr"/>
    </row>
    <row r="166" ht="15" customHeight="1">
      <c r="A166" t="inlineStr">
        <is>
          <t>A 51180-2023</t>
        </is>
      </c>
      <c r="B166" s="1" t="n">
        <v>45219</v>
      </c>
      <c r="C166" s="1" t="n">
        <v>45970</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18321-2022</t>
        </is>
      </c>
      <c r="B167" s="1" t="n">
        <v>44685</v>
      </c>
      <c r="C167" s="1" t="n">
        <v>45970</v>
      </c>
      <c r="D167" t="inlineStr">
        <is>
          <t>ÖREBRO LÄN</t>
        </is>
      </c>
      <c r="E167" t="inlineStr">
        <is>
          <t>ÖREBRO</t>
        </is>
      </c>
      <c r="G167" t="n">
        <v>2.1</v>
      </c>
      <c r="H167" t="n">
        <v>0</v>
      </c>
      <c r="I167" t="n">
        <v>0</v>
      </c>
      <c r="J167" t="n">
        <v>0</v>
      </c>
      <c r="K167" t="n">
        <v>0</v>
      </c>
      <c r="L167" t="n">
        <v>0</v>
      </c>
      <c r="M167" t="n">
        <v>0</v>
      </c>
      <c r="N167" t="n">
        <v>0</v>
      </c>
      <c r="O167" t="n">
        <v>0</v>
      </c>
      <c r="P167" t="n">
        <v>0</v>
      </c>
      <c r="Q167" t="n">
        <v>0</v>
      </c>
      <c r="R167" s="2" t="inlineStr"/>
    </row>
    <row r="168" ht="15" customHeight="1">
      <c r="A168" t="inlineStr">
        <is>
          <t>A 60028-2024</t>
        </is>
      </c>
      <c r="B168" s="1" t="n">
        <v>45642</v>
      </c>
      <c r="C168" s="1" t="n">
        <v>45970</v>
      </c>
      <c r="D168" t="inlineStr">
        <is>
          <t>ÖREBRO LÄN</t>
        </is>
      </c>
      <c r="E168" t="inlineStr">
        <is>
          <t>ÖREBRO</t>
        </is>
      </c>
      <c r="G168" t="n">
        <v>1.7</v>
      </c>
      <c r="H168" t="n">
        <v>0</v>
      </c>
      <c r="I168" t="n">
        <v>0</v>
      </c>
      <c r="J168" t="n">
        <v>0</v>
      </c>
      <c r="K168" t="n">
        <v>0</v>
      </c>
      <c r="L168" t="n">
        <v>0</v>
      </c>
      <c r="M168" t="n">
        <v>0</v>
      </c>
      <c r="N168" t="n">
        <v>0</v>
      </c>
      <c r="O168" t="n">
        <v>0</v>
      </c>
      <c r="P168" t="n">
        <v>0</v>
      </c>
      <c r="Q168" t="n">
        <v>0</v>
      </c>
      <c r="R168" s="2" t="inlineStr"/>
    </row>
    <row r="169" ht="15" customHeight="1">
      <c r="A169" t="inlineStr">
        <is>
          <t>A 33294-2023</t>
        </is>
      </c>
      <c r="B169" s="1" t="n">
        <v>45127</v>
      </c>
      <c r="C169" s="1" t="n">
        <v>45970</v>
      </c>
      <c r="D169" t="inlineStr">
        <is>
          <t>ÖREBRO LÄN</t>
        </is>
      </c>
      <c r="E169" t="inlineStr">
        <is>
          <t>ÖREBRO</t>
        </is>
      </c>
      <c r="F169" t="inlineStr">
        <is>
          <t>Övriga Aktiebolag</t>
        </is>
      </c>
      <c r="G169" t="n">
        <v>6.7</v>
      </c>
      <c r="H169" t="n">
        <v>0</v>
      </c>
      <c r="I169" t="n">
        <v>0</v>
      </c>
      <c r="J169" t="n">
        <v>0</v>
      </c>
      <c r="K169" t="n">
        <v>0</v>
      </c>
      <c r="L169" t="n">
        <v>0</v>
      </c>
      <c r="M169" t="n">
        <v>0</v>
      </c>
      <c r="N169" t="n">
        <v>0</v>
      </c>
      <c r="O169" t="n">
        <v>0</v>
      </c>
      <c r="P169" t="n">
        <v>0</v>
      </c>
      <c r="Q169" t="n">
        <v>0</v>
      </c>
      <c r="R169" s="2" t="inlineStr"/>
    </row>
    <row r="170" ht="15" customHeight="1">
      <c r="A170" t="inlineStr">
        <is>
          <t>A 61232-2021</t>
        </is>
      </c>
      <c r="B170" s="1" t="n">
        <v>44498</v>
      </c>
      <c r="C170" s="1" t="n">
        <v>45970</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13169-2024</t>
        </is>
      </c>
      <c r="B171" s="1" t="n">
        <v>45386.40489583334</v>
      </c>
      <c r="C171" s="1" t="n">
        <v>45970</v>
      </c>
      <c r="D171" t="inlineStr">
        <is>
          <t>ÖREBRO LÄN</t>
        </is>
      </c>
      <c r="E171" t="inlineStr">
        <is>
          <t>ÖREBRO</t>
        </is>
      </c>
      <c r="G171" t="n">
        <v>4.3</v>
      </c>
      <c r="H171" t="n">
        <v>0</v>
      </c>
      <c r="I171" t="n">
        <v>0</v>
      </c>
      <c r="J171" t="n">
        <v>0</v>
      </c>
      <c r="K171" t="n">
        <v>0</v>
      </c>
      <c r="L171" t="n">
        <v>0</v>
      </c>
      <c r="M171" t="n">
        <v>0</v>
      </c>
      <c r="N171" t="n">
        <v>0</v>
      </c>
      <c r="O171" t="n">
        <v>0</v>
      </c>
      <c r="P171" t="n">
        <v>0</v>
      </c>
      <c r="Q171" t="n">
        <v>0</v>
      </c>
      <c r="R171" s="2" t="inlineStr"/>
    </row>
    <row r="172" ht="15" customHeight="1">
      <c r="A172" t="inlineStr">
        <is>
          <t>A 5026-2022</t>
        </is>
      </c>
      <c r="B172" s="1" t="n">
        <v>44593.63974537037</v>
      </c>
      <c r="C172" s="1" t="n">
        <v>45970</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57498-2021</t>
        </is>
      </c>
      <c r="B173" s="1" t="n">
        <v>44483</v>
      </c>
      <c r="C173" s="1" t="n">
        <v>45970</v>
      </c>
      <c r="D173" t="inlineStr">
        <is>
          <t>ÖREBRO LÄN</t>
        </is>
      </c>
      <c r="E173" t="inlineStr">
        <is>
          <t>ÖREBRO</t>
        </is>
      </c>
      <c r="F173" t="inlineStr">
        <is>
          <t>Övriga Aktiebolag</t>
        </is>
      </c>
      <c r="G173" t="n">
        <v>2.7</v>
      </c>
      <c r="H173" t="n">
        <v>0</v>
      </c>
      <c r="I173" t="n">
        <v>0</v>
      </c>
      <c r="J173" t="n">
        <v>0</v>
      </c>
      <c r="K173" t="n">
        <v>0</v>
      </c>
      <c r="L173" t="n">
        <v>0</v>
      </c>
      <c r="M173" t="n">
        <v>0</v>
      </c>
      <c r="N173" t="n">
        <v>0</v>
      </c>
      <c r="O173" t="n">
        <v>0</v>
      </c>
      <c r="P173" t="n">
        <v>0</v>
      </c>
      <c r="Q173" t="n">
        <v>0</v>
      </c>
      <c r="R173" s="2" t="inlineStr"/>
    </row>
    <row r="174" ht="15" customHeight="1">
      <c r="A174" t="inlineStr">
        <is>
          <t>A 13857-2022</t>
        </is>
      </c>
      <c r="B174" s="1" t="n">
        <v>44649</v>
      </c>
      <c r="C174" s="1" t="n">
        <v>45970</v>
      </c>
      <c r="D174" t="inlineStr">
        <is>
          <t>ÖREBRO LÄN</t>
        </is>
      </c>
      <c r="E174" t="inlineStr">
        <is>
          <t>ÖREBRO</t>
        </is>
      </c>
      <c r="G174" t="n">
        <v>0.6</v>
      </c>
      <c r="H174" t="n">
        <v>0</v>
      </c>
      <c r="I174" t="n">
        <v>0</v>
      </c>
      <c r="J174" t="n">
        <v>0</v>
      </c>
      <c r="K174" t="n">
        <v>0</v>
      </c>
      <c r="L174" t="n">
        <v>0</v>
      </c>
      <c r="M174" t="n">
        <v>0</v>
      </c>
      <c r="N174" t="n">
        <v>0</v>
      </c>
      <c r="O174" t="n">
        <v>0</v>
      </c>
      <c r="P174" t="n">
        <v>0</v>
      </c>
      <c r="Q174" t="n">
        <v>0</v>
      </c>
      <c r="R174" s="2" t="inlineStr"/>
    </row>
    <row r="175" ht="15" customHeight="1">
      <c r="A175" t="inlineStr">
        <is>
          <t>A 51268-2022</t>
        </is>
      </c>
      <c r="B175" s="1" t="n">
        <v>44868</v>
      </c>
      <c r="C175" s="1" t="n">
        <v>45970</v>
      </c>
      <c r="D175" t="inlineStr">
        <is>
          <t>ÖREBRO LÄN</t>
        </is>
      </c>
      <c r="E175" t="inlineStr">
        <is>
          <t>ÖREBRO</t>
        </is>
      </c>
      <c r="G175" t="n">
        <v>3.8</v>
      </c>
      <c r="H175" t="n">
        <v>0</v>
      </c>
      <c r="I175" t="n">
        <v>0</v>
      </c>
      <c r="J175" t="n">
        <v>0</v>
      </c>
      <c r="K175" t="n">
        <v>0</v>
      </c>
      <c r="L175" t="n">
        <v>0</v>
      </c>
      <c r="M175" t="n">
        <v>0</v>
      </c>
      <c r="N175" t="n">
        <v>0</v>
      </c>
      <c r="O175" t="n">
        <v>0</v>
      </c>
      <c r="P175" t="n">
        <v>0</v>
      </c>
      <c r="Q175" t="n">
        <v>0</v>
      </c>
      <c r="R175" s="2" t="inlineStr"/>
    </row>
    <row r="176" ht="15" customHeight="1">
      <c r="A176" t="inlineStr">
        <is>
          <t>A 61078-2024</t>
        </is>
      </c>
      <c r="B176" s="1" t="n">
        <v>45645.51034722223</v>
      </c>
      <c r="C176" s="1" t="n">
        <v>45970</v>
      </c>
      <c r="D176" t="inlineStr">
        <is>
          <t>ÖREBRO LÄN</t>
        </is>
      </c>
      <c r="E176" t="inlineStr">
        <is>
          <t>ÖREBRO</t>
        </is>
      </c>
      <c r="G176" t="n">
        <v>4.1</v>
      </c>
      <c r="H176" t="n">
        <v>0</v>
      </c>
      <c r="I176" t="n">
        <v>0</v>
      </c>
      <c r="J176" t="n">
        <v>0</v>
      </c>
      <c r="K176" t="n">
        <v>0</v>
      </c>
      <c r="L176" t="n">
        <v>0</v>
      </c>
      <c r="M176" t="n">
        <v>0</v>
      </c>
      <c r="N176" t="n">
        <v>0</v>
      </c>
      <c r="O176" t="n">
        <v>0</v>
      </c>
      <c r="P176" t="n">
        <v>0</v>
      </c>
      <c r="Q176" t="n">
        <v>0</v>
      </c>
      <c r="R176" s="2" t="inlineStr"/>
    </row>
    <row r="177" ht="15" customHeight="1">
      <c r="A177" t="inlineStr">
        <is>
          <t>A 5125-2024</t>
        </is>
      </c>
      <c r="B177" s="1" t="n">
        <v>45330</v>
      </c>
      <c r="C177" s="1" t="n">
        <v>45970</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14234-2024</t>
        </is>
      </c>
      <c r="B178" s="1" t="n">
        <v>45393.46980324074</v>
      </c>
      <c r="C178" s="1" t="n">
        <v>45970</v>
      </c>
      <c r="D178" t="inlineStr">
        <is>
          <t>ÖREBRO LÄN</t>
        </is>
      </c>
      <c r="E178" t="inlineStr">
        <is>
          <t>ÖREBRO</t>
        </is>
      </c>
      <c r="G178" t="n">
        <v>1.6</v>
      </c>
      <c r="H178" t="n">
        <v>0</v>
      </c>
      <c r="I178" t="n">
        <v>0</v>
      </c>
      <c r="J178" t="n">
        <v>0</v>
      </c>
      <c r="K178" t="n">
        <v>0</v>
      </c>
      <c r="L178" t="n">
        <v>0</v>
      </c>
      <c r="M178" t="n">
        <v>0</v>
      </c>
      <c r="N178" t="n">
        <v>0</v>
      </c>
      <c r="O178" t="n">
        <v>0</v>
      </c>
      <c r="P178" t="n">
        <v>0</v>
      </c>
      <c r="Q178" t="n">
        <v>0</v>
      </c>
      <c r="R178" s="2" t="inlineStr"/>
    </row>
    <row r="179" ht="15" customHeight="1">
      <c r="A179" t="inlineStr">
        <is>
          <t>A 52256-2023</t>
        </is>
      </c>
      <c r="B179" s="1" t="n">
        <v>45224.51471064815</v>
      </c>
      <c r="C179" s="1" t="n">
        <v>45970</v>
      </c>
      <c r="D179" t="inlineStr">
        <is>
          <t>ÖREBRO LÄN</t>
        </is>
      </c>
      <c r="E179" t="inlineStr">
        <is>
          <t>ÖREBRO</t>
        </is>
      </c>
      <c r="G179" t="n">
        <v>2.8</v>
      </c>
      <c r="H179" t="n">
        <v>0</v>
      </c>
      <c r="I179" t="n">
        <v>0</v>
      </c>
      <c r="J179" t="n">
        <v>0</v>
      </c>
      <c r="K179" t="n">
        <v>0</v>
      </c>
      <c r="L179" t="n">
        <v>0</v>
      </c>
      <c r="M179" t="n">
        <v>0</v>
      </c>
      <c r="N179" t="n">
        <v>0</v>
      </c>
      <c r="O179" t="n">
        <v>0</v>
      </c>
      <c r="P179" t="n">
        <v>0</v>
      </c>
      <c r="Q179" t="n">
        <v>0</v>
      </c>
      <c r="R179" s="2" t="inlineStr"/>
    </row>
    <row r="180" ht="15" customHeight="1">
      <c r="A180" t="inlineStr">
        <is>
          <t>A 12871-2021</t>
        </is>
      </c>
      <c r="B180" s="1" t="n">
        <v>44271.42121527778</v>
      </c>
      <c r="C180" s="1" t="n">
        <v>45970</v>
      </c>
      <c r="D180" t="inlineStr">
        <is>
          <t>ÖREBRO LÄN</t>
        </is>
      </c>
      <c r="E180" t="inlineStr">
        <is>
          <t>ÖREBRO</t>
        </is>
      </c>
      <c r="G180" t="n">
        <v>0.9</v>
      </c>
      <c r="H180" t="n">
        <v>0</v>
      </c>
      <c r="I180" t="n">
        <v>0</v>
      </c>
      <c r="J180" t="n">
        <v>0</v>
      </c>
      <c r="K180" t="n">
        <v>0</v>
      </c>
      <c r="L180" t="n">
        <v>0</v>
      </c>
      <c r="M180" t="n">
        <v>0</v>
      </c>
      <c r="N180" t="n">
        <v>0</v>
      </c>
      <c r="O180" t="n">
        <v>0</v>
      </c>
      <c r="P180" t="n">
        <v>0</v>
      </c>
      <c r="Q180" t="n">
        <v>0</v>
      </c>
      <c r="R180" s="2" t="inlineStr"/>
    </row>
    <row r="181" ht="15" customHeight="1">
      <c r="A181" t="inlineStr">
        <is>
          <t>A 13158-2024</t>
        </is>
      </c>
      <c r="B181" s="1" t="n">
        <v>45386.38728009259</v>
      </c>
      <c r="C181" s="1" t="n">
        <v>45970</v>
      </c>
      <c r="D181" t="inlineStr">
        <is>
          <t>ÖREBRO LÄN</t>
        </is>
      </c>
      <c r="E181" t="inlineStr">
        <is>
          <t>ÖREBRO</t>
        </is>
      </c>
      <c r="G181" t="n">
        <v>1.8</v>
      </c>
      <c r="H181" t="n">
        <v>0</v>
      </c>
      <c r="I181" t="n">
        <v>0</v>
      </c>
      <c r="J181" t="n">
        <v>0</v>
      </c>
      <c r="K181" t="n">
        <v>0</v>
      </c>
      <c r="L181" t="n">
        <v>0</v>
      </c>
      <c r="M181" t="n">
        <v>0</v>
      </c>
      <c r="N181" t="n">
        <v>0</v>
      </c>
      <c r="O181" t="n">
        <v>0</v>
      </c>
      <c r="P181" t="n">
        <v>0</v>
      </c>
      <c r="Q181" t="n">
        <v>0</v>
      </c>
      <c r="R181" s="2" t="inlineStr"/>
    </row>
    <row r="182" ht="15" customHeight="1">
      <c r="A182" t="inlineStr">
        <is>
          <t>A 13181-2023</t>
        </is>
      </c>
      <c r="B182" s="1" t="n">
        <v>45002.60659722222</v>
      </c>
      <c r="C182" s="1" t="n">
        <v>45970</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25996-2024</t>
        </is>
      </c>
      <c r="B183" s="1" t="n">
        <v>45467.89081018518</v>
      </c>
      <c r="C183" s="1" t="n">
        <v>45970</v>
      </c>
      <c r="D183" t="inlineStr">
        <is>
          <t>ÖREBRO LÄN</t>
        </is>
      </c>
      <c r="E183" t="inlineStr">
        <is>
          <t>ÖREBRO</t>
        </is>
      </c>
      <c r="G183" t="n">
        <v>4.7</v>
      </c>
      <c r="H183" t="n">
        <v>0</v>
      </c>
      <c r="I183" t="n">
        <v>0</v>
      </c>
      <c r="J183" t="n">
        <v>0</v>
      </c>
      <c r="K183" t="n">
        <v>0</v>
      </c>
      <c r="L183" t="n">
        <v>0</v>
      </c>
      <c r="M183" t="n">
        <v>0</v>
      </c>
      <c r="N183" t="n">
        <v>0</v>
      </c>
      <c r="O183" t="n">
        <v>0</v>
      </c>
      <c r="P183" t="n">
        <v>0</v>
      </c>
      <c r="Q183" t="n">
        <v>0</v>
      </c>
      <c r="R183" s="2" t="inlineStr"/>
    </row>
    <row r="184" ht="15" customHeight="1">
      <c r="A184" t="inlineStr">
        <is>
          <t>A 16676-2025</t>
        </is>
      </c>
      <c r="B184" s="1" t="n">
        <v>45754.44658564815</v>
      </c>
      <c r="C184" s="1" t="n">
        <v>45970</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54917-2023</t>
        </is>
      </c>
      <c r="B185" s="1" t="n">
        <v>45229</v>
      </c>
      <c r="C185" s="1" t="n">
        <v>45970</v>
      </c>
      <c r="D185" t="inlineStr">
        <is>
          <t>ÖREBRO LÄN</t>
        </is>
      </c>
      <c r="E185" t="inlineStr">
        <is>
          <t>ÖREBRO</t>
        </is>
      </c>
      <c r="G185" t="n">
        <v>3.1</v>
      </c>
      <c r="H185" t="n">
        <v>0</v>
      </c>
      <c r="I185" t="n">
        <v>0</v>
      </c>
      <c r="J185" t="n">
        <v>0</v>
      </c>
      <c r="K185" t="n">
        <v>0</v>
      </c>
      <c r="L185" t="n">
        <v>0</v>
      </c>
      <c r="M185" t="n">
        <v>0</v>
      </c>
      <c r="N185" t="n">
        <v>0</v>
      </c>
      <c r="O185" t="n">
        <v>0</v>
      </c>
      <c r="P185" t="n">
        <v>0</v>
      </c>
      <c r="Q185" t="n">
        <v>0</v>
      </c>
      <c r="R185" s="2" t="inlineStr"/>
    </row>
    <row r="186" ht="15" customHeight="1">
      <c r="A186" t="inlineStr">
        <is>
          <t>A 72329-2021</t>
        </is>
      </c>
      <c r="B186" s="1" t="n">
        <v>44545.46072916667</v>
      </c>
      <c r="C186" s="1" t="n">
        <v>45970</v>
      </c>
      <c r="D186" t="inlineStr">
        <is>
          <t>ÖREBRO LÄN</t>
        </is>
      </c>
      <c r="E186" t="inlineStr">
        <is>
          <t>ÖREBRO</t>
        </is>
      </c>
      <c r="G186" t="n">
        <v>0.5</v>
      </c>
      <c r="H186" t="n">
        <v>0</v>
      </c>
      <c r="I186" t="n">
        <v>0</v>
      </c>
      <c r="J186" t="n">
        <v>0</v>
      </c>
      <c r="K186" t="n">
        <v>0</v>
      </c>
      <c r="L186" t="n">
        <v>0</v>
      </c>
      <c r="M186" t="n">
        <v>0</v>
      </c>
      <c r="N186" t="n">
        <v>0</v>
      </c>
      <c r="O186" t="n">
        <v>0</v>
      </c>
      <c r="P186" t="n">
        <v>0</v>
      </c>
      <c r="Q186" t="n">
        <v>0</v>
      </c>
      <c r="R186" s="2" t="inlineStr"/>
    </row>
    <row r="187" ht="15" customHeight="1">
      <c r="A187" t="inlineStr">
        <is>
          <t>A 43803-2023</t>
        </is>
      </c>
      <c r="B187" s="1" t="n">
        <v>45187</v>
      </c>
      <c r="C187" s="1" t="n">
        <v>45970</v>
      </c>
      <c r="D187" t="inlineStr">
        <is>
          <t>ÖREBRO LÄN</t>
        </is>
      </c>
      <c r="E187" t="inlineStr">
        <is>
          <t>ÖREBRO</t>
        </is>
      </c>
      <c r="G187" t="n">
        <v>1.2</v>
      </c>
      <c r="H187" t="n">
        <v>0</v>
      </c>
      <c r="I187" t="n">
        <v>0</v>
      </c>
      <c r="J187" t="n">
        <v>0</v>
      </c>
      <c r="K187" t="n">
        <v>0</v>
      </c>
      <c r="L187" t="n">
        <v>0</v>
      </c>
      <c r="M187" t="n">
        <v>0</v>
      </c>
      <c r="N187" t="n">
        <v>0</v>
      </c>
      <c r="O187" t="n">
        <v>0</v>
      </c>
      <c r="P187" t="n">
        <v>0</v>
      </c>
      <c r="Q187" t="n">
        <v>0</v>
      </c>
      <c r="R187" s="2" t="inlineStr"/>
    </row>
    <row r="188" ht="15" customHeight="1">
      <c r="A188" t="inlineStr">
        <is>
          <t>A 23741-2022</t>
        </is>
      </c>
      <c r="B188" s="1" t="n">
        <v>44722</v>
      </c>
      <c r="C188" s="1" t="n">
        <v>45970</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8274-2025</t>
        </is>
      </c>
      <c r="B189" s="1" t="n">
        <v>45708</v>
      </c>
      <c r="C189" s="1" t="n">
        <v>45970</v>
      </c>
      <c r="D189" t="inlineStr">
        <is>
          <t>ÖREBRO LÄN</t>
        </is>
      </c>
      <c r="E189" t="inlineStr">
        <is>
          <t>ÖREBRO</t>
        </is>
      </c>
      <c r="G189" t="n">
        <v>5.8</v>
      </c>
      <c r="H189" t="n">
        <v>0</v>
      </c>
      <c r="I189" t="n">
        <v>0</v>
      </c>
      <c r="J189" t="n">
        <v>0</v>
      </c>
      <c r="K189" t="n">
        <v>0</v>
      </c>
      <c r="L189" t="n">
        <v>0</v>
      </c>
      <c r="M189" t="n">
        <v>0</v>
      </c>
      <c r="N189" t="n">
        <v>0</v>
      </c>
      <c r="O189" t="n">
        <v>0</v>
      </c>
      <c r="P189" t="n">
        <v>0</v>
      </c>
      <c r="Q189" t="n">
        <v>0</v>
      </c>
      <c r="R189" s="2" t="inlineStr"/>
    </row>
    <row r="190" ht="15" customHeight="1">
      <c r="A190" t="inlineStr">
        <is>
          <t>A 58620-2024</t>
        </is>
      </c>
      <c r="B190" s="1" t="n">
        <v>45635.56246527778</v>
      </c>
      <c r="C190" s="1" t="n">
        <v>45970</v>
      </c>
      <c r="D190" t="inlineStr">
        <is>
          <t>ÖREBRO LÄN</t>
        </is>
      </c>
      <c r="E190" t="inlineStr">
        <is>
          <t>ÖREBRO</t>
        </is>
      </c>
      <c r="F190" t="inlineStr">
        <is>
          <t>Sveaskog</t>
        </is>
      </c>
      <c r="G190" t="n">
        <v>4.5</v>
      </c>
      <c r="H190" t="n">
        <v>0</v>
      </c>
      <c r="I190" t="n">
        <v>0</v>
      </c>
      <c r="J190" t="n">
        <v>0</v>
      </c>
      <c r="K190" t="n">
        <v>0</v>
      </c>
      <c r="L190" t="n">
        <v>0</v>
      </c>
      <c r="M190" t="n">
        <v>0</v>
      </c>
      <c r="N190" t="n">
        <v>0</v>
      </c>
      <c r="O190" t="n">
        <v>0</v>
      </c>
      <c r="P190" t="n">
        <v>0</v>
      </c>
      <c r="Q190" t="n">
        <v>0</v>
      </c>
      <c r="R190" s="2" t="inlineStr"/>
    </row>
    <row r="191" ht="15" customHeight="1">
      <c r="A191" t="inlineStr">
        <is>
          <t>A 15789-2023</t>
        </is>
      </c>
      <c r="B191" s="1" t="n">
        <v>45021.71539351852</v>
      </c>
      <c r="C191" s="1" t="n">
        <v>45970</v>
      </c>
      <c r="D191" t="inlineStr">
        <is>
          <t>ÖREBRO LÄN</t>
        </is>
      </c>
      <c r="E191" t="inlineStr">
        <is>
          <t>ÖREBRO</t>
        </is>
      </c>
      <c r="F191" t="inlineStr">
        <is>
          <t>Övriga Aktiebolag</t>
        </is>
      </c>
      <c r="G191" t="n">
        <v>3.7</v>
      </c>
      <c r="H191" t="n">
        <v>0</v>
      </c>
      <c r="I191" t="n">
        <v>0</v>
      </c>
      <c r="J191" t="n">
        <v>0</v>
      </c>
      <c r="K191" t="n">
        <v>0</v>
      </c>
      <c r="L191" t="n">
        <v>0</v>
      </c>
      <c r="M191" t="n">
        <v>0</v>
      </c>
      <c r="N191" t="n">
        <v>0</v>
      </c>
      <c r="O191" t="n">
        <v>0</v>
      </c>
      <c r="P191" t="n">
        <v>0</v>
      </c>
      <c r="Q191" t="n">
        <v>0</v>
      </c>
      <c r="R191" s="2" t="inlineStr"/>
    </row>
    <row r="192" ht="15" customHeight="1">
      <c r="A192" t="inlineStr">
        <is>
          <t>A 58539-2024</t>
        </is>
      </c>
      <c r="B192" s="1" t="n">
        <v>45635.45157407408</v>
      </c>
      <c r="C192" s="1" t="n">
        <v>45970</v>
      </c>
      <c r="D192" t="inlineStr">
        <is>
          <t>ÖREBRO LÄN</t>
        </is>
      </c>
      <c r="E192" t="inlineStr">
        <is>
          <t>ÖREBRO</t>
        </is>
      </c>
      <c r="F192" t="inlineStr">
        <is>
          <t>Sveaskog</t>
        </is>
      </c>
      <c r="G192" t="n">
        <v>4.1</v>
      </c>
      <c r="H192" t="n">
        <v>0</v>
      </c>
      <c r="I192" t="n">
        <v>0</v>
      </c>
      <c r="J192" t="n">
        <v>0</v>
      </c>
      <c r="K192" t="n">
        <v>0</v>
      </c>
      <c r="L192" t="n">
        <v>0</v>
      </c>
      <c r="M192" t="n">
        <v>0</v>
      </c>
      <c r="N192" t="n">
        <v>0</v>
      </c>
      <c r="O192" t="n">
        <v>0</v>
      </c>
      <c r="P192" t="n">
        <v>0</v>
      </c>
      <c r="Q192" t="n">
        <v>0</v>
      </c>
      <c r="R192" s="2" t="inlineStr"/>
    </row>
    <row r="193" ht="15" customHeight="1">
      <c r="A193" t="inlineStr">
        <is>
          <t>A 55593-2022</t>
        </is>
      </c>
      <c r="B193" s="1" t="n">
        <v>44888</v>
      </c>
      <c r="C193" s="1" t="n">
        <v>45970</v>
      </c>
      <c r="D193" t="inlineStr">
        <is>
          <t>ÖREBRO LÄN</t>
        </is>
      </c>
      <c r="E193" t="inlineStr">
        <is>
          <t>ÖREBRO</t>
        </is>
      </c>
      <c r="G193" t="n">
        <v>3.6</v>
      </c>
      <c r="H193" t="n">
        <v>0</v>
      </c>
      <c r="I193" t="n">
        <v>0</v>
      </c>
      <c r="J193" t="n">
        <v>0</v>
      </c>
      <c r="K193" t="n">
        <v>0</v>
      </c>
      <c r="L193" t="n">
        <v>0</v>
      </c>
      <c r="M193" t="n">
        <v>0</v>
      </c>
      <c r="N193" t="n">
        <v>0</v>
      </c>
      <c r="O193" t="n">
        <v>0</v>
      </c>
      <c r="P193" t="n">
        <v>0</v>
      </c>
      <c r="Q193" t="n">
        <v>0</v>
      </c>
      <c r="R193" s="2" t="inlineStr"/>
    </row>
    <row r="194" ht="15" customHeight="1">
      <c r="A194" t="inlineStr">
        <is>
          <t>A 7141-2025</t>
        </is>
      </c>
      <c r="B194" s="1" t="n">
        <v>45702</v>
      </c>
      <c r="C194" s="1" t="n">
        <v>45970</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59024-2024</t>
        </is>
      </c>
      <c r="B195" s="1" t="n">
        <v>45636.68505787037</v>
      </c>
      <c r="C195" s="1" t="n">
        <v>45970</v>
      </c>
      <c r="D195" t="inlineStr">
        <is>
          <t>ÖREBRO LÄN</t>
        </is>
      </c>
      <c r="E195" t="inlineStr">
        <is>
          <t>ÖREBRO</t>
        </is>
      </c>
      <c r="G195" t="n">
        <v>1.3</v>
      </c>
      <c r="H195" t="n">
        <v>0</v>
      </c>
      <c r="I195" t="n">
        <v>0</v>
      </c>
      <c r="J195" t="n">
        <v>0</v>
      </c>
      <c r="K195" t="n">
        <v>0</v>
      </c>
      <c r="L195" t="n">
        <v>0</v>
      </c>
      <c r="M195" t="n">
        <v>0</v>
      </c>
      <c r="N195" t="n">
        <v>0</v>
      </c>
      <c r="O195" t="n">
        <v>0</v>
      </c>
      <c r="P195" t="n">
        <v>0</v>
      </c>
      <c r="Q195" t="n">
        <v>0</v>
      </c>
      <c r="R195" s="2" t="inlineStr"/>
    </row>
    <row r="196" ht="15" customHeight="1">
      <c r="A196" t="inlineStr">
        <is>
          <t>A 59757-2023</t>
        </is>
      </c>
      <c r="B196" s="1" t="n">
        <v>45257.40833333333</v>
      </c>
      <c r="C196" s="1" t="n">
        <v>45970</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50446-2023</t>
        </is>
      </c>
      <c r="B197" s="1" t="n">
        <v>45216</v>
      </c>
      <c r="C197" s="1" t="n">
        <v>45970</v>
      </c>
      <c r="D197" t="inlineStr">
        <is>
          <t>ÖREBRO LÄN</t>
        </is>
      </c>
      <c r="E197" t="inlineStr">
        <is>
          <t>ÖREBRO</t>
        </is>
      </c>
      <c r="F197" t="inlineStr">
        <is>
          <t>Övriga Aktiebolag</t>
        </is>
      </c>
      <c r="G197" t="n">
        <v>2.8</v>
      </c>
      <c r="H197" t="n">
        <v>0</v>
      </c>
      <c r="I197" t="n">
        <v>0</v>
      </c>
      <c r="J197" t="n">
        <v>0</v>
      </c>
      <c r="K197" t="n">
        <v>0</v>
      </c>
      <c r="L197" t="n">
        <v>0</v>
      </c>
      <c r="M197" t="n">
        <v>0</v>
      </c>
      <c r="N197" t="n">
        <v>0</v>
      </c>
      <c r="O197" t="n">
        <v>0</v>
      </c>
      <c r="P197" t="n">
        <v>0</v>
      </c>
      <c r="Q197" t="n">
        <v>0</v>
      </c>
      <c r="R197" s="2" t="inlineStr"/>
    </row>
    <row r="198" ht="15" customHeight="1">
      <c r="A198" t="inlineStr">
        <is>
          <t>A 50450-2023</t>
        </is>
      </c>
      <c r="B198" s="1" t="n">
        <v>45216.73533564815</v>
      </c>
      <c r="C198" s="1" t="n">
        <v>45970</v>
      </c>
      <c r="D198" t="inlineStr">
        <is>
          <t>ÖREBRO LÄN</t>
        </is>
      </c>
      <c r="E198" t="inlineStr">
        <is>
          <t>ÖREBRO</t>
        </is>
      </c>
      <c r="F198" t="inlineStr">
        <is>
          <t>Övriga Aktiebolag</t>
        </is>
      </c>
      <c r="G198" t="n">
        <v>0.8</v>
      </c>
      <c r="H198" t="n">
        <v>0</v>
      </c>
      <c r="I198" t="n">
        <v>0</v>
      </c>
      <c r="J198" t="n">
        <v>0</v>
      </c>
      <c r="K198" t="n">
        <v>0</v>
      </c>
      <c r="L198" t="n">
        <v>0</v>
      </c>
      <c r="M198" t="n">
        <v>0</v>
      </c>
      <c r="N198" t="n">
        <v>0</v>
      </c>
      <c r="O198" t="n">
        <v>0</v>
      </c>
      <c r="P198" t="n">
        <v>0</v>
      </c>
      <c r="Q198" t="n">
        <v>0</v>
      </c>
      <c r="R198" s="2" t="inlineStr"/>
    </row>
    <row r="199" ht="15" customHeight="1">
      <c r="A199" t="inlineStr">
        <is>
          <t>A 17869-2024</t>
        </is>
      </c>
      <c r="B199" s="1" t="n">
        <v>45419</v>
      </c>
      <c r="C199" s="1" t="n">
        <v>45970</v>
      </c>
      <c r="D199" t="inlineStr">
        <is>
          <t>ÖREBRO LÄN</t>
        </is>
      </c>
      <c r="E199" t="inlineStr">
        <is>
          <t>ÖREBRO</t>
        </is>
      </c>
      <c r="G199" t="n">
        <v>3.7</v>
      </c>
      <c r="H199" t="n">
        <v>0</v>
      </c>
      <c r="I199" t="n">
        <v>0</v>
      </c>
      <c r="J199" t="n">
        <v>0</v>
      </c>
      <c r="K199" t="n">
        <v>0</v>
      </c>
      <c r="L199" t="n">
        <v>0</v>
      </c>
      <c r="M199" t="n">
        <v>0</v>
      </c>
      <c r="N199" t="n">
        <v>0</v>
      </c>
      <c r="O199" t="n">
        <v>0</v>
      </c>
      <c r="P199" t="n">
        <v>0</v>
      </c>
      <c r="Q199" t="n">
        <v>0</v>
      </c>
      <c r="R199" s="2" t="inlineStr"/>
    </row>
    <row r="200" ht="15" customHeight="1">
      <c r="A200" t="inlineStr">
        <is>
          <t>A 43612-2022</t>
        </is>
      </c>
      <c r="B200" s="1" t="n">
        <v>44837</v>
      </c>
      <c r="C200" s="1" t="n">
        <v>45970</v>
      </c>
      <c r="D200" t="inlineStr">
        <is>
          <t>ÖREBRO LÄN</t>
        </is>
      </c>
      <c r="E200" t="inlineStr">
        <is>
          <t>ÖREBRO</t>
        </is>
      </c>
      <c r="G200" t="n">
        <v>0.6</v>
      </c>
      <c r="H200" t="n">
        <v>0</v>
      </c>
      <c r="I200" t="n">
        <v>0</v>
      </c>
      <c r="J200" t="n">
        <v>0</v>
      </c>
      <c r="K200" t="n">
        <v>0</v>
      </c>
      <c r="L200" t="n">
        <v>0</v>
      </c>
      <c r="M200" t="n">
        <v>0</v>
      </c>
      <c r="N200" t="n">
        <v>0</v>
      </c>
      <c r="O200" t="n">
        <v>0</v>
      </c>
      <c r="P200" t="n">
        <v>0</v>
      </c>
      <c r="Q200" t="n">
        <v>0</v>
      </c>
      <c r="R200" s="2" t="inlineStr"/>
    </row>
    <row r="201" ht="15" customHeight="1">
      <c r="A201" t="inlineStr">
        <is>
          <t>A 71272-2021</t>
        </is>
      </c>
      <c r="B201" s="1" t="n">
        <v>44539.61571759259</v>
      </c>
      <c r="C201" s="1" t="n">
        <v>45970</v>
      </c>
      <c r="D201" t="inlineStr">
        <is>
          <t>ÖREBRO LÄN</t>
        </is>
      </c>
      <c r="E201" t="inlineStr">
        <is>
          <t>ÖREBRO</t>
        </is>
      </c>
      <c r="G201" t="n">
        <v>0.9</v>
      </c>
      <c r="H201" t="n">
        <v>0</v>
      </c>
      <c r="I201" t="n">
        <v>0</v>
      </c>
      <c r="J201" t="n">
        <v>0</v>
      </c>
      <c r="K201" t="n">
        <v>0</v>
      </c>
      <c r="L201" t="n">
        <v>0</v>
      </c>
      <c r="M201" t="n">
        <v>0</v>
      </c>
      <c r="N201" t="n">
        <v>0</v>
      </c>
      <c r="O201" t="n">
        <v>0</v>
      </c>
      <c r="P201" t="n">
        <v>0</v>
      </c>
      <c r="Q201" t="n">
        <v>0</v>
      </c>
      <c r="R201" s="2" t="inlineStr"/>
    </row>
    <row r="202" ht="15" customHeight="1">
      <c r="A202" t="inlineStr">
        <is>
          <t>A 13657-2025</t>
        </is>
      </c>
      <c r="B202" s="1" t="n">
        <v>45736.7427662037</v>
      </c>
      <c r="C202" s="1" t="n">
        <v>45970</v>
      </c>
      <c r="D202" t="inlineStr">
        <is>
          <t>ÖREBRO LÄN</t>
        </is>
      </c>
      <c r="E202" t="inlineStr">
        <is>
          <t>ÖREBRO</t>
        </is>
      </c>
      <c r="G202" t="n">
        <v>3.8</v>
      </c>
      <c r="H202" t="n">
        <v>0</v>
      </c>
      <c r="I202" t="n">
        <v>0</v>
      </c>
      <c r="J202" t="n">
        <v>0</v>
      </c>
      <c r="K202" t="n">
        <v>0</v>
      </c>
      <c r="L202" t="n">
        <v>0</v>
      </c>
      <c r="M202" t="n">
        <v>0</v>
      </c>
      <c r="N202" t="n">
        <v>0</v>
      </c>
      <c r="O202" t="n">
        <v>0</v>
      </c>
      <c r="P202" t="n">
        <v>0</v>
      </c>
      <c r="Q202" t="n">
        <v>0</v>
      </c>
      <c r="R202" s="2" t="inlineStr"/>
    </row>
    <row r="203" ht="15" customHeight="1">
      <c r="A203" t="inlineStr">
        <is>
          <t>A 57867-2024</t>
        </is>
      </c>
      <c r="B203" s="1" t="n">
        <v>45631.43864583333</v>
      </c>
      <c r="C203" s="1" t="n">
        <v>45970</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4557-2023</t>
        </is>
      </c>
      <c r="B204" s="1" t="n">
        <v>44956.6655787037</v>
      </c>
      <c r="C204" s="1" t="n">
        <v>45970</v>
      </c>
      <c r="D204" t="inlineStr">
        <is>
          <t>ÖREBRO LÄN</t>
        </is>
      </c>
      <c r="E204" t="inlineStr">
        <is>
          <t>ÖREBRO</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29138-2022</t>
        </is>
      </c>
      <c r="B205" s="1" t="n">
        <v>44750</v>
      </c>
      <c r="C205" s="1" t="n">
        <v>45970</v>
      </c>
      <c r="D205" t="inlineStr">
        <is>
          <t>ÖREBRO LÄN</t>
        </is>
      </c>
      <c r="E205" t="inlineStr">
        <is>
          <t>ÖREBRO</t>
        </is>
      </c>
      <c r="G205" t="n">
        <v>3.3</v>
      </c>
      <c r="H205" t="n">
        <v>0</v>
      </c>
      <c r="I205" t="n">
        <v>0</v>
      </c>
      <c r="J205" t="n">
        <v>0</v>
      </c>
      <c r="K205" t="n">
        <v>0</v>
      </c>
      <c r="L205" t="n">
        <v>0</v>
      </c>
      <c r="M205" t="n">
        <v>0</v>
      </c>
      <c r="N205" t="n">
        <v>0</v>
      </c>
      <c r="O205" t="n">
        <v>0</v>
      </c>
      <c r="P205" t="n">
        <v>0</v>
      </c>
      <c r="Q205" t="n">
        <v>0</v>
      </c>
      <c r="R205" s="2" t="inlineStr"/>
    </row>
    <row r="206" ht="15" customHeight="1">
      <c r="A206" t="inlineStr">
        <is>
          <t>A 60100-2022</t>
        </is>
      </c>
      <c r="B206" s="1" t="n">
        <v>44902</v>
      </c>
      <c r="C206" s="1" t="n">
        <v>45970</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29143-2022</t>
        </is>
      </c>
      <c r="B207" s="1" t="n">
        <v>44750</v>
      </c>
      <c r="C207" s="1" t="n">
        <v>45970</v>
      </c>
      <c r="D207" t="inlineStr">
        <is>
          <t>ÖREBRO LÄN</t>
        </is>
      </c>
      <c r="E207" t="inlineStr">
        <is>
          <t>ÖREBRO</t>
        </is>
      </c>
      <c r="G207" t="n">
        <v>5.6</v>
      </c>
      <c r="H207" t="n">
        <v>0</v>
      </c>
      <c r="I207" t="n">
        <v>0</v>
      </c>
      <c r="J207" t="n">
        <v>0</v>
      </c>
      <c r="K207" t="n">
        <v>0</v>
      </c>
      <c r="L207" t="n">
        <v>0</v>
      </c>
      <c r="M207" t="n">
        <v>0</v>
      </c>
      <c r="N207" t="n">
        <v>0</v>
      </c>
      <c r="O207" t="n">
        <v>0</v>
      </c>
      <c r="P207" t="n">
        <v>0</v>
      </c>
      <c r="Q207" t="n">
        <v>0</v>
      </c>
      <c r="R207" s="2" t="inlineStr"/>
    </row>
    <row r="208" ht="15" customHeight="1">
      <c r="A208" t="inlineStr">
        <is>
          <t>A 17465-2023</t>
        </is>
      </c>
      <c r="B208" s="1" t="n">
        <v>45036</v>
      </c>
      <c r="C208" s="1" t="n">
        <v>45970</v>
      </c>
      <c r="D208" t="inlineStr">
        <is>
          <t>ÖREBRO LÄN</t>
        </is>
      </c>
      <c r="E208" t="inlineStr">
        <is>
          <t>ÖREBRO</t>
        </is>
      </c>
      <c r="G208" t="n">
        <v>0.8</v>
      </c>
      <c r="H208" t="n">
        <v>0</v>
      </c>
      <c r="I208" t="n">
        <v>0</v>
      </c>
      <c r="J208" t="n">
        <v>0</v>
      </c>
      <c r="K208" t="n">
        <v>0</v>
      </c>
      <c r="L208" t="n">
        <v>0</v>
      </c>
      <c r="M208" t="n">
        <v>0</v>
      </c>
      <c r="N208" t="n">
        <v>0</v>
      </c>
      <c r="O208" t="n">
        <v>0</v>
      </c>
      <c r="P208" t="n">
        <v>0</v>
      </c>
      <c r="Q208" t="n">
        <v>0</v>
      </c>
      <c r="R208" s="2" t="inlineStr"/>
    </row>
    <row r="209" ht="15" customHeight="1">
      <c r="A209" t="inlineStr">
        <is>
          <t>A 6213-2021</t>
        </is>
      </c>
      <c r="B209" s="1" t="n">
        <v>44232</v>
      </c>
      <c r="C209" s="1" t="n">
        <v>45970</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21983-2021</t>
        </is>
      </c>
      <c r="B210" s="1" t="n">
        <v>44323</v>
      </c>
      <c r="C210" s="1" t="n">
        <v>45970</v>
      </c>
      <c r="D210" t="inlineStr">
        <is>
          <t>ÖREBRO LÄN</t>
        </is>
      </c>
      <c r="E210" t="inlineStr">
        <is>
          <t>ÖREBRO</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52016-2024</t>
        </is>
      </c>
      <c r="B211" s="1" t="n">
        <v>45607.81917824074</v>
      </c>
      <c r="C211" s="1" t="n">
        <v>45970</v>
      </c>
      <c r="D211" t="inlineStr">
        <is>
          <t>ÖREBRO LÄN</t>
        </is>
      </c>
      <c r="E211" t="inlineStr">
        <is>
          <t>ÖREBRO</t>
        </is>
      </c>
      <c r="G211" t="n">
        <v>1.9</v>
      </c>
      <c r="H211" t="n">
        <v>0</v>
      </c>
      <c r="I211" t="n">
        <v>0</v>
      </c>
      <c r="J211" t="n">
        <v>0</v>
      </c>
      <c r="K211" t="n">
        <v>0</v>
      </c>
      <c r="L211" t="n">
        <v>0</v>
      </c>
      <c r="M211" t="n">
        <v>0</v>
      </c>
      <c r="N211" t="n">
        <v>0</v>
      </c>
      <c r="O211" t="n">
        <v>0</v>
      </c>
      <c r="P211" t="n">
        <v>0</v>
      </c>
      <c r="Q211" t="n">
        <v>0</v>
      </c>
      <c r="R211" s="2" t="inlineStr"/>
    </row>
    <row r="212" ht="15" customHeight="1">
      <c r="A212" t="inlineStr">
        <is>
          <t>A 42138-2024</t>
        </is>
      </c>
      <c r="B212" s="1" t="n">
        <v>45562.41854166667</v>
      </c>
      <c r="C212" s="1" t="n">
        <v>45970</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3120-2022</t>
        </is>
      </c>
      <c r="B213" s="1" t="n">
        <v>44582</v>
      </c>
      <c r="C213" s="1" t="n">
        <v>45970</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58606-2024</t>
        </is>
      </c>
      <c r="B214" s="1" t="n">
        <v>45635.54747685185</v>
      </c>
      <c r="C214" s="1" t="n">
        <v>45970</v>
      </c>
      <c r="D214" t="inlineStr">
        <is>
          <t>ÖREBRO LÄN</t>
        </is>
      </c>
      <c r="E214" t="inlineStr">
        <is>
          <t>ÖREBRO</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52477-2024</t>
        </is>
      </c>
      <c r="B215" s="1" t="n">
        <v>45609</v>
      </c>
      <c r="C215" s="1" t="n">
        <v>45970</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34874-2022</t>
        </is>
      </c>
      <c r="B216" s="1" t="n">
        <v>44796</v>
      </c>
      <c r="C216" s="1" t="n">
        <v>45970</v>
      </c>
      <c r="D216" t="inlineStr">
        <is>
          <t>ÖREBRO LÄN</t>
        </is>
      </c>
      <c r="E216" t="inlineStr">
        <is>
          <t>ÖREBRO</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26101-2022</t>
        </is>
      </c>
      <c r="B217" s="1" t="n">
        <v>44734</v>
      </c>
      <c r="C217" s="1" t="n">
        <v>45970</v>
      </c>
      <c r="D217" t="inlineStr">
        <is>
          <t>ÖREBRO LÄN</t>
        </is>
      </c>
      <c r="E217" t="inlineStr">
        <is>
          <t>ÖREBRO</t>
        </is>
      </c>
      <c r="G217" t="n">
        <v>15.8</v>
      </c>
      <c r="H217" t="n">
        <v>0</v>
      </c>
      <c r="I217" t="n">
        <v>0</v>
      </c>
      <c r="J217" t="n">
        <v>0</v>
      </c>
      <c r="K217" t="n">
        <v>0</v>
      </c>
      <c r="L217" t="n">
        <v>0</v>
      </c>
      <c r="M217" t="n">
        <v>0</v>
      </c>
      <c r="N217" t="n">
        <v>0</v>
      </c>
      <c r="O217" t="n">
        <v>0</v>
      </c>
      <c r="P217" t="n">
        <v>0</v>
      </c>
      <c r="Q217" t="n">
        <v>0</v>
      </c>
      <c r="R217" s="2" t="inlineStr"/>
    </row>
    <row r="218" ht="15" customHeight="1">
      <c r="A218" t="inlineStr">
        <is>
          <t>A 53558-2023</t>
        </is>
      </c>
      <c r="B218" s="1" t="n">
        <v>45230.47266203703</v>
      </c>
      <c r="C218" s="1" t="n">
        <v>45970</v>
      </c>
      <c r="D218" t="inlineStr">
        <is>
          <t>ÖREBRO LÄN</t>
        </is>
      </c>
      <c r="E218" t="inlineStr">
        <is>
          <t>ÖREBRO</t>
        </is>
      </c>
      <c r="F218" t="inlineStr">
        <is>
          <t>Övriga Aktiebolag</t>
        </is>
      </c>
      <c r="G218" t="n">
        <v>4.7</v>
      </c>
      <c r="H218" t="n">
        <v>0</v>
      </c>
      <c r="I218" t="n">
        <v>0</v>
      </c>
      <c r="J218" t="n">
        <v>0</v>
      </c>
      <c r="K218" t="n">
        <v>0</v>
      </c>
      <c r="L218" t="n">
        <v>0</v>
      </c>
      <c r="M218" t="n">
        <v>0</v>
      </c>
      <c r="N218" t="n">
        <v>0</v>
      </c>
      <c r="O218" t="n">
        <v>0</v>
      </c>
      <c r="P218" t="n">
        <v>0</v>
      </c>
      <c r="Q218" t="n">
        <v>0</v>
      </c>
      <c r="R218" s="2" t="inlineStr"/>
    </row>
    <row r="219" ht="15" customHeight="1">
      <c r="A219" t="inlineStr">
        <is>
          <t>A 66799-2020</t>
        </is>
      </c>
      <c r="B219" s="1" t="n">
        <v>44179</v>
      </c>
      <c r="C219" s="1" t="n">
        <v>45970</v>
      </c>
      <c r="D219" t="inlineStr">
        <is>
          <t>ÖREBRO LÄN</t>
        </is>
      </c>
      <c r="E219" t="inlineStr">
        <is>
          <t>ÖREBRO</t>
        </is>
      </c>
      <c r="G219" t="n">
        <v>5.2</v>
      </c>
      <c r="H219" t="n">
        <v>0</v>
      </c>
      <c r="I219" t="n">
        <v>0</v>
      </c>
      <c r="J219" t="n">
        <v>0</v>
      </c>
      <c r="K219" t="n">
        <v>0</v>
      </c>
      <c r="L219" t="n">
        <v>0</v>
      </c>
      <c r="M219" t="n">
        <v>0</v>
      </c>
      <c r="N219" t="n">
        <v>0</v>
      </c>
      <c r="O219" t="n">
        <v>0</v>
      </c>
      <c r="P219" t="n">
        <v>0</v>
      </c>
      <c r="Q219" t="n">
        <v>0</v>
      </c>
      <c r="R219" s="2" t="inlineStr"/>
    </row>
    <row r="220" ht="15" customHeight="1">
      <c r="A220" t="inlineStr">
        <is>
          <t>A 35843-2022</t>
        </is>
      </c>
      <c r="B220" s="1" t="n">
        <v>44802</v>
      </c>
      <c r="C220" s="1" t="n">
        <v>45970</v>
      </c>
      <c r="D220" t="inlineStr">
        <is>
          <t>ÖREBRO LÄN</t>
        </is>
      </c>
      <c r="E220" t="inlineStr">
        <is>
          <t>ÖREBRO</t>
        </is>
      </c>
      <c r="G220" t="n">
        <v>2.4</v>
      </c>
      <c r="H220" t="n">
        <v>0</v>
      </c>
      <c r="I220" t="n">
        <v>0</v>
      </c>
      <c r="J220" t="n">
        <v>0</v>
      </c>
      <c r="K220" t="n">
        <v>0</v>
      </c>
      <c r="L220" t="n">
        <v>0</v>
      </c>
      <c r="M220" t="n">
        <v>0</v>
      </c>
      <c r="N220" t="n">
        <v>0</v>
      </c>
      <c r="O220" t="n">
        <v>0</v>
      </c>
      <c r="P220" t="n">
        <v>0</v>
      </c>
      <c r="Q220" t="n">
        <v>0</v>
      </c>
      <c r="R220" s="2" t="inlineStr"/>
    </row>
    <row r="221" ht="15" customHeight="1">
      <c r="A221" t="inlineStr">
        <is>
          <t>A 38057-2025</t>
        </is>
      </c>
      <c r="B221" s="1" t="n">
        <v>45882.42570601852</v>
      </c>
      <c r="C221" s="1" t="n">
        <v>45970</v>
      </c>
      <c r="D221" t="inlineStr">
        <is>
          <t>ÖREBRO LÄN</t>
        </is>
      </c>
      <c r="E221" t="inlineStr">
        <is>
          <t>ÖREBRO</t>
        </is>
      </c>
      <c r="G221" t="n">
        <v>3</v>
      </c>
      <c r="H221" t="n">
        <v>0</v>
      </c>
      <c r="I221" t="n">
        <v>0</v>
      </c>
      <c r="J221" t="n">
        <v>0</v>
      </c>
      <c r="K221" t="n">
        <v>0</v>
      </c>
      <c r="L221" t="n">
        <v>0</v>
      </c>
      <c r="M221" t="n">
        <v>0</v>
      </c>
      <c r="N221" t="n">
        <v>0</v>
      </c>
      <c r="O221" t="n">
        <v>0</v>
      </c>
      <c r="P221" t="n">
        <v>0</v>
      </c>
      <c r="Q221" t="n">
        <v>0</v>
      </c>
      <c r="R221" s="2" t="inlineStr"/>
    </row>
    <row r="222" ht="15" customHeight="1">
      <c r="A222" t="inlineStr">
        <is>
          <t>A 58486-2024</t>
        </is>
      </c>
      <c r="B222" s="1" t="n">
        <v>45635</v>
      </c>
      <c r="C222" s="1" t="n">
        <v>45970</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14053-2025</t>
        </is>
      </c>
      <c r="B223" s="1" t="n">
        <v>45739</v>
      </c>
      <c r="C223" s="1" t="n">
        <v>45970</v>
      </c>
      <c r="D223" t="inlineStr">
        <is>
          <t>ÖREBRO LÄN</t>
        </is>
      </c>
      <c r="E223" t="inlineStr">
        <is>
          <t>ÖREBRO</t>
        </is>
      </c>
      <c r="G223" t="n">
        <v>3.5</v>
      </c>
      <c r="H223" t="n">
        <v>0</v>
      </c>
      <c r="I223" t="n">
        <v>0</v>
      </c>
      <c r="J223" t="n">
        <v>0</v>
      </c>
      <c r="K223" t="n">
        <v>0</v>
      </c>
      <c r="L223" t="n">
        <v>0</v>
      </c>
      <c r="M223" t="n">
        <v>0</v>
      </c>
      <c r="N223" t="n">
        <v>0</v>
      </c>
      <c r="O223" t="n">
        <v>0</v>
      </c>
      <c r="P223" t="n">
        <v>0</v>
      </c>
      <c r="Q223" t="n">
        <v>0</v>
      </c>
      <c r="R223" s="2" t="inlineStr"/>
    </row>
    <row r="224" ht="15" customHeight="1">
      <c r="A224" t="inlineStr">
        <is>
          <t>A 61593-2023</t>
        </is>
      </c>
      <c r="B224" s="1" t="n">
        <v>45265</v>
      </c>
      <c r="C224" s="1" t="n">
        <v>45970</v>
      </c>
      <c r="D224" t="inlineStr">
        <is>
          <t>ÖREBRO LÄN</t>
        </is>
      </c>
      <c r="E224" t="inlineStr">
        <is>
          <t>ÖREBRO</t>
        </is>
      </c>
      <c r="G224" t="n">
        <v>2.5</v>
      </c>
      <c r="H224" t="n">
        <v>0</v>
      </c>
      <c r="I224" t="n">
        <v>0</v>
      </c>
      <c r="J224" t="n">
        <v>0</v>
      </c>
      <c r="K224" t="n">
        <v>0</v>
      </c>
      <c r="L224" t="n">
        <v>0</v>
      </c>
      <c r="M224" t="n">
        <v>0</v>
      </c>
      <c r="N224" t="n">
        <v>0</v>
      </c>
      <c r="O224" t="n">
        <v>0</v>
      </c>
      <c r="P224" t="n">
        <v>0</v>
      </c>
      <c r="Q224" t="n">
        <v>0</v>
      </c>
      <c r="R224" s="2" t="inlineStr"/>
    </row>
    <row r="225" ht="15" customHeight="1">
      <c r="A225" t="inlineStr">
        <is>
          <t>A 35345-2024</t>
        </is>
      </c>
      <c r="B225" s="1" t="n">
        <v>45530</v>
      </c>
      <c r="C225" s="1" t="n">
        <v>45970</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123-2025</t>
        </is>
      </c>
      <c r="B226" s="1" t="n">
        <v>45659.54851851852</v>
      </c>
      <c r="C226" s="1" t="n">
        <v>45970</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38842-2022</t>
        </is>
      </c>
      <c r="B227" s="1" t="n">
        <v>44814</v>
      </c>
      <c r="C227" s="1" t="n">
        <v>45970</v>
      </c>
      <c r="D227" t="inlineStr">
        <is>
          <t>ÖREBRO LÄN</t>
        </is>
      </c>
      <c r="E227" t="inlineStr">
        <is>
          <t>ÖREBRO</t>
        </is>
      </c>
      <c r="G227" t="n">
        <v>5</v>
      </c>
      <c r="H227" t="n">
        <v>0</v>
      </c>
      <c r="I227" t="n">
        <v>0</v>
      </c>
      <c r="J227" t="n">
        <v>0</v>
      </c>
      <c r="K227" t="n">
        <v>0</v>
      </c>
      <c r="L227" t="n">
        <v>0</v>
      </c>
      <c r="M227" t="n">
        <v>0</v>
      </c>
      <c r="N227" t="n">
        <v>0</v>
      </c>
      <c r="O227" t="n">
        <v>0</v>
      </c>
      <c r="P227" t="n">
        <v>0</v>
      </c>
      <c r="Q227" t="n">
        <v>0</v>
      </c>
      <c r="R227" s="2" t="inlineStr"/>
    </row>
    <row r="228" ht="15" customHeight="1">
      <c r="A228" t="inlineStr">
        <is>
          <t>A 30472-2022</t>
        </is>
      </c>
      <c r="B228" s="1" t="n">
        <v>44761.70467592592</v>
      </c>
      <c r="C228" s="1" t="n">
        <v>45970</v>
      </c>
      <c r="D228" t="inlineStr">
        <is>
          <t>ÖREBRO LÄN</t>
        </is>
      </c>
      <c r="E228" t="inlineStr">
        <is>
          <t>ÖREBRO</t>
        </is>
      </c>
      <c r="F228" t="inlineStr">
        <is>
          <t>Övriga Aktiebolag</t>
        </is>
      </c>
      <c r="G228" t="n">
        <v>5.6</v>
      </c>
      <c r="H228" t="n">
        <v>0</v>
      </c>
      <c r="I228" t="n">
        <v>0</v>
      </c>
      <c r="J228" t="n">
        <v>0</v>
      </c>
      <c r="K228" t="n">
        <v>0</v>
      </c>
      <c r="L228" t="n">
        <v>0</v>
      </c>
      <c r="M228" t="n">
        <v>0</v>
      </c>
      <c r="N228" t="n">
        <v>0</v>
      </c>
      <c r="O228" t="n">
        <v>0</v>
      </c>
      <c r="P228" t="n">
        <v>0</v>
      </c>
      <c r="Q228" t="n">
        <v>0</v>
      </c>
      <c r="R228" s="2" t="inlineStr"/>
    </row>
    <row r="229" ht="15" customHeight="1">
      <c r="A229" t="inlineStr">
        <is>
          <t>A 6869-2025</t>
        </is>
      </c>
      <c r="B229" s="1" t="n">
        <v>45700</v>
      </c>
      <c r="C229" s="1" t="n">
        <v>45970</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57869-2024</t>
        </is>
      </c>
      <c r="B230" s="1" t="n">
        <v>45631.44207175926</v>
      </c>
      <c r="C230" s="1" t="n">
        <v>45970</v>
      </c>
      <c r="D230" t="inlineStr">
        <is>
          <t>ÖREBRO LÄN</t>
        </is>
      </c>
      <c r="E230" t="inlineStr">
        <is>
          <t>ÖREBRO</t>
        </is>
      </c>
      <c r="G230" t="n">
        <v>1.4</v>
      </c>
      <c r="H230" t="n">
        <v>0</v>
      </c>
      <c r="I230" t="n">
        <v>0</v>
      </c>
      <c r="J230" t="n">
        <v>0</v>
      </c>
      <c r="K230" t="n">
        <v>0</v>
      </c>
      <c r="L230" t="n">
        <v>0</v>
      </c>
      <c r="M230" t="n">
        <v>0</v>
      </c>
      <c r="N230" t="n">
        <v>0</v>
      </c>
      <c r="O230" t="n">
        <v>0</v>
      </c>
      <c r="P230" t="n">
        <v>0</v>
      </c>
      <c r="Q230" t="n">
        <v>0</v>
      </c>
      <c r="R230" s="2" t="inlineStr"/>
    </row>
    <row r="231" ht="15" customHeight="1">
      <c r="A231" t="inlineStr">
        <is>
          <t>A 40597-2021</t>
        </is>
      </c>
      <c r="B231" s="1" t="n">
        <v>44420</v>
      </c>
      <c r="C231" s="1" t="n">
        <v>45970</v>
      </c>
      <c r="D231" t="inlineStr">
        <is>
          <t>ÖREBRO LÄN</t>
        </is>
      </c>
      <c r="E231" t="inlineStr">
        <is>
          <t>ÖREBRO</t>
        </is>
      </c>
      <c r="G231" t="n">
        <v>2.1</v>
      </c>
      <c r="H231" t="n">
        <v>0</v>
      </c>
      <c r="I231" t="n">
        <v>0</v>
      </c>
      <c r="J231" t="n">
        <v>0</v>
      </c>
      <c r="K231" t="n">
        <v>0</v>
      </c>
      <c r="L231" t="n">
        <v>0</v>
      </c>
      <c r="M231" t="n">
        <v>0</v>
      </c>
      <c r="N231" t="n">
        <v>0</v>
      </c>
      <c r="O231" t="n">
        <v>0</v>
      </c>
      <c r="P231" t="n">
        <v>0</v>
      </c>
      <c r="Q231" t="n">
        <v>0</v>
      </c>
      <c r="R231" s="2" t="inlineStr"/>
    </row>
    <row r="232" ht="15" customHeight="1">
      <c r="A232" t="inlineStr">
        <is>
          <t>A 51373-2023</t>
        </is>
      </c>
      <c r="B232" s="1" t="n">
        <v>45213</v>
      </c>
      <c r="C232" s="1" t="n">
        <v>45970</v>
      </c>
      <c r="D232" t="inlineStr">
        <is>
          <t>ÖREBRO LÄN</t>
        </is>
      </c>
      <c r="E232" t="inlineStr">
        <is>
          <t>ÖREBRO</t>
        </is>
      </c>
      <c r="G232" t="n">
        <v>5.9</v>
      </c>
      <c r="H232" t="n">
        <v>0</v>
      </c>
      <c r="I232" t="n">
        <v>0</v>
      </c>
      <c r="J232" t="n">
        <v>0</v>
      </c>
      <c r="K232" t="n">
        <v>0</v>
      </c>
      <c r="L232" t="n">
        <v>0</v>
      </c>
      <c r="M232" t="n">
        <v>0</v>
      </c>
      <c r="N232" t="n">
        <v>0</v>
      </c>
      <c r="O232" t="n">
        <v>0</v>
      </c>
      <c r="P232" t="n">
        <v>0</v>
      </c>
      <c r="Q232" t="n">
        <v>0</v>
      </c>
      <c r="R232" s="2" t="inlineStr"/>
    </row>
    <row r="233" ht="15" customHeight="1">
      <c r="A233" t="inlineStr">
        <is>
          <t>A 8575-2021</t>
        </is>
      </c>
      <c r="B233" s="1" t="n">
        <v>44245</v>
      </c>
      <c r="C233" s="1" t="n">
        <v>45970</v>
      </c>
      <c r="D233" t="inlineStr">
        <is>
          <t>ÖREBRO LÄN</t>
        </is>
      </c>
      <c r="E233" t="inlineStr">
        <is>
          <t>ÖREBRO</t>
        </is>
      </c>
      <c r="G233" t="n">
        <v>3.4</v>
      </c>
      <c r="H233" t="n">
        <v>0</v>
      </c>
      <c r="I233" t="n">
        <v>0</v>
      </c>
      <c r="J233" t="n">
        <v>0</v>
      </c>
      <c r="K233" t="n">
        <v>0</v>
      </c>
      <c r="L233" t="n">
        <v>0</v>
      </c>
      <c r="M233" t="n">
        <v>0</v>
      </c>
      <c r="N233" t="n">
        <v>0</v>
      </c>
      <c r="O233" t="n">
        <v>0</v>
      </c>
      <c r="P233" t="n">
        <v>0</v>
      </c>
      <c r="Q233" t="n">
        <v>0</v>
      </c>
      <c r="R233" s="2" t="inlineStr"/>
    </row>
    <row r="234" ht="15" customHeight="1">
      <c r="A234" t="inlineStr">
        <is>
          <t>A 1257-2022</t>
        </is>
      </c>
      <c r="B234" s="1" t="n">
        <v>44572</v>
      </c>
      <c r="C234" s="1" t="n">
        <v>45970</v>
      </c>
      <c r="D234" t="inlineStr">
        <is>
          <t>ÖREBRO LÄN</t>
        </is>
      </c>
      <c r="E234" t="inlineStr">
        <is>
          <t>ÖREBRO</t>
        </is>
      </c>
      <c r="G234" t="n">
        <v>1.4</v>
      </c>
      <c r="H234" t="n">
        <v>0</v>
      </c>
      <c r="I234" t="n">
        <v>0</v>
      </c>
      <c r="J234" t="n">
        <v>0</v>
      </c>
      <c r="K234" t="n">
        <v>0</v>
      </c>
      <c r="L234" t="n">
        <v>0</v>
      </c>
      <c r="M234" t="n">
        <v>0</v>
      </c>
      <c r="N234" t="n">
        <v>0</v>
      </c>
      <c r="O234" t="n">
        <v>0</v>
      </c>
      <c r="P234" t="n">
        <v>0</v>
      </c>
      <c r="Q234" t="n">
        <v>0</v>
      </c>
      <c r="R234" s="2" t="inlineStr"/>
    </row>
    <row r="235" ht="15" customHeight="1">
      <c r="A235" t="inlineStr">
        <is>
          <t>A 26338-2021</t>
        </is>
      </c>
      <c r="B235" s="1" t="n">
        <v>44347</v>
      </c>
      <c r="C235" s="1" t="n">
        <v>45970</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41678-2024</t>
        </is>
      </c>
      <c r="B236" s="1" t="n">
        <v>45560</v>
      </c>
      <c r="C236" s="1" t="n">
        <v>45970</v>
      </c>
      <c r="D236" t="inlineStr">
        <is>
          <t>ÖREBRO LÄN</t>
        </is>
      </c>
      <c r="E236" t="inlineStr">
        <is>
          <t>ÖREBRO</t>
        </is>
      </c>
      <c r="G236" t="n">
        <v>11.3</v>
      </c>
      <c r="H236" t="n">
        <v>0</v>
      </c>
      <c r="I236" t="n">
        <v>0</v>
      </c>
      <c r="J236" t="n">
        <v>0</v>
      </c>
      <c r="K236" t="n">
        <v>0</v>
      </c>
      <c r="L236" t="n">
        <v>0</v>
      </c>
      <c r="M236" t="n">
        <v>0</v>
      </c>
      <c r="N236" t="n">
        <v>0</v>
      </c>
      <c r="O236" t="n">
        <v>0</v>
      </c>
      <c r="P236" t="n">
        <v>0</v>
      </c>
      <c r="Q236" t="n">
        <v>0</v>
      </c>
      <c r="R236" s="2" t="inlineStr"/>
    </row>
    <row r="237" ht="15" customHeight="1">
      <c r="A237" t="inlineStr">
        <is>
          <t>A 18550-2025</t>
        </is>
      </c>
      <c r="B237" s="1" t="n">
        <v>45763.43422453704</v>
      </c>
      <c r="C237" s="1" t="n">
        <v>45970</v>
      </c>
      <c r="D237" t="inlineStr">
        <is>
          <t>ÖREBRO LÄN</t>
        </is>
      </c>
      <c r="E237" t="inlineStr">
        <is>
          <t>ÖREBRO</t>
        </is>
      </c>
      <c r="G237" t="n">
        <v>11.5</v>
      </c>
      <c r="H237" t="n">
        <v>0</v>
      </c>
      <c r="I237" t="n">
        <v>0</v>
      </c>
      <c r="J237" t="n">
        <v>0</v>
      </c>
      <c r="K237" t="n">
        <v>0</v>
      </c>
      <c r="L237" t="n">
        <v>0</v>
      </c>
      <c r="M237" t="n">
        <v>0</v>
      </c>
      <c r="N237" t="n">
        <v>0</v>
      </c>
      <c r="O237" t="n">
        <v>0</v>
      </c>
      <c r="P237" t="n">
        <v>0</v>
      </c>
      <c r="Q237" t="n">
        <v>0</v>
      </c>
      <c r="R237" s="2" t="inlineStr"/>
    </row>
    <row r="238" ht="15" customHeight="1">
      <c r="A238" t="inlineStr">
        <is>
          <t>A 40656-2023</t>
        </is>
      </c>
      <c r="B238" s="1" t="n">
        <v>45170</v>
      </c>
      <c r="C238" s="1" t="n">
        <v>45970</v>
      </c>
      <c r="D238" t="inlineStr">
        <is>
          <t>ÖREBRO LÄN</t>
        </is>
      </c>
      <c r="E238" t="inlineStr">
        <is>
          <t>ÖREBRO</t>
        </is>
      </c>
      <c r="F238" t="inlineStr">
        <is>
          <t>Övriga Aktiebolag</t>
        </is>
      </c>
      <c r="G238" t="n">
        <v>0.8</v>
      </c>
      <c r="H238" t="n">
        <v>0</v>
      </c>
      <c r="I238" t="n">
        <v>0</v>
      </c>
      <c r="J238" t="n">
        <v>0</v>
      </c>
      <c r="K238" t="n">
        <v>0</v>
      </c>
      <c r="L238" t="n">
        <v>0</v>
      </c>
      <c r="M238" t="n">
        <v>0</v>
      </c>
      <c r="N238" t="n">
        <v>0</v>
      </c>
      <c r="O238" t="n">
        <v>0</v>
      </c>
      <c r="P238" t="n">
        <v>0</v>
      </c>
      <c r="Q238" t="n">
        <v>0</v>
      </c>
      <c r="R238" s="2" t="inlineStr"/>
    </row>
    <row r="239" ht="15" customHeight="1">
      <c r="A239" t="inlineStr">
        <is>
          <t>A 71266-2021</t>
        </is>
      </c>
      <c r="B239" s="1" t="n">
        <v>44539</v>
      </c>
      <c r="C239" s="1" t="n">
        <v>45970</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71267-2021</t>
        </is>
      </c>
      <c r="B240" s="1" t="n">
        <v>44539</v>
      </c>
      <c r="C240" s="1" t="n">
        <v>45970</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71280-2021</t>
        </is>
      </c>
      <c r="B241" s="1" t="n">
        <v>44539</v>
      </c>
      <c r="C241" s="1" t="n">
        <v>45970</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22677-2022</t>
        </is>
      </c>
      <c r="B242" s="1" t="n">
        <v>44714</v>
      </c>
      <c r="C242" s="1" t="n">
        <v>45970</v>
      </c>
      <c r="D242" t="inlineStr">
        <is>
          <t>ÖREBRO LÄN</t>
        </is>
      </c>
      <c r="E242" t="inlineStr">
        <is>
          <t>ÖREBRO</t>
        </is>
      </c>
      <c r="G242" t="n">
        <v>2.3</v>
      </c>
      <c r="H242" t="n">
        <v>0</v>
      </c>
      <c r="I242" t="n">
        <v>0</v>
      </c>
      <c r="J242" t="n">
        <v>0</v>
      </c>
      <c r="K242" t="n">
        <v>0</v>
      </c>
      <c r="L242" t="n">
        <v>0</v>
      </c>
      <c r="M242" t="n">
        <v>0</v>
      </c>
      <c r="N242" t="n">
        <v>0</v>
      </c>
      <c r="O242" t="n">
        <v>0</v>
      </c>
      <c r="P242" t="n">
        <v>0</v>
      </c>
      <c r="Q242" t="n">
        <v>0</v>
      </c>
      <c r="R242" s="2" t="inlineStr"/>
    </row>
    <row r="243" ht="15" customHeight="1">
      <c r="A243" t="inlineStr">
        <is>
          <t>A 37277-2022</t>
        </is>
      </c>
      <c r="B243" s="1" t="n">
        <v>44807.49150462963</v>
      </c>
      <c r="C243" s="1" t="n">
        <v>45970</v>
      </c>
      <c r="D243" t="inlineStr">
        <is>
          <t>ÖREBRO LÄN</t>
        </is>
      </c>
      <c r="E243" t="inlineStr">
        <is>
          <t>ÖREBRO</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71288-2021</t>
        </is>
      </c>
      <c r="B244" s="1" t="n">
        <v>44539.62481481482</v>
      </c>
      <c r="C244" s="1" t="n">
        <v>45970</v>
      </c>
      <c r="D244" t="inlineStr">
        <is>
          <t>ÖREBRO LÄN</t>
        </is>
      </c>
      <c r="E244" t="inlineStr">
        <is>
          <t>ÖREBRO</t>
        </is>
      </c>
      <c r="G244" t="n">
        <v>3.9</v>
      </c>
      <c r="H244" t="n">
        <v>0</v>
      </c>
      <c r="I244" t="n">
        <v>0</v>
      </c>
      <c r="J244" t="n">
        <v>0</v>
      </c>
      <c r="K244" t="n">
        <v>0</v>
      </c>
      <c r="L244" t="n">
        <v>0</v>
      </c>
      <c r="M244" t="n">
        <v>0</v>
      </c>
      <c r="N244" t="n">
        <v>0</v>
      </c>
      <c r="O244" t="n">
        <v>0</v>
      </c>
      <c r="P244" t="n">
        <v>0</v>
      </c>
      <c r="Q244" t="n">
        <v>0</v>
      </c>
      <c r="R244" s="2" t="inlineStr"/>
    </row>
    <row r="245" ht="15" customHeight="1">
      <c r="A245" t="inlineStr">
        <is>
          <t>A 39003-2025</t>
        </is>
      </c>
      <c r="B245" s="1" t="n">
        <v>45888.34467592592</v>
      </c>
      <c r="C245" s="1" t="n">
        <v>45970</v>
      </c>
      <c r="D245" t="inlineStr">
        <is>
          <t>ÖREBRO LÄN</t>
        </is>
      </c>
      <c r="E245" t="inlineStr">
        <is>
          <t>ÖREBRO</t>
        </is>
      </c>
      <c r="G245" t="n">
        <v>3.7</v>
      </c>
      <c r="H245" t="n">
        <v>0</v>
      </c>
      <c r="I245" t="n">
        <v>0</v>
      </c>
      <c r="J245" t="n">
        <v>0</v>
      </c>
      <c r="K245" t="n">
        <v>0</v>
      </c>
      <c r="L245" t="n">
        <v>0</v>
      </c>
      <c r="M245" t="n">
        <v>0</v>
      </c>
      <c r="N245" t="n">
        <v>0</v>
      </c>
      <c r="O245" t="n">
        <v>0</v>
      </c>
      <c r="P245" t="n">
        <v>0</v>
      </c>
      <c r="Q245" t="n">
        <v>0</v>
      </c>
      <c r="R245" s="2" t="inlineStr"/>
    </row>
    <row r="246" ht="15" customHeight="1">
      <c r="A246" t="inlineStr">
        <is>
          <t>A 10830-2023</t>
        </is>
      </c>
      <c r="B246" s="1" t="n">
        <v>44990.89752314815</v>
      </c>
      <c r="C246" s="1" t="n">
        <v>45970</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27956-2023</t>
        </is>
      </c>
      <c r="B247" s="1" t="n">
        <v>45098</v>
      </c>
      <c r="C247" s="1" t="n">
        <v>45970</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7692-2023</t>
        </is>
      </c>
      <c r="B248" s="1" t="n">
        <v>44972.7762962963</v>
      </c>
      <c r="C248" s="1" t="n">
        <v>45970</v>
      </c>
      <c r="D248" t="inlineStr">
        <is>
          <t>ÖREBRO LÄN</t>
        </is>
      </c>
      <c r="E248" t="inlineStr">
        <is>
          <t>ÖREBRO</t>
        </is>
      </c>
      <c r="G248" t="n">
        <v>1.5</v>
      </c>
      <c r="H248" t="n">
        <v>0</v>
      </c>
      <c r="I248" t="n">
        <v>0</v>
      </c>
      <c r="J248" t="n">
        <v>0</v>
      </c>
      <c r="K248" t="n">
        <v>0</v>
      </c>
      <c r="L248" t="n">
        <v>0</v>
      </c>
      <c r="M248" t="n">
        <v>0</v>
      </c>
      <c r="N248" t="n">
        <v>0</v>
      </c>
      <c r="O248" t="n">
        <v>0</v>
      </c>
      <c r="P248" t="n">
        <v>0</v>
      </c>
      <c r="Q248" t="n">
        <v>0</v>
      </c>
      <c r="R248" s="2" t="inlineStr"/>
    </row>
    <row r="249" ht="15" customHeight="1">
      <c r="A249" t="inlineStr">
        <is>
          <t>A 15422-2022</t>
        </is>
      </c>
      <c r="B249" s="1" t="n">
        <v>44659.63753472222</v>
      </c>
      <c r="C249" s="1" t="n">
        <v>45970</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51331-2023</t>
        </is>
      </c>
      <c r="B250" s="1" t="n">
        <v>45219</v>
      </c>
      <c r="C250" s="1" t="n">
        <v>45970</v>
      </c>
      <c r="D250" t="inlineStr">
        <is>
          <t>ÖREBRO LÄN</t>
        </is>
      </c>
      <c r="E250" t="inlineStr">
        <is>
          <t>ÖREBRO</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31240-2023</t>
        </is>
      </c>
      <c r="B251" s="1" t="n">
        <v>45114</v>
      </c>
      <c r="C251" s="1" t="n">
        <v>45970</v>
      </c>
      <c r="D251" t="inlineStr">
        <is>
          <t>ÖREBRO LÄN</t>
        </is>
      </c>
      <c r="E251" t="inlineStr">
        <is>
          <t>ÖREBRO</t>
        </is>
      </c>
      <c r="F251" t="inlineStr">
        <is>
          <t>Allmännings- och besparingsskogar</t>
        </is>
      </c>
      <c r="G251" t="n">
        <v>6.2</v>
      </c>
      <c r="H251" t="n">
        <v>0</v>
      </c>
      <c r="I251" t="n">
        <v>0</v>
      </c>
      <c r="J251" t="n">
        <v>0</v>
      </c>
      <c r="K251" t="n">
        <v>0</v>
      </c>
      <c r="L251" t="n">
        <v>0</v>
      </c>
      <c r="M251" t="n">
        <v>0</v>
      </c>
      <c r="N251" t="n">
        <v>0</v>
      </c>
      <c r="O251" t="n">
        <v>0</v>
      </c>
      <c r="P251" t="n">
        <v>0</v>
      </c>
      <c r="Q251" t="n">
        <v>0</v>
      </c>
      <c r="R251" s="2" t="inlineStr"/>
    </row>
    <row r="252" ht="15" customHeight="1">
      <c r="A252" t="inlineStr">
        <is>
          <t>A 40588-2021</t>
        </is>
      </c>
      <c r="B252" s="1" t="n">
        <v>44420</v>
      </c>
      <c r="C252" s="1" t="n">
        <v>45970</v>
      </c>
      <c r="D252" t="inlineStr">
        <is>
          <t>ÖREBRO LÄN</t>
        </is>
      </c>
      <c r="E252" t="inlineStr">
        <is>
          <t>ÖREBRO</t>
        </is>
      </c>
      <c r="G252" t="n">
        <v>1.1</v>
      </c>
      <c r="H252" t="n">
        <v>0</v>
      </c>
      <c r="I252" t="n">
        <v>0</v>
      </c>
      <c r="J252" t="n">
        <v>0</v>
      </c>
      <c r="K252" t="n">
        <v>0</v>
      </c>
      <c r="L252" t="n">
        <v>0</v>
      </c>
      <c r="M252" t="n">
        <v>0</v>
      </c>
      <c r="N252" t="n">
        <v>0</v>
      </c>
      <c r="O252" t="n">
        <v>0</v>
      </c>
      <c r="P252" t="n">
        <v>0</v>
      </c>
      <c r="Q252" t="n">
        <v>0</v>
      </c>
      <c r="R252" s="2" t="inlineStr"/>
    </row>
    <row r="253" ht="15" customHeight="1">
      <c r="A253" t="inlineStr">
        <is>
          <t>A 48581-2024</t>
        </is>
      </c>
      <c r="B253" s="1" t="n">
        <v>45593.41642361111</v>
      </c>
      <c r="C253" s="1" t="n">
        <v>45970</v>
      </c>
      <c r="D253" t="inlineStr">
        <is>
          <t>ÖREBRO LÄN</t>
        </is>
      </c>
      <c r="E253" t="inlineStr">
        <is>
          <t>ÖREBRO</t>
        </is>
      </c>
      <c r="G253" t="n">
        <v>0.7</v>
      </c>
      <c r="H253" t="n">
        <v>0</v>
      </c>
      <c r="I253" t="n">
        <v>0</v>
      </c>
      <c r="J253" t="n">
        <v>0</v>
      </c>
      <c r="K253" t="n">
        <v>0</v>
      </c>
      <c r="L253" t="n">
        <v>0</v>
      </c>
      <c r="M253" t="n">
        <v>0</v>
      </c>
      <c r="N253" t="n">
        <v>0</v>
      </c>
      <c r="O253" t="n">
        <v>0</v>
      </c>
      <c r="P253" t="n">
        <v>0</v>
      </c>
      <c r="Q253" t="n">
        <v>0</v>
      </c>
      <c r="R253" s="2" t="inlineStr"/>
    </row>
    <row r="254" ht="15" customHeight="1">
      <c r="A254" t="inlineStr">
        <is>
          <t>A 50026-2024</t>
        </is>
      </c>
      <c r="B254" s="1" t="n">
        <v>45599.60541666667</v>
      </c>
      <c r="C254" s="1" t="n">
        <v>45970</v>
      </c>
      <c r="D254" t="inlineStr">
        <is>
          <t>ÖREBRO LÄN</t>
        </is>
      </c>
      <c r="E254" t="inlineStr">
        <is>
          <t>ÖREBRO</t>
        </is>
      </c>
      <c r="G254" t="n">
        <v>2.2</v>
      </c>
      <c r="H254" t="n">
        <v>0</v>
      </c>
      <c r="I254" t="n">
        <v>0</v>
      </c>
      <c r="J254" t="n">
        <v>0</v>
      </c>
      <c r="K254" t="n">
        <v>0</v>
      </c>
      <c r="L254" t="n">
        <v>0</v>
      </c>
      <c r="M254" t="n">
        <v>0</v>
      </c>
      <c r="N254" t="n">
        <v>0</v>
      </c>
      <c r="O254" t="n">
        <v>0</v>
      </c>
      <c r="P254" t="n">
        <v>0</v>
      </c>
      <c r="Q254" t="n">
        <v>0</v>
      </c>
      <c r="R254" s="2" t="inlineStr"/>
    </row>
    <row r="255" ht="15" customHeight="1">
      <c r="A255" t="inlineStr">
        <is>
          <t>A 40231-2022</t>
        </is>
      </c>
      <c r="B255" s="1" t="n">
        <v>44820</v>
      </c>
      <c r="C255" s="1" t="n">
        <v>45970</v>
      </c>
      <c r="D255" t="inlineStr">
        <is>
          <t>ÖREBRO LÄN</t>
        </is>
      </c>
      <c r="E255" t="inlineStr">
        <is>
          <t>ÖREBRO</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4284-2025</t>
        </is>
      </c>
      <c r="B256" s="1" t="n">
        <v>45685</v>
      </c>
      <c r="C256" s="1" t="n">
        <v>45970</v>
      </c>
      <c r="D256" t="inlineStr">
        <is>
          <t>ÖREBRO LÄN</t>
        </is>
      </c>
      <c r="E256" t="inlineStr">
        <is>
          <t>ÖREBRO</t>
        </is>
      </c>
      <c r="G256" t="n">
        <v>1.7</v>
      </c>
      <c r="H256" t="n">
        <v>0</v>
      </c>
      <c r="I256" t="n">
        <v>0</v>
      </c>
      <c r="J256" t="n">
        <v>0</v>
      </c>
      <c r="K256" t="n">
        <v>0</v>
      </c>
      <c r="L256" t="n">
        <v>0</v>
      </c>
      <c r="M256" t="n">
        <v>0</v>
      </c>
      <c r="N256" t="n">
        <v>0</v>
      </c>
      <c r="O256" t="n">
        <v>0</v>
      </c>
      <c r="P256" t="n">
        <v>0</v>
      </c>
      <c r="Q256" t="n">
        <v>0</v>
      </c>
      <c r="R256" s="2" t="inlineStr"/>
    </row>
    <row r="257" ht="15" customHeight="1">
      <c r="A257" t="inlineStr">
        <is>
          <t>A 8331-2021</t>
        </is>
      </c>
      <c r="B257" s="1" t="n">
        <v>44244</v>
      </c>
      <c r="C257" s="1" t="n">
        <v>45970</v>
      </c>
      <c r="D257" t="inlineStr">
        <is>
          <t>ÖREBRO LÄN</t>
        </is>
      </c>
      <c r="E257" t="inlineStr">
        <is>
          <t>ÖREBRO</t>
        </is>
      </c>
      <c r="G257" t="n">
        <v>9.1</v>
      </c>
      <c r="H257" t="n">
        <v>0</v>
      </c>
      <c r="I257" t="n">
        <v>0</v>
      </c>
      <c r="J257" t="n">
        <v>0</v>
      </c>
      <c r="K257" t="n">
        <v>0</v>
      </c>
      <c r="L257" t="n">
        <v>0</v>
      </c>
      <c r="M257" t="n">
        <v>0</v>
      </c>
      <c r="N257" t="n">
        <v>0</v>
      </c>
      <c r="O257" t="n">
        <v>0</v>
      </c>
      <c r="P257" t="n">
        <v>0</v>
      </c>
      <c r="Q257" t="n">
        <v>0</v>
      </c>
      <c r="R257" s="2" t="inlineStr"/>
    </row>
    <row r="258" ht="15" customHeight="1">
      <c r="A258" t="inlineStr">
        <is>
          <t>A 8332-2021</t>
        </is>
      </c>
      <c r="B258" s="1" t="n">
        <v>44244</v>
      </c>
      <c r="C258" s="1" t="n">
        <v>45970</v>
      </c>
      <c r="D258" t="inlineStr">
        <is>
          <t>ÖREBRO LÄN</t>
        </is>
      </c>
      <c r="E258" t="inlineStr">
        <is>
          <t>ÖREBRO</t>
        </is>
      </c>
      <c r="G258" t="n">
        <v>11</v>
      </c>
      <c r="H258" t="n">
        <v>0</v>
      </c>
      <c r="I258" t="n">
        <v>0</v>
      </c>
      <c r="J258" t="n">
        <v>0</v>
      </c>
      <c r="K258" t="n">
        <v>0</v>
      </c>
      <c r="L258" t="n">
        <v>0</v>
      </c>
      <c r="M258" t="n">
        <v>0</v>
      </c>
      <c r="N258" t="n">
        <v>0</v>
      </c>
      <c r="O258" t="n">
        <v>0</v>
      </c>
      <c r="P258" t="n">
        <v>0</v>
      </c>
      <c r="Q258" t="n">
        <v>0</v>
      </c>
      <c r="R258" s="2" t="inlineStr"/>
    </row>
    <row r="259" ht="15" customHeight="1">
      <c r="A259" t="inlineStr">
        <is>
          <t>A 18449-2023</t>
        </is>
      </c>
      <c r="B259" s="1" t="n">
        <v>45042.5203125</v>
      </c>
      <c r="C259" s="1" t="n">
        <v>45970</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47047-2022</t>
        </is>
      </c>
      <c r="B260" s="1" t="n">
        <v>44852.39063657408</v>
      </c>
      <c r="C260" s="1" t="n">
        <v>45970</v>
      </c>
      <c r="D260" t="inlineStr">
        <is>
          <t>ÖREBRO LÄN</t>
        </is>
      </c>
      <c r="E260" t="inlineStr">
        <is>
          <t>ÖREBRO</t>
        </is>
      </c>
      <c r="G260" t="n">
        <v>1.6</v>
      </c>
      <c r="H260" t="n">
        <v>0</v>
      </c>
      <c r="I260" t="n">
        <v>0</v>
      </c>
      <c r="J260" t="n">
        <v>0</v>
      </c>
      <c r="K260" t="n">
        <v>0</v>
      </c>
      <c r="L260" t="n">
        <v>0</v>
      </c>
      <c r="M260" t="n">
        <v>0</v>
      </c>
      <c r="N260" t="n">
        <v>0</v>
      </c>
      <c r="O260" t="n">
        <v>0</v>
      </c>
      <c r="P260" t="n">
        <v>0</v>
      </c>
      <c r="Q260" t="n">
        <v>0</v>
      </c>
      <c r="R260" s="2" t="inlineStr"/>
    </row>
    <row r="261" ht="15" customHeight="1">
      <c r="A261" t="inlineStr">
        <is>
          <t>A 25443-2021</t>
        </is>
      </c>
      <c r="B261" s="1" t="n">
        <v>44342</v>
      </c>
      <c r="C261" s="1" t="n">
        <v>45970</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16936-2023</t>
        </is>
      </c>
      <c r="B262" s="1" t="n">
        <v>45033.63005787037</v>
      </c>
      <c r="C262" s="1" t="n">
        <v>45970</v>
      </c>
      <c r="D262" t="inlineStr">
        <is>
          <t>ÖREBRO LÄN</t>
        </is>
      </c>
      <c r="E262" t="inlineStr">
        <is>
          <t>ÖREBRO</t>
        </is>
      </c>
      <c r="G262" t="n">
        <v>2</v>
      </c>
      <c r="H262" t="n">
        <v>0</v>
      </c>
      <c r="I262" t="n">
        <v>0</v>
      </c>
      <c r="J262" t="n">
        <v>0</v>
      </c>
      <c r="K262" t="n">
        <v>0</v>
      </c>
      <c r="L262" t="n">
        <v>0</v>
      </c>
      <c r="M262" t="n">
        <v>0</v>
      </c>
      <c r="N262" t="n">
        <v>0</v>
      </c>
      <c r="O262" t="n">
        <v>0</v>
      </c>
      <c r="P262" t="n">
        <v>0</v>
      </c>
      <c r="Q262" t="n">
        <v>0</v>
      </c>
      <c r="R262" s="2" t="inlineStr"/>
    </row>
    <row r="263" ht="15" customHeight="1">
      <c r="A263" t="inlineStr">
        <is>
          <t>A 58145-2024</t>
        </is>
      </c>
      <c r="B263" s="1" t="n">
        <v>45632.43230324074</v>
      </c>
      <c r="C263" s="1" t="n">
        <v>45970</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21036-2024</t>
        </is>
      </c>
      <c r="B264" s="1" t="n">
        <v>45439.65954861111</v>
      </c>
      <c r="C264" s="1" t="n">
        <v>45970</v>
      </c>
      <c r="D264" t="inlineStr">
        <is>
          <t>ÖREBRO LÄN</t>
        </is>
      </c>
      <c r="E264" t="inlineStr">
        <is>
          <t>ÖREBRO</t>
        </is>
      </c>
      <c r="F264" t="inlineStr">
        <is>
          <t>Övriga Aktiebolag</t>
        </is>
      </c>
      <c r="G264" t="n">
        <v>5.7</v>
      </c>
      <c r="H264" t="n">
        <v>0</v>
      </c>
      <c r="I264" t="n">
        <v>0</v>
      </c>
      <c r="J264" t="n">
        <v>0</v>
      </c>
      <c r="K264" t="n">
        <v>0</v>
      </c>
      <c r="L264" t="n">
        <v>0</v>
      </c>
      <c r="M264" t="n">
        <v>0</v>
      </c>
      <c r="N264" t="n">
        <v>0</v>
      </c>
      <c r="O264" t="n">
        <v>0</v>
      </c>
      <c r="P264" t="n">
        <v>0</v>
      </c>
      <c r="Q264" t="n">
        <v>0</v>
      </c>
      <c r="R264" s="2" t="inlineStr"/>
    </row>
    <row r="265" ht="15" customHeight="1">
      <c r="A265" t="inlineStr">
        <is>
          <t>A 64730-2023</t>
        </is>
      </c>
      <c r="B265" s="1" t="n">
        <v>45281</v>
      </c>
      <c r="C265" s="1" t="n">
        <v>45970</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13418-2024</t>
        </is>
      </c>
      <c r="B266" s="1" t="n">
        <v>45387.46482638889</v>
      </c>
      <c r="C266" s="1" t="n">
        <v>45970</v>
      </c>
      <c r="D266" t="inlineStr">
        <is>
          <t>ÖREBRO LÄN</t>
        </is>
      </c>
      <c r="E266" t="inlineStr">
        <is>
          <t>ÖREBRO</t>
        </is>
      </c>
      <c r="G266" t="n">
        <v>4.2</v>
      </c>
      <c r="H266" t="n">
        <v>0</v>
      </c>
      <c r="I266" t="n">
        <v>0</v>
      </c>
      <c r="J266" t="n">
        <v>0</v>
      </c>
      <c r="K266" t="n">
        <v>0</v>
      </c>
      <c r="L266" t="n">
        <v>0</v>
      </c>
      <c r="M266" t="n">
        <v>0</v>
      </c>
      <c r="N266" t="n">
        <v>0</v>
      </c>
      <c r="O266" t="n">
        <v>0</v>
      </c>
      <c r="P266" t="n">
        <v>0</v>
      </c>
      <c r="Q266" t="n">
        <v>0</v>
      </c>
      <c r="R266" s="2" t="inlineStr"/>
    </row>
    <row r="267" ht="15" customHeight="1">
      <c r="A267" t="inlineStr">
        <is>
          <t>A 42623-2022</t>
        </is>
      </c>
      <c r="B267" s="1" t="n">
        <v>44831</v>
      </c>
      <c r="C267" s="1" t="n">
        <v>45970</v>
      </c>
      <c r="D267" t="inlineStr">
        <is>
          <t>ÖREBRO LÄN</t>
        </is>
      </c>
      <c r="E267" t="inlineStr">
        <is>
          <t>ÖREBRO</t>
        </is>
      </c>
      <c r="G267" t="n">
        <v>3.6</v>
      </c>
      <c r="H267" t="n">
        <v>0</v>
      </c>
      <c r="I267" t="n">
        <v>0</v>
      </c>
      <c r="J267" t="n">
        <v>0</v>
      </c>
      <c r="K267" t="n">
        <v>0</v>
      </c>
      <c r="L267" t="n">
        <v>0</v>
      </c>
      <c r="M267" t="n">
        <v>0</v>
      </c>
      <c r="N267" t="n">
        <v>0</v>
      </c>
      <c r="O267" t="n">
        <v>0</v>
      </c>
      <c r="P267" t="n">
        <v>0</v>
      </c>
      <c r="Q267" t="n">
        <v>0</v>
      </c>
      <c r="R267" s="2" t="inlineStr"/>
    </row>
    <row r="268" ht="15" customHeight="1">
      <c r="A268" t="inlineStr">
        <is>
          <t>A 3763-2025</t>
        </is>
      </c>
      <c r="B268" s="1" t="n">
        <v>45681</v>
      </c>
      <c r="C268" s="1" t="n">
        <v>45970</v>
      </c>
      <c r="D268" t="inlineStr">
        <is>
          <t>ÖREBRO LÄN</t>
        </is>
      </c>
      <c r="E268" t="inlineStr">
        <is>
          <t>ÖREBRO</t>
        </is>
      </c>
      <c r="G268" t="n">
        <v>10.1</v>
      </c>
      <c r="H268" t="n">
        <v>0</v>
      </c>
      <c r="I268" t="n">
        <v>0</v>
      </c>
      <c r="J268" t="n">
        <v>0</v>
      </c>
      <c r="K268" t="n">
        <v>0</v>
      </c>
      <c r="L268" t="n">
        <v>0</v>
      </c>
      <c r="M268" t="n">
        <v>0</v>
      </c>
      <c r="N268" t="n">
        <v>0</v>
      </c>
      <c r="O268" t="n">
        <v>0</v>
      </c>
      <c r="P268" t="n">
        <v>0</v>
      </c>
      <c r="Q268" t="n">
        <v>0</v>
      </c>
      <c r="R268" s="2" t="inlineStr"/>
    </row>
    <row r="269" ht="15" customHeight="1">
      <c r="A269" t="inlineStr">
        <is>
          <t>A 44284-2022</t>
        </is>
      </c>
      <c r="B269" s="1" t="n">
        <v>44839.59194444444</v>
      </c>
      <c r="C269" s="1" t="n">
        <v>45970</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14544-2023</t>
        </is>
      </c>
      <c r="B270" s="1" t="n">
        <v>45013</v>
      </c>
      <c r="C270" s="1" t="n">
        <v>45970</v>
      </c>
      <c r="D270" t="inlineStr">
        <is>
          <t>ÖREBRO LÄN</t>
        </is>
      </c>
      <c r="E270" t="inlineStr">
        <is>
          <t>ÖREBRO</t>
        </is>
      </c>
      <c r="G270" t="n">
        <v>0.5</v>
      </c>
      <c r="H270" t="n">
        <v>0</v>
      </c>
      <c r="I270" t="n">
        <v>0</v>
      </c>
      <c r="J270" t="n">
        <v>0</v>
      </c>
      <c r="K270" t="n">
        <v>0</v>
      </c>
      <c r="L270" t="n">
        <v>0</v>
      </c>
      <c r="M270" t="n">
        <v>0</v>
      </c>
      <c r="N270" t="n">
        <v>0</v>
      </c>
      <c r="O270" t="n">
        <v>0</v>
      </c>
      <c r="P270" t="n">
        <v>0</v>
      </c>
      <c r="Q270" t="n">
        <v>0</v>
      </c>
      <c r="R270" s="2" t="inlineStr"/>
    </row>
    <row r="271" ht="15" customHeight="1">
      <c r="A271" t="inlineStr">
        <is>
          <t>A 16739-2023</t>
        </is>
      </c>
      <c r="B271" s="1" t="n">
        <v>45030.72627314815</v>
      </c>
      <c r="C271" s="1" t="n">
        <v>45970</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10829-2023</t>
        </is>
      </c>
      <c r="B272" s="1" t="n">
        <v>44990.88512731482</v>
      </c>
      <c r="C272" s="1" t="n">
        <v>45970</v>
      </c>
      <c r="D272" t="inlineStr">
        <is>
          <t>ÖREBRO LÄN</t>
        </is>
      </c>
      <c r="E272" t="inlineStr">
        <is>
          <t>ÖREBRO</t>
        </is>
      </c>
      <c r="G272" t="n">
        <v>4.4</v>
      </c>
      <c r="H272" t="n">
        <v>0</v>
      </c>
      <c r="I272" t="n">
        <v>0</v>
      </c>
      <c r="J272" t="n">
        <v>0</v>
      </c>
      <c r="K272" t="n">
        <v>0</v>
      </c>
      <c r="L272" t="n">
        <v>0</v>
      </c>
      <c r="M272" t="n">
        <v>0</v>
      </c>
      <c r="N272" t="n">
        <v>0</v>
      </c>
      <c r="O272" t="n">
        <v>0</v>
      </c>
      <c r="P272" t="n">
        <v>0</v>
      </c>
      <c r="Q272" t="n">
        <v>0</v>
      </c>
      <c r="R272" s="2" t="inlineStr"/>
    </row>
    <row r="273" ht="15" customHeight="1">
      <c r="A273" t="inlineStr">
        <is>
          <t>A 10831-2023</t>
        </is>
      </c>
      <c r="B273" s="1" t="n">
        <v>44990.90357638889</v>
      </c>
      <c r="C273" s="1" t="n">
        <v>45970</v>
      </c>
      <c r="D273" t="inlineStr">
        <is>
          <t>ÖREBRO LÄN</t>
        </is>
      </c>
      <c r="E273" t="inlineStr">
        <is>
          <t>ÖREBRO</t>
        </is>
      </c>
      <c r="G273" t="n">
        <v>1.9</v>
      </c>
      <c r="H273" t="n">
        <v>0</v>
      </c>
      <c r="I273" t="n">
        <v>0</v>
      </c>
      <c r="J273" t="n">
        <v>0</v>
      </c>
      <c r="K273" t="n">
        <v>0</v>
      </c>
      <c r="L273" t="n">
        <v>0</v>
      </c>
      <c r="M273" t="n">
        <v>0</v>
      </c>
      <c r="N273" t="n">
        <v>0</v>
      </c>
      <c r="O273" t="n">
        <v>0</v>
      </c>
      <c r="P273" t="n">
        <v>0</v>
      </c>
      <c r="Q273" t="n">
        <v>0</v>
      </c>
      <c r="R273" s="2" t="inlineStr"/>
    </row>
    <row r="274" ht="15" customHeight="1">
      <c r="A274" t="inlineStr">
        <is>
          <t>A 2771-2023</t>
        </is>
      </c>
      <c r="B274" s="1" t="n">
        <v>44944.64704861111</v>
      </c>
      <c r="C274" s="1" t="n">
        <v>45970</v>
      </c>
      <c r="D274" t="inlineStr">
        <is>
          <t>ÖREBRO LÄN</t>
        </is>
      </c>
      <c r="E274" t="inlineStr">
        <is>
          <t>ÖREBRO</t>
        </is>
      </c>
      <c r="G274" t="n">
        <v>15.4</v>
      </c>
      <c r="H274" t="n">
        <v>0</v>
      </c>
      <c r="I274" t="n">
        <v>0</v>
      </c>
      <c r="J274" t="n">
        <v>0</v>
      </c>
      <c r="K274" t="n">
        <v>0</v>
      </c>
      <c r="L274" t="n">
        <v>0</v>
      </c>
      <c r="M274" t="n">
        <v>0</v>
      </c>
      <c r="N274" t="n">
        <v>0</v>
      </c>
      <c r="O274" t="n">
        <v>0</v>
      </c>
      <c r="P274" t="n">
        <v>0</v>
      </c>
      <c r="Q274" t="n">
        <v>0</v>
      </c>
      <c r="R274" s="2" t="inlineStr"/>
    </row>
    <row r="275" ht="15" customHeight="1">
      <c r="A275" t="inlineStr">
        <is>
          <t>A 15682-2023</t>
        </is>
      </c>
      <c r="B275" s="1" t="n">
        <v>45021</v>
      </c>
      <c r="C275" s="1" t="n">
        <v>45970</v>
      </c>
      <c r="D275" t="inlineStr">
        <is>
          <t>ÖREBRO LÄN</t>
        </is>
      </c>
      <c r="E275" t="inlineStr">
        <is>
          <t>ÖREBRO</t>
        </is>
      </c>
      <c r="G275" t="n">
        <v>1.3</v>
      </c>
      <c r="H275" t="n">
        <v>0</v>
      </c>
      <c r="I275" t="n">
        <v>0</v>
      </c>
      <c r="J275" t="n">
        <v>0</v>
      </c>
      <c r="K275" t="n">
        <v>0</v>
      </c>
      <c r="L275" t="n">
        <v>0</v>
      </c>
      <c r="M275" t="n">
        <v>0</v>
      </c>
      <c r="N275" t="n">
        <v>0</v>
      </c>
      <c r="O275" t="n">
        <v>0</v>
      </c>
      <c r="P275" t="n">
        <v>0</v>
      </c>
      <c r="Q275" t="n">
        <v>0</v>
      </c>
      <c r="R275" s="2" t="inlineStr"/>
    </row>
    <row r="276" ht="15" customHeight="1">
      <c r="A276" t="inlineStr">
        <is>
          <t>A 4416-2023</t>
        </is>
      </c>
      <c r="B276" s="1" t="n">
        <v>44956</v>
      </c>
      <c r="C276" s="1" t="n">
        <v>45970</v>
      </c>
      <c r="D276" t="inlineStr">
        <is>
          <t>ÖREBRO LÄN</t>
        </is>
      </c>
      <c r="E276" t="inlineStr">
        <is>
          <t>ÖREBRO</t>
        </is>
      </c>
      <c r="G276" t="n">
        <v>0.7</v>
      </c>
      <c r="H276" t="n">
        <v>0</v>
      </c>
      <c r="I276" t="n">
        <v>0</v>
      </c>
      <c r="J276" t="n">
        <v>0</v>
      </c>
      <c r="K276" t="n">
        <v>0</v>
      </c>
      <c r="L276" t="n">
        <v>0</v>
      </c>
      <c r="M276" t="n">
        <v>0</v>
      </c>
      <c r="N276" t="n">
        <v>0</v>
      </c>
      <c r="O276" t="n">
        <v>0</v>
      </c>
      <c r="P276" t="n">
        <v>0</v>
      </c>
      <c r="Q276" t="n">
        <v>0</v>
      </c>
      <c r="R276" s="2" t="inlineStr"/>
    </row>
    <row r="277" ht="15" customHeight="1">
      <c r="A277" t="inlineStr">
        <is>
          <t>A 46323-2024</t>
        </is>
      </c>
      <c r="B277" s="1" t="n">
        <v>45581.84538194445</v>
      </c>
      <c r="C277" s="1" t="n">
        <v>45970</v>
      </c>
      <c r="D277" t="inlineStr">
        <is>
          <t>ÖREBRO LÄN</t>
        </is>
      </c>
      <c r="E277" t="inlineStr">
        <is>
          <t>ÖREBRO</t>
        </is>
      </c>
      <c r="F277" t="inlineStr">
        <is>
          <t>Övriga Aktiebolag</t>
        </is>
      </c>
      <c r="G277" t="n">
        <v>1.4</v>
      </c>
      <c r="H277" t="n">
        <v>0</v>
      </c>
      <c r="I277" t="n">
        <v>0</v>
      </c>
      <c r="J277" t="n">
        <v>0</v>
      </c>
      <c r="K277" t="n">
        <v>0</v>
      </c>
      <c r="L277" t="n">
        <v>0</v>
      </c>
      <c r="M277" t="n">
        <v>0</v>
      </c>
      <c r="N277" t="n">
        <v>0</v>
      </c>
      <c r="O277" t="n">
        <v>0</v>
      </c>
      <c r="P277" t="n">
        <v>0</v>
      </c>
      <c r="Q277" t="n">
        <v>0</v>
      </c>
      <c r="R277" s="2" t="inlineStr"/>
    </row>
    <row r="278" ht="15" customHeight="1">
      <c r="A278" t="inlineStr">
        <is>
          <t>A 16165-2023</t>
        </is>
      </c>
      <c r="B278" s="1" t="n">
        <v>45027</v>
      </c>
      <c r="C278" s="1" t="n">
        <v>45970</v>
      </c>
      <c r="D278" t="inlineStr">
        <is>
          <t>ÖREBRO LÄN</t>
        </is>
      </c>
      <c r="E278" t="inlineStr">
        <is>
          <t>ÖREBRO</t>
        </is>
      </c>
      <c r="G278" t="n">
        <v>11</v>
      </c>
      <c r="H278" t="n">
        <v>0</v>
      </c>
      <c r="I278" t="n">
        <v>0</v>
      </c>
      <c r="J278" t="n">
        <v>0</v>
      </c>
      <c r="K278" t="n">
        <v>0</v>
      </c>
      <c r="L278" t="n">
        <v>0</v>
      </c>
      <c r="M278" t="n">
        <v>0</v>
      </c>
      <c r="N278" t="n">
        <v>0</v>
      </c>
      <c r="O278" t="n">
        <v>0</v>
      </c>
      <c r="P278" t="n">
        <v>0</v>
      </c>
      <c r="Q278" t="n">
        <v>0</v>
      </c>
      <c r="R278" s="2" t="inlineStr"/>
    </row>
    <row r="279" ht="15" customHeight="1">
      <c r="A279" t="inlineStr">
        <is>
          <t>A 49062-2023</t>
        </is>
      </c>
      <c r="B279" s="1" t="n">
        <v>45210.35119212963</v>
      </c>
      <c r="C279" s="1" t="n">
        <v>45970</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57247-2022</t>
        </is>
      </c>
      <c r="B280" s="1" t="n">
        <v>44895.73065972222</v>
      </c>
      <c r="C280" s="1" t="n">
        <v>45970</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12017-2024</t>
        </is>
      </c>
      <c r="B281" s="1" t="n">
        <v>45377</v>
      </c>
      <c r="C281" s="1" t="n">
        <v>45970</v>
      </c>
      <c r="D281" t="inlineStr">
        <is>
          <t>ÖREBRO LÄN</t>
        </is>
      </c>
      <c r="E281" t="inlineStr">
        <is>
          <t>ÖREBRO</t>
        </is>
      </c>
      <c r="G281" t="n">
        <v>1.8</v>
      </c>
      <c r="H281" t="n">
        <v>0</v>
      </c>
      <c r="I281" t="n">
        <v>0</v>
      </c>
      <c r="J281" t="n">
        <v>0</v>
      </c>
      <c r="K281" t="n">
        <v>0</v>
      </c>
      <c r="L281" t="n">
        <v>0</v>
      </c>
      <c r="M281" t="n">
        <v>0</v>
      </c>
      <c r="N281" t="n">
        <v>0</v>
      </c>
      <c r="O281" t="n">
        <v>0</v>
      </c>
      <c r="P281" t="n">
        <v>0</v>
      </c>
      <c r="Q281" t="n">
        <v>0</v>
      </c>
      <c r="R281" s="2" t="inlineStr"/>
    </row>
    <row r="282" ht="15" customHeight="1">
      <c r="A282" t="inlineStr">
        <is>
          <t>A 56077-2022</t>
        </is>
      </c>
      <c r="B282" s="1" t="n">
        <v>44889.60872685185</v>
      </c>
      <c r="C282" s="1" t="n">
        <v>45970</v>
      </c>
      <c r="D282" t="inlineStr">
        <is>
          <t>ÖREBRO LÄN</t>
        </is>
      </c>
      <c r="E282" t="inlineStr">
        <is>
          <t>ÖREBRO</t>
        </is>
      </c>
      <c r="F282" t="inlineStr">
        <is>
          <t>Övriga Aktiebolag</t>
        </is>
      </c>
      <c r="G282" t="n">
        <v>2.5</v>
      </c>
      <c r="H282" t="n">
        <v>0</v>
      </c>
      <c r="I282" t="n">
        <v>0</v>
      </c>
      <c r="J282" t="n">
        <v>0</v>
      </c>
      <c r="K282" t="n">
        <v>0</v>
      </c>
      <c r="L282" t="n">
        <v>0</v>
      </c>
      <c r="M282" t="n">
        <v>0</v>
      </c>
      <c r="N282" t="n">
        <v>0</v>
      </c>
      <c r="O282" t="n">
        <v>0</v>
      </c>
      <c r="P282" t="n">
        <v>0</v>
      </c>
      <c r="Q282" t="n">
        <v>0</v>
      </c>
      <c r="R282" s="2" t="inlineStr"/>
    </row>
    <row r="283" ht="15" customHeight="1">
      <c r="A283" t="inlineStr">
        <is>
          <t>A 9609-2023</t>
        </is>
      </c>
      <c r="B283" s="1" t="n">
        <v>44983.93344907407</v>
      </c>
      <c r="C283" s="1" t="n">
        <v>45970</v>
      </c>
      <c r="D283" t="inlineStr">
        <is>
          <t>ÖREBRO LÄN</t>
        </is>
      </c>
      <c r="E283" t="inlineStr">
        <is>
          <t>ÖREBRO</t>
        </is>
      </c>
      <c r="G283" t="n">
        <v>2</v>
      </c>
      <c r="H283" t="n">
        <v>0</v>
      </c>
      <c r="I283" t="n">
        <v>0</v>
      </c>
      <c r="J283" t="n">
        <v>0</v>
      </c>
      <c r="K283" t="n">
        <v>0</v>
      </c>
      <c r="L283" t="n">
        <v>0</v>
      </c>
      <c r="M283" t="n">
        <v>0</v>
      </c>
      <c r="N283" t="n">
        <v>0</v>
      </c>
      <c r="O283" t="n">
        <v>0</v>
      </c>
      <c r="P283" t="n">
        <v>0</v>
      </c>
      <c r="Q283" t="n">
        <v>0</v>
      </c>
      <c r="R283" s="2" t="inlineStr"/>
    </row>
    <row r="284" ht="15" customHeight="1">
      <c r="A284" t="inlineStr">
        <is>
          <t>A 32321-2023</t>
        </is>
      </c>
      <c r="B284" s="1" t="n">
        <v>45120</v>
      </c>
      <c r="C284" s="1" t="n">
        <v>45970</v>
      </c>
      <c r="D284" t="inlineStr">
        <is>
          <t>ÖREBRO LÄN</t>
        </is>
      </c>
      <c r="E284" t="inlineStr">
        <is>
          <t>ÖREBRO</t>
        </is>
      </c>
      <c r="G284" t="n">
        <v>3.4</v>
      </c>
      <c r="H284" t="n">
        <v>0</v>
      </c>
      <c r="I284" t="n">
        <v>0</v>
      </c>
      <c r="J284" t="n">
        <v>0</v>
      </c>
      <c r="K284" t="n">
        <v>0</v>
      </c>
      <c r="L284" t="n">
        <v>0</v>
      </c>
      <c r="M284" t="n">
        <v>0</v>
      </c>
      <c r="N284" t="n">
        <v>0</v>
      </c>
      <c r="O284" t="n">
        <v>0</v>
      </c>
      <c r="P284" t="n">
        <v>0</v>
      </c>
      <c r="Q284" t="n">
        <v>0</v>
      </c>
      <c r="R284" s="2" t="inlineStr"/>
    </row>
    <row r="285" ht="15" customHeight="1">
      <c r="A285" t="inlineStr">
        <is>
          <t>A 70707-2021</t>
        </is>
      </c>
      <c r="B285" s="1" t="n">
        <v>44537</v>
      </c>
      <c r="C285" s="1" t="n">
        <v>45970</v>
      </c>
      <c r="D285" t="inlineStr">
        <is>
          <t>ÖREBRO LÄN</t>
        </is>
      </c>
      <c r="E285" t="inlineStr">
        <is>
          <t>ÖREBRO</t>
        </is>
      </c>
      <c r="G285" t="n">
        <v>13.2</v>
      </c>
      <c r="H285" t="n">
        <v>0</v>
      </c>
      <c r="I285" t="n">
        <v>0</v>
      </c>
      <c r="J285" t="n">
        <v>0</v>
      </c>
      <c r="K285" t="n">
        <v>0</v>
      </c>
      <c r="L285" t="n">
        <v>0</v>
      </c>
      <c r="M285" t="n">
        <v>0</v>
      </c>
      <c r="N285" t="n">
        <v>0</v>
      </c>
      <c r="O285" t="n">
        <v>0</v>
      </c>
      <c r="P285" t="n">
        <v>0</v>
      </c>
      <c r="Q285" t="n">
        <v>0</v>
      </c>
      <c r="R285" s="2" t="inlineStr"/>
    </row>
    <row r="286" ht="15" customHeight="1">
      <c r="A286" t="inlineStr">
        <is>
          <t>A 57243-2022</t>
        </is>
      </c>
      <c r="B286" s="1" t="n">
        <v>44895.71835648148</v>
      </c>
      <c r="C286" s="1" t="n">
        <v>45970</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2095-2025</t>
        </is>
      </c>
      <c r="B287" s="1" t="n">
        <v>45672</v>
      </c>
      <c r="C287" s="1" t="n">
        <v>45970</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58621-2024</t>
        </is>
      </c>
      <c r="B288" s="1" t="n">
        <v>45635.56321759259</v>
      </c>
      <c r="C288" s="1" t="n">
        <v>45970</v>
      </c>
      <c r="D288" t="inlineStr">
        <is>
          <t>ÖREBRO LÄN</t>
        </is>
      </c>
      <c r="E288" t="inlineStr">
        <is>
          <t>ÖREBRO</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58216-2024</t>
        </is>
      </c>
      <c r="B289" s="1" t="n">
        <v>45632</v>
      </c>
      <c r="C289" s="1" t="n">
        <v>45970</v>
      </c>
      <c r="D289" t="inlineStr">
        <is>
          <t>ÖREBRO LÄN</t>
        </is>
      </c>
      <c r="E289" t="inlineStr">
        <is>
          <t>ÖREBRO</t>
        </is>
      </c>
      <c r="G289" t="n">
        <v>1.9</v>
      </c>
      <c r="H289" t="n">
        <v>0</v>
      </c>
      <c r="I289" t="n">
        <v>0</v>
      </c>
      <c r="J289" t="n">
        <v>0</v>
      </c>
      <c r="K289" t="n">
        <v>0</v>
      </c>
      <c r="L289" t="n">
        <v>0</v>
      </c>
      <c r="M289" t="n">
        <v>0</v>
      </c>
      <c r="N289" t="n">
        <v>0</v>
      </c>
      <c r="O289" t="n">
        <v>0</v>
      </c>
      <c r="P289" t="n">
        <v>0</v>
      </c>
      <c r="Q289" t="n">
        <v>0</v>
      </c>
      <c r="R289" s="2" t="inlineStr"/>
    </row>
    <row r="290" ht="15" customHeight="1">
      <c r="A290" t="inlineStr">
        <is>
          <t>A 71275-2021</t>
        </is>
      </c>
      <c r="B290" s="1" t="n">
        <v>44539</v>
      </c>
      <c r="C290" s="1" t="n">
        <v>45970</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58608-2024</t>
        </is>
      </c>
      <c r="B291" s="1" t="n">
        <v>45635.55185185185</v>
      </c>
      <c r="C291" s="1" t="n">
        <v>45970</v>
      </c>
      <c r="D291" t="inlineStr">
        <is>
          <t>ÖREBRO LÄN</t>
        </is>
      </c>
      <c r="E291" t="inlineStr">
        <is>
          <t>ÖREBRO</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2153-2023</t>
        </is>
      </c>
      <c r="B292" s="1" t="n">
        <v>44941</v>
      </c>
      <c r="C292" s="1" t="n">
        <v>45970</v>
      </c>
      <c r="D292" t="inlineStr">
        <is>
          <t>ÖREBRO LÄN</t>
        </is>
      </c>
      <c r="E292" t="inlineStr">
        <is>
          <t>ÖREBRO</t>
        </is>
      </c>
      <c r="G292" t="n">
        <v>6.3</v>
      </c>
      <c r="H292" t="n">
        <v>0</v>
      </c>
      <c r="I292" t="n">
        <v>0</v>
      </c>
      <c r="J292" t="n">
        <v>0</v>
      </c>
      <c r="K292" t="n">
        <v>0</v>
      </c>
      <c r="L292" t="n">
        <v>0</v>
      </c>
      <c r="M292" t="n">
        <v>0</v>
      </c>
      <c r="N292" t="n">
        <v>0</v>
      </c>
      <c r="O292" t="n">
        <v>0</v>
      </c>
      <c r="P292" t="n">
        <v>0</v>
      </c>
      <c r="Q292" t="n">
        <v>0</v>
      </c>
      <c r="R292" s="2" t="inlineStr"/>
    </row>
    <row r="293" ht="15" customHeight="1">
      <c r="A293" t="inlineStr">
        <is>
          <t>A 46757-2021</t>
        </is>
      </c>
      <c r="B293" s="1" t="n">
        <v>44445</v>
      </c>
      <c r="C293" s="1" t="n">
        <v>45970</v>
      </c>
      <c r="D293" t="inlineStr">
        <is>
          <t>ÖREBRO LÄN</t>
        </is>
      </c>
      <c r="E293" t="inlineStr">
        <is>
          <t>ÖREBRO</t>
        </is>
      </c>
      <c r="G293" t="n">
        <v>5.6</v>
      </c>
      <c r="H293" t="n">
        <v>0</v>
      </c>
      <c r="I293" t="n">
        <v>0</v>
      </c>
      <c r="J293" t="n">
        <v>0</v>
      </c>
      <c r="K293" t="n">
        <v>0</v>
      </c>
      <c r="L293" t="n">
        <v>0</v>
      </c>
      <c r="M293" t="n">
        <v>0</v>
      </c>
      <c r="N293" t="n">
        <v>0</v>
      </c>
      <c r="O293" t="n">
        <v>0</v>
      </c>
      <c r="P293" t="n">
        <v>0</v>
      </c>
      <c r="Q293" t="n">
        <v>0</v>
      </c>
      <c r="R293" s="2" t="inlineStr"/>
    </row>
    <row r="294" ht="15" customHeight="1">
      <c r="A294" t="inlineStr">
        <is>
          <t>A 37012-2024</t>
        </is>
      </c>
      <c r="B294" s="1" t="n">
        <v>45539</v>
      </c>
      <c r="C294" s="1" t="n">
        <v>45970</v>
      </c>
      <c r="D294" t="inlineStr">
        <is>
          <t>ÖREBRO LÄN</t>
        </is>
      </c>
      <c r="E294" t="inlineStr">
        <is>
          <t>ÖREBRO</t>
        </is>
      </c>
      <c r="G294" t="n">
        <v>4.1</v>
      </c>
      <c r="H294" t="n">
        <v>0</v>
      </c>
      <c r="I294" t="n">
        <v>0</v>
      </c>
      <c r="J294" t="n">
        <v>0</v>
      </c>
      <c r="K294" t="n">
        <v>0</v>
      </c>
      <c r="L294" t="n">
        <v>0</v>
      </c>
      <c r="M294" t="n">
        <v>0</v>
      </c>
      <c r="N294" t="n">
        <v>0</v>
      </c>
      <c r="O294" t="n">
        <v>0</v>
      </c>
      <c r="P294" t="n">
        <v>0</v>
      </c>
      <c r="Q294" t="n">
        <v>0</v>
      </c>
      <c r="R294" s="2" t="inlineStr"/>
    </row>
    <row r="295" ht="15" customHeight="1">
      <c r="A295" t="inlineStr">
        <is>
          <t>A 37020-2024</t>
        </is>
      </c>
      <c r="B295" s="1" t="n">
        <v>45539.38059027777</v>
      </c>
      <c r="C295" s="1" t="n">
        <v>45970</v>
      </c>
      <c r="D295" t="inlineStr">
        <is>
          <t>ÖREBRO LÄN</t>
        </is>
      </c>
      <c r="E295" t="inlineStr">
        <is>
          <t>ÖREBRO</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55353-2024</t>
        </is>
      </c>
      <c r="B296" s="1" t="n">
        <v>45621.79526620371</v>
      </c>
      <c r="C296" s="1" t="n">
        <v>45970</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2069-2025</t>
        </is>
      </c>
      <c r="B297" s="1" t="n">
        <v>45672.56614583333</v>
      </c>
      <c r="C297" s="1" t="n">
        <v>45970</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852-2025</t>
        </is>
      </c>
      <c r="B298" s="1" t="n">
        <v>45665.60148148148</v>
      </c>
      <c r="C298" s="1" t="n">
        <v>45970</v>
      </c>
      <c r="D298" t="inlineStr">
        <is>
          <t>ÖREBRO LÄN</t>
        </is>
      </c>
      <c r="E298" t="inlineStr">
        <is>
          <t>ÖREBRO</t>
        </is>
      </c>
      <c r="G298" t="n">
        <v>2.9</v>
      </c>
      <c r="H298" t="n">
        <v>0</v>
      </c>
      <c r="I298" t="n">
        <v>0</v>
      </c>
      <c r="J298" t="n">
        <v>0</v>
      </c>
      <c r="K298" t="n">
        <v>0</v>
      </c>
      <c r="L298" t="n">
        <v>0</v>
      </c>
      <c r="M298" t="n">
        <v>0</v>
      </c>
      <c r="N298" t="n">
        <v>0</v>
      </c>
      <c r="O298" t="n">
        <v>0</v>
      </c>
      <c r="P298" t="n">
        <v>0</v>
      </c>
      <c r="Q298" t="n">
        <v>0</v>
      </c>
      <c r="R298" s="2" t="inlineStr"/>
    </row>
    <row r="299" ht="15" customHeight="1">
      <c r="A299" t="inlineStr">
        <is>
          <t>A 50398-2022</t>
        </is>
      </c>
      <c r="B299" s="1" t="n">
        <v>44861</v>
      </c>
      <c r="C299" s="1" t="n">
        <v>45970</v>
      </c>
      <c r="D299" t="inlineStr">
        <is>
          <t>ÖREBRO LÄN</t>
        </is>
      </c>
      <c r="E299" t="inlineStr">
        <is>
          <t>ÖREBRO</t>
        </is>
      </c>
      <c r="G299" t="n">
        <v>1.9</v>
      </c>
      <c r="H299" t="n">
        <v>0</v>
      </c>
      <c r="I299" t="n">
        <v>0</v>
      </c>
      <c r="J299" t="n">
        <v>0</v>
      </c>
      <c r="K299" t="n">
        <v>0</v>
      </c>
      <c r="L299" t="n">
        <v>0</v>
      </c>
      <c r="M299" t="n">
        <v>0</v>
      </c>
      <c r="N299" t="n">
        <v>0</v>
      </c>
      <c r="O299" t="n">
        <v>0</v>
      </c>
      <c r="P299" t="n">
        <v>0</v>
      </c>
      <c r="Q299" t="n">
        <v>0</v>
      </c>
      <c r="R299" s="2" t="inlineStr"/>
    </row>
    <row r="300" ht="15" customHeight="1">
      <c r="A300" t="inlineStr">
        <is>
          <t>A 52441-2024</t>
        </is>
      </c>
      <c r="B300" s="1" t="n">
        <v>45609.48451388889</v>
      </c>
      <c r="C300" s="1" t="n">
        <v>45970</v>
      </c>
      <c r="D300" t="inlineStr">
        <is>
          <t>ÖREBRO LÄN</t>
        </is>
      </c>
      <c r="E300" t="inlineStr">
        <is>
          <t>ÖREBRO</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52499-2024</t>
        </is>
      </c>
      <c r="B301" s="1" t="n">
        <v>45609.58422453704</v>
      </c>
      <c r="C301" s="1" t="n">
        <v>45970</v>
      </c>
      <c r="D301" t="inlineStr">
        <is>
          <t>ÖREBRO LÄN</t>
        </is>
      </c>
      <c r="E301" t="inlineStr">
        <is>
          <t>ÖREBRO</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8008-2024</t>
        </is>
      </c>
      <c r="B302" s="1" t="n">
        <v>45350.6794212963</v>
      </c>
      <c r="C302" s="1" t="n">
        <v>45970</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18181-2024</t>
        </is>
      </c>
      <c r="B303" s="1" t="n">
        <v>45420.64561342593</v>
      </c>
      <c r="C303" s="1" t="n">
        <v>45970</v>
      </c>
      <c r="D303" t="inlineStr">
        <is>
          <t>ÖREBRO LÄN</t>
        </is>
      </c>
      <c r="E303" t="inlineStr">
        <is>
          <t>ÖREBRO</t>
        </is>
      </c>
      <c r="G303" t="n">
        <v>7.6</v>
      </c>
      <c r="H303" t="n">
        <v>0</v>
      </c>
      <c r="I303" t="n">
        <v>0</v>
      </c>
      <c r="J303" t="n">
        <v>0</v>
      </c>
      <c r="K303" t="n">
        <v>0</v>
      </c>
      <c r="L303" t="n">
        <v>0</v>
      </c>
      <c r="M303" t="n">
        <v>0</v>
      </c>
      <c r="N303" t="n">
        <v>0</v>
      </c>
      <c r="O303" t="n">
        <v>0</v>
      </c>
      <c r="P303" t="n">
        <v>0</v>
      </c>
      <c r="Q303" t="n">
        <v>0</v>
      </c>
      <c r="R303" s="2" t="inlineStr"/>
    </row>
    <row r="304" ht="15" customHeight="1">
      <c r="A304" t="inlineStr">
        <is>
          <t>A 30374-2023</t>
        </is>
      </c>
      <c r="B304" s="1" t="n">
        <v>45111</v>
      </c>
      <c r="C304" s="1" t="n">
        <v>45970</v>
      </c>
      <c r="D304" t="inlineStr">
        <is>
          <t>ÖREBRO LÄN</t>
        </is>
      </c>
      <c r="E304" t="inlineStr">
        <is>
          <t>ÖREBRO</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39446-2025</t>
        </is>
      </c>
      <c r="B305" s="1" t="n">
        <v>45889.70388888889</v>
      </c>
      <c r="C305" s="1" t="n">
        <v>45970</v>
      </c>
      <c r="D305" t="inlineStr">
        <is>
          <t>ÖREBRO LÄN</t>
        </is>
      </c>
      <c r="E305" t="inlineStr">
        <is>
          <t>ÖREBRO</t>
        </is>
      </c>
      <c r="F305" t="inlineStr">
        <is>
          <t>Kyrkan</t>
        </is>
      </c>
      <c r="G305" t="n">
        <v>3.2</v>
      </c>
      <c r="H305" t="n">
        <v>0</v>
      </c>
      <c r="I305" t="n">
        <v>0</v>
      </c>
      <c r="J305" t="n">
        <v>0</v>
      </c>
      <c r="K305" t="n">
        <v>0</v>
      </c>
      <c r="L305" t="n">
        <v>0</v>
      </c>
      <c r="M305" t="n">
        <v>0</v>
      </c>
      <c r="N305" t="n">
        <v>0</v>
      </c>
      <c r="O305" t="n">
        <v>0</v>
      </c>
      <c r="P305" t="n">
        <v>0</v>
      </c>
      <c r="Q305" t="n">
        <v>0</v>
      </c>
      <c r="R305" s="2" t="inlineStr"/>
    </row>
    <row r="306" ht="15" customHeight="1">
      <c r="A306" t="inlineStr">
        <is>
          <t>A 541-2025</t>
        </is>
      </c>
      <c r="B306" s="1" t="n">
        <v>45664.52034722222</v>
      </c>
      <c r="C306" s="1" t="n">
        <v>45970</v>
      </c>
      <c r="D306" t="inlineStr">
        <is>
          <t>ÖREBRO LÄN</t>
        </is>
      </c>
      <c r="E306" t="inlineStr">
        <is>
          <t>ÖREBRO</t>
        </is>
      </c>
      <c r="G306" t="n">
        <v>2.2</v>
      </c>
      <c r="H306" t="n">
        <v>0</v>
      </c>
      <c r="I306" t="n">
        <v>0</v>
      </c>
      <c r="J306" t="n">
        <v>0</v>
      </c>
      <c r="K306" t="n">
        <v>0</v>
      </c>
      <c r="L306" t="n">
        <v>0</v>
      </c>
      <c r="M306" t="n">
        <v>0</v>
      </c>
      <c r="N306" t="n">
        <v>0</v>
      </c>
      <c r="O306" t="n">
        <v>0</v>
      </c>
      <c r="P306" t="n">
        <v>0</v>
      </c>
      <c r="Q306" t="n">
        <v>0</v>
      </c>
      <c r="R306" s="2" t="inlineStr"/>
    </row>
    <row r="307" ht="15" customHeight="1">
      <c r="A307" t="inlineStr">
        <is>
          <t>A 39479-2025</t>
        </is>
      </c>
      <c r="B307" s="1" t="n">
        <v>45890.34752314815</v>
      </c>
      <c r="C307" s="1" t="n">
        <v>45970</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38415-2023</t>
        </is>
      </c>
      <c r="B308" s="1" t="n">
        <v>45162.35502314815</v>
      </c>
      <c r="C308" s="1" t="n">
        <v>45970</v>
      </c>
      <c r="D308" t="inlineStr">
        <is>
          <t>ÖREBRO LÄN</t>
        </is>
      </c>
      <c r="E308" t="inlineStr">
        <is>
          <t>ÖREBRO</t>
        </is>
      </c>
      <c r="G308" t="n">
        <v>2.6</v>
      </c>
      <c r="H308" t="n">
        <v>0</v>
      </c>
      <c r="I308" t="n">
        <v>0</v>
      </c>
      <c r="J308" t="n">
        <v>0</v>
      </c>
      <c r="K308" t="n">
        <v>0</v>
      </c>
      <c r="L308" t="n">
        <v>0</v>
      </c>
      <c r="M308" t="n">
        <v>0</v>
      </c>
      <c r="N308" t="n">
        <v>0</v>
      </c>
      <c r="O308" t="n">
        <v>0</v>
      </c>
      <c r="P308" t="n">
        <v>0</v>
      </c>
      <c r="Q308" t="n">
        <v>0</v>
      </c>
      <c r="R308" s="2" t="inlineStr"/>
    </row>
    <row r="309" ht="15" customHeight="1">
      <c r="A309" t="inlineStr">
        <is>
          <t>A 16374-2022</t>
        </is>
      </c>
      <c r="B309" s="1" t="n">
        <v>44671</v>
      </c>
      <c r="C309" s="1" t="n">
        <v>45970</v>
      </c>
      <c r="D309" t="inlineStr">
        <is>
          <t>ÖREBRO LÄN</t>
        </is>
      </c>
      <c r="E309" t="inlineStr">
        <is>
          <t>ÖREBRO</t>
        </is>
      </c>
      <c r="F309" t="inlineStr">
        <is>
          <t>Övriga Aktiebolag</t>
        </is>
      </c>
      <c r="G309" t="n">
        <v>30.3</v>
      </c>
      <c r="H309" t="n">
        <v>0</v>
      </c>
      <c r="I309" t="n">
        <v>0</v>
      </c>
      <c r="J309" t="n">
        <v>0</v>
      </c>
      <c r="K309" t="n">
        <v>0</v>
      </c>
      <c r="L309" t="n">
        <v>0</v>
      </c>
      <c r="M309" t="n">
        <v>0</v>
      </c>
      <c r="N309" t="n">
        <v>0</v>
      </c>
      <c r="O309" t="n">
        <v>0</v>
      </c>
      <c r="P309" t="n">
        <v>0</v>
      </c>
      <c r="Q309" t="n">
        <v>0</v>
      </c>
      <c r="R309" s="2" t="inlineStr"/>
    </row>
    <row r="310" ht="15" customHeight="1">
      <c r="A310" t="inlineStr">
        <is>
          <t>A 19553-2023</t>
        </is>
      </c>
      <c r="B310" s="1" t="n">
        <v>45050</v>
      </c>
      <c r="C310" s="1" t="n">
        <v>45970</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37025-2024</t>
        </is>
      </c>
      <c r="B311" s="1" t="n">
        <v>45539.3840162037</v>
      </c>
      <c r="C311" s="1" t="n">
        <v>45970</v>
      </c>
      <c r="D311" t="inlineStr">
        <is>
          <t>ÖREBRO LÄN</t>
        </is>
      </c>
      <c r="E311" t="inlineStr">
        <is>
          <t>ÖREBRO</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37027-2024</t>
        </is>
      </c>
      <c r="B312" s="1" t="n">
        <v>45539.38487268519</v>
      </c>
      <c r="C312" s="1" t="n">
        <v>45970</v>
      </c>
      <c r="D312" t="inlineStr">
        <is>
          <t>ÖREBRO LÄN</t>
        </is>
      </c>
      <c r="E312" t="inlineStr">
        <is>
          <t>ÖREBRO</t>
        </is>
      </c>
      <c r="F312" t="inlineStr">
        <is>
          <t>Sveaskog</t>
        </is>
      </c>
      <c r="G312" t="n">
        <v>1</v>
      </c>
      <c r="H312" t="n">
        <v>0</v>
      </c>
      <c r="I312" t="n">
        <v>0</v>
      </c>
      <c r="J312" t="n">
        <v>0</v>
      </c>
      <c r="K312" t="n">
        <v>0</v>
      </c>
      <c r="L312" t="n">
        <v>0</v>
      </c>
      <c r="M312" t="n">
        <v>0</v>
      </c>
      <c r="N312" t="n">
        <v>0</v>
      </c>
      <c r="O312" t="n">
        <v>0</v>
      </c>
      <c r="P312" t="n">
        <v>0</v>
      </c>
      <c r="Q312" t="n">
        <v>0</v>
      </c>
      <c r="R312" s="2" t="inlineStr"/>
    </row>
    <row r="313" ht="15" customHeight="1">
      <c r="A313" t="inlineStr">
        <is>
          <t>A 9704-2023</t>
        </is>
      </c>
      <c r="B313" s="1" t="n">
        <v>44984</v>
      </c>
      <c r="C313" s="1" t="n">
        <v>45970</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54678-2023</t>
        </is>
      </c>
      <c r="B314" s="1" t="n">
        <v>45235</v>
      </c>
      <c r="C314" s="1" t="n">
        <v>45970</v>
      </c>
      <c r="D314" t="inlineStr">
        <is>
          <t>ÖREBRO LÄN</t>
        </is>
      </c>
      <c r="E314" t="inlineStr">
        <is>
          <t>ÖREBRO</t>
        </is>
      </c>
      <c r="G314" t="n">
        <v>1.7</v>
      </c>
      <c r="H314" t="n">
        <v>0</v>
      </c>
      <c r="I314" t="n">
        <v>0</v>
      </c>
      <c r="J314" t="n">
        <v>0</v>
      </c>
      <c r="K314" t="n">
        <v>0</v>
      </c>
      <c r="L314" t="n">
        <v>0</v>
      </c>
      <c r="M314" t="n">
        <v>0</v>
      </c>
      <c r="N314" t="n">
        <v>0</v>
      </c>
      <c r="O314" t="n">
        <v>0</v>
      </c>
      <c r="P314" t="n">
        <v>0</v>
      </c>
      <c r="Q314" t="n">
        <v>0</v>
      </c>
      <c r="R314" s="2" t="inlineStr"/>
    </row>
    <row r="315" ht="15" customHeight="1">
      <c r="A315" t="inlineStr">
        <is>
          <t>A 23594-2023</t>
        </is>
      </c>
      <c r="B315" s="1" t="n">
        <v>45077</v>
      </c>
      <c r="C315" s="1" t="n">
        <v>45970</v>
      </c>
      <c r="D315" t="inlineStr">
        <is>
          <t>ÖREBRO LÄN</t>
        </is>
      </c>
      <c r="E315" t="inlineStr">
        <is>
          <t>ÖREBRO</t>
        </is>
      </c>
      <c r="G315" t="n">
        <v>9.9</v>
      </c>
      <c r="H315" t="n">
        <v>0</v>
      </c>
      <c r="I315" t="n">
        <v>0</v>
      </c>
      <c r="J315" t="n">
        <v>0</v>
      </c>
      <c r="K315" t="n">
        <v>0</v>
      </c>
      <c r="L315" t="n">
        <v>0</v>
      </c>
      <c r="M315" t="n">
        <v>0</v>
      </c>
      <c r="N315" t="n">
        <v>0</v>
      </c>
      <c r="O315" t="n">
        <v>0</v>
      </c>
      <c r="P315" t="n">
        <v>0</v>
      </c>
      <c r="Q315" t="n">
        <v>0</v>
      </c>
      <c r="R315" s="2" t="inlineStr"/>
    </row>
    <row r="316" ht="15" customHeight="1">
      <c r="A316" t="inlineStr">
        <is>
          <t>A 8022-2022</t>
        </is>
      </c>
      <c r="B316" s="1" t="n">
        <v>44609</v>
      </c>
      <c r="C316" s="1" t="n">
        <v>45970</v>
      </c>
      <c r="D316" t="inlineStr">
        <is>
          <t>ÖREBRO LÄN</t>
        </is>
      </c>
      <c r="E316" t="inlineStr">
        <is>
          <t>ÖREBRO</t>
        </is>
      </c>
      <c r="G316" t="n">
        <v>5.6</v>
      </c>
      <c r="H316" t="n">
        <v>0</v>
      </c>
      <c r="I316" t="n">
        <v>0</v>
      </c>
      <c r="J316" t="n">
        <v>0</v>
      </c>
      <c r="K316" t="n">
        <v>0</v>
      </c>
      <c r="L316" t="n">
        <v>0</v>
      </c>
      <c r="M316" t="n">
        <v>0</v>
      </c>
      <c r="N316" t="n">
        <v>0</v>
      </c>
      <c r="O316" t="n">
        <v>0</v>
      </c>
      <c r="P316" t="n">
        <v>0</v>
      </c>
      <c r="Q316" t="n">
        <v>0</v>
      </c>
      <c r="R316" s="2" t="inlineStr"/>
    </row>
    <row r="317" ht="15" customHeight="1">
      <c r="A317" t="inlineStr">
        <is>
          <t>A 47193-2023</t>
        </is>
      </c>
      <c r="B317" s="1" t="n">
        <v>45202.3074537037</v>
      </c>
      <c r="C317" s="1" t="n">
        <v>45970</v>
      </c>
      <c r="D317" t="inlineStr">
        <is>
          <t>ÖREBRO LÄN</t>
        </is>
      </c>
      <c r="E317" t="inlineStr">
        <is>
          <t>ÖREBRO</t>
        </is>
      </c>
      <c r="G317" t="n">
        <v>2.4</v>
      </c>
      <c r="H317" t="n">
        <v>0</v>
      </c>
      <c r="I317" t="n">
        <v>0</v>
      </c>
      <c r="J317" t="n">
        <v>0</v>
      </c>
      <c r="K317" t="n">
        <v>0</v>
      </c>
      <c r="L317" t="n">
        <v>0</v>
      </c>
      <c r="M317" t="n">
        <v>0</v>
      </c>
      <c r="N317" t="n">
        <v>0</v>
      </c>
      <c r="O317" t="n">
        <v>0</v>
      </c>
      <c r="P317" t="n">
        <v>0</v>
      </c>
      <c r="Q317" t="n">
        <v>0</v>
      </c>
      <c r="R317" s="2" t="inlineStr"/>
    </row>
    <row r="318" ht="15" customHeight="1">
      <c r="A318" t="inlineStr">
        <is>
          <t>A 19180-2025</t>
        </is>
      </c>
      <c r="B318" s="1" t="n">
        <v>45769.40133101852</v>
      </c>
      <c r="C318" s="1" t="n">
        <v>45970</v>
      </c>
      <c r="D318" t="inlineStr">
        <is>
          <t>ÖREBRO LÄN</t>
        </is>
      </c>
      <c r="E318" t="inlineStr">
        <is>
          <t>ÖREBRO</t>
        </is>
      </c>
      <c r="G318" t="n">
        <v>1.1</v>
      </c>
      <c r="H318" t="n">
        <v>0</v>
      </c>
      <c r="I318" t="n">
        <v>0</v>
      </c>
      <c r="J318" t="n">
        <v>0</v>
      </c>
      <c r="K318" t="n">
        <v>0</v>
      </c>
      <c r="L318" t="n">
        <v>0</v>
      </c>
      <c r="M318" t="n">
        <v>0</v>
      </c>
      <c r="N318" t="n">
        <v>0</v>
      </c>
      <c r="O318" t="n">
        <v>0</v>
      </c>
      <c r="P318" t="n">
        <v>0</v>
      </c>
      <c r="Q318" t="n">
        <v>0</v>
      </c>
      <c r="R318" s="2" t="inlineStr"/>
    </row>
    <row r="319" ht="15" customHeight="1">
      <c r="A319" t="inlineStr">
        <is>
          <t>A 46052-2024</t>
        </is>
      </c>
      <c r="B319" s="1" t="n">
        <v>45580.89116898148</v>
      </c>
      <c r="C319" s="1" t="n">
        <v>45970</v>
      </c>
      <c r="D319" t="inlineStr">
        <is>
          <t>ÖREBRO LÄN</t>
        </is>
      </c>
      <c r="E319" t="inlineStr">
        <is>
          <t>ÖREBRO</t>
        </is>
      </c>
      <c r="F319" t="inlineStr">
        <is>
          <t>Övriga Aktiebolag</t>
        </is>
      </c>
      <c r="G319" t="n">
        <v>0.6</v>
      </c>
      <c r="H319" t="n">
        <v>0</v>
      </c>
      <c r="I319" t="n">
        <v>0</v>
      </c>
      <c r="J319" t="n">
        <v>0</v>
      </c>
      <c r="K319" t="n">
        <v>0</v>
      </c>
      <c r="L319" t="n">
        <v>0</v>
      </c>
      <c r="M319" t="n">
        <v>0</v>
      </c>
      <c r="N319" t="n">
        <v>0</v>
      </c>
      <c r="O319" t="n">
        <v>0</v>
      </c>
      <c r="P319" t="n">
        <v>0</v>
      </c>
      <c r="Q319" t="n">
        <v>0</v>
      </c>
      <c r="R319" s="2" t="inlineStr"/>
    </row>
    <row r="320" ht="15" customHeight="1">
      <c r="A320" t="inlineStr">
        <is>
          <t>A 58598-2022</t>
        </is>
      </c>
      <c r="B320" s="1" t="n">
        <v>44902</v>
      </c>
      <c r="C320" s="1" t="n">
        <v>45970</v>
      </c>
      <c r="D320" t="inlineStr">
        <is>
          <t>ÖREBRO LÄN</t>
        </is>
      </c>
      <c r="E320" t="inlineStr">
        <is>
          <t>ÖREBRO</t>
        </is>
      </c>
      <c r="G320" t="n">
        <v>0.4</v>
      </c>
      <c r="H320" t="n">
        <v>0</v>
      </c>
      <c r="I320" t="n">
        <v>0</v>
      </c>
      <c r="J320" t="n">
        <v>0</v>
      </c>
      <c r="K320" t="n">
        <v>0</v>
      </c>
      <c r="L320" t="n">
        <v>0</v>
      </c>
      <c r="M320" t="n">
        <v>0</v>
      </c>
      <c r="N320" t="n">
        <v>0</v>
      </c>
      <c r="O320" t="n">
        <v>0</v>
      </c>
      <c r="P320" t="n">
        <v>0</v>
      </c>
      <c r="Q320" t="n">
        <v>0</v>
      </c>
      <c r="R320" s="2" t="inlineStr"/>
    </row>
    <row r="321" ht="15" customHeight="1">
      <c r="A321" t="inlineStr">
        <is>
          <t>A 58527-2024</t>
        </is>
      </c>
      <c r="B321" s="1" t="n">
        <v>45635.44388888889</v>
      </c>
      <c r="C321" s="1" t="n">
        <v>45970</v>
      </c>
      <c r="D321" t="inlineStr">
        <is>
          <t>ÖREBRO LÄN</t>
        </is>
      </c>
      <c r="E321" t="inlineStr">
        <is>
          <t>ÖREBRO</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71206-2021</t>
        </is>
      </c>
      <c r="B322" s="1" t="n">
        <v>44539</v>
      </c>
      <c r="C322" s="1" t="n">
        <v>45970</v>
      </c>
      <c r="D322" t="inlineStr">
        <is>
          <t>ÖREBRO LÄN</t>
        </is>
      </c>
      <c r="E322" t="inlineStr">
        <is>
          <t>ÖREBRO</t>
        </is>
      </c>
      <c r="G322" t="n">
        <v>2.5</v>
      </c>
      <c r="H322" t="n">
        <v>0</v>
      </c>
      <c r="I322" t="n">
        <v>0</v>
      </c>
      <c r="J322" t="n">
        <v>0</v>
      </c>
      <c r="K322" t="n">
        <v>0</v>
      </c>
      <c r="L322" t="n">
        <v>0</v>
      </c>
      <c r="M322" t="n">
        <v>0</v>
      </c>
      <c r="N322" t="n">
        <v>0</v>
      </c>
      <c r="O322" t="n">
        <v>0</v>
      </c>
      <c r="P322" t="n">
        <v>0</v>
      </c>
      <c r="Q322" t="n">
        <v>0</v>
      </c>
      <c r="R322" s="2" t="inlineStr"/>
    </row>
    <row r="323" ht="15" customHeight="1">
      <c r="A323" t="inlineStr">
        <is>
          <t>A 37022-2024</t>
        </is>
      </c>
      <c r="B323" s="1" t="n">
        <v>45539.3822337963</v>
      </c>
      <c r="C323" s="1" t="n">
        <v>45970</v>
      </c>
      <c r="D323" t="inlineStr">
        <is>
          <t>ÖREBRO LÄN</t>
        </is>
      </c>
      <c r="E323" t="inlineStr">
        <is>
          <t>ÖREBRO</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37024-2024</t>
        </is>
      </c>
      <c r="B324" s="1" t="n">
        <v>45539.38329861111</v>
      </c>
      <c r="C324" s="1" t="n">
        <v>45970</v>
      </c>
      <c r="D324" t="inlineStr">
        <is>
          <t>ÖREBRO LÄN</t>
        </is>
      </c>
      <c r="E324" t="inlineStr">
        <is>
          <t>ÖREBRO</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58219-2024</t>
        </is>
      </c>
      <c r="B325" s="1" t="n">
        <v>45632</v>
      </c>
      <c r="C325" s="1" t="n">
        <v>45970</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38075-2022</t>
        </is>
      </c>
      <c r="B326" s="1" t="n">
        <v>44811</v>
      </c>
      <c r="C326" s="1" t="n">
        <v>45970</v>
      </c>
      <c r="D326" t="inlineStr">
        <is>
          <t>ÖREBRO LÄN</t>
        </is>
      </c>
      <c r="E326" t="inlineStr">
        <is>
          <t>ÖREBRO</t>
        </is>
      </c>
      <c r="G326" t="n">
        <v>0.2</v>
      </c>
      <c r="H326" t="n">
        <v>0</v>
      </c>
      <c r="I326" t="n">
        <v>0</v>
      </c>
      <c r="J326" t="n">
        <v>0</v>
      </c>
      <c r="K326" t="n">
        <v>0</v>
      </c>
      <c r="L326" t="n">
        <v>0</v>
      </c>
      <c r="M326" t="n">
        <v>0</v>
      </c>
      <c r="N326" t="n">
        <v>0</v>
      </c>
      <c r="O326" t="n">
        <v>0</v>
      </c>
      <c r="P326" t="n">
        <v>0</v>
      </c>
      <c r="Q326" t="n">
        <v>0</v>
      </c>
      <c r="R326" s="2" t="inlineStr"/>
    </row>
    <row r="327" ht="15" customHeight="1">
      <c r="A327" t="inlineStr">
        <is>
          <t>A 11382-2023</t>
        </is>
      </c>
      <c r="B327" s="1" t="n">
        <v>44993.45635416666</v>
      </c>
      <c r="C327" s="1" t="n">
        <v>45970</v>
      </c>
      <c r="D327" t="inlineStr">
        <is>
          <t>ÖREBRO LÄN</t>
        </is>
      </c>
      <c r="E327" t="inlineStr">
        <is>
          <t>ÖREBRO</t>
        </is>
      </c>
      <c r="G327" t="n">
        <v>3.3</v>
      </c>
      <c r="H327" t="n">
        <v>0</v>
      </c>
      <c r="I327" t="n">
        <v>0</v>
      </c>
      <c r="J327" t="n">
        <v>0</v>
      </c>
      <c r="K327" t="n">
        <v>0</v>
      </c>
      <c r="L327" t="n">
        <v>0</v>
      </c>
      <c r="M327" t="n">
        <v>0</v>
      </c>
      <c r="N327" t="n">
        <v>0</v>
      </c>
      <c r="O327" t="n">
        <v>0</v>
      </c>
      <c r="P327" t="n">
        <v>0</v>
      </c>
      <c r="Q327" t="n">
        <v>0</v>
      </c>
      <c r="R327" s="2" t="inlineStr"/>
    </row>
    <row r="328" ht="15" customHeight="1">
      <c r="A328" t="inlineStr">
        <is>
          <t>A 20121-2024</t>
        </is>
      </c>
      <c r="B328" s="1" t="n">
        <v>45434</v>
      </c>
      <c r="C328" s="1" t="n">
        <v>45970</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16739-2022</t>
        </is>
      </c>
      <c r="B329" s="1" t="n">
        <v>44673</v>
      </c>
      <c r="C329" s="1" t="n">
        <v>45970</v>
      </c>
      <c r="D329" t="inlineStr">
        <is>
          <t>ÖREBRO LÄN</t>
        </is>
      </c>
      <c r="E329" t="inlineStr">
        <is>
          <t>ÖREBRO</t>
        </is>
      </c>
      <c r="G329" t="n">
        <v>4.7</v>
      </c>
      <c r="H329" t="n">
        <v>0</v>
      </c>
      <c r="I329" t="n">
        <v>0</v>
      </c>
      <c r="J329" t="n">
        <v>0</v>
      </c>
      <c r="K329" t="n">
        <v>0</v>
      </c>
      <c r="L329" t="n">
        <v>0</v>
      </c>
      <c r="M329" t="n">
        <v>0</v>
      </c>
      <c r="N329" t="n">
        <v>0</v>
      </c>
      <c r="O329" t="n">
        <v>0</v>
      </c>
      <c r="P329" t="n">
        <v>0</v>
      </c>
      <c r="Q329" t="n">
        <v>0</v>
      </c>
      <c r="R329" s="2" t="inlineStr"/>
    </row>
    <row r="330" ht="15" customHeight="1">
      <c r="A330" t="inlineStr">
        <is>
          <t>A 42518-2021</t>
        </is>
      </c>
      <c r="B330" s="1" t="n">
        <v>44427.81496527778</v>
      </c>
      <c r="C330" s="1" t="n">
        <v>45970</v>
      </c>
      <c r="D330" t="inlineStr">
        <is>
          <t>ÖREBRO LÄN</t>
        </is>
      </c>
      <c r="E330" t="inlineStr">
        <is>
          <t>ÖREBRO</t>
        </is>
      </c>
      <c r="G330" t="n">
        <v>4.5</v>
      </c>
      <c r="H330" t="n">
        <v>0</v>
      </c>
      <c r="I330" t="n">
        <v>0</v>
      </c>
      <c r="J330" t="n">
        <v>0</v>
      </c>
      <c r="K330" t="n">
        <v>0</v>
      </c>
      <c r="L330" t="n">
        <v>0</v>
      </c>
      <c r="M330" t="n">
        <v>0</v>
      </c>
      <c r="N330" t="n">
        <v>0</v>
      </c>
      <c r="O330" t="n">
        <v>0</v>
      </c>
      <c r="P330" t="n">
        <v>0</v>
      </c>
      <c r="Q330" t="n">
        <v>0</v>
      </c>
      <c r="R330" s="2" t="inlineStr"/>
    </row>
    <row r="331" ht="15" customHeight="1">
      <c r="A331" t="inlineStr">
        <is>
          <t>A 14545-2023</t>
        </is>
      </c>
      <c r="B331" s="1" t="n">
        <v>45013.34895833334</v>
      </c>
      <c r="C331" s="1" t="n">
        <v>45970</v>
      </c>
      <c r="D331" t="inlineStr">
        <is>
          <t>ÖREBRO LÄN</t>
        </is>
      </c>
      <c r="E331" t="inlineStr">
        <is>
          <t>ÖREBRO</t>
        </is>
      </c>
      <c r="G331" t="n">
        <v>2.5</v>
      </c>
      <c r="H331" t="n">
        <v>0</v>
      </c>
      <c r="I331" t="n">
        <v>0</v>
      </c>
      <c r="J331" t="n">
        <v>0</v>
      </c>
      <c r="K331" t="n">
        <v>0</v>
      </c>
      <c r="L331" t="n">
        <v>0</v>
      </c>
      <c r="M331" t="n">
        <v>0</v>
      </c>
      <c r="N331" t="n">
        <v>0</v>
      </c>
      <c r="O331" t="n">
        <v>0</v>
      </c>
      <c r="P331" t="n">
        <v>0</v>
      </c>
      <c r="Q331" t="n">
        <v>0</v>
      </c>
      <c r="R331" s="2" t="inlineStr"/>
    </row>
    <row r="332" ht="15" customHeight="1">
      <c r="A332" t="inlineStr">
        <is>
          <t>A 26117-2021</t>
        </is>
      </c>
      <c r="B332" s="1" t="n">
        <v>44345</v>
      </c>
      <c r="C332" s="1" t="n">
        <v>45970</v>
      </c>
      <c r="D332" t="inlineStr">
        <is>
          <t>ÖREBRO LÄN</t>
        </is>
      </c>
      <c r="E332" t="inlineStr">
        <is>
          <t>ÖREBRO</t>
        </is>
      </c>
      <c r="G332" t="n">
        <v>8.1</v>
      </c>
      <c r="H332" t="n">
        <v>0</v>
      </c>
      <c r="I332" t="n">
        <v>0</v>
      </c>
      <c r="J332" t="n">
        <v>0</v>
      </c>
      <c r="K332" t="n">
        <v>0</v>
      </c>
      <c r="L332" t="n">
        <v>0</v>
      </c>
      <c r="M332" t="n">
        <v>0</v>
      </c>
      <c r="N332" t="n">
        <v>0</v>
      </c>
      <c r="O332" t="n">
        <v>0</v>
      </c>
      <c r="P332" t="n">
        <v>0</v>
      </c>
      <c r="Q332" t="n">
        <v>0</v>
      </c>
      <c r="R332" s="2" t="inlineStr"/>
    </row>
    <row r="333" ht="15" customHeight="1">
      <c r="A333" t="inlineStr">
        <is>
          <t>A 27112-2023</t>
        </is>
      </c>
      <c r="B333" s="1" t="n">
        <v>45096</v>
      </c>
      <c r="C333" s="1" t="n">
        <v>45970</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14524-2025</t>
        </is>
      </c>
      <c r="B334" s="1" t="n">
        <v>45741.64815972222</v>
      </c>
      <c r="C334" s="1" t="n">
        <v>45970</v>
      </c>
      <c r="D334" t="inlineStr">
        <is>
          <t>ÖREBRO LÄN</t>
        </is>
      </c>
      <c r="E334" t="inlineStr">
        <is>
          <t>ÖREBRO</t>
        </is>
      </c>
      <c r="G334" t="n">
        <v>2.8</v>
      </c>
      <c r="H334" t="n">
        <v>0</v>
      </c>
      <c r="I334" t="n">
        <v>0</v>
      </c>
      <c r="J334" t="n">
        <v>0</v>
      </c>
      <c r="K334" t="n">
        <v>0</v>
      </c>
      <c r="L334" t="n">
        <v>0</v>
      </c>
      <c r="M334" t="n">
        <v>0</v>
      </c>
      <c r="N334" t="n">
        <v>0</v>
      </c>
      <c r="O334" t="n">
        <v>0</v>
      </c>
      <c r="P334" t="n">
        <v>0</v>
      </c>
      <c r="Q334" t="n">
        <v>0</v>
      </c>
      <c r="R334" s="2" t="inlineStr"/>
    </row>
    <row r="335" ht="15" customHeight="1">
      <c r="A335" t="inlineStr">
        <is>
          <t>A 55943-2024</t>
        </is>
      </c>
      <c r="B335" s="1" t="n">
        <v>45623.61278935185</v>
      </c>
      <c r="C335" s="1" t="n">
        <v>45970</v>
      </c>
      <c r="D335" t="inlineStr">
        <is>
          <t>ÖREBRO LÄN</t>
        </is>
      </c>
      <c r="E335" t="inlineStr">
        <is>
          <t>ÖREBRO</t>
        </is>
      </c>
      <c r="G335" t="n">
        <v>4.8</v>
      </c>
      <c r="H335" t="n">
        <v>0</v>
      </c>
      <c r="I335" t="n">
        <v>0</v>
      </c>
      <c r="J335" t="n">
        <v>0</v>
      </c>
      <c r="K335" t="n">
        <v>0</v>
      </c>
      <c r="L335" t="n">
        <v>0</v>
      </c>
      <c r="M335" t="n">
        <v>0</v>
      </c>
      <c r="N335" t="n">
        <v>0</v>
      </c>
      <c r="O335" t="n">
        <v>0</v>
      </c>
      <c r="P335" t="n">
        <v>0</v>
      </c>
      <c r="Q335" t="n">
        <v>0</v>
      </c>
      <c r="R335" s="2" t="inlineStr"/>
    </row>
    <row r="336" ht="15" customHeight="1">
      <c r="A336" t="inlineStr">
        <is>
          <t>A 9379-2024</t>
        </is>
      </c>
      <c r="B336" s="1" t="n">
        <v>45359.37298611111</v>
      </c>
      <c r="C336" s="1" t="n">
        <v>45970</v>
      </c>
      <c r="D336" t="inlineStr">
        <is>
          <t>ÖREBRO LÄN</t>
        </is>
      </c>
      <c r="E336" t="inlineStr">
        <is>
          <t>ÖREBRO</t>
        </is>
      </c>
      <c r="G336" t="n">
        <v>2.4</v>
      </c>
      <c r="H336" t="n">
        <v>0</v>
      </c>
      <c r="I336" t="n">
        <v>0</v>
      </c>
      <c r="J336" t="n">
        <v>0</v>
      </c>
      <c r="K336" t="n">
        <v>0</v>
      </c>
      <c r="L336" t="n">
        <v>0</v>
      </c>
      <c r="M336" t="n">
        <v>0</v>
      </c>
      <c r="N336" t="n">
        <v>0</v>
      </c>
      <c r="O336" t="n">
        <v>0</v>
      </c>
      <c r="P336" t="n">
        <v>0</v>
      </c>
      <c r="Q336" t="n">
        <v>0</v>
      </c>
      <c r="R336" s="2" t="inlineStr"/>
    </row>
    <row r="337" ht="15" customHeight="1">
      <c r="A337" t="inlineStr">
        <is>
          <t>A 1013-2024</t>
        </is>
      </c>
      <c r="B337" s="1" t="n">
        <v>45301</v>
      </c>
      <c r="C337" s="1" t="n">
        <v>45970</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13623-2024</t>
        </is>
      </c>
      <c r="B338" s="1" t="n">
        <v>45390.38626157407</v>
      </c>
      <c r="C338" s="1" t="n">
        <v>45970</v>
      </c>
      <c r="D338" t="inlineStr">
        <is>
          <t>ÖREBRO LÄN</t>
        </is>
      </c>
      <c r="E338" t="inlineStr">
        <is>
          <t>ÖREBRO</t>
        </is>
      </c>
      <c r="G338" t="n">
        <v>1.1</v>
      </c>
      <c r="H338" t="n">
        <v>0</v>
      </c>
      <c r="I338" t="n">
        <v>0</v>
      </c>
      <c r="J338" t="n">
        <v>0</v>
      </c>
      <c r="K338" t="n">
        <v>0</v>
      </c>
      <c r="L338" t="n">
        <v>0</v>
      </c>
      <c r="M338" t="n">
        <v>0</v>
      </c>
      <c r="N338" t="n">
        <v>0</v>
      </c>
      <c r="O338" t="n">
        <v>0</v>
      </c>
      <c r="P338" t="n">
        <v>0</v>
      </c>
      <c r="Q338" t="n">
        <v>0</v>
      </c>
      <c r="R338" s="2" t="inlineStr"/>
    </row>
    <row r="339" ht="15" customHeight="1">
      <c r="A339" t="inlineStr">
        <is>
          <t>A 5398-2022</t>
        </is>
      </c>
      <c r="B339" s="1" t="n">
        <v>44595.3353587963</v>
      </c>
      <c r="C339" s="1" t="n">
        <v>45970</v>
      </c>
      <c r="D339" t="inlineStr">
        <is>
          <t>ÖREBRO LÄN</t>
        </is>
      </c>
      <c r="E339" t="inlineStr">
        <is>
          <t>ÖREBRO</t>
        </is>
      </c>
      <c r="G339" t="n">
        <v>2.1</v>
      </c>
      <c r="H339" t="n">
        <v>0</v>
      </c>
      <c r="I339" t="n">
        <v>0</v>
      </c>
      <c r="J339" t="n">
        <v>0</v>
      </c>
      <c r="K339" t="n">
        <v>0</v>
      </c>
      <c r="L339" t="n">
        <v>0</v>
      </c>
      <c r="M339" t="n">
        <v>0</v>
      </c>
      <c r="N339" t="n">
        <v>0</v>
      </c>
      <c r="O339" t="n">
        <v>0</v>
      </c>
      <c r="P339" t="n">
        <v>0</v>
      </c>
      <c r="Q339" t="n">
        <v>0</v>
      </c>
      <c r="R339" s="2" t="inlineStr"/>
    </row>
    <row r="340" ht="15" customHeight="1">
      <c r="A340" t="inlineStr">
        <is>
          <t>A 46834-2022</t>
        </is>
      </c>
      <c r="B340" s="1" t="n">
        <v>44851</v>
      </c>
      <c r="C340" s="1" t="n">
        <v>45970</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57638-2022</t>
        </is>
      </c>
      <c r="B341" s="1" t="n">
        <v>44897</v>
      </c>
      <c r="C341" s="1" t="n">
        <v>45970</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41995-2024</t>
        </is>
      </c>
      <c r="B342" s="1" t="n">
        <v>45561.6475462963</v>
      </c>
      <c r="C342" s="1" t="n">
        <v>45970</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2152-2023</t>
        </is>
      </c>
      <c r="B343" s="1" t="n">
        <v>44941.55056712963</v>
      </c>
      <c r="C343" s="1" t="n">
        <v>45970</v>
      </c>
      <c r="D343" t="inlineStr">
        <is>
          <t>ÖREBRO LÄN</t>
        </is>
      </c>
      <c r="E343" t="inlineStr">
        <is>
          <t>ÖREBRO</t>
        </is>
      </c>
      <c r="G343" t="n">
        <v>8</v>
      </c>
      <c r="H343" t="n">
        <v>0</v>
      </c>
      <c r="I343" t="n">
        <v>0</v>
      </c>
      <c r="J343" t="n">
        <v>0</v>
      </c>
      <c r="K343" t="n">
        <v>0</v>
      </c>
      <c r="L343" t="n">
        <v>0</v>
      </c>
      <c r="M343" t="n">
        <v>0</v>
      </c>
      <c r="N343" t="n">
        <v>0</v>
      </c>
      <c r="O343" t="n">
        <v>0</v>
      </c>
      <c r="P343" t="n">
        <v>0</v>
      </c>
      <c r="Q343" t="n">
        <v>0</v>
      </c>
      <c r="R343" s="2" t="inlineStr"/>
    </row>
    <row r="344" ht="15" customHeight="1">
      <c r="A344" t="inlineStr">
        <is>
          <t>A 5330-2024</t>
        </is>
      </c>
      <c r="B344" s="1" t="n">
        <v>45331.4187962963</v>
      </c>
      <c r="C344" s="1" t="n">
        <v>45970</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16737-2023</t>
        </is>
      </c>
      <c r="B345" s="1" t="n">
        <v>45030.72472222222</v>
      </c>
      <c r="C345" s="1" t="n">
        <v>45970</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55745-2023</t>
        </is>
      </c>
      <c r="B346" s="1" t="n">
        <v>45239.44811342593</v>
      </c>
      <c r="C346" s="1" t="n">
        <v>45970</v>
      </c>
      <c r="D346" t="inlineStr">
        <is>
          <t>ÖREBRO LÄN</t>
        </is>
      </c>
      <c r="E346" t="inlineStr">
        <is>
          <t>ÖREBRO</t>
        </is>
      </c>
      <c r="G346" t="n">
        <v>13.3</v>
      </c>
      <c r="H346" t="n">
        <v>0</v>
      </c>
      <c r="I346" t="n">
        <v>0</v>
      </c>
      <c r="J346" t="n">
        <v>0</v>
      </c>
      <c r="K346" t="n">
        <v>0</v>
      </c>
      <c r="L346" t="n">
        <v>0</v>
      </c>
      <c r="M346" t="n">
        <v>0</v>
      </c>
      <c r="N346" t="n">
        <v>0</v>
      </c>
      <c r="O346" t="n">
        <v>0</v>
      </c>
      <c r="P346" t="n">
        <v>0</v>
      </c>
      <c r="Q346" t="n">
        <v>0</v>
      </c>
      <c r="R346" s="2" t="inlineStr"/>
    </row>
    <row r="347" ht="15" customHeight="1">
      <c r="A347" t="inlineStr">
        <is>
          <t>A 6794-2025</t>
        </is>
      </c>
      <c r="B347" s="1" t="n">
        <v>45700.66429398148</v>
      </c>
      <c r="C347" s="1" t="n">
        <v>45970</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15866-2022</t>
        </is>
      </c>
      <c r="B348" s="1" t="n">
        <v>44664</v>
      </c>
      <c r="C348" s="1" t="n">
        <v>45970</v>
      </c>
      <c r="D348" t="inlineStr">
        <is>
          <t>ÖREBRO LÄN</t>
        </is>
      </c>
      <c r="E348" t="inlineStr">
        <is>
          <t>ÖREBRO</t>
        </is>
      </c>
      <c r="G348" t="n">
        <v>4</v>
      </c>
      <c r="H348" t="n">
        <v>0</v>
      </c>
      <c r="I348" t="n">
        <v>0</v>
      </c>
      <c r="J348" t="n">
        <v>0</v>
      </c>
      <c r="K348" t="n">
        <v>0</v>
      </c>
      <c r="L348" t="n">
        <v>0</v>
      </c>
      <c r="M348" t="n">
        <v>0</v>
      </c>
      <c r="N348" t="n">
        <v>0</v>
      </c>
      <c r="O348" t="n">
        <v>0</v>
      </c>
      <c r="P348" t="n">
        <v>0</v>
      </c>
      <c r="Q348" t="n">
        <v>0</v>
      </c>
      <c r="R348" s="2" t="inlineStr"/>
    </row>
    <row r="349" ht="15" customHeight="1">
      <c r="A349" t="inlineStr">
        <is>
          <t>A 2318-2023</t>
        </is>
      </c>
      <c r="B349" s="1" t="n">
        <v>44942</v>
      </c>
      <c r="C349" s="1" t="n">
        <v>45970</v>
      </c>
      <c r="D349" t="inlineStr">
        <is>
          <t>ÖREBRO LÄN</t>
        </is>
      </c>
      <c r="E349" t="inlineStr">
        <is>
          <t>ÖREBRO</t>
        </is>
      </c>
      <c r="G349" t="n">
        <v>1.9</v>
      </c>
      <c r="H349" t="n">
        <v>0</v>
      </c>
      <c r="I349" t="n">
        <v>0</v>
      </c>
      <c r="J349" t="n">
        <v>0</v>
      </c>
      <c r="K349" t="n">
        <v>0</v>
      </c>
      <c r="L349" t="n">
        <v>0</v>
      </c>
      <c r="M349" t="n">
        <v>0</v>
      </c>
      <c r="N349" t="n">
        <v>0</v>
      </c>
      <c r="O349" t="n">
        <v>0</v>
      </c>
      <c r="P349" t="n">
        <v>0</v>
      </c>
      <c r="Q349" t="n">
        <v>0</v>
      </c>
      <c r="R349" s="2" t="inlineStr"/>
    </row>
    <row r="350" ht="15" customHeight="1">
      <c r="A350" t="inlineStr">
        <is>
          <t>A 48644-2024</t>
        </is>
      </c>
      <c r="B350" s="1" t="n">
        <v>45593.47466435185</v>
      </c>
      <c r="C350" s="1" t="n">
        <v>45970</v>
      </c>
      <c r="D350" t="inlineStr">
        <is>
          <t>ÖREBRO LÄN</t>
        </is>
      </c>
      <c r="E350" t="inlineStr">
        <is>
          <t>ÖREBRO</t>
        </is>
      </c>
      <c r="F350" t="inlineStr">
        <is>
          <t>Övriga Aktiebolag</t>
        </is>
      </c>
      <c r="G350" t="n">
        <v>1.1</v>
      </c>
      <c r="H350" t="n">
        <v>0</v>
      </c>
      <c r="I350" t="n">
        <v>0</v>
      </c>
      <c r="J350" t="n">
        <v>0</v>
      </c>
      <c r="K350" t="n">
        <v>0</v>
      </c>
      <c r="L350" t="n">
        <v>0</v>
      </c>
      <c r="M350" t="n">
        <v>0</v>
      </c>
      <c r="N350" t="n">
        <v>0</v>
      </c>
      <c r="O350" t="n">
        <v>0</v>
      </c>
      <c r="P350" t="n">
        <v>0</v>
      </c>
      <c r="Q350" t="n">
        <v>0</v>
      </c>
      <c r="R350" s="2" t="inlineStr"/>
    </row>
    <row r="351" ht="15" customHeight="1">
      <c r="A351" t="inlineStr">
        <is>
          <t>A 71285-2021</t>
        </is>
      </c>
      <c r="B351" s="1" t="n">
        <v>44539.62236111111</v>
      </c>
      <c r="C351" s="1" t="n">
        <v>45970</v>
      </c>
      <c r="D351" t="inlineStr">
        <is>
          <t>ÖREBRO LÄN</t>
        </is>
      </c>
      <c r="E351" t="inlineStr">
        <is>
          <t>ÖREBRO</t>
        </is>
      </c>
      <c r="G351" t="n">
        <v>0.8</v>
      </c>
      <c r="H351" t="n">
        <v>0</v>
      </c>
      <c r="I351" t="n">
        <v>0</v>
      </c>
      <c r="J351" t="n">
        <v>0</v>
      </c>
      <c r="K351" t="n">
        <v>0</v>
      </c>
      <c r="L351" t="n">
        <v>0</v>
      </c>
      <c r="M351" t="n">
        <v>0</v>
      </c>
      <c r="N351" t="n">
        <v>0</v>
      </c>
      <c r="O351" t="n">
        <v>0</v>
      </c>
      <c r="P351" t="n">
        <v>0</v>
      </c>
      <c r="Q351" t="n">
        <v>0</v>
      </c>
      <c r="R351" s="2" t="inlineStr"/>
    </row>
    <row r="352" ht="15" customHeight="1">
      <c r="A352" t="inlineStr">
        <is>
          <t>A 5764-2022</t>
        </is>
      </c>
      <c r="B352" s="1" t="n">
        <v>44596</v>
      </c>
      <c r="C352" s="1" t="n">
        <v>45970</v>
      </c>
      <c r="D352" t="inlineStr">
        <is>
          <t>ÖREBRO LÄN</t>
        </is>
      </c>
      <c r="E352" t="inlineStr">
        <is>
          <t>ÖREBRO</t>
        </is>
      </c>
      <c r="G352" t="n">
        <v>3.5</v>
      </c>
      <c r="H352" t="n">
        <v>0</v>
      </c>
      <c r="I352" t="n">
        <v>0</v>
      </c>
      <c r="J352" t="n">
        <v>0</v>
      </c>
      <c r="K352" t="n">
        <v>0</v>
      </c>
      <c r="L352" t="n">
        <v>0</v>
      </c>
      <c r="M352" t="n">
        <v>0</v>
      </c>
      <c r="N352" t="n">
        <v>0</v>
      </c>
      <c r="O352" t="n">
        <v>0</v>
      </c>
      <c r="P352" t="n">
        <v>0</v>
      </c>
      <c r="Q352" t="n">
        <v>0</v>
      </c>
      <c r="R352" s="2" t="inlineStr"/>
    </row>
    <row r="353" ht="15" customHeight="1">
      <c r="A353" t="inlineStr">
        <is>
          <t>A 45027-2024</t>
        </is>
      </c>
      <c r="B353" s="1" t="n">
        <v>45575</v>
      </c>
      <c r="C353" s="1" t="n">
        <v>45970</v>
      </c>
      <c r="D353" t="inlineStr">
        <is>
          <t>ÖREBRO LÄN</t>
        </is>
      </c>
      <c r="E353" t="inlineStr">
        <is>
          <t>ÖREBRO</t>
        </is>
      </c>
      <c r="G353" t="n">
        <v>6.3</v>
      </c>
      <c r="H353" t="n">
        <v>0</v>
      </c>
      <c r="I353" t="n">
        <v>0</v>
      </c>
      <c r="J353" t="n">
        <v>0</v>
      </c>
      <c r="K353" t="n">
        <v>0</v>
      </c>
      <c r="L353" t="n">
        <v>0</v>
      </c>
      <c r="M353" t="n">
        <v>0</v>
      </c>
      <c r="N353" t="n">
        <v>0</v>
      </c>
      <c r="O353" t="n">
        <v>0</v>
      </c>
      <c r="P353" t="n">
        <v>0</v>
      </c>
      <c r="Q353" t="n">
        <v>0</v>
      </c>
      <c r="R353" s="2" t="inlineStr"/>
    </row>
    <row r="354" ht="15" customHeight="1">
      <c r="A354" t="inlineStr">
        <is>
          <t>A 40051-2024</t>
        </is>
      </c>
      <c r="B354" s="1" t="n">
        <v>45553</v>
      </c>
      <c r="C354" s="1" t="n">
        <v>45970</v>
      </c>
      <c r="D354" t="inlineStr">
        <is>
          <t>ÖREBRO LÄN</t>
        </is>
      </c>
      <c r="E354" t="inlineStr">
        <is>
          <t>ÖREBRO</t>
        </is>
      </c>
      <c r="G354" t="n">
        <v>3.5</v>
      </c>
      <c r="H354" t="n">
        <v>0</v>
      </c>
      <c r="I354" t="n">
        <v>0</v>
      </c>
      <c r="J354" t="n">
        <v>0</v>
      </c>
      <c r="K354" t="n">
        <v>0</v>
      </c>
      <c r="L354" t="n">
        <v>0</v>
      </c>
      <c r="M354" t="n">
        <v>0</v>
      </c>
      <c r="N354" t="n">
        <v>0</v>
      </c>
      <c r="O354" t="n">
        <v>0</v>
      </c>
      <c r="P354" t="n">
        <v>0</v>
      </c>
      <c r="Q354" t="n">
        <v>0</v>
      </c>
      <c r="R354" s="2" t="inlineStr"/>
    </row>
    <row r="355" ht="15" customHeight="1">
      <c r="A355" t="inlineStr">
        <is>
          <t>A 41543-2024</t>
        </is>
      </c>
      <c r="B355" s="1" t="n">
        <v>45560</v>
      </c>
      <c r="C355" s="1" t="n">
        <v>45970</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10799-2024</t>
        </is>
      </c>
      <c r="B356" s="1" t="n">
        <v>45369</v>
      </c>
      <c r="C356" s="1" t="n">
        <v>45970</v>
      </c>
      <c r="D356" t="inlineStr">
        <is>
          <t>ÖREBRO LÄN</t>
        </is>
      </c>
      <c r="E356" t="inlineStr">
        <is>
          <t>ÖREBRO</t>
        </is>
      </c>
      <c r="G356" t="n">
        <v>5.8</v>
      </c>
      <c r="H356" t="n">
        <v>0</v>
      </c>
      <c r="I356" t="n">
        <v>0</v>
      </c>
      <c r="J356" t="n">
        <v>0</v>
      </c>
      <c r="K356" t="n">
        <v>0</v>
      </c>
      <c r="L356" t="n">
        <v>0</v>
      </c>
      <c r="M356" t="n">
        <v>0</v>
      </c>
      <c r="N356" t="n">
        <v>0</v>
      </c>
      <c r="O356" t="n">
        <v>0</v>
      </c>
      <c r="P356" t="n">
        <v>0</v>
      </c>
      <c r="Q356" t="n">
        <v>0</v>
      </c>
      <c r="R356" s="2" t="inlineStr"/>
    </row>
    <row r="357" ht="15" customHeight="1">
      <c r="A357" t="inlineStr">
        <is>
          <t>A 3-2024</t>
        </is>
      </c>
      <c r="B357" s="1" t="n">
        <v>45292</v>
      </c>
      <c r="C357" s="1" t="n">
        <v>45970</v>
      </c>
      <c r="D357" t="inlineStr">
        <is>
          <t>ÖREBRO LÄN</t>
        </is>
      </c>
      <c r="E357" t="inlineStr">
        <is>
          <t>ÖREBRO</t>
        </is>
      </c>
      <c r="G357" t="n">
        <v>2.7</v>
      </c>
      <c r="H357" t="n">
        <v>0</v>
      </c>
      <c r="I357" t="n">
        <v>0</v>
      </c>
      <c r="J357" t="n">
        <v>0</v>
      </c>
      <c r="K357" t="n">
        <v>0</v>
      </c>
      <c r="L357" t="n">
        <v>0</v>
      </c>
      <c r="M357" t="n">
        <v>0</v>
      </c>
      <c r="N357" t="n">
        <v>0</v>
      </c>
      <c r="O357" t="n">
        <v>0</v>
      </c>
      <c r="P357" t="n">
        <v>0</v>
      </c>
      <c r="Q357" t="n">
        <v>0</v>
      </c>
      <c r="R357" s="2" t="inlineStr"/>
    </row>
    <row r="358" ht="15" customHeight="1">
      <c r="A358" t="inlineStr">
        <is>
          <t>A 16694-2025</t>
        </is>
      </c>
      <c r="B358" s="1" t="n">
        <v>45754.46480324074</v>
      </c>
      <c r="C358" s="1" t="n">
        <v>45970</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5619-2023</t>
        </is>
      </c>
      <c r="B359" s="1" t="n">
        <v>44958</v>
      </c>
      <c r="C359" s="1" t="n">
        <v>45970</v>
      </c>
      <c r="D359" t="inlineStr">
        <is>
          <t>ÖREBRO LÄN</t>
        </is>
      </c>
      <c r="E359" t="inlineStr">
        <is>
          <t>ÖREBRO</t>
        </is>
      </c>
      <c r="G359" t="n">
        <v>27</v>
      </c>
      <c r="H359" t="n">
        <v>0</v>
      </c>
      <c r="I359" t="n">
        <v>0</v>
      </c>
      <c r="J359" t="n">
        <v>0</v>
      </c>
      <c r="K359" t="n">
        <v>0</v>
      </c>
      <c r="L359" t="n">
        <v>0</v>
      </c>
      <c r="M359" t="n">
        <v>0</v>
      </c>
      <c r="N359" t="n">
        <v>0</v>
      </c>
      <c r="O359" t="n">
        <v>0</v>
      </c>
      <c r="P359" t="n">
        <v>0</v>
      </c>
      <c r="Q359" t="n">
        <v>0</v>
      </c>
      <c r="R359" s="2" t="inlineStr"/>
    </row>
    <row r="360" ht="15" customHeight="1">
      <c r="A360" t="inlineStr">
        <is>
          <t>A 60289-2023</t>
        </is>
      </c>
      <c r="B360" s="1" t="n">
        <v>45257</v>
      </c>
      <c r="C360" s="1" t="n">
        <v>45970</v>
      </c>
      <c r="D360" t="inlineStr">
        <is>
          <t>ÖREBRO LÄN</t>
        </is>
      </c>
      <c r="E360" t="inlineStr">
        <is>
          <t>ÖREBRO</t>
        </is>
      </c>
      <c r="G360" t="n">
        <v>10.9</v>
      </c>
      <c r="H360" t="n">
        <v>0</v>
      </c>
      <c r="I360" t="n">
        <v>0</v>
      </c>
      <c r="J360" t="n">
        <v>0</v>
      </c>
      <c r="K360" t="n">
        <v>0</v>
      </c>
      <c r="L360" t="n">
        <v>0</v>
      </c>
      <c r="M360" t="n">
        <v>0</v>
      </c>
      <c r="N360" t="n">
        <v>0</v>
      </c>
      <c r="O360" t="n">
        <v>0</v>
      </c>
      <c r="P360" t="n">
        <v>0</v>
      </c>
      <c r="Q360" t="n">
        <v>0</v>
      </c>
      <c r="R360" s="2" t="inlineStr"/>
    </row>
    <row r="361" ht="15" customHeight="1">
      <c r="A361" t="inlineStr">
        <is>
          <t>A 12099-2023</t>
        </is>
      </c>
      <c r="B361" s="1" t="n">
        <v>44998.37043981482</v>
      </c>
      <c r="C361" s="1" t="n">
        <v>45970</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49465-2024</t>
        </is>
      </c>
      <c r="B362" s="1" t="n">
        <v>45596</v>
      </c>
      <c r="C362" s="1" t="n">
        <v>45970</v>
      </c>
      <c r="D362" t="inlineStr">
        <is>
          <t>ÖREBRO LÄN</t>
        </is>
      </c>
      <c r="E362" t="inlineStr">
        <is>
          <t>ÖREBRO</t>
        </is>
      </c>
      <c r="F362" t="inlineStr">
        <is>
          <t>Övriga Aktiebolag</t>
        </is>
      </c>
      <c r="G362" t="n">
        <v>21</v>
      </c>
      <c r="H362" t="n">
        <v>0</v>
      </c>
      <c r="I362" t="n">
        <v>0</v>
      </c>
      <c r="J362" t="n">
        <v>0</v>
      </c>
      <c r="K362" t="n">
        <v>0</v>
      </c>
      <c r="L362" t="n">
        <v>0</v>
      </c>
      <c r="M362" t="n">
        <v>0</v>
      </c>
      <c r="N362" t="n">
        <v>0</v>
      </c>
      <c r="O362" t="n">
        <v>0</v>
      </c>
      <c r="P362" t="n">
        <v>0</v>
      </c>
      <c r="Q362" t="n">
        <v>0</v>
      </c>
      <c r="R362" s="2" t="inlineStr"/>
    </row>
    <row r="363" ht="15" customHeight="1">
      <c r="A363" t="inlineStr">
        <is>
          <t>A 5578-2024</t>
        </is>
      </c>
      <c r="B363" s="1" t="n">
        <v>45334.49104166667</v>
      </c>
      <c r="C363" s="1" t="n">
        <v>45970</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58277-2022</t>
        </is>
      </c>
      <c r="B364" s="1" t="n">
        <v>44901.48108796297</v>
      </c>
      <c r="C364" s="1" t="n">
        <v>45970</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31906-2023</t>
        </is>
      </c>
      <c r="B365" s="1" t="n">
        <v>45118.8353125</v>
      </c>
      <c r="C365" s="1" t="n">
        <v>45970</v>
      </c>
      <c r="D365" t="inlineStr">
        <is>
          <t>ÖREBRO LÄN</t>
        </is>
      </c>
      <c r="E365" t="inlineStr">
        <is>
          <t>ÖREBRO</t>
        </is>
      </c>
      <c r="G365" t="n">
        <v>9</v>
      </c>
      <c r="H365" t="n">
        <v>0</v>
      </c>
      <c r="I365" t="n">
        <v>0</v>
      </c>
      <c r="J365" t="n">
        <v>0</v>
      </c>
      <c r="K365" t="n">
        <v>0</v>
      </c>
      <c r="L365" t="n">
        <v>0</v>
      </c>
      <c r="M365" t="n">
        <v>0</v>
      </c>
      <c r="N365" t="n">
        <v>0</v>
      </c>
      <c r="O365" t="n">
        <v>0</v>
      </c>
      <c r="P365" t="n">
        <v>0</v>
      </c>
      <c r="Q365" t="n">
        <v>0</v>
      </c>
      <c r="R365" s="2" t="inlineStr"/>
    </row>
    <row r="366" ht="15" customHeight="1">
      <c r="A366" t="inlineStr">
        <is>
          <t>A 48454-2025</t>
        </is>
      </c>
      <c r="B366" s="1" t="n">
        <v>45935.80164351852</v>
      </c>
      <c r="C366" s="1" t="n">
        <v>45970</v>
      </c>
      <c r="D366" t="inlineStr">
        <is>
          <t>ÖREBRO LÄN</t>
        </is>
      </c>
      <c r="E366" t="inlineStr">
        <is>
          <t>ÖREBRO</t>
        </is>
      </c>
      <c r="F366" t="inlineStr">
        <is>
          <t>Övriga Aktiebolag</t>
        </is>
      </c>
      <c r="G366" t="n">
        <v>18.1</v>
      </c>
      <c r="H366" t="n">
        <v>0</v>
      </c>
      <c r="I366" t="n">
        <v>0</v>
      </c>
      <c r="J366" t="n">
        <v>0</v>
      </c>
      <c r="K366" t="n">
        <v>0</v>
      </c>
      <c r="L366" t="n">
        <v>0</v>
      </c>
      <c r="M366" t="n">
        <v>0</v>
      </c>
      <c r="N366" t="n">
        <v>0</v>
      </c>
      <c r="O366" t="n">
        <v>0</v>
      </c>
      <c r="P366" t="n">
        <v>0</v>
      </c>
      <c r="Q366" t="n">
        <v>0</v>
      </c>
      <c r="R366" s="2" t="inlineStr"/>
    </row>
    <row r="367" ht="15" customHeight="1">
      <c r="A367" t="inlineStr">
        <is>
          <t>A 37786-2024</t>
        </is>
      </c>
      <c r="B367" s="1" t="n">
        <v>45542.82987268519</v>
      </c>
      <c r="C367" s="1" t="n">
        <v>45970</v>
      </c>
      <c r="D367" t="inlineStr">
        <is>
          <t>ÖREBRO LÄN</t>
        </is>
      </c>
      <c r="E367" t="inlineStr">
        <is>
          <t>ÖREBRO</t>
        </is>
      </c>
      <c r="G367" t="n">
        <v>3.1</v>
      </c>
      <c r="H367" t="n">
        <v>0</v>
      </c>
      <c r="I367" t="n">
        <v>0</v>
      </c>
      <c r="J367" t="n">
        <v>0</v>
      </c>
      <c r="K367" t="n">
        <v>0</v>
      </c>
      <c r="L367" t="n">
        <v>0</v>
      </c>
      <c r="M367" t="n">
        <v>0</v>
      </c>
      <c r="N367" t="n">
        <v>0</v>
      </c>
      <c r="O367" t="n">
        <v>0</v>
      </c>
      <c r="P367" t="n">
        <v>0</v>
      </c>
      <c r="Q367" t="n">
        <v>0</v>
      </c>
      <c r="R367" s="2" t="inlineStr"/>
    </row>
    <row r="368" ht="15" customHeight="1">
      <c r="A368" t="inlineStr">
        <is>
          <t>A 6387-2021</t>
        </is>
      </c>
      <c r="B368" s="1" t="n">
        <v>44235</v>
      </c>
      <c r="C368" s="1" t="n">
        <v>45970</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58615-2024</t>
        </is>
      </c>
      <c r="B369" s="1" t="n">
        <v>45635.5587037037</v>
      </c>
      <c r="C369" s="1" t="n">
        <v>45970</v>
      </c>
      <c r="D369" t="inlineStr">
        <is>
          <t>ÖREBRO LÄN</t>
        </is>
      </c>
      <c r="E369" t="inlineStr">
        <is>
          <t>ÖREBRO</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59121-2024</t>
        </is>
      </c>
      <c r="B370" s="1" t="n">
        <v>45637.37755787037</v>
      </c>
      <c r="C370" s="1" t="n">
        <v>45970</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49215-2023</t>
        </is>
      </c>
      <c r="B371" s="1" t="n">
        <v>45210.61050925926</v>
      </c>
      <c r="C371" s="1" t="n">
        <v>45970</v>
      </c>
      <c r="D371" t="inlineStr">
        <is>
          <t>ÖREBRO LÄN</t>
        </is>
      </c>
      <c r="E371" t="inlineStr">
        <is>
          <t>ÖREBRO</t>
        </is>
      </c>
      <c r="F371" t="inlineStr">
        <is>
          <t>Övriga Aktiebolag</t>
        </is>
      </c>
      <c r="G371" t="n">
        <v>4.2</v>
      </c>
      <c r="H371" t="n">
        <v>0</v>
      </c>
      <c r="I371" t="n">
        <v>0</v>
      </c>
      <c r="J371" t="n">
        <v>0</v>
      </c>
      <c r="K371" t="n">
        <v>0</v>
      </c>
      <c r="L371" t="n">
        <v>0</v>
      </c>
      <c r="M371" t="n">
        <v>0</v>
      </c>
      <c r="N371" t="n">
        <v>0</v>
      </c>
      <c r="O371" t="n">
        <v>0</v>
      </c>
      <c r="P371" t="n">
        <v>0</v>
      </c>
      <c r="Q371" t="n">
        <v>0</v>
      </c>
      <c r="R371" s="2" t="inlineStr"/>
    </row>
    <row r="372" ht="15" customHeight="1">
      <c r="A372" t="inlineStr">
        <is>
          <t>A 17983-2025</t>
        </is>
      </c>
      <c r="B372" s="1" t="n">
        <v>45761.38829861111</v>
      </c>
      <c r="C372" s="1" t="n">
        <v>45970</v>
      </c>
      <c r="D372" t="inlineStr">
        <is>
          <t>ÖREBRO LÄN</t>
        </is>
      </c>
      <c r="E372" t="inlineStr">
        <is>
          <t>ÖREBRO</t>
        </is>
      </c>
      <c r="G372" t="n">
        <v>0.8</v>
      </c>
      <c r="H372" t="n">
        <v>0</v>
      </c>
      <c r="I372" t="n">
        <v>0</v>
      </c>
      <c r="J372" t="n">
        <v>0</v>
      </c>
      <c r="K372" t="n">
        <v>0</v>
      </c>
      <c r="L372" t="n">
        <v>0</v>
      </c>
      <c r="M372" t="n">
        <v>0</v>
      </c>
      <c r="N372" t="n">
        <v>0</v>
      </c>
      <c r="O372" t="n">
        <v>0</v>
      </c>
      <c r="P372" t="n">
        <v>0</v>
      </c>
      <c r="Q372" t="n">
        <v>0</v>
      </c>
      <c r="R372" s="2" t="inlineStr"/>
    </row>
    <row r="373" ht="15" customHeight="1">
      <c r="A373" t="inlineStr">
        <is>
          <t>A 45517-2023</t>
        </is>
      </c>
      <c r="B373" s="1" t="n">
        <v>45194.49594907407</v>
      </c>
      <c r="C373" s="1" t="n">
        <v>45970</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10937-2024</t>
        </is>
      </c>
      <c r="B374" s="1" t="n">
        <v>45370.44461805555</v>
      </c>
      <c r="C374" s="1" t="n">
        <v>45970</v>
      </c>
      <c r="D374" t="inlineStr">
        <is>
          <t>ÖREBRO LÄN</t>
        </is>
      </c>
      <c r="E374" t="inlineStr">
        <is>
          <t>ÖREBRO</t>
        </is>
      </c>
      <c r="G374" t="n">
        <v>4.3</v>
      </c>
      <c r="H374" t="n">
        <v>0</v>
      </c>
      <c r="I374" t="n">
        <v>0</v>
      </c>
      <c r="J374" t="n">
        <v>0</v>
      </c>
      <c r="K374" t="n">
        <v>0</v>
      </c>
      <c r="L374" t="n">
        <v>0</v>
      </c>
      <c r="M374" t="n">
        <v>0</v>
      </c>
      <c r="N374" t="n">
        <v>0</v>
      </c>
      <c r="O374" t="n">
        <v>0</v>
      </c>
      <c r="P374" t="n">
        <v>0</v>
      </c>
      <c r="Q374" t="n">
        <v>0</v>
      </c>
      <c r="R374" s="2" t="inlineStr"/>
    </row>
    <row r="375" ht="15" customHeight="1">
      <c r="A375" t="inlineStr">
        <is>
          <t>A 22079-2023</t>
        </is>
      </c>
      <c r="B375" s="1" t="n">
        <v>45069</v>
      </c>
      <c r="C375" s="1" t="n">
        <v>45970</v>
      </c>
      <c r="D375" t="inlineStr">
        <is>
          <t>ÖREBRO LÄN</t>
        </is>
      </c>
      <c r="E375" t="inlineStr">
        <is>
          <t>ÖREBRO</t>
        </is>
      </c>
      <c r="G375" t="n">
        <v>1.3</v>
      </c>
      <c r="H375" t="n">
        <v>0</v>
      </c>
      <c r="I375" t="n">
        <v>0</v>
      </c>
      <c r="J375" t="n">
        <v>0</v>
      </c>
      <c r="K375" t="n">
        <v>0</v>
      </c>
      <c r="L375" t="n">
        <v>0</v>
      </c>
      <c r="M375" t="n">
        <v>0</v>
      </c>
      <c r="N375" t="n">
        <v>0</v>
      </c>
      <c r="O375" t="n">
        <v>0</v>
      </c>
      <c r="P375" t="n">
        <v>0</v>
      </c>
      <c r="Q375" t="n">
        <v>0</v>
      </c>
      <c r="R375" s="2" t="inlineStr"/>
    </row>
    <row r="376" ht="15" customHeight="1">
      <c r="A376" t="inlineStr">
        <is>
          <t>A 3652-2022</t>
        </is>
      </c>
      <c r="B376" s="1" t="n">
        <v>44586.46921296296</v>
      </c>
      <c r="C376" s="1" t="n">
        <v>45970</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25407-2021</t>
        </is>
      </c>
      <c r="B377" s="1" t="n">
        <v>44342</v>
      </c>
      <c r="C377" s="1" t="n">
        <v>45970</v>
      </c>
      <c r="D377" t="inlineStr">
        <is>
          <t>ÖREBRO LÄN</t>
        </is>
      </c>
      <c r="E377" t="inlineStr">
        <is>
          <t>ÖREBRO</t>
        </is>
      </c>
      <c r="F377" t="inlineStr">
        <is>
          <t>Kommuner</t>
        </is>
      </c>
      <c r="G377" t="n">
        <v>7.2</v>
      </c>
      <c r="H377" t="n">
        <v>0</v>
      </c>
      <c r="I377" t="n">
        <v>0</v>
      </c>
      <c r="J377" t="n">
        <v>0</v>
      </c>
      <c r="K377" t="n">
        <v>0</v>
      </c>
      <c r="L377" t="n">
        <v>0</v>
      </c>
      <c r="M377" t="n">
        <v>0</v>
      </c>
      <c r="N377" t="n">
        <v>0</v>
      </c>
      <c r="O377" t="n">
        <v>0</v>
      </c>
      <c r="P377" t="n">
        <v>0</v>
      </c>
      <c r="Q377" t="n">
        <v>0</v>
      </c>
      <c r="R377" s="2" t="inlineStr"/>
    </row>
    <row r="378" ht="15" customHeight="1">
      <c r="A378" t="inlineStr">
        <is>
          <t>A 52447-2024</t>
        </is>
      </c>
      <c r="B378" s="1" t="n">
        <v>45609.49157407408</v>
      </c>
      <c r="C378" s="1" t="n">
        <v>45970</v>
      </c>
      <c r="D378" t="inlineStr">
        <is>
          <t>ÖREBRO LÄN</t>
        </is>
      </c>
      <c r="E378" t="inlineStr">
        <is>
          <t>ÖREBRO</t>
        </is>
      </c>
      <c r="G378" t="n">
        <v>1.4</v>
      </c>
      <c r="H378" t="n">
        <v>0</v>
      </c>
      <c r="I378" t="n">
        <v>0</v>
      </c>
      <c r="J378" t="n">
        <v>0</v>
      </c>
      <c r="K378" t="n">
        <v>0</v>
      </c>
      <c r="L378" t="n">
        <v>0</v>
      </c>
      <c r="M378" t="n">
        <v>0</v>
      </c>
      <c r="N378" t="n">
        <v>0</v>
      </c>
      <c r="O378" t="n">
        <v>0</v>
      </c>
      <c r="P378" t="n">
        <v>0</v>
      </c>
      <c r="Q378" t="n">
        <v>0</v>
      </c>
      <c r="R378" s="2" t="inlineStr"/>
    </row>
    <row r="379" ht="15" customHeight="1">
      <c r="A379" t="inlineStr">
        <is>
          <t>A 12245-2023</t>
        </is>
      </c>
      <c r="B379" s="1" t="n">
        <v>44998.64402777778</v>
      </c>
      <c r="C379" s="1" t="n">
        <v>45970</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7134-2025</t>
        </is>
      </c>
      <c r="B380" s="1" t="n">
        <v>45702</v>
      </c>
      <c r="C380" s="1" t="n">
        <v>45970</v>
      </c>
      <c r="D380" t="inlineStr">
        <is>
          <t>ÖREBRO LÄN</t>
        </is>
      </c>
      <c r="E380" t="inlineStr">
        <is>
          <t>ÖREBRO</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60506-2024</t>
        </is>
      </c>
      <c r="B381" s="1" t="n">
        <v>45643.66630787037</v>
      </c>
      <c r="C381" s="1" t="n">
        <v>45970</v>
      </c>
      <c r="D381" t="inlineStr">
        <is>
          <t>ÖREBRO LÄN</t>
        </is>
      </c>
      <c r="E381" t="inlineStr">
        <is>
          <t>ÖREBRO</t>
        </is>
      </c>
      <c r="G381" t="n">
        <v>5.8</v>
      </c>
      <c r="H381" t="n">
        <v>0</v>
      </c>
      <c r="I381" t="n">
        <v>0</v>
      </c>
      <c r="J381" t="n">
        <v>0</v>
      </c>
      <c r="K381" t="n">
        <v>0</v>
      </c>
      <c r="L381" t="n">
        <v>0</v>
      </c>
      <c r="M381" t="n">
        <v>0</v>
      </c>
      <c r="N381" t="n">
        <v>0</v>
      </c>
      <c r="O381" t="n">
        <v>0</v>
      </c>
      <c r="P381" t="n">
        <v>0</v>
      </c>
      <c r="Q381" t="n">
        <v>0</v>
      </c>
      <c r="R381" s="2" t="inlineStr"/>
    </row>
    <row r="382" ht="15" customHeight="1">
      <c r="A382" t="inlineStr">
        <is>
          <t>A 3841-2023</t>
        </is>
      </c>
      <c r="B382" s="1" t="n">
        <v>44951</v>
      </c>
      <c r="C382" s="1" t="n">
        <v>45970</v>
      </c>
      <c r="D382" t="inlineStr">
        <is>
          <t>ÖREBRO LÄN</t>
        </is>
      </c>
      <c r="E382" t="inlineStr">
        <is>
          <t>ÖREBRO</t>
        </is>
      </c>
      <c r="G382" t="n">
        <v>4.3</v>
      </c>
      <c r="H382" t="n">
        <v>0</v>
      </c>
      <c r="I382" t="n">
        <v>0</v>
      </c>
      <c r="J382" t="n">
        <v>0</v>
      </c>
      <c r="K382" t="n">
        <v>0</v>
      </c>
      <c r="L382" t="n">
        <v>0</v>
      </c>
      <c r="M382" t="n">
        <v>0</v>
      </c>
      <c r="N382" t="n">
        <v>0</v>
      </c>
      <c r="O382" t="n">
        <v>0</v>
      </c>
      <c r="P382" t="n">
        <v>0</v>
      </c>
      <c r="Q382" t="n">
        <v>0</v>
      </c>
      <c r="R382" s="2" t="inlineStr"/>
    </row>
    <row r="383" ht="15" customHeight="1">
      <c r="A383" t="inlineStr">
        <is>
          <t>A 8571-2021</t>
        </is>
      </c>
      <c r="B383" s="1" t="n">
        <v>44245</v>
      </c>
      <c r="C383" s="1" t="n">
        <v>45970</v>
      </c>
      <c r="D383" t="inlineStr">
        <is>
          <t>ÖREBRO LÄN</t>
        </is>
      </c>
      <c r="E383" t="inlineStr">
        <is>
          <t>ÖREBRO</t>
        </is>
      </c>
      <c r="G383" t="n">
        <v>0.9</v>
      </c>
      <c r="H383" t="n">
        <v>0</v>
      </c>
      <c r="I383" t="n">
        <v>0</v>
      </c>
      <c r="J383" t="n">
        <v>0</v>
      </c>
      <c r="K383" t="n">
        <v>0</v>
      </c>
      <c r="L383" t="n">
        <v>0</v>
      </c>
      <c r="M383" t="n">
        <v>0</v>
      </c>
      <c r="N383" t="n">
        <v>0</v>
      </c>
      <c r="O383" t="n">
        <v>0</v>
      </c>
      <c r="P383" t="n">
        <v>0</v>
      </c>
      <c r="Q383" t="n">
        <v>0</v>
      </c>
      <c r="R383" s="2" t="inlineStr"/>
    </row>
    <row r="384" ht="15" customHeight="1">
      <c r="A384" t="inlineStr">
        <is>
          <t>A 29978-2024</t>
        </is>
      </c>
      <c r="B384" s="1" t="n">
        <v>45488.48340277778</v>
      </c>
      <c r="C384" s="1" t="n">
        <v>45970</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30903-2024</t>
        </is>
      </c>
      <c r="B385" s="1" t="n">
        <v>45498.49946759259</v>
      </c>
      <c r="C385" s="1" t="n">
        <v>45970</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55692-2023</t>
        </is>
      </c>
      <c r="B386" s="1" t="n">
        <v>45239</v>
      </c>
      <c r="C386" s="1" t="n">
        <v>45970</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58611-2024</t>
        </is>
      </c>
      <c r="B387" s="1" t="n">
        <v>45635.55555555555</v>
      </c>
      <c r="C387" s="1" t="n">
        <v>45970</v>
      </c>
      <c r="D387" t="inlineStr">
        <is>
          <t>ÖREBRO LÄN</t>
        </is>
      </c>
      <c r="E387" t="inlineStr">
        <is>
          <t>ÖREBRO</t>
        </is>
      </c>
      <c r="F387" t="inlineStr">
        <is>
          <t>Sveaskog</t>
        </is>
      </c>
      <c r="G387" t="n">
        <v>0.3</v>
      </c>
      <c r="H387" t="n">
        <v>0</v>
      </c>
      <c r="I387" t="n">
        <v>0</v>
      </c>
      <c r="J387" t="n">
        <v>0</v>
      </c>
      <c r="K387" t="n">
        <v>0</v>
      </c>
      <c r="L387" t="n">
        <v>0</v>
      </c>
      <c r="M387" t="n">
        <v>0</v>
      </c>
      <c r="N387" t="n">
        <v>0</v>
      </c>
      <c r="O387" t="n">
        <v>0</v>
      </c>
      <c r="P387" t="n">
        <v>0</v>
      </c>
      <c r="Q387" t="n">
        <v>0</v>
      </c>
      <c r="R387" s="2" t="inlineStr"/>
    </row>
    <row r="388" ht="15" customHeight="1">
      <c r="A388" t="inlineStr">
        <is>
          <t>A 14715-2024</t>
        </is>
      </c>
      <c r="B388" s="1" t="n">
        <v>45397.5500462963</v>
      </c>
      <c r="C388" s="1" t="n">
        <v>45970</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38489-2023</t>
        </is>
      </c>
      <c r="B389" s="1" t="n">
        <v>45162</v>
      </c>
      <c r="C389" s="1" t="n">
        <v>45970</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12682-2023</t>
        </is>
      </c>
      <c r="B390" s="1" t="n">
        <v>45000.6115625</v>
      </c>
      <c r="C390" s="1" t="n">
        <v>45970</v>
      </c>
      <c r="D390" t="inlineStr">
        <is>
          <t>ÖREBRO LÄN</t>
        </is>
      </c>
      <c r="E390" t="inlineStr">
        <is>
          <t>ÖREBRO</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20146-2024</t>
        </is>
      </c>
      <c r="B391" s="1" t="n">
        <v>45434.57641203704</v>
      </c>
      <c r="C391" s="1" t="n">
        <v>45970</v>
      </c>
      <c r="D391" t="inlineStr">
        <is>
          <t>ÖREBRO LÄN</t>
        </is>
      </c>
      <c r="E391" t="inlineStr">
        <is>
          <t>ÖREBRO</t>
        </is>
      </c>
      <c r="G391" t="n">
        <v>0.5</v>
      </c>
      <c r="H391" t="n">
        <v>0</v>
      </c>
      <c r="I391" t="n">
        <v>0</v>
      </c>
      <c r="J391" t="n">
        <v>0</v>
      </c>
      <c r="K391" t="n">
        <v>0</v>
      </c>
      <c r="L391" t="n">
        <v>0</v>
      </c>
      <c r="M391" t="n">
        <v>0</v>
      </c>
      <c r="N391" t="n">
        <v>0</v>
      </c>
      <c r="O391" t="n">
        <v>0</v>
      </c>
      <c r="P391" t="n">
        <v>0</v>
      </c>
      <c r="Q391" t="n">
        <v>0</v>
      </c>
      <c r="R391" s="2" t="inlineStr"/>
    </row>
    <row r="392" ht="15" customHeight="1">
      <c r="A392" t="inlineStr">
        <is>
          <t>A 13592-2023</t>
        </is>
      </c>
      <c r="B392" s="1" t="n">
        <v>45006.56870370371</v>
      </c>
      <c r="C392" s="1" t="n">
        <v>45970</v>
      </c>
      <c r="D392" t="inlineStr">
        <is>
          <t>ÖREBRO LÄN</t>
        </is>
      </c>
      <c r="E392" t="inlineStr">
        <is>
          <t>ÖREBRO</t>
        </is>
      </c>
      <c r="G392" t="n">
        <v>2</v>
      </c>
      <c r="H392" t="n">
        <v>0</v>
      </c>
      <c r="I392" t="n">
        <v>0</v>
      </c>
      <c r="J392" t="n">
        <v>0</v>
      </c>
      <c r="K392" t="n">
        <v>0</v>
      </c>
      <c r="L392" t="n">
        <v>0</v>
      </c>
      <c r="M392" t="n">
        <v>0</v>
      </c>
      <c r="N392" t="n">
        <v>0</v>
      </c>
      <c r="O392" t="n">
        <v>0</v>
      </c>
      <c r="P392" t="n">
        <v>0</v>
      </c>
      <c r="Q392" t="n">
        <v>0</v>
      </c>
      <c r="R392" s="2" t="inlineStr"/>
    </row>
    <row r="393" ht="15" customHeight="1">
      <c r="A393" t="inlineStr">
        <is>
          <t>A 70719-2021</t>
        </is>
      </c>
      <c r="B393" s="1" t="n">
        <v>44537</v>
      </c>
      <c r="C393" s="1" t="n">
        <v>45970</v>
      </c>
      <c r="D393" t="inlineStr">
        <is>
          <t>ÖREBRO LÄN</t>
        </is>
      </c>
      <c r="E393" t="inlineStr">
        <is>
          <t>ÖREBRO</t>
        </is>
      </c>
      <c r="G393" t="n">
        <v>4.3</v>
      </c>
      <c r="H393" t="n">
        <v>0</v>
      </c>
      <c r="I393" t="n">
        <v>0</v>
      </c>
      <c r="J393" t="n">
        <v>0</v>
      </c>
      <c r="K393" t="n">
        <v>0</v>
      </c>
      <c r="L393" t="n">
        <v>0</v>
      </c>
      <c r="M393" t="n">
        <v>0</v>
      </c>
      <c r="N393" t="n">
        <v>0</v>
      </c>
      <c r="O393" t="n">
        <v>0</v>
      </c>
      <c r="P393" t="n">
        <v>0</v>
      </c>
      <c r="Q393" t="n">
        <v>0</v>
      </c>
      <c r="R393" s="2" t="inlineStr"/>
    </row>
    <row r="394" ht="15" customHeight="1">
      <c r="A394" t="inlineStr">
        <is>
          <t>A 53143-2023</t>
        </is>
      </c>
      <c r="B394" s="1" t="n">
        <v>45229</v>
      </c>
      <c r="C394" s="1" t="n">
        <v>45970</v>
      </c>
      <c r="D394" t="inlineStr">
        <is>
          <t>ÖREBRO LÄN</t>
        </is>
      </c>
      <c r="E394" t="inlineStr">
        <is>
          <t>ÖREBRO</t>
        </is>
      </c>
      <c r="G394" t="n">
        <v>3.3</v>
      </c>
      <c r="H394" t="n">
        <v>0</v>
      </c>
      <c r="I394" t="n">
        <v>0</v>
      </c>
      <c r="J394" t="n">
        <v>0</v>
      </c>
      <c r="K394" t="n">
        <v>0</v>
      </c>
      <c r="L394" t="n">
        <v>0</v>
      </c>
      <c r="M394" t="n">
        <v>0</v>
      </c>
      <c r="N394" t="n">
        <v>0</v>
      </c>
      <c r="O394" t="n">
        <v>0</v>
      </c>
      <c r="P394" t="n">
        <v>0</v>
      </c>
      <c r="Q394" t="n">
        <v>0</v>
      </c>
      <c r="R394" s="2" t="inlineStr"/>
    </row>
    <row r="395" ht="15" customHeight="1">
      <c r="A395" t="inlineStr">
        <is>
          <t>A 38573-2023</t>
        </is>
      </c>
      <c r="B395" s="1" t="n">
        <v>45162.61837962963</v>
      </c>
      <c r="C395" s="1" t="n">
        <v>45970</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4757-2024</t>
        </is>
      </c>
      <c r="B396" s="1" t="n">
        <v>45328</v>
      </c>
      <c r="C396" s="1" t="n">
        <v>45970</v>
      </c>
      <c r="D396" t="inlineStr">
        <is>
          <t>ÖREBRO LÄN</t>
        </is>
      </c>
      <c r="E396" t="inlineStr">
        <is>
          <t>ÖREBRO</t>
        </is>
      </c>
      <c r="G396" t="n">
        <v>1.9</v>
      </c>
      <c r="H396" t="n">
        <v>0</v>
      </c>
      <c r="I396" t="n">
        <v>0</v>
      </c>
      <c r="J396" t="n">
        <v>0</v>
      </c>
      <c r="K396" t="n">
        <v>0</v>
      </c>
      <c r="L396" t="n">
        <v>0</v>
      </c>
      <c r="M396" t="n">
        <v>0</v>
      </c>
      <c r="N396" t="n">
        <v>0</v>
      </c>
      <c r="O396" t="n">
        <v>0</v>
      </c>
      <c r="P396" t="n">
        <v>0</v>
      </c>
      <c r="Q396" t="n">
        <v>0</v>
      </c>
      <c r="R396" s="2" t="inlineStr"/>
    </row>
    <row r="397" ht="15" customHeight="1">
      <c r="A397" t="inlineStr">
        <is>
          <t>A 8656-2025</t>
        </is>
      </c>
      <c r="B397" s="1" t="n">
        <v>45712.38268518518</v>
      </c>
      <c r="C397" s="1" t="n">
        <v>45970</v>
      </c>
      <c r="D397" t="inlineStr">
        <is>
          <t>ÖREBRO LÄN</t>
        </is>
      </c>
      <c r="E397" t="inlineStr">
        <is>
          <t>ÖREBRO</t>
        </is>
      </c>
      <c r="G397" t="n">
        <v>2.7</v>
      </c>
      <c r="H397" t="n">
        <v>0</v>
      </c>
      <c r="I397" t="n">
        <v>0</v>
      </c>
      <c r="J397" t="n">
        <v>0</v>
      </c>
      <c r="K397" t="n">
        <v>0</v>
      </c>
      <c r="L397" t="n">
        <v>0</v>
      </c>
      <c r="M397" t="n">
        <v>0</v>
      </c>
      <c r="N397" t="n">
        <v>0</v>
      </c>
      <c r="O397" t="n">
        <v>0</v>
      </c>
      <c r="P397" t="n">
        <v>0</v>
      </c>
      <c r="Q397" t="n">
        <v>0</v>
      </c>
      <c r="R397" s="2" t="inlineStr"/>
    </row>
    <row r="398" ht="15" customHeight="1">
      <c r="A398" t="inlineStr">
        <is>
          <t>A 10368-2021</t>
        </is>
      </c>
      <c r="B398" s="1" t="n">
        <v>44257</v>
      </c>
      <c r="C398" s="1" t="n">
        <v>45970</v>
      </c>
      <c r="D398" t="inlineStr">
        <is>
          <t>ÖREBRO LÄN</t>
        </is>
      </c>
      <c r="E398" t="inlineStr">
        <is>
          <t>ÖREBRO</t>
        </is>
      </c>
      <c r="G398" t="n">
        <v>1.2</v>
      </c>
      <c r="H398" t="n">
        <v>0</v>
      </c>
      <c r="I398" t="n">
        <v>0</v>
      </c>
      <c r="J398" t="n">
        <v>0</v>
      </c>
      <c r="K398" t="n">
        <v>0</v>
      </c>
      <c r="L398" t="n">
        <v>0</v>
      </c>
      <c r="M398" t="n">
        <v>0</v>
      </c>
      <c r="N398" t="n">
        <v>0</v>
      </c>
      <c r="O398" t="n">
        <v>0</v>
      </c>
      <c r="P398" t="n">
        <v>0</v>
      </c>
      <c r="Q398" t="n">
        <v>0</v>
      </c>
      <c r="R398" s="2" t="inlineStr"/>
    </row>
    <row r="399" ht="15" customHeight="1">
      <c r="A399" t="inlineStr">
        <is>
          <t>A 5762-2025</t>
        </is>
      </c>
      <c r="B399" s="1" t="n">
        <v>45694.57181712963</v>
      </c>
      <c r="C399" s="1" t="n">
        <v>45970</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48140-2024</t>
        </is>
      </c>
      <c r="B400" s="1" t="n">
        <v>45589.66474537037</v>
      </c>
      <c r="C400" s="1" t="n">
        <v>45970</v>
      </c>
      <c r="D400" t="inlineStr">
        <is>
          <t>ÖREBRO LÄN</t>
        </is>
      </c>
      <c r="E400" t="inlineStr">
        <is>
          <t>ÖREBRO</t>
        </is>
      </c>
      <c r="G400" t="n">
        <v>2.4</v>
      </c>
      <c r="H400" t="n">
        <v>0</v>
      </c>
      <c r="I400" t="n">
        <v>0</v>
      </c>
      <c r="J400" t="n">
        <v>0</v>
      </c>
      <c r="K400" t="n">
        <v>0</v>
      </c>
      <c r="L400" t="n">
        <v>0</v>
      </c>
      <c r="M400" t="n">
        <v>0</v>
      </c>
      <c r="N400" t="n">
        <v>0</v>
      </c>
      <c r="O400" t="n">
        <v>0</v>
      </c>
      <c r="P400" t="n">
        <v>0</v>
      </c>
      <c r="Q400" t="n">
        <v>0</v>
      </c>
      <c r="R400" s="2" t="inlineStr"/>
    </row>
    <row r="401" ht="15" customHeight="1">
      <c r="A401" t="inlineStr">
        <is>
          <t>A 59736-2023</t>
        </is>
      </c>
      <c r="B401" s="1" t="n">
        <v>45257.374375</v>
      </c>
      <c r="C401" s="1" t="n">
        <v>45970</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62794-2021</t>
        </is>
      </c>
      <c r="B402" s="1" t="n">
        <v>44504</v>
      </c>
      <c r="C402" s="1" t="n">
        <v>45970</v>
      </c>
      <c r="D402" t="inlineStr">
        <is>
          <t>ÖREBRO LÄN</t>
        </is>
      </c>
      <c r="E402" t="inlineStr">
        <is>
          <t>ÖREBRO</t>
        </is>
      </c>
      <c r="G402" t="n">
        <v>3.3</v>
      </c>
      <c r="H402" t="n">
        <v>0</v>
      </c>
      <c r="I402" t="n">
        <v>0</v>
      </c>
      <c r="J402" t="n">
        <v>0</v>
      </c>
      <c r="K402" t="n">
        <v>0</v>
      </c>
      <c r="L402" t="n">
        <v>0</v>
      </c>
      <c r="M402" t="n">
        <v>0</v>
      </c>
      <c r="N402" t="n">
        <v>0</v>
      </c>
      <c r="O402" t="n">
        <v>0</v>
      </c>
      <c r="P402" t="n">
        <v>0</v>
      </c>
      <c r="Q402" t="n">
        <v>0</v>
      </c>
      <c r="R402" s="2" t="inlineStr"/>
    </row>
    <row r="403" ht="15" customHeight="1">
      <c r="A403" t="inlineStr">
        <is>
          <t>A 52612-2024</t>
        </is>
      </c>
      <c r="B403" s="1" t="n">
        <v>45609</v>
      </c>
      <c r="C403" s="1" t="n">
        <v>45970</v>
      </c>
      <c r="D403" t="inlineStr">
        <is>
          <t>ÖREBRO LÄN</t>
        </is>
      </c>
      <c r="E403" t="inlineStr">
        <is>
          <t>ÖREBRO</t>
        </is>
      </c>
      <c r="F403" t="inlineStr">
        <is>
          <t>Kommuner</t>
        </is>
      </c>
      <c r="G403" t="n">
        <v>5.5</v>
      </c>
      <c r="H403" t="n">
        <v>0</v>
      </c>
      <c r="I403" t="n">
        <v>0</v>
      </c>
      <c r="J403" t="n">
        <v>0</v>
      </c>
      <c r="K403" t="n">
        <v>0</v>
      </c>
      <c r="L403" t="n">
        <v>0</v>
      </c>
      <c r="M403" t="n">
        <v>0</v>
      </c>
      <c r="N403" t="n">
        <v>0</v>
      </c>
      <c r="O403" t="n">
        <v>0</v>
      </c>
      <c r="P403" t="n">
        <v>0</v>
      </c>
      <c r="Q403" t="n">
        <v>0</v>
      </c>
      <c r="R403" s="2" t="inlineStr"/>
    </row>
    <row r="404" ht="15" customHeight="1">
      <c r="A404" t="inlineStr">
        <is>
          <t>A 5795-2024</t>
        </is>
      </c>
      <c r="B404" s="1" t="n">
        <v>45335.4531712963</v>
      </c>
      <c r="C404" s="1" t="n">
        <v>45970</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2658-2023</t>
        </is>
      </c>
      <c r="B405" s="1" t="n">
        <v>44944</v>
      </c>
      <c r="C405" s="1" t="n">
        <v>45970</v>
      </c>
      <c r="D405" t="inlineStr">
        <is>
          <t>ÖREBRO LÄN</t>
        </is>
      </c>
      <c r="E405" t="inlineStr">
        <is>
          <t>ÖREBRO</t>
        </is>
      </c>
      <c r="G405" t="n">
        <v>0.7</v>
      </c>
      <c r="H405" t="n">
        <v>0</v>
      </c>
      <c r="I405" t="n">
        <v>0</v>
      </c>
      <c r="J405" t="n">
        <v>0</v>
      </c>
      <c r="K405" t="n">
        <v>0</v>
      </c>
      <c r="L405" t="n">
        <v>0</v>
      </c>
      <c r="M405" t="n">
        <v>0</v>
      </c>
      <c r="N405" t="n">
        <v>0</v>
      </c>
      <c r="O405" t="n">
        <v>0</v>
      </c>
      <c r="P405" t="n">
        <v>0</v>
      </c>
      <c r="Q405" t="n">
        <v>0</v>
      </c>
      <c r="R405" s="2" t="inlineStr"/>
    </row>
    <row r="406" ht="15" customHeight="1">
      <c r="A406" t="inlineStr">
        <is>
          <t>A 11565-2023</t>
        </is>
      </c>
      <c r="B406" s="1" t="n">
        <v>44994</v>
      </c>
      <c r="C406" s="1" t="n">
        <v>45970</v>
      </c>
      <c r="D406" t="inlineStr">
        <is>
          <t>ÖREBRO LÄN</t>
        </is>
      </c>
      <c r="E406" t="inlineStr">
        <is>
          <t>ÖREBRO</t>
        </is>
      </c>
      <c r="G406" t="n">
        <v>4.7</v>
      </c>
      <c r="H406" t="n">
        <v>0</v>
      </c>
      <c r="I406" t="n">
        <v>0</v>
      </c>
      <c r="J406" t="n">
        <v>0</v>
      </c>
      <c r="K406" t="n">
        <v>0</v>
      </c>
      <c r="L406" t="n">
        <v>0</v>
      </c>
      <c r="M406" t="n">
        <v>0</v>
      </c>
      <c r="N406" t="n">
        <v>0</v>
      </c>
      <c r="O406" t="n">
        <v>0</v>
      </c>
      <c r="P406" t="n">
        <v>0</v>
      </c>
      <c r="Q406" t="n">
        <v>0</v>
      </c>
      <c r="R406" s="2" t="inlineStr"/>
    </row>
    <row r="407" ht="15" customHeight="1">
      <c r="A407" t="inlineStr">
        <is>
          <t>A 16736-2023</t>
        </is>
      </c>
      <c r="B407" s="1" t="n">
        <v>45030.72328703704</v>
      </c>
      <c r="C407" s="1" t="n">
        <v>45970</v>
      </c>
      <c r="D407" t="inlineStr">
        <is>
          <t>ÖREBRO LÄN</t>
        </is>
      </c>
      <c r="E407" t="inlineStr">
        <is>
          <t>ÖREBRO</t>
        </is>
      </c>
      <c r="G407" t="n">
        <v>4</v>
      </c>
      <c r="H407" t="n">
        <v>0</v>
      </c>
      <c r="I407" t="n">
        <v>0</v>
      </c>
      <c r="J407" t="n">
        <v>0</v>
      </c>
      <c r="K407" t="n">
        <v>0</v>
      </c>
      <c r="L407" t="n">
        <v>0</v>
      </c>
      <c r="M407" t="n">
        <v>0</v>
      </c>
      <c r="N407" t="n">
        <v>0</v>
      </c>
      <c r="O407" t="n">
        <v>0</v>
      </c>
      <c r="P407" t="n">
        <v>0</v>
      </c>
      <c r="Q407" t="n">
        <v>0</v>
      </c>
      <c r="R407" s="2" t="inlineStr"/>
    </row>
    <row r="408" ht="15" customHeight="1">
      <c r="A408" t="inlineStr">
        <is>
          <t>A 37771-2024</t>
        </is>
      </c>
      <c r="B408" s="1" t="n">
        <v>45542.31359953704</v>
      </c>
      <c r="C408" s="1" t="n">
        <v>45970</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55355-2024</t>
        </is>
      </c>
      <c r="B409" s="1" t="n">
        <v>45621.80475694445</v>
      </c>
      <c r="C409" s="1" t="n">
        <v>45970</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15652-2025</t>
        </is>
      </c>
      <c r="B410" s="1" t="n">
        <v>45748</v>
      </c>
      <c r="C410" s="1" t="n">
        <v>45970</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2630-2023</t>
        </is>
      </c>
      <c r="B411" s="1" t="n">
        <v>44944.39105324074</v>
      </c>
      <c r="C411" s="1" t="n">
        <v>45970</v>
      </c>
      <c r="D411" t="inlineStr">
        <is>
          <t>ÖREBRO LÄN</t>
        </is>
      </c>
      <c r="E411" t="inlineStr">
        <is>
          <t>ÖREBRO</t>
        </is>
      </c>
      <c r="G411" t="n">
        <v>6.1</v>
      </c>
      <c r="H411" t="n">
        <v>0</v>
      </c>
      <c r="I411" t="n">
        <v>0</v>
      </c>
      <c r="J411" t="n">
        <v>0</v>
      </c>
      <c r="K411" t="n">
        <v>0</v>
      </c>
      <c r="L411" t="n">
        <v>0</v>
      </c>
      <c r="M411" t="n">
        <v>0</v>
      </c>
      <c r="N411" t="n">
        <v>0</v>
      </c>
      <c r="O411" t="n">
        <v>0</v>
      </c>
      <c r="P411" t="n">
        <v>0</v>
      </c>
      <c r="Q411" t="n">
        <v>0</v>
      </c>
      <c r="R411" s="2" t="inlineStr"/>
    </row>
    <row r="412" ht="15" customHeight="1">
      <c r="A412" t="inlineStr">
        <is>
          <t>A 49029-2024</t>
        </is>
      </c>
      <c r="B412" s="1" t="n">
        <v>45594</v>
      </c>
      <c r="C412" s="1" t="n">
        <v>45970</v>
      </c>
      <c r="D412" t="inlineStr">
        <is>
          <t>ÖREBRO LÄN</t>
        </is>
      </c>
      <c r="E412" t="inlineStr">
        <is>
          <t>ÖREBRO</t>
        </is>
      </c>
      <c r="G412" t="n">
        <v>3.7</v>
      </c>
      <c r="H412" t="n">
        <v>0</v>
      </c>
      <c r="I412" t="n">
        <v>0</v>
      </c>
      <c r="J412" t="n">
        <v>0</v>
      </c>
      <c r="K412" t="n">
        <v>0</v>
      </c>
      <c r="L412" t="n">
        <v>0</v>
      </c>
      <c r="M412" t="n">
        <v>0</v>
      </c>
      <c r="N412" t="n">
        <v>0</v>
      </c>
      <c r="O412" t="n">
        <v>0</v>
      </c>
      <c r="P412" t="n">
        <v>0</v>
      </c>
      <c r="Q412" t="n">
        <v>0</v>
      </c>
      <c r="R412" s="2" t="inlineStr"/>
    </row>
    <row r="413" ht="15" customHeight="1">
      <c r="A413" t="inlineStr">
        <is>
          <t>A 20115-2024</t>
        </is>
      </c>
      <c r="B413" s="1" t="n">
        <v>45434</v>
      </c>
      <c r="C413" s="1" t="n">
        <v>45970</v>
      </c>
      <c r="D413" t="inlineStr">
        <is>
          <t>ÖREBRO LÄN</t>
        </is>
      </c>
      <c r="E413" t="inlineStr">
        <is>
          <t>ÖREBRO</t>
        </is>
      </c>
      <c r="G413" t="n">
        <v>1.7</v>
      </c>
      <c r="H413" t="n">
        <v>0</v>
      </c>
      <c r="I413" t="n">
        <v>0</v>
      </c>
      <c r="J413" t="n">
        <v>0</v>
      </c>
      <c r="K413" t="n">
        <v>0</v>
      </c>
      <c r="L413" t="n">
        <v>0</v>
      </c>
      <c r="M413" t="n">
        <v>0</v>
      </c>
      <c r="N413" t="n">
        <v>0</v>
      </c>
      <c r="O413" t="n">
        <v>0</v>
      </c>
      <c r="P413" t="n">
        <v>0</v>
      </c>
      <c r="Q413" t="n">
        <v>0</v>
      </c>
      <c r="R413" s="2" t="inlineStr"/>
    </row>
    <row r="414" ht="15" customHeight="1">
      <c r="A414" t="inlineStr">
        <is>
          <t>A 30015-2023</t>
        </is>
      </c>
      <c r="B414" s="1" t="n">
        <v>45109</v>
      </c>
      <c r="C414" s="1" t="n">
        <v>45970</v>
      </c>
      <c r="D414" t="inlineStr">
        <is>
          <t>ÖREBRO LÄN</t>
        </is>
      </c>
      <c r="E414" t="inlineStr">
        <is>
          <t>ÖREBRO</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2076-2025</t>
        </is>
      </c>
      <c r="B415" s="1" t="n">
        <v>45672</v>
      </c>
      <c r="C415" s="1" t="n">
        <v>45970</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55875-2024</t>
        </is>
      </c>
      <c r="B416" s="1" t="n">
        <v>45623.55375</v>
      </c>
      <c r="C416" s="1" t="n">
        <v>45970</v>
      </c>
      <c r="D416" t="inlineStr">
        <is>
          <t>ÖREBRO LÄN</t>
        </is>
      </c>
      <c r="E416" t="inlineStr">
        <is>
          <t>ÖREBRO</t>
        </is>
      </c>
      <c r="G416" t="n">
        <v>3.5</v>
      </c>
      <c r="H416" t="n">
        <v>0</v>
      </c>
      <c r="I416" t="n">
        <v>0</v>
      </c>
      <c r="J416" t="n">
        <v>0</v>
      </c>
      <c r="K416" t="n">
        <v>0</v>
      </c>
      <c r="L416" t="n">
        <v>0</v>
      </c>
      <c r="M416" t="n">
        <v>0</v>
      </c>
      <c r="N416" t="n">
        <v>0</v>
      </c>
      <c r="O416" t="n">
        <v>0</v>
      </c>
      <c r="P416" t="n">
        <v>0</v>
      </c>
      <c r="Q416" t="n">
        <v>0</v>
      </c>
      <c r="R416" s="2" t="inlineStr"/>
    </row>
    <row r="417" ht="15" customHeight="1">
      <c r="A417" t="inlineStr">
        <is>
          <t>A 37968-2024</t>
        </is>
      </c>
      <c r="B417" s="1" t="n">
        <v>45544</v>
      </c>
      <c r="C417" s="1" t="n">
        <v>45970</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40330-2025</t>
        </is>
      </c>
      <c r="B418" s="1" t="n">
        <v>45895.4531712963</v>
      </c>
      <c r="C418" s="1" t="n">
        <v>45970</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23710-2022</t>
        </is>
      </c>
      <c r="B419" s="1" t="n">
        <v>44722</v>
      </c>
      <c r="C419" s="1" t="n">
        <v>45970</v>
      </c>
      <c r="D419" t="inlineStr">
        <is>
          <t>ÖREBRO LÄN</t>
        </is>
      </c>
      <c r="E419" t="inlineStr">
        <is>
          <t>ÖREBRO</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14960-2025</t>
        </is>
      </c>
      <c r="B420" s="1" t="n">
        <v>45743.5853125</v>
      </c>
      <c r="C420" s="1" t="n">
        <v>45970</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60022-2024</t>
        </is>
      </c>
      <c r="B421" s="1" t="n">
        <v>45642</v>
      </c>
      <c r="C421" s="1" t="n">
        <v>45970</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10470-2025</t>
        </is>
      </c>
      <c r="B422" s="1" t="n">
        <v>45720</v>
      </c>
      <c r="C422" s="1" t="n">
        <v>45970</v>
      </c>
      <c r="D422" t="inlineStr">
        <is>
          <t>ÖREBRO LÄN</t>
        </is>
      </c>
      <c r="E422" t="inlineStr">
        <is>
          <t>ÖREBRO</t>
        </is>
      </c>
      <c r="G422" t="n">
        <v>11.5</v>
      </c>
      <c r="H422" t="n">
        <v>0</v>
      </c>
      <c r="I422" t="n">
        <v>0</v>
      </c>
      <c r="J422" t="n">
        <v>0</v>
      </c>
      <c r="K422" t="n">
        <v>0</v>
      </c>
      <c r="L422" t="n">
        <v>0</v>
      </c>
      <c r="M422" t="n">
        <v>0</v>
      </c>
      <c r="N422" t="n">
        <v>0</v>
      </c>
      <c r="O422" t="n">
        <v>0</v>
      </c>
      <c r="P422" t="n">
        <v>0</v>
      </c>
      <c r="Q422" t="n">
        <v>0</v>
      </c>
      <c r="R422" s="2" t="inlineStr"/>
    </row>
    <row r="423" ht="15" customHeight="1">
      <c r="A423" t="inlineStr">
        <is>
          <t>A 46056-2024</t>
        </is>
      </c>
      <c r="B423" s="1" t="n">
        <v>45580.91502314815</v>
      </c>
      <c r="C423" s="1" t="n">
        <v>45970</v>
      </c>
      <c r="D423" t="inlineStr">
        <is>
          <t>ÖREBRO LÄN</t>
        </is>
      </c>
      <c r="E423" t="inlineStr">
        <is>
          <t>ÖREBRO</t>
        </is>
      </c>
      <c r="F423" t="inlineStr">
        <is>
          <t>Övriga Aktiebolag</t>
        </is>
      </c>
      <c r="G423" t="n">
        <v>4.5</v>
      </c>
      <c r="H423" t="n">
        <v>0</v>
      </c>
      <c r="I423" t="n">
        <v>0</v>
      </c>
      <c r="J423" t="n">
        <v>0</v>
      </c>
      <c r="K423" t="n">
        <v>0</v>
      </c>
      <c r="L423" t="n">
        <v>0</v>
      </c>
      <c r="M423" t="n">
        <v>0</v>
      </c>
      <c r="N423" t="n">
        <v>0</v>
      </c>
      <c r="O423" t="n">
        <v>0</v>
      </c>
      <c r="P423" t="n">
        <v>0</v>
      </c>
      <c r="Q423" t="n">
        <v>0</v>
      </c>
      <c r="R423" s="2" t="inlineStr"/>
    </row>
    <row r="424" ht="15" customHeight="1">
      <c r="A424" t="inlineStr">
        <is>
          <t>A 31326-2024</t>
        </is>
      </c>
      <c r="B424" s="1" t="n">
        <v>45504.5934375</v>
      </c>
      <c r="C424" s="1" t="n">
        <v>45970</v>
      </c>
      <c r="D424" t="inlineStr">
        <is>
          <t>ÖREBRO LÄN</t>
        </is>
      </c>
      <c r="E424" t="inlineStr">
        <is>
          <t>ÖREBRO</t>
        </is>
      </c>
      <c r="G424" t="n">
        <v>6.4</v>
      </c>
      <c r="H424" t="n">
        <v>0</v>
      </c>
      <c r="I424" t="n">
        <v>0</v>
      </c>
      <c r="J424" t="n">
        <v>0</v>
      </c>
      <c r="K424" t="n">
        <v>0</v>
      </c>
      <c r="L424" t="n">
        <v>0</v>
      </c>
      <c r="M424" t="n">
        <v>0</v>
      </c>
      <c r="N424" t="n">
        <v>0</v>
      </c>
      <c r="O424" t="n">
        <v>0</v>
      </c>
      <c r="P424" t="n">
        <v>0</v>
      </c>
      <c r="Q424" t="n">
        <v>0</v>
      </c>
      <c r="R424" s="2" t="inlineStr"/>
    </row>
    <row r="425" ht="15" customHeight="1">
      <c r="A425" t="inlineStr">
        <is>
          <t>A 40332-2025</t>
        </is>
      </c>
      <c r="B425" s="1" t="n">
        <v>45895.46060185185</v>
      </c>
      <c r="C425" s="1" t="n">
        <v>45970</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13355-2023</t>
        </is>
      </c>
      <c r="B426" s="1" t="n">
        <v>45004</v>
      </c>
      <c r="C426" s="1" t="n">
        <v>45970</v>
      </c>
      <c r="D426" t="inlineStr">
        <is>
          <t>ÖREBRO LÄN</t>
        </is>
      </c>
      <c r="E426" t="inlineStr">
        <is>
          <t>ÖREBRO</t>
        </is>
      </c>
      <c r="G426" t="n">
        <v>2.3</v>
      </c>
      <c r="H426" t="n">
        <v>0</v>
      </c>
      <c r="I426" t="n">
        <v>0</v>
      </c>
      <c r="J426" t="n">
        <v>0</v>
      </c>
      <c r="K426" t="n">
        <v>0</v>
      </c>
      <c r="L426" t="n">
        <v>0</v>
      </c>
      <c r="M426" t="n">
        <v>0</v>
      </c>
      <c r="N426" t="n">
        <v>0</v>
      </c>
      <c r="O426" t="n">
        <v>0</v>
      </c>
      <c r="P426" t="n">
        <v>0</v>
      </c>
      <c r="Q426" t="n">
        <v>0</v>
      </c>
      <c r="R426" s="2" t="inlineStr"/>
    </row>
    <row r="427" ht="15" customHeight="1">
      <c r="A427" t="inlineStr">
        <is>
          <t>A 6522-2023</t>
        </is>
      </c>
      <c r="B427" s="1" t="n">
        <v>44966</v>
      </c>
      <c r="C427" s="1" t="n">
        <v>45970</v>
      </c>
      <c r="D427" t="inlineStr">
        <is>
          <t>ÖREBRO LÄN</t>
        </is>
      </c>
      <c r="E427" t="inlineStr">
        <is>
          <t>ÖREBRO</t>
        </is>
      </c>
      <c r="G427" t="n">
        <v>4.4</v>
      </c>
      <c r="H427" t="n">
        <v>0</v>
      </c>
      <c r="I427" t="n">
        <v>0</v>
      </c>
      <c r="J427" t="n">
        <v>0</v>
      </c>
      <c r="K427" t="n">
        <v>0</v>
      </c>
      <c r="L427" t="n">
        <v>0</v>
      </c>
      <c r="M427" t="n">
        <v>0</v>
      </c>
      <c r="N427" t="n">
        <v>0</v>
      </c>
      <c r="O427" t="n">
        <v>0</v>
      </c>
      <c r="P427" t="n">
        <v>0</v>
      </c>
      <c r="Q427" t="n">
        <v>0</v>
      </c>
      <c r="R427" s="2" t="inlineStr"/>
    </row>
    <row r="428" ht="15" customHeight="1">
      <c r="A428" t="inlineStr">
        <is>
          <t>A 56040-2024</t>
        </is>
      </c>
      <c r="B428" s="1" t="n">
        <v>45624.3344212963</v>
      </c>
      <c r="C428" s="1" t="n">
        <v>45970</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21097-2025</t>
        </is>
      </c>
      <c r="B429" s="1" t="n">
        <v>45777.63863425926</v>
      </c>
      <c r="C429" s="1" t="n">
        <v>45970</v>
      </c>
      <c r="D429" t="inlineStr">
        <is>
          <t>ÖREBRO LÄN</t>
        </is>
      </c>
      <c r="E429" t="inlineStr">
        <is>
          <t>ÖREBRO</t>
        </is>
      </c>
      <c r="G429" t="n">
        <v>2.1</v>
      </c>
      <c r="H429" t="n">
        <v>0</v>
      </c>
      <c r="I429" t="n">
        <v>0</v>
      </c>
      <c r="J429" t="n">
        <v>0</v>
      </c>
      <c r="K429" t="n">
        <v>0</v>
      </c>
      <c r="L429" t="n">
        <v>0</v>
      </c>
      <c r="M429" t="n">
        <v>0</v>
      </c>
      <c r="N429" t="n">
        <v>0</v>
      </c>
      <c r="O429" t="n">
        <v>0</v>
      </c>
      <c r="P429" t="n">
        <v>0</v>
      </c>
      <c r="Q429" t="n">
        <v>0</v>
      </c>
      <c r="R429" s="2" t="inlineStr"/>
    </row>
    <row r="430" ht="15" customHeight="1">
      <c r="A430" t="inlineStr">
        <is>
          <t>A 52444-2024</t>
        </is>
      </c>
      <c r="B430" s="1" t="n">
        <v>45609.48894675926</v>
      </c>
      <c r="C430" s="1" t="n">
        <v>45970</v>
      </c>
      <c r="D430" t="inlineStr">
        <is>
          <t>ÖREBRO LÄN</t>
        </is>
      </c>
      <c r="E430" t="inlineStr">
        <is>
          <t>ÖREBRO</t>
        </is>
      </c>
      <c r="G430" t="n">
        <v>1.7</v>
      </c>
      <c r="H430" t="n">
        <v>0</v>
      </c>
      <c r="I430" t="n">
        <v>0</v>
      </c>
      <c r="J430" t="n">
        <v>0</v>
      </c>
      <c r="K430" t="n">
        <v>0</v>
      </c>
      <c r="L430" t="n">
        <v>0</v>
      </c>
      <c r="M430" t="n">
        <v>0</v>
      </c>
      <c r="N430" t="n">
        <v>0</v>
      </c>
      <c r="O430" t="n">
        <v>0</v>
      </c>
      <c r="P430" t="n">
        <v>0</v>
      </c>
      <c r="Q430" t="n">
        <v>0</v>
      </c>
      <c r="R430" s="2" t="inlineStr"/>
    </row>
    <row r="431" ht="15" customHeight="1">
      <c r="A431" t="inlineStr">
        <is>
          <t>A 60128-2023</t>
        </is>
      </c>
      <c r="B431" s="1" t="n">
        <v>45258</v>
      </c>
      <c r="C431" s="1" t="n">
        <v>45970</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16140-2023</t>
        </is>
      </c>
      <c r="B432" s="1" t="n">
        <v>45027.6433912037</v>
      </c>
      <c r="C432" s="1" t="n">
        <v>45970</v>
      </c>
      <c r="D432" t="inlineStr">
        <is>
          <t>ÖREBRO LÄN</t>
        </is>
      </c>
      <c r="E432" t="inlineStr">
        <is>
          <t>ÖREBRO</t>
        </is>
      </c>
      <c r="G432" t="n">
        <v>2</v>
      </c>
      <c r="H432" t="n">
        <v>0</v>
      </c>
      <c r="I432" t="n">
        <v>0</v>
      </c>
      <c r="J432" t="n">
        <v>0</v>
      </c>
      <c r="K432" t="n">
        <v>0</v>
      </c>
      <c r="L432" t="n">
        <v>0</v>
      </c>
      <c r="M432" t="n">
        <v>0</v>
      </c>
      <c r="N432" t="n">
        <v>0</v>
      </c>
      <c r="O432" t="n">
        <v>0</v>
      </c>
      <c r="P432" t="n">
        <v>0</v>
      </c>
      <c r="Q432" t="n">
        <v>0</v>
      </c>
      <c r="R432" s="2" t="inlineStr"/>
    </row>
    <row r="433" ht="15" customHeight="1">
      <c r="A433" t="inlineStr">
        <is>
          <t>A 35819-2024</t>
        </is>
      </c>
      <c r="B433" s="1" t="n">
        <v>45532</v>
      </c>
      <c r="C433" s="1" t="n">
        <v>45970</v>
      </c>
      <c r="D433" t="inlineStr">
        <is>
          <t>ÖREBRO LÄN</t>
        </is>
      </c>
      <c r="E433" t="inlineStr">
        <is>
          <t>ÖREBRO</t>
        </is>
      </c>
      <c r="G433" t="n">
        <v>6.4</v>
      </c>
      <c r="H433" t="n">
        <v>0</v>
      </c>
      <c r="I433" t="n">
        <v>0</v>
      </c>
      <c r="J433" t="n">
        <v>0</v>
      </c>
      <c r="K433" t="n">
        <v>0</v>
      </c>
      <c r="L433" t="n">
        <v>0</v>
      </c>
      <c r="M433" t="n">
        <v>0</v>
      </c>
      <c r="N433" t="n">
        <v>0</v>
      </c>
      <c r="O433" t="n">
        <v>0</v>
      </c>
      <c r="P433" t="n">
        <v>0</v>
      </c>
      <c r="Q433" t="n">
        <v>0</v>
      </c>
      <c r="R433" s="2" t="inlineStr"/>
    </row>
    <row r="434" ht="15" customHeight="1">
      <c r="A434" t="inlineStr">
        <is>
          <t>A 32076-2023</t>
        </is>
      </c>
      <c r="B434" s="1" t="n">
        <v>45119.58324074074</v>
      </c>
      <c r="C434" s="1" t="n">
        <v>45970</v>
      </c>
      <c r="D434" t="inlineStr">
        <is>
          <t>ÖREBRO LÄN</t>
        </is>
      </c>
      <c r="E434" t="inlineStr">
        <is>
          <t>ÖREBRO</t>
        </is>
      </c>
      <c r="G434" t="n">
        <v>1.1</v>
      </c>
      <c r="H434" t="n">
        <v>0</v>
      </c>
      <c r="I434" t="n">
        <v>0</v>
      </c>
      <c r="J434" t="n">
        <v>0</v>
      </c>
      <c r="K434" t="n">
        <v>0</v>
      </c>
      <c r="L434" t="n">
        <v>0</v>
      </c>
      <c r="M434" t="n">
        <v>0</v>
      </c>
      <c r="N434" t="n">
        <v>0</v>
      </c>
      <c r="O434" t="n">
        <v>0</v>
      </c>
      <c r="P434" t="n">
        <v>0</v>
      </c>
      <c r="Q434" t="n">
        <v>0</v>
      </c>
      <c r="R434" s="2" t="inlineStr"/>
    </row>
    <row r="435" ht="15" customHeight="1">
      <c r="A435" t="inlineStr">
        <is>
          <t>A 764-2024</t>
        </is>
      </c>
      <c r="B435" s="1" t="n">
        <v>45300.51512731481</v>
      </c>
      <c r="C435" s="1" t="n">
        <v>45970</v>
      </c>
      <c r="D435" t="inlineStr">
        <is>
          <t>ÖREBRO LÄN</t>
        </is>
      </c>
      <c r="E435" t="inlineStr">
        <is>
          <t>ÖREBRO</t>
        </is>
      </c>
      <c r="G435" t="n">
        <v>2</v>
      </c>
      <c r="H435" t="n">
        <v>0</v>
      </c>
      <c r="I435" t="n">
        <v>0</v>
      </c>
      <c r="J435" t="n">
        <v>0</v>
      </c>
      <c r="K435" t="n">
        <v>0</v>
      </c>
      <c r="L435" t="n">
        <v>0</v>
      </c>
      <c r="M435" t="n">
        <v>0</v>
      </c>
      <c r="N435" t="n">
        <v>0</v>
      </c>
      <c r="O435" t="n">
        <v>0</v>
      </c>
      <c r="P435" t="n">
        <v>0</v>
      </c>
      <c r="Q435" t="n">
        <v>0</v>
      </c>
      <c r="R435" s="2" t="inlineStr"/>
    </row>
    <row r="436" ht="15" customHeight="1">
      <c r="A436" t="inlineStr">
        <is>
          <t>A 22045-2024</t>
        </is>
      </c>
      <c r="B436" s="1" t="n">
        <v>45443.61171296296</v>
      </c>
      <c r="C436" s="1" t="n">
        <v>45970</v>
      </c>
      <c r="D436" t="inlineStr">
        <is>
          <t>ÖREBRO LÄN</t>
        </is>
      </c>
      <c r="E436" t="inlineStr">
        <is>
          <t>ÖREBRO</t>
        </is>
      </c>
      <c r="F436" t="inlineStr">
        <is>
          <t>Övriga Aktiebolag</t>
        </is>
      </c>
      <c r="G436" t="n">
        <v>0.9</v>
      </c>
      <c r="H436" t="n">
        <v>0</v>
      </c>
      <c r="I436" t="n">
        <v>0</v>
      </c>
      <c r="J436" t="n">
        <v>0</v>
      </c>
      <c r="K436" t="n">
        <v>0</v>
      </c>
      <c r="L436" t="n">
        <v>0</v>
      </c>
      <c r="M436" t="n">
        <v>0</v>
      </c>
      <c r="N436" t="n">
        <v>0</v>
      </c>
      <c r="O436" t="n">
        <v>0</v>
      </c>
      <c r="P436" t="n">
        <v>0</v>
      </c>
      <c r="Q436" t="n">
        <v>0</v>
      </c>
      <c r="R436" s="2" t="inlineStr"/>
    </row>
    <row r="437" ht="15" customHeight="1">
      <c r="A437" t="inlineStr">
        <is>
          <t>A 58684-2023</t>
        </is>
      </c>
      <c r="B437" s="1" t="n">
        <v>45251</v>
      </c>
      <c r="C437" s="1" t="n">
        <v>45970</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38898-2023</t>
        </is>
      </c>
      <c r="B438" s="1" t="n">
        <v>45163</v>
      </c>
      <c r="C438" s="1" t="n">
        <v>45970</v>
      </c>
      <c r="D438" t="inlineStr">
        <is>
          <t>ÖREBRO LÄN</t>
        </is>
      </c>
      <c r="E438" t="inlineStr">
        <is>
          <t>ÖREBRO</t>
        </is>
      </c>
      <c r="G438" t="n">
        <v>5.1</v>
      </c>
      <c r="H438" t="n">
        <v>0</v>
      </c>
      <c r="I438" t="n">
        <v>0</v>
      </c>
      <c r="J438" t="n">
        <v>0</v>
      </c>
      <c r="K438" t="n">
        <v>0</v>
      </c>
      <c r="L438" t="n">
        <v>0</v>
      </c>
      <c r="M438" t="n">
        <v>0</v>
      </c>
      <c r="N438" t="n">
        <v>0</v>
      </c>
      <c r="O438" t="n">
        <v>0</v>
      </c>
      <c r="P438" t="n">
        <v>0</v>
      </c>
      <c r="Q438" t="n">
        <v>0</v>
      </c>
      <c r="R438" s="2" t="inlineStr"/>
    </row>
    <row r="439" ht="15" customHeight="1">
      <c r="A439" t="inlineStr">
        <is>
          <t>A 58644-2023</t>
        </is>
      </c>
      <c r="B439" s="1" t="n">
        <v>45251.58716435185</v>
      </c>
      <c r="C439" s="1" t="n">
        <v>45970</v>
      </c>
      <c r="D439" t="inlineStr">
        <is>
          <t>ÖREBRO LÄN</t>
        </is>
      </c>
      <c r="E439" t="inlineStr">
        <is>
          <t>ÖREBRO</t>
        </is>
      </c>
      <c r="F439" t="inlineStr">
        <is>
          <t>Övriga Aktiebolag</t>
        </is>
      </c>
      <c r="G439" t="n">
        <v>1.9</v>
      </c>
      <c r="H439" t="n">
        <v>0</v>
      </c>
      <c r="I439" t="n">
        <v>0</v>
      </c>
      <c r="J439" t="n">
        <v>0</v>
      </c>
      <c r="K439" t="n">
        <v>0</v>
      </c>
      <c r="L439" t="n">
        <v>0</v>
      </c>
      <c r="M439" t="n">
        <v>0</v>
      </c>
      <c r="N439" t="n">
        <v>0</v>
      </c>
      <c r="O439" t="n">
        <v>0</v>
      </c>
      <c r="P439" t="n">
        <v>0</v>
      </c>
      <c r="Q439" t="n">
        <v>0</v>
      </c>
      <c r="R439" s="2" t="inlineStr"/>
    </row>
    <row r="440" ht="15" customHeight="1">
      <c r="A440" t="inlineStr">
        <is>
          <t>A 13321-2024</t>
        </is>
      </c>
      <c r="B440" s="1" t="n">
        <v>45386.83142361111</v>
      </c>
      <c r="C440" s="1" t="n">
        <v>45970</v>
      </c>
      <c r="D440" t="inlineStr">
        <is>
          <t>ÖREBRO LÄN</t>
        </is>
      </c>
      <c r="E440" t="inlineStr">
        <is>
          <t>ÖREBRO</t>
        </is>
      </c>
      <c r="G440" t="n">
        <v>13.1</v>
      </c>
      <c r="H440" t="n">
        <v>0</v>
      </c>
      <c r="I440" t="n">
        <v>0</v>
      </c>
      <c r="J440" t="n">
        <v>0</v>
      </c>
      <c r="K440" t="n">
        <v>0</v>
      </c>
      <c r="L440" t="n">
        <v>0</v>
      </c>
      <c r="M440" t="n">
        <v>0</v>
      </c>
      <c r="N440" t="n">
        <v>0</v>
      </c>
      <c r="O440" t="n">
        <v>0</v>
      </c>
      <c r="P440" t="n">
        <v>0</v>
      </c>
      <c r="Q440" t="n">
        <v>0</v>
      </c>
      <c r="R440" s="2" t="inlineStr"/>
    </row>
    <row r="441" ht="15" customHeight="1">
      <c r="A441" t="inlineStr">
        <is>
          <t>A 21338-2025</t>
        </is>
      </c>
      <c r="B441" s="1" t="n">
        <v>45780</v>
      </c>
      <c r="C441" s="1" t="n">
        <v>45970</v>
      </c>
      <c r="D441" t="inlineStr">
        <is>
          <t>ÖREBRO LÄN</t>
        </is>
      </c>
      <c r="E441" t="inlineStr">
        <is>
          <t>ÖREBRO</t>
        </is>
      </c>
      <c r="G441" t="n">
        <v>3.2</v>
      </c>
      <c r="H441" t="n">
        <v>0</v>
      </c>
      <c r="I441" t="n">
        <v>0</v>
      </c>
      <c r="J441" t="n">
        <v>0</v>
      </c>
      <c r="K441" t="n">
        <v>0</v>
      </c>
      <c r="L441" t="n">
        <v>0</v>
      </c>
      <c r="M441" t="n">
        <v>0</v>
      </c>
      <c r="N441" t="n">
        <v>0</v>
      </c>
      <c r="O441" t="n">
        <v>0</v>
      </c>
      <c r="P441" t="n">
        <v>0</v>
      </c>
      <c r="Q441" t="n">
        <v>0</v>
      </c>
      <c r="R441" s="2" t="inlineStr"/>
    </row>
    <row r="442" ht="15" customHeight="1">
      <c r="A442" t="inlineStr">
        <is>
          <t>A 38583-2023</t>
        </is>
      </c>
      <c r="B442" s="1" t="n">
        <v>45162.62861111111</v>
      </c>
      <c r="C442" s="1" t="n">
        <v>45970</v>
      </c>
      <c r="D442" t="inlineStr">
        <is>
          <t>ÖREBRO LÄN</t>
        </is>
      </c>
      <c r="E442" t="inlineStr">
        <is>
          <t>ÖREBRO</t>
        </is>
      </c>
      <c r="G442" t="n">
        <v>5.7</v>
      </c>
      <c r="H442" t="n">
        <v>0</v>
      </c>
      <c r="I442" t="n">
        <v>0</v>
      </c>
      <c r="J442" t="n">
        <v>0</v>
      </c>
      <c r="K442" t="n">
        <v>0</v>
      </c>
      <c r="L442" t="n">
        <v>0</v>
      </c>
      <c r="M442" t="n">
        <v>0</v>
      </c>
      <c r="N442" t="n">
        <v>0</v>
      </c>
      <c r="O442" t="n">
        <v>0</v>
      </c>
      <c r="P442" t="n">
        <v>0</v>
      </c>
      <c r="Q442" t="n">
        <v>0</v>
      </c>
      <c r="R442" s="2" t="inlineStr"/>
    </row>
    <row r="443" ht="15" customHeight="1">
      <c r="A443" t="inlineStr">
        <is>
          <t>A 14291-2023</t>
        </is>
      </c>
      <c r="B443" s="1" t="n">
        <v>45010</v>
      </c>
      <c r="C443" s="1" t="n">
        <v>45970</v>
      </c>
      <c r="D443" t="inlineStr">
        <is>
          <t>ÖREBRO LÄN</t>
        </is>
      </c>
      <c r="E443" t="inlineStr">
        <is>
          <t>ÖREBRO</t>
        </is>
      </c>
      <c r="G443" t="n">
        <v>0.8</v>
      </c>
      <c r="H443" t="n">
        <v>0</v>
      </c>
      <c r="I443" t="n">
        <v>0</v>
      </c>
      <c r="J443" t="n">
        <v>0</v>
      </c>
      <c r="K443" t="n">
        <v>0</v>
      </c>
      <c r="L443" t="n">
        <v>0</v>
      </c>
      <c r="M443" t="n">
        <v>0</v>
      </c>
      <c r="N443" t="n">
        <v>0</v>
      </c>
      <c r="O443" t="n">
        <v>0</v>
      </c>
      <c r="P443" t="n">
        <v>0</v>
      </c>
      <c r="Q443" t="n">
        <v>0</v>
      </c>
      <c r="R443" s="2" t="inlineStr"/>
    </row>
    <row r="444" ht="15" customHeight="1">
      <c r="A444" t="inlineStr">
        <is>
          <t>A 22755-2025</t>
        </is>
      </c>
      <c r="B444" s="1" t="n">
        <v>45789.61872685186</v>
      </c>
      <c r="C444" s="1" t="n">
        <v>45970</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44199-2024</t>
        </is>
      </c>
      <c r="B445" s="1" t="n">
        <v>45573</v>
      </c>
      <c r="C445" s="1" t="n">
        <v>45970</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34336-2024</t>
        </is>
      </c>
      <c r="B446" s="1" t="n">
        <v>45524.94774305556</v>
      </c>
      <c r="C446" s="1" t="n">
        <v>45970</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26443-2024</t>
        </is>
      </c>
      <c r="B447" s="1" t="n">
        <v>45469.49901620371</v>
      </c>
      <c r="C447" s="1" t="n">
        <v>45970</v>
      </c>
      <c r="D447" t="inlineStr">
        <is>
          <t>ÖREBRO LÄN</t>
        </is>
      </c>
      <c r="E447" t="inlineStr">
        <is>
          <t>ÖREBRO</t>
        </is>
      </c>
      <c r="G447" t="n">
        <v>5.7</v>
      </c>
      <c r="H447" t="n">
        <v>0</v>
      </c>
      <c r="I447" t="n">
        <v>0</v>
      </c>
      <c r="J447" t="n">
        <v>0</v>
      </c>
      <c r="K447" t="n">
        <v>0</v>
      </c>
      <c r="L447" t="n">
        <v>0</v>
      </c>
      <c r="M447" t="n">
        <v>0</v>
      </c>
      <c r="N447" t="n">
        <v>0</v>
      </c>
      <c r="O447" t="n">
        <v>0</v>
      </c>
      <c r="P447" t="n">
        <v>0</v>
      </c>
      <c r="Q447" t="n">
        <v>0</v>
      </c>
      <c r="R447" s="2" t="inlineStr"/>
    </row>
    <row r="448" ht="15" customHeight="1">
      <c r="A448" t="inlineStr">
        <is>
          <t>A 35477-2024</t>
        </is>
      </c>
      <c r="B448" s="1" t="n">
        <v>45531</v>
      </c>
      <c r="C448" s="1" t="n">
        <v>45970</v>
      </c>
      <c r="D448" t="inlineStr">
        <is>
          <t>ÖREBRO LÄN</t>
        </is>
      </c>
      <c r="E448" t="inlineStr">
        <is>
          <t>ÖREBRO</t>
        </is>
      </c>
      <c r="G448" t="n">
        <v>2.4</v>
      </c>
      <c r="H448" t="n">
        <v>0</v>
      </c>
      <c r="I448" t="n">
        <v>0</v>
      </c>
      <c r="J448" t="n">
        <v>0</v>
      </c>
      <c r="K448" t="n">
        <v>0</v>
      </c>
      <c r="L448" t="n">
        <v>0</v>
      </c>
      <c r="M448" t="n">
        <v>0</v>
      </c>
      <c r="N448" t="n">
        <v>0</v>
      </c>
      <c r="O448" t="n">
        <v>0</v>
      </c>
      <c r="P448" t="n">
        <v>0</v>
      </c>
      <c r="Q448" t="n">
        <v>0</v>
      </c>
      <c r="R448" s="2" t="inlineStr"/>
    </row>
    <row r="449" ht="15" customHeight="1">
      <c r="A449" t="inlineStr">
        <is>
          <t>A 9314-2023</t>
        </is>
      </c>
      <c r="B449" s="1" t="n">
        <v>44980.67747685185</v>
      </c>
      <c r="C449" s="1" t="n">
        <v>45970</v>
      </c>
      <c r="D449" t="inlineStr">
        <is>
          <t>ÖREBRO LÄN</t>
        </is>
      </c>
      <c r="E449" t="inlineStr">
        <is>
          <t>ÖREBRO</t>
        </is>
      </c>
      <c r="G449" t="n">
        <v>0.8</v>
      </c>
      <c r="H449" t="n">
        <v>0</v>
      </c>
      <c r="I449" t="n">
        <v>0</v>
      </c>
      <c r="J449" t="n">
        <v>0</v>
      </c>
      <c r="K449" t="n">
        <v>0</v>
      </c>
      <c r="L449" t="n">
        <v>0</v>
      </c>
      <c r="M449" t="n">
        <v>0</v>
      </c>
      <c r="N449" t="n">
        <v>0</v>
      </c>
      <c r="O449" t="n">
        <v>0</v>
      </c>
      <c r="P449" t="n">
        <v>0</v>
      </c>
      <c r="Q449" t="n">
        <v>0</v>
      </c>
      <c r="R449" s="2" t="inlineStr"/>
    </row>
    <row r="450" ht="15" customHeight="1">
      <c r="A450" t="inlineStr">
        <is>
          <t>A 33455-2023</t>
        </is>
      </c>
      <c r="B450" s="1" t="n">
        <v>45130.98962962963</v>
      </c>
      <c r="C450" s="1" t="n">
        <v>45970</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21306-2024</t>
        </is>
      </c>
      <c r="B451" s="1" t="n">
        <v>45440.67883101852</v>
      </c>
      <c r="C451" s="1" t="n">
        <v>45970</v>
      </c>
      <c r="D451" t="inlineStr">
        <is>
          <t>ÖREBRO LÄN</t>
        </is>
      </c>
      <c r="E451" t="inlineStr">
        <is>
          <t>ÖREBRO</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22719-2025</t>
        </is>
      </c>
      <c r="B452" s="1" t="n">
        <v>45789</v>
      </c>
      <c r="C452" s="1" t="n">
        <v>45970</v>
      </c>
      <c r="D452" t="inlineStr">
        <is>
          <t>ÖREBRO LÄN</t>
        </is>
      </c>
      <c r="E452" t="inlineStr">
        <is>
          <t>ÖREBRO</t>
        </is>
      </c>
      <c r="G452" t="n">
        <v>1.5</v>
      </c>
      <c r="H452" t="n">
        <v>0</v>
      </c>
      <c r="I452" t="n">
        <v>0</v>
      </c>
      <c r="J452" t="n">
        <v>0</v>
      </c>
      <c r="K452" t="n">
        <v>0</v>
      </c>
      <c r="L452" t="n">
        <v>0</v>
      </c>
      <c r="M452" t="n">
        <v>0</v>
      </c>
      <c r="N452" t="n">
        <v>0</v>
      </c>
      <c r="O452" t="n">
        <v>0</v>
      </c>
      <c r="P452" t="n">
        <v>0</v>
      </c>
      <c r="Q452" t="n">
        <v>0</v>
      </c>
      <c r="R452" s="2" t="inlineStr"/>
    </row>
    <row r="453" ht="15" customHeight="1">
      <c r="A453" t="inlineStr">
        <is>
          <t>A 30316-2024</t>
        </is>
      </c>
      <c r="B453" s="1" t="n">
        <v>45490</v>
      </c>
      <c r="C453" s="1" t="n">
        <v>45970</v>
      </c>
      <c r="D453" t="inlineStr">
        <is>
          <t>ÖREBRO LÄN</t>
        </is>
      </c>
      <c r="E453" t="inlineStr">
        <is>
          <t>ÖREBRO</t>
        </is>
      </c>
      <c r="G453" t="n">
        <v>5.5</v>
      </c>
      <c r="H453" t="n">
        <v>0</v>
      </c>
      <c r="I453" t="n">
        <v>0</v>
      </c>
      <c r="J453" t="n">
        <v>0</v>
      </c>
      <c r="K453" t="n">
        <v>0</v>
      </c>
      <c r="L453" t="n">
        <v>0</v>
      </c>
      <c r="M453" t="n">
        <v>0</v>
      </c>
      <c r="N453" t="n">
        <v>0</v>
      </c>
      <c r="O453" t="n">
        <v>0</v>
      </c>
      <c r="P453" t="n">
        <v>0</v>
      </c>
      <c r="Q453" t="n">
        <v>0</v>
      </c>
      <c r="R453" s="2" t="inlineStr"/>
    </row>
    <row r="454" ht="15" customHeight="1">
      <c r="A454" t="inlineStr">
        <is>
          <t>A 7634-2024</t>
        </is>
      </c>
      <c r="B454" s="1" t="n">
        <v>45348</v>
      </c>
      <c r="C454" s="1" t="n">
        <v>45970</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38790-2024</t>
        </is>
      </c>
      <c r="B455" s="1" t="n">
        <v>45547.48450231482</v>
      </c>
      <c r="C455" s="1" t="n">
        <v>45970</v>
      </c>
      <c r="D455" t="inlineStr">
        <is>
          <t>ÖREBRO LÄN</t>
        </is>
      </c>
      <c r="E455" t="inlineStr">
        <is>
          <t>ÖREBRO</t>
        </is>
      </c>
      <c r="G455" t="n">
        <v>2</v>
      </c>
      <c r="H455" t="n">
        <v>0</v>
      </c>
      <c r="I455" t="n">
        <v>0</v>
      </c>
      <c r="J455" t="n">
        <v>0</v>
      </c>
      <c r="K455" t="n">
        <v>0</v>
      </c>
      <c r="L455" t="n">
        <v>0</v>
      </c>
      <c r="M455" t="n">
        <v>0</v>
      </c>
      <c r="N455" t="n">
        <v>0</v>
      </c>
      <c r="O455" t="n">
        <v>0</v>
      </c>
      <c r="P455" t="n">
        <v>0</v>
      </c>
      <c r="Q455" t="n">
        <v>0</v>
      </c>
      <c r="R455" s="2" t="inlineStr"/>
    </row>
    <row r="456" ht="15" customHeight="1">
      <c r="A456" t="inlineStr">
        <is>
          <t>A 61279-2024</t>
        </is>
      </c>
      <c r="B456" s="1" t="n">
        <v>45645</v>
      </c>
      <c r="C456" s="1" t="n">
        <v>45970</v>
      </c>
      <c r="D456" t="inlineStr">
        <is>
          <t>ÖREBRO LÄN</t>
        </is>
      </c>
      <c r="E456" t="inlineStr">
        <is>
          <t>ÖREBRO</t>
        </is>
      </c>
      <c r="G456" t="n">
        <v>0.7</v>
      </c>
      <c r="H456" t="n">
        <v>0</v>
      </c>
      <c r="I456" t="n">
        <v>0</v>
      </c>
      <c r="J456" t="n">
        <v>0</v>
      </c>
      <c r="K456" t="n">
        <v>0</v>
      </c>
      <c r="L456" t="n">
        <v>0</v>
      </c>
      <c r="M456" t="n">
        <v>0</v>
      </c>
      <c r="N456" t="n">
        <v>0</v>
      </c>
      <c r="O456" t="n">
        <v>0</v>
      </c>
      <c r="P456" t="n">
        <v>0</v>
      </c>
      <c r="Q456" t="n">
        <v>0</v>
      </c>
      <c r="R456" s="2" t="inlineStr"/>
    </row>
    <row r="457" ht="15" customHeight="1">
      <c r="A457" t="inlineStr">
        <is>
          <t>A 5324-2024</t>
        </is>
      </c>
      <c r="B457" s="1" t="n">
        <v>45331</v>
      </c>
      <c r="C457" s="1" t="n">
        <v>45970</v>
      </c>
      <c r="D457" t="inlineStr">
        <is>
          <t>ÖREBRO LÄN</t>
        </is>
      </c>
      <c r="E457" t="inlineStr">
        <is>
          <t>ÖREBRO</t>
        </is>
      </c>
      <c r="G457" t="n">
        <v>1.5</v>
      </c>
      <c r="H457" t="n">
        <v>0</v>
      </c>
      <c r="I457" t="n">
        <v>0</v>
      </c>
      <c r="J457" t="n">
        <v>0</v>
      </c>
      <c r="K457" t="n">
        <v>0</v>
      </c>
      <c r="L457" t="n">
        <v>0</v>
      </c>
      <c r="M457" t="n">
        <v>0</v>
      </c>
      <c r="N457" t="n">
        <v>0</v>
      </c>
      <c r="O457" t="n">
        <v>0</v>
      </c>
      <c r="P457" t="n">
        <v>0</v>
      </c>
      <c r="Q457" t="n">
        <v>0</v>
      </c>
      <c r="R457" s="2" t="inlineStr"/>
    </row>
    <row r="458" ht="15" customHeight="1">
      <c r="A458" t="inlineStr">
        <is>
          <t>A 52401-2024</t>
        </is>
      </c>
      <c r="B458" s="1" t="n">
        <v>45609.44553240741</v>
      </c>
      <c r="C458" s="1" t="n">
        <v>45970</v>
      </c>
      <c r="D458" t="inlineStr">
        <is>
          <t>ÖREBRO LÄN</t>
        </is>
      </c>
      <c r="E458" t="inlineStr">
        <is>
          <t>ÖREBRO</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71269-2021</t>
        </is>
      </c>
      <c r="B459" s="1" t="n">
        <v>44539</v>
      </c>
      <c r="C459" s="1" t="n">
        <v>45970</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15555-2025</t>
        </is>
      </c>
      <c r="B460" s="1" t="n">
        <v>45747.67768518518</v>
      </c>
      <c r="C460" s="1" t="n">
        <v>45970</v>
      </c>
      <c r="D460" t="inlineStr">
        <is>
          <t>ÖREBRO LÄN</t>
        </is>
      </c>
      <c r="E460" t="inlineStr">
        <is>
          <t>ÖREBRO</t>
        </is>
      </c>
      <c r="G460" t="n">
        <v>1.7</v>
      </c>
      <c r="H460" t="n">
        <v>0</v>
      </c>
      <c r="I460" t="n">
        <v>0</v>
      </c>
      <c r="J460" t="n">
        <v>0</v>
      </c>
      <c r="K460" t="n">
        <v>0</v>
      </c>
      <c r="L460" t="n">
        <v>0</v>
      </c>
      <c r="M460" t="n">
        <v>0</v>
      </c>
      <c r="N460" t="n">
        <v>0</v>
      </c>
      <c r="O460" t="n">
        <v>0</v>
      </c>
      <c r="P460" t="n">
        <v>0</v>
      </c>
      <c r="Q460" t="n">
        <v>0</v>
      </c>
      <c r="R460" s="2" t="inlineStr"/>
    </row>
    <row r="461" ht="15" customHeight="1">
      <c r="A461" t="inlineStr">
        <is>
          <t>A 14963-2025</t>
        </is>
      </c>
      <c r="B461" s="1" t="n">
        <v>45743.58699074074</v>
      </c>
      <c r="C461" s="1" t="n">
        <v>45970</v>
      </c>
      <c r="D461" t="inlineStr">
        <is>
          <t>ÖREBRO LÄN</t>
        </is>
      </c>
      <c r="E461" t="inlineStr">
        <is>
          <t>ÖREBRO</t>
        </is>
      </c>
      <c r="G461" t="n">
        <v>9.1</v>
      </c>
      <c r="H461" t="n">
        <v>0</v>
      </c>
      <c r="I461" t="n">
        <v>0</v>
      </c>
      <c r="J461" t="n">
        <v>0</v>
      </c>
      <c r="K461" t="n">
        <v>0</v>
      </c>
      <c r="L461" t="n">
        <v>0</v>
      </c>
      <c r="M461" t="n">
        <v>0</v>
      </c>
      <c r="N461" t="n">
        <v>0</v>
      </c>
      <c r="O461" t="n">
        <v>0</v>
      </c>
      <c r="P461" t="n">
        <v>0</v>
      </c>
      <c r="Q461" t="n">
        <v>0</v>
      </c>
      <c r="R461" s="2" t="inlineStr"/>
    </row>
    <row r="462" ht="15" customHeight="1">
      <c r="A462" t="inlineStr">
        <is>
          <t>A 5136-2024</t>
        </is>
      </c>
      <c r="B462" s="1" t="n">
        <v>45330</v>
      </c>
      <c r="C462" s="1" t="n">
        <v>45970</v>
      </c>
      <c r="D462" t="inlineStr">
        <is>
          <t>ÖREBRO LÄN</t>
        </is>
      </c>
      <c r="E462" t="inlineStr">
        <is>
          <t>ÖREBRO</t>
        </is>
      </c>
      <c r="G462" t="n">
        <v>2.1</v>
      </c>
      <c r="H462" t="n">
        <v>0</v>
      </c>
      <c r="I462" t="n">
        <v>0</v>
      </c>
      <c r="J462" t="n">
        <v>0</v>
      </c>
      <c r="K462" t="n">
        <v>0</v>
      </c>
      <c r="L462" t="n">
        <v>0</v>
      </c>
      <c r="M462" t="n">
        <v>0</v>
      </c>
      <c r="N462" t="n">
        <v>0</v>
      </c>
      <c r="O462" t="n">
        <v>0</v>
      </c>
      <c r="P462" t="n">
        <v>0</v>
      </c>
      <c r="Q462" t="n">
        <v>0</v>
      </c>
      <c r="R462" s="2" t="inlineStr"/>
    </row>
    <row r="463" ht="15" customHeight="1">
      <c r="A463" t="inlineStr">
        <is>
          <t>A 4380-2025</t>
        </is>
      </c>
      <c r="B463" s="1" t="n">
        <v>45686.3959375</v>
      </c>
      <c r="C463" s="1" t="n">
        <v>45970</v>
      </c>
      <c r="D463" t="inlineStr">
        <is>
          <t>ÖREBRO LÄN</t>
        </is>
      </c>
      <c r="E463" t="inlineStr">
        <is>
          <t>ÖREBRO</t>
        </is>
      </c>
      <c r="G463" t="n">
        <v>3.2</v>
      </c>
      <c r="H463" t="n">
        <v>0</v>
      </c>
      <c r="I463" t="n">
        <v>0</v>
      </c>
      <c r="J463" t="n">
        <v>0</v>
      </c>
      <c r="K463" t="n">
        <v>0</v>
      </c>
      <c r="L463" t="n">
        <v>0</v>
      </c>
      <c r="M463" t="n">
        <v>0</v>
      </c>
      <c r="N463" t="n">
        <v>0</v>
      </c>
      <c r="O463" t="n">
        <v>0</v>
      </c>
      <c r="P463" t="n">
        <v>0</v>
      </c>
      <c r="Q463" t="n">
        <v>0</v>
      </c>
      <c r="R463" s="2" t="inlineStr"/>
    </row>
    <row r="464" ht="15" customHeight="1">
      <c r="A464" t="inlineStr">
        <is>
          <t>A 34358-2022</t>
        </is>
      </c>
      <c r="B464" s="1" t="n">
        <v>44792.45494212963</v>
      </c>
      <c r="C464" s="1" t="n">
        <v>45970</v>
      </c>
      <c r="D464" t="inlineStr">
        <is>
          <t>ÖREBRO LÄN</t>
        </is>
      </c>
      <c r="E464" t="inlineStr">
        <is>
          <t>ÖREBRO</t>
        </is>
      </c>
      <c r="F464" t="inlineStr">
        <is>
          <t>Övriga Aktiebolag</t>
        </is>
      </c>
      <c r="G464" t="n">
        <v>3.4</v>
      </c>
      <c r="H464" t="n">
        <v>0</v>
      </c>
      <c r="I464" t="n">
        <v>0</v>
      </c>
      <c r="J464" t="n">
        <v>0</v>
      </c>
      <c r="K464" t="n">
        <v>0</v>
      </c>
      <c r="L464" t="n">
        <v>0</v>
      </c>
      <c r="M464" t="n">
        <v>0</v>
      </c>
      <c r="N464" t="n">
        <v>0</v>
      </c>
      <c r="O464" t="n">
        <v>0</v>
      </c>
      <c r="P464" t="n">
        <v>0</v>
      </c>
      <c r="Q464" t="n">
        <v>0</v>
      </c>
      <c r="R464" s="2" t="inlineStr"/>
    </row>
    <row r="465" ht="15" customHeight="1">
      <c r="A465" t="inlineStr">
        <is>
          <t>A 15695-2024</t>
        </is>
      </c>
      <c r="B465" s="1" t="n">
        <v>45404.45487268519</v>
      </c>
      <c r="C465" s="1" t="n">
        <v>45970</v>
      </c>
      <c r="D465" t="inlineStr">
        <is>
          <t>ÖREBRO LÄN</t>
        </is>
      </c>
      <c r="E465" t="inlineStr">
        <is>
          <t>ÖREBRO</t>
        </is>
      </c>
      <c r="G465" t="n">
        <v>2.7</v>
      </c>
      <c r="H465" t="n">
        <v>0</v>
      </c>
      <c r="I465" t="n">
        <v>0</v>
      </c>
      <c r="J465" t="n">
        <v>0</v>
      </c>
      <c r="K465" t="n">
        <v>0</v>
      </c>
      <c r="L465" t="n">
        <v>0</v>
      </c>
      <c r="M465" t="n">
        <v>0</v>
      </c>
      <c r="N465" t="n">
        <v>0</v>
      </c>
      <c r="O465" t="n">
        <v>0</v>
      </c>
      <c r="P465" t="n">
        <v>0</v>
      </c>
      <c r="Q465" t="n">
        <v>0</v>
      </c>
      <c r="R465" s="2" t="inlineStr"/>
    </row>
    <row r="466" ht="15" customHeight="1">
      <c r="A466" t="inlineStr">
        <is>
          <t>A 55357-2024</t>
        </is>
      </c>
      <c r="B466" s="1" t="n">
        <v>45621.81126157408</v>
      </c>
      <c r="C466" s="1" t="n">
        <v>45970</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5406-2025</t>
        </is>
      </c>
      <c r="B467" s="1" t="n">
        <v>45692.64821759259</v>
      </c>
      <c r="C467" s="1" t="n">
        <v>45970</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38422-2023</t>
        </is>
      </c>
      <c r="B468" s="1" t="n">
        <v>45162.36422453704</v>
      </c>
      <c r="C468" s="1" t="n">
        <v>45970</v>
      </c>
      <c r="D468" t="inlineStr">
        <is>
          <t>ÖREBRO LÄN</t>
        </is>
      </c>
      <c r="E468" t="inlineStr">
        <is>
          <t>ÖREBRO</t>
        </is>
      </c>
      <c r="G468" t="n">
        <v>8</v>
      </c>
      <c r="H468" t="n">
        <v>0</v>
      </c>
      <c r="I468" t="n">
        <v>0</v>
      </c>
      <c r="J468" t="n">
        <v>0</v>
      </c>
      <c r="K468" t="n">
        <v>0</v>
      </c>
      <c r="L468" t="n">
        <v>0</v>
      </c>
      <c r="M468" t="n">
        <v>0</v>
      </c>
      <c r="N468" t="n">
        <v>0</v>
      </c>
      <c r="O468" t="n">
        <v>0</v>
      </c>
      <c r="P468" t="n">
        <v>0</v>
      </c>
      <c r="Q468" t="n">
        <v>0</v>
      </c>
      <c r="R468" s="2" t="inlineStr"/>
    </row>
    <row r="469" ht="15" customHeight="1">
      <c r="A469" t="inlineStr">
        <is>
          <t>A 46518-2023</t>
        </is>
      </c>
      <c r="B469" s="1" t="n">
        <v>45197.72777777778</v>
      </c>
      <c r="C469" s="1" t="n">
        <v>45970</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22348-2024</t>
        </is>
      </c>
      <c r="B470" s="1" t="n">
        <v>45446.61256944444</v>
      </c>
      <c r="C470" s="1" t="n">
        <v>45970</v>
      </c>
      <c r="D470" t="inlineStr">
        <is>
          <t>ÖREBRO LÄN</t>
        </is>
      </c>
      <c r="E470" t="inlineStr">
        <is>
          <t>ÖREBRO</t>
        </is>
      </c>
      <c r="G470" t="n">
        <v>0.7</v>
      </c>
      <c r="H470" t="n">
        <v>0</v>
      </c>
      <c r="I470" t="n">
        <v>0</v>
      </c>
      <c r="J470" t="n">
        <v>0</v>
      </c>
      <c r="K470" t="n">
        <v>0</v>
      </c>
      <c r="L470" t="n">
        <v>0</v>
      </c>
      <c r="M470" t="n">
        <v>0</v>
      </c>
      <c r="N470" t="n">
        <v>0</v>
      </c>
      <c r="O470" t="n">
        <v>0</v>
      </c>
      <c r="P470" t="n">
        <v>0</v>
      </c>
      <c r="Q470" t="n">
        <v>0</v>
      </c>
      <c r="R470" s="2" t="inlineStr"/>
    </row>
    <row r="471" ht="15" customHeight="1">
      <c r="A471" t="inlineStr">
        <is>
          <t>A 52018-2024</t>
        </is>
      </c>
      <c r="B471" s="1" t="n">
        <v>45607.82974537037</v>
      </c>
      <c r="C471" s="1" t="n">
        <v>45970</v>
      </c>
      <c r="D471" t="inlineStr">
        <is>
          <t>ÖREBRO LÄN</t>
        </is>
      </c>
      <c r="E471" t="inlineStr">
        <is>
          <t>ÖREBRO</t>
        </is>
      </c>
      <c r="G471" t="n">
        <v>4.3</v>
      </c>
      <c r="H471" t="n">
        <v>0</v>
      </c>
      <c r="I471" t="n">
        <v>0</v>
      </c>
      <c r="J471" t="n">
        <v>0</v>
      </c>
      <c r="K471" t="n">
        <v>0</v>
      </c>
      <c r="L471" t="n">
        <v>0</v>
      </c>
      <c r="M471" t="n">
        <v>0</v>
      </c>
      <c r="N471" t="n">
        <v>0</v>
      </c>
      <c r="O471" t="n">
        <v>0</v>
      </c>
      <c r="P471" t="n">
        <v>0</v>
      </c>
      <c r="Q471" t="n">
        <v>0</v>
      </c>
      <c r="R471" s="2" t="inlineStr"/>
    </row>
    <row r="472" ht="15" customHeight="1">
      <c r="A472" t="inlineStr">
        <is>
          <t>A 30089-2024</t>
        </is>
      </c>
      <c r="B472" s="1" t="n">
        <v>45485</v>
      </c>
      <c r="C472" s="1" t="n">
        <v>45970</v>
      </c>
      <c r="D472" t="inlineStr">
        <is>
          <t>ÖREBRO LÄN</t>
        </is>
      </c>
      <c r="E472" t="inlineStr">
        <is>
          <t>ÖREBRO</t>
        </is>
      </c>
      <c r="G472" t="n">
        <v>2.2</v>
      </c>
      <c r="H472" t="n">
        <v>0</v>
      </c>
      <c r="I472" t="n">
        <v>0</v>
      </c>
      <c r="J472" t="n">
        <v>0</v>
      </c>
      <c r="K472" t="n">
        <v>0</v>
      </c>
      <c r="L472" t="n">
        <v>0</v>
      </c>
      <c r="M472" t="n">
        <v>0</v>
      </c>
      <c r="N472" t="n">
        <v>0</v>
      </c>
      <c r="O472" t="n">
        <v>0</v>
      </c>
      <c r="P472" t="n">
        <v>0</v>
      </c>
      <c r="Q472" t="n">
        <v>0</v>
      </c>
      <c r="R472" s="2" t="inlineStr"/>
    </row>
    <row r="473" ht="15" customHeight="1">
      <c r="A473" t="inlineStr">
        <is>
          <t>A 71295-2021</t>
        </is>
      </c>
      <c r="B473" s="1" t="n">
        <v>44539.63009259259</v>
      </c>
      <c r="C473" s="1" t="n">
        <v>45970</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41703-2024</t>
        </is>
      </c>
      <c r="B474" s="1" t="n">
        <v>45560</v>
      </c>
      <c r="C474" s="1" t="n">
        <v>45970</v>
      </c>
      <c r="D474" t="inlineStr">
        <is>
          <t>ÖREBRO LÄN</t>
        </is>
      </c>
      <c r="E474" t="inlineStr">
        <is>
          <t>ÖREBRO</t>
        </is>
      </c>
      <c r="G474" t="n">
        <v>6.4</v>
      </c>
      <c r="H474" t="n">
        <v>0</v>
      </c>
      <c r="I474" t="n">
        <v>0</v>
      </c>
      <c r="J474" t="n">
        <v>0</v>
      </c>
      <c r="K474" t="n">
        <v>0</v>
      </c>
      <c r="L474" t="n">
        <v>0</v>
      </c>
      <c r="M474" t="n">
        <v>0</v>
      </c>
      <c r="N474" t="n">
        <v>0</v>
      </c>
      <c r="O474" t="n">
        <v>0</v>
      </c>
      <c r="P474" t="n">
        <v>0</v>
      </c>
      <c r="Q474" t="n">
        <v>0</v>
      </c>
      <c r="R474" s="2" t="inlineStr"/>
    </row>
    <row r="475" ht="15" customHeight="1">
      <c r="A475" t="inlineStr">
        <is>
          <t>A 46030-2024</t>
        </is>
      </c>
      <c r="B475" s="1" t="n">
        <v>45580.70377314815</v>
      </c>
      <c r="C475" s="1" t="n">
        <v>45970</v>
      </c>
      <c r="D475" t="inlineStr">
        <is>
          <t>ÖREBRO LÄN</t>
        </is>
      </c>
      <c r="E475" t="inlineStr">
        <is>
          <t>ÖREBRO</t>
        </is>
      </c>
      <c r="G475" t="n">
        <v>3.9</v>
      </c>
      <c r="H475" t="n">
        <v>0</v>
      </c>
      <c r="I475" t="n">
        <v>0</v>
      </c>
      <c r="J475" t="n">
        <v>0</v>
      </c>
      <c r="K475" t="n">
        <v>0</v>
      </c>
      <c r="L475" t="n">
        <v>0</v>
      </c>
      <c r="M475" t="n">
        <v>0</v>
      </c>
      <c r="N475" t="n">
        <v>0</v>
      </c>
      <c r="O475" t="n">
        <v>0</v>
      </c>
      <c r="P475" t="n">
        <v>0</v>
      </c>
      <c r="Q475" t="n">
        <v>0</v>
      </c>
      <c r="R475" s="2" t="inlineStr"/>
    </row>
    <row r="476" ht="15" customHeight="1">
      <c r="A476" t="inlineStr">
        <is>
          <t>A 5643-2025</t>
        </is>
      </c>
      <c r="B476" s="1" t="n">
        <v>45693</v>
      </c>
      <c r="C476" s="1" t="n">
        <v>45970</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19763-2024</t>
        </is>
      </c>
      <c r="B477" s="1" t="n">
        <v>45432</v>
      </c>
      <c r="C477" s="1" t="n">
        <v>45970</v>
      </c>
      <c r="D477" t="inlineStr">
        <is>
          <t>ÖREBRO LÄN</t>
        </is>
      </c>
      <c r="E477" t="inlineStr">
        <is>
          <t>ÖREBRO</t>
        </is>
      </c>
      <c r="G477" t="n">
        <v>1.9</v>
      </c>
      <c r="H477" t="n">
        <v>0</v>
      </c>
      <c r="I477" t="n">
        <v>0</v>
      </c>
      <c r="J477" t="n">
        <v>0</v>
      </c>
      <c r="K477" t="n">
        <v>0</v>
      </c>
      <c r="L477" t="n">
        <v>0</v>
      </c>
      <c r="M477" t="n">
        <v>0</v>
      </c>
      <c r="N477" t="n">
        <v>0</v>
      </c>
      <c r="O477" t="n">
        <v>0</v>
      </c>
      <c r="P477" t="n">
        <v>0</v>
      </c>
      <c r="Q477" t="n">
        <v>0</v>
      </c>
      <c r="R477" s="2" t="inlineStr"/>
    </row>
    <row r="478" ht="15" customHeight="1">
      <c r="A478" t="inlineStr">
        <is>
          <t>A 41669-2025</t>
        </is>
      </c>
      <c r="B478" s="1" t="n">
        <v>45902.36149305556</v>
      </c>
      <c r="C478" s="1" t="n">
        <v>45970</v>
      </c>
      <c r="D478" t="inlineStr">
        <is>
          <t>ÖREBRO LÄN</t>
        </is>
      </c>
      <c r="E478" t="inlineStr">
        <is>
          <t>ÖREBRO</t>
        </is>
      </c>
      <c r="G478" t="n">
        <v>2.8</v>
      </c>
      <c r="H478" t="n">
        <v>0</v>
      </c>
      <c r="I478" t="n">
        <v>0</v>
      </c>
      <c r="J478" t="n">
        <v>0</v>
      </c>
      <c r="K478" t="n">
        <v>0</v>
      </c>
      <c r="L478" t="n">
        <v>0</v>
      </c>
      <c r="M478" t="n">
        <v>0</v>
      </c>
      <c r="N478" t="n">
        <v>0</v>
      </c>
      <c r="O478" t="n">
        <v>0</v>
      </c>
      <c r="P478" t="n">
        <v>0</v>
      </c>
      <c r="Q478" t="n">
        <v>0</v>
      </c>
      <c r="R478" s="2" t="inlineStr"/>
    </row>
    <row r="479" ht="15" customHeight="1">
      <c r="A479" t="inlineStr">
        <is>
          <t>A 41412-2025</t>
        </is>
      </c>
      <c r="B479" s="1" t="n">
        <v>45901.3549537037</v>
      </c>
      <c r="C479" s="1" t="n">
        <v>45970</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11516-2024</t>
        </is>
      </c>
      <c r="B480" s="1" t="n">
        <v>45372</v>
      </c>
      <c r="C480" s="1" t="n">
        <v>45970</v>
      </c>
      <c r="D480" t="inlineStr">
        <is>
          <t>ÖREBRO LÄN</t>
        </is>
      </c>
      <c r="E480" t="inlineStr">
        <is>
          <t>ÖREBRO</t>
        </is>
      </c>
      <c r="G480" t="n">
        <v>10.7</v>
      </c>
      <c r="H480" t="n">
        <v>0</v>
      </c>
      <c r="I480" t="n">
        <v>0</v>
      </c>
      <c r="J480" t="n">
        <v>0</v>
      </c>
      <c r="K480" t="n">
        <v>0</v>
      </c>
      <c r="L480" t="n">
        <v>0</v>
      </c>
      <c r="M480" t="n">
        <v>0</v>
      </c>
      <c r="N480" t="n">
        <v>0</v>
      </c>
      <c r="O480" t="n">
        <v>0</v>
      </c>
      <c r="P480" t="n">
        <v>0</v>
      </c>
      <c r="Q480" t="n">
        <v>0</v>
      </c>
      <c r="R480" s="2" t="inlineStr"/>
    </row>
    <row r="481" ht="15" customHeight="1">
      <c r="A481" t="inlineStr">
        <is>
          <t>A 5342-2024</t>
        </is>
      </c>
      <c r="B481" s="1" t="n">
        <v>45331.44145833333</v>
      </c>
      <c r="C481" s="1" t="n">
        <v>45970</v>
      </c>
      <c r="D481" t="inlineStr">
        <is>
          <t>ÖREBRO LÄN</t>
        </is>
      </c>
      <c r="E481" t="inlineStr">
        <is>
          <t>ÖREBRO</t>
        </is>
      </c>
      <c r="G481" t="n">
        <v>2.5</v>
      </c>
      <c r="H481" t="n">
        <v>0</v>
      </c>
      <c r="I481" t="n">
        <v>0</v>
      </c>
      <c r="J481" t="n">
        <v>0</v>
      </c>
      <c r="K481" t="n">
        <v>0</v>
      </c>
      <c r="L481" t="n">
        <v>0</v>
      </c>
      <c r="M481" t="n">
        <v>0</v>
      </c>
      <c r="N481" t="n">
        <v>0</v>
      </c>
      <c r="O481" t="n">
        <v>0</v>
      </c>
      <c r="P481" t="n">
        <v>0</v>
      </c>
      <c r="Q481" t="n">
        <v>0</v>
      </c>
      <c r="R481" s="2" t="inlineStr"/>
    </row>
    <row r="482" ht="15" customHeight="1">
      <c r="A482" t="inlineStr">
        <is>
          <t>A 31247-2023</t>
        </is>
      </c>
      <c r="B482" s="1" t="n">
        <v>45114</v>
      </c>
      <c r="C482" s="1" t="n">
        <v>45970</v>
      </c>
      <c r="D482" t="inlineStr">
        <is>
          <t>ÖREBRO LÄN</t>
        </is>
      </c>
      <c r="E482" t="inlineStr">
        <is>
          <t>ÖREBRO</t>
        </is>
      </c>
      <c r="F482" t="inlineStr">
        <is>
          <t>Allmännings- och besparingsskogar</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36635-2023</t>
        </is>
      </c>
      <c r="B483" s="1" t="n">
        <v>45153</v>
      </c>
      <c r="C483" s="1" t="n">
        <v>45970</v>
      </c>
      <c r="D483" t="inlineStr">
        <is>
          <t>ÖREBRO LÄN</t>
        </is>
      </c>
      <c r="E483" t="inlineStr">
        <is>
          <t>ÖREBRO</t>
        </is>
      </c>
      <c r="G483" t="n">
        <v>1.9</v>
      </c>
      <c r="H483" t="n">
        <v>0</v>
      </c>
      <c r="I483" t="n">
        <v>0</v>
      </c>
      <c r="J483" t="n">
        <v>0</v>
      </c>
      <c r="K483" t="n">
        <v>0</v>
      </c>
      <c r="L483" t="n">
        <v>0</v>
      </c>
      <c r="M483" t="n">
        <v>0</v>
      </c>
      <c r="N483" t="n">
        <v>0</v>
      </c>
      <c r="O483" t="n">
        <v>0</v>
      </c>
      <c r="P483" t="n">
        <v>0</v>
      </c>
      <c r="Q483" t="n">
        <v>0</v>
      </c>
      <c r="R483" s="2" t="inlineStr"/>
    </row>
    <row r="484" ht="15" customHeight="1">
      <c r="A484" t="inlineStr">
        <is>
          <t>A 54149-2024</t>
        </is>
      </c>
      <c r="B484" s="1" t="n">
        <v>45616</v>
      </c>
      <c r="C484" s="1" t="n">
        <v>45970</v>
      </c>
      <c r="D484" t="inlineStr">
        <is>
          <t>ÖREBRO LÄN</t>
        </is>
      </c>
      <c r="E484" t="inlineStr">
        <is>
          <t>ÖREBRO</t>
        </is>
      </c>
      <c r="G484" t="n">
        <v>2.7</v>
      </c>
      <c r="H484" t="n">
        <v>0</v>
      </c>
      <c r="I484" t="n">
        <v>0</v>
      </c>
      <c r="J484" t="n">
        <v>0</v>
      </c>
      <c r="K484" t="n">
        <v>0</v>
      </c>
      <c r="L484" t="n">
        <v>0</v>
      </c>
      <c r="M484" t="n">
        <v>0</v>
      </c>
      <c r="N484" t="n">
        <v>0</v>
      </c>
      <c r="O484" t="n">
        <v>0</v>
      </c>
      <c r="P484" t="n">
        <v>0</v>
      </c>
      <c r="Q484" t="n">
        <v>0</v>
      </c>
      <c r="R484" s="2" t="inlineStr"/>
    </row>
    <row r="485" ht="15" customHeight="1">
      <c r="A485" t="inlineStr">
        <is>
          <t>A 49797-2024</t>
        </is>
      </c>
      <c r="B485" s="1" t="n">
        <v>45597.37265046296</v>
      </c>
      <c r="C485" s="1" t="n">
        <v>45970</v>
      </c>
      <c r="D485" t="inlineStr">
        <is>
          <t>ÖREBRO LÄN</t>
        </is>
      </c>
      <c r="E485" t="inlineStr">
        <is>
          <t>ÖREBRO</t>
        </is>
      </c>
      <c r="G485" t="n">
        <v>11.6</v>
      </c>
      <c r="H485" t="n">
        <v>0</v>
      </c>
      <c r="I485" t="n">
        <v>0</v>
      </c>
      <c r="J485" t="n">
        <v>0</v>
      </c>
      <c r="K485" t="n">
        <v>0</v>
      </c>
      <c r="L485" t="n">
        <v>0</v>
      </c>
      <c r="M485" t="n">
        <v>0</v>
      </c>
      <c r="N485" t="n">
        <v>0</v>
      </c>
      <c r="O485" t="n">
        <v>0</v>
      </c>
      <c r="P485" t="n">
        <v>0</v>
      </c>
      <c r="Q485" t="n">
        <v>0</v>
      </c>
      <c r="R485" s="2" t="inlineStr"/>
    </row>
    <row r="486" ht="15" customHeight="1">
      <c r="A486" t="inlineStr">
        <is>
          <t>A 11663-2024</t>
        </is>
      </c>
      <c r="B486" s="1" t="n">
        <v>45373</v>
      </c>
      <c r="C486" s="1" t="n">
        <v>45970</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25578-2025</t>
        </is>
      </c>
      <c r="B487" s="1" t="n">
        <v>45803.47803240741</v>
      </c>
      <c r="C487" s="1" t="n">
        <v>45970</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32086-2023</t>
        </is>
      </c>
      <c r="B488" s="1" t="n">
        <v>45119.59789351852</v>
      </c>
      <c r="C488" s="1" t="n">
        <v>45970</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13856-2022</t>
        </is>
      </c>
      <c r="B489" s="1" t="n">
        <v>44649.6965162037</v>
      </c>
      <c r="C489" s="1" t="n">
        <v>45970</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25519-2025</t>
        </is>
      </c>
      <c r="B490" s="1" t="n">
        <v>45803.38447916666</v>
      </c>
      <c r="C490" s="1" t="n">
        <v>45970</v>
      </c>
      <c r="D490" t="inlineStr">
        <is>
          <t>ÖREBRO LÄN</t>
        </is>
      </c>
      <c r="E490" t="inlineStr">
        <is>
          <t>ÖREBRO</t>
        </is>
      </c>
      <c r="G490" t="n">
        <v>7.4</v>
      </c>
      <c r="H490" t="n">
        <v>0</v>
      </c>
      <c r="I490" t="n">
        <v>0</v>
      </c>
      <c r="J490" t="n">
        <v>0</v>
      </c>
      <c r="K490" t="n">
        <v>0</v>
      </c>
      <c r="L490" t="n">
        <v>0</v>
      </c>
      <c r="M490" t="n">
        <v>0</v>
      </c>
      <c r="N490" t="n">
        <v>0</v>
      </c>
      <c r="O490" t="n">
        <v>0</v>
      </c>
      <c r="P490" t="n">
        <v>0</v>
      </c>
      <c r="Q490" t="n">
        <v>0</v>
      </c>
      <c r="R490" s="2" t="inlineStr"/>
    </row>
    <row r="491" ht="15" customHeight="1">
      <c r="A491" t="inlineStr">
        <is>
          <t>A 23863-2023</t>
        </is>
      </c>
      <c r="B491" s="1" t="n">
        <v>45078.48994212963</v>
      </c>
      <c r="C491" s="1" t="n">
        <v>45970</v>
      </c>
      <c r="D491" t="inlineStr">
        <is>
          <t>ÖREBRO LÄN</t>
        </is>
      </c>
      <c r="E491" t="inlineStr">
        <is>
          <t>ÖREBRO</t>
        </is>
      </c>
      <c r="F491" t="inlineStr">
        <is>
          <t>Övriga Aktiebolag</t>
        </is>
      </c>
      <c r="G491" t="n">
        <v>5.9</v>
      </c>
      <c r="H491" t="n">
        <v>0</v>
      </c>
      <c r="I491" t="n">
        <v>0</v>
      </c>
      <c r="J491" t="n">
        <v>0</v>
      </c>
      <c r="K491" t="n">
        <v>0</v>
      </c>
      <c r="L491" t="n">
        <v>0</v>
      </c>
      <c r="M491" t="n">
        <v>0</v>
      </c>
      <c r="N491" t="n">
        <v>0</v>
      </c>
      <c r="O491" t="n">
        <v>0</v>
      </c>
      <c r="P491" t="n">
        <v>0</v>
      </c>
      <c r="Q491" t="n">
        <v>0</v>
      </c>
      <c r="R491" s="2" t="inlineStr"/>
    </row>
    <row r="492" ht="15" customHeight="1">
      <c r="A492" t="inlineStr">
        <is>
          <t>A 39130-2023</t>
        </is>
      </c>
      <c r="B492" s="1" t="n">
        <v>45165</v>
      </c>
      <c r="C492" s="1" t="n">
        <v>45970</v>
      </c>
      <c r="D492" t="inlineStr">
        <is>
          <t>ÖREBRO LÄN</t>
        </is>
      </c>
      <c r="E492" t="inlineStr">
        <is>
          <t>ÖREBRO</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13599-2025</t>
        </is>
      </c>
      <c r="B493" s="1" t="n">
        <v>45736.60597222222</v>
      </c>
      <c r="C493" s="1" t="n">
        <v>45970</v>
      </c>
      <c r="D493" t="inlineStr">
        <is>
          <t>ÖREBRO LÄN</t>
        </is>
      </c>
      <c r="E493" t="inlineStr">
        <is>
          <t>ÖREBRO</t>
        </is>
      </c>
      <c r="G493" t="n">
        <v>1.9</v>
      </c>
      <c r="H493" t="n">
        <v>0</v>
      </c>
      <c r="I493" t="n">
        <v>0</v>
      </c>
      <c r="J493" t="n">
        <v>0</v>
      </c>
      <c r="K493" t="n">
        <v>0</v>
      </c>
      <c r="L493" t="n">
        <v>0</v>
      </c>
      <c r="M493" t="n">
        <v>0</v>
      </c>
      <c r="N493" t="n">
        <v>0</v>
      </c>
      <c r="O493" t="n">
        <v>0</v>
      </c>
      <c r="P493" t="n">
        <v>0</v>
      </c>
      <c r="Q493" t="n">
        <v>0</v>
      </c>
      <c r="R493" s="2" t="inlineStr"/>
    </row>
    <row r="494" ht="15" customHeight="1">
      <c r="A494" t="inlineStr">
        <is>
          <t>A 51248-2025</t>
        </is>
      </c>
      <c r="B494" s="1" t="n">
        <v>45948.450625</v>
      </c>
      <c r="C494" s="1" t="n">
        <v>45970</v>
      </c>
      <c r="D494" t="inlineStr">
        <is>
          <t>ÖREBRO LÄN</t>
        </is>
      </c>
      <c r="E494" t="inlineStr">
        <is>
          <t>ÖREBRO</t>
        </is>
      </c>
      <c r="G494" t="n">
        <v>4.4</v>
      </c>
      <c r="H494" t="n">
        <v>0</v>
      </c>
      <c r="I494" t="n">
        <v>0</v>
      </c>
      <c r="J494" t="n">
        <v>0</v>
      </c>
      <c r="K494" t="n">
        <v>0</v>
      </c>
      <c r="L494" t="n">
        <v>0</v>
      </c>
      <c r="M494" t="n">
        <v>0</v>
      </c>
      <c r="N494" t="n">
        <v>0</v>
      </c>
      <c r="O494" t="n">
        <v>0</v>
      </c>
      <c r="P494" t="n">
        <v>0</v>
      </c>
      <c r="Q494" t="n">
        <v>0</v>
      </c>
      <c r="R494" s="2" t="inlineStr"/>
    </row>
    <row r="495" ht="15" customHeight="1">
      <c r="A495" t="inlineStr">
        <is>
          <t>A 50311-2025</t>
        </is>
      </c>
      <c r="B495" s="1" t="n">
        <v>45944</v>
      </c>
      <c r="C495" s="1" t="n">
        <v>45970</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51249-2025</t>
        </is>
      </c>
      <c r="B496" s="1" t="n">
        <v>45948.45704861111</v>
      </c>
      <c r="C496" s="1" t="n">
        <v>45970</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51937-2025</t>
        </is>
      </c>
      <c r="B497" s="1" t="n">
        <v>45952.51270833334</v>
      </c>
      <c r="C497" s="1" t="n">
        <v>45970</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52135-2025</t>
        </is>
      </c>
      <c r="B498" s="1" t="n">
        <v>45952.84231481481</v>
      </c>
      <c r="C498" s="1" t="n">
        <v>45970</v>
      </c>
      <c r="D498" t="inlineStr">
        <is>
          <t>ÖREBRO LÄN</t>
        </is>
      </c>
      <c r="E498" t="inlineStr">
        <is>
          <t>ÖREBRO</t>
        </is>
      </c>
      <c r="G498" t="n">
        <v>4</v>
      </c>
      <c r="H498" t="n">
        <v>0</v>
      </c>
      <c r="I498" t="n">
        <v>0</v>
      </c>
      <c r="J498" t="n">
        <v>0</v>
      </c>
      <c r="K498" t="n">
        <v>0</v>
      </c>
      <c r="L498" t="n">
        <v>0</v>
      </c>
      <c r="M498" t="n">
        <v>0</v>
      </c>
      <c r="N498" t="n">
        <v>0</v>
      </c>
      <c r="O498" t="n">
        <v>0</v>
      </c>
      <c r="P498" t="n">
        <v>0</v>
      </c>
      <c r="Q498" t="n">
        <v>0</v>
      </c>
      <c r="R498" s="2" t="inlineStr"/>
    </row>
    <row r="499" ht="15" customHeight="1">
      <c r="A499" t="inlineStr">
        <is>
          <t>A 51923-2025</t>
        </is>
      </c>
      <c r="B499" s="1" t="n">
        <v>45952.49300925926</v>
      </c>
      <c r="C499" s="1" t="n">
        <v>45970</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50375-2024</t>
        </is>
      </c>
      <c r="B500" s="1" t="n">
        <v>45601.29311342593</v>
      </c>
      <c r="C500" s="1" t="n">
        <v>45970</v>
      </c>
      <c r="D500" t="inlineStr">
        <is>
          <t>ÖREBRO LÄN</t>
        </is>
      </c>
      <c r="E500" t="inlineStr">
        <is>
          <t>ÖREBRO</t>
        </is>
      </c>
      <c r="G500" t="n">
        <v>5</v>
      </c>
      <c r="H500" t="n">
        <v>0</v>
      </c>
      <c r="I500" t="n">
        <v>0</v>
      </c>
      <c r="J500" t="n">
        <v>0</v>
      </c>
      <c r="K500" t="n">
        <v>0</v>
      </c>
      <c r="L500" t="n">
        <v>0</v>
      </c>
      <c r="M500" t="n">
        <v>0</v>
      </c>
      <c r="N500" t="n">
        <v>0</v>
      </c>
      <c r="O500" t="n">
        <v>0</v>
      </c>
      <c r="P500" t="n">
        <v>0</v>
      </c>
      <c r="Q500" t="n">
        <v>0</v>
      </c>
      <c r="R500" s="2" t="inlineStr"/>
    </row>
    <row r="501" ht="15" customHeight="1">
      <c r="A501" t="inlineStr">
        <is>
          <t>A 52391-2024</t>
        </is>
      </c>
      <c r="B501" s="1" t="n">
        <v>45609.43180555556</v>
      </c>
      <c r="C501" s="1" t="n">
        <v>45970</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27220-2025</t>
        </is>
      </c>
      <c r="B502" s="1" t="n">
        <v>45812.42293981482</v>
      </c>
      <c r="C502" s="1" t="n">
        <v>45970</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27180-2025</t>
        </is>
      </c>
      <c r="B503" s="1" t="n">
        <v>45812.35736111111</v>
      </c>
      <c r="C503" s="1" t="n">
        <v>45970</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27215-2025</t>
        </is>
      </c>
      <c r="B504" s="1" t="n">
        <v>45812.41869212963</v>
      </c>
      <c r="C504" s="1" t="n">
        <v>45970</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27225-2025</t>
        </is>
      </c>
      <c r="B505" s="1" t="n">
        <v>45812.42856481481</v>
      </c>
      <c r="C505" s="1" t="n">
        <v>45970</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51925-2025</t>
        </is>
      </c>
      <c r="B506" s="1" t="n">
        <v>45952.49476851852</v>
      </c>
      <c r="C506" s="1" t="n">
        <v>45970</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28120-2025</t>
        </is>
      </c>
      <c r="B507" s="1" t="n">
        <v>45818.30459490741</v>
      </c>
      <c r="C507" s="1" t="n">
        <v>45970</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52382-2025</t>
        </is>
      </c>
      <c r="B508" s="1" t="n">
        <v>45953.9559837963</v>
      </c>
      <c r="C508" s="1" t="n">
        <v>45970</v>
      </c>
      <c r="D508" t="inlineStr">
        <is>
          <t>ÖREBRO LÄN</t>
        </is>
      </c>
      <c r="E508" t="inlineStr">
        <is>
          <t>ÖREBRO</t>
        </is>
      </c>
      <c r="F508" t="inlineStr">
        <is>
          <t>Sveaskog</t>
        </is>
      </c>
      <c r="G508" t="n">
        <v>3.4</v>
      </c>
      <c r="H508" t="n">
        <v>0</v>
      </c>
      <c r="I508" t="n">
        <v>0</v>
      </c>
      <c r="J508" t="n">
        <v>0</v>
      </c>
      <c r="K508" t="n">
        <v>0</v>
      </c>
      <c r="L508" t="n">
        <v>0</v>
      </c>
      <c r="M508" t="n">
        <v>0</v>
      </c>
      <c r="N508" t="n">
        <v>0</v>
      </c>
      <c r="O508" t="n">
        <v>0</v>
      </c>
      <c r="P508" t="n">
        <v>0</v>
      </c>
      <c r="Q508" t="n">
        <v>0</v>
      </c>
      <c r="R508" s="2" t="inlineStr"/>
    </row>
    <row r="509" ht="15" customHeight="1">
      <c r="A509" t="inlineStr">
        <is>
          <t>A 58532-2024</t>
        </is>
      </c>
      <c r="B509" s="1" t="n">
        <v>45635.44899305556</v>
      </c>
      <c r="C509" s="1" t="n">
        <v>45970</v>
      </c>
      <c r="D509" t="inlineStr">
        <is>
          <t>ÖREBRO LÄN</t>
        </is>
      </c>
      <c r="E509" t="inlineStr">
        <is>
          <t>ÖREBRO</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20150-2024</t>
        </is>
      </c>
      <c r="B510" s="1" t="n">
        <v>45434.57969907407</v>
      </c>
      <c r="C510" s="1" t="n">
        <v>45970</v>
      </c>
      <c r="D510" t="inlineStr">
        <is>
          <t>ÖREBRO LÄN</t>
        </is>
      </c>
      <c r="E510" t="inlineStr">
        <is>
          <t>ÖREBRO</t>
        </is>
      </c>
      <c r="G510" t="n">
        <v>0.5</v>
      </c>
      <c r="H510" t="n">
        <v>0</v>
      </c>
      <c r="I510" t="n">
        <v>0</v>
      </c>
      <c r="J510" t="n">
        <v>0</v>
      </c>
      <c r="K510" t="n">
        <v>0</v>
      </c>
      <c r="L510" t="n">
        <v>0</v>
      </c>
      <c r="M510" t="n">
        <v>0</v>
      </c>
      <c r="N510" t="n">
        <v>0</v>
      </c>
      <c r="O510" t="n">
        <v>0</v>
      </c>
      <c r="P510" t="n">
        <v>0</v>
      </c>
      <c r="Q510" t="n">
        <v>0</v>
      </c>
      <c r="R510" s="2" t="inlineStr"/>
    </row>
    <row r="511" ht="15" customHeight="1">
      <c r="A511" t="inlineStr">
        <is>
          <t>A 58208-2024</t>
        </is>
      </c>
      <c r="B511" s="1" t="n">
        <v>45632</v>
      </c>
      <c r="C511" s="1" t="n">
        <v>45970</v>
      </c>
      <c r="D511" t="inlineStr">
        <is>
          <t>ÖREBRO LÄN</t>
        </is>
      </c>
      <c r="E511" t="inlineStr">
        <is>
          <t>ÖREBRO</t>
        </is>
      </c>
      <c r="G511" t="n">
        <v>3.1</v>
      </c>
      <c r="H511" t="n">
        <v>0</v>
      </c>
      <c r="I511" t="n">
        <v>0</v>
      </c>
      <c r="J511" t="n">
        <v>0</v>
      </c>
      <c r="K511" t="n">
        <v>0</v>
      </c>
      <c r="L511" t="n">
        <v>0</v>
      </c>
      <c r="M511" t="n">
        <v>0</v>
      </c>
      <c r="N511" t="n">
        <v>0</v>
      </c>
      <c r="O511" t="n">
        <v>0</v>
      </c>
      <c r="P511" t="n">
        <v>0</v>
      </c>
      <c r="Q511" t="n">
        <v>0</v>
      </c>
      <c r="R511" s="2" t="inlineStr"/>
    </row>
    <row r="512" ht="15" customHeight="1">
      <c r="A512" t="inlineStr">
        <is>
          <t>A 19388-2024</t>
        </is>
      </c>
      <c r="B512" s="1" t="n">
        <v>45429.37775462963</v>
      </c>
      <c r="C512" s="1" t="n">
        <v>45970</v>
      </c>
      <c r="D512" t="inlineStr">
        <is>
          <t>ÖREBRO LÄN</t>
        </is>
      </c>
      <c r="E512" t="inlineStr">
        <is>
          <t>ÖREBRO</t>
        </is>
      </c>
      <c r="G512" t="n">
        <v>4.3</v>
      </c>
      <c r="H512" t="n">
        <v>0</v>
      </c>
      <c r="I512" t="n">
        <v>0</v>
      </c>
      <c r="J512" t="n">
        <v>0</v>
      </c>
      <c r="K512" t="n">
        <v>0</v>
      </c>
      <c r="L512" t="n">
        <v>0</v>
      </c>
      <c r="M512" t="n">
        <v>0</v>
      </c>
      <c r="N512" t="n">
        <v>0</v>
      </c>
      <c r="O512" t="n">
        <v>0</v>
      </c>
      <c r="P512" t="n">
        <v>0</v>
      </c>
      <c r="Q512" t="n">
        <v>0</v>
      </c>
      <c r="R512" s="2" t="inlineStr"/>
    </row>
    <row r="513" ht="15" customHeight="1">
      <c r="A513" t="inlineStr">
        <is>
          <t>A 28938-2025</t>
        </is>
      </c>
      <c r="B513" s="1" t="n">
        <v>45820.70626157407</v>
      </c>
      <c r="C513" s="1" t="n">
        <v>45970</v>
      </c>
      <c r="D513" t="inlineStr">
        <is>
          <t>ÖREBRO LÄN</t>
        </is>
      </c>
      <c r="E513" t="inlineStr">
        <is>
          <t>ÖREBRO</t>
        </is>
      </c>
      <c r="G513" t="n">
        <v>1.9</v>
      </c>
      <c r="H513" t="n">
        <v>0</v>
      </c>
      <c r="I513" t="n">
        <v>0</v>
      </c>
      <c r="J513" t="n">
        <v>0</v>
      </c>
      <c r="K513" t="n">
        <v>0</v>
      </c>
      <c r="L513" t="n">
        <v>0</v>
      </c>
      <c r="M513" t="n">
        <v>0</v>
      </c>
      <c r="N513" t="n">
        <v>0</v>
      </c>
      <c r="O513" t="n">
        <v>0</v>
      </c>
      <c r="P513" t="n">
        <v>0</v>
      </c>
      <c r="Q513" t="n">
        <v>0</v>
      </c>
      <c r="R513" s="2" t="inlineStr"/>
    </row>
    <row r="514" ht="15" customHeight="1">
      <c r="A514" t="inlineStr">
        <is>
          <t>A 7506-2025</t>
        </is>
      </c>
      <c r="B514" s="1" t="n">
        <v>45705</v>
      </c>
      <c r="C514" s="1" t="n">
        <v>45970</v>
      </c>
      <c r="D514" t="inlineStr">
        <is>
          <t>ÖREBRO LÄN</t>
        </is>
      </c>
      <c r="E514" t="inlineStr">
        <is>
          <t>ÖREBRO</t>
        </is>
      </c>
      <c r="G514" t="n">
        <v>0.5</v>
      </c>
      <c r="H514" t="n">
        <v>0</v>
      </c>
      <c r="I514" t="n">
        <v>0</v>
      </c>
      <c r="J514" t="n">
        <v>0</v>
      </c>
      <c r="K514" t="n">
        <v>0</v>
      </c>
      <c r="L514" t="n">
        <v>0</v>
      </c>
      <c r="M514" t="n">
        <v>0</v>
      </c>
      <c r="N514" t="n">
        <v>0</v>
      </c>
      <c r="O514" t="n">
        <v>0</v>
      </c>
      <c r="P514" t="n">
        <v>0</v>
      </c>
      <c r="Q514" t="n">
        <v>0</v>
      </c>
      <c r="R514" s="2" t="inlineStr"/>
    </row>
    <row r="515" ht="15" customHeight="1">
      <c r="A515" t="inlineStr">
        <is>
          <t>A 4344-2025</t>
        </is>
      </c>
      <c r="B515" s="1" t="n">
        <v>45685</v>
      </c>
      <c r="C515" s="1" t="n">
        <v>45970</v>
      </c>
      <c r="D515" t="inlineStr">
        <is>
          <t>ÖREBRO LÄN</t>
        </is>
      </c>
      <c r="E515" t="inlineStr">
        <is>
          <t>ÖREBRO</t>
        </is>
      </c>
      <c r="G515" t="n">
        <v>1.6</v>
      </c>
      <c r="H515" t="n">
        <v>0</v>
      </c>
      <c r="I515" t="n">
        <v>0</v>
      </c>
      <c r="J515" t="n">
        <v>0</v>
      </c>
      <c r="K515" t="n">
        <v>0</v>
      </c>
      <c r="L515" t="n">
        <v>0</v>
      </c>
      <c r="M515" t="n">
        <v>0</v>
      </c>
      <c r="N515" t="n">
        <v>0</v>
      </c>
      <c r="O515" t="n">
        <v>0</v>
      </c>
      <c r="P515" t="n">
        <v>0</v>
      </c>
      <c r="Q515" t="n">
        <v>0</v>
      </c>
      <c r="R515" s="2" t="inlineStr"/>
    </row>
    <row r="516" ht="15" customHeight="1">
      <c r="A516" t="inlineStr">
        <is>
          <t>A 28920-2025</t>
        </is>
      </c>
      <c r="B516" s="1" t="n">
        <v>45820.66532407407</v>
      </c>
      <c r="C516" s="1" t="n">
        <v>45970</v>
      </c>
      <c r="D516" t="inlineStr">
        <is>
          <t>ÖREBRO LÄN</t>
        </is>
      </c>
      <c r="E516" t="inlineStr">
        <is>
          <t>ÖREBRO</t>
        </is>
      </c>
      <c r="G516" t="n">
        <v>3</v>
      </c>
      <c r="H516" t="n">
        <v>0</v>
      </c>
      <c r="I516" t="n">
        <v>0</v>
      </c>
      <c r="J516" t="n">
        <v>0</v>
      </c>
      <c r="K516" t="n">
        <v>0</v>
      </c>
      <c r="L516" t="n">
        <v>0</v>
      </c>
      <c r="M516" t="n">
        <v>0</v>
      </c>
      <c r="N516" t="n">
        <v>0</v>
      </c>
      <c r="O516" t="n">
        <v>0</v>
      </c>
      <c r="P516" t="n">
        <v>0</v>
      </c>
      <c r="Q516" t="n">
        <v>0</v>
      </c>
      <c r="R516" s="2" t="inlineStr"/>
    </row>
    <row r="517" ht="15" customHeight="1">
      <c r="A517" t="inlineStr">
        <is>
          <t>A 16300-2022</t>
        </is>
      </c>
      <c r="B517" s="1" t="n">
        <v>44670</v>
      </c>
      <c r="C517" s="1" t="n">
        <v>45970</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29286-2025</t>
        </is>
      </c>
      <c r="B518" s="1" t="n">
        <v>45824.43502314815</v>
      </c>
      <c r="C518" s="1" t="n">
        <v>45970</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44676.50481481481</v>
      </c>
      <c r="C519" s="1" t="n">
        <v>45970</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29339-2025</t>
        </is>
      </c>
      <c r="B520" s="1" t="n">
        <v>45824.5044212963</v>
      </c>
      <c r="C520" s="1" t="n">
        <v>45970</v>
      </c>
      <c r="D520" t="inlineStr">
        <is>
          <t>ÖREBRO LÄN</t>
        </is>
      </c>
      <c r="E520" t="inlineStr">
        <is>
          <t>ÖREBRO</t>
        </is>
      </c>
      <c r="G520" t="n">
        <v>4.3</v>
      </c>
      <c r="H520" t="n">
        <v>0</v>
      </c>
      <c r="I520" t="n">
        <v>0</v>
      </c>
      <c r="J520" t="n">
        <v>0</v>
      </c>
      <c r="K520" t="n">
        <v>0</v>
      </c>
      <c r="L520" t="n">
        <v>0</v>
      </c>
      <c r="M520" t="n">
        <v>0</v>
      </c>
      <c r="N520" t="n">
        <v>0</v>
      </c>
      <c r="O520" t="n">
        <v>0</v>
      </c>
      <c r="P520" t="n">
        <v>0</v>
      </c>
      <c r="Q520" t="n">
        <v>0</v>
      </c>
      <c r="R520" s="2" t="inlineStr"/>
    </row>
    <row r="521" ht="15" customHeight="1">
      <c r="A521" t="inlineStr">
        <is>
          <t>A 55472-2023</t>
        </is>
      </c>
      <c r="B521" s="1" t="n">
        <v>45238</v>
      </c>
      <c r="C521" s="1" t="n">
        <v>45970</v>
      </c>
      <c r="D521" t="inlineStr">
        <is>
          <t>ÖREBRO LÄN</t>
        </is>
      </c>
      <c r="E521" t="inlineStr">
        <is>
          <t>ÖREBRO</t>
        </is>
      </c>
      <c r="G521" t="n">
        <v>0.6</v>
      </c>
      <c r="H521" t="n">
        <v>0</v>
      </c>
      <c r="I521" t="n">
        <v>0</v>
      </c>
      <c r="J521" t="n">
        <v>0</v>
      </c>
      <c r="K521" t="n">
        <v>0</v>
      </c>
      <c r="L521" t="n">
        <v>0</v>
      </c>
      <c r="M521" t="n">
        <v>0</v>
      </c>
      <c r="N521" t="n">
        <v>0</v>
      </c>
      <c r="O521" t="n">
        <v>0</v>
      </c>
      <c r="P521" t="n">
        <v>0</v>
      </c>
      <c r="Q521" t="n">
        <v>0</v>
      </c>
      <c r="R521" s="2" t="inlineStr"/>
    </row>
    <row r="522" ht="15" customHeight="1">
      <c r="A522" t="inlineStr">
        <is>
          <t>A 60059-2023</t>
        </is>
      </c>
      <c r="B522" s="1" t="n">
        <v>45258.38157407408</v>
      </c>
      <c r="C522" s="1" t="n">
        <v>45970</v>
      </c>
      <c r="D522" t="inlineStr">
        <is>
          <t>ÖREBRO LÄN</t>
        </is>
      </c>
      <c r="E522" t="inlineStr">
        <is>
          <t>ÖREBRO</t>
        </is>
      </c>
      <c r="G522" t="n">
        <v>4</v>
      </c>
      <c r="H522" t="n">
        <v>0</v>
      </c>
      <c r="I522" t="n">
        <v>0</v>
      </c>
      <c r="J522" t="n">
        <v>0</v>
      </c>
      <c r="K522" t="n">
        <v>0</v>
      </c>
      <c r="L522" t="n">
        <v>0</v>
      </c>
      <c r="M522" t="n">
        <v>0</v>
      </c>
      <c r="N522" t="n">
        <v>0</v>
      </c>
      <c r="O522" t="n">
        <v>0</v>
      </c>
      <c r="P522" t="n">
        <v>0</v>
      </c>
      <c r="Q522" t="n">
        <v>0</v>
      </c>
      <c r="R522" s="2" t="inlineStr"/>
    </row>
    <row r="523" ht="15" customHeight="1">
      <c r="A523" t="inlineStr">
        <is>
          <t>A 54925-2023</t>
        </is>
      </c>
      <c r="B523" s="1" t="n">
        <v>45229</v>
      </c>
      <c r="C523" s="1" t="n">
        <v>45970</v>
      </c>
      <c r="D523" t="inlineStr">
        <is>
          <t>ÖREBRO LÄN</t>
        </is>
      </c>
      <c r="E523" t="inlineStr">
        <is>
          <t>ÖREBRO</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8568-2021</t>
        </is>
      </c>
      <c r="B524" s="1" t="n">
        <v>44245</v>
      </c>
      <c r="C524" s="1" t="n">
        <v>45970</v>
      </c>
      <c r="D524" t="inlineStr">
        <is>
          <t>ÖREBRO LÄN</t>
        </is>
      </c>
      <c r="E524" t="inlineStr">
        <is>
          <t>ÖREBRO</t>
        </is>
      </c>
      <c r="G524" t="n">
        <v>4.8</v>
      </c>
      <c r="H524" t="n">
        <v>0</v>
      </c>
      <c r="I524" t="n">
        <v>0</v>
      </c>
      <c r="J524" t="n">
        <v>0</v>
      </c>
      <c r="K524" t="n">
        <v>0</v>
      </c>
      <c r="L524" t="n">
        <v>0</v>
      </c>
      <c r="M524" t="n">
        <v>0</v>
      </c>
      <c r="N524" t="n">
        <v>0</v>
      </c>
      <c r="O524" t="n">
        <v>0</v>
      </c>
      <c r="P524" t="n">
        <v>0</v>
      </c>
      <c r="Q524" t="n">
        <v>0</v>
      </c>
      <c r="R524" s="2" t="inlineStr"/>
    </row>
    <row r="525" ht="15" customHeight="1">
      <c r="A525" t="inlineStr">
        <is>
          <t>A 26858-2024</t>
        </is>
      </c>
      <c r="B525" s="1" t="n">
        <v>45470</v>
      </c>
      <c r="C525" s="1" t="n">
        <v>45970</v>
      </c>
      <c r="D525" t="inlineStr">
        <is>
          <t>ÖREBRO LÄN</t>
        </is>
      </c>
      <c r="E525" t="inlineStr">
        <is>
          <t>ÖREBRO</t>
        </is>
      </c>
      <c r="G525" t="n">
        <v>2.3</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45970</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29701-2025</t>
        </is>
      </c>
      <c r="B527" s="1" t="n">
        <v>45825.55261574074</v>
      </c>
      <c r="C527" s="1" t="n">
        <v>45970</v>
      </c>
      <c r="D527" t="inlineStr">
        <is>
          <t>ÖREBRO LÄN</t>
        </is>
      </c>
      <c r="E527" t="inlineStr">
        <is>
          <t>ÖREBRO</t>
        </is>
      </c>
      <c r="G527" t="n">
        <v>5.8</v>
      </c>
      <c r="H527" t="n">
        <v>0</v>
      </c>
      <c r="I527" t="n">
        <v>0</v>
      </c>
      <c r="J527" t="n">
        <v>0</v>
      </c>
      <c r="K527" t="n">
        <v>0</v>
      </c>
      <c r="L527" t="n">
        <v>0</v>
      </c>
      <c r="M527" t="n">
        <v>0</v>
      </c>
      <c r="N527" t="n">
        <v>0</v>
      </c>
      <c r="O527" t="n">
        <v>0</v>
      </c>
      <c r="P527" t="n">
        <v>0</v>
      </c>
      <c r="Q527" t="n">
        <v>0</v>
      </c>
      <c r="R527" s="2" t="inlineStr"/>
    </row>
    <row r="528" ht="15" customHeight="1">
      <c r="A528" t="inlineStr">
        <is>
          <t>A 15424-2022</t>
        </is>
      </c>
      <c r="B528" s="1" t="n">
        <v>44659</v>
      </c>
      <c r="C528" s="1" t="n">
        <v>45970</v>
      </c>
      <c r="D528" t="inlineStr">
        <is>
          <t>ÖREBRO LÄN</t>
        </is>
      </c>
      <c r="E528" t="inlineStr">
        <is>
          <t>ÖREBRO</t>
        </is>
      </c>
      <c r="G528" t="n">
        <v>2.2</v>
      </c>
      <c r="H528" t="n">
        <v>0</v>
      </c>
      <c r="I528" t="n">
        <v>0</v>
      </c>
      <c r="J528" t="n">
        <v>0</v>
      </c>
      <c r="K528" t="n">
        <v>0</v>
      </c>
      <c r="L528" t="n">
        <v>0</v>
      </c>
      <c r="M528" t="n">
        <v>0</v>
      </c>
      <c r="N528" t="n">
        <v>0</v>
      </c>
      <c r="O528" t="n">
        <v>0</v>
      </c>
      <c r="P528" t="n">
        <v>0</v>
      </c>
      <c r="Q528" t="n">
        <v>0</v>
      </c>
      <c r="R528" s="2" t="inlineStr"/>
    </row>
    <row r="529" ht="15" customHeight="1">
      <c r="A529" t="inlineStr">
        <is>
          <t>A 30550-2025</t>
        </is>
      </c>
      <c r="B529" s="1" t="n">
        <v>45831.38224537037</v>
      </c>
      <c r="C529" s="1" t="n">
        <v>45970</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13700-2024</t>
        </is>
      </c>
      <c r="B530" s="1" t="n">
        <v>45390.59277777778</v>
      </c>
      <c r="C530" s="1" t="n">
        <v>45970</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30731-2025</t>
        </is>
      </c>
      <c r="B531" s="1" t="n">
        <v>45831.57280092593</v>
      </c>
      <c r="C531" s="1" t="n">
        <v>45970</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30951-2025</t>
        </is>
      </c>
      <c r="B532" s="1" t="n">
        <v>45832.43225694444</v>
      </c>
      <c r="C532" s="1" t="n">
        <v>45970</v>
      </c>
      <c r="D532" t="inlineStr">
        <is>
          <t>ÖREBRO LÄN</t>
        </is>
      </c>
      <c r="E532" t="inlineStr">
        <is>
          <t>ÖREBRO</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31066-2025</t>
        </is>
      </c>
      <c r="B533" s="1" t="n">
        <v>45832</v>
      </c>
      <c r="C533" s="1" t="n">
        <v>45970</v>
      </c>
      <c r="D533" t="inlineStr">
        <is>
          <t>ÖREBRO LÄN</t>
        </is>
      </c>
      <c r="E533" t="inlineStr">
        <is>
          <t>ÖREBRO</t>
        </is>
      </c>
      <c r="G533" t="n">
        <v>11.1</v>
      </c>
      <c r="H533" t="n">
        <v>0</v>
      </c>
      <c r="I533" t="n">
        <v>0</v>
      </c>
      <c r="J533" t="n">
        <v>0</v>
      </c>
      <c r="K533" t="n">
        <v>0</v>
      </c>
      <c r="L533" t="n">
        <v>0</v>
      </c>
      <c r="M533" t="n">
        <v>0</v>
      </c>
      <c r="N533" t="n">
        <v>0</v>
      </c>
      <c r="O533" t="n">
        <v>0</v>
      </c>
      <c r="P533" t="n">
        <v>0</v>
      </c>
      <c r="Q533" t="n">
        <v>0</v>
      </c>
      <c r="R533" s="2" t="inlineStr"/>
    </row>
    <row r="534" ht="15" customHeight="1">
      <c r="A534" t="inlineStr">
        <is>
          <t>A 3659-2025</t>
        </is>
      </c>
      <c r="B534" s="1" t="n">
        <v>45681</v>
      </c>
      <c r="C534" s="1" t="n">
        <v>45970</v>
      </c>
      <c r="D534" t="inlineStr">
        <is>
          <t>ÖREBRO LÄN</t>
        </is>
      </c>
      <c r="E534" t="inlineStr">
        <is>
          <t>ÖREBRO</t>
        </is>
      </c>
      <c r="G534" t="n">
        <v>15.8</v>
      </c>
      <c r="H534" t="n">
        <v>0</v>
      </c>
      <c r="I534" t="n">
        <v>0</v>
      </c>
      <c r="J534" t="n">
        <v>0</v>
      </c>
      <c r="K534" t="n">
        <v>0</v>
      </c>
      <c r="L534" t="n">
        <v>0</v>
      </c>
      <c r="M534" t="n">
        <v>0</v>
      </c>
      <c r="N534" t="n">
        <v>0</v>
      </c>
      <c r="O534" t="n">
        <v>0</v>
      </c>
      <c r="P534" t="n">
        <v>0</v>
      </c>
      <c r="Q534" t="n">
        <v>0</v>
      </c>
      <c r="R534" s="2" t="inlineStr"/>
    </row>
    <row r="535" ht="15" customHeight="1">
      <c r="A535" t="inlineStr">
        <is>
          <t>A 1014-2024</t>
        </is>
      </c>
      <c r="B535" s="1" t="n">
        <v>45301</v>
      </c>
      <c r="C535" s="1" t="n">
        <v>45970</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31233-2025</t>
        </is>
      </c>
      <c r="B536" s="1" t="n">
        <v>45832.83341435185</v>
      </c>
      <c r="C536" s="1" t="n">
        <v>45970</v>
      </c>
      <c r="D536" t="inlineStr">
        <is>
          <t>ÖREBRO LÄN</t>
        </is>
      </c>
      <c r="E536" t="inlineStr">
        <is>
          <t>ÖREBRO</t>
        </is>
      </c>
      <c r="F536" t="inlineStr">
        <is>
          <t>Övriga Aktiebolag</t>
        </is>
      </c>
      <c r="G536" t="n">
        <v>2</v>
      </c>
      <c r="H536" t="n">
        <v>0</v>
      </c>
      <c r="I536" t="n">
        <v>0</v>
      </c>
      <c r="J536" t="n">
        <v>0</v>
      </c>
      <c r="K536" t="n">
        <v>0</v>
      </c>
      <c r="L536" t="n">
        <v>0</v>
      </c>
      <c r="M536" t="n">
        <v>0</v>
      </c>
      <c r="N536" t="n">
        <v>0</v>
      </c>
      <c r="O536" t="n">
        <v>0</v>
      </c>
      <c r="P536" t="n">
        <v>0</v>
      </c>
      <c r="Q536" t="n">
        <v>0</v>
      </c>
      <c r="R536" s="2" t="inlineStr"/>
    </row>
    <row r="537" ht="15" customHeight="1">
      <c r="A537" t="inlineStr">
        <is>
          <t>A 31232-2025</t>
        </is>
      </c>
      <c r="B537" s="1" t="n">
        <v>45832.8252199074</v>
      </c>
      <c r="C537" s="1" t="n">
        <v>45970</v>
      </c>
      <c r="D537" t="inlineStr">
        <is>
          <t>ÖREBRO LÄN</t>
        </is>
      </c>
      <c r="E537" t="inlineStr">
        <is>
          <t>ÖREBRO</t>
        </is>
      </c>
      <c r="F537" t="inlineStr">
        <is>
          <t>Övriga Aktiebolag</t>
        </is>
      </c>
      <c r="G537" t="n">
        <v>2.1</v>
      </c>
      <c r="H537" t="n">
        <v>0</v>
      </c>
      <c r="I537" t="n">
        <v>0</v>
      </c>
      <c r="J537" t="n">
        <v>0</v>
      </c>
      <c r="K537" t="n">
        <v>0</v>
      </c>
      <c r="L537" t="n">
        <v>0</v>
      </c>
      <c r="M537" t="n">
        <v>0</v>
      </c>
      <c r="N537" t="n">
        <v>0</v>
      </c>
      <c r="O537" t="n">
        <v>0</v>
      </c>
      <c r="P537" t="n">
        <v>0</v>
      </c>
      <c r="Q537" t="n">
        <v>0</v>
      </c>
      <c r="R537" s="2" t="inlineStr"/>
    </row>
    <row r="538" ht="15" customHeight="1">
      <c r="A538" t="inlineStr">
        <is>
          <t>A 31237-2025</t>
        </is>
      </c>
      <c r="B538" s="1" t="n">
        <v>45832.84313657408</v>
      </c>
      <c r="C538" s="1" t="n">
        <v>45970</v>
      </c>
      <c r="D538" t="inlineStr">
        <is>
          <t>ÖREBRO LÄN</t>
        </is>
      </c>
      <c r="E538" t="inlineStr">
        <is>
          <t>ÖREBRO</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30743-2025</t>
        </is>
      </c>
      <c r="B539" s="1" t="n">
        <v>45831</v>
      </c>
      <c r="C539" s="1" t="n">
        <v>45970</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8374-2021</t>
        </is>
      </c>
      <c r="B540" s="1" t="n">
        <v>44244</v>
      </c>
      <c r="C540" s="1" t="n">
        <v>45970</v>
      </c>
      <c r="D540" t="inlineStr">
        <is>
          <t>ÖREBRO LÄN</t>
        </is>
      </c>
      <c r="E540" t="inlineStr">
        <is>
          <t>ÖREBRO</t>
        </is>
      </c>
      <c r="G540" t="n">
        <v>0.6</v>
      </c>
      <c r="H540" t="n">
        <v>0</v>
      </c>
      <c r="I540" t="n">
        <v>0</v>
      </c>
      <c r="J540" t="n">
        <v>0</v>
      </c>
      <c r="K540" t="n">
        <v>0</v>
      </c>
      <c r="L540" t="n">
        <v>0</v>
      </c>
      <c r="M540" t="n">
        <v>0</v>
      </c>
      <c r="N540" t="n">
        <v>0</v>
      </c>
      <c r="O540" t="n">
        <v>0</v>
      </c>
      <c r="P540" t="n">
        <v>0</v>
      </c>
      <c r="Q540" t="n">
        <v>0</v>
      </c>
      <c r="R540" s="2" t="inlineStr"/>
    </row>
    <row r="541" ht="15" customHeight="1">
      <c r="A541" t="inlineStr">
        <is>
          <t>A 53443-2025</t>
        </is>
      </c>
      <c r="B541" s="1" t="n">
        <v>45959.6444675926</v>
      </c>
      <c r="C541" s="1" t="n">
        <v>45970</v>
      </c>
      <c r="D541" t="inlineStr">
        <is>
          <t>ÖREBRO LÄN</t>
        </is>
      </c>
      <c r="E541" t="inlineStr">
        <is>
          <t>ÖREBRO</t>
        </is>
      </c>
      <c r="G541" t="n">
        <v>2.8</v>
      </c>
      <c r="H541" t="n">
        <v>0</v>
      </c>
      <c r="I541" t="n">
        <v>0</v>
      </c>
      <c r="J541" t="n">
        <v>0</v>
      </c>
      <c r="K541" t="n">
        <v>0</v>
      </c>
      <c r="L541" t="n">
        <v>0</v>
      </c>
      <c r="M541" t="n">
        <v>0</v>
      </c>
      <c r="N541" t="n">
        <v>0</v>
      </c>
      <c r="O541" t="n">
        <v>0</v>
      </c>
      <c r="P541" t="n">
        <v>0</v>
      </c>
      <c r="Q541" t="n">
        <v>0</v>
      </c>
      <c r="R541" s="2" t="inlineStr"/>
    </row>
    <row r="542" ht="15" customHeight="1">
      <c r="A542" t="inlineStr">
        <is>
          <t>A 44875-2025</t>
        </is>
      </c>
      <c r="B542" s="1" t="n">
        <v>45918.47043981482</v>
      </c>
      <c r="C542" s="1" t="n">
        <v>45970</v>
      </c>
      <c r="D542" t="inlineStr">
        <is>
          <t>ÖREBRO LÄN</t>
        </is>
      </c>
      <c r="E542" t="inlineStr">
        <is>
          <t>ÖREBRO</t>
        </is>
      </c>
      <c r="G542" t="n">
        <v>1.4</v>
      </c>
      <c r="H542" t="n">
        <v>0</v>
      </c>
      <c r="I542" t="n">
        <v>0</v>
      </c>
      <c r="J542" t="n">
        <v>0</v>
      </c>
      <c r="K542" t="n">
        <v>0</v>
      </c>
      <c r="L542" t="n">
        <v>0</v>
      </c>
      <c r="M542" t="n">
        <v>0</v>
      </c>
      <c r="N542" t="n">
        <v>0</v>
      </c>
      <c r="O542" t="n">
        <v>0</v>
      </c>
      <c r="P542" t="n">
        <v>0</v>
      </c>
      <c r="Q542" t="n">
        <v>0</v>
      </c>
      <c r="R542" s="2" t="inlineStr"/>
    </row>
    <row r="543" ht="15" customHeight="1">
      <c r="A543" t="inlineStr">
        <is>
          <t>A 53350-2025</t>
        </is>
      </c>
      <c r="B543" s="1" t="n">
        <v>45959.43827546296</v>
      </c>
      <c r="C543" s="1" t="n">
        <v>45970</v>
      </c>
      <c r="D543" t="inlineStr">
        <is>
          <t>ÖREBRO LÄN</t>
        </is>
      </c>
      <c r="E543" t="inlineStr">
        <is>
          <t>ÖREBRO</t>
        </is>
      </c>
      <c r="G543" t="n">
        <v>4.1</v>
      </c>
      <c r="H543" t="n">
        <v>0</v>
      </c>
      <c r="I543" t="n">
        <v>0</v>
      </c>
      <c r="J543" t="n">
        <v>0</v>
      </c>
      <c r="K543" t="n">
        <v>0</v>
      </c>
      <c r="L543" t="n">
        <v>0</v>
      </c>
      <c r="M543" t="n">
        <v>0</v>
      </c>
      <c r="N543" t="n">
        <v>0</v>
      </c>
      <c r="O543" t="n">
        <v>0</v>
      </c>
      <c r="P543" t="n">
        <v>0</v>
      </c>
      <c r="Q543" t="n">
        <v>0</v>
      </c>
      <c r="R543" s="2" t="inlineStr"/>
    </row>
    <row r="544" ht="15" customHeight="1">
      <c r="A544" t="inlineStr">
        <is>
          <t>A 53715-2025</t>
        </is>
      </c>
      <c r="B544" s="1" t="n">
        <v>45960.61763888889</v>
      </c>
      <c r="C544" s="1" t="n">
        <v>45970</v>
      </c>
      <c r="D544" t="inlineStr">
        <is>
          <t>ÖREBRO LÄN</t>
        </is>
      </c>
      <c r="E544" t="inlineStr">
        <is>
          <t>ÖREBRO</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767-2024</t>
        </is>
      </c>
      <c r="B545" s="1" t="n">
        <v>45300.51892361111</v>
      </c>
      <c r="C545" s="1" t="n">
        <v>45970</v>
      </c>
      <c r="D545" t="inlineStr">
        <is>
          <t>ÖREBRO LÄN</t>
        </is>
      </c>
      <c r="E545" t="inlineStr">
        <is>
          <t>ÖREBRO</t>
        </is>
      </c>
      <c r="G545" t="n">
        <v>2</v>
      </c>
      <c r="H545" t="n">
        <v>0</v>
      </c>
      <c r="I545" t="n">
        <v>0</v>
      </c>
      <c r="J545" t="n">
        <v>0</v>
      </c>
      <c r="K545" t="n">
        <v>0</v>
      </c>
      <c r="L545" t="n">
        <v>0</v>
      </c>
      <c r="M545" t="n">
        <v>0</v>
      </c>
      <c r="N545" t="n">
        <v>0</v>
      </c>
      <c r="O545" t="n">
        <v>0</v>
      </c>
      <c r="P545" t="n">
        <v>0</v>
      </c>
      <c r="Q545" t="n">
        <v>0</v>
      </c>
      <c r="R545" s="2" t="inlineStr"/>
    </row>
    <row r="546" ht="15" customHeight="1">
      <c r="A546" t="inlineStr">
        <is>
          <t>A 32218-2025</t>
        </is>
      </c>
      <c r="B546" s="1" t="n">
        <v>45835.58880787037</v>
      </c>
      <c r="C546" s="1" t="n">
        <v>45970</v>
      </c>
      <c r="D546" t="inlineStr">
        <is>
          <t>ÖREBRO LÄN</t>
        </is>
      </c>
      <c r="E546" t="inlineStr">
        <is>
          <t>ÖREBRO</t>
        </is>
      </c>
      <c r="G546" t="n">
        <v>0.7</v>
      </c>
      <c r="H546" t="n">
        <v>0</v>
      </c>
      <c r="I546" t="n">
        <v>0</v>
      </c>
      <c r="J546" t="n">
        <v>0</v>
      </c>
      <c r="K546" t="n">
        <v>0</v>
      </c>
      <c r="L546" t="n">
        <v>0</v>
      </c>
      <c r="M546" t="n">
        <v>0</v>
      </c>
      <c r="N546" t="n">
        <v>0</v>
      </c>
      <c r="O546" t="n">
        <v>0</v>
      </c>
      <c r="P546" t="n">
        <v>0</v>
      </c>
      <c r="Q546" t="n">
        <v>0</v>
      </c>
      <c r="R546" s="2" t="inlineStr"/>
    </row>
    <row r="547" ht="15" customHeight="1">
      <c r="A547" t="inlineStr">
        <is>
          <t>A 44511-2023</t>
        </is>
      </c>
      <c r="B547" s="1" t="n">
        <v>45189</v>
      </c>
      <c r="C547" s="1" t="n">
        <v>45970</v>
      </c>
      <c r="D547" t="inlineStr">
        <is>
          <t>ÖREBRO LÄN</t>
        </is>
      </c>
      <c r="E547" t="inlineStr">
        <is>
          <t>ÖREBRO</t>
        </is>
      </c>
      <c r="F547" t="inlineStr">
        <is>
          <t>Allmännings- och besparingsskogar</t>
        </is>
      </c>
      <c r="G547" t="n">
        <v>2.7</v>
      </c>
      <c r="H547" t="n">
        <v>0</v>
      </c>
      <c r="I547" t="n">
        <v>0</v>
      </c>
      <c r="J547" t="n">
        <v>0</v>
      </c>
      <c r="K547" t="n">
        <v>0</v>
      </c>
      <c r="L547" t="n">
        <v>0</v>
      </c>
      <c r="M547" t="n">
        <v>0</v>
      </c>
      <c r="N547" t="n">
        <v>0</v>
      </c>
      <c r="O547" t="n">
        <v>0</v>
      </c>
      <c r="P547" t="n">
        <v>0</v>
      </c>
      <c r="Q547" t="n">
        <v>0</v>
      </c>
      <c r="R547" s="2" t="inlineStr"/>
    </row>
    <row r="548" ht="15" customHeight="1">
      <c r="A548" t="inlineStr">
        <is>
          <t>A 53234-2023</t>
        </is>
      </c>
      <c r="B548" s="1" t="n">
        <v>45229</v>
      </c>
      <c r="C548" s="1" t="n">
        <v>45970</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8512-2025</t>
        </is>
      </c>
      <c r="B549" s="1" t="n">
        <v>45709.54873842592</v>
      </c>
      <c r="C549" s="1" t="n">
        <v>45970</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53343-2025</t>
        </is>
      </c>
      <c r="B550" s="1" t="n">
        <v>45959.42025462963</v>
      </c>
      <c r="C550" s="1" t="n">
        <v>45970</v>
      </c>
      <c r="D550" t="inlineStr">
        <is>
          <t>ÖREBRO LÄN</t>
        </is>
      </c>
      <c r="E550" t="inlineStr">
        <is>
          <t>ÖREBRO</t>
        </is>
      </c>
      <c r="G550" t="n">
        <v>0.5</v>
      </c>
      <c r="H550" t="n">
        <v>0</v>
      </c>
      <c r="I550" t="n">
        <v>0</v>
      </c>
      <c r="J550" t="n">
        <v>0</v>
      </c>
      <c r="K550" t="n">
        <v>0</v>
      </c>
      <c r="L550" t="n">
        <v>0</v>
      </c>
      <c r="M550" t="n">
        <v>0</v>
      </c>
      <c r="N550" t="n">
        <v>0</v>
      </c>
      <c r="O550" t="n">
        <v>0</v>
      </c>
      <c r="P550" t="n">
        <v>0</v>
      </c>
      <c r="Q550" t="n">
        <v>0</v>
      </c>
      <c r="R550" s="2" t="inlineStr"/>
    </row>
    <row r="551" ht="15" customHeight="1">
      <c r="A551" t="inlineStr">
        <is>
          <t>A 32188-2025</t>
        </is>
      </c>
      <c r="B551" s="1" t="n">
        <v>45835.56965277778</v>
      </c>
      <c r="C551" s="1" t="n">
        <v>45970</v>
      </c>
      <c r="D551" t="inlineStr">
        <is>
          <t>ÖREBRO LÄN</t>
        </is>
      </c>
      <c r="E551" t="inlineStr">
        <is>
          <t>ÖREBRO</t>
        </is>
      </c>
      <c r="G551" t="n">
        <v>2.9</v>
      </c>
      <c r="H551" t="n">
        <v>0</v>
      </c>
      <c r="I551" t="n">
        <v>0</v>
      </c>
      <c r="J551" t="n">
        <v>0</v>
      </c>
      <c r="K551" t="n">
        <v>0</v>
      </c>
      <c r="L551" t="n">
        <v>0</v>
      </c>
      <c r="M551" t="n">
        <v>0</v>
      </c>
      <c r="N551" t="n">
        <v>0</v>
      </c>
      <c r="O551" t="n">
        <v>0</v>
      </c>
      <c r="P551" t="n">
        <v>0</v>
      </c>
      <c r="Q551" t="n">
        <v>0</v>
      </c>
      <c r="R551" s="2" t="inlineStr"/>
    </row>
    <row r="552" ht="15" customHeight="1">
      <c r="A552" t="inlineStr">
        <is>
          <t>A 32195-2025</t>
        </is>
      </c>
      <c r="B552" s="1" t="n">
        <v>45835.57407407407</v>
      </c>
      <c r="C552" s="1" t="n">
        <v>45970</v>
      </c>
      <c r="D552" t="inlineStr">
        <is>
          <t>ÖREBRO LÄN</t>
        </is>
      </c>
      <c r="E552" t="inlineStr">
        <is>
          <t>ÖREBRO</t>
        </is>
      </c>
      <c r="G552" t="n">
        <v>1.5</v>
      </c>
      <c r="H552" t="n">
        <v>0</v>
      </c>
      <c r="I552" t="n">
        <v>0</v>
      </c>
      <c r="J552" t="n">
        <v>0</v>
      </c>
      <c r="K552" t="n">
        <v>0</v>
      </c>
      <c r="L552" t="n">
        <v>0</v>
      </c>
      <c r="M552" t="n">
        <v>0</v>
      </c>
      <c r="N552" t="n">
        <v>0</v>
      </c>
      <c r="O552" t="n">
        <v>0</v>
      </c>
      <c r="P552" t="n">
        <v>0</v>
      </c>
      <c r="Q552" t="n">
        <v>0</v>
      </c>
      <c r="R552" s="2" t="inlineStr"/>
    </row>
    <row r="553" ht="15" customHeight="1">
      <c r="A553" t="inlineStr">
        <is>
          <t>A 33191-2025</t>
        </is>
      </c>
      <c r="B553" s="1" t="n">
        <v>45840.6003587963</v>
      </c>
      <c r="C553" s="1" t="n">
        <v>45970</v>
      </c>
      <c r="D553" t="inlineStr">
        <is>
          <t>ÖREBRO LÄN</t>
        </is>
      </c>
      <c r="E553" t="inlineStr">
        <is>
          <t>ÖREBRO</t>
        </is>
      </c>
      <c r="G553" t="n">
        <v>2.6</v>
      </c>
      <c r="H553" t="n">
        <v>0</v>
      </c>
      <c r="I553" t="n">
        <v>0</v>
      </c>
      <c r="J553" t="n">
        <v>0</v>
      </c>
      <c r="K553" t="n">
        <v>0</v>
      </c>
      <c r="L553" t="n">
        <v>0</v>
      </c>
      <c r="M553" t="n">
        <v>0</v>
      </c>
      <c r="N553" t="n">
        <v>0</v>
      </c>
      <c r="O553" t="n">
        <v>0</v>
      </c>
      <c r="P553" t="n">
        <v>0</v>
      </c>
      <c r="Q553" t="n">
        <v>0</v>
      </c>
      <c r="R553" s="2" t="inlineStr"/>
    </row>
    <row r="554" ht="15" customHeight="1">
      <c r="A554" t="inlineStr">
        <is>
          <t>A 28054-2022</t>
        </is>
      </c>
      <c r="B554" s="1" t="n">
        <v>44746.41938657407</v>
      </c>
      <c r="C554" s="1" t="n">
        <v>45970</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32426-2025</t>
        </is>
      </c>
      <c r="B555" s="1" t="n">
        <v>45838.36179398148</v>
      </c>
      <c r="C555" s="1" t="n">
        <v>45970</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1647-2024</t>
        </is>
      </c>
      <c r="B556" s="1" t="n">
        <v>45306</v>
      </c>
      <c r="C556" s="1" t="n">
        <v>45970</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57485-2023</t>
        </is>
      </c>
      <c r="B557" s="1" t="n">
        <v>45246</v>
      </c>
      <c r="C557" s="1" t="n">
        <v>45970</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32904-2025</t>
        </is>
      </c>
      <c r="B558" s="1" t="n">
        <v>45839</v>
      </c>
      <c r="C558" s="1" t="n">
        <v>45970</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58032-2023</t>
        </is>
      </c>
      <c r="B559" s="1" t="n">
        <v>45247</v>
      </c>
      <c r="C559" s="1" t="n">
        <v>45970</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58035-2023</t>
        </is>
      </c>
      <c r="B560" s="1" t="n">
        <v>45247</v>
      </c>
      <c r="C560" s="1" t="n">
        <v>45970</v>
      </c>
      <c r="D560" t="inlineStr">
        <is>
          <t>ÖREBRO LÄN</t>
        </is>
      </c>
      <c r="E560" t="inlineStr">
        <is>
          <t>ÖREBRO</t>
        </is>
      </c>
      <c r="G560" t="n">
        <v>1.4</v>
      </c>
      <c r="H560" t="n">
        <v>0</v>
      </c>
      <c r="I560" t="n">
        <v>0</v>
      </c>
      <c r="J560" t="n">
        <v>0</v>
      </c>
      <c r="K560" t="n">
        <v>0</v>
      </c>
      <c r="L560" t="n">
        <v>0</v>
      </c>
      <c r="M560" t="n">
        <v>0</v>
      </c>
      <c r="N560" t="n">
        <v>0</v>
      </c>
      <c r="O560" t="n">
        <v>0</v>
      </c>
      <c r="P560" t="n">
        <v>0</v>
      </c>
      <c r="Q560" t="n">
        <v>0</v>
      </c>
      <c r="R560" s="2" t="inlineStr"/>
    </row>
    <row r="561" ht="15" customHeight="1">
      <c r="A561" t="inlineStr">
        <is>
          <t>A 53719-2025</t>
        </is>
      </c>
      <c r="B561" s="1" t="n">
        <v>45960.62042824074</v>
      </c>
      <c r="C561" s="1" t="n">
        <v>45970</v>
      </c>
      <c r="D561" t="inlineStr">
        <is>
          <t>ÖREBRO LÄN</t>
        </is>
      </c>
      <c r="E561" t="inlineStr">
        <is>
          <t>ÖREBRO</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35829-2024</t>
        </is>
      </c>
      <c r="B562" s="1" t="n">
        <v>45532</v>
      </c>
      <c r="C562" s="1" t="n">
        <v>45970</v>
      </c>
      <c r="D562" t="inlineStr">
        <is>
          <t>ÖREBRO LÄN</t>
        </is>
      </c>
      <c r="E562" t="inlineStr">
        <is>
          <t>ÖREBRO</t>
        </is>
      </c>
      <c r="G562" t="n">
        <v>4.6</v>
      </c>
      <c r="H562" t="n">
        <v>0</v>
      </c>
      <c r="I562" t="n">
        <v>0</v>
      </c>
      <c r="J562" t="n">
        <v>0</v>
      </c>
      <c r="K562" t="n">
        <v>0</v>
      </c>
      <c r="L562" t="n">
        <v>0</v>
      </c>
      <c r="M562" t="n">
        <v>0</v>
      </c>
      <c r="N562" t="n">
        <v>0</v>
      </c>
      <c r="O562" t="n">
        <v>0</v>
      </c>
      <c r="P562" t="n">
        <v>0</v>
      </c>
      <c r="Q562" t="n">
        <v>0</v>
      </c>
      <c r="R562" s="2" t="inlineStr"/>
    </row>
    <row r="563" ht="15" customHeight="1">
      <c r="A563" t="inlineStr">
        <is>
          <t>A 35833-2024</t>
        </is>
      </c>
      <c r="B563" s="1" t="n">
        <v>45532.68699074074</v>
      </c>
      <c r="C563" s="1" t="n">
        <v>45970</v>
      </c>
      <c r="D563" t="inlineStr">
        <is>
          <t>ÖREBRO LÄN</t>
        </is>
      </c>
      <c r="E563" t="inlineStr">
        <is>
          <t>ÖREBRO</t>
        </is>
      </c>
      <c r="G563" t="n">
        <v>1.8</v>
      </c>
      <c r="H563" t="n">
        <v>0</v>
      </c>
      <c r="I563" t="n">
        <v>0</v>
      </c>
      <c r="J563" t="n">
        <v>0</v>
      </c>
      <c r="K563" t="n">
        <v>0</v>
      </c>
      <c r="L563" t="n">
        <v>0</v>
      </c>
      <c r="M563" t="n">
        <v>0</v>
      </c>
      <c r="N563" t="n">
        <v>0</v>
      </c>
      <c r="O563" t="n">
        <v>0</v>
      </c>
      <c r="P563" t="n">
        <v>0</v>
      </c>
      <c r="Q563" t="n">
        <v>0</v>
      </c>
      <c r="R563" s="2" t="inlineStr"/>
    </row>
    <row r="564" ht="15" customHeight="1">
      <c r="A564" t="inlineStr">
        <is>
          <t>A 44960-2025</t>
        </is>
      </c>
      <c r="B564" s="1" t="n">
        <v>45918.61577546296</v>
      </c>
      <c r="C564" s="1" t="n">
        <v>45970</v>
      </c>
      <c r="D564" t="inlineStr">
        <is>
          <t>ÖREBRO LÄN</t>
        </is>
      </c>
      <c r="E564" t="inlineStr">
        <is>
          <t>ÖREBRO</t>
        </is>
      </c>
      <c r="G564" t="n">
        <v>1.5</v>
      </c>
      <c r="H564" t="n">
        <v>0</v>
      </c>
      <c r="I564" t="n">
        <v>0</v>
      </c>
      <c r="J564" t="n">
        <v>0</v>
      </c>
      <c r="K564" t="n">
        <v>0</v>
      </c>
      <c r="L564" t="n">
        <v>0</v>
      </c>
      <c r="M564" t="n">
        <v>0</v>
      </c>
      <c r="N564" t="n">
        <v>0</v>
      </c>
      <c r="O564" t="n">
        <v>0</v>
      </c>
      <c r="P564" t="n">
        <v>0</v>
      </c>
      <c r="Q564" t="n">
        <v>0</v>
      </c>
      <c r="R564" s="2" t="inlineStr"/>
    </row>
    <row r="565" ht="15" customHeight="1">
      <c r="A565" t="inlineStr">
        <is>
          <t>A 53342-2025</t>
        </is>
      </c>
      <c r="B565" s="1" t="n">
        <v>45959.41769675926</v>
      </c>
      <c r="C565" s="1" t="n">
        <v>45970</v>
      </c>
      <c r="D565" t="inlineStr">
        <is>
          <t>ÖREBRO LÄN</t>
        </is>
      </c>
      <c r="E565" t="inlineStr">
        <is>
          <t>ÖREBRO</t>
        </is>
      </c>
      <c r="G565" t="n">
        <v>4.1</v>
      </c>
      <c r="H565" t="n">
        <v>0</v>
      </c>
      <c r="I565" t="n">
        <v>0</v>
      </c>
      <c r="J565" t="n">
        <v>0</v>
      </c>
      <c r="K565" t="n">
        <v>0</v>
      </c>
      <c r="L565" t="n">
        <v>0</v>
      </c>
      <c r="M565" t="n">
        <v>0</v>
      </c>
      <c r="N565" t="n">
        <v>0</v>
      </c>
      <c r="O565" t="n">
        <v>0</v>
      </c>
      <c r="P565" t="n">
        <v>0</v>
      </c>
      <c r="Q565" t="n">
        <v>0</v>
      </c>
      <c r="R565" s="2" t="inlineStr"/>
    </row>
    <row r="566" ht="15" customHeight="1">
      <c r="A566" t="inlineStr">
        <is>
          <t>A 53437-2025</t>
        </is>
      </c>
      <c r="B566" s="1" t="n">
        <v>45959.63440972222</v>
      </c>
      <c r="C566" s="1" t="n">
        <v>45970</v>
      </c>
      <c r="D566" t="inlineStr">
        <is>
          <t>ÖREBRO LÄN</t>
        </is>
      </c>
      <c r="E566" t="inlineStr">
        <is>
          <t>ÖREBRO</t>
        </is>
      </c>
      <c r="G566" t="n">
        <v>1</v>
      </c>
      <c r="H566" t="n">
        <v>0</v>
      </c>
      <c r="I566" t="n">
        <v>0</v>
      </c>
      <c r="J566" t="n">
        <v>0</v>
      </c>
      <c r="K566" t="n">
        <v>0</v>
      </c>
      <c r="L566" t="n">
        <v>0</v>
      </c>
      <c r="M566" t="n">
        <v>0</v>
      </c>
      <c r="N566" t="n">
        <v>0</v>
      </c>
      <c r="O566" t="n">
        <v>0</v>
      </c>
      <c r="P566" t="n">
        <v>0</v>
      </c>
      <c r="Q566" t="n">
        <v>0</v>
      </c>
      <c r="R566" s="2" t="inlineStr"/>
    </row>
    <row r="567" ht="15" customHeight="1">
      <c r="A567" t="inlineStr">
        <is>
          <t>A 14717-2024</t>
        </is>
      </c>
      <c r="B567" s="1" t="n">
        <v>45397.55104166667</v>
      </c>
      <c r="C567" s="1" t="n">
        <v>45970</v>
      </c>
      <c r="D567" t="inlineStr">
        <is>
          <t>ÖREBRO LÄN</t>
        </is>
      </c>
      <c r="E567" t="inlineStr">
        <is>
          <t>ÖREBRO</t>
        </is>
      </c>
      <c r="G567" t="n">
        <v>0.7</v>
      </c>
      <c r="H567" t="n">
        <v>0</v>
      </c>
      <c r="I567" t="n">
        <v>0</v>
      </c>
      <c r="J567" t="n">
        <v>0</v>
      </c>
      <c r="K567" t="n">
        <v>0</v>
      </c>
      <c r="L567" t="n">
        <v>0</v>
      </c>
      <c r="M567" t="n">
        <v>0</v>
      </c>
      <c r="N567" t="n">
        <v>0</v>
      </c>
      <c r="O567" t="n">
        <v>0</v>
      </c>
      <c r="P567" t="n">
        <v>0</v>
      </c>
      <c r="Q567" t="n">
        <v>0</v>
      </c>
      <c r="R567" s="2" t="inlineStr"/>
    </row>
    <row r="568" ht="15" customHeight="1">
      <c r="A568" t="inlineStr">
        <is>
          <t>A 48687-2024</t>
        </is>
      </c>
      <c r="B568" s="1" t="n">
        <v>45593.49899305555</v>
      </c>
      <c r="C568" s="1" t="n">
        <v>45970</v>
      </c>
      <c r="D568" t="inlineStr">
        <is>
          <t>ÖREBRO LÄN</t>
        </is>
      </c>
      <c r="E568" t="inlineStr">
        <is>
          <t>ÖREBRO</t>
        </is>
      </c>
      <c r="F568" t="inlineStr">
        <is>
          <t>Övriga Aktiebolag</t>
        </is>
      </c>
      <c r="G568" t="n">
        <v>3.8</v>
      </c>
      <c r="H568" t="n">
        <v>0</v>
      </c>
      <c r="I568" t="n">
        <v>0</v>
      </c>
      <c r="J568" t="n">
        <v>0</v>
      </c>
      <c r="K568" t="n">
        <v>0</v>
      </c>
      <c r="L568" t="n">
        <v>0</v>
      </c>
      <c r="M568" t="n">
        <v>0</v>
      </c>
      <c r="N568" t="n">
        <v>0</v>
      </c>
      <c r="O568" t="n">
        <v>0</v>
      </c>
      <c r="P568" t="n">
        <v>0</v>
      </c>
      <c r="Q568" t="n">
        <v>0</v>
      </c>
      <c r="R568" s="2" t="inlineStr"/>
    </row>
    <row r="569" ht="15" customHeight="1">
      <c r="A569" t="inlineStr">
        <is>
          <t>A 35062-2025</t>
        </is>
      </c>
      <c r="B569" s="1" t="n">
        <v>45852</v>
      </c>
      <c r="C569" s="1" t="n">
        <v>45970</v>
      </c>
      <c r="D569" t="inlineStr">
        <is>
          <t>ÖREBRO LÄN</t>
        </is>
      </c>
      <c r="E569" t="inlineStr">
        <is>
          <t>ÖREBRO</t>
        </is>
      </c>
      <c r="G569" t="n">
        <v>2.8</v>
      </c>
      <c r="H569" t="n">
        <v>0</v>
      </c>
      <c r="I569" t="n">
        <v>0</v>
      </c>
      <c r="J569" t="n">
        <v>0</v>
      </c>
      <c r="K569" t="n">
        <v>0</v>
      </c>
      <c r="L569" t="n">
        <v>0</v>
      </c>
      <c r="M569" t="n">
        <v>0</v>
      </c>
      <c r="N569" t="n">
        <v>0</v>
      </c>
      <c r="O569" t="n">
        <v>0</v>
      </c>
      <c r="P569" t="n">
        <v>0</v>
      </c>
      <c r="Q569" t="n">
        <v>0</v>
      </c>
      <c r="R569" s="2" t="inlineStr"/>
    </row>
    <row r="570" ht="15" customHeight="1">
      <c r="A570" t="inlineStr">
        <is>
          <t>A 5133-2024</t>
        </is>
      </c>
      <c r="B570" s="1" t="n">
        <v>45330</v>
      </c>
      <c r="C570" s="1" t="n">
        <v>45970</v>
      </c>
      <c r="D570" t="inlineStr">
        <is>
          <t>ÖREBRO LÄN</t>
        </is>
      </c>
      <c r="E570" t="inlineStr">
        <is>
          <t>ÖREBRO</t>
        </is>
      </c>
      <c r="G570" t="n">
        <v>0.5</v>
      </c>
      <c r="H570" t="n">
        <v>0</v>
      </c>
      <c r="I570" t="n">
        <v>0</v>
      </c>
      <c r="J570" t="n">
        <v>0</v>
      </c>
      <c r="K570" t="n">
        <v>0</v>
      </c>
      <c r="L570" t="n">
        <v>0</v>
      </c>
      <c r="M570" t="n">
        <v>0</v>
      </c>
      <c r="N570" t="n">
        <v>0</v>
      </c>
      <c r="O570" t="n">
        <v>0</v>
      </c>
      <c r="P570" t="n">
        <v>0</v>
      </c>
      <c r="Q570" t="n">
        <v>0</v>
      </c>
      <c r="R570" s="2" t="inlineStr"/>
    </row>
    <row r="571" ht="15" customHeight="1">
      <c r="A571" t="inlineStr">
        <is>
          <t>A 14432-2023</t>
        </is>
      </c>
      <c r="B571" s="1" t="n">
        <v>45012</v>
      </c>
      <c r="C571" s="1" t="n">
        <v>45970</v>
      </c>
      <c r="D571" t="inlineStr">
        <is>
          <t>ÖREBRO LÄN</t>
        </is>
      </c>
      <c r="E571" t="inlineStr">
        <is>
          <t>ÖREBRO</t>
        </is>
      </c>
      <c r="G571" t="n">
        <v>3.3</v>
      </c>
      <c r="H571" t="n">
        <v>0</v>
      </c>
      <c r="I571" t="n">
        <v>0</v>
      </c>
      <c r="J571" t="n">
        <v>0</v>
      </c>
      <c r="K571" t="n">
        <v>0</v>
      </c>
      <c r="L571" t="n">
        <v>0</v>
      </c>
      <c r="M571" t="n">
        <v>0</v>
      </c>
      <c r="N571" t="n">
        <v>0</v>
      </c>
      <c r="O571" t="n">
        <v>0</v>
      </c>
      <c r="P571" t="n">
        <v>0</v>
      </c>
      <c r="Q571" t="n">
        <v>0</v>
      </c>
      <c r="R571" s="2" t="inlineStr"/>
    </row>
    <row r="572" ht="15" customHeight="1">
      <c r="A572" t="inlineStr">
        <is>
          <t>A 10339-2023</t>
        </is>
      </c>
      <c r="B572" s="1" t="n">
        <v>44987</v>
      </c>
      <c r="C572" s="1" t="n">
        <v>45970</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190-2024</t>
        </is>
      </c>
      <c r="B573" s="1" t="n">
        <v>45294.61858796296</v>
      </c>
      <c r="C573" s="1" t="n">
        <v>45970</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62497-2023</t>
        </is>
      </c>
      <c r="B574" s="1" t="n">
        <v>45268.59935185185</v>
      </c>
      <c r="C574" s="1" t="n">
        <v>45970</v>
      </c>
      <c r="D574" t="inlineStr">
        <is>
          <t>ÖREBRO LÄN</t>
        </is>
      </c>
      <c r="E574" t="inlineStr">
        <is>
          <t>ÖREBRO</t>
        </is>
      </c>
      <c r="F574" t="inlineStr">
        <is>
          <t>Övriga Aktiebolag</t>
        </is>
      </c>
      <c r="G574" t="n">
        <v>3.2</v>
      </c>
      <c r="H574" t="n">
        <v>0</v>
      </c>
      <c r="I574" t="n">
        <v>0</v>
      </c>
      <c r="J574" t="n">
        <v>0</v>
      </c>
      <c r="K574" t="n">
        <v>0</v>
      </c>
      <c r="L574" t="n">
        <v>0</v>
      </c>
      <c r="M574" t="n">
        <v>0</v>
      </c>
      <c r="N574" t="n">
        <v>0</v>
      </c>
      <c r="O574" t="n">
        <v>0</v>
      </c>
      <c r="P574" t="n">
        <v>0</v>
      </c>
      <c r="Q574" t="n">
        <v>0</v>
      </c>
      <c r="R574" s="2" t="inlineStr"/>
    </row>
    <row r="575" ht="15" customHeight="1">
      <c r="A575" t="inlineStr">
        <is>
          <t>A 54205-2025</t>
        </is>
      </c>
      <c r="B575" s="1" t="n">
        <v>45964.58512731481</v>
      </c>
      <c r="C575" s="1" t="n">
        <v>45970</v>
      </c>
      <c r="D575" t="inlineStr">
        <is>
          <t>ÖREBRO LÄN</t>
        </is>
      </c>
      <c r="E575" t="inlineStr">
        <is>
          <t>ÖREBRO</t>
        </is>
      </c>
      <c r="G575" t="n">
        <v>24.3</v>
      </c>
      <c r="H575" t="n">
        <v>0</v>
      </c>
      <c r="I575" t="n">
        <v>0</v>
      </c>
      <c r="J575" t="n">
        <v>0</v>
      </c>
      <c r="K575" t="n">
        <v>0</v>
      </c>
      <c r="L575" t="n">
        <v>0</v>
      </c>
      <c r="M575" t="n">
        <v>0</v>
      </c>
      <c r="N575" t="n">
        <v>0</v>
      </c>
      <c r="O575" t="n">
        <v>0</v>
      </c>
      <c r="P575" t="n">
        <v>0</v>
      </c>
      <c r="Q575" t="n">
        <v>0</v>
      </c>
      <c r="R575" s="2" t="inlineStr"/>
    </row>
    <row r="576" ht="15" customHeight="1">
      <c r="A576" t="inlineStr">
        <is>
          <t>A 43399-2022</t>
        </is>
      </c>
      <c r="B576" s="1" t="n">
        <v>44834</v>
      </c>
      <c r="C576" s="1" t="n">
        <v>45970</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28821-2025</t>
        </is>
      </c>
      <c r="B577" s="1" t="n">
        <v>45820</v>
      </c>
      <c r="C577" s="1" t="n">
        <v>45970</v>
      </c>
      <c r="D577" t="inlineStr">
        <is>
          <t>ÖREBRO LÄN</t>
        </is>
      </c>
      <c r="E577" t="inlineStr">
        <is>
          <t>ÖREBRO</t>
        </is>
      </c>
      <c r="G577" t="n">
        <v>12.6</v>
      </c>
      <c r="H577" t="n">
        <v>0</v>
      </c>
      <c r="I577" t="n">
        <v>0</v>
      </c>
      <c r="J577" t="n">
        <v>0</v>
      </c>
      <c r="K577" t="n">
        <v>0</v>
      </c>
      <c r="L577" t="n">
        <v>0</v>
      </c>
      <c r="M577" t="n">
        <v>0</v>
      </c>
      <c r="N577" t="n">
        <v>0</v>
      </c>
      <c r="O577" t="n">
        <v>0</v>
      </c>
      <c r="P577" t="n">
        <v>0</v>
      </c>
      <c r="Q577" t="n">
        <v>0</v>
      </c>
      <c r="R577" s="2" t="inlineStr"/>
    </row>
    <row r="578" ht="15" customHeight="1">
      <c r="A578" t="inlineStr">
        <is>
          <t>A 63142-2023</t>
        </is>
      </c>
      <c r="B578" s="1" t="n">
        <v>45273</v>
      </c>
      <c r="C578" s="1" t="n">
        <v>45970</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35637-2025</t>
        </is>
      </c>
      <c r="B579" s="1" t="n">
        <v>45859.46859953704</v>
      </c>
      <c r="C579" s="1" t="n">
        <v>45970</v>
      </c>
      <c r="D579" t="inlineStr">
        <is>
          <t>ÖREBRO LÄN</t>
        </is>
      </c>
      <c r="E579" t="inlineStr">
        <is>
          <t>ÖREBRO</t>
        </is>
      </c>
      <c r="G579" t="n">
        <v>2.1</v>
      </c>
      <c r="H579" t="n">
        <v>0</v>
      </c>
      <c r="I579" t="n">
        <v>0</v>
      </c>
      <c r="J579" t="n">
        <v>0</v>
      </c>
      <c r="K579" t="n">
        <v>0</v>
      </c>
      <c r="L579" t="n">
        <v>0</v>
      </c>
      <c r="M579" t="n">
        <v>0</v>
      </c>
      <c r="N579" t="n">
        <v>0</v>
      </c>
      <c r="O579" t="n">
        <v>0</v>
      </c>
      <c r="P579" t="n">
        <v>0</v>
      </c>
      <c r="Q579" t="n">
        <v>0</v>
      </c>
      <c r="R579" s="2" t="inlineStr"/>
    </row>
    <row r="580" ht="15" customHeight="1">
      <c r="A580" t="inlineStr">
        <is>
          <t>A 37021-2024</t>
        </is>
      </c>
      <c r="B580" s="1" t="n">
        <v>45539.38146990741</v>
      </c>
      <c r="C580" s="1" t="n">
        <v>45970</v>
      </c>
      <c r="D580" t="inlineStr">
        <is>
          <t>ÖREBRO LÄN</t>
        </is>
      </c>
      <c r="E580" t="inlineStr">
        <is>
          <t>ÖREBRO</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23573-2023</t>
        </is>
      </c>
      <c r="B581" s="1" t="n">
        <v>45077.41672453703</v>
      </c>
      <c r="C581" s="1" t="n">
        <v>45970</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35928-2025</t>
        </is>
      </c>
      <c r="B582" s="1" t="n">
        <v>45862</v>
      </c>
      <c r="C582" s="1" t="n">
        <v>45970</v>
      </c>
      <c r="D582" t="inlineStr">
        <is>
          <t>ÖREBRO LÄN</t>
        </is>
      </c>
      <c r="E582" t="inlineStr">
        <is>
          <t>ÖREBRO</t>
        </is>
      </c>
      <c r="G582" t="n">
        <v>4.4</v>
      </c>
      <c r="H582" t="n">
        <v>0</v>
      </c>
      <c r="I582" t="n">
        <v>0</v>
      </c>
      <c r="J582" t="n">
        <v>0</v>
      </c>
      <c r="K582" t="n">
        <v>0</v>
      </c>
      <c r="L582" t="n">
        <v>0</v>
      </c>
      <c r="M582" t="n">
        <v>0</v>
      </c>
      <c r="N582" t="n">
        <v>0</v>
      </c>
      <c r="O582" t="n">
        <v>0</v>
      </c>
      <c r="P582" t="n">
        <v>0</v>
      </c>
      <c r="Q582" t="n">
        <v>0</v>
      </c>
      <c r="R582" s="2" t="inlineStr"/>
    </row>
    <row r="583" ht="15" customHeight="1">
      <c r="A583" t="inlineStr">
        <is>
          <t>A 13762-2023</t>
        </is>
      </c>
      <c r="B583" s="1" t="n">
        <v>45007.43729166667</v>
      </c>
      <c r="C583" s="1" t="n">
        <v>45970</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55453-2024</t>
        </is>
      </c>
      <c r="B584" s="1" t="n">
        <v>45622.42097222222</v>
      </c>
      <c r="C584" s="1" t="n">
        <v>45970</v>
      </c>
      <c r="D584" t="inlineStr">
        <is>
          <t>ÖREBRO LÄN</t>
        </is>
      </c>
      <c r="E584" t="inlineStr">
        <is>
          <t>ÖREBRO</t>
        </is>
      </c>
      <c r="G584" t="n">
        <v>8.5</v>
      </c>
      <c r="H584" t="n">
        <v>0</v>
      </c>
      <c r="I584" t="n">
        <v>0</v>
      </c>
      <c r="J584" t="n">
        <v>0</v>
      </c>
      <c r="K584" t="n">
        <v>0</v>
      </c>
      <c r="L584" t="n">
        <v>0</v>
      </c>
      <c r="M584" t="n">
        <v>0</v>
      </c>
      <c r="N584" t="n">
        <v>0</v>
      </c>
      <c r="O584" t="n">
        <v>0</v>
      </c>
      <c r="P584" t="n">
        <v>0</v>
      </c>
      <c r="Q584" t="n">
        <v>0</v>
      </c>
      <c r="R584" s="2" t="inlineStr"/>
    </row>
    <row r="585" ht="15" customHeight="1">
      <c r="A585" t="inlineStr">
        <is>
          <t>A 5129-2024</t>
        </is>
      </c>
      <c r="B585" s="1" t="n">
        <v>45330</v>
      </c>
      <c r="C585" s="1" t="n">
        <v>45970</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32025-2024</t>
        </is>
      </c>
      <c r="B586" s="1" t="n">
        <v>45510.65754629629</v>
      </c>
      <c r="C586" s="1" t="n">
        <v>45970</v>
      </c>
      <c r="D586" t="inlineStr">
        <is>
          <t>ÖREBRO LÄN</t>
        </is>
      </c>
      <c r="E586" t="inlineStr">
        <is>
          <t>ÖREBRO</t>
        </is>
      </c>
      <c r="G586" t="n">
        <v>4</v>
      </c>
      <c r="H586" t="n">
        <v>0</v>
      </c>
      <c r="I586" t="n">
        <v>0</v>
      </c>
      <c r="J586" t="n">
        <v>0</v>
      </c>
      <c r="K586" t="n">
        <v>0</v>
      </c>
      <c r="L586" t="n">
        <v>0</v>
      </c>
      <c r="M586" t="n">
        <v>0</v>
      </c>
      <c r="N586" t="n">
        <v>0</v>
      </c>
      <c r="O586" t="n">
        <v>0</v>
      </c>
      <c r="P586" t="n">
        <v>0</v>
      </c>
      <c r="Q586" t="n">
        <v>0</v>
      </c>
      <c r="R586" s="2" t="inlineStr"/>
    </row>
    <row r="587" ht="15" customHeight="1">
      <c r="A587" t="inlineStr">
        <is>
          <t>A 1492-2022</t>
        </is>
      </c>
      <c r="B587" s="1" t="n">
        <v>44573</v>
      </c>
      <c r="C587" s="1" t="n">
        <v>45970</v>
      </c>
      <c r="D587" t="inlineStr">
        <is>
          <t>ÖREBRO LÄN</t>
        </is>
      </c>
      <c r="E587" t="inlineStr">
        <is>
          <t>ÖREBRO</t>
        </is>
      </c>
      <c r="G587" t="n">
        <v>1.3</v>
      </c>
      <c r="H587" t="n">
        <v>0</v>
      </c>
      <c r="I587" t="n">
        <v>0</v>
      </c>
      <c r="J587" t="n">
        <v>0</v>
      </c>
      <c r="K587" t="n">
        <v>0</v>
      </c>
      <c r="L587" t="n">
        <v>0</v>
      </c>
      <c r="M587" t="n">
        <v>0</v>
      </c>
      <c r="N587" t="n">
        <v>0</v>
      </c>
      <c r="O587" t="n">
        <v>0</v>
      </c>
      <c r="P587" t="n">
        <v>0</v>
      </c>
      <c r="Q587" t="n">
        <v>0</v>
      </c>
      <c r="R587" s="2" t="inlineStr"/>
    </row>
    <row r="588" ht="15" customHeight="1">
      <c r="A588" t="inlineStr">
        <is>
          <t>A 59026-2024</t>
        </is>
      </c>
      <c r="B588" s="1" t="n">
        <v>45636.6875</v>
      </c>
      <c r="C588" s="1" t="n">
        <v>45970</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52623-2024</t>
        </is>
      </c>
      <c r="B589" s="1" t="n">
        <v>45609</v>
      </c>
      <c r="C589" s="1" t="n">
        <v>45970</v>
      </c>
      <c r="D589" t="inlineStr">
        <is>
          <t>ÖREBRO LÄN</t>
        </is>
      </c>
      <c r="E589" t="inlineStr">
        <is>
          <t>ÖREBRO</t>
        </is>
      </c>
      <c r="F589" t="inlineStr">
        <is>
          <t>Kommuner</t>
        </is>
      </c>
      <c r="G589" t="n">
        <v>1.7</v>
      </c>
      <c r="H589" t="n">
        <v>0</v>
      </c>
      <c r="I589" t="n">
        <v>0</v>
      </c>
      <c r="J589" t="n">
        <v>0</v>
      </c>
      <c r="K589" t="n">
        <v>0</v>
      </c>
      <c r="L589" t="n">
        <v>0</v>
      </c>
      <c r="M589" t="n">
        <v>0</v>
      </c>
      <c r="N589" t="n">
        <v>0</v>
      </c>
      <c r="O589" t="n">
        <v>0</v>
      </c>
      <c r="P589" t="n">
        <v>0</v>
      </c>
      <c r="Q589" t="n">
        <v>0</v>
      </c>
      <c r="R589" s="2" t="inlineStr"/>
    </row>
    <row r="590" ht="15" customHeight="1">
      <c r="A590" t="inlineStr">
        <is>
          <t>A 62511-2023</t>
        </is>
      </c>
      <c r="B590" s="1" t="n">
        <v>45268.61855324074</v>
      </c>
      <c r="C590" s="1" t="n">
        <v>45970</v>
      </c>
      <c r="D590" t="inlineStr">
        <is>
          <t>ÖREBRO LÄN</t>
        </is>
      </c>
      <c r="E590" t="inlineStr">
        <is>
          <t>ÖREBRO</t>
        </is>
      </c>
      <c r="F590" t="inlineStr">
        <is>
          <t>Övriga Aktiebolag</t>
        </is>
      </c>
      <c r="G590" t="n">
        <v>3.6</v>
      </c>
      <c r="H590" t="n">
        <v>0</v>
      </c>
      <c r="I590" t="n">
        <v>0</v>
      </c>
      <c r="J590" t="n">
        <v>0</v>
      </c>
      <c r="K590" t="n">
        <v>0</v>
      </c>
      <c r="L590" t="n">
        <v>0</v>
      </c>
      <c r="M590" t="n">
        <v>0</v>
      </c>
      <c r="N590" t="n">
        <v>0</v>
      </c>
      <c r="O590" t="n">
        <v>0</v>
      </c>
      <c r="P590" t="n">
        <v>0</v>
      </c>
      <c r="Q590" t="n">
        <v>0</v>
      </c>
      <c r="R590" s="2" t="inlineStr"/>
    </row>
    <row r="591" ht="15" customHeight="1">
      <c r="A591" t="inlineStr">
        <is>
          <t>A 36448-2025</t>
        </is>
      </c>
      <c r="B591" s="1" t="n">
        <v>45869.41929398148</v>
      </c>
      <c r="C591" s="1" t="n">
        <v>45970</v>
      </c>
      <c r="D591" t="inlineStr">
        <is>
          <t>ÖREBRO LÄN</t>
        </is>
      </c>
      <c r="E591" t="inlineStr">
        <is>
          <t>ÖREBRO</t>
        </is>
      </c>
      <c r="F591" t="inlineStr">
        <is>
          <t>Övriga Aktiebolag</t>
        </is>
      </c>
      <c r="G591" t="n">
        <v>4.3</v>
      </c>
      <c r="H591" t="n">
        <v>0</v>
      </c>
      <c r="I591" t="n">
        <v>0</v>
      </c>
      <c r="J591" t="n">
        <v>0</v>
      </c>
      <c r="K591" t="n">
        <v>0</v>
      </c>
      <c r="L591" t="n">
        <v>0</v>
      </c>
      <c r="M591" t="n">
        <v>0</v>
      </c>
      <c r="N591" t="n">
        <v>0</v>
      </c>
      <c r="O591" t="n">
        <v>0</v>
      </c>
      <c r="P591" t="n">
        <v>0</v>
      </c>
      <c r="Q591" t="n">
        <v>0</v>
      </c>
      <c r="R591" s="2" t="inlineStr"/>
    </row>
    <row r="592" ht="15" customHeight="1">
      <c r="A592" t="inlineStr">
        <is>
          <t>A 36447-2025</t>
        </is>
      </c>
      <c r="B592" s="1" t="n">
        <v>45869.41387731482</v>
      </c>
      <c r="C592" s="1" t="n">
        <v>45970</v>
      </c>
      <c r="D592" t="inlineStr">
        <is>
          <t>ÖREBRO LÄN</t>
        </is>
      </c>
      <c r="E592" t="inlineStr">
        <is>
          <t>ÖREBRO</t>
        </is>
      </c>
      <c r="F592" t="inlineStr">
        <is>
          <t>Övriga Aktiebolag</t>
        </is>
      </c>
      <c r="G592" t="n">
        <v>12.6</v>
      </c>
      <c r="H592" t="n">
        <v>0</v>
      </c>
      <c r="I592" t="n">
        <v>0</v>
      </c>
      <c r="J592" t="n">
        <v>0</v>
      </c>
      <c r="K592" t="n">
        <v>0</v>
      </c>
      <c r="L592" t="n">
        <v>0</v>
      </c>
      <c r="M592" t="n">
        <v>0</v>
      </c>
      <c r="N592" t="n">
        <v>0</v>
      </c>
      <c r="O592" t="n">
        <v>0</v>
      </c>
      <c r="P592" t="n">
        <v>0</v>
      </c>
      <c r="Q592" t="n">
        <v>0</v>
      </c>
      <c r="R592" s="2" t="inlineStr"/>
    </row>
    <row r="593" ht="15" customHeight="1">
      <c r="A593" t="inlineStr">
        <is>
          <t>A 40522-2024</t>
        </is>
      </c>
      <c r="B593" s="1" t="n">
        <v>45555.59717592593</v>
      </c>
      <c r="C593" s="1" t="n">
        <v>45970</v>
      </c>
      <c r="D593" t="inlineStr">
        <is>
          <t>ÖREBRO LÄN</t>
        </is>
      </c>
      <c r="E593" t="inlineStr">
        <is>
          <t>ÖREBRO</t>
        </is>
      </c>
      <c r="G593" t="n">
        <v>5.1</v>
      </c>
      <c r="H593" t="n">
        <v>0</v>
      </c>
      <c r="I593" t="n">
        <v>0</v>
      </c>
      <c r="J593" t="n">
        <v>0</v>
      </c>
      <c r="K593" t="n">
        <v>0</v>
      </c>
      <c r="L593" t="n">
        <v>0</v>
      </c>
      <c r="M593" t="n">
        <v>0</v>
      </c>
      <c r="N593" t="n">
        <v>0</v>
      </c>
      <c r="O593" t="n">
        <v>0</v>
      </c>
      <c r="P593" t="n">
        <v>0</v>
      </c>
      <c r="Q593" t="n">
        <v>0</v>
      </c>
      <c r="R593" s="2" t="inlineStr"/>
    </row>
    <row r="594" ht="15" customHeight="1">
      <c r="A594" t="inlineStr">
        <is>
          <t>A 59265-2020</t>
        </is>
      </c>
      <c r="B594" s="1" t="n">
        <v>44147.67359953704</v>
      </c>
      <c r="C594" s="1" t="n">
        <v>45970</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33577-2023</t>
        </is>
      </c>
      <c r="B595" s="1" t="n">
        <v>45131</v>
      </c>
      <c r="C595" s="1" t="n">
        <v>45970</v>
      </c>
      <c r="D595" t="inlineStr">
        <is>
          <t>ÖREBRO LÄN</t>
        </is>
      </c>
      <c r="E595" t="inlineStr">
        <is>
          <t>ÖREBRO</t>
        </is>
      </c>
      <c r="G595" t="n">
        <v>2</v>
      </c>
      <c r="H595" t="n">
        <v>0</v>
      </c>
      <c r="I595" t="n">
        <v>0</v>
      </c>
      <c r="J595" t="n">
        <v>0</v>
      </c>
      <c r="K595" t="n">
        <v>0</v>
      </c>
      <c r="L595" t="n">
        <v>0</v>
      </c>
      <c r="M595" t="n">
        <v>0</v>
      </c>
      <c r="N595" t="n">
        <v>0</v>
      </c>
      <c r="O595" t="n">
        <v>0</v>
      </c>
      <c r="P595" t="n">
        <v>0</v>
      </c>
      <c r="Q595" t="n">
        <v>0</v>
      </c>
      <c r="R595" s="2" t="inlineStr"/>
    </row>
    <row r="596" ht="15" customHeight="1">
      <c r="A596" t="inlineStr">
        <is>
          <t>A 18360-2024</t>
        </is>
      </c>
      <c r="B596" s="1" t="n">
        <v>45422</v>
      </c>
      <c r="C596" s="1" t="n">
        <v>45970</v>
      </c>
      <c r="D596" t="inlineStr">
        <is>
          <t>ÖREBRO LÄN</t>
        </is>
      </c>
      <c r="E596" t="inlineStr">
        <is>
          <t>ÖREBRO</t>
        </is>
      </c>
      <c r="G596" t="n">
        <v>0.7</v>
      </c>
      <c r="H596" t="n">
        <v>0</v>
      </c>
      <c r="I596" t="n">
        <v>0</v>
      </c>
      <c r="J596" t="n">
        <v>0</v>
      </c>
      <c r="K596" t="n">
        <v>0</v>
      </c>
      <c r="L596" t="n">
        <v>0</v>
      </c>
      <c r="M596" t="n">
        <v>0</v>
      </c>
      <c r="N596" t="n">
        <v>0</v>
      </c>
      <c r="O596" t="n">
        <v>0</v>
      </c>
      <c r="P596" t="n">
        <v>0</v>
      </c>
      <c r="Q596" t="n">
        <v>0</v>
      </c>
      <c r="R596" s="2" t="inlineStr"/>
    </row>
    <row r="597" ht="15" customHeight="1">
      <c r="A597" t="inlineStr">
        <is>
          <t>A 7611-2024</t>
        </is>
      </c>
      <c r="B597" s="1" t="n">
        <v>45348.58864583333</v>
      </c>
      <c r="C597" s="1" t="n">
        <v>45970</v>
      </c>
      <c r="D597" t="inlineStr">
        <is>
          <t>ÖREBRO LÄN</t>
        </is>
      </c>
      <c r="E597" t="inlineStr">
        <is>
          <t>ÖREBRO</t>
        </is>
      </c>
      <c r="G597" t="n">
        <v>4.2</v>
      </c>
      <c r="H597" t="n">
        <v>0</v>
      </c>
      <c r="I597" t="n">
        <v>0</v>
      </c>
      <c r="J597" t="n">
        <v>0</v>
      </c>
      <c r="K597" t="n">
        <v>0</v>
      </c>
      <c r="L597" t="n">
        <v>0</v>
      </c>
      <c r="M597" t="n">
        <v>0</v>
      </c>
      <c r="N597" t="n">
        <v>0</v>
      </c>
      <c r="O597" t="n">
        <v>0</v>
      </c>
      <c r="P597" t="n">
        <v>0</v>
      </c>
      <c r="Q597" t="n">
        <v>0</v>
      </c>
      <c r="R597" s="2" t="inlineStr"/>
    </row>
    <row r="598" ht="15" customHeight="1">
      <c r="A598" t="inlineStr">
        <is>
          <t>A 13347-2023</t>
        </is>
      </c>
      <c r="B598" s="1" t="n">
        <v>45004</v>
      </c>
      <c r="C598" s="1" t="n">
        <v>45970</v>
      </c>
      <c r="D598" t="inlineStr">
        <is>
          <t>ÖREBRO LÄN</t>
        </is>
      </c>
      <c r="E598" t="inlineStr">
        <is>
          <t>ÖREBRO</t>
        </is>
      </c>
      <c r="G598" t="n">
        <v>1.3</v>
      </c>
      <c r="H598" t="n">
        <v>0</v>
      </c>
      <c r="I598" t="n">
        <v>0</v>
      </c>
      <c r="J598" t="n">
        <v>0</v>
      </c>
      <c r="K598" t="n">
        <v>0</v>
      </c>
      <c r="L598" t="n">
        <v>0</v>
      </c>
      <c r="M598" t="n">
        <v>0</v>
      </c>
      <c r="N598" t="n">
        <v>0</v>
      </c>
      <c r="O598" t="n">
        <v>0</v>
      </c>
      <c r="P598" t="n">
        <v>0</v>
      </c>
      <c r="Q598" t="n">
        <v>0</v>
      </c>
      <c r="R598" s="2" t="inlineStr"/>
    </row>
    <row r="599" ht="15" customHeight="1">
      <c r="A599" t="inlineStr">
        <is>
          <t>A 29554-2025</t>
        </is>
      </c>
      <c r="B599" s="1" t="n">
        <v>45825</v>
      </c>
      <c r="C599" s="1" t="n">
        <v>45970</v>
      </c>
      <c r="D599" t="inlineStr">
        <is>
          <t>ÖREBRO LÄN</t>
        </is>
      </c>
      <c r="E599" t="inlineStr">
        <is>
          <t>ÖREBRO</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187-2024</t>
        </is>
      </c>
      <c r="B600" s="1" t="n">
        <v>45294</v>
      </c>
      <c r="C600" s="1" t="n">
        <v>45970</v>
      </c>
      <c r="D600" t="inlineStr">
        <is>
          <t>ÖREBRO LÄN</t>
        </is>
      </c>
      <c r="E600" t="inlineStr">
        <is>
          <t>ÖREBRO</t>
        </is>
      </c>
      <c r="G600" t="n">
        <v>5.9</v>
      </c>
      <c r="H600" t="n">
        <v>0</v>
      </c>
      <c r="I600" t="n">
        <v>0</v>
      </c>
      <c r="J600" t="n">
        <v>0</v>
      </c>
      <c r="K600" t="n">
        <v>0</v>
      </c>
      <c r="L600" t="n">
        <v>0</v>
      </c>
      <c r="M600" t="n">
        <v>0</v>
      </c>
      <c r="N600" t="n">
        <v>0</v>
      </c>
      <c r="O600" t="n">
        <v>0</v>
      </c>
      <c r="P600" t="n">
        <v>0</v>
      </c>
      <c r="Q600" t="n">
        <v>0</v>
      </c>
      <c r="R600" s="2" t="inlineStr"/>
    </row>
    <row r="601" ht="15" customHeight="1">
      <c r="A601" t="inlineStr">
        <is>
          <t>A 10832-2023</t>
        </is>
      </c>
      <c r="B601" s="1" t="n">
        <v>44990.91711805556</v>
      </c>
      <c r="C601" s="1" t="n">
        <v>45970</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2596-2022</t>
        </is>
      </c>
      <c r="B602" s="1" t="n">
        <v>44580</v>
      </c>
      <c r="C602" s="1" t="n">
        <v>45970</v>
      </c>
      <c r="D602" t="inlineStr">
        <is>
          <t>ÖREBRO LÄN</t>
        </is>
      </c>
      <c r="E602" t="inlineStr">
        <is>
          <t>ÖREBRO</t>
        </is>
      </c>
      <c r="G602" t="n">
        <v>4.3</v>
      </c>
      <c r="H602" t="n">
        <v>0</v>
      </c>
      <c r="I602" t="n">
        <v>0</v>
      </c>
      <c r="J602" t="n">
        <v>0</v>
      </c>
      <c r="K602" t="n">
        <v>0</v>
      </c>
      <c r="L602" t="n">
        <v>0</v>
      </c>
      <c r="M602" t="n">
        <v>0</v>
      </c>
      <c r="N602" t="n">
        <v>0</v>
      </c>
      <c r="O602" t="n">
        <v>0</v>
      </c>
      <c r="P602" t="n">
        <v>0</v>
      </c>
      <c r="Q602" t="n">
        <v>0</v>
      </c>
      <c r="R602" s="2" t="inlineStr"/>
    </row>
    <row r="603" ht="15" customHeight="1">
      <c r="A603" t="inlineStr">
        <is>
          <t>A 5338-2024</t>
        </is>
      </c>
      <c r="B603" s="1" t="n">
        <v>45331</v>
      </c>
      <c r="C603" s="1" t="n">
        <v>45970</v>
      </c>
      <c r="D603" t="inlineStr">
        <is>
          <t>ÖREBRO LÄN</t>
        </is>
      </c>
      <c r="E603" t="inlineStr">
        <is>
          <t>ÖREBRO</t>
        </is>
      </c>
      <c r="G603" t="n">
        <v>0.6</v>
      </c>
      <c r="H603" t="n">
        <v>0</v>
      </c>
      <c r="I603" t="n">
        <v>0</v>
      </c>
      <c r="J603" t="n">
        <v>0</v>
      </c>
      <c r="K603" t="n">
        <v>0</v>
      </c>
      <c r="L603" t="n">
        <v>0</v>
      </c>
      <c r="M603" t="n">
        <v>0</v>
      </c>
      <c r="N603" t="n">
        <v>0</v>
      </c>
      <c r="O603" t="n">
        <v>0</v>
      </c>
      <c r="P603" t="n">
        <v>0</v>
      </c>
      <c r="Q603" t="n">
        <v>0</v>
      </c>
      <c r="R603" s="2" t="inlineStr"/>
    </row>
    <row r="604" ht="15" customHeight="1">
      <c r="A604" t="inlineStr">
        <is>
          <t>A 14487-2023</t>
        </is>
      </c>
      <c r="B604" s="1" t="n">
        <v>45012</v>
      </c>
      <c r="C604" s="1" t="n">
        <v>45970</v>
      </c>
      <c r="D604" t="inlineStr">
        <is>
          <t>ÖREBRO LÄN</t>
        </is>
      </c>
      <c r="E604" t="inlineStr">
        <is>
          <t>ÖREBRO</t>
        </is>
      </c>
      <c r="G604" t="n">
        <v>0.5</v>
      </c>
      <c r="H604" t="n">
        <v>0</v>
      </c>
      <c r="I604" t="n">
        <v>0</v>
      </c>
      <c r="J604" t="n">
        <v>0</v>
      </c>
      <c r="K604" t="n">
        <v>0</v>
      </c>
      <c r="L604" t="n">
        <v>0</v>
      </c>
      <c r="M604" t="n">
        <v>0</v>
      </c>
      <c r="N604" t="n">
        <v>0</v>
      </c>
      <c r="O604" t="n">
        <v>0</v>
      </c>
      <c r="P604" t="n">
        <v>0</v>
      </c>
      <c r="Q604" t="n">
        <v>0</v>
      </c>
      <c r="R604" s="2" t="inlineStr"/>
    </row>
    <row r="605" ht="15" customHeight="1">
      <c r="A605" t="inlineStr">
        <is>
          <t>A 54485-2025</t>
        </is>
      </c>
      <c r="B605" s="1" t="n">
        <v>45965.59295138889</v>
      </c>
      <c r="C605" s="1" t="n">
        <v>45970</v>
      </c>
      <c r="D605" t="inlineStr">
        <is>
          <t>ÖREBRO LÄN</t>
        </is>
      </c>
      <c r="E605" t="inlineStr">
        <is>
          <t>ÖREBRO</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8565-2021</t>
        </is>
      </c>
      <c r="B606" s="1" t="n">
        <v>44245</v>
      </c>
      <c r="C606" s="1" t="n">
        <v>45970</v>
      </c>
      <c r="D606" t="inlineStr">
        <is>
          <t>ÖREBRO LÄN</t>
        </is>
      </c>
      <c r="E606" t="inlineStr">
        <is>
          <t>ÖREBRO</t>
        </is>
      </c>
      <c r="G606" t="n">
        <v>0.6</v>
      </c>
      <c r="H606" t="n">
        <v>0</v>
      </c>
      <c r="I606" t="n">
        <v>0</v>
      </c>
      <c r="J606" t="n">
        <v>0</v>
      </c>
      <c r="K606" t="n">
        <v>0</v>
      </c>
      <c r="L606" t="n">
        <v>0</v>
      </c>
      <c r="M606" t="n">
        <v>0</v>
      </c>
      <c r="N606" t="n">
        <v>0</v>
      </c>
      <c r="O606" t="n">
        <v>0</v>
      </c>
      <c r="P606" t="n">
        <v>0</v>
      </c>
      <c r="Q606" t="n">
        <v>0</v>
      </c>
      <c r="R606" s="2" t="inlineStr"/>
    </row>
    <row r="607" ht="15" customHeight="1">
      <c r="A607" t="inlineStr">
        <is>
          <t>A 4970-2022</t>
        </is>
      </c>
      <c r="B607" s="1" t="n">
        <v>44593.51175925926</v>
      </c>
      <c r="C607" s="1" t="n">
        <v>45970</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18047-2023</t>
        </is>
      </c>
      <c r="B608" s="1" t="n">
        <v>45040</v>
      </c>
      <c r="C608" s="1" t="n">
        <v>45970</v>
      </c>
      <c r="D608" t="inlineStr">
        <is>
          <t>ÖREBRO LÄN</t>
        </is>
      </c>
      <c r="E608" t="inlineStr">
        <is>
          <t>ÖREBRO</t>
        </is>
      </c>
      <c r="G608" t="n">
        <v>3.9</v>
      </c>
      <c r="H608" t="n">
        <v>0</v>
      </c>
      <c r="I608" t="n">
        <v>0</v>
      </c>
      <c r="J608" t="n">
        <v>0</v>
      </c>
      <c r="K608" t="n">
        <v>0</v>
      </c>
      <c r="L608" t="n">
        <v>0</v>
      </c>
      <c r="M608" t="n">
        <v>0</v>
      </c>
      <c r="N608" t="n">
        <v>0</v>
      </c>
      <c r="O608" t="n">
        <v>0</v>
      </c>
      <c r="P608" t="n">
        <v>0</v>
      </c>
      <c r="Q608" t="n">
        <v>0</v>
      </c>
      <c r="R608" s="2" t="inlineStr"/>
    </row>
    <row r="609" ht="15" customHeight="1">
      <c r="A609" t="inlineStr">
        <is>
          <t>A 3789-2023</t>
        </is>
      </c>
      <c r="B609" s="1" t="n">
        <v>44951</v>
      </c>
      <c r="C609" s="1" t="n">
        <v>45970</v>
      </c>
      <c r="D609" t="inlineStr">
        <is>
          <t>ÖREBRO LÄN</t>
        </is>
      </c>
      <c r="E609" t="inlineStr">
        <is>
          <t>ÖREBRO</t>
        </is>
      </c>
      <c r="G609" t="n">
        <v>7.5</v>
      </c>
      <c r="H609" t="n">
        <v>0</v>
      </c>
      <c r="I609" t="n">
        <v>0</v>
      </c>
      <c r="J609" t="n">
        <v>0</v>
      </c>
      <c r="K609" t="n">
        <v>0</v>
      </c>
      <c r="L609" t="n">
        <v>0</v>
      </c>
      <c r="M609" t="n">
        <v>0</v>
      </c>
      <c r="N609" t="n">
        <v>0</v>
      </c>
      <c r="O609" t="n">
        <v>0</v>
      </c>
      <c r="P609" t="n">
        <v>0</v>
      </c>
      <c r="Q609" t="n">
        <v>0</v>
      </c>
      <c r="R609" s="2" t="inlineStr"/>
    </row>
    <row r="610">
      <c r="A610" t="inlineStr">
        <is>
          <t>A 55003-2025</t>
        </is>
      </c>
      <c r="B610" s="1" t="n">
        <v>45967</v>
      </c>
      <c r="C610" s="1" t="n">
        <v>45970</v>
      </c>
      <c r="D610" t="inlineStr">
        <is>
          <t>ÖREBRO LÄN</t>
        </is>
      </c>
      <c r="E610" t="inlineStr">
        <is>
          <t>ÖREBRO</t>
        </is>
      </c>
      <c r="F610" t="inlineStr">
        <is>
          <t>Övriga Aktiebolag</t>
        </is>
      </c>
      <c r="G610" t="n">
        <v>1.9</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2025-11-09T10:08:31Z</dcterms:created>
  <dcterms:modified xmlns:dcterms="http://purl.org/dc/terms/" xmlns:xsi="http://www.w3.org/2001/XMLSchema-instance" xsi:type="dcterms:W3CDTF">2025-11-09T10:08:32Z</dcterms:modified>
</cp:coreProperties>
</file>