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46104</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46104</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46104</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46104</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46104</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46104</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46104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46104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58832-2025</t>
        </is>
      </c>
      <c r="B16" s="1" t="n">
        <v>45987</v>
      </c>
      <c r="C16" s="1" t="n">
        <v>46104</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46104</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46104</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46104</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46104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46104</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46104</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58837-2025</t>
        </is>
      </c>
      <c r="B24" s="1" t="n">
        <v>45987.35875</v>
      </c>
      <c r="C24" s="1" t="n">
        <v>46104</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13627-2025</t>
        </is>
      </c>
      <c r="B25" s="1" t="n">
        <v>45736</v>
      </c>
      <c r="C25" s="1" t="n">
        <v>46104</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17074-2024</t>
        </is>
      </c>
      <c r="B26" s="1" t="n">
        <v>45412</v>
      </c>
      <c r="C26" s="1" t="n">
        <v>46104</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46104</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46104</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35098-2025</t>
        </is>
      </c>
      <c r="B29" s="1" t="n">
        <v>45852.5469212963</v>
      </c>
      <c r="C29" s="1" t="n">
        <v>46104</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50096-2023</t>
        </is>
      </c>
      <c r="B30" s="1" t="n">
        <v>45215</v>
      </c>
      <c r="C30" s="1" t="n">
        <v>46104</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46104</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60557-2025</t>
        </is>
      </c>
      <c r="B34" s="1" t="n">
        <v>45995.74444444444</v>
      </c>
      <c r="C34" s="1" t="n">
        <v>46104</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63196-2025</t>
        </is>
      </c>
      <c r="B35" s="1" t="n">
        <v>46010.45872685185</v>
      </c>
      <c r="C35" s="1" t="n">
        <v>46104</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51550-2025</t>
        </is>
      </c>
      <c r="B36" s="1" t="n">
        <v>45950.83359953704</v>
      </c>
      <c r="C36" s="1" t="n">
        <v>46104</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14956-2025</t>
        </is>
      </c>
      <c r="B37" s="1" t="n">
        <v>45743.58409722222</v>
      </c>
      <c r="C37" s="1" t="n">
        <v>46104</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2998-2026</t>
        </is>
      </c>
      <c r="B38" s="1" t="n">
        <v>46038.64835648148</v>
      </c>
      <c r="C38" s="1" t="n">
        <v>46104</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52400-2024</t>
        </is>
      </c>
      <c r="B39" s="1" t="n">
        <v>45609.44461805555</v>
      </c>
      <c r="C39" s="1" t="n">
        <v>46104</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30409-2025</t>
        </is>
      </c>
      <c r="B40" s="1" t="n">
        <v>45827.59738425926</v>
      </c>
      <c r="C40" s="1" t="n">
        <v>46104</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37019-2024</t>
        </is>
      </c>
      <c r="B41" s="1" t="n">
        <v>45539.37905092593</v>
      </c>
      <c r="C41" s="1" t="n">
        <v>46104</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46104</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46104</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46104</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46104</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46104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46104</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46104</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46104</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58838-2025</t>
        </is>
      </c>
      <c r="B50" s="1" t="n">
        <v>45987.35973379629</v>
      </c>
      <c r="C50" s="1" t="n">
        <v>46104</v>
      </c>
      <c r="D50" t="inlineStr">
        <is>
          <t>ÖREBRO LÄN</t>
        </is>
      </c>
      <c r="E50" t="inlineStr">
        <is>
          <t>ÖREBRO</t>
        </is>
      </c>
      <c r="G50" t="n">
        <v>1.7</v>
      </c>
      <c r="H50" t="n">
        <v>0</v>
      </c>
      <c r="I50" t="n">
        <v>1</v>
      </c>
      <c r="J50" t="n">
        <v>0</v>
      </c>
      <c r="K50" t="n">
        <v>0</v>
      </c>
      <c r="L50" t="n">
        <v>0</v>
      </c>
      <c r="M50" t="n">
        <v>0</v>
      </c>
      <c r="N50" t="n">
        <v>0</v>
      </c>
      <c r="O50" t="n">
        <v>0</v>
      </c>
      <c r="P50" t="n">
        <v>0</v>
      </c>
      <c r="Q50" t="n">
        <v>1</v>
      </c>
      <c r="R50" s="2" t="inlineStr">
        <is>
          <t>Grönpyrola</t>
        </is>
      </c>
      <c r="S50">
        <f>HYPERLINK("https://klasma.github.io/Logging_1880/artfynd/A 58838-2025 artfynd.xlsx", "A 58838-2025")</f>
        <v/>
      </c>
      <c r="T50">
        <f>HYPERLINK("https://klasma.github.io/Logging_1880/kartor/A 58838-2025 karta.png", "A 58838-2025")</f>
        <v/>
      </c>
      <c r="V50">
        <f>HYPERLINK("https://klasma.github.io/Logging_1880/klagomål/A 58838-2025 FSC-klagomål.docx", "A 58838-2025")</f>
        <v/>
      </c>
      <c r="W50">
        <f>HYPERLINK("https://klasma.github.io/Logging_1880/klagomålsmail/A 58838-2025 FSC-klagomål mail.docx", "A 58838-2025")</f>
        <v/>
      </c>
      <c r="X50">
        <f>HYPERLINK("https://klasma.github.io/Logging_1880/tillsyn/A 58838-2025 tillsynsbegäran.docx", "A 58838-2025")</f>
        <v/>
      </c>
      <c r="Y50">
        <f>HYPERLINK("https://klasma.github.io/Logging_1880/tillsynsmail/A 58838-2025 tillsynsbegäran mail.docx", "A 58838-2025")</f>
        <v/>
      </c>
    </row>
    <row r="51" ht="15" customHeight="1">
      <c r="A51" t="inlineStr">
        <is>
          <t>A 44744-2024</t>
        </is>
      </c>
      <c r="B51" s="1" t="n">
        <v>45574.59789351852</v>
      </c>
      <c r="C51" s="1" t="n">
        <v>46104</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15621-2021</t>
        </is>
      </c>
      <c r="B52" s="1" t="n">
        <v>44285</v>
      </c>
      <c r="C52" s="1" t="n">
        <v>46104</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63199-2025</t>
        </is>
      </c>
      <c r="B53" s="1" t="n">
        <v>46010.46091435185</v>
      </c>
      <c r="C53" s="1" t="n">
        <v>46104</v>
      </c>
      <c r="D53" t="inlineStr">
        <is>
          <t>ÖREBRO LÄN</t>
        </is>
      </c>
      <c r="E53" t="inlineStr">
        <is>
          <t>ÖREBRO</t>
        </is>
      </c>
      <c r="F53" t="inlineStr">
        <is>
          <t>Sveaskog</t>
        </is>
      </c>
      <c r="G53" t="n">
        <v>0.9</v>
      </c>
      <c r="H53" t="n">
        <v>1</v>
      </c>
      <c r="I53" t="n">
        <v>0</v>
      </c>
      <c r="J53" t="n">
        <v>0</v>
      </c>
      <c r="K53" t="n">
        <v>0</v>
      </c>
      <c r="L53" t="n">
        <v>0</v>
      </c>
      <c r="M53" t="n">
        <v>0</v>
      </c>
      <c r="N53" t="n">
        <v>0</v>
      </c>
      <c r="O53" t="n">
        <v>0</v>
      </c>
      <c r="P53" t="n">
        <v>0</v>
      </c>
      <c r="Q53" t="n">
        <v>1</v>
      </c>
      <c r="R53" s="2" t="inlineStr">
        <is>
          <t>Gullviva</t>
        </is>
      </c>
      <c r="S53">
        <f>HYPERLINK("https://klasma.github.io/Logging_1880/artfynd/A 63199-2025 artfynd.xlsx", "A 63199-2025")</f>
        <v/>
      </c>
      <c r="T53">
        <f>HYPERLINK("https://klasma.github.io/Logging_1880/kartor/A 63199-2025 karta.png", "A 63199-2025")</f>
        <v/>
      </c>
      <c r="V53">
        <f>HYPERLINK("https://klasma.github.io/Logging_1880/klagomål/A 63199-2025 FSC-klagomål.docx", "A 63199-2025")</f>
        <v/>
      </c>
      <c r="W53">
        <f>HYPERLINK("https://klasma.github.io/Logging_1880/klagomålsmail/A 63199-2025 FSC-klagomål mail.docx", "A 63199-2025")</f>
        <v/>
      </c>
      <c r="X53">
        <f>HYPERLINK("https://klasma.github.io/Logging_1880/tillsyn/A 63199-2025 tillsynsbegäran.docx", "A 63199-2025")</f>
        <v/>
      </c>
      <c r="Y53">
        <f>HYPERLINK("https://klasma.github.io/Logging_1880/tillsynsmail/A 63199-2025 tillsynsbegäran mail.docx", "A 63199-2025")</f>
        <v/>
      </c>
    </row>
    <row r="54" ht="15" customHeight="1">
      <c r="A54" t="inlineStr">
        <is>
          <t>A 50499-2025</t>
        </is>
      </c>
      <c r="B54" s="1" t="n">
        <v>45945.41712962963</v>
      </c>
      <c r="C54" s="1" t="n">
        <v>46104</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59516-2025</t>
        </is>
      </c>
      <c r="B55" s="1" t="n">
        <v>45989.65396990741</v>
      </c>
      <c r="C55" s="1" t="n">
        <v>46104</v>
      </c>
      <c r="D55" t="inlineStr">
        <is>
          <t>ÖREBRO LÄN</t>
        </is>
      </c>
      <c r="E55" t="inlineStr">
        <is>
          <t>ÖREBRO</t>
        </is>
      </c>
      <c r="F55" t="inlineStr">
        <is>
          <t>Sveaskog</t>
        </is>
      </c>
      <c r="G55" t="n">
        <v>1.9</v>
      </c>
      <c r="H55" t="n">
        <v>0</v>
      </c>
      <c r="I55" t="n">
        <v>1</v>
      </c>
      <c r="J55" t="n">
        <v>0</v>
      </c>
      <c r="K55" t="n">
        <v>0</v>
      </c>
      <c r="L55" t="n">
        <v>0</v>
      </c>
      <c r="M55" t="n">
        <v>0</v>
      </c>
      <c r="N55" t="n">
        <v>0</v>
      </c>
      <c r="O55" t="n">
        <v>0</v>
      </c>
      <c r="P55" t="n">
        <v>0</v>
      </c>
      <c r="Q55" t="n">
        <v>1</v>
      </c>
      <c r="R55" s="2" t="inlineStr">
        <is>
          <t>Tibast</t>
        </is>
      </c>
      <c r="S55">
        <f>HYPERLINK("https://klasma.github.io/Logging_1880/artfynd/A 59516-2025 artfynd.xlsx", "A 59516-2025")</f>
        <v/>
      </c>
      <c r="T55">
        <f>HYPERLINK("https://klasma.github.io/Logging_1880/kartor/A 59516-2025 karta.png", "A 59516-2025")</f>
        <v/>
      </c>
      <c r="V55">
        <f>HYPERLINK("https://klasma.github.io/Logging_1880/klagomål/A 59516-2025 FSC-klagomål.docx", "A 59516-2025")</f>
        <v/>
      </c>
      <c r="W55">
        <f>HYPERLINK("https://klasma.github.io/Logging_1880/klagomålsmail/A 59516-2025 FSC-klagomål mail.docx", "A 59516-2025")</f>
        <v/>
      </c>
      <c r="X55">
        <f>HYPERLINK("https://klasma.github.io/Logging_1880/tillsyn/A 59516-2025 tillsynsbegäran.docx", "A 59516-2025")</f>
        <v/>
      </c>
      <c r="Y55">
        <f>HYPERLINK("https://klasma.github.io/Logging_1880/tillsynsmail/A 59516-2025 tillsynsbegäran mail.docx", "A 59516-2025")</f>
        <v/>
      </c>
    </row>
    <row r="56" ht="15" customHeight="1">
      <c r="A56" t="inlineStr">
        <is>
          <t>A 3006-2026</t>
        </is>
      </c>
      <c r="B56" s="1" t="n">
        <v>46038.65719907408</v>
      </c>
      <c r="C56" s="1" t="n">
        <v>46104</v>
      </c>
      <c r="D56" t="inlineStr">
        <is>
          <t>ÖREBRO LÄN</t>
        </is>
      </c>
      <c r="E56" t="inlineStr">
        <is>
          <t>ÖREBRO</t>
        </is>
      </c>
      <c r="F56" t="inlineStr">
        <is>
          <t>Övriga Aktiebolag</t>
        </is>
      </c>
      <c r="G56" t="n">
        <v>1</v>
      </c>
      <c r="H56" t="n">
        <v>1</v>
      </c>
      <c r="I56" t="n">
        <v>0</v>
      </c>
      <c r="J56" t="n">
        <v>1</v>
      </c>
      <c r="K56" t="n">
        <v>0</v>
      </c>
      <c r="L56" t="n">
        <v>0</v>
      </c>
      <c r="M56" t="n">
        <v>0</v>
      </c>
      <c r="N56" t="n">
        <v>0</v>
      </c>
      <c r="O56" t="n">
        <v>1</v>
      </c>
      <c r="P56" t="n">
        <v>0</v>
      </c>
      <c r="Q56" t="n">
        <v>1</v>
      </c>
      <c r="R56" s="2" t="inlineStr">
        <is>
          <t>Gulsparv</t>
        </is>
      </c>
      <c r="S56">
        <f>HYPERLINK("https://klasma.github.io/Logging_1880/artfynd/A 3006-2026 artfynd.xlsx", "A 3006-2026")</f>
        <v/>
      </c>
      <c r="T56">
        <f>HYPERLINK("https://klasma.github.io/Logging_1880/kartor/A 3006-2026 karta.png", "A 3006-2026")</f>
        <v/>
      </c>
      <c r="V56">
        <f>HYPERLINK("https://klasma.github.io/Logging_1880/klagomål/A 3006-2026 FSC-klagomål.docx", "A 3006-2026")</f>
        <v/>
      </c>
      <c r="W56">
        <f>HYPERLINK("https://klasma.github.io/Logging_1880/klagomålsmail/A 3006-2026 FSC-klagomål mail.docx", "A 3006-2026")</f>
        <v/>
      </c>
      <c r="X56">
        <f>HYPERLINK("https://klasma.github.io/Logging_1880/tillsyn/A 3006-2026 tillsynsbegäran.docx", "A 3006-2026")</f>
        <v/>
      </c>
      <c r="Y56">
        <f>HYPERLINK("https://klasma.github.io/Logging_1880/tillsynsmail/A 3006-2026 tillsynsbegäran mail.docx", "A 3006-2026")</f>
        <v/>
      </c>
      <c r="Z56">
        <f>HYPERLINK("https://klasma.github.io/Logging_1880/fåglar/A 3006-2026 prioriterade fågelarter.docx", "A 3006-2026")</f>
        <v/>
      </c>
    </row>
    <row r="57" ht="15" customHeight="1">
      <c r="A57" t="inlineStr">
        <is>
          <t>A 26890-2022</t>
        </is>
      </c>
      <c r="B57" s="1" t="n">
        <v>44740</v>
      </c>
      <c r="C57" s="1" t="n">
        <v>46104</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46104</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28936-2025</t>
        </is>
      </c>
      <c r="B59" s="1" t="n">
        <v>45820.69287037037</v>
      </c>
      <c r="C59" s="1" t="n">
        <v>46104</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44389-2021</t>
        </is>
      </c>
      <c r="B60" s="1" t="n">
        <v>44435</v>
      </c>
      <c r="C60" s="1" t="n">
        <v>46104</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32204-2025</t>
        </is>
      </c>
      <c r="B61" s="1" t="n">
        <v>45835.58074074074</v>
      </c>
      <c r="C61" s="1" t="n">
        <v>46104</v>
      </c>
      <c r="D61" t="inlineStr">
        <is>
          <t>ÖREBRO LÄN</t>
        </is>
      </c>
      <c r="E61" t="inlineStr">
        <is>
          <t>ÖREBRO</t>
        </is>
      </c>
      <c r="G61" t="n">
        <v>3.4</v>
      </c>
      <c r="H61" t="n">
        <v>1</v>
      </c>
      <c r="I61" t="n">
        <v>0</v>
      </c>
      <c r="J61" t="n">
        <v>0</v>
      </c>
      <c r="K61" t="n">
        <v>0</v>
      </c>
      <c r="L61" t="n">
        <v>0</v>
      </c>
      <c r="M61" t="n">
        <v>0</v>
      </c>
      <c r="N61" t="n">
        <v>0</v>
      </c>
      <c r="O61" t="n">
        <v>0</v>
      </c>
      <c r="P61" t="n">
        <v>0</v>
      </c>
      <c r="Q61" t="n">
        <v>1</v>
      </c>
      <c r="R61" s="2" t="inlineStr">
        <is>
          <t>Tjäder</t>
        </is>
      </c>
      <c r="S61">
        <f>HYPERLINK("https://klasma.github.io/Logging_1880/artfynd/A 32204-2025 artfynd.xlsx", "A 32204-2025")</f>
        <v/>
      </c>
      <c r="T61">
        <f>HYPERLINK("https://klasma.github.io/Logging_1880/kartor/A 32204-2025 karta.png", "A 32204-2025")</f>
        <v/>
      </c>
      <c r="V61">
        <f>HYPERLINK("https://klasma.github.io/Logging_1880/klagomål/A 32204-2025 FSC-klagomål.docx", "A 32204-2025")</f>
        <v/>
      </c>
      <c r="W61">
        <f>HYPERLINK("https://klasma.github.io/Logging_1880/klagomålsmail/A 32204-2025 FSC-klagomål mail.docx", "A 32204-2025")</f>
        <v/>
      </c>
      <c r="X61">
        <f>HYPERLINK("https://klasma.github.io/Logging_1880/tillsyn/A 32204-2025 tillsynsbegäran.docx", "A 32204-2025")</f>
        <v/>
      </c>
      <c r="Y61">
        <f>HYPERLINK("https://klasma.github.io/Logging_1880/tillsynsmail/A 32204-2025 tillsynsbegäran mail.docx", "A 32204-2025")</f>
        <v/>
      </c>
      <c r="Z61">
        <f>HYPERLINK("https://klasma.github.io/Logging_1880/fåglar/A 32204-2025 prioriterade fågelarter.docx", "A 32204-2025")</f>
        <v/>
      </c>
    </row>
    <row r="62" ht="15" customHeight="1">
      <c r="A62" t="inlineStr">
        <is>
          <t>A 32226-2025</t>
        </is>
      </c>
      <c r="B62" s="1" t="n">
        <v>45835.59478009259</v>
      </c>
      <c r="C62" s="1" t="n">
        <v>46104</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2077-2023</t>
        </is>
      </c>
      <c r="B63" s="1" t="n">
        <v>44939</v>
      </c>
      <c r="C63" s="1" t="n">
        <v>46104</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30725-2023</t>
        </is>
      </c>
      <c r="B64" s="1" t="n">
        <v>45112.61451388889</v>
      </c>
      <c r="C64" s="1" t="n">
        <v>46104</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31695-2024</t>
        </is>
      </c>
      <c r="B65" s="1" t="n">
        <v>45508</v>
      </c>
      <c r="C65" s="1" t="n">
        <v>46104</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46104</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46104</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46104</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46104</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46104</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46104</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42636-2023</t>
        </is>
      </c>
      <c r="B72" s="1" t="n">
        <v>45181.49559027778</v>
      </c>
      <c r="C72" s="1" t="n">
        <v>46104</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23606-2021</t>
        </is>
      </c>
      <c r="B73" s="1" t="n">
        <v>44334</v>
      </c>
      <c r="C73" s="1" t="n">
        <v>46104</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46104</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46104</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46104</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46104</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46104</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46104</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46104</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46104</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46104</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46104</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46104</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46104</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46104</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46104</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46104</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46104</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46104</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46104</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46104</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46104</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46104</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46104</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46104</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46104</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46104</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46104</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70199-2021</t>
        </is>
      </c>
      <c r="B100" s="1" t="n">
        <v>44534.80712962963</v>
      </c>
      <c r="C100" s="1" t="n">
        <v>46104</v>
      </c>
      <c r="D100" t="inlineStr">
        <is>
          <t>ÖREBRO LÄN</t>
        </is>
      </c>
      <c r="E100" t="inlineStr">
        <is>
          <t>ÖREBRO</t>
        </is>
      </c>
      <c r="G100" t="n">
        <v>4.1</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46104</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46104</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46104</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46104</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46104</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46104</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46104</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46104</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46104</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46104</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46104</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46104</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46104</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46104</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46104</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46104</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46104</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46104</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46104</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46104</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46104</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46104</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46104</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46104</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46104</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46104</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46104</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46104</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46104</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46104</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46104</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46104</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46104</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46104</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46104</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46104</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46104</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46104</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46104</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46104</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46757-2021</t>
        </is>
      </c>
      <c r="B144" s="1" t="n">
        <v>44445</v>
      </c>
      <c r="C144" s="1" t="n">
        <v>46104</v>
      </c>
      <c r="D144" t="inlineStr">
        <is>
          <t>ÖREBRO LÄN</t>
        </is>
      </c>
      <c r="E144" t="inlineStr">
        <is>
          <t>ÖREBRO</t>
        </is>
      </c>
      <c r="G144" t="n">
        <v>5.6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46104</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9609-2023</t>
        </is>
      </c>
      <c r="B146" s="1" t="n">
        <v>44983.93344907407</v>
      </c>
      <c r="C146" s="1" t="n">
        <v>46104</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46104</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10799-2024</t>
        </is>
      </c>
      <c r="B148" s="1" t="n">
        <v>45369</v>
      </c>
      <c r="C148" s="1" t="n">
        <v>46104</v>
      </c>
      <c r="D148" t="inlineStr">
        <is>
          <t>ÖREBRO LÄN</t>
        </is>
      </c>
      <c r="E148" t="inlineStr">
        <is>
          <t>ÖREBRO</t>
        </is>
      </c>
      <c r="G148" t="n">
        <v>5.8</v>
      </c>
      <c r="H148" t="n">
        <v>0</v>
      </c>
      <c r="I148" t="n">
        <v>0</v>
      </c>
      <c r="J148" t="n">
        <v>0</v>
      </c>
      <c r="K148" t="n">
        <v>0</v>
      </c>
      <c r="L148" t="n">
        <v>0</v>
      </c>
      <c r="M148" t="n">
        <v>0</v>
      </c>
      <c r="N148" t="n">
        <v>0</v>
      </c>
      <c r="O148" t="n">
        <v>0</v>
      </c>
      <c r="P148" t="n">
        <v>0</v>
      </c>
      <c r="Q148" t="n">
        <v>0</v>
      </c>
      <c r="R148" s="2" t="inlineStr"/>
    </row>
    <row r="149" ht="15" customHeight="1">
      <c r="A149" t="inlineStr">
        <is>
          <t>A 5795-2024</t>
        </is>
      </c>
      <c r="B149" s="1" t="n">
        <v>45335.4531712963</v>
      </c>
      <c r="C149" s="1" t="n">
        <v>46104</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10829-2023</t>
        </is>
      </c>
      <c r="B150" s="1" t="n">
        <v>44990.88512731482</v>
      </c>
      <c r="C150" s="1" t="n">
        <v>46104</v>
      </c>
      <c r="D150" t="inlineStr">
        <is>
          <t>ÖREBRO LÄN</t>
        </is>
      </c>
      <c r="E150" t="inlineStr">
        <is>
          <t>ÖREBRO</t>
        </is>
      </c>
      <c r="G150" t="n">
        <v>4.4</v>
      </c>
      <c r="H150" t="n">
        <v>0</v>
      </c>
      <c r="I150" t="n">
        <v>0</v>
      </c>
      <c r="J150" t="n">
        <v>0</v>
      </c>
      <c r="K150" t="n">
        <v>0</v>
      </c>
      <c r="L150" t="n">
        <v>0</v>
      </c>
      <c r="M150" t="n">
        <v>0</v>
      </c>
      <c r="N150" t="n">
        <v>0</v>
      </c>
      <c r="O150" t="n">
        <v>0</v>
      </c>
      <c r="P150" t="n">
        <v>0</v>
      </c>
      <c r="Q150" t="n">
        <v>0</v>
      </c>
      <c r="R150" s="2" t="inlineStr"/>
    </row>
    <row r="151" ht="15" customHeight="1">
      <c r="A151" t="inlineStr">
        <is>
          <t>A 10831-2023</t>
        </is>
      </c>
      <c r="B151" s="1" t="n">
        <v>44990.90357638889</v>
      </c>
      <c r="C151" s="1" t="n">
        <v>46104</v>
      </c>
      <c r="D151" t="inlineStr">
        <is>
          <t>ÖREBRO LÄN</t>
        </is>
      </c>
      <c r="E151" t="inlineStr">
        <is>
          <t>ÖREBRO</t>
        </is>
      </c>
      <c r="G151" t="n">
        <v>1.9</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46104</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46104</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58539-2024</t>
        </is>
      </c>
      <c r="B154" s="1" t="n">
        <v>45635.45157407408</v>
      </c>
      <c r="C154" s="1" t="n">
        <v>46104</v>
      </c>
      <c r="D154" t="inlineStr">
        <is>
          <t>ÖREBRO LÄN</t>
        </is>
      </c>
      <c r="E154" t="inlineStr">
        <is>
          <t>ÖREBRO</t>
        </is>
      </c>
      <c r="F154" t="inlineStr">
        <is>
          <t>Sveaskog</t>
        </is>
      </c>
      <c r="G154" t="n">
        <v>4.1</v>
      </c>
      <c r="H154" t="n">
        <v>0</v>
      </c>
      <c r="I154" t="n">
        <v>0</v>
      </c>
      <c r="J154" t="n">
        <v>0</v>
      </c>
      <c r="K154" t="n">
        <v>0</v>
      </c>
      <c r="L154" t="n">
        <v>0</v>
      </c>
      <c r="M154" t="n">
        <v>0</v>
      </c>
      <c r="N154" t="n">
        <v>0</v>
      </c>
      <c r="O154" t="n">
        <v>0</v>
      </c>
      <c r="P154" t="n">
        <v>0</v>
      </c>
      <c r="Q154" t="n">
        <v>0</v>
      </c>
      <c r="R154" s="2" t="inlineStr"/>
    </row>
    <row r="155" ht="15" customHeight="1">
      <c r="A155" t="inlineStr">
        <is>
          <t>A 58532-2024</t>
        </is>
      </c>
      <c r="B155" s="1" t="n">
        <v>45635.44899305556</v>
      </c>
      <c r="C155" s="1" t="n">
        <v>46104</v>
      </c>
      <c r="D155" t="inlineStr">
        <is>
          <t>ÖREBRO LÄN</t>
        </is>
      </c>
      <c r="E155" t="inlineStr">
        <is>
          <t>ÖREBRO</t>
        </is>
      </c>
      <c r="F155" t="inlineStr">
        <is>
          <t>Sveaskog</t>
        </is>
      </c>
      <c r="G155" t="n">
        <v>5.2</v>
      </c>
      <c r="H155" t="n">
        <v>0</v>
      </c>
      <c r="I155" t="n">
        <v>0</v>
      </c>
      <c r="J155" t="n">
        <v>0</v>
      </c>
      <c r="K155" t="n">
        <v>0</v>
      </c>
      <c r="L155" t="n">
        <v>0</v>
      </c>
      <c r="M155" t="n">
        <v>0</v>
      </c>
      <c r="N155" t="n">
        <v>0</v>
      </c>
      <c r="O155" t="n">
        <v>0</v>
      </c>
      <c r="P155" t="n">
        <v>0</v>
      </c>
      <c r="Q155" t="n">
        <v>0</v>
      </c>
      <c r="R155" s="2" t="inlineStr"/>
    </row>
    <row r="156" ht="15" customHeight="1">
      <c r="A156" t="inlineStr">
        <is>
          <t>A 187-2024</t>
        </is>
      </c>
      <c r="B156" s="1" t="n">
        <v>45294</v>
      </c>
      <c r="C156" s="1" t="n">
        <v>46104</v>
      </c>
      <c r="D156" t="inlineStr">
        <is>
          <t>ÖREBRO LÄN</t>
        </is>
      </c>
      <c r="E156" t="inlineStr">
        <is>
          <t>ÖREBRO</t>
        </is>
      </c>
      <c r="G156" t="n">
        <v>5.9</v>
      </c>
      <c r="H156" t="n">
        <v>0</v>
      </c>
      <c r="I156" t="n">
        <v>0</v>
      </c>
      <c r="J156" t="n">
        <v>0</v>
      </c>
      <c r="K156" t="n">
        <v>0</v>
      </c>
      <c r="L156" t="n">
        <v>0</v>
      </c>
      <c r="M156" t="n">
        <v>0</v>
      </c>
      <c r="N156" t="n">
        <v>0</v>
      </c>
      <c r="O156" t="n">
        <v>0</v>
      </c>
      <c r="P156" t="n">
        <v>0</v>
      </c>
      <c r="Q156" t="n">
        <v>0</v>
      </c>
      <c r="R156" s="2" t="inlineStr"/>
    </row>
    <row r="157" ht="15" customHeight="1">
      <c r="A157" t="inlineStr">
        <is>
          <t>A 10470-2025</t>
        </is>
      </c>
      <c r="B157" s="1" t="n">
        <v>45720</v>
      </c>
      <c r="C157" s="1" t="n">
        <v>46104</v>
      </c>
      <c r="D157" t="inlineStr">
        <is>
          <t>ÖREBRO LÄN</t>
        </is>
      </c>
      <c r="E157" t="inlineStr">
        <is>
          <t>ÖREBRO</t>
        </is>
      </c>
      <c r="G157" t="n">
        <v>11.5</v>
      </c>
      <c r="H157" t="n">
        <v>0</v>
      </c>
      <c r="I157" t="n">
        <v>0</v>
      </c>
      <c r="J157" t="n">
        <v>0</v>
      </c>
      <c r="K157" t="n">
        <v>0</v>
      </c>
      <c r="L157" t="n">
        <v>0</v>
      </c>
      <c r="M157" t="n">
        <v>0</v>
      </c>
      <c r="N157" t="n">
        <v>0</v>
      </c>
      <c r="O157" t="n">
        <v>0</v>
      </c>
      <c r="P157" t="n">
        <v>0</v>
      </c>
      <c r="Q157" t="n">
        <v>0</v>
      </c>
      <c r="R157" s="2" t="inlineStr"/>
    </row>
    <row r="158" ht="15" customHeight="1">
      <c r="A158" t="inlineStr">
        <is>
          <t>A 52623-2024</t>
        </is>
      </c>
      <c r="B158" s="1" t="n">
        <v>45609</v>
      </c>
      <c r="C158" s="1" t="n">
        <v>46104</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13762-2023</t>
        </is>
      </c>
      <c r="B159" s="1" t="n">
        <v>45007.43729166667</v>
      </c>
      <c r="C159" s="1" t="n">
        <v>46104</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60022-2024</t>
        </is>
      </c>
      <c r="B160" s="1" t="n">
        <v>45642</v>
      </c>
      <c r="C160" s="1" t="n">
        <v>46104</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62794-2021</t>
        </is>
      </c>
      <c r="B161" s="1" t="n">
        <v>44504</v>
      </c>
      <c r="C161" s="1" t="n">
        <v>46104</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19180-2025</t>
        </is>
      </c>
      <c r="B162" s="1" t="n">
        <v>45769.40133101852</v>
      </c>
      <c r="C162" s="1" t="n">
        <v>46104</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50026-2024</t>
        </is>
      </c>
      <c r="B163" s="1" t="n">
        <v>45599.60541666667</v>
      </c>
      <c r="C163" s="1" t="n">
        <v>46104</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58684-2023</t>
        </is>
      </c>
      <c r="B164" s="1" t="n">
        <v>45251</v>
      </c>
      <c r="C164" s="1" t="n">
        <v>46104</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37771-2024</t>
        </is>
      </c>
      <c r="B165" s="1" t="n">
        <v>45542.31359953704</v>
      </c>
      <c r="C165" s="1" t="n">
        <v>46104</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45237-2023</t>
        </is>
      </c>
      <c r="B166" s="1" t="n">
        <v>45191</v>
      </c>
      <c r="C166" s="1" t="n">
        <v>46104</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71288-2021</t>
        </is>
      </c>
      <c r="B167" s="1" t="n">
        <v>44539.62481481482</v>
      </c>
      <c r="C167" s="1" t="n">
        <v>46104</v>
      </c>
      <c r="D167" t="inlineStr">
        <is>
          <t>ÖREBRO LÄN</t>
        </is>
      </c>
      <c r="E167" t="inlineStr">
        <is>
          <t>ÖREBRO</t>
        </is>
      </c>
      <c r="G167" t="n">
        <v>3.9</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46104</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55748-2025</t>
        </is>
      </c>
      <c r="B169" s="1" t="n">
        <v>45972.57893518519</v>
      </c>
      <c r="C169" s="1" t="n">
        <v>46104</v>
      </c>
      <c r="D169" t="inlineStr">
        <is>
          <t>ÖREBRO LÄN</t>
        </is>
      </c>
      <c r="E169" t="inlineStr">
        <is>
          <t>ÖREBRO</t>
        </is>
      </c>
      <c r="G169" t="n">
        <v>1.5</v>
      </c>
      <c r="H169" t="n">
        <v>0</v>
      </c>
      <c r="I169" t="n">
        <v>0</v>
      </c>
      <c r="J169" t="n">
        <v>0</v>
      </c>
      <c r="K169" t="n">
        <v>0</v>
      </c>
      <c r="L169" t="n">
        <v>0</v>
      </c>
      <c r="M169" t="n">
        <v>0</v>
      </c>
      <c r="N169" t="n">
        <v>0</v>
      </c>
      <c r="O169" t="n">
        <v>0</v>
      </c>
      <c r="P169" t="n">
        <v>0</v>
      </c>
      <c r="Q169" t="n">
        <v>0</v>
      </c>
      <c r="R169" s="2" t="inlineStr"/>
    </row>
    <row r="170" ht="15" customHeight="1">
      <c r="A170" t="inlineStr">
        <is>
          <t>A 22719-2025</t>
        </is>
      </c>
      <c r="B170" s="1" t="n">
        <v>45789</v>
      </c>
      <c r="C170" s="1" t="n">
        <v>46104</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55750-2025</t>
        </is>
      </c>
      <c r="B171" s="1" t="n">
        <v>45972.58171296296</v>
      </c>
      <c r="C171" s="1" t="n">
        <v>46104</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55888-2025</t>
        </is>
      </c>
      <c r="B172" s="1" t="n">
        <v>45973.37163194444</v>
      </c>
      <c r="C172" s="1" t="n">
        <v>46104</v>
      </c>
      <c r="D172" t="inlineStr">
        <is>
          <t>ÖREBRO LÄN</t>
        </is>
      </c>
      <c r="E172" t="inlineStr">
        <is>
          <t>ÖREBRO</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46104</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55879-2025</t>
        </is>
      </c>
      <c r="B174" s="1" t="n">
        <v>45973.36508101852</v>
      </c>
      <c r="C174" s="1" t="n">
        <v>46104</v>
      </c>
      <c r="D174" t="inlineStr">
        <is>
          <t>ÖREBRO LÄN</t>
        </is>
      </c>
      <c r="E174" t="inlineStr">
        <is>
          <t>ÖREBRO</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46104</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46104</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764-2024</t>
        </is>
      </c>
      <c r="B177" s="1" t="n">
        <v>45300.51512731481</v>
      </c>
      <c r="C177" s="1" t="n">
        <v>46104</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22755-2025</t>
        </is>
      </c>
      <c r="B178" s="1" t="n">
        <v>45789.61872685186</v>
      </c>
      <c r="C178" s="1" t="n">
        <v>46104</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46104</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46104</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37022-2024</t>
        </is>
      </c>
      <c r="B181" s="1" t="n">
        <v>45539.3822337963</v>
      </c>
      <c r="C181" s="1" t="n">
        <v>46104</v>
      </c>
      <c r="D181" t="inlineStr">
        <is>
          <t>ÖREBRO LÄN</t>
        </is>
      </c>
      <c r="E181" t="inlineStr">
        <is>
          <t>ÖREBRO</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37024-2024</t>
        </is>
      </c>
      <c r="B182" s="1" t="n">
        <v>45539.38329861111</v>
      </c>
      <c r="C182" s="1" t="n">
        <v>46104</v>
      </c>
      <c r="D182" t="inlineStr">
        <is>
          <t>ÖREBRO LÄN</t>
        </is>
      </c>
      <c r="E182" t="inlineStr">
        <is>
          <t>ÖREBRO</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34336-2024</t>
        </is>
      </c>
      <c r="B183" s="1" t="n">
        <v>45524.94774305556</v>
      </c>
      <c r="C183" s="1" t="n">
        <v>46104</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47047-2022</t>
        </is>
      </c>
      <c r="B184" s="1" t="n">
        <v>44852.39063657408</v>
      </c>
      <c r="C184" s="1" t="n">
        <v>46104</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57537-2025</t>
        </is>
      </c>
      <c r="B185" s="1" t="n">
        <v>45980.6446875</v>
      </c>
      <c r="C185" s="1" t="n">
        <v>46104</v>
      </c>
      <c r="D185" t="inlineStr">
        <is>
          <t>ÖREBRO LÄN</t>
        </is>
      </c>
      <c r="E185" t="inlineStr">
        <is>
          <t>ÖREBRO</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15555-2025</t>
        </is>
      </c>
      <c r="B186" s="1" t="n">
        <v>45747.67768518518</v>
      </c>
      <c r="C186" s="1" t="n">
        <v>46104</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46104</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38790-2024</t>
        </is>
      </c>
      <c r="B188" s="1" t="n">
        <v>45547.48450231482</v>
      </c>
      <c r="C188" s="1" t="n">
        <v>46104</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58230-2025</t>
        </is>
      </c>
      <c r="B189" s="1" t="n">
        <v>45985.38037037037</v>
      </c>
      <c r="C189" s="1" t="n">
        <v>46104</v>
      </c>
      <c r="D189" t="inlineStr">
        <is>
          <t>ÖREBRO LÄN</t>
        </is>
      </c>
      <c r="E189" t="inlineStr">
        <is>
          <t>ÖREBRO</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71269-2021</t>
        </is>
      </c>
      <c r="B190" s="1" t="n">
        <v>44539</v>
      </c>
      <c r="C190" s="1" t="n">
        <v>46104</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39003-2025</t>
        </is>
      </c>
      <c r="B191" s="1" t="n">
        <v>45888.34467592592</v>
      </c>
      <c r="C191" s="1" t="n">
        <v>46104</v>
      </c>
      <c r="D191" t="inlineStr">
        <is>
          <t>ÖREBRO LÄN</t>
        </is>
      </c>
      <c r="E191" t="inlineStr">
        <is>
          <t>ÖREBRO</t>
        </is>
      </c>
      <c r="G191" t="n">
        <v>3.7</v>
      </c>
      <c r="H191" t="n">
        <v>0</v>
      </c>
      <c r="I191" t="n">
        <v>0</v>
      </c>
      <c r="J191" t="n">
        <v>0</v>
      </c>
      <c r="K191" t="n">
        <v>0</v>
      </c>
      <c r="L191" t="n">
        <v>0</v>
      </c>
      <c r="M191" t="n">
        <v>0</v>
      </c>
      <c r="N191" t="n">
        <v>0</v>
      </c>
      <c r="O191" t="n">
        <v>0</v>
      </c>
      <c r="P191" t="n">
        <v>0</v>
      </c>
      <c r="Q191" t="n">
        <v>0</v>
      </c>
      <c r="R191" s="2" t="inlineStr"/>
    </row>
    <row r="192" ht="15" customHeight="1">
      <c r="A192" t="inlineStr">
        <is>
          <t>A 15422-2022</t>
        </is>
      </c>
      <c r="B192" s="1" t="n">
        <v>44659.63753472222</v>
      </c>
      <c r="C192" s="1" t="n">
        <v>46104</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39446-2025</t>
        </is>
      </c>
      <c r="B193" s="1" t="n">
        <v>45889.70388888889</v>
      </c>
      <c r="C193" s="1" t="n">
        <v>46104</v>
      </c>
      <c r="D193" t="inlineStr">
        <is>
          <t>ÖREBRO LÄN</t>
        </is>
      </c>
      <c r="E193" t="inlineStr">
        <is>
          <t>ÖREBRO</t>
        </is>
      </c>
      <c r="F193" t="inlineStr">
        <is>
          <t>Kyrkan</t>
        </is>
      </c>
      <c r="G193" t="n">
        <v>3.2</v>
      </c>
      <c r="H193" t="n">
        <v>0</v>
      </c>
      <c r="I193" t="n">
        <v>0</v>
      </c>
      <c r="J193" t="n">
        <v>0</v>
      </c>
      <c r="K193" t="n">
        <v>0</v>
      </c>
      <c r="L193" t="n">
        <v>0</v>
      </c>
      <c r="M193" t="n">
        <v>0</v>
      </c>
      <c r="N193" t="n">
        <v>0</v>
      </c>
      <c r="O193" t="n">
        <v>0</v>
      </c>
      <c r="P193" t="n">
        <v>0</v>
      </c>
      <c r="Q193" t="n">
        <v>0</v>
      </c>
      <c r="R193" s="2" t="inlineStr"/>
    </row>
    <row r="194" ht="15" customHeight="1">
      <c r="A194" t="inlineStr">
        <is>
          <t>A 46323-2024</t>
        </is>
      </c>
      <c r="B194" s="1" t="n">
        <v>45581.84538194445</v>
      </c>
      <c r="C194" s="1" t="n">
        <v>46104</v>
      </c>
      <c r="D194" t="inlineStr">
        <is>
          <t>ÖREBRO LÄN</t>
        </is>
      </c>
      <c r="E194" t="inlineStr">
        <is>
          <t>ÖREBRO</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46104</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46104</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58835-2025</t>
        </is>
      </c>
      <c r="B197" s="1" t="n">
        <v>45987.35519675926</v>
      </c>
      <c r="C197" s="1" t="n">
        <v>46104</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13158-2024</t>
        </is>
      </c>
      <c r="B198" s="1" t="n">
        <v>45386.38728009259</v>
      </c>
      <c r="C198" s="1" t="n">
        <v>46104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39479-2025</t>
        </is>
      </c>
      <c r="B199" s="1" t="n">
        <v>45890.34752314815</v>
      </c>
      <c r="C199" s="1" t="n">
        <v>46104</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44199-2024</t>
        </is>
      </c>
      <c r="B200" s="1" t="n">
        <v>45573</v>
      </c>
      <c r="C200" s="1" t="n">
        <v>46104</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58587-2025</t>
        </is>
      </c>
      <c r="B201" s="1" t="n">
        <v>45986.40208333333</v>
      </c>
      <c r="C201" s="1" t="n">
        <v>46104</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4380-2025</t>
        </is>
      </c>
      <c r="B202" s="1" t="n">
        <v>45686.3959375</v>
      </c>
      <c r="C202" s="1" t="n">
        <v>46104</v>
      </c>
      <c r="D202" t="inlineStr">
        <is>
          <t>ÖREBRO LÄN</t>
        </is>
      </c>
      <c r="E202" t="inlineStr">
        <is>
          <t>ÖREBRO</t>
        </is>
      </c>
      <c r="G202" t="n">
        <v>3.2</v>
      </c>
      <c r="H202" t="n">
        <v>0</v>
      </c>
      <c r="I202" t="n">
        <v>0</v>
      </c>
      <c r="J202" t="n">
        <v>0</v>
      </c>
      <c r="K202" t="n">
        <v>0</v>
      </c>
      <c r="L202" t="n">
        <v>0</v>
      </c>
      <c r="M202" t="n">
        <v>0</v>
      </c>
      <c r="N202" t="n">
        <v>0</v>
      </c>
      <c r="O202" t="n">
        <v>0</v>
      </c>
      <c r="P202" t="n">
        <v>0</v>
      </c>
      <c r="Q202" t="n">
        <v>0</v>
      </c>
      <c r="R202" s="2" t="inlineStr"/>
    </row>
    <row r="203" ht="15" customHeight="1">
      <c r="A203" t="inlineStr">
        <is>
          <t>A 51331-2023</t>
        </is>
      </c>
      <c r="B203" s="1" t="n">
        <v>45219</v>
      </c>
      <c r="C203" s="1" t="n">
        <v>46104</v>
      </c>
      <c r="D203" t="inlineStr">
        <is>
          <t>ÖREBRO LÄN</t>
        </is>
      </c>
      <c r="E203" t="inlineStr">
        <is>
          <t>ÖREBRO</t>
        </is>
      </c>
      <c r="F203" t="inlineStr">
        <is>
          <t>Kommuner</t>
        </is>
      </c>
      <c r="G203" t="n">
        <v>1.3</v>
      </c>
      <c r="H203" t="n">
        <v>0</v>
      </c>
      <c r="I203" t="n">
        <v>0</v>
      </c>
      <c r="J203" t="n">
        <v>0</v>
      </c>
      <c r="K203" t="n">
        <v>0</v>
      </c>
      <c r="L203" t="n">
        <v>0</v>
      </c>
      <c r="M203" t="n">
        <v>0</v>
      </c>
      <c r="N203" t="n">
        <v>0</v>
      </c>
      <c r="O203" t="n">
        <v>0</v>
      </c>
      <c r="P203" t="n">
        <v>0</v>
      </c>
      <c r="Q203" t="n">
        <v>0</v>
      </c>
      <c r="R203" s="2" t="inlineStr"/>
    </row>
    <row r="204" ht="15" customHeight="1">
      <c r="A204" t="inlineStr">
        <is>
          <t>A 26443-2024</t>
        </is>
      </c>
      <c r="B204" s="1" t="n">
        <v>45469.49901620371</v>
      </c>
      <c r="C204" s="1" t="n">
        <v>46104</v>
      </c>
      <c r="D204" t="inlineStr">
        <is>
          <t>ÖREBRO LÄN</t>
        </is>
      </c>
      <c r="E204" t="inlineStr">
        <is>
          <t>ÖREBRO</t>
        </is>
      </c>
      <c r="G204" t="n">
        <v>5.7</v>
      </c>
      <c r="H204" t="n">
        <v>0</v>
      </c>
      <c r="I204" t="n">
        <v>0</v>
      </c>
      <c r="J204" t="n">
        <v>0</v>
      </c>
      <c r="K204" t="n">
        <v>0</v>
      </c>
      <c r="L204" t="n">
        <v>0</v>
      </c>
      <c r="M204" t="n">
        <v>0</v>
      </c>
      <c r="N204" t="n">
        <v>0</v>
      </c>
      <c r="O204" t="n">
        <v>0</v>
      </c>
      <c r="P204" t="n">
        <v>0</v>
      </c>
      <c r="Q204" t="n">
        <v>0</v>
      </c>
      <c r="R204" s="2" t="inlineStr"/>
    </row>
    <row r="205" ht="15" customHeight="1">
      <c r="A205" t="inlineStr">
        <is>
          <t>A 5136-2024</t>
        </is>
      </c>
      <c r="B205" s="1" t="n">
        <v>45330</v>
      </c>
      <c r="C205" s="1" t="n">
        <v>46104</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35477-2024</t>
        </is>
      </c>
      <c r="B206" s="1" t="n">
        <v>45531</v>
      </c>
      <c r="C206" s="1" t="n">
        <v>46104</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46104</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46104</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59312-2025</t>
        </is>
      </c>
      <c r="B209" s="1" t="n">
        <v>45989.30467592592</v>
      </c>
      <c r="C209" s="1" t="n">
        <v>46104</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59313-2025</t>
        </is>
      </c>
      <c r="B210" s="1" t="n">
        <v>45989.30920138889</v>
      </c>
      <c r="C210" s="1" t="n">
        <v>46104</v>
      </c>
      <c r="D210" t="inlineStr">
        <is>
          <t>ÖREBRO LÄN</t>
        </is>
      </c>
      <c r="E210" t="inlineStr">
        <is>
          <t>ÖREBRO</t>
        </is>
      </c>
      <c r="G210" t="n">
        <v>1.6</v>
      </c>
      <c r="H210" t="n">
        <v>0</v>
      </c>
      <c r="I210" t="n">
        <v>0</v>
      </c>
      <c r="J210" t="n">
        <v>0</v>
      </c>
      <c r="K210" t="n">
        <v>0</v>
      </c>
      <c r="L210" t="n">
        <v>0</v>
      </c>
      <c r="M210" t="n">
        <v>0</v>
      </c>
      <c r="N210" t="n">
        <v>0</v>
      </c>
      <c r="O210" t="n">
        <v>0</v>
      </c>
      <c r="P210" t="n">
        <v>0</v>
      </c>
      <c r="Q210" t="n">
        <v>0</v>
      </c>
      <c r="R210" s="2" t="inlineStr"/>
    </row>
    <row r="211" ht="15" customHeight="1">
      <c r="A211" t="inlineStr">
        <is>
          <t>A 34874-2022</t>
        </is>
      </c>
      <c r="B211" s="1" t="n">
        <v>44796</v>
      </c>
      <c r="C211" s="1" t="n">
        <v>46104</v>
      </c>
      <c r="D211" t="inlineStr">
        <is>
          <t>ÖREBRO LÄN</t>
        </is>
      </c>
      <c r="E211" t="inlineStr">
        <is>
          <t>ÖREBRO</t>
        </is>
      </c>
      <c r="F211" t="inlineStr">
        <is>
          <t>Övriga Aktiebolag</t>
        </is>
      </c>
      <c r="G211" t="n">
        <v>2.3</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46104</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59145-2025</t>
        </is>
      </c>
      <c r="B213" s="1" t="n">
        <v>45988.52015046297</v>
      </c>
      <c r="C213" s="1" t="n">
        <v>46104</v>
      </c>
      <c r="D213" t="inlineStr">
        <is>
          <t>ÖREBRO LÄN</t>
        </is>
      </c>
      <c r="E213" t="inlineStr">
        <is>
          <t>ÖREBRO</t>
        </is>
      </c>
      <c r="G213" t="n">
        <v>0.8</v>
      </c>
      <c r="H213" t="n">
        <v>0</v>
      </c>
      <c r="I213" t="n">
        <v>0</v>
      </c>
      <c r="J213" t="n">
        <v>0</v>
      </c>
      <c r="K213" t="n">
        <v>0</v>
      </c>
      <c r="L213" t="n">
        <v>0</v>
      </c>
      <c r="M213" t="n">
        <v>0</v>
      </c>
      <c r="N213" t="n">
        <v>0</v>
      </c>
      <c r="O213" t="n">
        <v>0</v>
      </c>
      <c r="P213" t="n">
        <v>0</v>
      </c>
      <c r="Q213" t="n">
        <v>0</v>
      </c>
      <c r="R213" s="2" t="inlineStr"/>
    </row>
    <row r="214" ht="15" customHeight="1">
      <c r="A214" t="inlineStr">
        <is>
          <t>A 852-2025</t>
        </is>
      </c>
      <c r="B214" s="1" t="n">
        <v>45665.60148148148</v>
      </c>
      <c r="C214" s="1" t="n">
        <v>46104</v>
      </c>
      <c r="D214" t="inlineStr">
        <is>
          <t>ÖREBRO LÄN</t>
        </is>
      </c>
      <c r="E214" t="inlineStr">
        <is>
          <t>ÖREBRO</t>
        </is>
      </c>
      <c r="G214" t="n">
        <v>2.9</v>
      </c>
      <c r="H214" t="n">
        <v>0</v>
      </c>
      <c r="I214" t="n">
        <v>0</v>
      </c>
      <c r="J214" t="n">
        <v>0</v>
      </c>
      <c r="K214" t="n">
        <v>0</v>
      </c>
      <c r="L214" t="n">
        <v>0</v>
      </c>
      <c r="M214" t="n">
        <v>0</v>
      </c>
      <c r="N214" t="n">
        <v>0</v>
      </c>
      <c r="O214" t="n">
        <v>0</v>
      </c>
      <c r="P214" t="n">
        <v>0</v>
      </c>
      <c r="Q214" t="n">
        <v>0</v>
      </c>
      <c r="R214" s="2" t="inlineStr"/>
    </row>
    <row r="215" ht="15" customHeight="1">
      <c r="A215" t="inlineStr">
        <is>
          <t>A 59857-2025</t>
        </is>
      </c>
      <c r="B215" s="1" t="n">
        <v>45992.75820601852</v>
      </c>
      <c r="C215" s="1" t="n">
        <v>46104</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59938-2025</t>
        </is>
      </c>
      <c r="B216" s="1" t="n">
        <v>45993.42108796296</v>
      </c>
      <c r="C216" s="1" t="n">
        <v>46104</v>
      </c>
      <c r="D216" t="inlineStr">
        <is>
          <t>ÖREBRO LÄN</t>
        </is>
      </c>
      <c r="E216" t="inlineStr">
        <is>
          <t>ÖREBRO</t>
        </is>
      </c>
      <c r="G216" t="n">
        <v>1.5</v>
      </c>
      <c r="H216" t="n">
        <v>0</v>
      </c>
      <c r="I216" t="n">
        <v>0</v>
      </c>
      <c r="J216" t="n">
        <v>0</v>
      </c>
      <c r="K216" t="n">
        <v>0</v>
      </c>
      <c r="L216" t="n">
        <v>0</v>
      </c>
      <c r="M216" t="n">
        <v>0</v>
      </c>
      <c r="N216" t="n">
        <v>0</v>
      </c>
      <c r="O216" t="n">
        <v>0</v>
      </c>
      <c r="P216" t="n">
        <v>0</v>
      </c>
      <c r="Q216" t="n">
        <v>0</v>
      </c>
      <c r="R216" s="2" t="inlineStr"/>
    </row>
    <row r="217" ht="15" customHeight="1">
      <c r="A217" t="inlineStr">
        <is>
          <t>A 59856-2025</t>
        </is>
      </c>
      <c r="B217" s="1" t="n">
        <v>45992.74891203704</v>
      </c>
      <c r="C217" s="1" t="n">
        <v>46104</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59860-2025</t>
        </is>
      </c>
      <c r="B218" s="1" t="n">
        <v>45992.78351851852</v>
      </c>
      <c r="C218" s="1" t="n">
        <v>46104</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45162.62861111111</v>
      </c>
      <c r="C219" s="1" t="n">
        <v>46104</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59858-2025</t>
        </is>
      </c>
      <c r="B220" s="1" t="n">
        <v>45992.76758101852</v>
      </c>
      <c r="C220" s="1" t="n">
        <v>46104</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59859-2025</t>
        </is>
      </c>
      <c r="B221" s="1" t="n">
        <v>45992.7803125</v>
      </c>
      <c r="C221" s="1" t="n">
        <v>46104</v>
      </c>
      <c r="D221" t="inlineStr">
        <is>
          <t>ÖREBRO LÄN</t>
        </is>
      </c>
      <c r="E221" t="inlineStr">
        <is>
          <t>ÖREBRO</t>
        </is>
      </c>
      <c r="G221" t="n">
        <v>0.4</v>
      </c>
      <c r="H221" t="n">
        <v>0</v>
      </c>
      <c r="I221" t="n">
        <v>0</v>
      </c>
      <c r="J221" t="n">
        <v>0</v>
      </c>
      <c r="K221" t="n">
        <v>0</v>
      </c>
      <c r="L221" t="n">
        <v>0</v>
      </c>
      <c r="M221" t="n">
        <v>0</v>
      </c>
      <c r="N221" t="n">
        <v>0</v>
      </c>
      <c r="O221" t="n">
        <v>0</v>
      </c>
      <c r="P221" t="n">
        <v>0</v>
      </c>
      <c r="Q221" t="n">
        <v>0</v>
      </c>
      <c r="R221" s="2" t="inlineStr"/>
    </row>
    <row r="222" ht="15" customHeight="1">
      <c r="A222" t="inlineStr">
        <is>
          <t>A 59937-2025</t>
        </is>
      </c>
      <c r="B222" s="1" t="n">
        <v>45993.41934027777</v>
      </c>
      <c r="C222" s="1" t="n">
        <v>46104</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60551-2025</t>
        </is>
      </c>
      <c r="B223" s="1" t="n">
        <v>45995</v>
      </c>
      <c r="C223" s="1" t="n">
        <v>46104</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46104</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60466-2025</t>
        </is>
      </c>
      <c r="B225" s="1" t="n">
        <v>45995.55927083334</v>
      </c>
      <c r="C225" s="1" t="n">
        <v>46104</v>
      </c>
      <c r="D225" t="inlineStr">
        <is>
          <t>ÖREBRO LÄN</t>
        </is>
      </c>
      <c r="E225" t="inlineStr">
        <is>
          <t>ÖREBRO</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41412-2025</t>
        </is>
      </c>
      <c r="B226" s="1" t="n">
        <v>45901.3549537037</v>
      </c>
      <c r="C226" s="1" t="n">
        <v>46104</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38573-2023</t>
        </is>
      </c>
      <c r="B227" s="1" t="n">
        <v>45162.61837962963</v>
      </c>
      <c r="C227" s="1" t="n">
        <v>46104</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60555-2025</t>
        </is>
      </c>
      <c r="B228" s="1" t="n">
        <v>45995.73722222223</v>
      </c>
      <c r="C228" s="1" t="n">
        <v>46104</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60720-2025</t>
        </is>
      </c>
      <c r="B229" s="1" t="n">
        <v>45996.64050925926</v>
      </c>
      <c r="C229" s="1" t="n">
        <v>46104</v>
      </c>
      <c r="D229" t="inlineStr">
        <is>
          <t>ÖREBRO LÄN</t>
        </is>
      </c>
      <c r="E229" t="inlineStr">
        <is>
          <t>ÖREBRO</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46104</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60840-2025</t>
        </is>
      </c>
      <c r="B231" s="1" t="n">
        <v>45999.48547453704</v>
      </c>
      <c r="C231" s="1" t="n">
        <v>46104</v>
      </c>
      <c r="D231" t="inlineStr">
        <is>
          <t>ÖREBRO LÄN</t>
        </is>
      </c>
      <c r="E231" t="inlineStr">
        <is>
          <t>ÖREBRO</t>
        </is>
      </c>
      <c r="G231" t="n">
        <v>3.5</v>
      </c>
      <c r="H231" t="n">
        <v>0</v>
      </c>
      <c r="I231" t="n">
        <v>0</v>
      </c>
      <c r="J231" t="n">
        <v>0</v>
      </c>
      <c r="K231" t="n">
        <v>0</v>
      </c>
      <c r="L231" t="n">
        <v>0</v>
      </c>
      <c r="M231" t="n">
        <v>0</v>
      </c>
      <c r="N231" t="n">
        <v>0</v>
      </c>
      <c r="O231" t="n">
        <v>0</v>
      </c>
      <c r="P231" t="n">
        <v>0</v>
      </c>
      <c r="Q231" t="n">
        <v>0</v>
      </c>
      <c r="R231" s="2" t="inlineStr"/>
    </row>
    <row r="232" ht="15" customHeight="1">
      <c r="A232" t="inlineStr">
        <is>
          <t>A 13856-2022</t>
        </is>
      </c>
      <c r="B232" s="1" t="n">
        <v>44649.6965162037</v>
      </c>
      <c r="C232" s="1" t="n">
        <v>46104</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52256-2023</t>
        </is>
      </c>
      <c r="B233" s="1" t="n">
        <v>45224.51471064815</v>
      </c>
      <c r="C233" s="1" t="n">
        <v>46104</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60717-2025</t>
        </is>
      </c>
      <c r="B234" s="1" t="n">
        <v>45996.63673611111</v>
      </c>
      <c r="C234" s="1" t="n">
        <v>46104</v>
      </c>
      <c r="D234" t="inlineStr">
        <is>
          <t>ÖREBRO LÄN</t>
        </is>
      </c>
      <c r="E234" t="inlineStr">
        <is>
          <t>ÖREBRO</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60718-2025</t>
        </is>
      </c>
      <c r="B235" s="1" t="n">
        <v>45996.6384375</v>
      </c>
      <c r="C235" s="1" t="n">
        <v>46104</v>
      </c>
      <c r="D235" t="inlineStr">
        <is>
          <t>ÖREBRO LÄN</t>
        </is>
      </c>
      <c r="E235" t="inlineStr">
        <is>
          <t>ÖREBRO</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60721-2025</t>
        </is>
      </c>
      <c r="B236" s="1" t="n">
        <v>45996</v>
      </c>
      <c r="C236" s="1" t="n">
        <v>46104</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61525-2025</t>
        </is>
      </c>
      <c r="B237" s="1" t="n">
        <v>46001</v>
      </c>
      <c r="C237" s="1" t="n">
        <v>46104</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60289-2023</t>
        </is>
      </c>
      <c r="B238" s="1" t="n">
        <v>45257</v>
      </c>
      <c r="C238" s="1" t="n">
        <v>46104</v>
      </c>
      <c r="D238" t="inlineStr">
        <is>
          <t>ÖREBRO LÄN</t>
        </is>
      </c>
      <c r="E238" t="inlineStr">
        <is>
          <t>ÖREBRO</t>
        </is>
      </c>
      <c r="G238" t="n">
        <v>10.9</v>
      </c>
      <c r="H238" t="n">
        <v>0</v>
      </c>
      <c r="I238" t="n">
        <v>0</v>
      </c>
      <c r="J238" t="n">
        <v>0</v>
      </c>
      <c r="K238" t="n">
        <v>0</v>
      </c>
      <c r="L238" t="n">
        <v>0</v>
      </c>
      <c r="M238" t="n">
        <v>0</v>
      </c>
      <c r="N238" t="n">
        <v>0</v>
      </c>
      <c r="O238" t="n">
        <v>0</v>
      </c>
      <c r="P238" t="n">
        <v>0</v>
      </c>
      <c r="Q238" t="n">
        <v>0</v>
      </c>
      <c r="R238" s="2" t="inlineStr"/>
    </row>
    <row r="239" ht="15" customHeight="1">
      <c r="A239" t="inlineStr">
        <is>
          <t>A 12017-2024</t>
        </is>
      </c>
      <c r="B239" s="1" t="n">
        <v>45377</v>
      </c>
      <c r="C239" s="1" t="n">
        <v>46104</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5406-2025</t>
        </is>
      </c>
      <c r="B240" s="1" t="n">
        <v>45692.64821759259</v>
      </c>
      <c r="C240" s="1" t="n">
        <v>46104</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54678-2023</t>
        </is>
      </c>
      <c r="B241" s="1" t="n">
        <v>45235</v>
      </c>
      <c r="C241" s="1" t="n">
        <v>46104</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46104</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190-2024</t>
        </is>
      </c>
      <c r="B243" s="1" t="n">
        <v>45294.61858796296</v>
      </c>
      <c r="C243" s="1" t="n">
        <v>46104</v>
      </c>
      <c r="D243" t="inlineStr">
        <is>
          <t>ÖREBRO LÄN</t>
        </is>
      </c>
      <c r="E243" t="inlineStr">
        <is>
          <t>ÖREBRO</t>
        </is>
      </c>
      <c r="G243" t="n">
        <v>2.4</v>
      </c>
      <c r="H243" t="n">
        <v>0</v>
      </c>
      <c r="I243" t="n">
        <v>0</v>
      </c>
      <c r="J243" t="n">
        <v>0</v>
      </c>
      <c r="K243" t="n">
        <v>0</v>
      </c>
      <c r="L243" t="n">
        <v>0</v>
      </c>
      <c r="M243" t="n">
        <v>0</v>
      </c>
      <c r="N243" t="n">
        <v>0</v>
      </c>
      <c r="O243" t="n">
        <v>0</v>
      </c>
      <c r="P243" t="n">
        <v>0</v>
      </c>
      <c r="Q243" t="n">
        <v>0</v>
      </c>
      <c r="R243" s="2" t="inlineStr"/>
    </row>
    <row r="244" ht="15" customHeight="1">
      <c r="A244" t="inlineStr">
        <is>
          <t>A 44511-2023</t>
        </is>
      </c>
      <c r="B244" s="1" t="n">
        <v>45189</v>
      </c>
      <c r="C244" s="1" t="n">
        <v>46104</v>
      </c>
      <c r="D244" t="inlineStr">
        <is>
          <t>ÖREBRO LÄN</t>
        </is>
      </c>
      <c r="E244" t="inlineStr">
        <is>
          <t>ÖREBRO</t>
        </is>
      </c>
      <c r="F244" t="inlineStr">
        <is>
          <t>Allmännings- och besparingsskogar</t>
        </is>
      </c>
      <c r="G244" t="n">
        <v>2.7</v>
      </c>
      <c r="H244" t="n">
        <v>0</v>
      </c>
      <c r="I244" t="n">
        <v>0</v>
      </c>
      <c r="J244" t="n">
        <v>0</v>
      </c>
      <c r="K244" t="n">
        <v>0</v>
      </c>
      <c r="L244" t="n">
        <v>0</v>
      </c>
      <c r="M244" t="n">
        <v>0</v>
      </c>
      <c r="N244" t="n">
        <v>0</v>
      </c>
      <c r="O244" t="n">
        <v>0</v>
      </c>
      <c r="P244" t="n">
        <v>0</v>
      </c>
      <c r="Q244" t="n">
        <v>0</v>
      </c>
      <c r="R244" s="2" t="inlineStr"/>
    </row>
    <row r="245" ht="15" customHeight="1">
      <c r="A245" t="inlineStr">
        <is>
          <t>A 34358-2022</t>
        </is>
      </c>
      <c r="B245" s="1" t="n">
        <v>44792.45494212963</v>
      </c>
      <c r="C245" s="1" t="n">
        <v>46104</v>
      </c>
      <c r="D245" t="inlineStr">
        <is>
          <t>ÖREBRO LÄN</t>
        </is>
      </c>
      <c r="E245" t="inlineStr">
        <is>
          <t>ÖREBRO</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52447-2024</t>
        </is>
      </c>
      <c r="B246" s="1" t="n">
        <v>45609.49157407408</v>
      </c>
      <c r="C246" s="1" t="n">
        <v>46104</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43803-2023</t>
        </is>
      </c>
      <c r="B247" s="1" t="n">
        <v>45187</v>
      </c>
      <c r="C247" s="1" t="n">
        <v>46104</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55943-2024</t>
        </is>
      </c>
      <c r="B248" s="1" t="n">
        <v>45623.61278935185</v>
      </c>
      <c r="C248" s="1" t="n">
        <v>46104</v>
      </c>
      <c r="D248" t="inlineStr">
        <is>
          <t>ÖREBRO LÄN</t>
        </is>
      </c>
      <c r="E248" t="inlineStr">
        <is>
          <t>ÖREBRO</t>
        </is>
      </c>
      <c r="G248" t="n">
        <v>4.8</v>
      </c>
      <c r="H248" t="n">
        <v>0</v>
      </c>
      <c r="I248" t="n">
        <v>0</v>
      </c>
      <c r="J248" t="n">
        <v>0</v>
      </c>
      <c r="K248" t="n">
        <v>0</v>
      </c>
      <c r="L248" t="n">
        <v>0</v>
      </c>
      <c r="M248" t="n">
        <v>0</v>
      </c>
      <c r="N248" t="n">
        <v>0</v>
      </c>
      <c r="O248" t="n">
        <v>0</v>
      </c>
      <c r="P248" t="n">
        <v>0</v>
      </c>
      <c r="Q248" t="n">
        <v>0</v>
      </c>
      <c r="R248" s="2" t="inlineStr"/>
    </row>
    <row r="249" ht="15" customHeight="1">
      <c r="A249" t="inlineStr">
        <is>
          <t>A 61930-2025</t>
        </is>
      </c>
      <c r="B249" s="1" t="n">
        <v>46003</v>
      </c>
      <c r="C249" s="1" t="n">
        <v>46104</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60028-2024</t>
        </is>
      </c>
      <c r="B250" s="1" t="n">
        <v>45642</v>
      </c>
      <c r="C250" s="1" t="n">
        <v>46104</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45700.66429398148</v>
      </c>
      <c r="C251" s="1" t="n">
        <v>46104</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22348-2024</t>
        </is>
      </c>
      <c r="B252" s="1" t="n">
        <v>45446.61256944444</v>
      </c>
      <c r="C252" s="1" t="n">
        <v>46104</v>
      </c>
      <c r="D252" t="inlineStr">
        <is>
          <t>ÖREBRO LÄN</t>
        </is>
      </c>
      <c r="E252" t="inlineStr">
        <is>
          <t>ÖREBRO</t>
        </is>
      </c>
      <c r="G252" t="n">
        <v>0.7</v>
      </c>
      <c r="H252" t="n">
        <v>0</v>
      </c>
      <c r="I252" t="n">
        <v>0</v>
      </c>
      <c r="J252" t="n">
        <v>0</v>
      </c>
      <c r="K252" t="n">
        <v>0</v>
      </c>
      <c r="L252" t="n">
        <v>0</v>
      </c>
      <c r="M252" t="n">
        <v>0</v>
      </c>
      <c r="N252" t="n">
        <v>0</v>
      </c>
      <c r="O252" t="n">
        <v>0</v>
      </c>
      <c r="P252" t="n">
        <v>0</v>
      </c>
      <c r="Q252" t="n">
        <v>0</v>
      </c>
      <c r="R252" s="2" t="inlineStr"/>
    </row>
    <row r="253" ht="15" customHeight="1">
      <c r="A253" t="inlineStr">
        <is>
          <t>A 2596-2022</t>
        </is>
      </c>
      <c r="B253" s="1" t="n">
        <v>44580</v>
      </c>
      <c r="C253" s="1" t="n">
        <v>46104</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15695-2024</t>
        </is>
      </c>
      <c r="B254" s="1" t="n">
        <v>45404.45487268519</v>
      </c>
      <c r="C254" s="1" t="n">
        <v>46104</v>
      </c>
      <c r="D254" t="inlineStr">
        <is>
          <t>ÖREBRO LÄN</t>
        </is>
      </c>
      <c r="E254" t="inlineStr">
        <is>
          <t>ÖREBRO</t>
        </is>
      </c>
      <c r="G254" t="n">
        <v>2.7</v>
      </c>
      <c r="H254" t="n">
        <v>0</v>
      </c>
      <c r="I254" t="n">
        <v>0</v>
      </c>
      <c r="J254" t="n">
        <v>0</v>
      </c>
      <c r="K254" t="n">
        <v>0</v>
      </c>
      <c r="L254" t="n">
        <v>0</v>
      </c>
      <c r="M254" t="n">
        <v>0</v>
      </c>
      <c r="N254" t="n">
        <v>0</v>
      </c>
      <c r="O254" t="n">
        <v>0</v>
      </c>
      <c r="P254" t="n">
        <v>0</v>
      </c>
      <c r="Q254" t="n">
        <v>0</v>
      </c>
      <c r="R254" s="2" t="inlineStr"/>
    </row>
    <row r="255" ht="15" customHeight="1">
      <c r="A255" t="inlineStr">
        <is>
          <t>A 30089-2024</t>
        </is>
      </c>
      <c r="B255" s="1" t="n">
        <v>45485</v>
      </c>
      <c r="C255" s="1" t="n">
        <v>46104</v>
      </c>
      <c r="D255" t="inlineStr">
        <is>
          <t>ÖREBRO LÄN</t>
        </is>
      </c>
      <c r="E255" t="inlineStr">
        <is>
          <t>ÖREBRO</t>
        </is>
      </c>
      <c r="G255" t="n">
        <v>2.2</v>
      </c>
      <c r="H255" t="n">
        <v>0</v>
      </c>
      <c r="I255" t="n">
        <v>0</v>
      </c>
      <c r="J255" t="n">
        <v>0</v>
      </c>
      <c r="K255" t="n">
        <v>0</v>
      </c>
      <c r="L255" t="n">
        <v>0</v>
      </c>
      <c r="M255" t="n">
        <v>0</v>
      </c>
      <c r="N255" t="n">
        <v>0</v>
      </c>
      <c r="O255" t="n">
        <v>0</v>
      </c>
      <c r="P255" t="n">
        <v>0</v>
      </c>
      <c r="Q255" t="n">
        <v>0</v>
      </c>
      <c r="R255" s="2" t="inlineStr"/>
    </row>
    <row r="256" ht="15" customHeight="1">
      <c r="A256" t="inlineStr">
        <is>
          <t>A 13857-2022</t>
        </is>
      </c>
      <c r="B256" s="1" t="n">
        <v>44649</v>
      </c>
      <c r="C256" s="1" t="n">
        <v>46104</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5643-2025</t>
        </is>
      </c>
      <c r="B257" s="1" t="n">
        <v>45693</v>
      </c>
      <c r="C257" s="1" t="n">
        <v>46104</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55692-2023</t>
        </is>
      </c>
      <c r="B258" s="1" t="n">
        <v>45239</v>
      </c>
      <c r="C258" s="1" t="n">
        <v>46104</v>
      </c>
      <c r="D258" t="inlineStr">
        <is>
          <t>ÖREBRO LÄN</t>
        </is>
      </c>
      <c r="E258" t="inlineStr">
        <is>
          <t>ÖREBRO</t>
        </is>
      </c>
      <c r="F258" t="inlineStr">
        <is>
          <t>Övriga Aktiebolag</t>
        </is>
      </c>
      <c r="G258" t="n">
        <v>0.4</v>
      </c>
      <c r="H258" t="n">
        <v>0</v>
      </c>
      <c r="I258" t="n">
        <v>0</v>
      </c>
      <c r="J258" t="n">
        <v>0</v>
      </c>
      <c r="K258" t="n">
        <v>0</v>
      </c>
      <c r="L258" t="n">
        <v>0</v>
      </c>
      <c r="M258" t="n">
        <v>0</v>
      </c>
      <c r="N258" t="n">
        <v>0</v>
      </c>
      <c r="O258" t="n">
        <v>0</v>
      </c>
      <c r="P258" t="n">
        <v>0</v>
      </c>
      <c r="Q258" t="n">
        <v>0</v>
      </c>
      <c r="R258" s="2" t="inlineStr"/>
    </row>
    <row r="259" ht="15" customHeight="1">
      <c r="A259" t="inlineStr">
        <is>
          <t>A 62683-2025</t>
        </is>
      </c>
      <c r="B259" s="1" t="n">
        <v>46008.45796296297</v>
      </c>
      <c r="C259" s="1" t="n">
        <v>46104</v>
      </c>
      <c r="D259" t="inlineStr">
        <is>
          <t>ÖREBRO LÄN</t>
        </is>
      </c>
      <c r="E259" t="inlineStr">
        <is>
          <t>ÖREBRO</t>
        </is>
      </c>
      <c r="G259" t="n">
        <v>5.1</v>
      </c>
      <c r="H259" t="n">
        <v>0</v>
      </c>
      <c r="I259" t="n">
        <v>0</v>
      </c>
      <c r="J259" t="n">
        <v>0</v>
      </c>
      <c r="K259" t="n">
        <v>0</v>
      </c>
      <c r="L259" t="n">
        <v>0</v>
      </c>
      <c r="M259" t="n">
        <v>0</v>
      </c>
      <c r="N259" t="n">
        <v>0</v>
      </c>
      <c r="O259" t="n">
        <v>0</v>
      </c>
      <c r="P259" t="n">
        <v>0</v>
      </c>
      <c r="Q259" t="n">
        <v>0</v>
      </c>
      <c r="R259" s="2" t="inlineStr"/>
    </row>
    <row r="260" ht="15" customHeight="1">
      <c r="A260" t="inlineStr">
        <is>
          <t>A 44960-2025</t>
        </is>
      </c>
      <c r="B260" s="1" t="n">
        <v>45918.61577546296</v>
      </c>
      <c r="C260" s="1" t="n">
        <v>46104</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55003-2025</t>
        </is>
      </c>
      <c r="B261" s="1" t="n">
        <v>45967</v>
      </c>
      <c r="C261" s="1" t="n">
        <v>46104</v>
      </c>
      <c r="D261" t="inlineStr">
        <is>
          <t>ÖREBRO LÄN</t>
        </is>
      </c>
      <c r="E261" t="inlineStr">
        <is>
          <t>ÖREBRO</t>
        </is>
      </c>
      <c r="F261" t="inlineStr">
        <is>
          <t>Övriga Aktiebolag</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46104</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46104</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46030-2024</t>
        </is>
      </c>
      <c r="B264" s="1" t="n">
        <v>45580.70377314815</v>
      </c>
      <c r="C264" s="1" t="n">
        <v>46104</v>
      </c>
      <c r="D264" t="inlineStr">
        <is>
          <t>ÖREBRO LÄN</t>
        </is>
      </c>
      <c r="E264" t="inlineStr">
        <is>
          <t>ÖREBRO</t>
        </is>
      </c>
      <c r="G264" t="n">
        <v>3.9</v>
      </c>
      <c r="H264" t="n">
        <v>0</v>
      </c>
      <c r="I264" t="n">
        <v>0</v>
      </c>
      <c r="J264" t="n">
        <v>0</v>
      </c>
      <c r="K264" t="n">
        <v>0</v>
      </c>
      <c r="L264" t="n">
        <v>0</v>
      </c>
      <c r="M264" t="n">
        <v>0</v>
      </c>
      <c r="N264" t="n">
        <v>0</v>
      </c>
      <c r="O264" t="n">
        <v>0</v>
      </c>
      <c r="P264" t="n">
        <v>0</v>
      </c>
      <c r="Q264" t="n">
        <v>0</v>
      </c>
      <c r="R264" s="2" t="inlineStr"/>
    </row>
    <row r="265" ht="15" customHeight="1">
      <c r="A265" t="inlineStr">
        <is>
          <t>A 16258-2022</t>
        </is>
      </c>
      <c r="B265" s="1" t="n">
        <v>44670</v>
      </c>
      <c r="C265" s="1" t="n">
        <v>46104</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63657-2025</t>
        </is>
      </c>
      <c r="B266" s="1" t="n">
        <v>46014.44479166667</v>
      </c>
      <c r="C266" s="1" t="n">
        <v>46104</v>
      </c>
      <c r="D266" t="inlineStr">
        <is>
          <t>ÖREBRO LÄN</t>
        </is>
      </c>
      <c r="E266" t="inlineStr">
        <is>
          <t>ÖREBRO</t>
        </is>
      </c>
      <c r="F266" t="inlineStr">
        <is>
          <t>Allmännings- och besparingsskogar</t>
        </is>
      </c>
      <c r="G266" t="n">
        <v>3.9</v>
      </c>
      <c r="H266" t="n">
        <v>0</v>
      </c>
      <c r="I266" t="n">
        <v>0</v>
      </c>
      <c r="J266" t="n">
        <v>0</v>
      </c>
      <c r="K266" t="n">
        <v>0</v>
      </c>
      <c r="L266" t="n">
        <v>0</v>
      </c>
      <c r="M266" t="n">
        <v>0</v>
      </c>
      <c r="N266" t="n">
        <v>0</v>
      </c>
      <c r="O266" t="n">
        <v>0</v>
      </c>
      <c r="P266" t="n">
        <v>0</v>
      </c>
      <c r="Q266" t="n">
        <v>0</v>
      </c>
      <c r="R266" s="2" t="inlineStr"/>
    </row>
    <row r="267" ht="15" customHeight="1">
      <c r="A267" t="inlineStr">
        <is>
          <t>A 63666-2025</t>
        </is>
      </c>
      <c r="B267" s="1" t="n">
        <v>46014.45650462963</v>
      </c>
      <c r="C267" s="1" t="n">
        <v>46104</v>
      </c>
      <c r="D267" t="inlineStr">
        <is>
          <t>ÖREBRO LÄN</t>
        </is>
      </c>
      <c r="E267" t="inlineStr">
        <is>
          <t>ÖREBRO</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63662-2025</t>
        </is>
      </c>
      <c r="B268" s="1" t="n">
        <v>46014.45055555556</v>
      </c>
      <c r="C268" s="1" t="n">
        <v>46104</v>
      </c>
      <c r="D268" t="inlineStr">
        <is>
          <t>ÖREBRO LÄN</t>
        </is>
      </c>
      <c r="E268" t="inlineStr">
        <is>
          <t>ÖREBRO</t>
        </is>
      </c>
      <c r="F268" t="inlineStr">
        <is>
          <t>Allmännings- och besparingsskogar</t>
        </is>
      </c>
      <c r="G268" t="n">
        <v>3.2</v>
      </c>
      <c r="H268" t="n">
        <v>0</v>
      </c>
      <c r="I268" t="n">
        <v>0</v>
      </c>
      <c r="J268" t="n">
        <v>0</v>
      </c>
      <c r="K268" t="n">
        <v>0</v>
      </c>
      <c r="L268" t="n">
        <v>0</v>
      </c>
      <c r="M268" t="n">
        <v>0</v>
      </c>
      <c r="N268" t="n">
        <v>0</v>
      </c>
      <c r="O268" t="n">
        <v>0</v>
      </c>
      <c r="P268" t="n">
        <v>0</v>
      </c>
      <c r="Q268" t="n">
        <v>0</v>
      </c>
      <c r="R268" s="2" t="inlineStr"/>
    </row>
    <row r="269" ht="15" customHeight="1">
      <c r="A269" t="inlineStr">
        <is>
          <t>A 28054-2022</t>
        </is>
      </c>
      <c r="B269" s="1" t="n">
        <v>44746.41938657407</v>
      </c>
      <c r="C269" s="1" t="n">
        <v>46104</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5342-2024</t>
        </is>
      </c>
      <c r="B270" s="1" t="n">
        <v>45331.44145833333</v>
      </c>
      <c r="C270" s="1" t="n">
        <v>46104</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541-2025</t>
        </is>
      </c>
      <c r="B271" s="1" t="n">
        <v>45664.52034722222</v>
      </c>
      <c r="C271" s="1" t="n">
        <v>46104</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64018-2025</t>
        </is>
      </c>
      <c r="B272" s="1" t="n">
        <v>46021.4546412037</v>
      </c>
      <c r="C272" s="1" t="n">
        <v>46104</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46104</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25407-2021</t>
        </is>
      </c>
      <c r="B274" s="1" t="n">
        <v>44342</v>
      </c>
      <c r="C274" s="1" t="n">
        <v>46104</v>
      </c>
      <c r="D274" t="inlineStr">
        <is>
          <t>ÖREBRO LÄN</t>
        </is>
      </c>
      <c r="E274" t="inlineStr">
        <is>
          <t>ÖREBRO</t>
        </is>
      </c>
      <c r="F274" t="inlineStr">
        <is>
          <t>Kommuner</t>
        </is>
      </c>
      <c r="G274" t="n">
        <v>7.2</v>
      </c>
      <c r="H274" t="n">
        <v>0</v>
      </c>
      <c r="I274" t="n">
        <v>0</v>
      </c>
      <c r="J274" t="n">
        <v>0</v>
      </c>
      <c r="K274" t="n">
        <v>0</v>
      </c>
      <c r="L274" t="n">
        <v>0</v>
      </c>
      <c r="M274" t="n">
        <v>0</v>
      </c>
      <c r="N274" t="n">
        <v>0</v>
      </c>
      <c r="O274" t="n">
        <v>0</v>
      </c>
      <c r="P274" t="n">
        <v>0</v>
      </c>
      <c r="Q274" t="n">
        <v>0</v>
      </c>
      <c r="R274" s="2" t="inlineStr"/>
    </row>
    <row r="275" ht="15" customHeight="1">
      <c r="A275" t="inlineStr">
        <is>
          <t>A 6254-2026</t>
        </is>
      </c>
      <c r="B275" s="1" t="n">
        <v>46055</v>
      </c>
      <c r="C275" s="1" t="n">
        <v>46104</v>
      </c>
      <c r="D275" t="inlineStr">
        <is>
          <t>ÖREBRO LÄN</t>
        </is>
      </c>
      <c r="E275" t="inlineStr">
        <is>
          <t>ÖREBRO</t>
        </is>
      </c>
      <c r="G275" t="n">
        <v>2.8</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46104</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64019-2025</t>
        </is>
      </c>
      <c r="B277" s="1" t="n">
        <v>46021.45914351852</v>
      </c>
      <c r="C277" s="1" t="n">
        <v>46104</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45027-2024</t>
        </is>
      </c>
      <c r="B278" s="1" t="n">
        <v>45575</v>
      </c>
      <c r="C278" s="1" t="n">
        <v>46104</v>
      </c>
      <c r="D278" t="inlineStr">
        <is>
          <t>ÖREBRO LÄN</t>
        </is>
      </c>
      <c r="E278" t="inlineStr">
        <is>
          <t>ÖREBRO</t>
        </is>
      </c>
      <c r="G278" t="n">
        <v>6.3</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46104</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16140-2023</t>
        </is>
      </c>
      <c r="B280" s="1" t="n">
        <v>45027.6433912037</v>
      </c>
      <c r="C280" s="1" t="n">
        <v>46104</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8461-2026</t>
        </is>
      </c>
      <c r="B281" s="1" t="n">
        <v>46065.42981481482</v>
      </c>
      <c r="C281" s="1" t="n">
        <v>46104</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8677-2026</t>
        </is>
      </c>
      <c r="B282" s="1" t="n">
        <v>46066.40994212963</v>
      </c>
      <c r="C282" s="1" t="n">
        <v>46104</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8662-2026</t>
        </is>
      </c>
      <c r="B283" s="1" t="n">
        <v>46066.38112268518</v>
      </c>
      <c r="C283" s="1" t="n">
        <v>46104</v>
      </c>
      <c r="D283" t="inlineStr">
        <is>
          <t>ÖREBRO LÄN</t>
        </is>
      </c>
      <c r="E283" t="inlineStr">
        <is>
          <t>ÖREBRO</t>
        </is>
      </c>
      <c r="G283" t="n">
        <v>3.2</v>
      </c>
      <c r="H283" t="n">
        <v>0</v>
      </c>
      <c r="I283" t="n">
        <v>0</v>
      </c>
      <c r="J283" t="n">
        <v>0</v>
      </c>
      <c r="K283" t="n">
        <v>0</v>
      </c>
      <c r="L283" t="n">
        <v>0</v>
      </c>
      <c r="M283" t="n">
        <v>0</v>
      </c>
      <c r="N283" t="n">
        <v>0</v>
      </c>
      <c r="O283" t="n">
        <v>0</v>
      </c>
      <c r="P283" t="n">
        <v>0</v>
      </c>
      <c r="Q283" t="n">
        <v>0</v>
      </c>
      <c r="R283" s="2" t="inlineStr"/>
    </row>
    <row r="284" ht="15" customHeight="1">
      <c r="A284" t="inlineStr">
        <is>
          <t>A 52391-2024</t>
        </is>
      </c>
      <c r="B284" s="1" t="n">
        <v>45609.43180555556</v>
      </c>
      <c r="C284" s="1" t="n">
        <v>46104</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52401-2024</t>
        </is>
      </c>
      <c r="B285" s="1" t="n">
        <v>45609.44553240741</v>
      </c>
      <c r="C285" s="1" t="n">
        <v>46104</v>
      </c>
      <c r="D285" t="inlineStr">
        <is>
          <t>ÖREBRO LÄN</t>
        </is>
      </c>
      <c r="E285" t="inlineStr">
        <is>
          <t>ÖREBRO</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26338-2021</t>
        </is>
      </c>
      <c r="B286" s="1" t="n">
        <v>44347</v>
      </c>
      <c r="C286" s="1" t="n">
        <v>46104</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53234-2023</t>
        </is>
      </c>
      <c r="B287" s="1" t="n">
        <v>45229</v>
      </c>
      <c r="C287" s="1" t="n">
        <v>46104</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59757-2023</t>
        </is>
      </c>
      <c r="B288" s="1" t="n">
        <v>45257.40833333333</v>
      </c>
      <c r="C288" s="1" t="n">
        <v>46104</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9318-2026</t>
        </is>
      </c>
      <c r="B289" s="1" t="n">
        <v>46070.62585648148</v>
      </c>
      <c r="C289" s="1" t="n">
        <v>46104</v>
      </c>
      <c r="D289" t="inlineStr">
        <is>
          <t>ÖREBRO LÄN</t>
        </is>
      </c>
      <c r="E289" t="inlineStr">
        <is>
          <t>ÖREBRO</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11067-2025</t>
        </is>
      </c>
      <c r="B290" s="1" t="n">
        <v>45723</v>
      </c>
      <c r="C290" s="1" t="n">
        <v>46104</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3659-2025</t>
        </is>
      </c>
      <c r="B291" s="1" t="n">
        <v>45681</v>
      </c>
      <c r="C291" s="1" t="n">
        <v>46104</v>
      </c>
      <c r="D291" t="inlineStr">
        <is>
          <t>ÖREBRO LÄN</t>
        </is>
      </c>
      <c r="E291" t="inlineStr">
        <is>
          <t>ÖREBRO</t>
        </is>
      </c>
      <c r="G291" t="n">
        <v>15.8</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46104</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13347-2023</t>
        </is>
      </c>
      <c r="B293" s="1" t="n">
        <v>45004</v>
      </c>
      <c r="C293" s="1" t="n">
        <v>46104</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6752-2022</t>
        </is>
      </c>
      <c r="B294" s="1" t="n">
        <v>44602.48082175926</v>
      </c>
      <c r="C294" s="1" t="n">
        <v>46104</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25578-2025</t>
        </is>
      </c>
      <c r="B295" s="1" t="n">
        <v>45803.47803240741</v>
      </c>
      <c r="C295" s="1" t="n">
        <v>46104</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46104</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57867-2024</t>
        </is>
      </c>
      <c r="B297" s="1" t="n">
        <v>45631.43864583333</v>
      </c>
      <c r="C297" s="1" t="n">
        <v>46104</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25519-2025</t>
        </is>
      </c>
      <c r="B298" s="1" t="n">
        <v>45803.38447916666</v>
      </c>
      <c r="C298" s="1" t="n">
        <v>46104</v>
      </c>
      <c r="D298" t="inlineStr">
        <is>
          <t>ÖREBRO LÄN</t>
        </is>
      </c>
      <c r="E298" t="inlineStr">
        <is>
          <t>ÖREBRO</t>
        </is>
      </c>
      <c r="G298" t="n">
        <v>7.4</v>
      </c>
      <c r="H298" t="n">
        <v>0</v>
      </c>
      <c r="I298" t="n">
        <v>0</v>
      </c>
      <c r="J298" t="n">
        <v>0</v>
      </c>
      <c r="K298" t="n">
        <v>0</v>
      </c>
      <c r="L298" t="n">
        <v>0</v>
      </c>
      <c r="M298" t="n">
        <v>0</v>
      </c>
      <c r="N298" t="n">
        <v>0</v>
      </c>
      <c r="O298" t="n">
        <v>0</v>
      </c>
      <c r="P298" t="n">
        <v>0</v>
      </c>
      <c r="Q298" t="n">
        <v>0</v>
      </c>
      <c r="R298" s="2" t="inlineStr"/>
    </row>
    <row r="299" ht="15" customHeight="1">
      <c r="A299" t="inlineStr">
        <is>
          <t>A 13355-2023</t>
        </is>
      </c>
      <c r="B299" s="1" t="n">
        <v>45004</v>
      </c>
      <c r="C299" s="1" t="n">
        <v>46104</v>
      </c>
      <c r="D299" t="inlineStr">
        <is>
          <t>ÖREBRO LÄN</t>
        </is>
      </c>
      <c r="E299" t="inlineStr">
        <is>
          <t>ÖREBRO</t>
        </is>
      </c>
      <c r="G299" t="n">
        <v>2.3</v>
      </c>
      <c r="H299" t="n">
        <v>0</v>
      </c>
      <c r="I299" t="n">
        <v>0</v>
      </c>
      <c r="J299" t="n">
        <v>0</v>
      </c>
      <c r="K299" t="n">
        <v>0</v>
      </c>
      <c r="L299" t="n">
        <v>0</v>
      </c>
      <c r="M299" t="n">
        <v>0</v>
      </c>
      <c r="N299" t="n">
        <v>0</v>
      </c>
      <c r="O299" t="n">
        <v>0</v>
      </c>
      <c r="P299" t="n">
        <v>0</v>
      </c>
      <c r="Q299" t="n">
        <v>0</v>
      </c>
      <c r="R299" s="2" t="inlineStr"/>
    </row>
    <row r="300" ht="15" customHeight="1">
      <c r="A300" t="inlineStr">
        <is>
          <t>A 14544-2023</t>
        </is>
      </c>
      <c r="B300" s="1" t="n">
        <v>45013</v>
      </c>
      <c r="C300" s="1" t="n">
        <v>46104</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71272-2021</t>
        </is>
      </c>
      <c r="B301" s="1" t="n">
        <v>44539.61571759259</v>
      </c>
      <c r="C301" s="1" t="n">
        <v>46104</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1153-2026</t>
        </is>
      </c>
      <c r="B302" s="1" t="n">
        <v>46031.30899305556</v>
      </c>
      <c r="C302" s="1" t="n">
        <v>46104</v>
      </c>
      <c r="D302" t="inlineStr">
        <is>
          <t>ÖREBRO LÄN</t>
        </is>
      </c>
      <c r="E302" t="inlineStr">
        <is>
          <t>ÖREBRO</t>
        </is>
      </c>
      <c r="G302" t="n">
        <v>3.3</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46104</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19388-2024</t>
        </is>
      </c>
      <c r="B304" s="1" t="n">
        <v>45429.37775462963</v>
      </c>
      <c r="C304" s="1" t="n">
        <v>46104</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40597-2021</t>
        </is>
      </c>
      <c r="B305" s="1" t="n">
        <v>44420</v>
      </c>
      <c r="C305" s="1" t="n">
        <v>46104</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18550-2025</t>
        </is>
      </c>
      <c r="B306" s="1" t="n">
        <v>45763</v>
      </c>
      <c r="C306" s="1" t="n">
        <v>46104</v>
      </c>
      <c r="D306" t="inlineStr">
        <is>
          <t>ÖREBRO LÄN</t>
        </is>
      </c>
      <c r="E306" t="inlineStr">
        <is>
          <t>ÖREBRO</t>
        </is>
      </c>
      <c r="G306" t="n">
        <v>11.5</v>
      </c>
      <c r="H306" t="n">
        <v>0</v>
      </c>
      <c r="I306" t="n">
        <v>0</v>
      </c>
      <c r="J306" t="n">
        <v>0</v>
      </c>
      <c r="K306" t="n">
        <v>0</v>
      </c>
      <c r="L306" t="n">
        <v>0</v>
      </c>
      <c r="M306" t="n">
        <v>0</v>
      </c>
      <c r="N306" t="n">
        <v>0</v>
      </c>
      <c r="O306" t="n">
        <v>0</v>
      </c>
      <c r="P306" t="n">
        <v>0</v>
      </c>
      <c r="Q306" t="n">
        <v>0</v>
      </c>
      <c r="R306" s="2" t="inlineStr"/>
    </row>
    <row r="307" ht="15" customHeight="1">
      <c r="A307" t="inlineStr">
        <is>
          <t>A 2318-2023</t>
        </is>
      </c>
      <c r="B307" s="1" t="n">
        <v>44942</v>
      </c>
      <c r="C307" s="1" t="n">
        <v>46104</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20121-2024</t>
        </is>
      </c>
      <c r="B308" s="1" t="n">
        <v>45434</v>
      </c>
      <c r="C308" s="1" t="n">
        <v>46104</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20150-2024</t>
        </is>
      </c>
      <c r="B309" s="1" t="n">
        <v>45434.57969907407</v>
      </c>
      <c r="C309" s="1" t="n">
        <v>46104</v>
      </c>
      <c r="D309" t="inlineStr">
        <is>
          <t>ÖREBRO LÄN</t>
        </is>
      </c>
      <c r="E309" t="inlineStr">
        <is>
          <t>ÖREBRO</t>
        </is>
      </c>
      <c r="G309" t="n">
        <v>0.5</v>
      </c>
      <c r="H309" t="n">
        <v>0</v>
      </c>
      <c r="I309" t="n">
        <v>0</v>
      </c>
      <c r="J309" t="n">
        <v>0</v>
      </c>
      <c r="K309" t="n">
        <v>0</v>
      </c>
      <c r="L309" t="n">
        <v>0</v>
      </c>
      <c r="M309" t="n">
        <v>0</v>
      </c>
      <c r="N309" t="n">
        <v>0</v>
      </c>
      <c r="O309" t="n">
        <v>0</v>
      </c>
      <c r="P309" t="n">
        <v>0</v>
      </c>
      <c r="Q309" t="n">
        <v>0</v>
      </c>
      <c r="R309" s="2" t="inlineStr"/>
    </row>
    <row r="310" ht="15" customHeight="1">
      <c r="A310" t="inlineStr">
        <is>
          <t>A 767-2024</t>
        </is>
      </c>
      <c r="B310" s="1" t="n">
        <v>45300.51892361111</v>
      </c>
      <c r="C310" s="1" t="n">
        <v>46104</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50311-2025</t>
        </is>
      </c>
      <c r="B311" s="1" t="n">
        <v>45944</v>
      </c>
      <c r="C311" s="1" t="n">
        <v>46104</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52441-2024</t>
        </is>
      </c>
      <c r="B312" s="1" t="n">
        <v>45609.48451388889</v>
      </c>
      <c r="C312" s="1" t="n">
        <v>46104</v>
      </c>
      <c r="D312" t="inlineStr">
        <is>
          <t>ÖREBRO LÄN</t>
        </is>
      </c>
      <c r="E312" t="inlineStr">
        <is>
          <t>ÖREBRO</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58611-2024</t>
        </is>
      </c>
      <c r="B313" s="1" t="n">
        <v>45635.55555555555</v>
      </c>
      <c r="C313" s="1" t="n">
        <v>46104</v>
      </c>
      <c r="D313" t="inlineStr">
        <is>
          <t>ÖREBRO LÄN</t>
        </is>
      </c>
      <c r="E313" t="inlineStr">
        <is>
          <t>ÖREBRO</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10108-2026</t>
        </is>
      </c>
      <c r="B314" s="1" t="n">
        <v>46074.64310185185</v>
      </c>
      <c r="C314" s="1" t="n">
        <v>46104</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2162-2026</t>
        </is>
      </c>
      <c r="B315" s="1" t="n">
        <v>46036.43479166667</v>
      </c>
      <c r="C315" s="1" t="n">
        <v>46104</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10972-2026</t>
        </is>
      </c>
      <c r="B316" s="1" t="n">
        <v>46079.45015046297</v>
      </c>
      <c r="C316" s="1" t="n">
        <v>46104</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38075-2022</t>
        </is>
      </c>
      <c r="B317" s="1" t="n">
        <v>44811</v>
      </c>
      <c r="C317" s="1" t="n">
        <v>46104</v>
      </c>
      <c r="D317" t="inlineStr">
        <is>
          <t>ÖREBRO LÄN</t>
        </is>
      </c>
      <c r="E317" t="inlineStr">
        <is>
          <t>ÖREBRO</t>
        </is>
      </c>
      <c r="G317" t="n">
        <v>0.2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46104</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19831-2021</t>
        </is>
      </c>
      <c r="B319" s="1" t="n">
        <v>44313</v>
      </c>
      <c r="C319" s="1" t="n">
        <v>46104</v>
      </c>
      <c r="D319" t="inlineStr">
        <is>
          <t>ÖREBRO LÄN</t>
        </is>
      </c>
      <c r="E319" t="inlineStr">
        <is>
          <t>ÖREBRO</t>
        </is>
      </c>
      <c r="G319" t="n">
        <v>3.2</v>
      </c>
      <c r="H319" t="n">
        <v>0</v>
      </c>
      <c r="I319" t="n">
        <v>0</v>
      </c>
      <c r="J319" t="n">
        <v>0</v>
      </c>
      <c r="K319" t="n">
        <v>0</v>
      </c>
      <c r="L319" t="n">
        <v>0</v>
      </c>
      <c r="M319" t="n">
        <v>0</v>
      </c>
      <c r="N319" t="n">
        <v>0</v>
      </c>
      <c r="O319" t="n">
        <v>0</v>
      </c>
      <c r="P319" t="n">
        <v>0</v>
      </c>
      <c r="Q319" t="n">
        <v>0</v>
      </c>
      <c r="R319" s="2" t="inlineStr"/>
    </row>
    <row r="320" ht="15" customHeight="1">
      <c r="A320" t="inlineStr">
        <is>
          <t>A 5133-2024</t>
        </is>
      </c>
      <c r="B320" s="1" t="n">
        <v>45330</v>
      </c>
      <c r="C320" s="1" t="n">
        <v>46104</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58219-2024</t>
        </is>
      </c>
      <c r="B321" s="1" t="n">
        <v>45632</v>
      </c>
      <c r="C321" s="1" t="n">
        <v>46104</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10944-2026</t>
        </is>
      </c>
      <c r="B322" s="1" t="n">
        <v>46079.37659722222</v>
      </c>
      <c r="C322" s="1" t="n">
        <v>46104</v>
      </c>
      <c r="D322" t="inlineStr">
        <is>
          <t>ÖREBRO LÄN</t>
        </is>
      </c>
      <c r="E322" t="inlineStr">
        <is>
          <t>ÖREBRO</t>
        </is>
      </c>
      <c r="G322" t="n">
        <v>2.7</v>
      </c>
      <c r="H322" t="n">
        <v>0</v>
      </c>
      <c r="I322" t="n">
        <v>0</v>
      </c>
      <c r="J322" t="n">
        <v>0</v>
      </c>
      <c r="K322" t="n">
        <v>0</v>
      </c>
      <c r="L322" t="n">
        <v>0</v>
      </c>
      <c r="M322" t="n">
        <v>0</v>
      </c>
      <c r="N322" t="n">
        <v>0</v>
      </c>
      <c r="O322" t="n">
        <v>0</v>
      </c>
      <c r="P322" t="n">
        <v>0</v>
      </c>
      <c r="Q322" t="n">
        <v>0</v>
      </c>
      <c r="R322" s="2" t="inlineStr"/>
    </row>
    <row r="323" ht="15" customHeight="1">
      <c r="A323" t="inlineStr">
        <is>
          <t>A 59515-2025</t>
        </is>
      </c>
      <c r="B323" s="1" t="n">
        <v>45989.65238425926</v>
      </c>
      <c r="C323" s="1" t="n">
        <v>46104</v>
      </c>
      <c r="D323" t="inlineStr">
        <is>
          <t>ÖREBRO LÄN</t>
        </is>
      </c>
      <c r="E323" t="inlineStr">
        <is>
          <t>ÖREBRO</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51248-2025</t>
        </is>
      </c>
      <c r="B324" s="1" t="n">
        <v>45948.450625</v>
      </c>
      <c r="C324" s="1" t="n">
        <v>46104</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46104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52477-2024</t>
        </is>
      </c>
      <c r="B326" s="1" t="n">
        <v>45609</v>
      </c>
      <c r="C326" s="1" t="n">
        <v>46104</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4284-2025</t>
        </is>
      </c>
      <c r="B327" s="1" t="n">
        <v>45685</v>
      </c>
      <c r="C327" s="1" t="n">
        <v>46104</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2771-2023</t>
        </is>
      </c>
      <c r="B328" s="1" t="n">
        <v>44944.64704861111</v>
      </c>
      <c r="C328" s="1" t="n">
        <v>46104</v>
      </c>
      <c r="D328" t="inlineStr">
        <is>
          <t>ÖREBRO LÄN</t>
        </is>
      </c>
      <c r="E328" t="inlineStr">
        <is>
          <t>ÖREBRO</t>
        </is>
      </c>
      <c r="G328" t="n">
        <v>15.4</v>
      </c>
      <c r="H328" t="n">
        <v>0</v>
      </c>
      <c r="I328" t="n">
        <v>0</v>
      </c>
      <c r="J328" t="n">
        <v>0</v>
      </c>
      <c r="K328" t="n">
        <v>0</v>
      </c>
      <c r="L328" t="n">
        <v>0</v>
      </c>
      <c r="M328" t="n">
        <v>0</v>
      </c>
      <c r="N328" t="n">
        <v>0</v>
      </c>
      <c r="O328" t="n">
        <v>0</v>
      </c>
      <c r="P328" t="n">
        <v>0</v>
      </c>
      <c r="Q328" t="n">
        <v>0</v>
      </c>
      <c r="R328" s="2" t="inlineStr"/>
    </row>
    <row r="329" ht="15" customHeight="1">
      <c r="A329" t="inlineStr">
        <is>
          <t>A 2076-2025</t>
        </is>
      </c>
      <c r="B329" s="1" t="n">
        <v>45672</v>
      </c>
      <c r="C329" s="1" t="n">
        <v>46104</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2970-2026</t>
        </is>
      </c>
      <c r="B330" s="1" t="n">
        <v>46038.6202662037</v>
      </c>
      <c r="C330" s="1" t="n">
        <v>46104</v>
      </c>
      <c r="D330" t="inlineStr">
        <is>
          <t>ÖREBRO LÄN</t>
        </is>
      </c>
      <c r="E330" t="inlineStr">
        <is>
          <t>ÖREBRO</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3252-2026</t>
        </is>
      </c>
      <c r="B331" s="1" t="n">
        <v>46041.58626157408</v>
      </c>
      <c r="C331" s="1" t="n">
        <v>46104</v>
      </c>
      <c r="D331" t="inlineStr">
        <is>
          <t>ÖREBRO LÄN</t>
        </is>
      </c>
      <c r="E331" t="inlineStr">
        <is>
          <t>ÖREBRO</t>
        </is>
      </c>
      <c r="F331" t="inlineStr">
        <is>
          <t>Övriga Aktiebolag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52135-2025</t>
        </is>
      </c>
      <c r="B332" s="1" t="n">
        <v>45952.84231481481</v>
      </c>
      <c r="C332" s="1" t="n">
        <v>46104</v>
      </c>
      <c r="D332" t="inlineStr">
        <is>
          <t>ÖREBRO LÄN</t>
        </is>
      </c>
      <c r="E332" t="inlineStr">
        <is>
          <t>ÖREBRO</t>
        </is>
      </c>
      <c r="G332" t="n">
        <v>4</v>
      </c>
      <c r="H332" t="n">
        <v>0</v>
      </c>
      <c r="I332" t="n">
        <v>0</v>
      </c>
      <c r="J332" t="n">
        <v>0</v>
      </c>
      <c r="K332" t="n">
        <v>0</v>
      </c>
      <c r="L332" t="n">
        <v>0</v>
      </c>
      <c r="M332" t="n">
        <v>0</v>
      </c>
      <c r="N332" t="n">
        <v>0</v>
      </c>
      <c r="O332" t="n">
        <v>0</v>
      </c>
      <c r="P332" t="n">
        <v>0</v>
      </c>
      <c r="Q332" t="n">
        <v>0</v>
      </c>
      <c r="R332" s="2" t="inlineStr"/>
    </row>
    <row r="333" ht="15" customHeight="1">
      <c r="A333" t="inlineStr">
        <is>
          <t>A 51925-2025</t>
        </is>
      </c>
      <c r="B333" s="1" t="n">
        <v>45952.49476851852</v>
      </c>
      <c r="C333" s="1" t="n">
        <v>46104</v>
      </c>
      <c r="D333" t="inlineStr">
        <is>
          <t>ÖREBRO LÄN</t>
        </is>
      </c>
      <c r="E333" t="inlineStr">
        <is>
          <t>ÖREBRO</t>
        </is>
      </c>
      <c r="G333" t="n">
        <v>0.9</v>
      </c>
      <c r="H333" t="n">
        <v>0</v>
      </c>
      <c r="I333" t="n">
        <v>0</v>
      </c>
      <c r="J333" t="n">
        <v>0</v>
      </c>
      <c r="K333" t="n">
        <v>0</v>
      </c>
      <c r="L333" t="n">
        <v>0</v>
      </c>
      <c r="M333" t="n">
        <v>0</v>
      </c>
      <c r="N333" t="n">
        <v>0</v>
      </c>
      <c r="O333" t="n">
        <v>0</v>
      </c>
      <c r="P333" t="n">
        <v>0</v>
      </c>
      <c r="Q333" t="n">
        <v>0</v>
      </c>
      <c r="R333" s="2" t="inlineStr"/>
    </row>
    <row r="334" ht="15" customHeight="1">
      <c r="A334" t="inlineStr">
        <is>
          <t>A 51923-2025</t>
        </is>
      </c>
      <c r="B334" s="1" t="n">
        <v>45952.49300925926</v>
      </c>
      <c r="C334" s="1" t="n">
        <v>46104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51937-2025</t>
        </is>
      </c>
      <c r="B335" s="1" t="n">
        <v>45952.51270833334</v>
      </c>
      <c r="C335" s="1" t="n">
        <v>46104</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3111-2026</t>
        </is>
      </c>
      <c r="B336" s="1" t="n">
        <v>46041.36004629629</v>
      </c>
      <c r="C336" s="1" t="n">
        <v>46104</v>
      </c>
      <c r="D336" t="inlineStr">
        <is>
          <t>ÖREBRO LÄN</t>
        </is>
      </c>
      <c r="E336" t="inlineStr">
        <is>
          <t>ÖREBRO</t>
        </is>
      </c>
      <c r="F336" t="inlineStr">
        <is>
          <t>Övriga Aktiebolag</t>
        </is>
      </c>
      <c r="G336" t="n">
        <v>8.6</v>
      </c>
      <c r="H336" t="n">
        <v>0</v>
      </c>
      <c r="I336" t="n">
        <v>0</v>
      </c>
      <c r="J336" t="n">
        <v>0</v>
      </c>
      <c r="K336" t="n">
        <v>0</v>
      </c>
      <c r="L336" t="n">
        <v>0</v>
      </c>
      <c r="M336" t="n">
        <v>0</v>
      </c>
      <c r="N336" t="n">
        <v>0</v>
      </c>
      <c r="O336" t="n">
        <v>0</v>
      </c>
      <c r="P336" t="n">
        <v>0</v>
      </c>
      <c r="Q336" t="n">
        <v>0</v>
      </c>
      <c r="R336" s="2" t="inlineStr"/>
    </row>
    <row r="337" ht="15" customHeight="1">
      <c r="A337" t="inlineStr">
        <is>
          <t>A 3031-2026</t>
        </is>
      </c>
      <c r="B337" s="1" t="n">
        <v>46038.71271990741</v>
      </c>
      <c r="C337" s="1" t="n">
        <v>46104</v>
      </c>
      <c r="D337" t="inlineStr">
        <is>
          <t>ÖREBRO LÄN</t>
        </is>
      </c>
      <c r="E337" t="inlineStr">
        <is>
          <t>ÖREBRO</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3033-2026</t>
        </is>
      </c>
      <c r="B338" s="1" t="n">
        <v>46038.71920138889</v>
      </c>
      <c r="C338" s="1" t="n">
        <v>46104</v>
      </c>
      <c r="D338" t="inlineStr">
        <is>
          <t>ÖREBRO LÄN</t>
        </is>
      </c>
      <c r="E338" t="inlineStr">
        <is>
          <t>ÖREBRO</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58216-2024</t>
        </is>
      </c>
      <c r="B339" s="1" t="n">
        <v>45632</v>
      </c>
      <c r="C339" s="1" t="n">
        <v>46104</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3763-2025</t>
        </is>
      </c>
      <c r="B340" s="1" t="n">
        <v>45681</v>
      </c>
      <c r="C340" s="1" t="n">
        <v>46104</v>
      </c>
      <c r="D340" t="inlineStr">
        <is>
          <t>ÖREBRO LÄN</t>
        </is>
      </c>
      <c r="E340" t="inlineStr">
        <is>
          <t>ÖREBRO</t>
        </is>
      </c>
      <c r="G340" t="n">
        <v>10.1</v>
      </c>
      <c r="H340" t="n">
        <v>0</v>
      </c>
      <c r="I340" t="n">
        <v>0</v>
      </c>
      <c r="J340" t="n">
        <v>0</v>
      </c>
      <c r="K340" t="n">
        <v>0</v>
      </c>
      <c r="L340" t="n">
        <v>0</v>
      </c>
      <c r="M340" t="n">
        <v>0</v>
      </c>
      <c r="N340" t="n">
        <v>0</v>
      </c>
      <c r="O340" t="n">
        <v>0</v>
      </c>
      <c r="P340" t="n">
        <v>0</v>
      </c>
      <c r="Q340" t="n">
        <v>0</v>
      </c>
      <c r="R340" s="2" t="inlineStr"/>
    </row>
    <row r="341" ht="15" customHeight="1">
      <c r="A341" t="inlineStr">
        <is>
          <t>A 11286-2026</t>
        </is>
      </c>
      <c r="B341" s="1" t="n">
        <v>46080</v>
      </c>
      <c r="C341" s="1" t="n">
        <v>46104</v>
      </c>
      <c r="D341" t="inlineStr">
        <is>
          <t>ÖREBRO LÄN</t>
        </is>
      </c>
      <c r="E341" t="inlineStr">
        <is>
          <t>ÖREBRO</t>
        </is>
      </c>
      <c r="G341" t="n">
        <v>5.4</v>
      </c>
      <c r="H341" t="n">
        <v>0</v>
      </c>
      <c r="I341" t="n">
        <v>0</v>
      </c>
      <c r="J341" t="n">
        <v>0</v>
      </c>
      <c r="K341" t="n">
        <v>0</v>
      </c>
      <c r="L341" t="n">
        <v>0</v>
      </c>
      <c r="M341" t="n">
        <v>0</v>
      </c>
      <c r="N341" t="n">
        <v>0</v>
      </c>
      <c r="O341" t="n">
        <v>0</v>
      </c>
      <c r="P341" t="n">
        <v>0</v>
      </c>
      <c r="Q341" t="n">
        <v>0</v>
      </c>
      <c r="R341" s="2" t="inlineStr"/>
    </row>
    <row r="342" ht="15" customHeight="1">
      <c r="A342" t="inlineStr">
        <is>
          <t>A 30743-2025</t>
        </is>
      </c>
      <c r="B342" s="1" t="n">
        <v>45831</v>
      </c>
      <c r="C342" s="1" t="n">
        <v>46104</v>
      </c>
      <c r="D342" t="inlineStr">
        <is>
          <t>ÖREBRO LÄN</t>
        </is>
      </c>
      <c r="E342" t="inlineStr">
        <is>
          <t>ÖREBRO</t>
        </is>
      </c>
      <c r="G342" t="n">
        <v>2.9</v>
      </c>
      <c r="H342" t="n">
        <v>0</v>
      </c>
      <c r="I342" t="n">
        <v>0</v>
      </c>
      <c r="J342" t="n">
        <v>0</v>
      </c>
      <c r="K342" t="n">
        <v>0</v>
      </c>
      <c r="L342" t="n">
        <v>0</v>
      </c>
      <c r="M342" t="n">
        <v>0</v>
      </c>
      <c r="N342" t="n">
        <v>0</v>
      </c>
      <c r="O342" t="n">
        <v>0</v>
      </c>
      <c r="P342" t="n">
        <v>0</v>
      </c>
      <c r="Q342" t="n">
        <v>0</v>
      </c>
      <c r="R342" s="2" t="inlineStr"/>
    </row>
    <row r="343" ht="15" customHeight="1">
      <c r="A343" t="inlineStr">
        <is>
          <t>A 5324-2024</t>
        </is>
      </c>
      <c r="B343" s="1" t="n">
        <v>45331</v>
      </c>
      <c r="C343" s="1" t="n">
        <v>46104</v>
      </c>
      <c r="D343" t="inlineStr">
        <is>
          <t>ÖREBRO LÄN</t>
        </is>
      </c>
      <c r="E343" t="inlineStr">
        <is>
          <t>ÖREBRO</t>
        </is>
      </c>
      <c r="G343" t="n">
        <v>1.5</v>
      </c>
      <c r="H343" t="n">
        <v>0</v>
      </c>
      <c r="I343" t="n">
        <v>0</v>
      </c>
      <c r="J343" t="n">
        <v>0</v>
      </c>
      <c r="K343" t="n">
        <v>0</v>
      </c>
      <c r="L343" t="n">
        <v>0</v>
      </c>
      <c r="M343" t="n">
        <v>0</v>
      </c>
      <c r="N343" t="n">
        <v>0</v>
      </c>
      <c r="O343" t="n">
        <v>0</v>
      </c>
      <c r="P343" t="n">
        <v>0</v>
      </c>
      <c r="Q343" t="n">
        <v>0</v>
      </c>
      <c r="R343" s="2" t="inlineStr"/>
    </row>
    <row r="344" ht="15" customHeight="1">
      <c r="A344" t="inlineStr">
        <is>
          <t>A 3042-2026</t>
        </is>
      </c>
      <c r="B344" s="1" t="n">
        <v>46038.73467592592</v>
      </c>
      <c r="C344" s="1" t="n">
        <v>46104</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52382-2025</t>
        </is>
      </c>
      <c r="B345" s="1" t="n">
        <v>45953.9559837963</v>
      </c>
      <c r="C345" s="1" t="n">
        <v>46104</v>
      </c>
      <c r="D345" t="inlineStr">
        <is>
          <t>ÖREBRO LÄN</t>
        </is>
      </c>
      <c r="E345" t="inlineStr">
        <is>
          <t>ÖREBRO</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10816-2026</t>
        </is>
      </c>
      <c r="B346" s="1" t="n">
        <v>46078.61224537037</v>
      </c>
      <c r="C346" s="1" t="n">
        <v>46104</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18360-2024</t>
        </is>
      </c>
      <c r="B347" s="1" t="n">
        <v>45422</v>
      </c>
      <c r="C347" s="1" t="n">
        <v>46104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53443-2025</t>
        </is>
      </c>
      <c r="B348" s="1" t="n">
        <v>45959.6444675926</v>
      </c>
      <c r="C348" s="1" t="n">
        <v>46104</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16676-2025</t>
        </is>
      </c>
      <c r="B349" s="1" t="n">
        <v>45754.44658564815</v>
      </c>
      <c r="C349" s="1" t="n">
        <v>46104</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5357-2024</t>
        </is>
      </c>
      <c r="B350" s="1" t="n">
        <v>45331</v>
      </c>
      <c r="C350" s="1" t="n">
        <v>46104</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53437-2025</t>
        </is>
      </c>
      <c r="B351" s="1" t="n">
        <v>45959.63440972222</v>
      </c>
      <c r="C351" s="1" t="n">
        <v>46104</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57243-2022</t>
        </is>
      </c>
      <c r="B352" s="1" t="n">
        <v>44895.71835648148</v>
      </c>
      <c r="C352" s="1" t="n">
        <v>46104</v>
      </c>
      <c r="D352" t="inlineStr">
        <is>
          <t>ÖREBRO LÄN</t>
        </is>
      </c>
      <c r="E352" t="inlineStr">
        <is>
          <t>ÖREBRO</t>
        </is>
      </c>
      <c r="G352" t="n">
        <v>6</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46104</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53350-2025</t>
        </is>
      </c>
      <c r="B354" s="1" t="n">
        <v>45959.43827546296</v>
      </c>
      <c r="C354" s="1" t="n">
        <v>46104</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46104</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53343-2025</t>
        </is>
      </c>
      <c r="B356" s="1" t="n">
        <v>45959.42025462963</v>
      </c>
      <c r="C356" s="1" t="n">
        <v>46104</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50446-2023</t>
        </is>
      </c>
      <c r="B357" s="1" t="n">
        <v>45216</v>
      </c>
      <c r="C357" s="1" t="n">
        <v>46104</v>
      </c>
      <c r="D357" t="inlineStr">
        <is>
          <t>ÖREBRO LÄN</t>
        </is>
      </c>
      <c r="E357" t="inlineStr">
        <is>
          <t>ÖREBRO</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50450-2023</t>
        </is>
      </c>
      <c r="B358" s="1" t="n">
        <v>45216.73533564815</v>
      </c>
      <c r="C358" s="1" t="n">
        <v>46104</v>
      </c>
      <c r="D358" t="inlineStr">
        <is>
          <t>ÖREBRO LÄN</t>
        </is>
      </c>
      <c r="E358" t="inlineStr">
        <is>
          <t>ÖREBRO</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53715-2025</t>
        </is>
      </c>
      <c r="B359" s="1" t="n">
        <v>45960.61763888889</v>
      </c>
      <c r="C359" s="1" t="n">
        <v>46104</v>
      </c>
      <c r="D359" t="inlineStr">
        <is>
          <t>ÖREBRO LÄN</t>
        </is>
      </c>
      <c r="E359" t="inlineStr">
        <is>
          <t>ÖREBRO</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53719-2025</t>
        </is>
      </c>
      <c r="B360" s="1" t="n">
        <v>45960.62042824074</v>
      </c>
      <c r="C360" s="1" t="n">
        <v>46104</v>
      </c>
      <c r="D360" t="inlineStr">
        <is>
          <t>ÖREBRO LÄN</t>
        </is>
      </c>
      <c r="E360" t="inlineStr">
        <is>
          <t>ÖREBRO</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46104</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6879-2024</t>
        </is>
      </c>
      <c r="B362" s="1" t="n">
        <v>45342.85280092592</v>
      </c>
      <c r="C362" s="1" t="n">
        <v>46104</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46104</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58032-2023</t>
        </is>
      </c>
      <c r="B364" s="1" t="n">
        <v>45247</v>
      </c>
      <c r="C364" s="1" t="n">
        <v>46104</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58035-2023</t>
        </is>
      </c>
      <c r="B365" s="1" t="n">
        <v>45247</v>
      </c>
      <c r="C365" s="1" t="n">
        <v>46104</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54205-2025</t>
        </is>
      </c>
      <c r="B366" s="1" t="n">
        <v>45964.58512731481</v>
      </c>
      <c r="C366" s="1" t="n">
        <v>46104</v>
      </c>
      <c r="D366" t="inlineStr">
        <is>
          <t>ÖREBRO LÄN</t>
        </is>
      </c>
      <c r="E366" t="inlineStr">
        <is>
          <t>ÖREBRO</t>
        </is>
      </c>
      <c r="G366" t="n">
        <v>24.3</v>
      </c>
      <c r="H366" t="n">
        <v>0</v>
      </c>
      <c r="I366" t="n">
        <v>0</v>
      </c>
      <c r="J366" t="n">
        <v>0</v>
      </c>
      <c r="K366" t="n">
        <v>0</v>
      </c>
      <c r="L366" t="n">
        <v>0</v>
      </c>
      <c r="M366" t="n">
        <v>0</v>
      </c>
      <c r="N366" t="n">
        <v>0</v>
      </c>
      <c r="O366" t="n">
        <v>0</v>
      </c>
      <c r="P366" t="n">
        <v>0</v>
      </c>
      <c r="Q366" t="n">
        <v>0</v>
      </c>
      <c r="R366" s="2" t="inlineStr"/>
    </row>
    <row r="367" ht="15" customHeight="1">
      <c r="A367" t="inlineStr">
        <is>
          <t>A 54485-2025</t>
        </is>
      </c>
      <c r="B367" s="1" t="n">
        <v>45965.59295138889</v>
      </c>
      <c r="C367" s="1" t="n">
        <v>46104</v>
      </c>
      <c r="D367" t="inlineStr">
        <is>
          <t>ÖREBRO LÄN</t>
        </is>
      </c>
      <c r="E367" t="inlineStr">
        <is>
          <t>ÖREBRO</t>
        </is>
      </c>
      <c r="F367" t="inlineStr">
        <is>
          <t>Allmännings- och besparingsskogar</t>
        </is>
      </c>
      <c r="G367" t="n">
        <v>1.7</v>
      </c>
      <c r="H367" t="n">
        <v>0</v>
      </c>
      <c r="I367" t="n">
        <v>0</v>
      </c>
      <c r="J367" t="n">
        <v>0</v>
      </c>
      <c r="K367" t="n">
        <v>0</v>
      </c>
      <c r="L367" t="n">
        <v>0</v>
      </c>
      <c r="M367" t="n">
        <v>0</v>
      </c>
      <c r="N367" t="n">
        <v>0</v>
      </c>
      <c r="O367" t="n">
        <v>0</v>
      </c>
      <c r="P367" t="n">
        <v>0</v>
      </c>
      <c r="Q367" t="n">
        <v>0</v>
      </c>
      <c r="R367" s="2" t="inlineStr"/>
    </row>
    <row r="368" ht="15" customHeight="1">
      <c r="A368" t="inlineStr">
        <is>
          <t>A 7506-2025</t>
        </is>
      </c>
      <c r="B368" s="1" t="n">
        <v>45705</v>
      </c>
      <c r="C368" s="1" t="n">
        <v>46104</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31240-2023</t>
        </is>
      </c>
      <c r="B369" s="1" t="n">
        <v>45114</v>
      </c>
      <c r="C369" s="1" t="n">
        <v>46104</v>
      </c>
      <c r="D369" t="inlineStr">
        <is>
          <t>ÖREBRO LÄN</t>
        </is>
      </c>
      <c r="E369" t="inlineStr">
        <is>
          <t>ÖREBRO</t>
        </is>
      </c>
      <c r="F369" t="inlineStr">
        <is>
          <t>Allmännings- och besparingsskogar</t>
        </is>
      </c>
      <c r="G369" t="n">
        <v>6.2</v>
      </c>
      <c r="H369" t="n">
        <v>0</v>
      </c>
      <c r="I369" t="n">
        <v>0</v>
      </c>
      <c r="J369" t="n">
        <v>0</v>
      </c>
      <c r="K369" t="n">
        <v>0</v>
      </c>
      <c r="L369" t="n">
        <v>0</v>
      </c>
      <c r="M369" t="n">
        <v>0</v>
      </c>
      <c r="N369" t="n">
        <v>0</v>
      </c>
      <c r="O369" t="n">
        <v>0</v>
      </c>
      <c r="P369" t="n">
        <v>0</v>
      </c>
      <c r="Q369" t="n">
        <v>0</v>
      </c>
      <c r="R369" s="2" t="inlineStr"/>
    </row>
    <row r="370" ht="15" customHeight="1">
      <c r="A370" t="inlineStr">
        <is>
          <t>A 12536-2026</t>
        </is>
      </c>
      <c r="B370" s="1" t="n">
        <v>46090.60851851852</v>
      </c>
      <c r="C370" s="1" t="n">
        <v>46104</v>
      </c>
      <c r="D370" t="inlineStr">
        <is>
          <t>ÖREBRO LÄN</t>
        </is>
      </c>
      <c r="E370" t="inlineStr">
        <is>
          <t>ÖREBRO</t>
        </is>
      </c>
      <c r="G370" t="n">
        <v>7.7</v>
      </c>
      <c r="H370" t="n">
        <v>0</v>
      </c>
      <c r="I370" t="n">
        <v>0</v>
      </c>
      <c r="J370" t="n">
        <v>0</v>
      </c>
      <c r="K370" t="n">
        <v>0</v>
      </c>
      <c r="L370" t="n">
        <v>0</v>
      </c>
      <c r="M370" t="n">
        <v>0</v>
      </c>
      <c r="N370" t="n">
        <v>0</v>
      </c>
      <c r="O370" t="n">
        <v>0</v>
      </c>
      <c r="P370" t="n">
        <v>0</v>
      </c>
      <c r="Q370" t="n">
        <v>0</v>
      </c>
      <c r="R370" s="2" t="inlineStr"/>
    </row>
    <row r="371" ht="15" customHeight="1">
      <c r="A371" t="inlineStr">
        <is>
          <t>A 14717-2024</t>
        </is>
      </c>
      <c r="B371" s="1" t="n">
        <v>45397.55104166667</v>
      </c>
      <c r="C371" s="1" t="n">
        <v>46104</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37968-2024</t>
        </is>
      </c>
      <c r="B372" s="1" t="n">
        <v>45544</v>
      </c>
      <c r="C372" s="1" t="n">
        <v>46104</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25443-2021</t>
        </is>
      </c>
      <c r="B373" s="1" t="n">
        <v>44342</v>
      </c>
      <c r="C373" s="1" t="n">
        <v>46104</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13700-2024</t>
        </is>
      </c>
      <c r="B374" s="1" t="n">
        <v>45390.59277777778</v>
      </c>
      <c r="C374" s="1" t="n">
        <v>46104</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46104</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38415-2023</t>
        </is>
      </c>
      <c r="B376" s="1" t="n">
        <v>45162.35502314815</v>
      </c>
      <c r="C376" s="1" t="n">
        <v>46104</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60128-2023</t>
        </is>
      </c>
      <c r="B377" s="1" t="n">
        <v>45258</v>
      </c>
      <c r="C377" s="1" t="n">
        <v>46104</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18047-2023</t>
        </is>
      </c>
      <c r="B378" s="1" t="n">
        <v>45040</v>
      </c>
      <c r="C378" s="1" t="n">
        <v>46104</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45597.37265046296</v>
      </c>
      <c r="C379" s="1" t="n">
        <v>46104</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8022-2022</t>
        </is>
      </c>
      <c r="B380" s="1" t="n">
        <v>44609</v>
      </c>
      <c r="C380" s="1" t="n">
        <v>46104</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29978-2024</t>
        </is>
      </c>
      <c r="B381" s="1" t="n">
        <v>45488.48340277778</v>
      </c>
      <c r="C381" s="1" t="n">
        <v>46104</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19978-2025</t>
        </is>
      </c>
      <c r="B382" s="1" t="n">
        <v>45771.7062037037</v>
      </c>
      <c r="C382" s="1" t="n">
        <v>46104</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7134-2025</t>
        </is>
      </c>
      <c r="B383" s="1" t="n">
        <v>45702</v>
      </c>
      <c r="C383" s="1" t="n">
        <v>46104</v>
      </c>
      <c r="D383" t="inlineStr">
        <is>
          <t>ÖREBRO LÄN</t>
        </is>
      </c>
      <c r="E383" t="inlineStr">
        <is>
          <t>ÖREBRO</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6220-2026</t>
        </is>
      </c>
      <c r="B384" s="1" t="n">
        <v>46055.43789351852</v>
      </c>
      <c r="C384" s="1" t="n">
        <v>46104</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46104</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46104</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13321-2024</t>
        </is>
      </c>
      <c r="B387" s="1" t="n">
        <v>45386.83142361111</v>
      </c>
      <c r="C387" s="1" t="n">
        <v>46104</v>
      </c>
      <c r="D387" t="inlineStr">
        <is>
          <t>ÖREBRO LÄN</t>
        </is>
      </c>
      <c r="E387" t="inlineStr">
        <is>
          <t>ÖREBRO</t>
        </is>
      </c>
      <c r="G387" t="n">
        <v>13.1</v>
      </c>
      <c r="H387" t="n">
        <v>0</v>
      </c>
      <c r="I387" t="n">
        <v>0</v>
      </c>
      <c r="J387" t="n">
        <v>0</v>
      </c>
      <c r="K387" t="n">
        <v>0</v>
      </c>
      <c r="L387" t="n">
        <v>0</v>
      </c>
      <c r="M387" t="n">
        <v>0</v>
      </c>
      <c r="N387" t="n">
        <v>0</v>
      </c>
      <c r="O387" t="n">
        <v>0</v>
      </c>
      <c r="P387" t="n">
        <v>0</v>
      </c>
      <c r="Q387" t="n">
        <v>0</v>
      </c>
      <c r="R387" s="2" t="inlineStr"/>
    </row>
    <row r="388" ht="15" customHeight="1">
      <c r="A388" t="inlineStr">
        <is>
          <t>A 27180-2025</t>
        </is>
      </c>
      <c r="B388" s="1" t="n">
        <v>45812.35736111111</v>
      </c>
      <c r="C388" s="1" t="n">
        <v>46104</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27215-2025</t>
        </is>
      </c>
      <c r="B389" s="1" t="n">
        <v>45812.41869212963</v>
      </c>
      <c r="C389" s="1" t="n">
        <v>46104</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27225-2025</t>
        </is>
      </c>
      <c r="B390" s="1" t="n">
        <v>45812.42856481481</v>
      </c>
      <c r="C390" s="1" t="n">
        <v>46104</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13778-2026</t>
        </is>
      </c>
      <c r="B391" s="1" t="n">
        <v>46097</v>
      </c>
      <c r="C391" s="1" t="n">
        <v>46104</v>
      </c>
      <c r="D391" t="inlineStr">
        <is>
          <t>ÖREBRO LÄN</t>
        </is>
      </c>
      <c r="E391" t="inlineStr">
        <is>
          <t>ÖREBRO</t>
        </is>
      </c>
      <c r="F391" t="inlineStr">
        <is>
          <t>Övriga Aktiebolag</t>
        </is>
      </c>
      <c r="G391" t="n">
        <v>23.7</v>
      </c>
      <c r="H391" t="n">
        <v>0</v>
      </c>
      <c r="I391" t="n">
        <v>0</v>
      </c>
      <c r="J391" t="n">
        <v>0</v>
      </c>
      <c r="K391" t="n">
        <v>0</v>
      </c>
      <c r="L391" t="n">
        <v>0</v>
      </c>
      <c r="M391" t="n">
        <v>0</v>
      </c>
      <c r="N391" t="n">
        <v>0</v>
      </c>
      <c r="O391" t="n">
        <v>0</v>
      </c>
      <c r="P391" t="n">
        <v>0</v>
      </c>
      <c r="Q391" t="n">
        <v>0</v>
      </c>
      <c r="R391" s="2" t="inlineStr"/>
    </row>
    <row r="392" ht="15" customHeight="1">
      <c r="A392" t="inlineStr">
        <is>
          <t>A 15652-2025</t>
        </is>
      </c>
      <c r="B392" s="1" t="n">
        <v>45748</v>
      </c>
      <c r="C392" s="1" t="n">
        <v>46104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16737-2023</t>
        </is>
      </c>
      <c r="B393" s="1" t="n">
        <v>45030.72472222222</v>
      </c>
      <c r="C393" s="1" t="n">
        <v>46104</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27220-2025</t>
        </is>
      </c>
      <c r="B394" s="1" t="n">
        <v>45812.42293981482</v>
      </c>
      <c r="C394" s="1" t="n">
        <v>46104</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5762-2025</t>
        </is>
      </c>
      <c r="B395" s="1" t="n">
        <v>45694.57181712963</v>
      </c>
      <c r="C395" s="1" t="n">
        <v>46104</v>
      </c>
      <c r="D395" t="inlineStr">
        <is>
          <t>ÖREBRO LÄN</t>
        </is>
      </c>
      <c r="E395" t="inlineStr">
        <is>
          <t>ÖREBRO</t>
        </is>
      </c>
      <c r="F395" t="inlineStr">
        <is>
          <t>Övriga Aktiebolag</t>
        </is>
      </c>
      <c r="G395" t="n">
        <v>1.5</v>
      </c>
      <c r="H395" t="n">
        <v>0</v>
      </c>
      <c r="I395" t="n">
        <v>0</v>
      </c>
      <c r="J395" t="n">
        <v>0</v>
      </c>
      <c r="K395" t="n">
        <v>0</v>
      </c>
      <c r="L395" t="n">
        <v>0</v>
      </c>
      <c r="M395" t="n">
        <v>0</v>
      </c>
      <c r="N395" t="n">
        <v>0</v>
      </c>
      <c r="O395" t="n">
        <v>0</v>
      </c>
      <c r="P395" t="n">
        <v>0</v>
      </c>
      <c r="Q395" t="n">
        <v>0</v>
      </c>
      <c r="R395" s="2" t="inlineStr"/>
    </row>
    <row r="396" ht="15" customHeight="1">
      <c r="A396" t="inlineStr">
        <is>
          <t>A 51180-2023</t>
        </is>
      </c>
      <c r="B396" s="1" t="n">
        <v>45219</v>
      </c>
      <c r="C396" s="1" t="n">
        <v>46104</v>
      </c>
      <c r="D396" t="inlineStr">
        <is>
          <t>ÖREBRO LÄN</t>
        </is>
      </c>
      <c r="E396" t="inlineStr">
        <is>
          <t>ÖREBRO</t>
        </is>
      </c>
      <c r="G396" t="n">
        <v>6.5</v>
      </c>
      <c r="H396" t="n">
        <v>0</v>
      </c>
      <c r="I396" t="n">
        <v>0</v>
      </c>
      <c r="J396" t="n">
        <v>0</v>
      </c>
      <c r="K396" t="n">
        <v>0</v>
      </c>
      <c r="L396" t="n">
        <v>0</v>
      </c>
      <c r="M396" t="n">
        <v>0</v>
      </c>
      <c r="N396" t="n">
        <v>0</v>
      </c>
      <c r="O396" t="n">
        <v>0</v>
      </c>
      <c r="P396" t="n">
        <v>0</v>
      </c>
      <c r="Q396" t="n">
        <v>0</v>
      </c>
      <c r="R396" s="2" t="inlineStr"/>
    </row>
    <row r="397" ht="15" customHeight="1">
      <c r="A397" t="inlineStr">
        <is>
          <t>A 58621-2024</t>
        </is>
      </c>
      <c r="B397" s="1" t="n">
        <v>45635.56321759259</v>
      </c>
      <c r="C397" s="1" t="n">
        <v>46104</v>
      </c>
      <c r="D397" t="inlineStr">
        <is>
          <t>ÖREBRO LÄN</t>
        </is>
      </c>
      <c r="E397" t="inlineStr">
        <is>
          <t>ÖREBRO</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14032-2026</t>
        </is>
      </c>
      <c r="B398" s="1" t="n">
        <v>46098</v>
      </c>
      <c r="C398" s="1" t="n">
        <v>46104</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5578-2024</t>
        </is>
      </c>
      <c r="B399" s="1" t="n">
        <v>45334.49104166667</v>
      </c>
      <c r="C399" s="1" t="n">
        <v>46104</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28120-2025</t>
        </is>
      </c>
      <c r="B400" s="1" t="n">
        <v>45818.30459490741</v>
      </c>
      <c r="C400" s="1" t="n">
        <v>46104</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7550-2026</t>
        </is>
      </c>
      <c r="B401" s="1" t="n">
        <v>46059.68496527777</v>
      </c>
      <c r="C401" s="1" t="n">
        <v>46104</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7220-2026</t>
        </is>
      </c>
      <c r="B402" s="1" t="n">
        <v>46058.56126157408</v>
      </c>
      <c r="C402" s="1" t="n">
        <v>46104</v>
      </c>
      <c r="D402" t="inlineStr">
        <is>
          <t>ÖREBRO LÄN</t>
        </is>
      </c>
      <c r="E402" t="inlineStr">
        <is>
          <t>ÖREBRO</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7227-2026</t>
        </is>
      </c>
      <c r="B403" s="1" t="n">
        <v>46058.56858796296</v>
      </c>
      <c r="C403" s="1" t="n">
        <v>46104</v>
      </c>
      <c r="D403" t="inlineStr">
        <is>
          <t>ÖREBRO LÄN</t>
        </is>
      </c>
      <c r="E403" t="inlineStr">
        <is>
          <t>ÖREBRO</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32086-2023</t>
        </is>
      </c>
      <c r="B404" s="1" t="n">
        <v>45119.59789351852</v>
      </c>
      <c r="C404" s="1" t="n">
        <v>46104</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22079-2023</t>
        </is>
      </c>
      <c r="B405" s="1" t="n">
        <v>45069</v>
      </c>
      <c r="C405" s="1" t="n">
        <v>46104</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2630-2023</t>
        </is>
      </c>
      <c r="B406" s="1" t="n">
        <v>44944.39105324074</v>
      </c>
      <c r="C406" s="1" t="n">
        <v>46104</v>
      </c>
      <c r="D406" t="inlineStr">
        <is>
          <t>ÖREBRO LÄN</t>
        </is>
      </c>
      <c r="E406" t="inlineStr">
        <is>
          <t>ÖREBRO</t>
        </is>
      </c>
      <c r="G406" t="n">
        <v>6.1</v>
      </c>
      <c r="H406" t="n">
        <v>0</v>
      </c>
      <c r="I406" t="n">
        <v>0</v>
      </c>
      <c r="J406" t="n">
        <v>0</v>
      </c>
      <c r="K406" t="n">
        <v>0</v>
      </c>
      <c r="L406" t="n">
        <v>0</v>
      </c>
      <c r="M406" t="n">
        <v>0</v>
      </c>
      <c r="N406" t="n">
        <v>0</v>
      </c>
      <c r="O406" t="n">
        <v>0</v>
      </c>
      <c r="P406" t="n">
        <v>0</v>
      </c>
      <c r="Q406" t="n">
        <v>0</v>
      </c>
      <c r="R406" s="2" t="inlineStr"/>
    </row>
    <row r="407" ht="15" customHeight="1">
      <c r="A407" t="inlineStr">
        <is>
          <t>A 5330-2024</t>
        </is>
      </c>
      <c r="B407" s="1" t="n">
        <v>45331.4187962963</v>
      </c>
      <c r="C407" s="1" t="n">
        <v>46104</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54925-2023</t>
        </is>
      </c>
      <c r="B408" s="1" t="n">
        <v>45229</v>
      </c>
      <c r="C408" s="1" t="n">
        <v>46104</v>
      </c>
      <c r="D408" t="inlineStr">
        <is>
          <t>ÖREBRO LÄN</t>
        </is>
      </c>
      <c r="E408" t="inlineStr">
        <is>
          <t>ÖREBRO</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10830-2023</t>
        </is>
      </c>
      <c r="B409" s="1" t="n">
        <v>44990.89752314815</v>
      </c>
      <c r="C409" s="1" t="n">
        <v>46104</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28938-2025</t>
        </is>
      </c>
      <c r="B410" s="1" t="n">
        <v>45820.70626157407</v>
      </c>
      <c r="C410" s="1" t="n">
        <v>46104</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9585-2025</t>
        </is>
      </c>
      <c r="B411" s="1" t="n">
        <v>45715.63409722222</v>
      </c>
      <c r="C411" s="1" t="n">
        <v>46104</v>
      </c>
      <c r="D411" t="inlineStr">
        <is>
          <t>ÖREBRO LÄN</t>
        </is>
      </c>
      <c r="E411" t="inlineStr">
        <is>
          <t>ÖREBRO</t>
        </is>
      </c>
      <c r="G411" t="n">
        <v>3.4</v>
      </c>
      <c r="H411" t="n">
        <v>0</v>
      </c>
      <c r="I411" t="n">
        <v>0</v>
      </c>
      <c r="J411" t="n">
        <v>0</v>
      </c>
      <c r="K411" t="n">
        <v>0</v>
      </c>
      <c r="L411" t="n">
        <v>0</v>
      </c>
      <c r="M411" t="n">
        <v>0</v>
      </c>
      <c r="N411" t="n">
        <v>0</v>
      </c>
      <c r="O411" t="n">
        <v>0</v>
      </c>
      <c r="P411" t="n">
        <v>0</v>
      </c>
      <c r="Q411" t="n">
        <v>0</v>
      </c>
      <c r="R411" s="2" t="inlineStr"/>
    </row>
    <row r="412" ht="15" customHeight="1">
      <c r="A412" t="inlineStr">
        <is>
          <t>A 28920-2025</t>
        </is>
      </c>
      <c r="B412" s="1" t="n">
        <v>45820.66532407407</v>
      </c>
      <c r="C412" s="1" t="n">
        <v>46104</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5125-2024</t>
        </is>
      </c>
      <c r="B413" s="1" t="n">
        <v>45330</v>
      </c>
      <c r="C413" s="1" t="n">
        <v>46104</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29339-2025</t>
        </is>
      </c>
      <c r="B414" s="1" t="n">
        <v>45824.5044212963</v>
      </c>
      <c r="C414" s="1" t="n">
        <v>46104</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45258.38157407408</v>
      </c>
      <c r="C415" s="1" t="n">
        <v>46104</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26858-2024</t>
        </is>
      </c>
      <c r="B416" s="1" t="n">
        <v>45470</v>
      </c>
      <c r="C416" s="1" t="n">
        <v>46104</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42138-2024</t>
        </is>
      </c>
      <c r="B417" s="1" t="n">
        <v>45562.41854166667</v>
      </c>
      <c r="C417" s="1" t="n">
        <v>46104</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26101-2022</t>
        </is>
      </c>
      <c r="B418" s="1" t="n">
        <v>44734</v>
      </c>
      <c r="C418" s="1" t="n">
        <v>46104</v>
      </c>
      <c r="D418" t="inlineStr">
        <is>
          <t>ÖREBRO LÄN</t>
        </is>
      </c>
      <c r="E418" t="inlineStr">
        <is>
          <t>ÖREBRO</t>
        </is>
      </c>
      <c r="G418" t="n">
        <v>15.8</v>
      </c>
      <c r="H418" t="n">
        <v>0</v>
      </c>
      <c r="I418" t="n">
        <v>0</v>
      </c>
      <c r="J418" t="n">
        <v>0</v>
      </c>
      <c r="K418" t="n">
        <v>0</v>
      </c>
      <c r="L418" t="n">
        <v>0</v>
      </c>
      <c r="M418" t="n">
        <v>0</v>
      </c>
      <c r="N418" t="n">
        <v>0</v>
      </c>
      <c r="O418" t="n">
        <v>0</v>
      </c>
      <c r="P418" t="n">
        <v>0</v>
      </c>
      <c r="Q418" t="n">
        <v>0</v>
      </c>
      <c r="R418" s="2" t="inlineStr"/>
    </row>
    <row r="419" ht="15" customHeight="1">
      <c r="A419" t="inlineStr">
        <is>
          <t>A 2095-2025</t>
        </is>
      </c>
      <c r="B419" s="1" t="n">
        <v>45672</v>
      </c>
      <c r="C419" s="1" t="n">
        <v>46104</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29701-2025</t>
        </is>
      </c>
      <c r="B420" s="1" t="n">
        <v>45825.55261574074</v>
      </c>
      <c r="C420" s="1" t="n">
        <v>46104</v>
      </c>
      <c r="D420" t="inlineStr">
        <is>
          <t>ÖREBRO LÄN</t>
        </is>
      </c>
      <c r="E420" t="inlineStr">
        <is>
          <t>ÖREBRO</t>
        </is>
      </c>
      <c r="G420" t="n">
        <v>5.8</v>
      </c>
      <c r="H420" t="n">
        <v>0</v>
      </c>
      <c r="I420" t="n">
        <v>0</v>
      </c>
      <c r="J420" t="n">
        <v>0</v>
      </c>
      <c r="K420" t="n">
        <v>0</v>
      </c>
      <c r="L420" t="n">
        <v>0</v>
      </c>
      <c r="M420" t="n">
        <v>0</v>
      </c>
      <c r="N420" t="n">
        <v>0</v>
      </c>
      <c r="O420" t="n">
        <v>0</v>
      </c>
      <c r="P420" t="n">
        <v>0</v>
      </c>
      <c r="Q420" t="n">
        <v>0</v>
      </c>
      <c r="R420" s="2" t="inlineStr"/>
    </row>
    <row r="421" ht="15" customHeight="1">
      <c r="A421" t="inlineStr">
        <is>
          <t>A 71206-2021</t>
        </is>
      </c>
      <c r="B421" s="1" t="n">
        <v>44539</v>
      </c>
      <c r="C421" s="1" t="n">
        <v>46104</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48140-2024</t>
        </is>
      </c>
      <c r="B422" s="1" t="n">
        <v>45589.66474537037</v>
      </c>
      <c r="C422" s="1" t="n">
        <v>46104</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41703-2024</t>
        </is>
      </c>
      <c r="B423" s="1" t="n">
        <v>45560</v>
      </c>
      <c r="C423" s="1" t="n">
        <v>46104</v>
      </c>
      <c r="D423" t="inlineStr">
        <is>
          <t>ÖREBRO LÄN</t>
        </is>
      </c>
      <c r="E423" t="inlineStr">
        <is>
          <t>ÖREBRO</t>
        </is>
      </c>
      <c r="G423" t="n">
        <v>6.4</v>
      </c>
      <c r="H423" t="n">
        <v>0</v>
      </c>
      <c r="I423" t="n">
        <v>0</v>
      </c>
      <c r="J423" t="n">
        <v>0</v>
      </c>
      <c r="K423" t="n">
        <v>0</v>
      </c>
      <c r="L423" t="n">
        <v>0</v>
      </c>
      <c r="M423" t="n">
        <v>0</v>
      </c>
      <c r="N423" t="n">
        <v>0</v>
      </c>
      <c r="O423" t="n">
        <v>0</v>
      </c>
      <c r="P423" t="n">
        <v>0</v>
      </c>
      <c r="Q423" t="n">
        <v>0</v>
      </c>
      <c r="R423" s="2" t="inlineStr"/>
    </row>
    <row r="424" ht="15" customHeight="1">
      <c r="A424" t="inlineStr">
        <is>
          <t>A 29286-2025</t>
        </is>
      </c>
      <c r="B424" s="1" t="n">
        <v>45824.43502314815</v>
      </c>
      <c r="C424" s="1" t="n">
        <v>46104</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46104</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38489-2023</t>
        </is>
      </c>
      <c r="B426" s="1" t="n">
        <v>45162</v>
      </c>
      <c r="C426" s="1" t="n">
        <v>46104</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30550-2025</t>
        </is>
      </c>
      <c r="B427" s="1" t="n">
        <v>45831.38224537037</v>
      </c>
      <c r="C427" s="1" t="n">
        <v>46104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19763-2024</t>
        </is>
      </c>
      <c r="B428" s="1" t="n">
        <v>45432</v>
      </c>
      <c r="C428" s="1" t="n">
        <v>46104</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46104</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30731-2025</t>
        </is>
      </c>
      <c r="B430" s="1" t="n">
        <v>45831.57280092593</v>
      </c>
      <c r="C430" s="1" t="n">
        <v>46104</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54917-2023</t>
        </is>
      </c>
      <c r="B431" s="1" t="n">
        <v>45229</v>
      </c>
      <c r="C431" s="1" t="n">
        <v>46104</v>
      </c>
      <c r="D431" t="inlineStr">
        <is>
          <t>ÖREBRO LÄN</t>
        </is>
      </c>
      <c r="E431" t="inlineStr">
        <is>
          <t>ÖREBRO</t>
        </is>
      </c>
      <c r="G431" t="n">
        <v>3.1</v>
      </c>
      <c r="H431" t="n">
        <v>0</v>
      </c>
      <c r="I431" t="n">
        <v>0</v>
      </c>
      <c r="J431" t="n">
        <v>0</v>
      </c>
      <c r="K431" t="n">
        <v>0</v>
      </c>
      <c r="L431" t="n">
        <v>0</v>
      </c>
      <c r="M431" t="n">
        <v>0</v>
      </c>
      <c r="N431" t="n">
        <v>0</v>
      </c>
      <c r="O431" t="n">
        <v>0</v>
      </c>
      <c r="P431" t="n">
        <v>0</v>
      </c>
      <c r="Q431" t="n">
        <v>0</v>
      </c>
      <c r="R431" s="2" t="inlineStr"/>
    </row>
    <row r="432" ht="15" customHeight="1">
      <c r="A432" t="inlineStr">
        <is>
          <t>A 14432-2023</t>
        </is>
      </c>
      <c r="B432" s="1" t="n">
        <v>45012</v>
      </c>
      <c r="C432" s="1" t="n">
        <v>46104</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3652-2022</t>
        </is>
      </c>
      <c r="B433" s="1" t="n">
        <v>44586.46921296296</v>
      </c>
      <c r="C433" s="1" t="n">
        <v>46104</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37021-2024</t>
        </is>
      </c>
      <c r="B434" s="1" t="n">
        <v>45539.38146990741</v>
      </c>
      <c r="C434" s="1" t="n">
        <v>46104</v>
      </c>
      <c r="D434" t="inlineStr">
        <is>
          <t>ÖREBRO LÄN</t>
        </is>
      </c>
      <c r="E434" t="inlineStr">
        <is>
          <t>ÖREBRO</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31232-2025</t>
        </is>
      </c>
      <c r="B435" s="1" t="n">
        <v>45832.8252199074</v>
      </c>
      <c r="C435" s="1" t="n">
        <v>46104</v>
      </c>
      <c r="D435" t="inlineStr">
        <is>
          <t>ÖREBRO LÄN</t>
        </is>
      </c>
      <c r="E435" t="inlineStr">
        <is>
          <t>ÖREBRO</t>
        </is>
      </c>
      <c r="F435" t="inlineStr">
        <is>
          <t>Övriga Aktiebolag</t>
        </is>
      </c>
      <c r="G435" t="n">
        <v>2.1</v>
      </c>
      <c r="H435" t="n">
        <v>0</v>
      </c>
      <c r="I435" t="n">
        <v>0</v>
      </c>
      <c r="J435" t="n">
        <v>0</v>
      </c>
      <c r="K435" t="n">
        <v>0</v>
      </c>
      <c r="L435" t="n">
        <v>0</v>
      </c>
      <c r="M435" t="n">
        <v>0</v>
      </c>
      <c r="N435" t="n">
        <v>0</v>
      </c>
      <c r="O435" t="n">
        <v>0</v>
      </c>
      <c r="P435" t="n">
        <v>0</v>
      </c>
      <c r="Q435" t="n">
        <v>0</v>
      </c>
      <c r="R435" s="2" t="inlineStr"/>
    </row>
    <row r="436" ht="15" customHeight="1">
      <c r="A436" t="inlineStr">
        <is>
          <t>A 30951-2025</t>
        </is>
      </c>
      <c r="B436" s="1" t="n">
        <v>45832.43225694444</v>
      </c>
      <c r="C436" s="1" t="n">
        <v>46104</v>
      </c>
      <c r="D436" t="inlineStr">
        <is>
          <t>ÖREBRO LÄN</t>
        </is>
      </c>
      <c r="E436" t="inlineStr">
        <is>
          <t>ÖREBRO</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31233-2025</t>
        </is>
      </c>
      <c r="B437" s="1" t="n">
        <v>45832.83341435185</v>
      </c>
      <c r="C437" s="1" t="n">
        <v>46104</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52499-2024</t>
        </is>
      </c>
      <c r="B438" s="1" t="n">
        <v>45609.58422453704</v>
      </c>
      <c r="C438" s="1" t="n">
        <v>46104</v>
      </c>
      <c r="D438" t="inlineStr">
        <is>
          <t>ÖREBRO LÄN</t>
        </is>
      </c>
      <c r="E438" t="inlineStr">
        <is>
          <t>ÖREBRO</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31237-2025</t>
        </is>
      </c>
      <c r="B439" s="1" t="n">
        <v>45832.84313657408</v>
      </c>
      <c r="C439" s="1" t="n">
        <v>46104</v>
      </c>
      <c r="D439" t="inlineStr">
        <is>
          <t>ÖREBRO LÄN</t>
        </is>
      </c>
      <c r="E439" t="inlineStr">
        <is>
          <t>ÖREBRO</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14960-2025</t>
        </is>
      </c>
      <c r="B440" s="1" t="n">
        <v>45743.5853125</v>
      </c>
      <c r="C440" s="1" t="n">
        <v>46104</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13623-2024</t>
        </is>
      </c>
      <c r="B441" s="1" t="n">
        <v>45390.38626157407</v>
      </c>
      <c r="C441" s="1" t="n">
        <v>46104</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31066-2025</t>
        </is>
      </c>
      <c r="B442" s="1" t="n">
        <v>45832</v>
      </c>
      <c r="C442" s="1" t="n">
        <v>46104</v>
      </c>
      <c r="D442" t="inlineStr">
        <is>
          <t>ÖREBRO LÄN</t>
        </is>
      </c>
      <c r="E442" t="inlineStr">
        <is>
          <t>ÖREBRO</t>
        </is>
      </c>
      <c r="G442" t="n">
        <v>11.1</v>
      </c>
      <c r="H442" t="n">
        <v>0</v>
      </c>
      <c r="I442" t="n">
        <v>0</v>
      </c>
      <c r="J442" t="n">
        <v>0</v>
      </c>
      <c r="K442" t="n">
        <v>0</v>
      </c>
      <c r="L442" t="n">
        <v>0</v>
      </c>
      <c r="M442" t="n">
        <v>0</v>
      </c>
      <c r="N442" t="n">
        <v>0</v>
      </c>
      <c r="O442" t="n">
        <v>0</v>
      </c>
      <c r="P442" t="n">
        <v>0</v>
      </c>
      <c r="Q442" t="n">
        <v>0</v>
      </c>
      <c r="R442" s="2" t="inlineStr"/>
    </row>
    <row r="443" ht="15" customHeight="1">
      <c r="A443" t="inlineStr">
        <is>
          <t>A 5619-2023</t>
        </is>
      </c>
      <c r="B443" s="1" t="n">
        <v>44958</v>
      </c>
      <c r="C443" s="1" t="n">
        <v>46104</v>
      </c>
      <c r="D443" t="inlineStr">
        <is>
          <t>ÖREBRO LÄN</t>
        </is>
      </c>
      <c r="E443" t="inlineStr">
        <is>
          <t>ÖREBRO</t>
        </is>
      </c>
      <c r="G443" t="n">
        <v>27</v>
      </c>
      <c r="H443" t="n">
        <v>0</v>
      </c>
      <c r="I443" t="n">
        <v>0</v>
      </c>
      <c r="J443" t="n">
        <v>0</v>
      </c>
      <c r="K443" t="n">
        <v>0</v>
      </c>
      <c r="L443" t="n">
        <v>0</v>
      </c>
      <c r="M443" t="n">
        <v>0</v>
      </c>
      <c r="N443" t="n">
        <v>0</v>
      </c>
      <c r="O443" t="n">
        <v>0</v>
      </c>
      <c r="P443" t="n">
        <v>0</v>
      </c>
      <c r="Q443" t="n">
        <v>0</v>
      </c>
      <c r="R443" s="2" t="inlineStr"/>
    </row>
    <row r="444" ht="15" customHeight="1">
      <c r="A444" t="inlineStr">
        <is>
          <t>A 37277-2022</t>
        </is>
      </c>
      <c r="B444" s="1" t="n">
        <v>44807.49150462963</v>
      </c>
      <c r="C444" s="1" t="n">
        <v>46104</v>
      </c>
      <c r="D444" t="inlineStr">
        <is>
          <t>ÖREBRO LÄN</t>
        </is>
      </c>
      <c r="E444" t="inlineStr">
        <is>
          <t>ÖREBRO</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32188-2025</t>
        </is>
      </c>
      <c r="B445" s="1" t="n">
        <v>45835.56965277778</v>
      </c>
      <c r="C445" s="1" t="n">
        <v>46104</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32195-2025</t>
        </is>
      </c>
      <c r="B446" s="1" t="n">
        <v>45835.57407407407</v>
      </c>
      <c r="C446" s="1" t="n">
        <v>46104</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23573-2023</t>
        </is>
      </c>
      <c r="B447" s="1" t="n">
        <v>45077.41672453703</v>
      </c>
      <c r="C447" s="1" t="n">
        <v>46104</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32218-2025</t>
        </is>
      </c>
      <c r="B448" s="1" t="n">
        <v>45835.58880787037</v>
      </c>
      <c r="C448" s="1" t="n">
        <v>46104</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61593-2023</t>
        </is>
      </c>
      <c r="B449" s="1" t="n">
        <v>45265</v>
      </c>
      <c r="C449" s="1" t="n">
        <v>46104</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32904-2025</t>
        </is>
      </c>
      <c r="B450" s="1" t="n">
        <v>45839</v>
      </c>
      <c r="C450" s="1" t="n">
        <v>46104</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59024-2024</t>
        </is>
      </c>
      <c r="B451" s="1" t="n">
        <v>45636.68505787037</v>
      </c>
      <c r="C451" s="1" t="n">
        <v>46104</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32426-2025</t>
        </is>
      </c>
      <c r="B452" s="1" t="n">
        <v>45838.36179398148</v>
      </c>
      <c r="C452" s="1" t="n">
        <v>46104</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10339-2023</t>
        </is>
      </c>
      <c r="B453" s="1" t="n">
        <v>44987</v>
      </c>
      <c r="C453" s="1" t="n">
        <v>46104</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31247-2023</t>
        </is>
      </c>
      <c r="B454" s="1" t="n">
        <v>45114</v>
      </c>
      <c r="C454" s="1" t="n">
        <v>46104</v>
      </c>
      <c r="D454" t="inlineStr">
        <is>
          <t>ÖREBRO LÄN</t>
        </is>
      </c>
      <c r="E454" t="inlineStr">
        <is>
          <t>ÖREBRO</t>
        </is>
      </c>
      <c r="F454" t="inlineStr">
        <is>
          <t>Allmännings- och besparingsskogar</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16165-2023</t>
        </is>
      </c>
      <c r="B455" s="1" t="n">
        <v>45027</v>
      </c>
      <c r="C455" s="1" t="n">
        <v>46104</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33191-2025</t>
        </is>
      </c>
      <c r="B456" s="1" t="n">
        <v>45840.6003587963</v>
      </c>
      <c r="C456" s="1" t="n">
        <v>46104</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39130-2023</t>
        </is>
      </c>
      <c r="B457" s="1" t="n">
        <v>45165</v>
      </c>
      <c r="C457" s="1" t="n">
        <v>46104</v>
      </c>
      <c r="D457" t="inlineStr">
        <is>
          <t>ÖREBRO LÄN</t>
        </is>
      </c>
      <c r="E457" t="inlineStr">
        <is>
          <t>ÖREBRO</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50398-2022</t>
        </is>
      </c>
      <c r="B458" s="1" t="n">
        <v>44861</v>
      </c>
      <c r="C458" s="1" t="n">
        <v>46104</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9379-2024</t>
        </is>
      </c>
      <c r="B459" s="1" t="n">
        <v>45359.37298611111</v>
      </c>
      <c r="C459" s="1" t="n">
        <v>46104</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35345-2024</t>
        </is>
      </c>
      <c r="B460" s="1" t="n">
        <v>45530</v>
      </c>
      <c r="C460" s="1" t="n">
        <v>46104</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45517-2023</t>
        </is>
      </c>
      <c r="B461" s="1" t="n">
        <v>45194.49594907407</v>
      </c>
      <c r="C461" s="1" t="n">
        <v>46104</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32321-2023</t>
        </is>
      </c>
      <c r="B462" s="1" t="n">
        <v>45120</v>
      </c>
      <c r="C462" s="1" t="n">
        <v>46104</v>
      </c>
      <c r="D462" t="inlineStr">
        <is>
          <t>ÖREBRO LÄN</t>
        </is>
      </c>
      <c r="E462" t="inlineStr">
        <is>
          <t>ÖREBRO</t>
        </is>
      </c>
      <c r="G462" t="n">
        <v>3.4</v>
      </c>
      <c r="H462" t="n">
        <v>0</v>
      </c>
      <c r="I462" t="n">
        <v>0</v>
      </c>
      <c r="J462" t="n">
        <v>0</v>
      </c>
      <c r="K462" t="n">
        <v>0</v>
      </c>
      <c r="L462" t="n">
        <v>0</v>
      </c>
      <c r="M462" t="n">
        <v>0</v>
      </c>
      <c r="N462" t="n">
        <v>0</v>
      </c>
      <c r="O462" t="n">
        <v>0</v>
      </c>
      <c r="P462" t="n">
        <v>0</v>
      </c>
      <c r="Q462" t="n">
        <v>0</v>
      </c>
      <c r="R462" s="2" t="inlineStr"/>
    </row>
    <row r="463" ht="15" customHeight="1">
      <c r="A463" t="inlineStr">
        <is>
          <t>A 29138-2022</t>
        </is>
      </c>
      <c r="B463" s="1" t="n">
        <v>44750</v>
      </c>
      <c r="C463" s="1" t="n">
        <v>46104</v>
      </c>
      <c r="D463" t="inlineStr">
        <is>
          <t>ÖREBRO LÄN</t>
        </is>
      </c>
      <c r="E463" t="inlineStr">
        <is>
          <t>ÖREBRO</t>
        </is>
      </c>
      <c r="G463" t="n">
        <v>3.3</v>
      </c>
      <c r="H463" t="n">
        <v>0</v>
      </c>
      <c r="I463" t="n">
        <v>0</v>
      </c>
      <c r="J463" t="n">
        <v>0</v>
      </c>
      <c r="K463" t="n">
        <v>0</v>
      </c>
      <c r="L463" t="n">
        <v>0</v>
      </c>
      <c r="M463" t="n">
        <v>0</v>
      </c>
      <c r="N463" t="n">
        <v>0</v>
      </c>
      <c r="O463" t="n">
        <v>0</v>
      </c>
      <c r="P463" t="n">
        <v>0</v>
      </c>
      <c r="Q463" t="n">
        <v>0</v>
      </c>
      <c r="R463" s="2" t="inlineStr"/>
    </row>
    <row r="464" ht="15" customHeight="1">
      <c r="A464" t="inlineStr">
        <is>
          <t>A 29143-2022</t>
        </is>
      </c>
      <c r="B464" s="1" t="n">
        <v>44750</v>
      </c>
      <c r="C464" s="1" t="n">
        <v>46104</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14234-2024</t>
        </is>
      </c>
      <c r="B465" s="1" t="n">
        <v>45393.46980324074</v>
      </c>
      <c r="C465" s="1" t="n">
        <v>46104</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48687-2024</t>
        </is>
      </c>
      <c r="B466" s="1" t="n">
        <v>45593.49899305555</v>
      </c>
      <c r="C466" s="1" t="n">
        <v>46104</v>
      </c>
      <c r="D466" t="inlineStr">
        <is>
          <t>ÖREBRO LÄN</t>
        </is>
      </c>
      <c r="E466" t="inlineStr">
        <is>
          <t>ÖREBRO</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4557-2023</t>
        </is>
      </c>
      <c r="B467" s="1" t="n">
        <v>44956.6655787037</v>
      </c>
      <c r="C467" s="1" t="n">
        <v>46104</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53558-2023</t>
        </is>
      </c>
      <c r="B468" s="1" t="n">
        <v>45230.47266203703</v>
      </c>
      <c r="C468" s="1" t="n">
        <v>46104</v>
      </c>
      <c r="D468" t="inlineStr">
        <is>
          <t>ÖREBRO LÄN</t>
        </is>
      </c>
      <c r="E468" t="inlineStr">
        <is>
          <t>ÖREBRO</t>
        </is>
      </c>
      <c r="F468" t="inlineStr">
        <is>
          <t>Övriga Aktiebolag</t>
        </is>
      </c>
      <c r="G468" t="n">
        <v>4.7</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46104</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7692-2023</t>
        </is>
      </c>
      <c r="B470" s="1" t="n">
        <v>44972.7762962963</v>
      </c>
      <c r="C470" s="1" t="n">
        <v>46104</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46056-2024</t>
        </is>
      </c>
      <c r="B471" s="1" t="n">
        <v>45580.91502314815</v>
      </c>
      <c r="C471" s="1" t="n">
        <v>46104</v>
      </c>
      <c r="D471" t="inlineStr">
        <is>
          <t>ÖREBRO LÄN</t>
        </is>
      </c>
      <c r="E471" t="inlineStr">
        <is>
          <t>ÖREBRO</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57638-2022</t>
        </is>
      </c>
      <c r="B472" s="1" t="n">
        <v>44897</v>
      </c>
      <c r="C472" s="1" t="n">
        <v>46104</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35062-2025</t>
        </is>
      </c>
      <c r="B473" s="1" t="n">
        <v>45852</v>
      </c>
      <c r="C473" s="1" t="n">
        <v>46104</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8274-2025</t>
        </is>
      </c>
      <c r="B474" s="1" t="n">
        <v>45708</v>
      </c>
      <c r="C474" s="1" t="n">
        <v>46104</v>
      </c>
      <c r="D474" t="inlineStr">
        <is>
          <t>ÖREBRO LÄN</t>
        </is>
      </c>
      <c r="E474" t="inlineStr">
        <is>
          <t>ÖREBRO</t>
        </is>
      </c>
      <c r="G474" t="n">
        <v>5.8</v>
      </c>
      <c r="H474" t="n">
        <v>0</v>
      </c>
      <c r="I474" t="n">
        <v>0</v>
      </c>
      <c r="J474" t="n">
        <v>0</v>
      </c>
      <c r="K474" t="n">
        <v>0</v>
      </c>
      <c r="L474" t="n">
        <v>0</v>
      </c>
      <c r="M474" t="n">
        <v>0</v>
      </c>
      <c r="N474" t="n">
        <v>0</v>
      </c>
      <c r="O474" t="n">
        <v>0</v>
      </c>
      <c r="P474" t="n">
        <v>0</v>
      </c>
      <c r="Q474" t="n">
        <v>0</v>
      </c>
      <c r="R474" s="2" t="inlineStr"/>
    </row>
    <row r="475" ht="15" customHeight="1">
      <c r="A475" t="inlineStr">
        <is>
          <t>A 7634-2024</t>
        </is>
      </c>
      <c r="B475" s="1" t="n">
        <v>45348</v>
      </c>
      <c r="C475" s="1" t="n">
        <v>46104</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58208-2024</t>
        </is>
      </c>
      <c r="B476" s="1" t="n">
        <v>45632</v>
      </c>
      <c r="C476" s="1" t="n">
        <v>46104</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28821-2025</t>
        </is>
      </c>
      <c r="B477" s="1" t="n">
        <v>45820</v>
      </c>
      <c r="C477" s="1" t="n">
        <v>46104</v>
      </c>
      <c r="D477" t="inlineStr">
        <is>
          <t>ÖREBRO LÄN</t>
        </is>
      </c>
      <c r="E477" t="inlineStr">
        <is>
          <t>ÖREBRO</t>
        </is>
      </c>
      <c r="G477" t="n">
        <v>12.6</v>
      </c>
      <c r="H477" t="n">
        <v>0</v>
      </c>
      <c r="I477" t="n">
        <v>0</v>
      </c>
      <c r="J477" t="n">
        <v>0</v>
      </c>
      <c r="K477" t="n">
        <v>0</v>
      </c>
      <c r="L477" t="n">
        <v>0</v>
      </c>
      <c r="M477" t="n">
        <v>0</v>
      </c>
      <c r="N477" t="n">
        <v>0</v>
      </c>
      <c r="O477" t="n">
        <v>0</v>
      </c>
      <c r="P477" t="n">
        <v>0</v>
      </c>
      <c r="Q477" t="n">
        <v>0</v>
      </c>
      <c r="R477" s="2" t="inlineStr"/>
    </row>
    <row r="478" ht="15" customHeight="1">
      <c r="A478" t="inlineStr">
        <is>
          <t>A 71266-2021</t>
        </is>
      </c>
      <c r="B478" s="1" t="n">
        <v>44539</v>
      </c>
      <c r="C478" s="1" t="n">
        <v>46104</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71267-2021</t>
        </is>
      </c>
      <c r="B479" s="1" t="n">
        <v>44539</v>
      </c>
      <c r="C479" s="1" t="n">
        <v>46104</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71280-2021</t>
        </is>
      </c>
      <c r="B480" s="1" t="n">
        <v>44539</v>
      </c>
      <c r="C480" s="1" t="n">
        <v>46104</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35637-2025</t>
        </is>
      </c>
      <c r="B481" s="1" t="n">
        <v>45859.46859953704</v>
      </c>
      <c r="C481" s="1" t="n">
        <v>46104</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21983-2021</t>
        </is>
      </c>
      <c r="B482" s="1" t="n">
        <v>44323</v>
      </c>
      <c r="C482" s="1" t="n">
        <v>46104</v>
      </c>
      <c r="D482" t="inlineStr">
        <is>
          <t>ÖREBRO LÄN</t>
        </is>
      </c>
      <c r="E482" t="inlineStr">
        <is>
          <t>ÖREBRO</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62497-2023</t>
        </is>
      </c>
      <c r="B483" s="1" t="n">
        <v>45268.59935185185</v>
      </c>
      <c r="C483" s="1" t="n">
        <v>46104</v>
      </c>
      <c r="D483" t="inlineStr">
        <is>
          <t>ÖREBRO LÄN</t>
        </is>
      </c>
      <c r="E483" t="inlineStr">
        <is>
          <t>ÖREBRO</t>
        </is>
      </c>
      <c r="F483" t="inlineStr">
        <is>
          <t>Övriga Aktiebolag</t>
        </is>
      </c>
      <c r="G483" t="n">
        <v>3.2</v>
      </c>
      <c r="H483" t="n">
        <v>0</v>
      </c>
      <c r="I483" t="n">
        <v>0</v>
      </c>
      <c r="J483" t="n">
        <v>0</v>
      </c>
      <c r="K483" t="n">
        <v>0</v>
      </c>
      <c r="L483" t="n">
        <v>0</v>
      </c>
      <c r="M483" t="n">
        <v>0</v>
      </c>
      <c r="N483" t="n">
        <v>0</v>
      </c>
      <c r="O483" t="n">
        <v>0</v>
      </c>
      <c r="P483" t="n">
        <v>0</v>
      </c>
      <c r="Q483" t="n">
        <v>0</v>
      </c>
      <c r="R483" s="2" t="inlineStr"/>
    </row>
    <row r="484" ht="15" customHeight="1">
      <c r="A484" t="inlineStr">
        <is>
          <t>A 33294-2023</t>
        </is>
      </c>
      <c r="B484" s="1" t="n">
        <v>45127</v>
      </c>
      <c r="C484" s="1" t="n">
        <v>46104</v>
      </c>
      <c r="D484" t="inlineStr">
        <is>
          <t>ÖREBRO LÄN</t>
        </is>
      </c>
      <c r="E484" t="inlineStr">
        <is>
          <t>ÖREBRO</t>
        </is>
      </c>
      <c r="F484" t="inlineStr">
        <is>
          <t>Övriga Aktiebolag</t>
        </is>
      </c>
      <c r="G484" t="n">
        <v>6.7</v>
      </c>
      <c r="H484" t="n">
        <v>0</v>
      </c>
      <c r="I484" t="n">
        <v>0</v>
      </c>
      <c r="J484" t="n">
        <v>0</v>
      </c>
      <c r="K484" t="n">
        <v>0</v>
      </c>
      <c r="L484" t="n">
        <v>0</v>
      </c>
      <c r="M484" t="n">
        <v>0</v>
      </c>
      <c r="N484" t="n">
        <v>0</v>
      </c>
      <c r="O484" t="n">
        <v>0</v>
      </c>
      <c r="P484" t="n">
        <v>0</v>
      </c>
      <c r="Q484" t="n">
        <v>0</v>
      </c>
      <c r="R484" s="2" t="inlineStr"/>
    </row>
    <row r="485" ht="15" customHeight="1">
      <c r="A485" t="inlineStr">
        <is>
          <t>A 46052-2024</t>
        </is>
      </c>
      <c r="B485" s="1" t="n">
        <v>45580.89116898148</v>
      </c>
      <c r="C485" s="1" t="n">
        <v>46104</v>
      </c>
      <c r="D485" t="inlineStr">
        <is>
          <t>ÖREBRO LÄN</t>
        </is>
      </c>
      <c r="E485" t="inlineStr">
        <is>
          <t>ÖREBRO</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35928-2025</t>
        </is>
      </c>
      <c r="B486" s="1" t="n">
        <v>45862</v>
      </c>
      <c r="C486" s="1" t="n">
        <v>46104</v>
      </c>
      <c r="D486" t="inlineStr">
        <is>
          <t>ÖREBRO LÄN</t>
        </is>
      </c>
      <c r="E486" t="inlineStr">
        <is>
          <t>ÖREBRO</t>
        </is>
      </c>
      <c r="G486" t="n">
        <v>4.4</v>
      </c>
      <c r="H486" t="n">
        <v>0</v>
      </c>
      <c r="I486" t="n">
        <v>0</v>
      </c>
      <c r="J486" t="n">
        <v>0</v>
      </c>
      <c r="K486" t="n">
        <v>0</v>
      </c>
      <c r="L486" t="n">
        <v>0</v>
      </c>
      <c r="M486" t="n">
        <v>0</v>
      </c>
      <c r="N486" t="n">
        <v>0</v>
      </c>
      <c r="O486" t="n">
        <v>0</v>
      </c>
      <c r="P486" t="n">
        <v>0</v>
      </c>
      <c r="Q486" t="n">
        <v>0</v>
      </c>
      <c r="R486" s="2" t="inlineStr"/>
    </row>
    <row r="487" ht="15" customHeight="1">
      <c r="A487" t="inlineStr">
        <is>
          <t>A 32025-2024</t>
        </is>
      </c>
      <c r="B487" s="1" t="n">
        <v>45510.65754629629</v>
      </c>
      <c r="C487" s="1" t="n">
        <v>46104</v>
      </c>
      <c r="D487" t="inlineStr">
        <is>
          <t>ÖREBRO LÄN</t>
        </is>
      </c>
      <c r="E487" t="inlineStr">
        <is>
          <t>ÖREBRO</t>
        </is>
      </c>
      <c r="G487" t="n">
        <v>4</v>
      </c>
      <c r="H487" t="n">
        <v>0</v>
      </c>
      <c r="I487" t="n">
        <v>0</v>
      </c>
      <c r="J487" t="n">
        <v>0</v>
      </c>
      <c r="K487" t="n">
        <v>0</v>
      </c>
      <c r="L487" t="n">
        <v>0</v>
      </c>
      <c r="M487" t="n">
        <v>0</v>
      </c>
      <c r="N487" t="n">
        <v>0</v>
      </c>
      <c r="O487" t="n">
        <v>0</v>
      </c>
      <c r="P487" t="n">
        <v>0</v>
      </c>
      <c r="Q487" t="n">
        <v>0</v>
      </c>
      <c r="R487" s="2" t="inlineStr"/>
    </row>
    <row r="488" ht="15" customHeight="1">
      <c r="A488" t="inlineStr">
        <is>
          <t>A 54149-2024</t>
        </is>
      </c>
      <c r="B488" s="1" t="n">
        <v>45616</v>
      </c>
      <c r="C488" s="1" t="n">
        <v>46104</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55453-2024</t>
        </is>
      </c>
      <c r="B489" s="1" t="n">
        <v>45622.42097222222</v>
      </c>
      <c r="C489" s="1" t="n">
        <v>46104</v>
      </c>
      <c r="D489" t="inlineStr">
        <is>
          <t>ÖREBRO LÄN</t>
        </is>
      </c>
      <c r="E489" t="inlineStr">
        <is>
          <t>ÖREBRO</t>
        </is>
      </c>
      <c r="G489" t="n">
        <v>8.5</v>
      </c>
      <c r="H489" t="n">
        <v>0</v>
      </c>
      <c r="I489" t="n">
        <v>0</v>
      </c>
      <c r="J489" t="n">
        <v>0</v>
      </c>
      <c r="K489" t="n">
        <v>0</v>
      </c>
      <c r="L489" t="n">
        <v>0</v>
      </c>
      <c r="M489" t="n">
        <v>0</v>
      </c>
      <c r="N489" t="n">
        <v>0</v>
      </c>
      <c r="O489" t="n">
        <v>0</v>
      </c>
      <c r="P489" t="n">
        <v>0</v>
      </c>
      <c r="Q489" t="n">
        <v>0</v>
      </c>
      <c r="R489" s="2" t="inlineStr"/>
    </row>
    <row r="490" ht="15" customHeight="1">
      <c r="A490" t="inlineStr">
        <is>
          <t>A 36448-2025</t>
        </is>
      </c>
      <c r="B490" s="1" t="n">
        <v>45869.41929398148</v>
      </c>
      <c r="C490" s="1" t="n">
        <v>46104</v>
      </c>
      <c r="D490" t="inlineStr">
        <is>
          <t>ÖREBRO LÄN</t>
        </is>
      </c>
      <c r="E490" t="inlineStr">
        <is>
          <t>ÖREBRO</t>
        </is>
      </c>
      <c r="F490" t="inlineStr">
        <is>
          <t>Övriga Aktiebolag</t>
        </is>
      </c>
      <c r="G490" t="n">
        <v>4.3</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46104</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46104</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36447-2025</t>
        </is>
      </c>
      <c r="B493" s="1" t="n">
        <v>45869.41387731482</v>
      </c>
      <c r="C493" s="1" t="n">
        <v>46104</v>
      </c>
      <c r="D493" t="inlineStr">
        <is>
          <t>ÖREBRO LÄN</t>
        </is>
      </c>
      <c r="E493" t="inlineStr">
        <is>
          <t>ÖREBRO</t>
        </is>
      </c>
      <c r="F493" t="inlineStr">
        <is>
          <t>Övriga Aktiebolag</t>
        </is>
      </c>
      <c r="G493" t="n">
        <v>12.6</v>
      </c>
      <c r="H493" t="n">
        <v>0</v>
      </c>
      <c r="I493" t="n">
        <v>0</v>
      </c>
      <c r="J493" t="n">
        <v>0</v>
      </c>
      <c r="K493" t="n">
        <v>0</v>
      </c>
      <c r="L493" t="n">
        <v>0</v>
      </c>
      <c r="M493" t="n">
        <v>0</v>
      </c>
      <c r="N493" t="n">
        <v>0</v>
      </c>
      <c r="O493" t="n">
        <v>0</v>
      </c>
      <c r="P493" t="n">
        <v>0</v>
      </c>
      <c r="Q493" t="n">
        <v>0</v>
      </c>
      <c r="R493" s="2" t="inlineStr"/>
    </row>
    <row r="494" ht="15" customHeight="1">
      <c r="A494" t="inlineStr">
        <is>
          <t>A 12682-2023</t>
        </is>
      </c>
      <c r="B494" s="1" t="n">
        <v>45000.6115625</v>
      </c>
      <c r="C494" s="1" t="n">
        <v>46104</v>
      </c>
      <c r="D494" t="inlineStr">
        <is>
          <t>ÖREBRO LÄN</t>
        </is>
      </c>
      <c r="E494" t="inlineStr">
        <is>
          <t>ÖREBRO</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57247-2022</t>
        </is>
      </c>
      <c r="B495" s="1" t="n">
        <v>44895.73065972222</v>
      </c>
      <c r="C495" s="1" t="n">
        <v>46104</v>
      </c>
      <c r="D495" t="inlineStr">
        <is>
          <t>ÖREBRO LÄN</t>
        </is>
      </c>
      <c r="E495" t="inlineStr">
        <is>
          <t>ÖREBRO</t>
        </is>
      </c>
      <c r="G495" t="n">
        <v>1.6</v>
      </c>
      <c r="H495" t="n">
        <v>0</v>
      </c>
      <c r="I495" t="n">
        <v>0</v>
      </c>
      <c r="J495" t="n">
        <v>0</v>
      </c>
      <c r="K495" t="n">
        <v>0</v>
      </c>
      <c r="L495" t="n">
        <v>0</v>
      </c>
      <c r="M495" t="n">
        <v>0</v>
      </c>
      <c r="N495" t="n">
        <v>0</v>
      </c>
      <c r="O495" t="n">
        <v>0</v>
      </c>
      <c r="P495" t="n">
        <v>0</v>
      </c>
      <c r="Q495" t="n">
        <v>0</v>
      </c>
      <c r="R495" s="2" t="inlineStr"/>
    </row>
    <row r="496" ht="15" customHeight="1">
      <c r="A496" t="inlineStr">
        <is>
          <t>A 58606-2024</t>
        </is>
      </c>
      <c r="B496" s="1" t="n">
        <v>45635.54747685185</v>
      </c>
      <c r="C496" s="1" t="n">
        <v>46104</v>
      </c>
      <c r="D496" t="inlineStr">
        <is>
          <t>ÖREBRO LÄN</t>
        </is>
      </c>
      <c r="E496" t="inlineStr">
        <is>
          <t>ÖREBRO</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123-2025</t>
        </is>
      </c>
      <c r="B497" s="1" t="n">
        <v>45659.54851851852</v>
      </c>
      <c r="C497" s="1" t="n">
        <v>46104</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37012-2024</t>
        </is>
      </c>
      <c r="B498" s="1" t="n">
        <v>45539</v>
      </c>
      <c r="C498" s="1" t="n">
        <v>46104</v>
      </c>
      <c r="D498" t="inlineStr">
        <is>
          <t>ÖREBRO LÄN</t>
        </is>
      </c>
      <c r="E498" t="inlineStr">
        <is>
          <t>ÖREBRO</t>
        </is>
      </c>
      <c r="G498" t="n">
        <v>4.1</v>
      </c>
      <c r="H498" t="n">
        <v>0</v>
      </c>
      <c r="I498" t="n">
        <v>0</v>
      </c>
      <c r="J498" t="n">
        <v>0</v>
      </c>
      <c r="K498" t="n">
        <v>0</v>
      </c>
      <c r="L498" t="n">
        <v>0</v>
      </c>
      <c r="M498" t="n">
        <v>0</v>
      </c>
      <c r="N498" t="n">
        <v>0</v>
      </c>
      <c r="O498" t="n">
        <v>0</v>
      </c>
      <c r="P498" t="n">
        <v>0</v>
      </c>
      <c r="Q498" t="n">
        <v>0</v>
      </c>
      <c r="R498" s="2" t="inlineStr"/>
    </row>
    <row r="499" ht="15" customHeight="1">
      <c r="A499" t="inlineStr">
        <is>
          <t>A 37020-2024</t>
        </is>
      </c>
      <c r="B499" s="1" t="n">
        <v>45539.38059027777</v>
      </c>
      <c r="C499" s="1" t="n">
        <v>46104</v>
      </c>
      <c r="D499" t="inlineStr">
        <is>
          <t>ÖREBRO LÄN</t>
        </is>
      </c>
      <c r="E499" t="inlineStr">
        <is>
          <t>ÖREBRO</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29554-2025</t>
        </is>
      </c>
      <c r="B500" s="1" t="n">
        <v>45825</v>
      </c>
      <c r="C500" s="1" t="n">
        <v>46104</v>
      </c>
      <c r="D500" t="inlineStr">
        <is>
          <t>ÖREBRO LÄN</t>
        </is>
      </c>
      <c r="E500" t="inlineStr">
        <is>
          <t>ÖREBRO</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16958-2022</t>
        </is>
      </c>
      <c r="B501" s="1" t="n">
        <v>44676.50481481481</v>
      </c>
      <c r="C501" s="1" t="n">
        <v>46104</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5338-2024</t>
        </is>
      </c>
      <c r="B502" s="1" t="n">
        <v>45331</v>
      </c>
      <c r="C502" s="1" t="n">
        <v>46104</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46104</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13657-2025</t>
        </is>
      </c>
      <c r="B504" s="1" t="n">
        <v>45736.7427662037</v>
      </c>
      <c r="C504" s="1" t="n">
        <v>46104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9314-2023</t>
        </is>
      </c>
      <c r="B505" s="1" t="n">
        <v>44980.67747685185</v>
      </c>
      <c r="C505" s="1" t="n">
        <v>46104</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6522-2023</t>
        </is>
      </c>
      <c r="B506" s="1" t="n">
        <v>44966</v>
      </c>
      <c r="C506" s="1" t="n">
        <v>46104</v>
      </c>
      <c r="D506" t="inlineStr">
        <is>
          <t>ÖREBRO LÄN</t>
        </is>
      </c>
      <c r="E506" t="inlineStr">
        <is>
          <t>ÖREBRO</t>
        </is>
      </c>
      <c r="G506" t="n">
        <v>4.4</v>
      </c>
      <c r="H506" t="n">
        <v>0</v>
      </c>
      <c r="I506" t="n">
        <v>0</v>
      </c>
      <c r="J506" t="n">
        <v>0</v>
      </c>
      <c r="K506" t="n">
        <v>0</v>
      </c>
      <c r="L506" t="n">
        <v>0</v>
      </c>
      <c r="M506" t="n">
        <v>0</v>
      </c>
      <c r="N506" t="n">
        <v>0</v>
      </c>
      <c r="O506" t="n">
        <v>0</v>
      </c>
      <c r="P506" t="n">
        <v>0</v>
      </c>
      <c r="Q506" t="n">
        <v>0</v>
      </c>
      <c r="R506" s="2" t="inlineStr"/>
    </row>
    <row r="507" ht="15" customHeight="1">
      <c r="A507" t="inlineStr">
        <is>
          <t>A 18449-2023</t>
        </is>
      </c>
      <c r="B507" s="1" t="n">
        <v>45042.5203125</v>
      </c>
      <c r="C507" s="1" t="n">
        <v>46104</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38057-2025</t>
        </is>
      </c>
      <c r="B508" s="1" t="n">
        <v>45882.42570601852</v>
      </c>
      <c r="C508" s="1" t="n">
        <v>46104</v>
      </c>
      <c r="D508" t="inlineStr">
        <is>
          <t>ÖREBRO LÄN</t>
        </is>
      </c>
      <c r="E508" t="inlineStr">
        <is>
          <t>ÖREBRO</t>
        </is>
      </c>
      <c r="G508" t="n">
        <v>3</v>
      </c>
      <c r="H508" t="n">
        <v>0</v>
      </c>
      <c r="I508" t="n">
        <v>0</v>
      </c>
      <c r="J508" t="n">
        <v>0</v>
      </c>
      <c r="K508" t="n">
        <v>0</v>
      </c>
      <c r="L508" t="n">
        <v>0</v>
      </c>
      <c r="M508" t="n">
        <v>0</v>
      </c>
      <c r="N508" t="n">
        <v>0</v>
      </c>
      <c r="O508" t="n">
        <v>0</v>
      </c>
      <c r="P508" t="n">
        <v>0</v>
      </c>
      <c r="Q508" t="n">
        <v>0</v>
      </c>
      <c r="R508" s="2" t="inlineStr"/>
    </row>
    <row r="509" ht="15" customHeight="1">
      <c r="A509" t="inlineStr">
        <is>
          <t>A 16736-2023</t>
        </is>
      </c>
      <c r="B509" s="1" t="n">
        <v>45030.72328703704</v>
      </c>
      <c r="C509" s="1" t="n">
        <v>46104</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50375-2024</t>
        </is>
      </c>
      <c r="B510" s="1" t="n">
        <v>45601.29311342593</v>
      </c>
      <c r="C510" s="1" t="n">
        <v>46104</v>
      </c>
      <c r="D510" t="inlineStr">
        <is>
          <t>ÖREBRO LÄN</t>
        </is>
      </c>
      <c r="E510" t="inlineStr">
        <is>
          <t>ÖREBRO</t>
        </is>
      </c>
      <c r="G510" t="n">
        <v>5</v>
      </c>
      <c r="H510" t="n">
        <v>0</v>
      </c>
      <c r="I510" t="n">
        <v>0</v>
      </c>
      <c r="J510" t="n">
        <v>0</v>
      </c>
      <c r="K510" t="n">
        <v>0</v>
      </c>
      <c r="L510" t="n">
        <v>0</v>
      </c>
      <c r="M510" t="n">
        <v>0</v>
      </c>
      <c r="N510" t="n">
        <v>0</v>
      </c>
      <c r="O510" t="n">
        <v>0</v>
      </c>
      <c r="P510" t="n">
        <v>0</v>
      </c>
      <c r="Q510" t="n">
        <v>0</v>
      </c>
      <c r="R510" s="2" t="inlineStr"/>
    </row>
    <row r="511" ht="15" customHeight="1">
      <c r="A511" t="inlineStr">
        <is>
          <t>A 22045-2024</t>
        </is>
      </c>
      <c r="B511" s="1" t="n">
        <v>45443.61171296296</v>
      </c>
      <c r="C511" s="1" t="n">
        <v>46104</v>
      </c>
      <c r="D511" t="inlineStr">
        <is>
          <t>ÖREBRO LÄN</t>
        </is>
      </c>
      <c r="E511" t="inlineStr">
        <is>
          <t>ÖREBRO</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3-2024</t>
        </is>
      </c>
      <c r="B512" s="1" t="n">
        <v>45292</v>
      </c>
      <c r="C512" s="1" t="n">
        <v>46104</v>
      </c>
      <c r="D512" t="inlineStr">
        <is>
          <t>ÖREBRO LÄN</t>
        </is>
      </c>
      <c r="E512" t="inlineStr">
        <is>
          <t>ÖREBRO</t>
        </is>
      </c>
      <c r="G512" t="n">
        <v>2.7</v>
      </c>
      <c r="H512" t="n">
        <v>0</v>
      </c>
      <c r="I512" t="n">
        <v>0</v>
      </c>
      <c r="J512" t="n">
        <v>0</v>
      </c>
      <c r="K512" t="n">
        <v>0</v>
      </c>
      <c r="L512" t="n">
        <v>0</v>
      </c>
      <c r="M512" t="n">
        <v>0</v>
      </c>
      <c r="N512" t="n">
        <v>0</v>
      </c>
      <c r="O512" t="n">
        <v>0</v>
      </c>
      <c r="P512" t="n">
        <v>0</v>
      </c>
      <c r="Q512" t="n">
        <v>0</v>
      </c>
      <c r="R512" s="2" t="inlineStr"/>
    </row>
    <row r="513" ht="15" customHeight="1">
      <c r="A513" t="inlineStr">
        <is>
          <t>A 21306-2024</t>
        </is>
      </c>
      <c r="B513" s="1" t="n">
        <v>45440.67883101852</v>
      </c>
      <c r="C513" s="1" t="n">
        <v>46104</v>
      </c>
      <c r="D513" t="inlineStr">
        <is>
          <t>ÖREBRO LÄN</t>
        </is>
      </c>
      <c r="E513" t="inlineStr">
        <is>
          <t>ÖREBRO</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1257-2022</t>
        </is>
      </c>
      <c r="B514" s="1" t="n">
        <v>44572</v>
      </c>
      <c r="C514" s="1" t="n">
        <v>46104</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64730-2023</t>
        </is>
      </c>
      <c r="B515" s="1" t="n">
        <v>45281</v>
      </c>
      <c r="C515" s="1" t="n">
        <v>46104</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6869-2025</t>
        </is>
      </c>
      <c r="B516" s="1" t="n">
        <v>45700</v>
      </c>
      <c r="C516" s="1" t="n">
        <v>46104</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4416-2023</t>
        </is>
      </c>
      <c r="B517" s="1" t="n">
        <v>44956</v>
      </c>
      <c r="C517" s="1" t="n">
        <v>46104</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46104</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17983-2025</t>
        </is>
      </c>
      <c r="B519" s="1" t="n">
        <v>45761.38829861111</v>
      </c>
      <c r="C519" s="1" t="n">
        <v>46104</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46104</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46104</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46104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46104</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7611-2024</t>
        </is>
      </c>
      <c r="B524" s="1" t="n">
        <v>45348.58864583333</v>
      </c>
      <c r="C524" s="1" t="n">
        <v>46104</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15789-2023</t>
        </is>
      </c>
      <c r="B525" s="1" t="n">
        <v>45021.71539351852</v>
      </c>
      <c r="C525" s="1" t="n">
        <v>46104</v>
      </c>
      <c r="D525" t="inlineStr">
        <is>
          <t>ÖREBRO LÄN</t>
        </is>
      </c>
      <c r="E525" t="inlineStr">
        <is>
          <t>ÖREBRO</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52612-2024</t>
        </is>
      </c>
      <c r="B526" s="1" t="n">
        <v>45609</v>
      </c>
      <c r="C526" s="1" t="n">
        <v>46104</v>
      </c>
      <c r="D526" t="inlineStr">
        <is>
          <t>ÖREBRO LÄN</t>
        </is>
      </c>
      <c r="E526" t="inlineStr">
        <is>
          <t>ÖREBRO</t>
        </is>
      </c>
      <c r="F526" t="inlineStr">
        <is>
          <t>Kommuner</t>
        </is>
      </c>
      <c r="G526" t="n">
        <v>5.5</v>
      </c>
      <c r="H526" t="n">
        <v>0</v>
      </c>
      <c r="I526" t="n">
        <v>0</v>
      </c>
      <c r="J526" t="n">
        <v>0</v>
      </c>
      <c r="K526" t="n">
        <v>0</v>
      </c>
      <c r="L526" t="n">
        <v>0</v>
      </c>
      <c r="M526" t="n">
        <v>0</v>
      </c>
      <c r="N526" t="n">
        <v>0</v>
      </c>
      <c r="O526" t="n">
        <v>0</v>
      </c>
      <c r="P526" t="n">
        <v>0</v>
      </c>
      <c r="Q526" t="n">
        <v>0</v>
      </c>
      <c r="R526" s="2" t="inlineStr"/>
    </row>
    <row r="527" ht="15" customHeight="1">
      <c r="A527" t="inlineStr">
        <is>
          <t>A 37786-2024</t>
        </is>
      </c>
      <c r="B527" s="1" t="n">
        <v>45542.82987268519</v>
      </c>
      <c r="C527" s="1" t="n">
        <v>46104</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55875-2024</t>
        </is>
      </c>
      <c r="B528" s="1" t="n">
        <v>45623.55375</v>
      </c>
      <c r="C528" s="1" t="n">
        <v>46104</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3841-2023</t>
        </is>
      </c>
      <c r="B529" s="1" t="n">
        <v>44951</v>
      </c>
      <c r="C529" s="1" t="n">
        <v>46104</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49215-2023</t>
        </is>
      </c>
      <c r="B530" s="1" t="n">
        <v>45210.61050925926</v>
      </c>
      <c r="C530" s="1" t="n">
        <v>46104</v>
      </c>
      <c r="D530" t="inlineStr">
        <is>
          <t>ÖREBRO LÄN</t>
        </is>
      </c>
      <c r="E530" t="inlineStr">
        <is>
          <t>ÖREBRO</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46104</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19553-2023</t>
        </is>
      </c>
      <c r="B532" s="1" t="n">
        <v>45050</v>
      </c>
      <c r="C532" s="1" t="n">
        <v>46104</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14291-2023</t>
        </is>
      </c>
      <c r="B533" s="1" t="n">
        <v>45010</v>
      </c>
      <c r="C533" s="1" t="n">
        <v>46104</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58527-2024</t>
        </is>
      </c>
      <c r="B534" s="1" t="n">
        <v>45635.44388888889</v>
      </c>
      <c r="C534" s="1" t="n">
        <v>46104</v>
      </c>
      <c r="D534" t="inlineStr">
        <is>
          <t>ÖREBRO LÄN</t>
        </is>
      </c>
      <c r="E534" t="inlineStr">
        <is>
          <t>ÖREBRO</t>
        </is>
      </c>
      <c r="F534" t="inlineStr">
        <is>
          <t>Sveaskog</t>
        </is>
      </c>
      <c r="G534" t="n">
        <v>6.4</v>
      </c>
      <c r="H534" t="n">
        <v>0</v>
      </c>
      <c r="I534" t="n">
        <v>0</v>
      </c>
      <c r="J534" t="n">
        <v>0</v>
      </c>
      <c r="K534" t="n">
        <v>0</v>
      </c>
      <c r="L534" t="n">
        <v>0</v>
      </c>
      <c r="M534" t="n">
        <v>0</v>
      </c>
      <c r="N534" t="n">
        <v>0</v>
      </c>
      <c r="O534" t="n">
        <v>0</v>
      </c>
      <c r="P534" t="n">
        <v>0</v>
      </c>
      <c r="Q534" t="n">
        <v>0</v>
      </c>
      <c r="R534" s="2" t="inlineStr"/>
    </row>
    <row r="535" ht="15" customHeight="1">
      <c r="A535" t="inlineStr">
        <is>
          <t>A 55593-2022</t>
        </is>
      </c>
      <c r="B535" s="1" t="n">
        <v>44888</v>
      </c>
      <c r="C535" s="1" t="n">
        <v>46104</v>
      </c>
      <c r="D535" t="inlineStr">
        <is>
          <t>ÖREBRO LÄN</t>
        </is>
      </c>
      <c r="E535" t="inlineStr">
        <is>
          <t>ÖREBRO</t>
        </is>
      </c>
      <c r="G535" t="n">
        <v>3.6</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46104</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46104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59121-2024</t>
        </is>
      </c>
      <c r="B538" s="1" t="n">
        <v>45637.37755787037</v>
      </c>
      <c r="C538" s="1" t="n">
        <v>46104</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46104</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12099-2023</t>
        </is>
      </c>
      <c r="B540" s="1" t="n">
        <v>44998.37043981482</v>
      </c>
      <c r="C540" s="1" t="n">
        <v>46104</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46104</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46104</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10832-2023</t>
        </is>
      </c>
      <c r="B543" s="1" t="n">
        <v>44990.91711805556</v>
      </c>
      <c r="C543" s="1" t="n">
        <v>46104</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48581-2024</t>
        </is>
      </c>
      <c r="B544" s="1" t="n">
        <v>45593.41642361111</v>
      </c>
      <c r="C544" s="1" t="n">
        <v>46104</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40231-2022</t>
        </is>
      </c>
      <c r="B545" s="1" t="n">
        <v>44820</v>
      </c>
      <c r="C545" s="1" t="n">
        <v>46104</v>
      </c>
      <c r="D545" t="inlineStr">
        <is>
          <t>ÖREBRO LÄN</t>
        </is>
      </c>
      <c r="E545" t="inlineStr">
        <is>
          <t>ÖREBRO</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14963-2025</t>
        </is>
      </c>
      <c r="B546" s="1" t="n">
        <v>45743.58699074074</v>
      </c>
      <c r="C546" s="1" t="n">
        <v>46104</v>
      </c>
      <c r="D546" t="inlineStr">
        <is>
          <t>ÖREBRO LÄN</t>
        </is>
      </c>
      <c r="E546" t="inlineStr">
        <is>
          <t>ÖREBRO</t>
        </is>
      </c>
      <c r="G546" t="n">
        <v>9.1</v>
      </c>
      <c r="H546" t="n">
        <v>0</v>
      </c>
      <c r="I546" t="n">
        <v>0</v>
      </c>
      <c r="J546" t="n">
        <v>0</v>
      </c>
      <c r="K546" t="n">
        <v>0</v>
      </c>
      <c r="L546" t="n">
        <v>0</v>
      </c>
      <c r="M546" t="n">
        <v>0</v>
      </c>
      <c r="N546" t="n">
        <v>0</v>
      </c>
      <c r="O546" t="n">
        <v>0</v>
      </c>
      <c r="P546" t="n">
        <v>0</v>
      </c>
      <c r="Q546" t="n">
        <v>0</v>
      </c>
      <c r="R546" s="2" t="inlineStr"/>
    </row>
    <row r="547" ht="15" customHeight="1">
      <c r="A547" t="inlineStr">
        <is>
          <t>A 33455-2023</t>
        </is>
      </c>
      <c r="B547" s="1" t="n">
        <v>45130.98962962963</v>
      </c>
      <c r="C547" s="1" t="n">
        <v>46104</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2069-2025</t>
        </is>
      </c>
      <c r="B548" s="1" t="n">
        <v>45672.56614583333</v>
      </c>
      <c r="C548" s="1" t="n">
        <v>46104</v>
      </c>
      <c r="D548" t="inlineStr">
        <is>
          <t>ÖREBRO LÄN</t>
        </is>
      </c>
      <c r="E548" t="inlineStr">
        <is>
          <t>ÖREBRO</t>
        </is>
      </c>
      <c r="G548" t="n">
        <v>3.8</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46104</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42518-2021</t>
        </is>
      </c>
      <c r="B550" s="1" t="n">
        <v>44427.81496527778</v>
      </c>
      <c r="C550" s="1" t="n">
        <v>46104</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14524-2025</t>
        </is>
      </c>
      <c r="B551" s="1" t="n">
        <v>45741.64815972222</v>
      </c>
      <c r="C551" s="1" t="n">
        <v>46104</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15354-2024</t>
        </is>
      </c>
      <c r="B552" s="1" t="n">
        <v>45400.85319444445</v>
      </c>
      <c r="C552" s="1" t="n">
        <v>46104</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41543-2024</t>
        </is>
      </c>
      <c r="B553" s="1" t="n">
        <v>45560</v>
      </c>
      <c r="C553" s="1" t="n">
        <v>46104</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71275-2021</t>
        </is>
      </c>
      <c r="B554" s="1" t="n">
        <v>44539</v>
      </c>
      <c r="C554" s="1" t="n">
        <v>46104</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71285-2021</t>
        </is>
      </c>
      <c r="B555" s="1" t="n">
        <v>44539.62236111111</v>
      </c>
      <c r="C555" s="1" t="n">
        <v>46104</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2658-2023</t>
        </is>
      </c>
      <c r="B556" s="1" t="n">
        <v>44944</v>
      </c>
      <c r="C556" s="1" t="n">
        <v>46104</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46104</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46104</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27112-2023</t>
        </is>
      </c>
      <c r="B559" s="1" t="n">
        <v>45096</v>
      </c>
      <c r="C559" s="1" t="n">
        <v>46104</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16739-2022</t>
        </is>
      </c>
      <c r="B560" s="1" t="n">
        <v>44673</v>
      </c>
      <c r="C560" s="1" t="n">
        <v>46104</v>
      </c>
      <c r="D560" t="inlineStr">
        <is>
          <t>ÖREBRO LÄN</t>
        </is>
      </c>
      <c r="E560" t="inlineStr">
        <is>
          <t>ÖREBRO</t>
        </is>
      </c>
      <c r="G560" t="n">
        <v>4.7</v>
      </c>
      <c r="H560" t="n">
        <v>0</v>
      </c>
      <c r="I560" t="n">
        <v>0</v>
      </c>
      <c r="J560" t="n">
        <v>0</v>
      </c>
      <c r="K560" t="n">
        <v>0</v>
      </c>
      <c r="L560" t="n">
        <v>0</v>
      </c>
      <c r="M560" t="n">
        <v>0</v>
      </c>
      <c r="N560" t="n">
        <v>0</v>
      </c>
      <c r="O560" t="n">
        <v>0</v>
      </c>
      <c r="P560" t="n">
        <v>0</v>
      </c>
      <c r="Q560" t="n">
        <v>0</v>
      </c>
      <c r="R560" s="2" t="inlineStr"/>
    </row>
    <row r="561" ht="15" customHeight="1">
      <c r="A561" t="inlineStr">
        <is>
          <t>A 13592-2023</t>
        </is>
      </c>
      <c r="B561" s="1" t="n">
        <v>45006.56870370371</v>
      </c>
      <c r="C561" s="1" t="n">
        <v>46104</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40656-2023</t>
        </is>
      </c>
      <c r="B562" s="1" t="n">
        <v>45170</v>
      </c>
      <c r="C562" s="1" t="n">
        <v>46104</v>
      </c>
      <c r="D562" t="inlineStr">
        <is>
          <t>ÖREBRO LÄN</t>
        </is>
      </c>
      <c r="E562" t="inlineStr">
        <is>
          <t>ÖREBRO</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12245-2023</t>
        </is>
      </c>
      <c r="B563" s="1" t="n">
        <v>44998.64402777778</v>
      </c>
      <c r="C563" s="1" t="n">
        <v>46104</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46104</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46104</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46104</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57869-2024</t>
        </is>
      </c>
      <c r="B567" s="1" t="n">
        <v>45631.44207175926</v>
      </c>
      <c r="C567" s="1" t="n">
        <v>46104</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46104</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1647-2024</t>
        </is>
      </c>
      <c r="B569" s="1" t="n">
        <v>45306</v>
      </c>
      <c r="C569" s="1" t="n">
        <v>46104</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31906-2023</t>
        </is>
      </c>
      <c r="B570" s="1" t="n">
        <v>45118.8353125</v>
      </c>
      <c r="C570" s="1" t="n">
        <v>46104</v>
      </c>
      <c r="D570" t="inlineStr">
        <is>
          <t>ÖREBRO LÄN</t>
        </is>
      </c>
      <c r="E570" t="inlineStr">
        <is>
          <t>ÖREBRO</t>
        </is>
      </c>
      <c r="G570" t="n">
        <v>9</v>
      </c>
      <c r="H570" t="n">
        <v>0</v>
      </c>
      <c r="I570" t="n">
        <v>0</v>
      </c>
      <c r="J570" t="n">
        <v>0</v>
      </c>
      <c r="K570" t="n">
        <v>0</v>
      </c>
      <c r="L570" t="n">
        <v>0</v>
      </c>
      <c r="M570" t="n">
        <v>0</v>
      </c>
      <c r="N570" t="n">
        <v>0</v>
      </c>
      <c r="O570" t="n">
        <v>0</v>
      </c>
      <c r="P570" t="n">
        <v>0</v>
      </c>
      <c r="Q570" t="n">
        <v>0</v>
      </c>
      <c r="R570" s="2" t="inlineStr"/>
    </row>
    <row r="571" ht="15" customHeight="1">
      <c r="A571" t="inlineStr">
        <is>
          <t>A 31326-2024</t>
        </is>
      </c>
      <c r="B571" s="1" t="n">
        <v>45504.5934375</v>
      </c>
      <c r="C571" s="1" t="n">
        <v>46104</v>
      </c>
      <c r="D571" t="inlineStr">
        <is>
          <t>ÖREBRO LÄN</t>
        </is>
      </c>
      <c r="E571" t="inlineStr">
        <is>
          <t>ÖREBRO</t>
        </is>
      </c>
      <c r="G571" t="n">
        <v>6.4</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46104</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16694-2025</t>
        </is>
      </c>
      <c r="B573" s="1" t="n">
        <v>45754.46480324074</v>
      </c>
      <c r="C573" s="1" t="n">
        <v>46104</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30374-2023</t>
        </is>
      </c>
      <c r="B574" s="1" t="n">
        <v>45111</v>
      </c>
      <c r="C574" s="1" t="n">
        <v>46104</v>
      </c>
      <c r="D574" t="inlineStr">
        <is>
          <t>ÖREBRO LÄN</t>
        </is>
      </c>
      <c r="E574" t="inlineStr">
        <is>
          <t>ÖREBRO</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38898-2023</t>
        </is>
      </c>
      <c r="B575" s="1" t="n">
        <v>45163</v>
      </c>
      <c r="C575" s="1" t="n">
        <v>46104</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5764-2022</t>
        </is>
      </c>
      <c r="B576" s="1" t="n">
        <v>44596</v>
      </c>
      <c r="C576" s="1" t="n">
        <v>46104</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21036-2024</t>
        </is>
      </c>
      <c r="B577" s="1" t="n">
        <v>45439.65954861111</v>
      </c>
      <c r="C577" s="1" t="n">
        <v>46104</v>
      </c>
      <c r="D577" t="inlineStr">
        <is>
          <t>ÖREBRO LÄN</t>
        </is>
      </c>
      <c r="E577" t="inlineStr">
        <is>
          <t>ÖREBRO</t>
        </is>
      </c>
      <c r="F577" t="inlineStr">
        <is>
          <t>Övriga Aktiebolag</t>
        </is>
      </c>
      <c r="G577" t="n">
        <v>5.7</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46104</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58615-2024</t>
        </is>
      </c>
      <c r="B579" s="1" t="n">
        <v>45635.5587037037</v>
      </c>
      <c r="C579" s="1" t="n">
        <v>46104</v>
      </c>
      <c r="D579" t="inlineStr">
        <is>
          <t>ÖREBRO LÄN</t>
        </is>
      </c>
      <c r="E579" t="inlineStr">
        <is>
          <t>ÖREBRO</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58620-2024</t>
        </is>
      </c>
      <c r="B580" s="1" t="n">
        <v>45635.56246527778</v>
      </c>
      <c r="C580" s="1" t="n">
        <v>46104</v>
      </c>
      <c r="D580" t="inlineStr">
        <is>
          <t>ÖREBRO LÄN</t>
        </is>
      </c>
      <c r="E580" t="inlineStr">
        <is>
          <t>ÖREBRO</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1014-2024</t>
        </is>
      </c>
      <c r="B581" s="1" t="n">
        <v>45301</v>
      </c>
      <c r="C581" s="1" t="n">
        <v>46104</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30472-2022</t>
        </is>
      </c>
      <c r="B582" s="1" t="n">
        <v>44761.70467592592</v>
      </c>
      <c r="C582" s="1" t="n">
        <v>46104</v>
      </c>
      <c r="D582" t="inlineStr">
        <is>
          <t>ÖREBRO LÄN</t>
        </is>
      </c>
      <c r="E582" t="inlineStr">
        <is>
          <t>ÖREBRO</t>
        </is>
      </c>
      <c r="F582" t="inlineStr">
        <is>
          <t>Övriga Aktiebolag</t>
        </is>
      </c>
      <c r="G582" t="n">
        <v>5.6</v>
      </c>
      <c r="H582" t="n">
        <v>0</v>
      </c>
      <c r="I582" t="n">
        <v>0</v>
      </c>
      <c r="J582" t="n">
        <v>0</v>
      </c>
      <c r="K582" t="n">
        <v>0</v>
      </c>
      <c r="L582" t="n">
        <v>0</v>
      </c>
      <c r="M582" t="n">
        <v>0</v>
      </c>
      <c r="N582" t="n">
        <v>0</v>
      </c>
      <c r="O582" t="n">
        <v>0</v>
      </c>
      <c r="P582" t="n">
        <v>0</v>
      </c>
      <c r="Q582" t="n">
        <v>0</v>
      </c>
      <c r="R582" s="2" t="inlineStr"/>
    </row>
    <row r="583" ht="15" customHeight="1">
      <c r="A583" t="inlineStr">
        <is>
          <t>A 34056-2023</t>
        </is>
      </c>
      <c r="B583" s="1" t="n">
        <v>45135</v>
      </c>
      <c r="C583" s="1" t="n">
        <v>46104</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46104</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51373-2023</t>
        </is>
      </c>
      <c r="B585" s="1" t="n">
        <v>45213</v>
      </c>
      <c r="C585" s="1" t="n">
        <v>46104</v>
      </c>
      <c r="D585" t="inlineStr">
        <is>
          <t>ÖREBRO LÄN</t>
        </is>
      </c>
      <c r="E585" t="inlineStr">
        <is>
          <t>ÖREBRO</t>
        </is>
      </c>
      <c r="G585" t="n">
        <v>5.9</v>
      </c>
      <c r="H585" t="n">
        <v>0</v>
      </c>
      <c r="I585" t="n">
        <v>0</v>
      </c>
      <c r="J585" t="n">
        <v>0</v>
      </c>
      <c r="K585" t="n">
        <v>0</v>
      </c>
      <c r="L585" t="n">
        <v>0</v>
      </c>
      <c r="M585" t="n">
        <v>0</v>
      </c>
      <c r="N585" t="n">
        <v>0</v>
      </c>
      <c r="O585" t="n">
        <v>0</v>
      </c>
      <c r="P585" t="n">
        <v>0</v>
      </c>
      <c r="Q585" t="n">
        <v>0</v>
      </c>
      <c r="R585" s="2" t="inlineStr"/>
    </row>
    <row r="586" ht="15" customHeight="1">
      <c r="A586" t="inlineStr">
        <is>
          <t>A 35843-2022</t>
        </is>
      </c>
      <c r="B586" s="1" t="n">
        <v>44802</v>
      </c>
      <c r="C586" s="1" t="n">
        <v>46104</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13599-2025</t>
        </is>
      </c>
      <c r="B587" s="1" t="n">
        <v>45736.60597222222</v>
      </c>
      <c r="C587" s="1" t="n">
        <v>46104</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20146-2024</t>
        </is>
      </c>
      <c r="B588" s="1" t="n">
        <v>45434.57641203704</v>
      </c>
      <c r="C588" s="1" t="n">
        <v>46104</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10937-2024</t>
        </is>
      </c>
      <c r="B589" s="1" t="n">
        <v>45370.44461805555</v>
      </c>
      <c r="C589" s="1" t="n">
        <v>46104</v>
      </c>
      <c r="D589" t="inlineStr">
        <is>
          <t>ÖREBRO LÄN</t>
        </is>
      </c>
      <c r="E589" t="inlineStr">
        <is>
          <t>ÖREBRO</t>
        </is>
      </c>
      <c r="G589" t="n">
        <v>4.3</v>
      </c>
      <c r="H589" t="n">
        <v>0</v>
      </c>
      <c r="I589" t="n">
        <v>0</v>
      </c>
      <c r="J589" t="n">
        <v>0</v>
      </c>
      <c r="K589" t="n">
        <v>0</v>
      </c>
      <c r="L589" t="n">
        <v>0</v>
      </c>
      <c r="M589" t="n">
        <v>0</v>
      </c>
      <c r="N589" t="n">
        <v>0</v>
      </c>
      <c r="O589" t="n">
        <v>0</v>
      </c>
      <c r="P589" t="n">
        <v>0</v>
      </c>
      <c r="Q589" t="n">
        <v>0</v>
      </c>
      <c r="R589" s="2" t="inlineStr"/>
    </row>
    <row r="590" ht="15" customHeight="1">
      <c r="A590" t="inlineStr">
        <is>
          <t>A 20115-2024</t>
        </is>
      </c>
      <c r="B590" s="1" t="n">
        <v>45434</v>
      </c>
      <c r="C590" s="1" t="n">
        <v>46104</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46104</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46104</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46104</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46104</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46104</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46104</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46104</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46104</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58608-2024</t>
        </is>
      </c>
      <c r="B599" s="1" t="n">
        <v>45635.55185185185</v>
      </c>
      <c r="C599" s="1" t="n">
        <v>46104</v>
      </c>
      <c r="D599" t="inlineStr">
        <is>
          <t>ÖREBRO LÄN</t>
        </is>
      </c>
      <c r="E599" t="inlineStr">
        <is>
          <t>ÖREBRO</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38422-2023</t>
        </is>
      </c>
      <c r="B600" s="1" t="n">
        <v>45162.36422453704</v>
      </c>
      <c r="C600" s="1" t="n">
        <v>46104</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56040-2024</t>
        </is>
      </c>
      <c r="B601" s="1" t="n">
        <v>45624.3344212963</v>
      </c>
      <c r="C601" s="1" t="n">
        <v>46104</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14487-2023</t>
        </is>
      </c>
      <c r="B602" s="1" t="n">
        <v>45012</v>
      </c>
      <c r="C602" s="1" t="n">
        <v>46104</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40522-2024</t>
        </is>
      </c>
      <c r="B603" s="1" t="n">
        <v>45555.59717592593</v>
      </c>
      <c r="C603" s="1" t="n">
        <v>46104</v>
      </c>
      <c r="D603" t="inlineStr">
        <is>
          <t>ÖREBRO LÄN</t>
        </is>
      </c>
      <c r="E603" t="inlineStr">
        <is>
          <t>ÖREBRO</t>
        </is>
      </c>
      <c r="G603" t="n">
        <v>5.1</v>
      </c>
      <c r="H603" t="n">
        <v>0</v>
      </c>
      <c r="I603" t="n">
        <v>0</v>
      </c>
      <c r="J603" t="n">
        <v>0</v>
      </c>
      <c r="K603" t="n">
        <v>0</v>
      </c>
      <c r="L603" t="n">
        <v>0</v>
      </c>
      <c r="M603" t="n">
        <v>0</v>
      </c>
      <c r="N603" t="n">
        <v>0</v>
      </c>
      <c r="O603" t="n">
        <v>0</v>
      </c>
      <c r="P603" t="n">
        <v>0</v>
      </c>
      <c r="Q603" t="n">
        <v>0</v>
      </c>
      <c r="R603" s="2" t="inlineStr"/>
    </row>
    <row r="604" ht="15" customHeight="1">
      <c r="A604" t="inlineStr">
        <is>
          <t>A 49029-2024</t>
        </is>
      </c>
      <c r="B604" s="1" t="n">
        <v>45594</v>
      </c>
      <c r="C604" s="1" t="n">
        <v>46104</v>
      </c>
      <c r="D604" t="inlineStr">
        <is>
          <t>ÖREBRO LÄN</t>
        </is>
      </c>
      <c r="E604" t="inlineStr">
        <is>
          <t>ÖREBRO</t>
        </is>
      </c>
      <c r="G604" t="n">
        <v>3.7</v>
      </c>
      <c r="H604" t="n">
        <v>0</v>
      </c>
      <c r="I604" t="n">
        <v>0</v>
      </c>
      <c r="J604" t="n">
        <v>0</v>
      </c>
      <c r="K604" t="n">
        <v>0</v>
      </c>
      <c r="L604" t="n">
        <v>0</v>
      </c>
      <c r="M604" t="n">
        <v>0</v>
      </c>
      <c r="N604" t="n">
        <v>0</v>
      </c>
      <c r="O604" t="n">
        <v>0</v>
      </c>
      <c r="P604" t="n">
        <v>0</v>
      </c>
      <c r="Q604" t="n">
        <v>0</v>
      </c>
      <c r="R604" s="2" t="inlineStr"/>
    </row>
    <row r="605" ht="15" customHeight="1">
      <c r="A605" t="inlineStr">
        <is>
          <t>A 49062-2023</t>
        </is>
      </c>
      <c r="B605" s="1" t="n">
        <v>45210.35119212963</v>
      </c>
      <c r="C605" s="1" t="n">
        <v>46104</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35829-2024</t>
        </is>
      </c>
      <c r="B606" s="1" t="n">
        <v>45532</v>
      </c>
      <c r="C606" s="1" t="n">
        <v>46104</v>
      </c>
      <c r="D606" t="inlineStr">
        <is>
          <t>ÖREBRO LÄN</t>
        </is>
      </c>
      <c r="E606" t="inlineStr">
        <is>
          <t>ÖREBRO</t>
        </is>
      </c>
      <c r="G606" t="n">
        <v>4.6</v>
      </c>
      <c r="H606" t="n">
        <v>0</v>
      </c>
      <c r="I606" t="n">
        <v>0</v>
      </c>
      <c r="J606" t="n">
        <v>0</v>
      </c>
      <c r="K606" t="n">
        <v>0</v>
      </c>
      <c r="L606" t="n">
        <v>0</v>
      </c>
      <c r="M606" t="n">
        <v>0</v>
      </c>
      <c r="N606" t="n">
        <v>0</v>
      </c>
      <c r="O606" t="n">
        <v>0</v>
      </c>
      <c r="P606" t="n">
        <v>0</v>
      </c>
      <c r="Q606" t="n">
        <v>0</v>
      </c>
      <c r="R606" s="2" t="inlineStr"/>
    </row>
    <row r="607" ht="15" customHeight="1">
      <c r="A607" t="inlineStr">
        <is>
          <t>A 13181-2023</t>
        </is>
      </c>
      <c r="B607" s="1" t="n">
        <v>45002.60659722222</v>
      </c>
      <c r="C607" s="1" t="n">
        <v>46104</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61078-2024</t>
        </is>
      </c>
      <c r="B608" s="1" t="n">
        <v>45645.51034722223</v>
      </c>
      <c r="C608" s="1" t="n">
        <v>46104</v>
      </c>
      <c r="D608" t="inlineStr">
        <is>
          <t>ÖREBRO LÄN</t>
        </is>
      </c>
      <c r="E608" t="inlineStr">
        <is>
          <t>ÖREBRO</t>
        </is>
      </c>
      <c r="G608" t="n">
        <v>4.1</v>
      </c>
      <c r="H608" t="n">
        <v>0</v>
      </c>
      <c r="I608" t="n">
        <v>0</v>
      </c>
      <c r="J608" t="n">
        <v>0</v>
      </c>
      <c r="K608" t="n">
        <v>0</v>
      </c>
      <c r="L608" t="n">
        <v>0</v>
      </c>
      <c r="M608" t="n">
        <v>0</v>
      </c>
      <c r="N608" t="n">
        <v>0</v>
      </c>
      <c r="O608" t="n">
        <v>0</v>
      </c>
      <c r="P608" t="n">
        <v>0</v>
      </c>
      <c r="Q608" t="n">
        <v>0</v>
      </c>
      <c r="R608" s="2" t="inlineStr"/>
    </row>
    <row r="609" ht="15" customHeight="1">
      <c r="A609" t="inlineStr">
        <is>
          <t>A 62511-2023</t>
        </is>
      </c>
      <c r="B609" s="1" t="n">
        <v>45268.61855324074</v>
      </c>
      <c r="C609" s="1" t="n">
        <v>46104</v>
      </c>
      <c r="D609" t="inlineStr">
        <is>
          <t>ÖREBRO LÄN</t>
        </is>
      </c>
      <c r="E609" t="inlineStr">
        <is>
          <t>ÖREBRO</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55472-2023</t>
        </is>
      </c>
      <c r="B610" s="1" t="n">
        <v>45238</v>
      </c>
      <c r="C610" s="1" t="n">
        <v>46104</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5129-2024</t>
        </is>
      </c>
      <c r="B611" s="1" t="n">
        <v>45330</v>
      </c>
      <c r="C611" s="1" t="n">
        <v>46104</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58486-2024</t>
        </is>
      </c>
      <c r="B612" s="1" t="n">
        <v>45635</v>
      </c>
      <c r="C612" s="1" t="n">
        <v>46104</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30015-2023</t>
        </is>
      </c>
      <c r="B613" s="1" t="n">
        <v>45109</v>
      </c>
      <c r="C613" s="1" t="n">
        <v>46104</v>
      </c>
      <c r="D613" t="inlineStr">
        <is>
          <t>ÖREBRO LÄN</t>
        </is>
      </c>
      <c r="E613" t="inlineStr">
        <is>
          <t>ÖREBRO</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46104</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8512-2025</t>
        </is>
      </c>
      <c r="B615" s="1" t="n">
        <v>45709.54873842592</v>
      </c>
      <c r="C615" s="1" t="n">
        <v>46104</v>
      </c>
      <c r="D615" t="inlineStr">
        <is>
          <t>ÖREBRO LÄN</t>
        </is>
      </c>
      <c r="E615" t="inlineStr">
        <is>
          <t>ÖREBRO</t>
        </is>
      </c>
      <c r="G615" t="n">
        <v>1.8</v>
      </c>
      <c r="H615" t="n">
        <v>0</v>
      </c>
      <c r="I615" t="n">
        <v>0</v>
      </c>
      <c r="J615" t="n">
        <v>0</v>
      </c>
      <c r="K615" t="n">
        <v>0</v>
      </c>
      <c r="L615" t="n">
        <v>0</v>
      </c>
      <c r="M615" t="n">
        <v>0</v>
      </c>
      <c r="N615" t="n">
        <v>0</v>
      </c>
      <c r="O615" t="n">
        <v>0</v>
      </c>
      <c r="P615" t="n">
        <v>0</v>
      </c>
      <c r="Q615" t="n">
        <v>0</v>
      </c>
      <c r="R615" s="2" t="inlineStr"/>
    </row>
    <row r="616" ht="15" customHeight="1">
      <c r="A616" t="inlineStr">
        <is>
          <t>A 14715-2024</t>
        </is>
      </c>
      <c r="B616" s="1" t="n">
        <v>45397.5500462963</v>
      </c>
      <c r="C616" s="1" t="n">
        <v>46104</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46104</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16300-2022</t>
        </is>
      </c>
      <c r="B618" s="1" t="n">
        <v>44670</v>
      </c>
      <c r="C618" s="1" t="n">
        <v>46104</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18181-2024</t>
        </is>
      </c>
      <c r="B619" s="1" t="n">
        <v>45420.64561342593</v>
      </c>
      <c r="C619" s="1" t="n">
        <v>46104</v>
      </c>
      <c r="D619" t="inlineStr">
        <is>
          <t>ÖREBRO LÄN</t>
        </is>
      </c>
      <c r="E619" t="inlineStr">
        <is>
          <t>ÖREBRO</t>
        </is>
      </c>
      <c r="G619" t="n">
        <v>7.6</v>
      </c>
      <c r="H619" t="n">
        <v>0</v>
      </c>
      <c r="I619" t="n">
        <v>0</v>
      </c>
      <c r="J619" t="n">
        <v>0</v>
      </c>
      <c r="K619" t="n">
        <v>0</v>
      </c>
      <c r="L619" t="n">
        <v>0</v>
      </c>
      <c r="M619" t="n">
        <v>0</v>
      </c>
      <c r="N619" t="n">
        <v>0</v>
      </c>
      <c r="O619" t="n">
        <v>0</v>
      </c>
      <c r="P619" t="n">
        <v>0</v>
      </c>
      <c r="Q619" t="n">
        <v>0</v>
      </c>
      <c r="R619" s="2" t="inlineStr"/>
    </row>
    <row r="620" ht="15" customHeight="1">
      <c r="A620" t="inlineStr">
        <is>
          <t>A 70707-2021</t>
        </is>
      </c>
      <c r="B620" s="1" t="n">
        <v>44537</v>
      </c>
      <c r="C620" s="1" t="n">
        <v>46104</v>
      </c>
      <c r="D620" t="inlineStr">
        <is>
          <t>ÖREBRO LÄN</t>
        </is>
      </c>
      <c r="E620" t="inlineStr">
        <is>
          <t>ÖREBRO</t>
        </is>
      </c>
      <c r="G620" t="n">
        <v>13.2</v>
      </c>
      <c r="H620" t="n">
        <v>0</v>
      </c>
      <c r="I620" t="n">
        <v>0</v>
      </c>
      <c r="J620" t="n">
        <v>0</v>
      </c>
      <c r="K620" t="n">
        <v>0</v>
      </c>
      <c r="L620" t="n">
        <v>0</v>
      </c>
      <c r="M620" t="n">
        <v>0</v>
      </c>
      <c r="N620" t="n">
        <v>0</v>
      </c>
      <c r="O620" t="n">
        <v>0</v>
      </c>
      <c r="P620" t="n">
        <v>0</v>
      </c>
      <c r="Q620" t="n">
        <v>0</v>
      </c>
      <c r="R620" s="2" t="inlineStr"/>
    </row>
    <row r="621" ht="15" customHeight="1">
      <c r="A621" t="inlineStr">
        <is>
          <t>A 60100-2022</t>
        </is>
      </c>
      <c r="B621" s="1" t="n">
        <v>44902</v>
      </c>
      <c r="C621" s="1" t="n">
        <v>46104</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44941.55056712963</v>
      </c>
      <c r="C622" s="1" t="n">
        <v>46104</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8656-2025</t>
        </is>
      </c>
      <c r="B623" s="1" t="n">
        <v>45712.38268518518</v>
      </c>
      <c r="C623" s="1" t="n">
        <v>46104</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55353-2024</t>
        </is>
      </c>
      <c r="B624" s="1" t="n">
        <v>45621.79526620371</v>
      </c>
      <c r="C624" s="1" t="n">
        <v>46104</v>
      </c>
      <c r="D624" t="inlineStr">
        <is>
          <t>ÖREBRO LÄN</t>
        </is>
      </c>
      <c r="E624" t="inlineStr">
        <is>
          <t>ÖREBRO</t>
        </is>
      </c>
      <c r="G624" t="n">
        <v>0.5</v>
      </c>
      <c r="H624" t="n">
        <v>0</v>
      </c>
      <c r="I624" t="n">
        <v>0</v>
      </c>
      <c r="J624" t="n">
        <v>0</v>
      </c>
      <c r="K624" t="n">
        <v>0</v>
      </c>
      <c r="L624" t="n">
        <v>0</v>
      </c>
      <c r="M624" t="n">
        <v>0</v>
      </c>
      <c r="N624" t="n">
        <v>0</v>
      </c>
      <c r="O624" t="n">
        <v>0</v>
      </c>
      <c r="P624" t="n">
        <v>0</v>
      </c>
      <c r="Q624" t="n">
        <v>0</v>
      </c>
      <c r="R624" s="2" t="inlineStr"/>
    </row>
    <row r="625" ht="15" customHeight="1">
      <c r="A625" t="inlineStr">
        <is>
          <t>A 55357-2024</t>
        </is>
      </c>
      <c r="B625" s="1" t="n">
        <v>45621.81126157408</v>
      </c>
      <c r="C625" s="1" t="n">
        <v>46104</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42623-2022</t>
        </is>
      </c>
      <c r="B626" s="1" t="n">
        <v>44831</v>
      </c>
      <c r="C626" s="1" t="n">
        <v>46104</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72329-2021</t>
        </is>
      </c>
      <c r="B627" s="1" t="n">
        <v>44545.46072916667</v>
      </c>
      <c r="C627" s="1" t="n">
        <v>46104</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4344-2025</t>
        </is>
      </c>
      <c r="B628" s="1" t="n">
        <v>45685</v>
      </c>
      <c r="C628" s="1" t="n">
        <v>46104</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55355-2024</t>
        </is>
      </c>
      <c r="B629" s="1" t="n">
        <v>45621.80475694445</v>
      </c>
      <c r="C629" s="1" t="n">
        <v>46104</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56077-2022</t>
        </is>
      </c>
      <c r="B630" s="1" t="n">
        <v>44889.60872685185</v>
      </c>
      <c r="C630" s="1" t="n">
        <v>46104</v>
      </c>
      <c r="D630" t="inlineStr">
        <is>
          <t>ÖREBRO LÄN</t>
        </is>
      </c>
      <c r="E630" t="inlineStr">
        <is>
          <t>ÖREBRO</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33457-2023</t>
        </is>
      </c>
      <c r="B631" s="1" t="n">
        <v>45131</v>
      </c>
      <c r="C631" s="1" t="n">
        <v>46104</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7141-2025</t>
        </is>
      </c>
      <c r="B632" s="1" t="n">
        <v>45702</v>
      </c>
      <c r="C632" s="1" t="n">
        <v>46104</v>
      </c>
      <c r="D632" t="inlineStr">
        <is>
          <t>ÖREBRO LÄN</t>
        </is>
      </c>
      <c r="E632" t="inlineStr">
        <is>
          <t>ÖREBRO</t>
        </is>
      </c>
      <c r="G632" t="n">
        <v>2.9</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46104</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13169-2024</t>
        </is>
      </c>
      <c r="B634" s="1" t="n">
        <v>45386.40489583334</v>
      </c>
      <c r="C634" s="1" t="n">
        <v>46104</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23710-2022</t>
        </is>
      </c>
      <c r="B635" s="1" t="n">
        <v>44722</v>
      </c>
      <c r="C635" s="1" t="n">
        <v>46104</v>
      </c>
      <c r="D635" t="inlineStr">
        <is>
          <t>ÖREBRO LÄN</t>
        </is>
      </c>
      <c r="E635" t="inlineStr">
        <is>
          <t>ÖREBRO</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4757-2024</t>
        </is>
      </c>
      <c r="B636" s="1" t="n">
        <v>45328</v>
      </c>
      <c r="C636" s="1" t="n">
        <v>46104</v>
      </c>
      <c r="D636" t="inlineStr">
        <is>
          <t>ÖREBRO LÄN</t>
        </is>
      </c>
      <c r="E636" t="inlineStr">
        <is>
          <t>ÖREBRO</t>
        </is>
      </c>
      <c r="G636" t="n">
        <v>1.9</v>
      </c>
      <c r="H636" t="n">
        <v>0</v>
      </c>
      <c r="I636" t="n">
        <v>0</v>
      </c>
      <c r="J636" t="n">
        <v>0</v>
      </c>
      <c r="K636" t="n">
        <v>0</v>
      </c>
      <c r="L636" t="n">
        <v>0</v>
      </c>
      <c r="M636" t="n">
        <v>0</v>
      </c>
      <c r="N636" t="n">
        <v>0</v>
      </c>
      <c r="O636" t="n">
        <v>0</v>
      </c>
      <c r="P636" t="n">
        <v>0</v>
      </c>
      <c r="Q636" t="n">
        <v>0</v>
      </c>
      <c r="R636" s="2" t="inlineStr"/>
    </row>
    <row r="637" ht="15" customHeight="1">
      <c r="A637" t="inlineStr">
        <is>
          <t>A 30903-2024</t>
        </is>
      </c>
      <c r="B637" s="1" t="n">
        <v>45498.49946759259</v>
      </c>
      <c r="C637" s="1" t="n">
        <v>46104</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47193-2023</t>
        </is>
      </c>
      <c r="B638" s="1" t="n">
        <v>45202.3074537037</v>
      </c>
      <c r="C638" s="1" t="n">
        <v>46104</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59026-2024</t>
        </is>
      </c>
      <c r="B639" s="1" t="n">
        <v>45636.6875</v>
      </c>
      <c r="C639" s="1" t="n">
        <v>46104</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17465-2023</t>
        </is>
      </c>
      <c r="B640" s="1" t="n">
        <v>45036</v>
      </c>
      <c r="C640" s="1" t="n">
        <v>46104</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36635-2023</t>
        </is>
      </c>
      <c r="B641" s="1" t="n">
        <v>45153</v>
      </c>
      <c r="C641" s="1" t="n">
        <v>46104</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681-2024</t>
        </is>
      </c>
      <c r="B642" s="1" t="n">
        <v>45300</v>
      </c>
      <c r="C642" s="1" t="n">
        <v>46104</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46104</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46104</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46104</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21338-2025</t>
        </is>
      </c>
      <c r="B646" s="1" t="n">
        <v>45780</v>
      </c>
      <c r="C646" s="1" t="n">
        <v>46104</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2026-03-23T11:32:43Z</dcterms:created>
  <dcterms:modified xmlns:dcterms="http://purl.org/dc/terms/" xmlns:xsi="http://www.w3.org/2001/XMLSchema-instance" xsi:type="dcterms:W3CDTF">2026-03-23T11:32:43Z</dcterms:modified>
</cp:coreProperties>
</file>