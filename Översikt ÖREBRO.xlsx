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45728</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45728</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45728</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45728</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45728</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45728</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45728</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45728</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45728</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45728</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45728</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45728</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45728</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45728</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45728</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45728</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45728</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31234-2023</t>
        </is>
      </c>
      <c r="B34" s="1" t="n">
        <v>45114</v>
      </c>
      <c r="C34" s="1" t="n">
        <v>45728</v>
      </c>
      <c r="D34" t="inlineStr">
        <is>
          <t>ÖREBRO LÄN</t>
        </is>
      </c>
      <c r="E34" t="inlineStr">
        <is>
          <t>ÖREBRO</t>
        </is>
      </c>
      <c r="F34" t="inlineStr">
        <is>
          <t>Allmännings- och besparingsskogar</t>
        </is>
      </c>
      <c r="G34" t="n">
        <v>30.5</v>
      </c>
      <c r="H34" t="n">
        <v>3</v>
      </c>
      <c r="I34" t="n">
        <v>0</v>
      </c>
      <c r="J34" t="n">
        <v>2</v>
      </c>
      <c r="K34" t="n">
        <v>0</v>
      </c>
      <c r="L34" t="n">
        <v>0</v>
      </c>
      <c r="M34" t="n">
        <v>0</v>
      </c>
      <c r="N34" t="n">
        <v>0</v>
      </c>
      <c r="O34" t="n">
        <v>2</v>
      </c>
      <c r="P34" t="n">
        <v>0</v>
      </c>
      <c r="Q34" t="n">
        <v>3</v>
      </c>
      <c r="R34" s="2" t="inlineStr">
        <is>
          <t>Havsörn
Spillkråka
Trana</t>
        </is>
      </c>
      <c r="S34">
        <f>HYPERLINK("https://klasma.github.io/Logging_1880/artfynd/A 31234-2023 artfynd.xlsx", "A 31234-2023")</f>
        <v/>
      </c>
      <c r="T34">
        <f>HYPERLINK("https://klasma.github.io/Logging_1880/kartor/A 31234-2023 karta.png", "A 31234-2023")</f>
        <v/>
      </c>
      <c r="V34">
        <f>HYPERLINK("https://klasma.github.io/Logging_1880/klagomål/A 31234-2023 FSC-klagomål.docx", "A 31234-2023")</f>
        <v/>
      </c>
      <c r="W34">
        <f>HYPERLINK("https://klasma.github.io/Logging_1880/klagomålsmail/A 31234-2023 FSC-klagomål mail.docx", "A 31234-2023")</f>
        <v/>
      </c>
      <c r="X34">
        <f>HYPERLINK("https://klasma.github.io/Logging_1880/tillsyn/A 31234-2023 tillsynsbegäran.docx", "A 31234-2023")</f>
        <v/>
      </c>
      <c r="Y34">
        <f>HYPERLINK("https://klasma.github.io/Logging_1880/tillsynsmail/A 31234-2023 tillsynsbegäran mail.docx", "A 31234-2023")</f>
        <v/>
      </c>
      <c r="Z34">
        <f>HYPERLINK("https://klasma.github.io/Logging_1880/fåglar/A 31234-2023 prioriterade fågelarter.docx", "A 31234-2023")</f>
        <v/>
      </c>
    </row>
    <row r="35" ht="15" customHeight="1">
      <c r="A35" t="inlineStr">
        <is>
          <t>A 50096-2023</t>
        </is>
      </c>
      <c r="B35" s="1" t="n">
        <v>45215</v>
      </c>
      <c r="C35" s="1" t="n">
        <v>45728</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45728</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45728</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45728</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45728</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45728</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45728</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45728</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45728</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45728</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45728</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45728</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45728</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45728</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45728</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45728</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45728</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45728</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45728</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45728</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45728</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45728</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45728</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45728</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45728</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45728</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45728</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45728</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45728</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45728</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45728</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45728</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45728</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45728</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45728</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45728</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45728</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45728</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45728</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45728</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45728</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45728</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45728</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45728</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45728</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45728</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45728</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45728</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45728</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45728</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45728</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45728</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45728</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45728</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45728</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45728</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45728</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45728</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45728</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45728</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45728</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45728</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45728</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45728</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45728</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45728</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45728</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45728</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45728</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45728</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45728</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45728</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45728</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45728</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45728</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45728</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45728</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11501-2025</t>
        </is>
      </c>
      <c r="B112" s="1" t="n">
        <v>45726</v>
      </c>
      <c r="C112" s="1" t="n">
        <v>45728</v>
      </c>
      <c r="D112" t="inlineStr">
        <is>
          <t>ÖREBRO LÄN</t>
        </is>
      </c>
      <c r="E112" t="inlineStr">
        <is>
          <t>ÖREBRO</t>
        </is>
      </c>
      <c r="G112" t="n">
        <v>0.8</v>
      </c>
      <c r="H112" t="n">
        <v>1</v>
      </c>
      <c r="I112" t="n">
        <v>0</v>
      </c>
      <c r="J112" t="n">
        <v>0</v>
      </c>
      <c r="K112" t="n">
        <v>0</v>
      </c>
      <c r="L112" t="n">
        <v>0</v>
      </c>
      <c r="M112" t="n">
        <v>0</v>
      </c>
      <c r="N112" t="n">
        <v>0</v>
      </c>
      <c r="O112" t="n">
        <v>0</v>
      </c>
      <c r="P112" t="n">
        <v>0</v>
      </c>
      <c r="Q112" t="n">
        <v>1</v>
      </c>
      <c r="R112" s="2" t="inlineStr">
        <is>
          <t>Kopparödla</t>
        </is>
      </c>
      <c r="S112">
        <f>HYPERLINK("https://klasma.github.io/Logging_1880/artfynd/A 11501-2025 artfynd.xlsx", "A 11501-2025")</f>
        <v/>
      </c>
      <c r="T112">
        <f>HYPERLINK("https://klasma.github.io/Logging_1880/kartor/A 11501-2025 karta.png", "A 11501-2025")</f>
        <v/>
      </c>
      <c r="V112">
        <f>HYPERLINK("https://klasma.github.io/Logging_1880/klagomål/A 11501-2025 FSC-klagomål.docx", "A 11501-2025")</f>
        <v/>
      </c>
      <c r="W112">
        <f>HYPERLINK("https://klasma.github.io/Logging_1880/klagomålsmail/A 11501-2025 FSC-klagomål mail.docx", "A 11501-2025")</f>
        <v/>
      </c>
      <c r="X112">
        <f>HYPERLINK("https://klasma.github.io/Logging_1880/tillsyn/A 11501-2025 tillsynsbegäran.docx", "A 11501-2025")</f>
        <v/>
      </c>
      <c r="Y112">
        <f>HYPERLINK("https://klasma.github.io/Logging_1880/tillsynsmail/A 11501-2025 tillsynsbegäran mail.docx", "A 11501-2025")</f>
        <v/>
      </c>
    </row>
    <row r="113" ht="15" customHeight="1">
      <c r="A113" t="inlineStr">
        <is>
          <t>A 18034-2019</t>
        </is>
      </c>
      <c r="B113" s="1" t="n">
        <v>43557</v>
      </c>
      <c r="C113" s="1" t="n">
        <v>45728</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19042-2019</t>
        </is>
      </c>
      <c r="B114" s="1" t="n">
        <v>43563</v>
      </c>
      <c r="C114" s="1" t="n">
        <v>45728</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19047-2019</t>
        </is>
      </c>
      <c r="B115" s="1" t="n">
        <v>43563</v>
      </c>
      <c r="C115" s="1" t="n">
        <v>45728</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19049-2019</t>
        </is>
      </c>
      <c r="B116" s="1" t="n">
        <v>43563</v>
      </c>
      <c r="C116" s="1" t="n">
        <v>45728</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19044-2019</t>
        </is>
      </c>
      <c r="B117" s="1" t="n">
        <v>43563</v>
      </c>
      <c r="C117" s="1" t="n">
        <v>45728</v>
      </c>
      <c r="D117" t="inlineStr">
        <is>
          <t>ÖREBRO LÄN</t>
        </is>
      </c>
      <c r="E117" t="inlineStr">
        <is>
          <t>ÖREBRO</t>
        </is>
      </c>
      <c r="G117" t="n">
        <v>0.8</v>
      </c>
      <c r="H117" t="n">
        <v>0</v>
      </c>
      <c r="I117" t="n">
        <v>0</v>
      </c>
      <c r="J117" t="n">
        <v>0</v>
      </c>
      <c r="K117" t="n">
        <v>0</v>
      </c>
      <c r="L117" t="n">
        <v>0</v>
      </c>
      <c r="M117" t="n">
        <v>0</v>
      </c>
      <c r="N117" t="n">
        <v>0</v>
      </c>
      <c r="O117" t="n">
        <v>0</v>
      </c>
      <c r="P117" t="n">
        <v>0</v>
      </c>
      <c r="Q117" t="n">
        <v>0</v>
      </c>
      <c r="R117" s="2" t="inlineStr"/>
    </row>
    <row r="118" ht="15" customHeight="1">
      <c r="A118" t="inlineStr">
        <is>
          <t>A 19048-2019</t>
        </is>
      </c>
      <c r="B118" s="1" t="n">
        <v>43563</v>
      </c>
      <c r="C118" s="1" t="n">
        <v>45728</v>
      </c>
      <c r="D118" t="inlineStr">
        <is>
          <t>ÖREBRO LÄN</t>
        </is>
      </c>
      <c r="E118" t="inlineStr">
        <is>
          <t>ÖREBRO</t>
        </is>
      </c>
      <c r="G118" t="n">
        <v>1.8</v>
      </c>
      <c r="H118" t="n">
        <v>0</v>
      </c>
      <c r="I118" t="n">
        <v>0</v>
      </c>
      <c r="J118" t="n">
        <v>0</v>
      </c>
      <c r="K118" t="n">
        <v>0</v>
      </c>
      <c r="L118" t="n">
        <v>0</v>
      </c>
      <c r="M118" t="n">
        <v>0</v>
      </c>
      <c r="N118" t="n">
        <v>0</v>
      </c>
      <c r="O118" t="n">
        <v>0</v>
      </c>
      <c r="P118" t="n">
        <v>0</v>
      </c>
      <c r="Q118" t="n">
        <v>0</v>
      </c>
      <c r="R118" s="2" t="inlineStr"/>
    </row>
    <row r="119" ht="15" customHeight="1">
      <c r="A119" t="inlineStr">
        <is>
          <t>A 19045-2019</t>
        </is>
      </c>
      <c r="B119" s="1" t="n">
        <v>43563</v>
      </c>
      <c r="C119" s="1" t="n">
        <v>45728</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19046-2019</t>
        </is>
      </c>
      <c r="B120" s="1" t="n">
        <v>43563</v>
      </c>
      <c r="C120" s="1" t="n">
        <v>45728</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20232-2019</t>
        </is>
      </c>
      <c r="B121" s="1" t="n">
        <v>43571</v>
      </c>
      <c r="C121" s="1" t="n">
        <v>45728</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20609-2019</t>
        </is>
      </c>
      <c r="B122" s="1" t="n">
        <v>43572</v>
      </c>
      <c r="C122" s="1" t="n">
        <v>45728</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21722-2019</t>
        </is>
      </c>
      <c r="B123" s="1" t="n">
        <v>43581</v>
      </c>
      <c r="C123" s="1" t="n">
        <v>45728</v>
      </c>
      <c r="D123" t="inlineStr">
        <is>
          <t>ÖREBRO LÄN</t>
        </is>
      </c>
      <c r="E123" t="inlineStr">
        <is>
          <t>ÖREBRO</t>
        </is>
      </c>
      <c r="G123" t="n">
        <v>11.3</v>
      </c>
      <c r="H123" t="n">
        <v>0</v>
      </c>
      <c r="I123" t="n">
        <v>0</v>
      </c>
      <c r="J123" t="n">
        <v>0</v>
      </c>
      <c r="K123" t="n">
        <v>0</v>
      </c>
      <c r="L123" t="n">
        <v>0</v>
      </c>
      <c r="M123" t="n">
        <v>0</v>
      </c>
      <c r="N123" t="n">
        <v>0</v>
      </c>
      <c r="O123" t="n">
        <v>0</v>
      </c>
      <c r="P123" t="n">
        <v>0</v>
      </c>
      <c r="Q123" t="n">
        <v>0</v>
      </c>
      <c r="R123" s="2" t="inlineStr"/>
    </row>
    <row r="124" ht="15" customHeight="1">
      <c r="A124" t="inlineStr">
        <is>
          <t>A 21830-2019</t>
        </is>
      </c>
      <c r="B124" s="1" t="n">
        <v>43584</v>
      </c>
      <c r="C124" s="1" t="n">
        <v>45728</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21835-2019</t>
        </is>
      </c>
      <c r="B125" s="1" t="n">
        <v>43584</v>
      </c>
      <c r="C125" s="1" t="n">
        <v>45728</v>
      </c>
      <c r="D125" t="inlineStr">
        <is>
          <t>ÖREBRO LÄN</t>
        </is>
      </c>
      <c r="E125" t="inlineStr">
        <is>
          <t>ÖREBRO</t>
        </is>
      </c>
      <c r="G125" t="n">
        <v>2</v>
      </c>
      <c r="H125" t="n">
        <v>0</v>
      </c>
      <c r="I125" t="n">
        <v>0</v>
      </c>
      <c r="J125" t="n">
        <v>0</v>
      </c>
      <c r="K125" t="n">
        <v>0</v>
      </c>
      <c r="L125" t="n">
        <v>0</v>
      </c>
      <c r="M125" t="n">
        <v>0</v>
      </c>
      <c r="N125" t="n">
        <v>0</v>
      </c>
      <c r="O125" t="n">
        <v>0</v>
      </c>
      <c r="P125" t="n">
        <v>0</v>
      </c>
      <c r="Q125" t="n">
        <v>0</v>
      </c>
      <c r="R125" s="2" t="inlineStr"/>
    </row>
    <row r="126" ht="15" customHeight="1">
      <c r="A126" t="inlineStr">
        <is>
          <t>A 22243-2019</t>
        </is>
      </c>
      <c r="B126" s="1" t="n">
        <v>43585</v>
      </c>
      <c r="C126" s="1" t="n">
        <v>45728</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23667-2019</t>
        </is>
      </c>
      <c r="B127" s="1" t="n">
        <v>43594</v>
      </c>
      <c r="C127" s="1" t="n">
        <v>45728</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24092-2019</t>
        </is>
      </c>
      <c r="B128" s="1" t="n">
        <v>43598</v>
      </c>
      <c r="C128" s="1" t="n">
        <v>45728</v>
      </c>
      <c r="D128" t="inlineStr">
        <is>
          <t>ÖREBRO LÄN</t>
        </is>
      </c>
      <c r="E128" t="inlineStr">
        <is>
          <t>ÖREBRO</t>
        </is>
      </c>
      <c r="G128" t="n">
        <v>3.9</v>
      </c>
      <c r="H128" t="n">
        <v>0</v>
      </c>
      <c r="I128" t="n">
        <v>0</v>
      </c>
      <c r="J128" t="n">
        <v>0</v>
      </c>
      <c r="K128" t="n">
        <v>0</v>
      </c>
      <c r="L128" t="n">
        <v>0</v>
      </c>
      <c r="M128" t="n">
        <v>0</v>
      </c>
      <c r="N128" t="n">
        <v>0</v>
      </c>
      <c r="O128" t="n">
        <v>0</v>
      </c>
      <c r="P128" t="n">
        <v>0</v>
      </c>
      <c r="Q128" t="n">
        <v>0</v>
      </c>
      <c r="R128" s="2" t="inlineStr"/>
    </row>
    <row r="129" ht="15" customHeight="1">
      <c r="A129" t="inlineStr">
        <is>
          <t>A 25186-2019</t>
        </is>
      </c>
      <c r="B129" s="1" t="n">
        <v>43605</v>
      </c>
      <c r="C129" s="1" t="n">
        <v>45728</v>
      </c>
      <c r="D129" t="inlineStr">
        <is>
          <t>ÖREBRO LÄN</t>
        </is>
      </c>
      <c r="E129" t="inlineStr">
        <is>
          <t>ÖREBRO</t>
        </is>
      </c>
      <c r="G129" t="n">
        <v>2.3</v>
      </c>
      <c r="H129" t="n">
        <v>0</v>
      </c>
      <c r="I129" t="n">
        <v>0</v>
      </c>
      <c r="J129" t="n">
        <v>0</v>
      </c>
      <c r="K129" t="n">
        <v>0</v>
      </c>
      <c r="L129" t="n">
        <v>0</v>
      </c>
      <c r="M129" t="n">
        <v>0</v>
      </c>
      <c r="N129" t="n">
        <v>0</v>
      </c>
      <c r="O129" t="n">
        <v>0</v>
      </c>
      <c r="P129" t="n">
        <v>0</v>
      </c>
      <c r="Q129" t="n">
        <v>0</v>
      </c>
      <c r="R129" s="2" t="inlineStr"/>
      <c r="U129">
        <f>HYPERLINK("https://klasma.github.io/Logging_1880/knärot/A 25186-2019 karta knärot.png", "A 25186-2019")</f>
        <v/>
      </c>
      <c r="V129">
        <f>HYPERLINK("https://klasma.github.io/Logging_1880/klagomål/A 25186-2019 FSC-klagomål.docx", "A 25186-2019")</f>
        <v/>
      </c>
      <c r="W129">
        <f>HYPERLINK("https://klasma.github.io/Logging_1880/klagomålsmail/A 25186-2019 FSC-klagomål mail.docx", "A 25186-2019")</f>
        <v/>
      </c>
      <c r="X129">
        <f>HYPERLINK("https://klasma.github.io/Logging_1880/tillsyn/A 25186-2019 tillsynsbegäran.docx", "A 25186-2019")</f>
        <v/>
      </c>
      <c r="Y129">
        <f>HYPERLINK("https://klasma.github.io/Logging_1880/tillsynsmail/A 25186-2019 tillsynsbegäran mail.docx", "A 25186-2019")</f>
        <v/>
      </c>
    </row>
    <row r="130" ht="15" customHeight="1">
      <c r="A130" t="inlineStr">
        <is>
          <t>A 26306-2019</t>
        </is>
      </c>
      <c r="B130" s="1" t="n">
        <v>43612</v>
      </c>
      <c r="C130" s="1" t="n">
        <v>45728</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28925-2019</t>
        </is>
      </c>
      <c r="B131" s="1" t="n">
        <v>43619</v>
      </c>
      <c r="C131" s="1" t="n">
        <v>45728</v>
      </c>
      <c r="D131" t="inlineStr">
        <is>
          <t>ÖREBRO LÄN</t>
        </is>
      </c>
      <c r="E131" t="inlineStr">
        <is>
          <t>ÖREBRO</t>
        </is>
      </c>
      <c r="F131" t="inlineStr">
        <is>
          <t>Övriga Aktiebolag</t>
        </is>
      </c>
      <c r="G131" t="n">
        <v>17.9</v>
      </c>
      <c r="H131" t="n">
        <v>0</v>
      </c>
      <c r="I131" t="n">
        <v>0</v>
      </c>
      <c r="J131" t="n">
        <v>0</v>
      </c>
      <c r="K131" t="n">
        <v>0</v>
      </c>
      <c r="L131" t="n">
        <v>0</v>
      </c>
      <c r="M131" t="n">
        <v>0</v>
      </c>
      <c r="N131" t="n">
        <v>0</v>
      </c>
      <c r="O131" t="n">
        <v>0</v>
      </c>
      <c r="P131" t="n">
        <v>0</v>
      </c>
      <c r="Q131" t="n">
        <v>0</v>
      </c>
      <c r="R131" s="2" t="inlineStr"/>
    </row>
    <row r="132" ht="15" customHeight="1">
      <c r="A132" t="inlineStr">
        <is>
          <t>A 28660-2019</t>
        </is>
      </c>
      <c r="B132" s="1" t="n">
        <v>43627</v>
      </c>
      <c r="C132" s="1" t="n">
        <v>45728</v>
      </c>
      <c r="D132" t="inlineStr">
        <is>
          <t>ÖREBRO LÄN</t>
        </is>
      </c>
      <c r="E132" t="inlineStr">
        <is>
          <t>ÖREBRO</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31300-2019</t>
        </is>
      </c>
      <c r="B133" s="1" t="n">
        <v>43641</v>
      </c>
      <c r="C133" s="1" t="n">
        <v>45728</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32701-2019</t>
        </is>
      </c>
      <c r="B134" s="1" t="n">
        <v>43647</v>
      </c>
      <c r="C134" s="1" t="n">
        <v>45728</v>
      </c>
      <c r="D134" t="inlineStr">
        <is>
          <t>ÖREBRO LÄN</t>
        </is>
      </c>
      <c r="E134" t="inlineStr">
        <is>
          <t>ÖREBRO</t>
        </is>
      </c>
      <c r="F134" t="inlineStr">
        <is>
          <t>Övriga Aktiebolag</t>
        </is>
      </c>
      <c r="G134" t="n">
        <v>6.4</v>
      </c>
      <c r="H134" t="n">
        <v>0</v>
      </c>
      <c r="I134" t="n">
        <v>0</v>
      </c>
      <c r="J134" t="n">
        <v>0</v>
      </c>
      <c r="K134" t="n">
        <v>0</v>
      </c>
      <c r="L134" t="n">
        <v>0</v>
      </c>
      <c r="M134" t="n">
        <v>0</v>
      </c>
      <c r="N134" t="n">
        <v>0</v>
      </c>
      <c r="O134" t="n">
        <v>0</v>
      </c>
      <c r="P134" t="n">
        <v>0</v>
      </c>
      <c r="Q134" t="n">
        <v>0</v>
      </c>
      <c r="R134" s="2" t="inlineStr"/>
    </row>
    <row r="135" ht="15" customHeight="1">
      <c r="A135" t="inlineStr">
        <is>
          <t>A 32861-2019</t>
        </is>
      </c>
      <c r="B135" s="1" t="n">
        <v>43648</v>
      </c>
      <c r="C135" s="1" t="n">
        <v>45728</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33314-2019</t>
        </is>
      </c>
      <c r="B136" s="1" t="n">
        <v>43650</v>
      </c>
      <c r="C136" s="1" t="n">
        <v>45728</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35557-2019</t>
        </is>
      </c>
      <c r="B137" s="1" t="n">
        <v>43654</v>
      </c>
      <c r="C137" s="1" t="n">
        <v>45728</v>
      </c>
      <c r="D137" t="inlineStr">
        <is>
          <t>ÖREBRO LÄN</t>
        </is>
      </c>
      <c r="E137" t="inlineStr">
        <is>
          <t>ÖREBRO</t>
        </is>
      </c>
      <c r="F137" t="inlineStr">
        <is>
          <t>Kommuner</t>
        </is>
      </c>
      <c r="G137" t="n">
        <v>1</v>
      </c>
      <c r="H137" t="n">
        <v>0</v>
      </c>
      <c r="I137" t="n">
        <v>0</v>
      </c>
      <c r="J137" t="n">
        <v>0</v>
      </c>
      <c r="K137" t="n">
        <v>0</v>
      </c>
      <c r="L137" t="n">
        <v>0</v>
      </c>
      <c r="M137" t="n">
        <v>0</v>
      </c>
      <c r="N137" t="n">
        <v>0</v>
      </c>
      <c r="O137" t="n">
        <v>0</v>
      </c>
      <c r="P137" t="n">
        <v>0</v>
      </c>
      <c r="Q137" t="n">
        <v>0</v>
      </c>
      <c r="R137" s="2" t="inlineStr"/>
    </row>
    <row r="138" ht="15" customHeight="1">
      <c r="A138" t="inlineStr">
        <is>
          <t>A 35625-2019</t>
        </is>
      </c>
      <c r="B138" s="1" t="n">
        <v>43655</v>
      </c>
      <c r="C138" s="1" t="n">
        <v>45728</v>
      </c>
      <c r="D138" t="inlineStr">
        <is>
          <t>ÖREBRO LÄN</t>
        </is>
      </c>
      <c r="E138" t="inlineStr">
        <is>
          <t>ÖREBRO</t>
        </is>
      </c>
      <c r="G138" t="n">
        <v>10.2</v>
      </c>
      <c r="H138" t="n">
        <v>0</v>
      </c>
      <c r="I138" t="n">
        <v>0</v>
      </c>
      <c r="J138" t="n">
        <v>0</v>
      </c>
      <c r="K138" t="n">
        <v>0</v>
      </c>
      <c r="L138" t="n">
        <v>0</v>
      </c>
      <c r="M138" t="n">
        <v>0</v>
      </c>
      <c r="N138" t="n">
        <v>0</v>
      </c>
      <c r="O138" t="n">
        <v>0</v>
      </c>
      <c r="P138" t="n">
        <v>0</v>
      </c>
      <c r="Q138" t="n">
        <v>0</v>
      </c>
      <c r="R138" s="2" t="inlineStr"/>
    </row>
    <row r="139" ht="15" customHeight="1">
      <c r="A139" t="inlineStr">
        <is>
          <t>A 35588-2019</t>
        </is>
      </c>
      <c r="B139" s="1" t="n">
        <v>43655</v>
      </c>
      <c r="C139" s="1" t="n">
        <v>45728</v>
      </c>
      <c r="D139" t="inlineStr">
        <is>
          <t>ÖREBRO LÄN</t>
        </is>
      </c>
      <c r="E139" t="inlineStr">
        <is>
          <t>ÖREBRO</t>
        </is>
      </c>
      <c r="G139" t="n">
        <v>4.6</v>
      </c>
      <c r="H139" t="n">
        <v>0</v>
      </c>
      <c r="I139" t="n">
        <v>0</v>
      </c>
      <c r="J139" t="n">
        <v>0</v>
      </c>
      <c r="K139" t="n">
        <v>0</v>
      </c>
      <c r="L139" t="n">
        <v>0</v>
      </c>
      <c r="M139" t="n">
        <v>0</v>
      </c>
      <c r="N139" t="n">
        <v>0</v>
      </c>
      <c r="O139" t="n">
        <v>0</v>
      </c>
      <c r="P139" t="n">
        <v>0</v>
      </c>
      <c r="Q139" t="n">
        <v>0</v>
      </c>
      <c r="R139" s="2" t="inlineStr"/>
    </row>
    <row r="140" ht="15" customHeight="1">
      <c r="A140" t="inlineStr">
        <is>
          <t>A 34895-2019</t>
        </is>
      </c>
      <c r="B140" s="1" t="n">
        <v>43658</v>
      </c>
      <c r="C140" s="1" t="n">
        <v>45728</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34965-2019</t>
        </is>
      </c>
      <c r="B141" s="1" t="n">
        <v>43658</v>
      </c>
      <c r="C141" s="1" t="n">
        <v>45728</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35846-2019</t>
        </is>
      </c>
      <c r="B142" s="1" t="n">
        <v>43665</v>
      </c>
      <c r="C142" s="1" t="n">
        <v>45728</v>
      </c>
      <c r="D142" t="inlineStr">
        <is>
          <t>ÖREBRO LÄN</t>
        </is>
      </c>
      <c r="E142" t="inlineStr">
        <is>
          <t>ÖREBRO</t>
        </is>
      </c>
      <c r="G142" t="n">
        <v>5</v>
      </c>
      <c r="H142" t="n">
        <v>0</v>
      </c>
      <c r="I142" t="n">
        <v>0</v>
      </c>
      <c r="J142" t="n">
        <v>0</v>
      </c>
      <c r="K142" t="n">
        <v>0</v>
      </c>
      <c r="L142" t="n">
        <v>0</v>
      </c>
      <c r="M142" t="n">
        <v>0</v>
      </c>
      <c r="N142" t="n">
        <v>0</v>
      </c>
      <c r="O142" t="n">
        <v>0</v>
      </c>
      <c r="P142" t="n">
        <v>0</v>
      </c>
      <c r="Q142" t="n">
        <v>0</v>
      </c>
      <c r="R142" s="2" t="inlineStr"/>
    </row>
    <row r="143" ht="15" customHeight="1">
      <c r="A143" t="inlineStr">
        <is>
          <t>A 36124-2019</t>
        </is>
      </c>
      <c r="B143" s="1" t="n">
        <v>43665</v>
      </c>
      <c r="C143" s="1" t="n">
        <v>45728</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36282-2019</t>
        </is>
      </c>
      <c r="B144" s="1" t="n">
        <v>43669</v>
      </c>
      <c r="C144" s="1" t="n">
        <v>45728</v>
      </c>
      <c r="D144" t="inlineStr">
        <is>
          <t>ÖREBRO LÄN</t>
        </is>
      </c>
      <c r="E144" t="inlineStr">
        <is>
          <t>ÖREBRO</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36283-2019</t>
        </is>
      </c>
      <c r="B145" s="1" t="n">
        <v>43669</v>
      </c>
      <c r="C145" s="1" t="n">
        <v>45728</v>
      </c>
      <c r="D145" t="inlineStr">
        <is>
          <t>ÖREBRO LÄN</t>
        </is>
      </c>
      <c r="E145" t="inlineStr">
        <is>
          <t>ÖREBRO</t>
        </is>
      </c>
      <c r="G145" t="n">
        <v>3.2</v>
      </c>
      <c r="H145" t="n">
        <v>0</v>
      </c>
      <c r="I145" t="n">
        <v>0</v>
      </c>
      <c r="J145" t="n">
        <v>0</v>
      </c>
      <c r="K145" t="n">
        <v>0</v>
      </c>
      <c r="L145" t="n">
        <v>0</v>
      </c>
      <c r="M145" t="n">
        <v>0</v>
      </c>
      <c r="N145" t="n">
        <v>0</v>
      </c>
      <c r="O145" t="n">
        <v>0</v>
      </c>
      <c r="P145" t="n">
        <v>0</v>
      </c>
      <c r="Q145" t="n">
        <v>0</v>
      </c>
      <c r="R145" s="2" t="inlineStr"/>
    </row>
    <row r="146" ht="15" customHeight="1">
      <c r="A146" t="inlineStr">
        <is>
          <t>A 36284-2019</t>
        </is>
      </c>
      <c r="B146" s="1" t="n">
        <v>43669</v>
      </c>
      <c r="C146" s="1" t="n">
        <v>45728</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36990-2019</t>
        </is>
      </c>
      <c r="B147" s="1" t="n">
        <v>43676</v>
      </c>
      <c r="C147" s="1" t="n">
        <v>45728</v>
      </c>
      <c r="D147" t="inlineStr">
        <is>
          <t>ÖREBRO LÄN</t>
        </is>
      </c>
      <c r="E147" t="inlineStr">
        <is>
          <t>ÖREBRO</t>
        </is>
      </c>
      <c r="G147" t="n">
        <v>5.1</v>
      </c>
      <c r="H147" t="n">
        <v>0</v>
      </c>
      <c r="I147" t="n">
        <v>0</v>
      </c>
      <c r="J147" t="n">
        <v>0</v>
      </c>
      <c r="K147" t="n">
        <v>0</v>
      </c>
      <c r="L147" t="n">
        <v>0</v>
      </c>
      <c r="M147" t="n">
        <v>0</v>
      </c>
      <c r="N147" t="n">
        <v>0</v>
      </c>
      <c r="O147" t="n">
        <v>0</v>
      </c>
      <c r="P147" t="n">
        <v>0</v>
      </c>
      <c r="Q147" t="n">
        <v>0</v>
      </c>
      <c r="R147" s="2" t="inlineStr"/>
    </row>
    <row r="148" ht="15" customHeight="1">
      <c r="A148" t="inlineStr">
        <is>
          <t>A 37254-2019</t>
        </is>
      </c>
      <c r="B148" s="1" t="n">
        <v>43677</v>
      </c>
      <c r="C148" s="1" t="n">
        <v>45728</v>
      </c>
      <c r="D148" t="inlineStr">
        <is>
          <t>ÖREBRO LÄN</t>
        </is>
      </c>
      <c r="E148" t="inlineStr">
        <is>
          <t>ÖREBRO</t>
        </is>
      </c>
      <c r="G148" t="n">
        <v>10.3</v>
      </c>
      <c r="H148" t="n">
        <v>0</v>
      </c>
      <c r="I148" t="n">
        <v>0</v>
      </c>
      <c r="J148" t="n">
        <v>0</v>
      </c>
      <c r="K148" t="n">
        <v>0</v>
      </c>
      <c r="L148" t="n">
        <v>0</v>
      </c>
      <c r="M148" t="n">
        <v>0</v>
      </c>
      <c r="N148" t="n">
        <v>0</v>
      </c>
      <c r="O148" t="n">
        <v>0</v>
      </c>
      <c r="P148" t="n">
        <v>0</v>
      </c>
      <c r="Q148" t="n">
        <v>0</v>
      </c>
      <c r="R148" s="2" t="inlineStr"/>
    </row>
    <row r="149" ht="15" customHeight="1">
      <c r="A149" t="inlineStr">
        <is>
          <t>A 37258-2019</t>
        </is>
      </c>
      <c r="B149" s="1" t="n">
        <v>43677</v>
      </c>
      <c r="C149" s="1" t="n">
        <v>45728</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37278-2019</t>
        </is>
      </c>
      <c r="B150" s="1" t="n">
        <v>43677</v>
      </c>
      <c r="C150" s="1" t="n">
        <v>45728</v>
      </c>
      <c r="D150" t="inlineStr">
        <is>
          <t>ÖREBRO LÄN</t>
        </is>
      </c>
      <c r="E150" t="inlineStr">
        <is>
          <t>ÖREBRO</t>
        </is>
      </c>
      <c r="G150" t="n">
        <v>7.9</v>
      </c>
      <c r="H150" t="n">
        <v>0</v>
      </c>
      <c r="I150" t="n">
        <v>0</v>
      </c>
      <c r="J150" t="n">
        <v>0</v>
      </c>
      <c r="K150" t="n">
        <v>0</v>
      </c>
      <c r="L150" t="n">
        <v>0</v>
      </c>
      <c r="M150" t="n">
        <v>0</v>
      </c>
      <c r="N150" t="n">
        <v>0</v>
      </c>
      <c r="O150" t="n">
        <v>0</v>
      </c>
      <c r="P150" t="n">
        <v>0</v>
      </c>
      <c r="Q150" t="n">
        <v>0</v>
      </c>
      <c r="R150" s="2" t="inlineStr"/>
    </row>
    <row r="151" ht="15" customHeight="1">
      <c r="A151" t="inlineStr">
        <is>
          <t>A 37930-2019</t>
        </is>
      </c>
      <c r="B151" s="1" t="n">
        <v>43683</v>
      </c>
      <c r="C151" s="1" t="n">
        <v>45728</v>
      </c>
      <c r="D151" t="inlineStr">
        <is>
          <t>ÖREBRO LÄN</t>
        </is>
      </c>
      <c r="E151" t="inlineStr">
        <is>
          <t>ÖREBRO</t>
        </is>
      </c>
      <c r="G151" t="n">
        <v>4.8</v>
      </c>
      <c r="H151" t="n">
        <v>0</v>
      </c>
      <c r="I151" t="n">
        <v>0</v>
      </c>
      <c r="J151" t="n">
        <v>0</v>
      </c>
      <c r="K151" t="n">
        <v>0</v>
      </c>
      <c r="L151" t="n">
        <v>0</v>
      </c>
      <c r="M151" t="n">
        <v>0</v>
      </c>
      <c r="N151" t="n">
        <v>0</v>
      </c>
      <c r="O151" t="n">
        <v>0</v>
      </c>
      <c r="P151" t="n">
        <v>0</v>
      </c>
      <c r="Q151" t="n">
        <v>0</v>
      </c>
      <c r="R151" s="2" t="inlineStr"/>
    </row>
    <row r="152" ht="15" customHeight="1">
      <c r="A152" t="inlineStr">
        <is>
          <t>A 38372-2019</t>
        </is>
      </c>
      <c r="B152" s="1" t="n">
        <v>43683</v>
      </c>
      <c r="C152" s="1" t="n">
        <v>45728</v>
      </c>
      <c r="D152" t="inlineStr">
        <is>
          <t>ÖREBRO LÄN</t>
        </is>
      </c>
      <c r="E152" t="inlineStr">
        <is>
          <t>ÖREBRO</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38389-2019</t>
        </is>
      </c>
      <c r="B153" s="1" t="n">
        <v>43685</v>
      </c>
      <c r="C153" s="1" t="n">
        <v>45728</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38885-2019</t>
        </is>
      </c>
      <c r="B154" s="1" t="n">
        <v>43686</v>
      </c>
      <c r="C154" s="1" t="n">
        <v>45728</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38923-2019</t>
        </is>
      </c>
      <c r="B155" s="1" t="n">
        <v>43689</v>
      </c>
      <c r="C155" s="1" t="n">
        <v>45728</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38846-2019</t>
        </is>
      </c>
      <c r="B156" s="1" t="n">
        <v>43689</v>
      </c>
      <c r="C156" s="1" t="n">
        <v>45728</v>
      </c>
      <c r="D156" t="inlineStr">
        <is>
          <t>ÖREBRO LÄN</t>
        </is>
      </c>
      <c r="E156" t="inlineStr">
        <is>
          <t>ÖREBRO</t>
        </is>
      </c>
      <c r="G156" t="n">
        <v>3.8</v>
      </c>
      <c r="H156" t="n">
        <v>0</v>
      </c>
      <c r="I156" t="n">
        <v>0</v>
      </c>
      <c r="J156" t="n">
        <v>0</v>
      </c>
      <c r="K156" t="n">
        <v>0</v>
      </c>
      <c r="L156" t="n">
        <v>0</v>
      </c>
      <c r="M156" t="n">
        <v>0</v>
      </c>
      <c r="N156" t="n">
        <v>0</v>
      </c>
      <c r="O156" t="n">
        <v>0</v>
      </c>
      <c r="P156" t="n">
        <v>0</v>
      </c>
      <c r="Q156" t="n">
        <v>0</v>
      </c>
      <c r="R156" s="2" t="inlineStr"/>
    </row>
    <row r="157" ht="15" customHeight="1">
      <c r="A157" t="inlineStr">
        <is>
          <t>A 39303-2019</t>
        </is>
      </c>
      <c r="B157" s="1" t="n">
        <v>43690</v>
      </c>
      <c r="C157" s="1" t="n">
        <v>45728</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39576-2019</t>
        </is>
      </c>
      <c r="B158" s="1" t="n">
        <v>43691</v>
      </c>
      <c r="C158" s="1" t="n">
        <v>45728</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39714-2019</t>
        </is>
      </c>
      <c r="B159" s="1" t="n">
        <v>43691</v>
      </c>
      <c r="C159" s="1" t="n">
        <v>45728</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40694-2019</t>
        </is>
      </c>
      <c r="B160" s="1" t="n">
        <v>43691</v>
      </c>
      <c r="C160" s="1" t="n">
        <v>45728</v>
      </c>
      <c r="D160" t="inlineStr">
        <is>
          <t>ÖREBRO LÄN</t>
        </is>
      </c>
      <c r="E160" t="inlineStr">
        <is>
          <t>ÖREBRO</t>
        </is>
      </c>
      <c r="F160" t="inlineStr">
        <is>
          <t>Kommuner</t>
        </is>
      </c>
      <c r="G160" t="n">
        <v>4</v>
      </c>
      <c r="H160" t="n">
        <v>0</v>
      </c>
      <c r="I160" t="n">
        <v>0</v>
      </c>
      <c r="J160" t="n">
        <v>0</v>
      </c>
      <c r="K160" t="n">
        <v>0</v>
      </c>
      <c r="L160" t="n">
        <v>0</v>
      </c>
      <c r="M160" t="n">
        <v>0</v>
      </c>
      <c r="N160" t="n">
        <v>0</v>
      </c>
      <c r="O160" t="n">
        <v>0</v>
      </c>
      <c r="P160" t="n">
        <v>0</v>
      </c>
      <c r="Q160" t="n">
        <v>0</v>
      </c>
      <c r="R160" s="2" t="inlineStr"/>
    </row>
    <row r="161" ht="15" customHeight="1">
      <c r="A161" t="inlineStr">
        <is>
          <t>A 40556-2019</t>
        </is>
      </c>
      <c r="B161" s="1" t="n">
        <v>43691</v>
      </c>
      <c r="C161" s="1" t="n">
        <v>45728</v>
      </c>
      <c r="D161" t="inlineStr">
        <is>
          <t>ÖREBRO LÄN</t>
        </is>
      </c>
      <c r="E161" t="inlineStr">
        <is>
          <t>ÖREBRO</t>
        </is>
      </c>
      <c r="G161" t="n">
        <v>6.5</v>
      </c>
      <c r="H161" t="n">
        <v>0</v>
      </c>
      <c r="I161" t="n">
        <v>0</v>
      </c>
      <c r="J161" t="n">
        <v>0</v>
      </c>
      <c r="K161" t="n">
        <v>0</v>
      </c>
      <c r="L161" t="n">
        <v>0</v>
      </c>
      <c r="M161" t="n">
        <v>0</v>
      </c>
      <c r="N161" t="n">
        <v>0</v>
      </c>
      <c r="O161" t="n">
        <v>0</v>
      </c>
      <c r="P161" t="n">
        <v>0</v>
      </c>
      <c r="Q161" t="n">
        <v>0</v>
      </c>
      <c r="R161" s="2" t="inlineStr"/>
    </row>
    <row r="162" ht="15" customHeight="1">
      <c r="A162" t="inlineStr">
        <is>
          <t>A 41063-2019</t>
        </is>
      </c>
      <c r="B162" s="1" t="n">
        <v>43698</v>
      </c>
      <c r="C162" s="1" t="n">
        <v>45728</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44039-2019</t>
        </is>
      </c>
      <c r="B163" s="1" t="n">
        <v>43704</v>
      </c>
      <c r="C163" s="1" t="n">
        <v>45728</v>
      </c>
      <c r="D163" t="inlineStr">
        <is>
          <t>ÖREBRO LÄN</t>
        </is>
      </c>
      <c r="E163" t="inlineStr">
        <is>
          <t>ÖREBRO</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43692-2019</t>
        </is>
      </c>
      <c r="B164" s="1" t="n">
        <v>43704</v>
      </c>
      <c r="C164" s="1" t="n">
        <v>45728</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44034-2019</t>
        </is>
      </c>
      <c r="B165" s="1" t="n">
        <v>43704</v>
      </c>
      <c r="C165" s="1" t="n">
        <v>45728</v>
      </c>
      <c r="D165" t="inlineStr">
        <is>
          <t>ÖREBRO LÄN</t>
        </is>
      </c>
      <c r="E165" t="inlineStr">
        <is>
          <t>ÖREBRO</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44152-2019</t>
        </is>
      </c>
      <c r="B166" s="1" t="n">
        <v>43704</v>
      </c>
      <c r="C166" s="1" t="n">
        <v>45728</v>
      </c>
      <c r="D166" t="inlineStr">
        <is>
          <t>ÖREBRO LÄN</t>
        </is>
      </c>
      <c r="E166" t="inlineStr">
        <is>
          <t>ÖREBRO</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43632-2019</t>
        </is>
      </c>
      <c r="B167" s="1" t="n">
        <v>43704</v>
      </c>
      <c r="C167" s="1" t="n">
        <v>45728</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43007-2019</t>
        </is>
      </c>
      <c r="B168" s="1" t="n">
        <v>43705</v>
      </c>
      <c r="C168" s="1" t="n">
        <v>45728</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44153-2019</t>
        </is>
      </c>
      <c r="B169" s="1" t="n">
        <v>43710</v>
      </c>
      <c r="C169" s="1" t="n">
        <v>45728</v>
      </c>
      <c r="D169" t="inlineStr">
        <is>
          <t>ÖREBRO LÄN</t>
        </is>
      </c>
      <c r="E169" t="inlineStr">
        <is>
          <t>ÖREBRO</t>
        </is>
      </c>
      <c r="G169" t="n">
        <v>5.5</v>
      </c>
      <c r="H169" t="n">
        <v>0</v>
      </c>
      <c r="I169" t="n">
        <v>0</v>
      </c>
      <c r="J169" t="n">
        <v>0</v>
      </c>
      <c r="K169" t="n">
        <v>0</v>
      </c>
      <c r="L169" t="n">
        <v>0</v>
      </c>
      <c r="M169" t="n">
        <v>0</v>
      </c>
      <c r="N169" t="n">
        <v>0</v>
      </c>
      <c r="O169" t="n">
        <v>0</v>
      </c>
      <c r="P169" t="n">
        <v>0</v>
      </c>
      <c r="Q169" t="n">
        <v>0</v>
      </c>
      <c r="R169" s="2" t="inlineStr"/>
    </row>
    <row r="170" ht="15" customHeight="1">
      <c r="A170" t="inlineStr">
        <is>
          <t>A 44280-2019</t>
        </is>
      </c>
      <c r="B170" s="1" t="n">
        <v>43710</v>
      </c>
      <c r="C170" s="1" t="n">
        <v>45728</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44277-2019</t>
        </is>
      </c>
      <c r="B171" s="1" t="n">
        <v>43710</v>
      </c>
      <c r="C171" s="1" t="n">
        <v>45728</v>
      </c>
      <c r="D171" t="inlineStr">
        <is>
          <t>ÖREBRO LÄN</t>
        </is>
      </c>
      <c r="E171" t="inlineStr">
        <is>
          <t>ÖREBRO</t>
        </is>
      </c>
      <c r="G171" t="n">
        <v>3.6</v>
      </c>
      <c r="H171" t="n">
        <v>0</v>
      </c>
      <c r="I171" t="n">
        <v>0</v>
      </c>
      <c r="J171" t="n">
        <v>0</v>
      </c>
      <c r="K171" t="n">
        <v>0</v>
      </c>
      <c r="L171" t="n">
        <v>0</v>
      </c>
      <c r="M171" t="n">
        <v>0</v>
      </c>
      <c r="N171" t="n">
        <v>0</v>
      </c>
      <c r="O171" t="n">
        <v>0</v>
      </c>
      <c r="P171" t="n">
        <v>0</v>
      </c>
      <c r="Q171" t="n">
        <v>0</v>
      </c>
      <c r="R171" s="2" t="inlineStr"/>
    </row>
    <row r="172" ht="15" customHeight="1">
      <c r="A172" t="inlineStr">
        <is>
          <t>A 45309-2019</t>
        </is>
      </c>
      <c r="B172" s="1" t="n">
        <v>43710</v>
      </c>
      <c r="C172" s="1" t="n">
        <v>45728</v>
      </c>
      <c r="D172" t="inlineStr">
        <is>
          <t>ÖREBRO LÄN</t>
        </is>
      </c>
      <c r="E172" t="inlineStr">
        <is>
          <t>ÖREBRO</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44278-2019</t>
        </is>
      </c>
      <c r="B173" s="1" t="n">
        <v>43710</v>
      </c>
      <c r="C173" s="1" t="n">
        <v>45728</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44948-2019</t>
        </is>
      </c>
      <c r="B174" s="1" t="n">
        <v>43713</v>
      </c>
      <c r="C174" s="1" t="n">
        <v>45728</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45418-2019</t>
        </is>
      </c>
      <c r="B175" s="1" t="n">
        <v>43714</v>
      </c>
      <c r="C175" s="1" t="n">
        <v>45728</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45420-2019</t>
        </is>
      </c>
      <c r="B176" s="1" t="n">
        <v>43714</v>
      </c>
      <c r="C176" s="1" t="n">
        <v>45728</v>
      </c>
      <c r="D176" t="inlineStr">
        <is>
          <t>ÖREBRO LÄN</t>
        </is>
      </c>
      <c r="E176" t="inlineStr">
        <is>
          <t>ÖREBRO</t>
        </is>
      </c>
      <c r="G176" t="n">
        <v>4.2</v>
      </c>
      <c r="H176" t="n">
        <v>0</v>
      </c>
      <c r="I176" t="n">
        <v>0</v>
      </c>
      <c r="J176" t="n">
        <v>0</v>
      </c>
      <c r="K176" t="n">
        <v>0</v>
      </c>
      <c r="L176" t="n">
        <v>0</v>
      </c>
      <c r="M176" t="n">
        <v>0</v>
      </c>
      <c r="N176" t="n">
        <v>0</v>
      </c>
      <c r="O176" t="n">
        <v>0</v>
      </c>
      <c r="P176" t="n">
        <v>0</v>
      </c>
      <c r="Q176" t="n">
        <v>0</v>
      </c>
      <c r="R176" s="2" t="inlineStr"/>
    </row>
    <row r="177" ht="15" customHeight="1">
      <c r="A177" t="inlineStr">
        <is>
          <t>A 45686-2019</t>
        </is>
      </c>
      <c r="B177" s="1" t="n">
        <v>43714</v>
      </c>
      <c r="C177" s="1" t="n">
        <v>45728</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46552-2019</t>
        </is>
      </c>
      <c r="B178" s="1" t="n">
        <v>43719</v>
      </c>
      <c r="C178" s="1" t="n">
        <v>45728</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46900-2019</t>
        </is>
      </c>
      <c r="B179" s="1" t="n">
        <v>43719</v>
      </c>
      <c r="C179" s="1" t="n">
        <v>45728</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49926-2019</t>
        </is>
      </c>
      <c r="B180" s="1" t="n">
        <v>43733</v>
      </c>
      <c r="C180" s="1" t="n">
        <v>45728</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50074-2019</t>
        </is>
      </c>
      <c r="B181" s="1" t="n">
        <v>43734</v>
      </c>
      <c r="C181" s="1" t="n">
        <v>45728</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50080-2019</t>
        </is>
      </c>
      <c r="B182" s="1" t="n">
        <v>43734</v>
      </c>
      <c r="C182" s="1" t="n">
        <v>45728</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50148-2019</t>
        </is>
      </c>
      <c r="B183" s="1" t="n">
        <v>43734</v>
      </c>
      <c r="C183" s="1" t="n">
        <v>45728</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50366-2019</t>
        </is>
      </c>
      <c r="B184" s="1" t="n">
        <v>43735</v>
      </c>
      <c r="C184" s="1" t="n">
        <v>45728</v>
      </c>
      <c r="D184" t="inlineStr">
        <is>
          <t>ÖREBRO LÄN</t>
        </is>
      </c>
      <c r="E184" t="inlineStr">
        <is>
          <t>ÖREBRO</t>
        </is>
      </c>
      <c r="G184" t="n">
        <v>3.5</v>
      </c>
      <c r="H184" t="n">
        <v>0</v>
      </c>
      <c r="I184" t="n">
        <v>0</v>
      </c>
      <c r="J184" t="n">
        <v>0</v>
      </c>
      <c r="K184" t="n">
        <v>0</v>
      </c>
      <c r="L184" t="n">
        <v>0</v>
      </c>
      <c r="M184" t="n">
        <v>0</v>
      </c>
      <c r="N184" t="n">
        <v>0</v>
      </c>
      <c r="O184" t="n">
        <v>0</v>
      </c>
      <c r="P184" t="n">
        <v>0</v>
      </c>
      <c r="Q184" t="n">
        <v>0</v>
      </c>
      <c r="R184" s="2" t="inlineStr"/>
    </row>
    <row r="185" ht="15" customHeight="1">
      <c r="A185" t="inlineStr">
        <is>
          <t>A 50321-2019</t>
        </is>
      </c>
      <c r="B185" s="1" t="n">
        <v>43735</v>
      </c>
      <c r="C185" s="1" t="n">
        <v>45728</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52705-2019</t>
        </is>
      </c>
      <c r="B186" s="1" t="n">
        <v>43739</v>
      </c>
      <c r="C186" s="1" t="n">
        <v>45728</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51808-2019</t>
        </is>
      </c>
      <c r="B187" s="1" t="n">
        <v>43741</v>
      </c>
      <c r="C187" s="1" t="n">
        <v>45728</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54181-2019</t>
        </is>
      </c>
      <c r="B188" s="1" t="n">
        <v>43745</v>
      </c>
      <c r="C188" s="1" t="n">
        <v>45728</v>
      </c>
      <c r="D188" t="inlineStr">
        <is>
          <t>ÖREBRO LÄN</t>
        </is>
      </c>
      <c r="E188" t="inlineStr">
        <is>
          <t>ÖREBRO</t>
        </is>
      </c>
      <c r="F188" t="inlineStr">
        <is>
          <t>Övriga Aktiebolag</t>
        </is>
      </c>
      <c r="G188" t="n">
        <v>7.6</v>
      </c>
      <c r="H188" t="n">
        <v>0</v>
      </c>
      <c r="I188" t="n">
        <v>0</v>
      </c>
      <c r="J188" t="n">
        <v>0</v>
      </c>
      <c r="K188" t="n">
        <v>0</v>
      </c>
      <c r="L188" t="n">
        <v>0</v>
      </c>
      <c r="M188" t="n">
        <v>0</v>
      </c>
      <c r="N188" t="n">
        <v>0</v>
      </c>
      <c r="O188" t="n">
        <v>0</v>
      </c>
      <c r="P188" t="n">
        <v>0</v>
      </c>
      <c r="Q188" t="n">
        <v>0</v>
      </c>
      <c r="R188" s="2" t="inlineStr"/>
    </row>
    <row r="189" ht="15" customHeight="1">
      <c r="A189" t="inlineStr">
        <is>
          <t>A 53446-2019</t>
        </is>
      </c>
      <c r="B189" s="1" t="n">
        <v>43748</v>
      </c>
      <c r="C189" s="1" t="n">
        <v>45728</v>
      </c>
      <c r="D189" t="inlineStr">
        <is>
          <t>ÖREBRO LÄN</t>
        </is>
      </c>
      <c r="E189" t="inlineStr">
        <is>
          <t>ÖREBRO</t>
        </is>
      </c>
      <c r="G189" t="n">
        <v>4.1</v>
      </c>
      <c r="H189" t="n">
        <v>0</v>
      </c>
      <c r="I189" t="n">
        <v>0</v>
      </c>
      <c r="J189" t="n">
        <v>0</v>
      </c>
      <c r="K189" t="n">
        <v>0</v>
      </c>
      <c r="L189" t="n">
        <v>0</v>
      </c>
      <c r="M189" t="n">
        <v>0</v>
      </c>
      <c r="N189" t="n">
        <v>0</v>
      </c>
      <c r="O189" t="n">
        <v>0</v>
      </c>
      <c r="P189" t="n">
        <v>0</v>
      </c>
      <c r="Q189" t="n">
        <v>0</v>
      </c>
      <c r="R189" s="2" t="inlineStr"/>
    </row>
    <row r="190" ht="15" customHeight="1">
      <c r="A190" t="inlineStr">
        <is>
          <t>A 54912-2019</t>
        </is>
      </c>
      <c r="B190" s="1" t="n">
        <v>43755</v>
      </c>
      <c r="C190" s="1" t="n">
        <v>45728</v>
      </c>
      <c r="D190" t="inlineStr">
        <is>
          <t>ÖREBRO LÄN</t>
        </is>
      </c>
      <c r="E190" t="inlineStr">
        <is>
          <t>ÖREBRO</t>
        </is>
      </c>
      <c r="F190" t="inlineStr">
        <is>
          <t>Allmännings- och besparingsskogar</t>
        </is>
      </c>
      <c r="G190" t="n">
        <v>15.1</v>
      </c>
      <c r="H190" t="n">
        <v>0</v>
      </c>
      <c r="I190" t="n">
        <v>0</v>
      </c>
      <c r="J190" t="n">
        <v>0</v>
      </c>
      <c r="K190" t="n">
        <v>0</v>
      </c>
      <c r="L190" t="n">
        <v>0</v>
      </c>
      <c r="M190" t="n">
        <v>0</v>
      </c>
      <c r="N190" t="n">
        <v>0</v>
      </c>
      <c r="O190" t="n">
        <v>0</v>
      </c>
      <c r="P190" t="n">
        <v>0</v>
      </c>
      <c r="Q190" t="n">
        <v>0</v>
      </c>
      <c r="R190" s="2" t="inlineStr"/>
    </row>
    <row r="191" ht="15" customHeight="1">
      <c r="A191" t="inlineStr">
        <is>
          <t>A 57706-2019</t>
        </is>
      </c>
      <c r="B191" s="1" t="n">
        <v>43761</v>
      </c>
      <c r="C191" s="1" t="n">
        <v>45728</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56963-2019</t>
        </is>
      </c>
      <c r="B192" s="1" t="n">
        <v>43766</v>
      </c>
      <c r="C192" s="1" t="n">
        <v>45728</v>
      </c>
      <c r="D192" t="inlineStr">
        <is>
          <t>ÖREBRO LÄN</t>
        </is>
      </c>
      <c r="E192" t="inlineStr">
        <is>
          <t>ÖREBRO</t>
        </is>
      </c>
      <c r="G192" t="n">
        <v>4</v>
      </c>
      <c r="H192" t="n">
        <v>0</v>
      </c>
      <c r="I192" t="n">
        <v>0</v>
      </c>
      <c r="J192" t="n">
        <v>0</v>
      </c>
      <c r="K192" t="n">
        <v>0</v>
      </c>
      <c r="L192" t="n">
        <v>0</v>
      </c>
      <c r="M192" t="n">
        <v>0</v>
      </c>
      <c r="N192" t="n">
        <v>0</v>
      </c>
      <c r="O192" t="n">
        <v>0</v>
      </c>
      <c r="P192" t="n">
        <v>0</v>
      </c>
      <c r="Q192" t="n">
        <v>0</v>
      </c>
      <c r="R192" s="2" t="inlineStr"/>
    </row>
    <row r="193" ht="15" customHeight="1">
      <c r="A193" t="inlineStr">
        <is>
          <t>A 57673-2019</t>
        </is>
      </c>
      <c r="B193" s="1" t="n">
        <v>43768</v>
      </c>
      <c r="C193" s="1" t="n">
        <v>45728</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58955-2019</t>
        </is>
      </c>
      <c r="B194" s="1" t="n">
        <v>43774</v>
      </c>
      <c r="C194" s="1" t="n">
        <v>45728</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59109-2019</t>
        </is>
      </c>
      <c r="B195" s="1" t="n">
        <v>43775</v>
      </c>
      <c r="C195" s="1" t="n">
        <v>45728</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59582-2019</t>
        </is>
      </c>
      <c r="B196" s="1" t="n">
        <v>43776</v>
      </c>
      <c r="C196" s="1" t="n">
        <v>45728</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60960-2019</t>
        </is>
      </c>
      <c r="B197" s="1" t="n">
        <v>43782</v>
      </c>
      <c r="C197" s="1" t="n">
        <v>45728</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61408-2019</t>
        </is>
      </c>
      <c r="B198" s="1" t="n">
        <v>43783</v>
      </c>
      <c r="C198" s="1" t="n">
        <v>45728</v>
      </c>
      <c r="D198" t="inlineStr">
        <is>
          <t>ÖREBRO LÄN</t>
        </is>
      </c>
      <c r="E198" t="inlineStr">
        <is>
          <t>ÖREBRO</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61669-2019</t>
        </is>
      </c>
      <c r="B199" s="1" t="n">
        <v>43783</v>
      </c>
      <c r="C199" s="1" t="n">
        <v>45728</v>
      </c>
      <c r="D199" t="inlineStr">
        <is>
          <t>ÖREBRO LÄN</t>
        </is>
      </c>
      <c r="E199" t="inlineStr">
        <is>
          <t>ÖREBRO</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61552-2019</t>
        </is>
      </c>
      <c r="B200" s="1" t="n">
        <v>43784</v>
      </c>
      <c r="C200" s="1" t="n">
        <v>45728</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61812-2019</t>
        </is>
      </c>
      <c r="B201" s="1" t="n">
        <v>43786</v>
      </c>
      <c r="C201" s="1" t="n">
        <v>45728</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62131-2019</t>
        </is>
      </c>
      <c r="B202" s="1" t="n">
        <v>43787</v>
      </c>
      <c r="C202" s="1" t="n">
        <v>45728</v>
      </c>
      <c r="D202" t="inlineStr">
        <is>
          <t>ÖREBRO LÄN</t>
        </is>
      </c>
      <c r="E202" t="inlineStr">
        <is>
          <t>ÖREBRO</t>
        </is>
      </c>
      <c r="G202" t="n">
        <v>2.6</v>
      </c>
      <c r="H202" t="n">
        <v>0</v>
      </c>
      <c r="I202" t="n">
        <v>0</v>
      </c>
      <c r="J202" t="n">
        <v>0</v>
      </c>
      <c r="K202" t="n">
        <v>0</v>
      </c>
      <c r="L202" t="n">
        <v>0</v>
      </c>
      <c r="M202" t="n">
        <v>0</v>
      </c>
      <c r="N202" t="n">
        <v>0</v>
      </c>
      <c r="O202" t="n">
        <v>0</v>
      </c>
      <c r="P202" t="n">
        <v>0</v>
      </c>
      <c r="Q202" t="n">
        <v>0</v>
      </c>
      <c r="R202" s="2" t="inlineStr"/>
    </row>
    <row r="203" ht="15" customHeight="1">
      <c r="A203" t="inlineStr">
        <is>
          <t>A 63970-2019</t>
        </is>
      </c>
      <c r="B203" s="1" t="n">
        <v>43790</v>
      </c>
      <c r="C203" s="1" t="n">
        <v>45728</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63722-2019</t>
        </is>
      </c>
      <c r="B204" s="1" t="n">
        <v>43790</v>
      </c>
      <c r="C204" s="1" t="n">
        <v>45728</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63310-2019</t>
        </is>
      </c>
      <c r="B205" s="1" t="n">
        <v>43794</v>
      </c>
      <c r="C205" s="1" t="n">
        <v>45728</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64095-2019</t>
        </is>
      </c>
      <c r="B206" s="1" t="n">
        <v>43796</v>
      </c>
      <c r="C206" s="1" t="n">
        <v>45728</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64384-2019</t>
        </is>
      </c>
      <c r="B207" s="1" t="n">
        <v>43797</v>
      </c>
      <c r="C207" s="1" t="n">
        <v>45728</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65014-2019</t>
        </is>
      </c>
      <c r="B208" s="1" t="n">
        <v>43801</v>
      </c>
      <c r="C208" s="1" t="n">
        <v>45728</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64984-2019</t>
        </is>
      </c>
      <c r="B209" s="1" t="n">
        <v>43801</v>
      </c>
      <c r="C209" s="1" t="n">
        <v>45728</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65011-2019</t>
        </is>
      </c>
      <c r="B210" s="1" t="n">
        <v>43801</v>
      </c>
      <c r="C210" s="1" t="n">
        <v>45728</v>
      </c>
      <c r="D210" t="inlineStr">
        <is>
          <t>ÖREBRO LÄN</t>
        </is>
      </c>
      <c r="E210" t="inlineStr">
        <is>
          <t>ÖREBRO</t>
        </is>
      </c>
      <c r="G210" t="n">
        <v>0.3</v>
      </c>
      <c r="H210" t="n">
        <v>0</v>
      </c>
      <c r="I210" t="n">
        <v>0</v>
      </c>
      <c r="J210" t="n">
        <v>0</v>
      </c>
      <c r="K210" t="n">
        <v>0</v>
      </c>
      <c r="L210" t="n">
        <v>0</v>
      </c>
      <c r="M210" t="n">
        <v>0</v>
      </c>
      <c r="N210" t="n">
        <v>0</v>
      </c>
      <c r="O210" t="n">
        <v>0</v>
      </c>
      <c r="P210" t="n">
        <v>0</v>
      </c>
      <c r="Q210" t="n">
        <v>0</v>
      </c>
      <c r="R210" s="2" t="inlineStr"/>
    </row>
    <row r="211" ht="15" customHeight="1">
      <c r="A211" t="inlineStr">
        <is>
          <t>A 65937-2019</t>
        </is>
      </c>
      <c r="B211" s="1" t="n">
        <v>43801</v>
      </c>
      <c r="C211" s="1" t="n">
        <v>45728</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65451-2019</t>
        </is>
      </c>
      <c r="B212" s="1" t="n">
        <v>43803</v>
      </c>
      <c r="C212" s="1" t="n">
        <v>45728</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65738-2019</t>
        </is>
      </c>
      <c r="B213" s="1" t="n">
        <v>43804</v>
      </c>
      <c r="C213" s="1" t="n">
        <v>45728</v>
      </c>
      <c r="D213" t="inlineStr">
        <is>
          <t>ÖREBRO LÄN</t>
        </is>
      </c>
      <c r="E213" t="inlineStr">
        <is>
          <t>ÖREBRO</t>
        </is>
      </c>
      <c r="G213" t="n">
        <v>6</v>
      </c>
      <c r="H213" t="n">
        <v>0</v>
      </c>
      <c r="I213" t="n">
        <v>0</v>
      </c>
      <c r="J213" t="n">
        <v>0</v>
      </c>
      <c r="K213" t="n">
        <v>0</v>
      </c>
      <c r="L213" t="n">
        <v>0</v>
      </c>
      <c r="M213" t="n">
        <v>0</v>
      </c>
      <c r="N213" t="n">
        <v>0</v>
      </c>
      <c r="O213" t="n">
        <v>0</v>
      </c>
      <c r="P213" t="n">
        <v>0</v>
      </c>
      <c r="Q213" t="n">
        <v>0</v>
      </c>
      <c r="R213" s="2" t="inlineStr"/>
    </row>
    <row r="214" ht="15" customHeight="1">
      <c r="A214" t="inlineStr">
        <is>
          <t>A 66581-2019</t>
        </is>
      </c>
      <c r="B214" s="1" t="n">
        <v>43809</v>
      </c>
      <c r="C214" s="1" t="n">
        <v>45728</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66562-2019</t>
        </is>
      </c>
      <c r="B215" s="1" t="n">
        <v>43809</v>
      </c>
      <c r="C215" s="1" t="n">
        <v>45728</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67939-2019</t>
        </is>
      </c>
      <c r="B216" s="1" t="n">
        <v>43810</v>
      </c>
      <c r="C216" s="1" t="n">
        <v>45728</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67471-2019</t>
        </is>
      </c>
      <c r="B217" s="1" t="n">
        <v>43814</v>
      </c>
      <c r="C217" s="1" t="n">
        <v>45728</v>
      </c>
      <c r="D217" t="inlineStr">
        <is>
          <t>ÖREBRO LÄN</t>
        </is>
      </c>
      <c r="E217" t="inlineStr">
        <is>
          <t>ÖREBRO</t>
        </is>
      </c>
      <c r="G217" t="n">
        <v>7</v>
      </c>
      <c r="H217" t="n">
        <v>0</v>
      </c>
      <c r="I217" t="n">
        <v>0</v>
      </c>
      <c r="J217" t="n">
        <v>0</v>
      </c>
      <c r="K217" t="n">
        <v>0</v>
      </c>
      <c r="L217" t="n">
        <v>0</v>
      </c>
      <c r="M217" t="n">
        <v>0</v>
      </c>
      <c r="N217" t="n">
        <v>0</v>
      </c>
      <c r="O217" t="n">
        <v>0</v>
      </c>
      <c r="P217" t="n">
        <v>0</v>
      </c>
      <c r="Q217" t="n">
        <v>0</v>
      </c>
      <c r="R217" s="2" t="inlineStr"/>
    </row>
    <row r="218" ht="15" customHeight="1">
      <c r="A218" t="inlineStr">
        <is>
          <t>A 67469-2019</t>
        </is>
      </c>
      <c r="B218" s="1" t="n">
        <v>43814</v>
      </c>
      <c r="C218" s="1" t="n">
        <v>45728</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67475-2019</t>
        </is>
      </c>
      <c r="B219" s="1" t="n">
        <v>43814</v>
      </c>
      <c r="C219" s="1" t="n">
        <v>45728</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67477-2019</t>
        </is>
      </c>
      <c r="B220" s="1" t="n">
        <v>43814</v>
      </c>
      <c r="C220" s="1" t="n">
        <v>45728</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68541-2019</t>
        </is>
      </c>
      <c r="B221" s="1" t="n">
        <v>43818</v>
      </c>
      <c r="C221" s="1" t="n">
        <v>45728</v>
      </c>
      <c r="D221" t="inlineStr">
        <is>
          <t>ÖREBRO LÄN</t>
        </is>
      </c>
      <c r="E221" t="inlineStr">
        <is>
          <t>ÖREBRO</t>
        </is>
      </c>
      <c r="G221" t="n">
        <v>5.9</v>
      </c>
      <c r="H221" t="n">
        <v>0</v>
      </c>
      <c r="I221" t="n">
        <v>0</v>
      </c>
      <c r="J221" t="n">
        <v>0</v>
      </c>
      <c r="K221" t="n">
        <v>0</v>
      </c>
      <c r="L221" t="n">
        <v>0</v>
      </c>
      <c r="M221" t="n">
        <v>0</v>
      </c>
      <c r="N221" t="n">
        <v>0</v>
      </c>
      <c r="O221" t="n">
        <v>0</v>
      </c>
      <c r="P221" t="n">
        <v>0</v>
      </c>
      <c r="Q221" t="n">
        <v>0</v>
      </c>
      <c r="R221" s="2" t="inlineStr"/>
    </row>
    <row r="222" ht="15" customHeight="1">
      <c r="A222" t="inlineStr">
        <is>
          <t>A 68554-2019</t>
        </is>
      </c>
      <c r="B222" s="1" t="n">
        <v>43818</v>
      </c>
      <c r="C222" s="1" t="n">
        <v>45728</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257-2020</t>
        </is>
      </c>
      <c r="B223" s="1" t="n">
        <v>43836</v>
      </c>
      <c r="C223" s="1" t="n">
        <v>45728</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760-2020</t>
        </is>
      </c>
      <c r="B224" s="1" t="n">
        <v>43838</v>
      </c>
      <c r="C224" s="1" t="n">
        <v>45728</v>
      </c>
      <c r="D224" t="inlineStr">
        <is>
          <t>ÖREBRO LÄN</t>
        </is>
      </c>
      <c r="E224" t="inlineStr">
        <is>
          <t>ÖREBRO</t>
        </is>
      </c>
      <c r="G224" t="n">
        <v>6.2</v>
      </c>
      <c r="H224" t="n">
        <v>0</v>
      </c>
      <c r="I224" t="n">
        <v>0</v>
      </c>
      <c r="J224" t="n">
        <v>0</v>
      </c>
      <c r="K224" t="n">
        <v>0</v>
      </c>
      <c r="L224" t="n">
        <v>0</v>
      </c>
      <c r="M224" t="n">
        <v>0</v>
      </c>
      <c r="N224" t="n">
        <v>0</v>
      </c>
      <c r="O224" t="n">
        <v>0</v>
      </c>
      <c r="P224" t="n">
        <v>0</v>
      </c>
      <c r="Q224" t="n">
        <v>0</v>
      </c>
      <c r="R224" s="2" t="inlineStr"/>
    </row>
    <row r="225" ht="15" customHeight="1">
      <c r="A225" t="inlineStr">
        <is>
          <t>A 2329-2020</t>
        </is>
      </c>
      <c r="B225" s="1" t="n">
        <v>43840</v>
      </c>
      <c r="C225" s="1" t="n">
        <v>45728</v>
      </c>
      <c r="D225" t="inlineStr">
        <is>
          <t>ÖREBRO LÄN</t>
        </is>
      </c>
      <c r="E225" t="inlineStr">
        <is>
          <t>ÖREBRO</t>
        </is>
      </c>
      <c r="F225" t="inlineStr">
        <is>
          <t>Kommuner</t>
        </is>
      </c>
      <c r="G225" t="n">
        <v>3.7</v>
      </c>
      <c r="H225" t="n">
        <v>0</v>
      </c>
      <c r="I225" t="n">
        <v>0</v>
      </c>
      <c r="J225" t="n">
        <v>0</v>
      </c>
      <c r="K225" t="n">
        <v>0</v>
      </c>
      <c r="L225" t="n">
        <v>0</v>
      </c>
      <c r="M225" t="n">
        <v>0</v>
      </c>
      <c r="N225" t="n">
        <v>0</v>
      </c>
      <c r="O225" t="n">
        <v>0</v>
      </c>
      <c r="P225" t="n">
        <v>0</v>
      </c>
      <c r="Q225" t="n">
        <v>0</v>
      </c>
      <c r="R225" s="2" t="inlineStr"/>
    </row>
    <row r="226" ht="15" customHeight="1">
      <c r="A226" t="inlineStr">
        <is>
          <t>A 1311-2020</t>
        </is>
      </c>
      <c r="B226" s="1" t="n">
        <v>43843</v>
      </c>
      <c r="C226" s="1" t="n">
        <v>45728</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1574-2020</t>
        </is>
      </c>
      <c r="B227" s="1" t="n">
        <v>43844</v>
      </c>
      <c r="C227" s="1" t="n">
        <v>45728</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1580-2020</t>
        </is>
      </c>
      <c r="B228" s="1" t="n">
        <v>43844</v>
      </c>
      <c r="C228" s="1" t="n">
        <v>45728</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1577-2020</t>
        </is>
      </c>
      <c r="B229" s="1" t="n">
        <v>43844</v>
      </c>
      <c r="C229" s="1" t="n">
        <v>45728</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1582-2020</t>
        </is>
      </c>
      <c r="B230" s="1" t="n">
        <v>43844</v>
      </c>
      <c r="C230" s="1" t="n">
        <v>45728</v>
      </c>
      <c r="D230" t="inlineStr">
        <is>
          <t>ÖREBRO LÄN</t>
        </is>
      </c>
      <c r="E230" t="inlineStr">
        <is>
          <t>ÖREBRO</t>
        </is>
      </c>
      <c r="G230" t="n">
        <v>5.3</v>
      </c>
      <c r="H230" t="n">
        <v>0</v>
      </c>
      <c r="I230" t="n">
        <v>0</v>
      </c>
      <c r="J230" t="n">
        <v>0</v>
      </c>
      <c r="K230" t="n">
        <v>0</v>
      </c>
      <c r="L230" t="n">
        <v>0</v>
      </c>
      <c r="M230" t="n">
        <v>0</v>
      </c>
      <c r="N230" t="n">
        <v>0</v>
      </c>
      <c r="O230" t="n">
        <v>0</v>
      </c>
      <c r="P230" t="n">
        <v>0</v>
      </c>
      <c r="Q230" t="n">
        <v>0</v>
      </c>
      <c r="R230" s="2" t="inlineStr"/>
    </row>
    <row r="231" ht="15" customHeight="1">
      <c r="A231" t="inlineStr">
        <is>
          <t>A 1581-2020</t>
        </is>
      </c>
      <c r="B231" s="1" t="n">
        <v>43844</v>
      </c>
      <c r="C231" s="1" t="n">
        <v>45728</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1573-2020</t>
        </is>
      </c>
      <c r="B232" s="1" t="n">
        <v>43844</v>
      </c>
      <c r="C232" s="1" t="n">
        <v>45728</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1579-2020</t>
        </is>
      </c>
      <c r="B233" s="1" t="n">
        <v>43844</v>
      </c>
      <c r="C233" s="1" t="n">
        <v>45728</v>
      </c>
      <c r="D233" t="inlineStr">
        <is>
          <t>ÖREBRO LÄN</t>
        </is>
      </c>
      <c r="E233" t="inlineStr">
        <is>
          <t>ÖREBRO</t>
        </is>
      </c>
      <c r="G233" t="n">
        <v>0.4</v>
      </c>
      <c r="H233" t="n">
        <v>0</v>
      </c>
      <c r="I233" t="n">
        <v>0</v>
      </c>
      <c r="J233" t="n">
        <v>0</v>
      </c>
      <c r="K233" t="n">
        <v>0</v>
      </c>
      <c r="L233" t="n">
        <v>0</v>
      </c>
      <c r="M233" t="n">
        <v>0</v>
      </c>
      <c r="N233" t="n">
        <v>0</v>
      </c>
      <c r="O233" t="n">
        <v>0</v>
      </c>
      <c r="P233" t="n">
        <v>0</v>
      </c>
      <c r="Q233" t="n">
        <v>0</v>
      </c>
      <c r="R233" s="2" t="inlineStr"/>
    </row>
    <row r="234" ht="15" customHeight="1">
      <c r="A234" t="inlineStr">
        <is>
          <t>A 1575-2020</t>
        </is>
      </c>
      <c r="B234" s="1" t="n">
        <v>43844</v>
      </c>
      <c r="C234" s="1" t="n">
        <v>45728</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3022-2020</t>
        </is>
      </c>
      <c r="B235" s="1" t="n">
        <v>43851</v>
      </c>
      <c r="C235" s="1" t="n">
        <v>45728</v>
      </c>
      <c r="D235" t="inlineStr">
        <is>
          <t>ÖREBRO LÄN</t>
        </is>
      </c>
      <c r="E235" t="inlineStr">
        <is>
          <t>ÖREBRO</t>
        </is>
      </c>
      <c r="G235" t="n">
        <v>3.4</v>
      </c>
      <c r="H235" t="n">
        <v>0</v>
      </c>
      <c r="I235" t="n">
        <v>0</v>
      </c>
      <c r="J235" t="n">
        <v>0</v>
      </c>
      <c r="K235" t="n">
        <v>0</v>
      </c>
      <c r="L235" t="n">
        <v>0</v>
      </c>
      <c r="M235" t="n">
        <v>0</v>
      </c>
      <c r="N235" t="n">
        <v>0</v>
      </c>
      <c r="O235" t="n">
        <v>0</v>
      </c>
      <c r="P235" t="n">
        <v>0</v>
      </c>
      <c r="Q235" t="n">
        <v>0</v>
      </c>
      <c r="R235" s="2" t="inlineStr"/>
    </row>
    <row r="236" ht="15" customHeight="1">
      <c r="A236" t="inlineStr">
        <is>
          <t>A 3630-2020</t>
        </is>
      </c>
      <c r="B236" s="1" t="n">
        <v>43853</v>
      </c>
      <c r="C236" s="1" t="n">
        <v>45728</v>
      </c>
      <c r="D236" t="inlineStr">
        <is>
          <t>ÖREBRO LÄN</t>
        </is>
      </c>
      <c r="E236" t="inlineStr">
        <is>
          <t>ÖREBRO</t>
        </is>
      </c>
      <c r="G236" t="n">
        <v>7.9</v>
      </c>
      <c r="H236" t="n">
        <v>0</v>
      </c>
      <c r="I236" t="n">
        <v>0</v>
      </c>
      <c r="J236" t="n">
        <v>0</v>
      </c>
      <c r="K236" t="n">
        <v>0</v>
      </c>
      <c r="L236" t="n">
        <v>0</v>
      </c>
      <c r="M236" t="n">
        <v>0</v>
      </c>
      <c r="N236" t="n">
        <v>0</v>
      </c>
      <c r="O236" t="n">
        <v>0</v>
      </c>
      <c r="P236" t="n">
        <v>0</v>
      </c>
      <c r="Q236" t="n">
        <v>0</v>
      </c>
      <c r="R236" s="2" t="inlineStr"/>
    </row>
    <row r="237" ht="15" customHeight="1">
      <c r="A237" t="inlineStr">
        <is>
          <t>A 3628-2020</t>
        </is>
      </c>
      <c r="B237" s="1" t="n">
        <v>43853</v>
      </c>
      <c r="C237" s="1" t="n">
        <v>45728</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4990-2020</t>
        </is>
      </c>
      <c r="B238" s="1" t="n">
        <v>43853</v>
      </c>
      <c r="C238" s="1" t="n">
        <v>45728</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3956-2020</t>
        </is>
      </c>
      <c r="B239" s="1" t="n">
        <v>43854</v>
      </c>
      <c r="C239" s="1" t="n">
        <v>45728</v>
      </c>
      <c r="D239" t="inlineStr">
        <is>
          <t>ÖREBRO LÄN</t>
        </is>
      </c>
      <c r="E239" t="inlineStr">
        <is>
          <t>ÖREBRO</t>
        </is>
      </c>
      <c r="G239" t="n">
        <v>4.1</v>
      </c>
      <c r="H239" t="n">
        <v>0</v>
      </c>
      <c r="I239" t="n">
        <v>0</v>
      </c>
      <c r="J239" t="n">
        <v>0</v>
      </c>
      <c r="K239" t="n">
        <v>0</v>
      </c>
      <c r="L239" t="n">
        <v>0</v>
      </c>
      <c r="M239" t="n">
        <v>0</v>
      </c>
      <c r="N239" t="n">
        <v>0</v>
      </c>
      <c r="O239" t="n">
        <v>0</v>
      </c>
      <c r="P239" t="n">
        <v>0</v>
      </c>
      <c r="Q239" t="n">
        <v>0</v>
      </c>
      <c r="R239" s="2" t="inlineStr"/>
    </row>
    <row r="240" ht="15" customHeight="1">
      <c r="A240" t="inlineStr">
        <is>
          <t>A 4343-2020</t>
        </is>
      </c>
      <c r="B240" s="1" t="n">
        <v>43857</v>
      </c>
      <c r="C240" s="1" t="n">
        <v>45728</v>
      </c>
      <c r="D240" t="inlineStr">
        <is>
          <t>ÖREBRO LÄN</t>
        </is>
      </c>
      <c r="E240" t="inlineStr">
        <is>
          <t>ÖREBRO</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4751-2020</t>
        </is>
      </c>
      <c r="B241" s="1" t="n">
        <v>43858</v>
      </c>
      <c r="C241" s="1" t="n">
        <v>45728</v>
      </c>
      <c r="D241" t="inlineStr">
        <is>
          <t>ÖREBRO LÄN</t>
        </is>
      </c>
      <c r="E241" t="inlineStr">
        <is>
          <t>ÖREBRO</t>
        </is>
      </c>
      <c r="F241" t="inlineStr">
        <is>
          <t>Kommuner</t>
        </is>
      </c>
      <c r="G241" t="n">
        <v>2.9</v>
      </c>
      <c r="H241" t="n">
        <v>0</v>
      </c>
      <c r="I241" t="n">
        <v>0</v>
      </c>
      <c r="J241" t="n">
        <v>0</v>
      </c>
      <c r="K241" t="n">
        <v>0</v>
      </c>
      <c r="L241" t="n">
        <v>0</v>
      </c>
      <c r="M241" t="n">
        <v>0</v>
      </c>
      <c r="N241" t="n">
        <v>0</v>
      </c>
      <c r="O241" t="n">
        <v>0</v>
      </c>
      <c r="P241" t="n">
        <v>0</v>
      </c>
      <c r="Q241" t="n">
        <v>0</v>
      </c>
      <c r="R241" s="2" t="inlineStr"/>
      <c r="U241">
        <f>HYPERLINK("https://klasma.github.io/Logging_1880/knärot/A 4751-2020 karta knärot.png", "A 4751-2020")</f>
        <v/>
      </c>
      <c r="V241">
        <f>HYPERLINK("https://klasma.github.io/Logging_1880/klagomål/A 4751-2020 FSC-klagomål.docx", "A 4751-2020")</f>
        <v/>
      </c>
      <c r="W241">
        <f>HYPERLINK("https://klasma.github.io/Logging_1880/klagomålsmail/A 4751-2020 FSC-klagomål mail.docx", "A 4751-2020")</f>
        <v/>
      </c>
      <c r="X241">
        <f>HYPERLINK("https://klasma.github.io/Logging_1880/tillsyn/A 4751-2020 tillsynsbegäran.docx", "A 4751-2020")</f>
        <v/>
      </c>
      <c r="Y241">
        <f>HYPERLINK("https://klasma.github.io/Logging_1880/tillsynsmail/A 4751-2020 tillsynsbegäran mail.docx", "A 4751-2020")</f>
        <v/>
      </c>
    </row>
    <row r="242" ht="15" customHeight="1">
      <c r="A242" t="inlineStr">
        <is>
          <t>A 5076-2020</t>
        </is>
      </c>
      <c r="B242" s="1" t="n">
        <v>43859</v>
      </c>
      <c r="C242" s="1" t="n">
        <v>45728</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6166-2020</t>
        </is>
      </c>
      <c r="B243" s="1" t="n">
        <v>43864</v>
      </c>
      <c r="C243" s="1" t="n">
        <v>45728</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6247-2020</t>
        </is>
      </c>
      <c r="B244" s="1" t="n">
        <v>43864</v>
      </c>
      <c r="C244" s="1" t="n">
        <v>45728</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6456-2020</t>
        </is>
      </c>
      <c r="B245" s="1" t="n">
        <v>43866</v>
      </c>
      <c r="C245" s="1" t="n">
        <v>45728</v>
      </c>
      <c r="D245" t="inlineStr">
        <is>
          <t>ÖREBRO LÄN</t>
        </is>
      </c>
      <c r="E245" t="inlineStr">
        <is>
          <t>ÖREBRO</t>
        </is>
      </c>
      <c r="F245" t="inlineStr">
        <is>
          <t>Övriga Aktiebolag</t>
        </is>
      </c>
      <c r="G245" t="n">
        <v>5.4</v>
      </c>
      <c r="H245" t="n">
        <v>0</v>
      </c>
      <c r="I245" t="n">
        <v>0</v>
      </c>
      <c r="J245" t="n">
        <v>0</v>
      </c>
      <c r="K245" t="n">
        <v>0</v>
      </c>
      <c r="L245" t="n">
        <v>0</v>
      </c>
      <c r="M245" t="n">
        <v>0</v>
      </c>
      <c r="N245" t="n">
        <v>0</v>
      </c>
      <c r="O245" t="n">
        <v>0</v>
      </c>
      <c r="P245" t="n">
        <v>0</v>
      </c>
      <c r="Q245" t="n">
        <v>0</v>
      </c>
      <c r="R245" s="2" t="inlineStr"/>
    </row>
    <row r="246" ht="15" customHeight="1">
      <c r="A246" t="inlineStr">
        <is>
          <t>A 6633-2020</t>
        </is>
      </c>
      <c r="B246" s="1" t="n">
        <v>43867</v>
      </c>
      <c r="C246" s="1" t="n">
        <v>45728</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6792-2020</t>
        </is>
      </c>
      <c r="B247" s="1" t="n">
        <v>43867</v>
      </c>
      <c r="C247" s="1" t="n">
        <v>45728</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6924-2020</t>
        </is>
      </c>
      <c r="B248" s="1" t="n">
        <v>43868</v>
      </c>
      <c r="C248" s="1" t="n">
        <v>45728</v>
      </c>
      <c r="D248" t="inlineStr">
        <is>
          <t>ÖREBRO LÄN</t>
        </is>
      </c>
      <c r="E248" t="inlineStr">
        <is>
          <t>ÖREBRO</t>
        </is>
      </c>
      <c r="G248" t="n">
        <v>3.1</v>
      </c>
      <c r="H248" t="n">
        <v>0</v>
      </c>
      <c r="I248" t="n">
        <v>0</v>
      </c>
      <c r="J248" t="n">
        <v>0</v>
      </c>
      <c r="K248" t="n">
        <v>0</v>
      </c>
      <c r="L248" t="n">
        <v>0</v>
      </c>
      <c r="M248" t="n">
        <v>0</v>
      </c>
      <c r="N248" t="n">
        <v>0</v>
      </c>
      <c r="O248" t="n">
        <v>0</v>
      </c>
      <c r="P248" t="n">
        <v>0</v>
      </c>
      <c r="Q248" t="n">
        <v>0</v>
      </c>
      <c r="R248" s="2" t="inlineStr"/>
    </row>
    <row r="249" ht="15" customHeight="1">
      <c r="A249" t="inlineStr">
        <is>
          <t>A 6949-2020</t>
        </is>
      </c>
      <c r="B249" s="1" t="n">
        <v>43868</v>
      </c>
      <c r="C249" s="1" t="n">
        <v>45728</v>
      </c>
      <c r="D249" t="inlineStr">
        <is>
          <t>ÖREBRO LÄN</t>
        </is>
      </c>
      <c r="E249" t="inlineStr">
        <is>
          <t>ÖREBRO</t>
        </is>
      </c>
      <c r="G249" t="n">
        <v>3.4</v>
      </c>
      <c r="H249" t="n">
        <v>0</v>
      </c>
      <c r="I249" t="n">
        <v>0</v>
      </c>
      <c r="J249" t="n">
        <v>0</v>
      </c>
      <c r="K249" t="n">
        <v>0</v>
      </c>
      <c r="L249" t="n">
        <v>0</v>
      </c>
      <c r="M249" t="n">
        <v>0</v>
      </c>
      <c r="N249" t="n">
        <v>0</v>
      </c>
      <c r="O249" t="n">
        <v>0</v>
      </c>
      <c r="P249" t="n">
        <v>0</v>
      </c>
      <c r="Q249" t="n">
        <v>0</v>
      </c>
      <c r="R249" s="2" t="inlineStr"/>
    </row>
    <row r="250" ht="15" customHeight="1">
      <c r="A250" t="inlineStr">
        <is>
          <t>A 7583-2020</t>
        </is>
      </c>
      <c r="B250" s="1" t="n">
        <v>43872</v>
      </c>
      <c r="C250" s="1" t="n">
        <v>45728</v>
      </c>
      <c r="D250" t="inlineStr">
        <is>
          <t>ÖREBRO LÄN</t>
        </is>
      </c>
      <c r="E250" t="inlineStr">
        <is>
          <t>ÖREBRO</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8563-2020</t>
        </is>
      </c>
      <c r="B251" s="1" t="n">
        <v>43877</v>
      </c>
      <c r="C251" s="1" t="n">
        <v>45728</v>
      </c>
      <c r="D251" t="inlineStr">
        <is>
          <t>ÖREBRO LÄN</t>
        </is>
      </c>
      <c r="E251" t="inlineStr">
        <is>
          <t>ÖREBRO</t>
        </is>
      </c>
      <c r="G251" t="n">
        <v>11.9</v>
      </c>
      <c r="H251" t="n">
        <v>0</v>
      </c>
      <c r="I251" t="n">
        <v>0</v>
      </c>
      <c r="J251" t="n">
        <v>0</v>
      </c>
      <c r="K251" t="n">
        <v>0</v>
      </c>
      <c r="L251" t="n">
        <v>0</v>
      </c>
      <c r="M251" t="n">
        <v>0</v>
      </c>
      <c r="N251" t="n">
        <v>0</v>
      </c>
      <c r="O251" t="n">
        <v>0</v>
      </c>
      <c r="P251" t="n">
        <v>0</v>
      </c>
      <c r="Q251" t="n">
        <v>0</v>
      </c>
      <c r="R251" s="2" t="inlineStr"/>
    </row>
    <row r="252" ht="15" customHeight="1">
      <c r="A252" t="inlineStr">
        <is>
          <t>A 8801-2020</t>
        </is>
      </c>
      <c r="B252" s="1" t="n">
        <v>43878</v>
      </c>
      <c r="C252" s="1" t="n">
        <v>45728</v>
      </c>
      <c r="D252" t="inlineStr">
        <is>
          <t>ÖREBRO LÄN</t>
        </is>
      </c>
      <c r="E252" t="inlineStr">
        <is>
          <t>ÖREBRO</t>
        </is>
      </c>
      <c r="G252" t="n">
        <v>3.2</v>
      </c>
      <c r="H252" t="n">
        <v>0</v>
      </c>
      <c r="I252" t="n">
        <v>0</v>
      </c>
      <c r="J252" t="n">
        <v>0</v>
      </c>
      <c r="K252" t="n">
        <v>0</v>
      </c>
      <c r="L252" t="n">
        <v>0</v>
      </c>
      <c r="M252" t="n">
        <v>0</v>
      </c>
      <c r="N252" t="n">
        <v>0</v>
      </c>
      <c r="O252" t="n">
        <v>0</v>
      </c>
      <c r="P252" t="n">
        <v>0</v>
      </c>
      <c r="Q252" t="n">
        <v>0</v>
      </c>
      <c r="R252" s="2" t="inlineStr"/>
    </row>
    <row r="253" ht="15" customHeight="1">
      <c r="A253" t="inlineStr">
        <is>
          <t>A 8893-2020</t>
        </is>
      </c>
      <c r="B253" s="1" t="n">
        <v>43878</v>
      </c>
      <c r="C253" s="1" t="n">
        <v>45728</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9572-2020</t>
        </is>
      </c>
      <c r="B254" s="1" t="n">
        <v>43881</v>
      </c>
      <c r="C254" s="1" t="n">
        <v>45728</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9561-2020</t>
        </is>
      </c>
      <c r="B255" s="1" t="n">
        <v>43881</v>
      </c>
      <c r="C255" s="1" t="n">
        <v>45728</v>
      </c>
      <c r="D255" t="inlineStr">
        <is>
          <t>ÖREBRO LÄN</t>
        </is>
      </c>
      <c r="E255" t="inlineStr">
        <is>
          <t>ÖREBRO</t>
        </is>
      </c>
      <c r="G255" t="n">
        <v>8.6</v>
      </c>
      <c r="H255" t="n">
        <v>0</v>
      </c>
      <c r="I255" t="n">
        <v>0</v>
      </c>
      <c r="J255" t="n">
        <v>0</v>
      </c>
      <c r="K255" t="n">
        <v>0</v>
      </c>
      <c r="L255" t="n">
        <v>0</v>
      </c>
      <c r="M255" t="n">
        <v>0</v>
      </c>
      <c r="N255" t="n">
        <v>0</v>
      </c>
      <c r="O255" t="n">
        <v>0</v>
      </c>
      <c r="P255" t="n">
        <v>0</v>
      </c>
      <c r="Q255" t="n">
        <v>0</v>
      </c>
      <c r="R255" s="2" t="inlineStr"/>
    </row>
    <row r="256" ht="15" customHeight="1">
      <c r="A256" t="inlineStr">
        <is>
          <t>A 9655-2020</t>
        </is>
      </c>
      <c r="B256" s="1" t="n">
        <v>43881</v>
      </c>
      <c r="C256" s="1" t="n">
        <v>45728</v>
      </c>
      <c r="D256" t="inlineStr">
        <is>
          <t>ÖREBRO LÄN</t>
        </is>
      </c>
      <c r="E256" t="inlineStr">
        <is>
          <t>ÖREBRO</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9893-2020</t>
        </is>
      </c>
      <c r="B257" s="1" t="n">
        <v>43881</v>
      </c>
      <c r="C257" s="1" t="n">
        <v>45728</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11956-2020</t>
        </is>
      </c>
      <c r="B258" s="1" t="n">
        <v>43894</v>
      </c>
      <c r="C258" s="1" t="n">
        <v>45728</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11957-2020</t>
        </is>
      </c>
      <c r="B259" s="1" t="n">
        <v>43894</v>
      </c>
      <c r="C259" s="1" t="n">
        <v>45728</v>
      </c>
      <c r="D259" t="inlineStr">
        <is>
          <t>ÖREBRO LÄN</t>
        </is>
      </c>
      <c r="E259" t="inlineStr">
        <is>
          <t>ÖREBRO</t>
        </is>
      </c>
      <c r="G259" t="n">
        <v>3.6</v>
      </c>
      <c r="H259" t="n">
        <v>0</v>
      </c>
      <c r="I259" t="n">
        <v>0</v>
      </c>
      <c r="J259" t="n">
        <v>0</v>
      </c>
      <c r="K259" t="n">
        <v>0</v>
      </c>
      <c r="L259" t="n">
        <v>0</v>
      </c>
      <c r="M259" t="n">
        <v>0</v>
      </c>
      <c r="N259" t="n">
        <v>0</v>
      </c>
      <c r="O259" t="n">
        <v>0</v>
      </c>
      <c r="P259" t="n">
        <v>0</v>
      </c>
      <c r="Q259" t="n">
        <v>0</v>
      </c>
      <c r="R259" s="2" t="inlineStr"/>
    </row>
    <row r="260" ht="15" customHeight="1">
      <c r="A260" t="inlineStr">
        <is>
          <t>A 12335-2020</t>
        </is>
      </c>
      <c r="B260" s="1" t="n">
        <v>43895</v>
      </c>
      <c r="C260" s="1" t="n">
        <v>45728</v>
      </c>
      <c r="D260" t="inlineStr">
        <is>
          <t>ÖREBRO LÄN</t>
        </is>
      </c>
      <c r="E260" t="inlineStr">
        <is>
          <t>ÖREBRO</t>
        </is>
      </c>
      <c r="G260" t="n">
        <v>6.9</v>
      </c>
      <c r="H260" t="n">
        <v>0</v>
      </c>
      <c r="I260" t="n">
        <v>0</v>
      </c>
      <c r="J260" t="n">
        <v>0</v>
      </c>
      <c r="K260" t="n">
        <v>0</v>
      </c>
      <c r="L260" t="n">
        <v>0</v>
      </c>
      <c r="M260" t="n">
        <v>0</v>
      </c>
      <c r="N260" t="n">
        <v>0</v>
      </c>
      <c r="O260" t="n">
        <v>0</v>
      </c>
      <c r="P260" t="n">
        <v>0</v>
      </c>
      <c r="Q260" t="n">
        <v>0</v>
      </c>
      <c r="R260" s="2" t="inlineStr"/>
    </row>
    <row r="261" ht="15" customHeight="1">
      <c r="A261" t="inlineStr">
        <is>
          <t>A 12548-2020</t>
        </is>
      </c>
      <c r="B261" s="1" t="n">
        <v>43897</v>
      </c>
      <c r="C261" s="1" t="n">
        <v>45728</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12546-2020</t>
        </is>
      </c>
      <c r="B262" s="1" t="n">
        <v>43897</v>
      </c>
      <c r="C262" s="1" t="n">
        <v>45728</v>
      </c>
      <c r="D262" t="inlineStr">
        <is>
          <t>ÖREBRO LÄN</t>
        </is>
      </c>
      <c r="E262" t="inlineStr">
        <is>
          <t>ÖREBRO</t>
        </is>
      </c>
      <c r="G262" t="n">
        <v>5.9</v>
      </c>
      <c r="H262" t="n">
        <v>0</v>
      </c>
      <c r="I262" t="n">
        <v>0</v>
      </c>
      <c r="J262" t="n">
        <v>0</v>
      </c>
      <c r="K262" t="n">
        <v>0</v>
      </c>
      <c r="L262" t="n">
        <v>0</v>
      </c>
      <c r="M262" t="n">
        <v>0</v>
      </c>
      <c r="N262" t="n">
        <v>0</v>
      </c>
      <c r="O262" t="n">
        <v>0</v>
      </c>
      <c r="P262" t="n">
        <v>0</v>
      </c>
      <c r="Q262" t="n">
        <v>0</v>
      </c>
      <c r="R262" s="2" t="inlineStr"/>
    </row>
    <row r="263" ht="15" customHeight="1">
      <c r="A263" t="inlineStr">
        <is>
          <t>A 13273-2020</t>
        </is>
      </c>
      <c r="B263" s="1" t="n">
        <v>43901</v>
      </c>
      <c r="C263" s="1" t="n">
        <v>45728</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13328-2020</t>
        </is>
      </c>
      <c r="B264" s="1" t="n">
        <v>43902</v>
      </c>
      <c r="C264" s="1" t="n">
        <v>45728</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13830-2020</t>
        </is>
      </c>
      <c r="B265" s="1" t="n">
        <v>43905</v>
      </c>
      <c r="C265" s="1" t="n">
        <v>45728</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14209-2020</t>
        </is>
      </c>
      <c r="B266" s="1" t="n">
        <v>43907</v>
      </c>
      <c r="C266" s="1" t="n">
        <v>45728</v>
      </c>
      <c r="D266" t="inlineStr">
        <is>
          <t>ÖREBRO LÄN</t>
        </is>
      </c>
      <c r="E266" t="inlineStr">
        <is>
          <t>ÖREBRO</t>
        </is>
      </c>
      <c r="G266" t="n">
        <v>7.4</v>
      </c>
      <c r="H266" t="n">
        <v>0</v>
      </c>
      <c r="I266" t="n">
        <v>0</v>
      </c>
      <c r="J266" t="n">
        <v>0</v>
      </c>
      <c r="K266" t="n">
        <v>0</v>
      </c>
      <c r="L266" t="n">
        <v>0</v>
      </c>
      <c r="M266" t="n">
        <v>0</v>
      </c>
      <c r="N266" t="n">
        <v>0</v>
      </c>
      <c r="O266" t="n">
        <v>0</v>
      </c>
      <c r="P266" t="n">
        <v>0</v>
      </c>
      <c r="Q266" t="n">
        <v>0</v>
      </c>
      <c r="R266" s="2" t="inlineStr"/>
    </row>
    <row r="267" ht="15" customHeight="1">
      <c r="A267" t="inlineStr">
        <is>
          <t>A 16152-2020</t>
        </is>
      </c>
      <c r="B267" s="1" t="n">
        <v>43916</v>
      </c>
      <c r="C267" s="1" t="n">
        <v>45728</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16258-2020</t>
        </is>
      </c>
      <c r="B268" s="1" t="n">
        <v>43917</v>
      </c>
      <c r="C268" s="1" t="n">
        <v>45728</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16682-2020</t>
        </is>
      </c>
      <c r="B269" s="1" t="n">
        <v>43920</v>
      </c>
      <c r="C269" s="1" t="n">
        <v>45728</v>
      </c>
      <c r="D269" t="inlineStr">
        <is>
          <t>ÖREBRO LÄN</t>
        </is>
      </c>
      <c r="E269" t="inlineStr">
        <is>
          <t>ÖREBRO</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18136-2020</t>
        </is>
      </c>
      <c r="B270" s="1" t="n">
        <v>43927</v>
      </c>
      <c r="C270" s="1" t="n">
        <v>45728</v>
      </c>
      <c r="D270" t="inlineStr">
        <is>
          <t>ÖREBRO LÄN</t>
        </is>
      </c>
      <c r="E270" t="inlineStr">
        <is>
          <t>ÖREBRO</t>
        </is>
      </c>
      <c r="G270" t="n">
        <v>4.2</v>
      </c>
      <c r="H270" t="n">
        <v>0</v>
      </c>
      <c r="I270" t="n">
        <v>0</v>
      </c>
      <c r="J270" t="n">
        <v>0</v>
      </c>
      <c r="K270" t="n">
        <v>0</v>
      </c>
      <c r="L270" t="n">
        <v>0</v>
      </c>
      <c r="M270" t="n">
        <v>0</v>
      </c>
      <c r="N270" t="n">
        <v>0</v>
      </c>
      <c r="O270" t="n">
        <v>0</v>
      </c>
      <c r="P270" t="n">
        <v>0</v>
      </c>
      <c r="Q270" t="n">
        <v>0</v>
      </c>
      <c r="R270" s="2" t="inlineStr"/>
    </row>
    <row r="271" ht="15" customHeight="1">
      <c r="A271" t="inlineStr">
        <is>
          <t>A 18365-2020</t>
        </is>
      </c>
      <c r="B271" s="1" t="n">
        <v>43928</v>
      </c>
      <c r="C271" s="1" t="n">
        <v>45728</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19465-2020</t>
        </is>
      </c>
      <c r="B272" s="1" t="n">
        <v>43938</v>
      </c>
      <c r="C272" s="1" t="n">
        <v>45728</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20302-2020</t>
        </is>
      </c>
      <c r="B273" s="1" t="n">
        <v>43938</v>
      </c>
      <c r="C273" s="1" t="n">
        <v>45728</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21053-2020</t>
        </is>
      </c>
      <c r="B274" s="1" t="n">
        <v>43951</v>
      </c>
      <c r="C274" s="1" t="n">
        <v>45728</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22141-2020</t>
        </is>
      </c>
      <c r="B275" s="1" t="n">
        <v>43961</v>
      </c>
      <c r="C275" s="1" t="n">
        <v>45728</v>
      </c>
      <c r="D275" t="inlineStr">
        <is>
          <t>ÖREBRO LÄN</t>
        </is>
      </c>
      <c r="E275" t="inlineStr">
        <is>
          <t>ÖREBRO</t>
        </is>
      </c>
      <c r="G275" t="n">
        <v>2.9</v>
      </c>
      <c r="H275" t="n">
        <v>0</v>
      </c>
      <c r="I275" t="n">
        <v>0</v>
      </c>
      <c r="J275" t="n">
        <v>0</v>
      </c>
      <c r="K275" t="n">
        <v>0</v>
      </c>
      <c r="L275" t="n">
        <v>0</v>
      </c>
      <c r="M275" t="n">
        <v>0</v>
      </c>
      <c r="N275" t="n">
        <v>0</v>
      </c>
      <c r="O275" t="n">
        <v>0</v>
      </c>
      <c r="P275" t="n">
        <v>0</v>
      </c>
      <c r="Q275" t="n">
        <v>0</v>
      </c>
      <c r="R275" s="2" t="inlineStr"/>
    </row>
    <row r="276" ht="15" customHeight="1">
      <c r="A276" t="inlineStr">
        <is>
          <t>A 23849-2020</t>
        </is>
      </c>
      <c r="B276" s="1" t="n">
        <v>43971</v>
      </c>
      <c r="C276" s="1" t="n">
        <v>45728</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25437-2020</t>
        </is>
      </c>
      <c r="B277" s="1" t="n">
        <v>43983</v>
      </c>
      <c r="C277" s="1" t="n">
        <v>45728</v>
      </c>
      <c r="D277" t="inlineStr">
        <is>
          <t>ÖREBRO LÄN</t>
        </is>
      </c>
      <c r="E277" t="inlineStr">
        <is>
          <t>ÖREBRO</t>
        </is>
      </c>
      <c r="G277" t="n">
        <v>7.5</v>
      </c>
      <c r="H277" t="n">
        <v>0</v>
      </c>
      <c r="I277" t="n">
        <v>0</v>
      </c>
      <c r="J277" t="n">
        <v>0</v>
      </c>
      <c r="K277" t="n">
        <v>0</v>
      </c>
      <c r="L277" t="n">
        <v>0</v>
      </c>
      <c r="M277" t="n">
        <v>0</v>
      </c>
      <c r="N277" t="n">
        <v>0</v>
      </c>
      <c r="O277" t="n">
        <v>0</v>
      </c>
      <c r="P277" t="n">
        <v>0</v>
      </c>
      <c r="Q277" t="n">
        <v>0</v>
      </c>
      <c r="R277" s="2" t="inlineStr"/>
    </row>
    <row r="278" ht="15" customHeight="1">
      <c r="A278" t="inlineStr">
        <is>
          <t>A 25631-2020</t>
        </is>
      </c>
      <c r="B278" s="1" t="n">
        <v>43983</v>
      </c>
      <c r="C278" s="1" t="n">
        <v>45728</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26810-2020</t>
        </is>
      </c>
      <c r="B279" s="1" t="n">
        <v>43987</v>
      </c>
      <c r="C279" s="1" t="n">
        <v>45728</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26862-2020</t>
        </is>
      </c>
      <c r="B280" s="1" t="n">
        <v>43990</v>
      </c>
      <c r="C280" s="1" t="n">
        <v>45728</v>
      </c>
      <c r="D280" t="inlineStr">
        <is>
          <t>ÖREBRO LÄN</t>
        </is>
      </c>
      <c r="E280" t="inlineStr">
        <is>
          <t>ÖREBRO</t>
        </is>
      </c>
      <c r="G280" t="n">
        <v>0.3</v>
      </c>
      <c r="H280" t="n">
        <v>0</v>
      </c>
      <c r="I280" t="n">
        <v>0</v>
      </c>
      <c r="J280" t="n">
        <v>0</v>
      </c>
      <c r="K280" t="n">
        <v>0</v>
      </c>
      <c r="L280" t="n">
        <v>0</v>
      </c>
      <c r="M280" t="n">
        <v>0</v>
      </c>
      <c r="N280" t="n">
        <v>0</v>
      </c>
      <c r="O280" t="n">
        <v>0</v>
      </c>
      <c r="P280" t="n">
        <v>0</v>
      </c>
      <c r="Q280" t="n">
        <v>0</v>
      </c>
      <c r="R280" s="2" t="inlineStr"/>
    </row>
    <row r="281" ht="15" customHeight="1">
      <c r="A281" t="inlineStr">
        <is>
          <t>A 27734-2020</t>
        </is>
      </c>
      <c r="B281" s="1" t="n">
        <v>43994</v>
      </c>
      <c r="C281" s="1" t="n">
        <v>45728</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27744-2020</t>
        </is>
      </c>
      <c r="B282" s="1" t="n">
        <v>43994</v>
      </c>
      <c r="C282" s="1" t="n">
        <v>45728</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28036-2020</t>
        </is>
      </c>
      <c r="B283" s="1" t="n">
        <v>43997</v>
      </c>
      <c r="C283" s="1" t="n">
        <v>45728</v>
      </c>
      <c r="D283" t="inlineStr">
        <is>
          <t>ÖREBRO LÄN</t>
        </is>
      </c>
      <c r="E283" t="inlineStr">
        <is>
          <t>ÖREBRO</t>
        </is>
      </c>
      <c r="G283" t="n">
        <v>2.5</v>
      </c>
      <c r="H283" t="n">
        <v>0</v>
      </c>
      <c r="I283" t="n">
        <v>0</v>
      </c>
      <c r="J283" t="n">
        <v>0</v>
      </c>
      <c r="K283" t="n">
        <v>0</v>
      </c>
      <c r="L283" t="n">
        <v>0</v>
      </c>
      <c r="M283" t="n">
        <v>0</v>
      </c>
      <c r="N283" t="n">
        <v>0</v>
      </c>
      <c r="O283" t="n">
        <v>0</v>
      </c>
      <c r="P283" t="n">
        <v>0</v>
      </c>
      <c r="Q283" t="n">
        <v>0</v>
      </c>
      <c r="R283" s="2" t="inlineStr"/>
    </row>
    <row r="284" ht="15" customHeight="1">
      <c r="A284" t="inlineStr">
        <is>
          <t>A 28092-2020</t>
        </is>
      </c>
      <c r="B284" s="1" t="n">
        <v>43997</v>
      </c>
      <c r="C284" s="1" t="n">
        <v>45728</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28102-2020</t>
        </is>
      </c>
      <c r="B285" s="1" t="n">
        <v>43997</v>
      </c>
      <c r="C285" s="1" t="n">
        <v>45728</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28410-2020</t>
        </is>
      </c>
      <c r="B286" s="1" t="n">
        <v>43998</v>
      </c>
      <c r="C286" s="1" t="n">
        <v>45728</v>
      </c>
      <c r="D286" t="inlineStr">
        <is>
          <t>ÖREBRO LÄN</t>
        </is>
      </c>
      <c r="E286" t="inlineStr">
        <is>
          <t>ÖREBRO</t>
        </is>
      </c>
      <c r="G286" t="n">
        <v>3.2</v>
      </c>
      <c r="H286" t="n">
        <v>0</v>
      </c>
      <c r="I286" t="n">
        <v>0</v>
      </c>
      <c r="J286" t="n">
        <v>0</v>
      </c>
      <c r="K286" t="n">
        <v>0</v>
      </c>
      <c r="L286" t="n">
        <v>0</v>
      </c>
      <c r="M286" t="n">
        <v>0</v>
      </c>
      <c r="N286" t="n">
        <v>0</v>
      </c>
      <c r="O286" t="n">
        <v>0</v>
      </c>
      <c r="P286" t="n">
        <v>0</v>
      </c>
      <c r="Q286" t="n">
        <v>0</v>
      </c>
      <c r="R286" s="2" t="inlineStr"/>
    </row>
    <row r="287" ht="15" customHeight="1">
      <c r="A287" t="inlineStr">
        <is>
          <t>A 28456-2020</t>
        </is>
      </c>
      <c r="B287" s="1" t="n">
        <v>43998</v>
      </c>
      <c r="C287" s="1" t="n">
        <v>45728</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29453-2020</t>
        </is>
      </c>
      <c r="B288" s="1" t="n">
        <v>44004</v>
      </c>
      <c r="C288" s="1" t="n">
        <v>45728</v>
      </c>
      <c r="D288" t="inlineStr">
        <is>
          <t>ÖREBRO LÄN</t>
        </is>
      </c>
      <c r="E288" t="inlineStr">
        <is>
          <t>ÖREBRO</t>
        </is>
      </c>
      <c r="G288" t="n">
        <v>6.2</v>
      </c>
      <c r="H288" t="n">
        <v>0</v>
      </c>
      <c r="I288" t="n">
        <v>0</v>
      </c>
      <c r="J288" t="n">
        <v>0</v>
      </c>
      <c r="K288" t="n">
        <v>0</v>
      </c>
      <c r="L288" t="n">
        <v>0</v>
      </c>
      <c r="M288" t="n">
        <v>0</v>
      </c>
      <c r="N288" t="n">
        <v>0</v>
      </c>
      <c r="O288" t="n">
        <v>0</v>
      </c>
      <c r="P288" t="n">
        <v>0</v>
      </c>
      <c r="Q288" t="n">
        <v>0</v>
      </c>
      <c r="R288" s="2" t="inlineStr"/>
    </row>
    <row r="289" ht="15" customHeight="1">
      <c r="A289" t="inlineStr">
        <is>
          <t>A 31120-2020</t>
        </is>
      </c>
      <c r="B289" s="1" t="n">
        <v>44012</v>
      </c>
      <c r="C289" s="1" t="n">
        <v>45728</v>
      </c>
      <c r="D289" t="inlineStr">
        <is>
          <t>ÖREBRO LÄN</t>
        </is>
      </c>
      <c r="E289" t="inlineStr">
        <is>
          <t>ÖREBRO</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31149-2020</t>
        </is>
      </c>
      <c r="B290" s="1" t="n">
        <v>44012</v>
      </c>
      <c r="C290" s="1" t="n">
        <v>45728</v>
      </c>
      <c r="D290" t="inlineStr">
        <is>
          <t>ÖREBRO LÄN</t>
        </is>
      </c>
      <c r="E290" t="inlineStr">
        <is>
          <t>ÖREBRO</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31397-2020</t>
        </is>
      </c>
      <c r="B291" s="1" t="n">
        <v>44012</v>
      </c>
      <c r="C291" s="1" t="n">
        <v>45728</v>
      </c>
      <c r="D291" t="inlineStr">
        <is>
          <t>ÖREBRO LÄN</t>
        </is>
      </c>
      <c r="E291" t="inlineStr">
        <is>
          <t>ÖREBRO</t>
        </is>
      </c>
      <c r="F291" t="inlineStr">
        <is>
          <t>Kommuner</t>
        </is>
      </c>
      <c r="G291" t="n">
        <v>4.2</v>
      </c>
      <c r="H291" t="n">
        <v>0</v>
      </c>
      <c r="I291" t="n">
        <v>0</v>
      </c>
      <c r="J291" t="n">
        <v>0</v>
      </c>
      <c r="K291" t="n">
        <v>0</v>
      </c>
      <c r="L291" t="n">
        <v>0</v>
      </c>
      <c r="M291" t="n">
        <v>0</v>
      </c>
      <c r="N291" t="n">
        <v>0</v>
      </c>
      <c r="O291" t="n">
        <v>0</v>
      </c>
      <c r="P291" t="n">
        <v>0</v>
      </c>
      <c r="Q291" t="n">
        <v>0</v>
      </c>
      <c r="R291" s="2" t="inlineStr"/>
    </row>
    <row r="292" ht="15" customHeight="1">
      <c r="A292" t="inlineStr">
        <is>
          <t>A 31933-2020</t>
        </is>
      </c>
      <c r="B292" s="1" t="n">
        <v>44014</v>
      </c>
      <c r="C292" s="1" t="n">
        <v>45728</v>
      </c>
      <c r="D292" t="inlineStr">
        <is>
          <t>ÖREBRO LÄN</t>
        </is>
      </c>
      <c r="E292" t="inlineStr">
        <is>
          <t>ÖREBRO</t>
        </is>
      </c>
      <c r="F292" t="inlineStr">
        <is>
          <t>Kommuner</t>
        </is>
      </c>
      <c r="G292" t="n">
        <v>6.8</v>
      </c>
      <c r="H292" t="n">
        <v>0</v>
      </c>
      <c r="I292" t="n">
        <v>0</v>
      </c>
      <c r="J292" t="n">
        <v>0</v>
      </c>
      <c r="K292" t="n">
        <v>0</v>
      </c>
      <c r="L292" t="n">
        <v>0</v>
      </c>
      <c r="M292" t="n">
        <v>0</v>
      </c>
      <c r="N292" t="n">
        <v>0</v>
      </c>
      <c r="O292" t="n">
        <v>0</v>
      </c>
      <c r="P292" t="n">
        <v>0</v>
      </c>
      <c r="Q292" t="n">
        <v>0</v>
      </c>
      <c r="R292" s="2" t="inlineStr"/>
    </row>
    <row r="293" ht="15" customHeight="1">
      <c r="A293" t="inlineStr">
        <is>
          <t>A 33125-2020</t>
        </is>
      </c>
      <c r="B293" s="1" t="n">
        <v>44020</v>
      </c>
      <c r="C293" s="1" t="n">
        <v>45728</v>
      </c>
      <c r="D293" t="inlineStr">
        <is>
          <t>ÖREBRO LÄN</t>
        </is>
      </c>
      <c r="E293" t="inlineStr">
        <is>
          <t>ÖREBRO</t>
        </is>
      </c>
      <c r="G293" t="n">
        <v>6.6</v>
      </c>
      <c r="H293" t="n">
        <v>0</v>
      </c>
      <c r="I293" t="n">
        <v>0</v>
      </c>
      <c r="J293" t="n">
        <v>0</v>
      </c>
      <c r="K293" t="n">
        <v>0</v>
      </c>
      <c r="L293" t="n">
        <v>0</v>
      </c>
      <c r="M293" t="n">
        <v>0</v>
      </c>
      <c r="N293" t="n">
        <v>0</v>
      </c>
      <c r="O293" t="n">
        <v>0</v>
      </c>
      <c r="P293" t="n">
        <v>0</v>
      </c>
      <c r="Q293" t="n">
        <v>0</v>
      </c>
      <c r="R293" s="2" t="inlineStr"/>
    </row>
    <row r="294" ht="15" customHeight="1">
      <c r="A294" t="inlineStr">
        <is>
          <t>A 33092-2020</t>
        </is>
      </c>
      <c r="B294" s="1" t="n">
        <v>44020</v>
      </c>
      <c r="C294" s="1" t="n">
        <v>45728</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33120-2020</t>
        </is>
      </c>
      <c r="B295" s="1" t="n">
        <v>44020</v>
      </c>
      <c r="C295" s="1" t="n">
        <v>45728</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33117-2020</t>
        </is>
      </c>
      <c r="B296" s="1" t="n">
        <v>44020</v>
      </c>
      <c r="C296" s="1" t="n">
        <v>45728</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35522-2020</t>
        </is>
      </c>
      <c r="B297" s="1" t="n">
        <v>44043</v>
      </c>
      <c r="C297" s="1" t="n">
        <v>45728</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36778-2020</t>
        </is>
      </c>
      <c r="B298" s="1" t="n">
        <v>44053</v>
      </c>
      <c r="C298" s="1" t="n">
        <v>45728</v>
      </c>
      <c r="D298" t="inlineStr">
        <is>
          <t>ÖREBRO LÄN</t>
        </is>
      </c>
      <c r="E298" t="inlineStr">
        <is>
          <t>ÖREBRO</t>
        </is>
      </c>
      <c r="F298" t="inlineStr">
        <is>
          <t>Allmännings- och besparingsskogar</t>
        </is>
      </c>
      <c r="G298" t="n">
        <v>26.4</v>
      </c>
      <c r="H298" t="n">
        <v>0</v>
      </c>
      <c r="I298" t="n">
        <v>0</v>
      </c>
      <c r="J298" t="n">
        <v>0</v>
      </c>
      <c r="K298" t="n">
        <v>0</v>
      </c>
      <c r="L298" t="n">
        <v>0</v>
      </c>
      <c r="M298" t="n">
        <v>0</v>
      </c>
      <c r="N298" t="n">
        <v>0</v>
      </c>
      <c r="O298" t="n">
        <v>0</v>
      </c>
      <c r="P298" t="n">
        <v>0</v>
      </c>
      <c r="Q298" t="n">
        <v>0</v>
      </c>
      <c r="R298" s="2" t="inlineStr"/>
    </row>
    <row r="299" ht="15" customHeight="1">
      <c r="A299" t="inlineStr">
        <is>
          <t>A 36762-2020</t>
        </is>
      </c>
      <c r="B299" s="1" t="n">
        <v>44053</v>
      </c>
      <c r="C299" s="1" t="n">
        <v>45728</v>
      </c>
      <c r="D299" t="inlineStr">
        <is>
          <t>ÖREBRO LÄN</t>
        </is>
      </c>
      <c r="E299" t="inlineStr">
        <is>
          <t>ÖREBRO</t>
        </is>
      </c>
      <c r="F299" t="inlineStr">
        <is>
          <t>Allmännings- och besparingsskogar</t>
        </is>
      </c>
      <c r="G299" t="n">
        <v>12.3</v>
      </c>
      <c r="H299" t="n">
        <v>0</v>
      </c>
      <c r="I299" t="n">
        <v>0</v>
      </c>
      <c r="J299" t="n">
        <v>0</v>
      </c>
      <c r="K299" t="n">
        <v>0</v>
      </c>
      <c r="L299" t="n">
        <v>0</v>
      </c>
      <c r="M299" t="n">
        <v>0</v>
      </c>
      <c r="N299" t="n">
        <v>0</v>
      </c>
      <c r="O299" t="n">
        <v>0</v>
      </c>
      <c r="P299" t="n">
        <v>0</v>
      </c>
      <c r="Q299" t="n">
        <v>0</v>
      </c>
      <c r="R299" s="2" t="inlineStr"/>
    </row>
    <row r="300" ht="15" customHeight="1">
      <c r="A300" t="inlineStr">
        <is>
          <t>A 37654-2020</t>
        </is>
      </c>
      <c r="B300" s="1" t="n">
        <v>44056</v>
      </c>
      <c r="C300" s="1" t="n">
        <v>45728</v>
      </c>
      <c r="D300" t="inlineStr">
        <is>
          <t>ÖREBRO LÄN</t>
        </is>
      </c>
      <c r="E300" t="inlineStr">
        <is>
          <t>ÖREBRO</t>
        </is>
      </c>
      <c r="G300" t="n">
        <v>6.1</v>
      </c>
      <c r="H300" t="n">
        <v>0</v>
      </c>
      <c r="I300" t="n">
        <v>0</v>
      </c>
      <c r="J300" t="n">
        <v>0</v>
      </c>
      <c r="K300" t="n">
        <v>0</v>
      </c>
      <c r="L300" t="n">
        <v>0</v>
      </c>
      <c r="M300" t="n">
        <v>0</v>
      </c>
      <c r="N300" t="n">
        <v>0</v>
      </c>
      <c r="O300" t="n">
        <v>0</v>
      </c>
      <c r="P300" t="n">
        <v>0</v>
      </c>
      <c r="Q300" t="n">
        <v>0</v>
      </c>
      <c r="R300" s="2" t="inlineStr"/>
    </row>
    <row r="301" ht="15" customHeight="1">
      <c r="A301" t="inlineStr">
        <is>
          <t>A 38532-2020</t>
        </is>
      </c>
      <c r="B301" s="1" t="n">
        <v>44061</v>
      </c>
      <c r="C301" s="1" t="n">
        <v>45728</v>
      </c>
      <c r="D301" t="inlineStr">
        <is>
          <t>ÖREBRO LÄN</t>
        </is>
      </c>
      <c r="E301" t="inlineStr">
        <is>
          <t>ÖREBRO</t>
        </is>
      </c>
      <c r="G301" t="n">
        <v>3.8</v>
      </c>
      <c r="H301" t="n">
        <v>0</v>
      </c>
      <c r="I301" t="n">
        <v>0</v>
      </c>
      <c r="J301" t="n">
        <v>0</v>
      </c>
      <c r="K301" t="n">
        <v>0</v>
      </c>
      <c r="L301" t="n">
        <v>0</v>
      </c>
      <c r="M301" t="n">
        <v>0</v>
      </c>
      <c r="N301" t="n">
        <v>0</v>
      </c>
      <c r="O301" t="n">
        <v>0</v>
      </c>
      <c r="P301" t="n">
        <v>0</v>
      </c>
      <c r="Q301" t="n">
        <v>0</v>
      </c>
      <c r="R301" s="2" t="inlineStr"/>
    </row>
    <row r="302" ht="15" customHeight="1">
      <c r="A302" t="inlineStr">
        <is>
          <t>A 38691-2020</t>
        </is>
      </c>
      <c r="B302" s="1" t="n">
        <v>44061</v>
      </c>
      <c r="C302" s="1" t="n">
        <v>45728</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38960-2020</t>
        </is>
      </c>
      <c r="B303" s="1" t="n">
        <v>44062</v>
      </c>
      <c r="C303" s="1" t="n">
        <v>45728</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39307-2020</t>
        </is>
      </c>
      <c r="B304" s="1" t="n">
        <v>44063</v>
      </c>
      <c r="C304" s="1" t="n">
        <v>45728</v>
      </c>
      <c r="D304" t="inlineStr">
        <is>
          <t>ÖREBRO LÄN</t>
        </is>
      </c>
      <c r="E304" t="inlineStr">
        <is>
          <t>ÖREBRO</t>
        </is>
      </c>
      <c r="G304" t="n">
        <v>3.9</v>
      </c>
      <c r="H304" t="n">
        <v>0</v>
      </c>
      <c r="I304" t="n">
        <v>0</v>
      </c>
      <c r="J304" t="n">
        <v>0</v>
      </c>
      <c r="K304" t="n">
        <v>0</v>
      </c>
      <c r="L304" t="n">
        <v>0</v>
      </c>
      <c r="M304" t="n">
        <v>0</v>
      </c>
      <c r="N304" t="n">
        <v>0</v>
      </c>
      <c r="O304" t="n">
        <v>0</v>
      </c>
      <c r="P304" t="n">
        <v>0</v>
      </c>
      <c r="Q304" t="n">
        <v>0</v>
      </c>
      <c r="R304" s="2" t="inlineStr"/>
    </row>
    <row r="305" ht="15" customHeight="1">
      <c r="A305" t="inlineStr">
        <is>
          <t>A 39514-2020</t>
        </is>
      </c>
      <c r="B305" s="1" t="n">
        <v>44064</v>
      </c>
      <c r="C305" s="1" t="n">
        <v>45728</v>
      </c>
      <c r="D305" t="inlineStr">
        <is>
          <t>ÖREBRO LÄN</t>
        </is>
      </c>
      <c r="E305" t="inlineStr">
        <is>
          <t>ÖREBRO</t>
        </is>
      </c>
      <c r="G305" t="n">
        <v>4.6</v>
      </c>
      <c r="H305" t="n">
        <v>0</v>
      </c>
      <c r="I305" t="n">
        <v>0</v>
      </c>
      <c r="J305" t="n">
        <v>0</v>
      </c>
      <c r="K305" t="n">
        <v>0</v>
      </c>
      <c r="L305" t="n">
        <v>0</v>
      </c>
      <c r="M305" t="n">
        <v>0</v>
      </c>
      <c r="N305" t="n">
        <v>0</v>
      </c>
      <c r="O305" t="n">
        <v>0</v>
      </c>
      <c r="P305" t="n">
        <v>0</v>
      </c>
      <c r="Q305" t="n">
        <v>0</v>
      </c>
      <c r="R305" s="2" t="inlineStr"/>
    </row>
    <row r="306" ht="15" customHeight="1">
      <c r="A306" t="inlineStr">
        <is>
          <t>A 39642-2020</t>
        </is>
      </c>
      <c r="B306" s="1" t="n">
        <v>44064</v>
      </c>
      <c r="C306" s="1" t="n">
        <v>45728</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40356-2020</t>
        </is>
      </c>
      <c r="B307" s="1" t="n">
        <v>44067</v>
      </c>
      <c r="C307" s="1" t="n">
        <v>45728</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40442-2020</t>
        </is>
      </c>
      <c r="B308" s="1" t="n">
        <v>44069</v>
      </c>
      <c r="C308" s="1" t="n">
        <v>45728</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40652-2020</t>
        </is>
      </c>
      <c r="B309" s="1" t="n">
        <v>44069</v>
      </c>
      <c r="C309" s="1" t="n">
        <v>45728</v>
      </c>
      <c r="D309" t="inlineStr">
        <is>
          <t>ÖREBRO LÄN</t>
        </is>
      </c>
      <c r="E309" t="inlineStr">
        <is>
          <t>ÖREBRO</t>
        </is>
      </c>
      <c r="F309" t="inlineStr">
        <is>
          <t>Övriga Aktiebolag</t>
        </is>
      </c>
      <c r="G309" t="n">
        <v>8.4</v>
      </c>
      <c r="H309" t="n">
        <v>0</v>
      </c>
      <c r="I309" t="n">
        <v>0</v>
      </c>
      <c r="J309" t="n">
        <v>0</v>
      </c>
      <c r="K309" t="n">
        <v>0</v>
      </c>
      <c r="L309" t="n">
        <v>0</v>
      </c>
      <c r="M309" t="n">
        <v>0</v>
      </c>
      <c r="N309" t="n">
        <v>0</v>
      </c>
      <c r="O309" t="n">
        <v>0</v>
      </c>
      <c r="P309" t="n">
        <v>0</v>
      </c>
      <c r="Q309" t="n">
        <v>0</v>
      </c>
      <c r="R309" s="2" t="inlineStr"/>
    </row>
    <row r="310" ht="15" customHeight="1">
      <c r="A310" t="inlineStr">
        <is>
          <t>A 41116-2020</t>
        </is>
      </c>
      <c r="B310" s="1" t="n">
        <v>44071</v>
      </c>
      <c r="C310" s="1" t="n">
        <v>45728</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42285-2020</t>
        </is>
      </c>
      <c r="B311" s="1" t="n">
        <v>44076</v>
      </c>
      <c r="C311" s="1" t="n">
        <v>45728</v>
      </c>
      <c r="D311" t="inlineStr">
        <is>
          <t>ÖREBRO LÄN</t>
        </is>
      </c>
      <c r="E311" t="inlineStr">
        <is>
          <t>ÖREBRO</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42865-2020</t>
        </is>
      </c>
      <c r="B312" s="1" t="n">
        <v>44078</v>
      </c>
      <c r="C312" s="1" t="n">
        <v>45728</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42957-2020</t>
        </is>
      </c>
      <c r="B313" s="1" t="n">
        <v>44078</v>
      </c>
      <c r="C313" s="1" t="n">
        <v>45728</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44331-2020</t>
        </is>
      </c>
      <c r="B314" s="1" t="n">
        <v>44084</v>
      </c>
      <c r="C314" s="1" t="n">
        <v>45728</v>
      </c>
      <c r="D314" t="inlineStr">
        <is>
          <t>ÖREBRO LÄN</t>
        </is>
      </c>
      <c r="E314" t="inlineStr">
        <is>
          <t>ÖREBRO</t>
        </is>
      </c>
      <c r="G314" t="n">
        <v>5.3</v>
      </c>
      <c r="H314" t="n">
        <v>0</v>
      </c>
      <c r="I314" t="n">
        <v>0</v>
      </c>
      <c r="J314" t="n">
        <v>0</v>
      </c>
      <c r="K314" t="n">
        <v>0</v>
      </c>
      <c r="L314" t="n">
        <v>0</v>
      </c>
      <c r="M314" t="n">
        <v>0</v>
      </c>
      <c r="N314" t="n">
        <v>0</v>
      </c>
      <c r="O314" t="n">
        <v>0</v>
      </c>
      <c r="P314" t="n">
        <v>0</v>
      </c>
      <c r="Q314" t="n">
        <v>0</v>
      </c>
      <c r="R314" s="2" t="inlineStr"/>
    </row>
    <row r="315" ht="15" customHeight="1">
      <c r="A315" t="inlineStr">
        <is>
          <t>A 44514-2020</t>
        </is>
      </c>
      <c r="B315" s="1" t="n">
        <v>44085</v>
      </c>
      <c r="C315" s="1" t="n">
        <v>45728</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44966-2020</t>
        </is>
      </c>
      <c r="B316" s="1" t="n">
        <v>44088</v>
      </c>
      <c r="C316" s="1" t="n">
        <v>45728</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45029-2020</t>
        </is>
      </c>
      <c r="B317" s="1" t="n">
        <v>44088</v>
      </c>
      <c r="C317" s="1" t="n">
        <v>45728</v>
      </c>
      <c r="D317" t="inlineStr">
        <is>
          <t>ÖREBRO LÄN</t>
        </is>
      </c>
      <c r="E317" t="inlineStr">
        <is>
          <t>ÖREBRO</t>
        </is>
      </c>
      <c r="G317" t="n">
        <v>3.8</v>
      </c>
      <c r="H317" t="n">
        <v>0</v>
      </c>
      <c r="I317" t="n">
        <v>0</v>
      </c>
      <c r="J317" t="n">
        <v>0</v>
      </c>
      <c r="K317" t="n">
        <v>0</v>
      </c>
      <c r="L317" t="n">
        <v>0</v>
      </c>
      <c r="M317" t="n">
        <v>0</v>
      </c>
      <c r="N317" t="n">
        <v>0</v>
      </c>
      <c r="O317" t="n">
        <v>0</v>
      </c>
      <c r="P317" t="n">
        <v>0</v>
      </c>
      <c r="Q317" t="n">
        <v>0</v>
      </c>
      <c r="R317" s="2" t="inlineStr"/>
    </row>
    <row r="318" ht="15" customHeight="1">
      <c r="A318" t="inlineStr">
        <is>
          <t>A 46053-2020</t>
        </is>
      </c>
      <c r="B318" s="1" t="n">
        <v>44088</v>
      </c>
      <c r="C318" s="1" t="n">
        <v>45728</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46092-2020</t>
        </is>
      </c>
      <c r="B319" s="1" t="n">
        <v>44091</v>
      </c>
      <c r="C319" s="1" t="n">
        <v>45728</v>
      </c>
      <c r="D319" t="inlineStr">
        <is>
          <t>ÖREBRO LÄN</t>
        </is>
      </c>
      <c r="E319" t="inlineStr">
        <is>
          <t>ÖREBRO</t>
        </is>
      </c>
      <c r="F319" t="inlineStr">
        <is>
          <t>Övriga Aktiebolag</t>
        </is>
      </c>
      <c r="G319" t="n">
        <v>1</v>
      </c>
      <c r="H319" t="n">
        <v>0</v>
      </c>
      <c r="I319" t="n">
        <v>0</v>
      </c>
      <c r="J319" t="n">
        <v>0</v>
      </c>
      <c r="K319" t="n">
        <v>0</v>
      </c>
      <c r="L319" t="n">
        <v>0</v>
      </c>
      <c r="M319" t="n">
        <v>0</v>
      </c>
      <c r="N319" t="n">
        <v>0</v>
      </c>
      <c r="O319" t="n">
        <v>0</v>
      </c>
      <c r="P319" t="n">
        <v>0</v>
      </c>
      <c r="Q319" t="n">
        <v>0</v>
      </c>
      <c r="R319" s="2" t="inlineStr"/>
    </row>
    <row r="320" ht="15" customHeight="1">
      <c r="A320" t="inlineStr">
        <is>
          <t>A 46607-2020</t>
        </is>
      </c>
      <c r="B320" s="1" t="n">
        <v>44095</v>
      </c>
      <c r="C320" s="1" t="n">
        <v>45728</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47993-2020</t>
        </is>
      </c>
      <c r="B321" s="1" t="n">
        <v>44095</v>
      </c>
      <c r="C321" s="1" t="n">
        <v>45728</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47517-2020</t>
        </is>
      </c>
      <c r="B322" s="1" t="n">
        <v>44095</v>
      </c>
      <c r="C322" s="1" t="n">
        <v>45728</v>
      </c>
      <c r="D322" t="inlineStr">
        <is>
          <t>ÖREBRO LÄN</t>
        </is>
      </c>
      <c r="E322" t="inlineStr">
        <is>
          <t>ÖREBRO</t>
        </is>
      </c>
      <c r="G322" t="n">
        <v>7</v>
      </c>
      <c r="H322" t="n">
        <v>0</v>
      </c>
      <c r="I322" t="n">
        <v>0</v>
      </c>
      <c r="J322" t="n">
        <v>0</v>
      </c>
      <c r="K322" t="n">
        <v>0</v>
      </c>
      <c r="L322" t="n">
        <v>0</v>
      </c>
      <c r="M322" t="n">
        <v>0</v>
      </c>
      <c r="N322" t="n">
        <v>0</v>
      </c>
      <c r="O322" t="n">
        <v>0</v>
      </c>
      <c r="P322" t="n">
        <v>0</v>
      </c>
      <c r="Q322" t="n">
        <v>0</v>
      </c>
      <c r="R322" s="2" t="inlineStr"/>
    </row>
    <row r="323" ht="15" customHeight="1">
      <c r="A323" t="inlineStr">
        <is>
          <t>A 48109-2020</t>
        </is>
      </c>
      <c r="B323" s="1" t="n">
        <v>44101</v>
      </c>
      <c r="C323" s="1" t="n">
        <v>45728</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48889-2020</t>
        </is>
      </c>
      <c r="B324" s="1" t="n">
        <v>44104</v>
      </c>
      <c r="C324" s="1" t="n">
        <v>45728</v>
      </c>
      <c r="D324" t="inlineStr">
        <is>
          <t>ÖREBRO LÄN</t>
        </is>
      </c>
      <c r="E324" t="inlineStr">
        <is>
          <t>ÖREBRO</t>
        </is>
      </c>
      <c r="G324" t="n">
        <v>0.8</v>
      </c>
      <c r="H324" t="n">
        <v>0</v>
      </c>
      <c r="I324" t="n">
        <v>0</v>
      </c>
      <c r="J324" t="n">
        <v>0</v>
      </c>
      <c r="K324" t="n">
        <v>0</v>
      </c>
      <c r="L324" t="n">
        <v>0</v>
      </c>
      <c r="M324" t="n">
        <v>0</v>
      </c>
      <c r="N324" t="n">
        <v>0</v>
      </c>
      <c r="O324" t="n">
        <v>0</v>
      </c>
      <c r="P324" t="n">
        <v>0</v>
      </c>
      <c r="Q324" t="n">
        <v>0</v>
      </c>
      <c r="R324" s="2" t="inlineStr"/>
    </row>
    <row r="325" ht="15" customHeight="1">
      <c r="A325" t="inlineStr">
        <is>
          <t>A 48878-2020</t>
        </is>
      </c>
      <c r="B325" s="1" t="n">
        <v>44104</v>
      </c>
      <c r="C325" s="1" t="n">
        <v>45728</v>
      </c>
      <c r="D325" t="inlineStr">
        <is>
          <t>ÖREBRO LÄN</t>
        </is>
      </c>
      <c r="E325" t="inlineStr">
        <is>
          <t>ÖREBRO</t>
        </is>
      </c>
      <c r="G325" t="n">
        <v>12.7</v>
      </c>
      <c r="H325" t="n">
        <v>0</v>
      </c>
      <c r="I325" t="n">
        <v>0</v>
      </c>
      <c r="J325" t="n">
        <v>0</v>
      </c>
      <c r="K325" t="n">
        <v>0</v>
      </c>
      <c r="L325" t="n">
        <v>0</v>
      </c>
      <c r="M325" t="n">
        <v>0</v>
      </c>
      <c r="N325" t="n">
        <v>0</v>
      </c>
      <c r="O325" t="n">
        <v>0</v>
      </c>
      <c r="P325" t="n">
        <v>0</v>
      </c>
      <c r="Q325" t="n">
        <v>0</v>
      </c>
      <c r="R325" s="2" t="inlineStr"/>
    </row>
    <row r="326" ht="15" customHeight="1">
      <c r="A326" t="inlineStr">
        <is>
          <t>A 53003-2020</t>
        </is>
      </c>
      <c r="B326" s="1" t="n">
        <v>44119</v>
      </c>
      <c r="C326" s="1" t="n">
        <v>45728</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54288-2020</t>
        </is>
      </c>
      <c r="B327" s="1" t="n">
        <v>44124</v>
      </c>
      <c r="C327" s="1" t="n">
        <v>45728</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54526-2020</t>
        </is>
      </c>
      <c r="B328" s="1" t="n">
        <v>44125</v>
      </c>
      <c r="C328" s="1" t="n">
        <v>45728</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55570-2020</t>
        </is>
      </c>
      <c r="B329" s="1" t="n">
        <v>44131</v>
      </c>
      <c r="C329" s="1" t="n">
        <v>45728</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56138-2020</t>
        </is>
      </c>
      <c r="B330" s="1" t="n">
        <v>44133</v>
      </c>
      <c r="C330" s="1" t="n">
        <v>45728</v>
      </c>
      <c r="D330" t="inlineStr">
        <is>
          <t>ÖREBRO LÄN</t>
        </is>
      </c>
      <c r="E330" t="inlineStr">
        <is>
          <t>ÖREBRO</t>
        </is>
      </c>
      <c r="F330" t="inlineStr">
        <is>
          <t>Allmännings- och besparingsskogar</t>
        </is>
      </c>
      <c r="G330" t="n">
        <v>4.9</v>
      </c>
      <c r="H330" t="n">
        <v>0</v>
      </c>
      <c r="I330" t="n">
        <v>0</v>
      </c>
      <c r="J330" t="n">
        <v>0</v>
      </c>
      <c r="K330" t="n">
        <v>0</v>
      </c>
      <c r="L330" t="n">
        <v>0</v>
      </c>
      <c r="M330" t="n">
        <v>0</v>
      </c>
      <c r="N330" t="n">
        <v>0</v>
      </c>
      <c r="O330" t="n">
        <v>0</v>
      </c>
      <c r="P330" t="n">
        <v>0</v>
      </c>
      <c r="Q330" t="n">
        <v>0</v>
      </c>
      <c r="R330" s="2" t="inlineStr"/>
    </row>
    <row r="331" ht="15" customHeight="1">
      <c r="A331" t="inlineStr">
        <is>
          <t>A 57241-2020</t>
        </is>
      </c>
      <c r="B331" s="1" t="n">
        <v>44139</v>
      </c>
      <c r="C331" s="1" t="n">
        <v>45728</v>
      </c>
      <c r="D331" t="inlineStr">
        <is>
          <t>ÖREBRO LÄN</t>
        </is>
      </c>
      <c r="E331" t="inlineStr">
        <is>
          <t>ÖREBRO</t>
        </is>
      </c>
      <c r="G331" t="n">
        <v>2.3</v>
      </c>
      <c r="H331" t="n">
        <v>0</v>
      </c>
      <c r="I331" t="n">
        <v>0</v>
      </c>
      <c r="J331" t="n">
        <v>0</v>
      </c>
      <c r="K331" t="n">
        <v>0</v>
      </c>
      <c r="L331" t="n">
        <v>0</v>
      </c>
      <c r="M331" t="n">
        <v>0</v>
      </c>
      <c r="N331" t="n">
        <v>0</v>
      </c>
      <c r="O331" t="n">
        <v>0</v>
      </c>
      <c r="P331" t="n">
        <v>0</v>
      </c>
      <c r="Q331" t="n">
        <v>0</v>
      </c>
      <c r="R331" s="2" t="inlineStr"/>
    </row>
    <row r="332" ht="15" customHeight="1">
      <c r="A332" t="inlineStr">
        <is>
          <t>A 58633-2020</t>
        </is>
      </c>
      <c r="B332" s="1" t="n">
        <v>44145</v>
      </c>
      <c r="C332" s="1" t="n">
        <v>45728</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59265-2020</t>
        </is>
      </c>
      <c r="B333" s="1" t="n">
        <v>44147</v>
      </c>
      <c r="C333" s="1" t="n">
        <v>45728</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60311-2020</t>
        </is>
      </c>
      <c r="B334" s="1" t="n">
        <v>44151</v>
      </c>
      <c r="C334" s="1" t="n">
        <v>45728</v>
      </c>
      <c r="D334" t="inlineStr">
        <is>
          <t>ÖREBRO LÄN</t>
        </is>
      </c>
      <c r="E334" t="inlineStr">
        <is>
          <t>ÖREBRO</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60150-2020</t>
        </is>
      </c>
      <c r="B335" s="1" t="n">
        <v>44152</v>
      </c>
      <c r="C335" s="1" t="n">
        <v>45728</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61965-2020</t>
        </is>
      </c>
      <c r="B336" s="1" t="n">
        <v>44155</v>
      </c>
      <c r="C336" s="1" t="n">
        <v>45728</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62651-2020</t>
        </is>
      </c>
      <c r="B337" s="1" t="n">
        <v>44161</v>
      </c>
      <c r="C337" s="1" t="n">
        <v>45728</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63013-2020</t>
        </is>
      </c>
      <c r="B338" s="1" t="n">
        <v>44162</v>
      </c>
      <c r="C338" s="1" t="n">
        <v>45728</v>
      </c>
      <c r="D338" t="inlineStr">
        <is>
          <t>ÖREBRO LÄN</t>
        </is>
      </c>
      <c r="E338" t="inlineStr">
        <is>
          <t>ÖREBRO</t>
        </is>
      </c>
      <c r="F338" t="inlineStr">
        <is>
          <t>Övriga Aktiebolag</t>
        </is>
      </c>
      <c r="G338" t="n">
        <v>6.9</v>
      </c>
      <c r="H338" t="n">
        <v>0</v>
      </c>
      <c r="I338" t="n">
        <v>0</v>
      </c>
      <c r="J338" t="n">
        <v>0</v>
      </c>
      <c r="K338" t="n">
        <v>0</v>
      </c>
      <c r="L338" t="n">
        <v>0</v>
      </c>
      <c r="M338" t="n">
        <v>0</v>
      </c>
      <c r="N338" t="n">
        <v>0</v>
      </c>
      <c r="O338" t="n">
        <v>0</v>
      </c>
      <c r="P338" t="n">
        <v>0</v>
      </c>
      <c r="Q338" t="n">
        <v>0</v>
      </c>
      <c r="R338" s="2" t="inlineStr"/>
    </row>
    <row r="339" ht="15" customHeight="1">
      <c r="A339" t="inlineStr">
        <is>
          <t>A 63074-2020</t>
        </is>
      </c>
      <c r="B339" s="1" t="n">
        <v>44162</v>
      </c>
      <c r="C339" s="1" t="n">
        <v>45728</v>
      </c>
      <c r="D339" t="inlineStr">
        <is>
          <t>ÖREBRO LÄN</t>
        </is>
      </c>
      <c r="E339" t="inlineStr">
        <is>
          <t>ÖREBRO</t>
        </is>
      </c>
      <c r="F339" t="inlineStr">
        <is>
          <t>Övriga Aktiebolag</t>
        </is>
      </c>
      <c r="G339" t="n">
        <v>6.8</v>
      </c>
      <c r="H339" t="n">
        <v>0</v>
      </c>
      <c r="I339" t="n">
        <v>0</v>
      </c>
      <c r="J339" t="n">
        <v>0</v>
      </c>
      <c r="K339" t="n">
        <v>0</v>
      </c>
      <c r="L339" t="n">
        <v>0</v>
      </c>
      <c r="M339" t="n">
        <v>0</v>
      </c>
      <c r="N339" t="n">
        <v>0</v>
      </c>
      <c r="O339" t="n">
        <v>0</v>
      </c>
      <c r="P339" t="n">
        <v>0</v>
      </c>
      <c r="Q339" t="n">
        <v>0</v>
      </c>
      <c r="R339" s="2" t="inlineStr"/>
    </row>
    <row r="340" ht="15" customHeight="1">
      <c r="A340" t="inlineStr">
        <is>
          <t>A 63016-2020</t>
        </is>
      </c>
      <c r="B340" s="1" t="n">
        <v>44162</v>
      </c>
      <c r="C340" s="1" t="n">
        <v>45728</v>
      </c>
      <c r="D340" t="inlineStr">
        <is>
          <t>ÖREBRO LÄN</t>
        </is>
      </c>
      <c r="E340" t="inlineStr">
        <is>
          <t>ÖREBRO</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64597-2020</t>
        </is>
      </c>
      <c r="B341" s="1" t="n">
        <v>44166</v>
      </c>
      <c r="C341" s="1" t="n">
        <v>45728</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65592-2020</t>
        </is>
      </c>
      <c r="B342" s="1" t="n">
        <v>44173</v>
      </c>
      <c r="C342" s="1" t="n">
        <v>45728</v>
      </c>
      <c r="D342" t="inlineStr">
        <is>
          <t>ÖREBRO LÄN</t>
        </is>
      </c>
      <c r="E342" t="inlineStr">
        <is>
          <t>ÖREBRO</t>
        </is>
      </c>
      <c r="G342" t="n">
        <v>8.9</v>
      </c>
      <c r="H342" t="n">
        <v>0</v>
      </c>
      <c r="I342" t="n">
        <v>0</v>
      </c>
      <c r="J342" t="n">
        <v>0</v>
      </c>
      <c r="K342" t="n">
        <v>0</v>
      </c>
      <c r="L342" t="n">
        <v>0</v>
      </c>
      <c r="M342" t="n">
        <v>0</v>
      </c>
      <c r="N342" t="n">
        <v>0</v>
      </c>
      <c r="O342" t="n">
        <v>0</v>
      </c>
      <c r="P342" t="n">
        <v>0</v>
      </c>
      <c r="Q342" t="n">
        <v>0</v>
      </c>
      <c r="R342" s="2" t="inlineStr"/>
    </row>
    <row r="343" ht="15" customHeight="1">
      <c r="A343" t="inlineStr">
        <is>
          <t>A 66799-2020</t>
        </is>
      </c>
      <c r="B343" s="1" t="n">
        <v>44179</v>
      </c>
      <c r="C343" s="1" t="n">
        <v>45728</v>
      </c>
      <c r="D343" t="inlineStr">
        <is>
          <t>ÖREBRO LÄN</t>
        </is>
      </c>
      <c r="E343" t="inlineStr">
        <is>
          <t>ÖREBRO</t>
        </is>
      </c>
      <c r="G343" t="n">
        <v>5.2</v>
      </c>
      <c r="H343" t="n">
        <v>0</v>
      </c>
      <c r="I343" t="n">
        <v>0</v>
      </c>
      <c r="J343" t="n">
        <v>0</v>
      </c>
      <c r="K343" t="n">
        <v>0</v>
      </c>
      <c r="L343" t="n">
        <v>0</v>
      </c>
      <c r="M343" t="n">
        <v>0</v>
      </c>
      <c r="N343" t="n">
        <v>0</v>
      </c>
      <c r="O343" t="n">
        <v>0</v>
      </c>
      <c r="P343" t="n">
        <v>0</v>
      </c>
      <c r="Q343" t="n">
        <v>0</v>
      </c>
      <c r="R343" s="2" t="inlineStr"/>
    </row>
    <row r="344" ht="15" customHeight="1">
      <c r="A344" t="inlineStr">
        <is>
          <t>A 67627-2020</t>
        </is>
      </c>
      <c r="B344" s="1" t="n">
        <v>44182</v>
      </c>
      <c r="C344" s="1" t="n">
        <v>45728</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69328-2020</t>
        </is>
      </c>
      <c r="B345" s="1" t="n">
        <v>44188</v>
      </c>
      <c r="C345" s="1" t="n">
        <v>45728</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69613-2020</t>
        </is>
      </c>
      <c r="B346" s="1" t="n">
        <v>44195</v>
      </c>
      <c r="C346" s="1" t="n">
        <v>45728</v>
      </c>
      <c r="D346" t="inlineStr">
        <is>
          <t>ÖREBRO LÄN</t>
        </is>
      </c>
      <c r="E346" t="inlineStr">
        <is>
          <t>ÖREBRO</t>
        </is>
      </c>
      <c r="G346" t="n">
        <v>4.7</v>
      </c>
      <c r="H346" t="n">
        <v>0</v>
      </c>
      <c r="I346" t="n">
        <v>0</v>
      </c>
      <c r="J346" t="n">
        <v>0</v>
      </c>
      <c r="K346" t="n">
        <v>0</v>
      </c>
      <c r="L346" t="n">
        <v>0</v>
      </c>
      <c r="M346" t="n">
        <v>0</v>
      </c>
      <c r="N346" t="n">
        <v>0</v>
      </c>
      <c r="O346" t="n">
        <v>0</v>
      </c>
      <c r="P346" t="n">
        <v>0</v>
      </c>
      <c r="Q346" t="n">
        <v>0</v>
      </c>
      <c r="R346" s="2" t="inlineStr"/>
    </row>
    <row r="347" ht="15" customHeight="1">
      <c r="A347" t="inlineStr">
        <is>
          <t>A 3087-2021</t>
        </is>
      </c>
      <c r="B347" s="1" t="n">
        <v>44216</v>
      </c>
      <c r="C347" s="1" t="n">
        <v>45728</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3078-2021</t>
        </is>
      </c>
      <c r="B348" s="1" t="n">
        <v>44216</v>
      </c>
      <c r="C348" s="1" t="n">
        <v>45728</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3085-2021</t>
        </is>
      </c>
      <c r="B349" s="1" t="n">
        <v>44216</v>
      </c>
      <c r="C349" s="1" t="n">
        <v>45728</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3081-2021</t>
        </is>
      </c>
      <c r="B350" s="1" t="n">
        <v>44216</v>
      </c>
      <c r="C350" s="1" t="n">
        <v>45728</v>
      </c>
      <c r="D350" t="inlineStr">
        <is>
          <t>ÖREBRO LÄN</t>
        </is>
      </c>
      <c r="E350" t="inlineStr">
        <is>
          <t>ÖREBRO</t>
        </is>
      </c>
      <c r="G350" t="n">
        <v>4.2</v>
      </c>
      <c r="H350" t="n">
        <v>0</v>
      </c>
      <c r="I350" t="n">
        <v>0</v>
      </c>
      <c r="J350" t="n">
        <v>0</v>
      </c>
      <c r="K350" t="n">
        <v>0</v>
      </c>
      <c r="L350" t="n">
        <v>0</v>
      </c>
      <c r="M350" t="n">
        <v>0</v>
      </c>
      <c r="N350" t="n">
        <v>0</v>
      </c>
      <c r="O350" t="n">
        <v>0</v>
      </c>
      <c r="P350" t="n">
        <v>0</v>
      </c>
      <c r="Q350" t="n">
        <v>0</v>
      </c>
      <c r="R350" s="2" t="inlineStr"/>
    </row>
    <row r="351" ht="15" customHeight="1">
      <c r="A351" t="inlineStr">
        <is>
          <t>A 4021-2021</t>
        </is>
      </c>
      <c r="B351" s="1" t="n">
        <v>44218</v>
      </c>
      <c r="C351" s="1" t="n">
        <v>45728</v>
      </c>
      <c r="D351" t="inlineStr">
        <is>
          <t>ÖREBRO LÄN</t>
        </is>
      </c>
      <c r="E351" t="inlineStr">
        <is>
          <t>ÖREBRO</t>
        </is>
      </c>
      <c r="G351" t="n">
        <v>5.3</v>
      </c>
      <c r="H351" t="n">
        <v>0</v>
      </c>
      <c r="I351" t="n">
        <v>0</v>
      </c>
      <c r="J351" t="n">
        <v>0</v>
      </c>
      <c r="K351" t="n">
        <v>0</v>
      </c>
      <c r="L351" t="n">
        <v>0</v>
      </c>
      <c r="M351" t="n">
        <v>0</v>
      </c>
      <c r="N351" t="n">
        <v>0</v>
      </c>
      <c r="O351" t="n">
        <v>0</v>
      </c>
      <c r="P351" t="n">
        <v>0</v>
      </c>
      <c r="Q351" t="n">
        <v>0</v>
      </c>
      <c r="R351" s="2" t="inlineStr"/>
    </row>
    <row r="352" ht="15" customHeight="1">
      <c r="A352" t="inlineStr">
        <is>
          <t>A 5708-2021</t>
        </is>
      </c>
      <c r="B352" s="1" t="n">
        <v>44230</v>
      </c>
      <c r="C352" s="1" t="n">
        <v>45728</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5946-2021</t>
        </is>
      </c>
      <c r="B353" s="1" t="n">
        <v>44230</v>
      </c>
      <c r="C353" s="1" t="n">
        <v>45728</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6213-2021</t>
        </is>
      </c>
      <c r="B354" s="1" t="n">
        <v>44232</v>
      </c>
      <c r="C354" s="1" t="n">
        <v>45728</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6212-2021</t>
        </is>
      </c>
      <c r="B355" s="1" t="n">
        <v>44232</v>
      </c>
      <c r="C355" s="1" t="n">
        <v>45728</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6387-2021</t>
        </is>
      </c>
      <c r="B356" s="1" t="n">
        <v>44235</v>
      </c>
      <c r="C356" s="1" t="n">
        <v>45728</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7117-2021</t>
        </is>
      </c>
      <c r="B357" s="1" t="n">
        <v>44238</v>
      </c>
      <c r="C357" s="1" t="n">
        <v>45728</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8263-2021</t>
        </is>
      </c>
      <c r="B358" s="1" t="n">
        <v>44244</v>
      </c>
      <c r="C358" s="1" t="n">
        <v>45728</v>
      </c>
      <c r="D358" t="inlineStr">
        <is>
          <t>ÖREBRO LÄN</t>
        </is>
      </c>
      <c r="E358" t="inlineStr">
        <is>
          <t>ÖREBRO</t>
        </is>
      </c>
      <c r="G358" t="n">
        <v>0.7</v>
      </c>
      <c r="H358" t="n">
        <v>0</v>
      </c>
      <c r="I358" t="n">
        <v>0</v>
      </c>
      <c r="J358" t="n">
        <v>0</v>
      </c>
      <c r="K358" t="n">
        <v>0</v>
      </c>
      <c r="L358" t="n">
        <v>0</v>
      </c>
      <c r="M358" t="n">
        <v>0</v>
      </c>
      <c r="N358" t="n">
        <v>0</v>
      </c>
      <c r="O358" t="n">
        <v>0</v>
      </c>
      <c r="P358" t="n">
        <v>0</v>
      </c>
      <c r="Q358" t="n">
        <v>0</v>
      </c>
      <c r="R358" s="2" t="inlineStr"/>
    </row>
    <row r="359" ht="15" customHeight="1">
      <c r="A359" t="inlineStr">
        <is>
          <t>A 8331-2021</t>
        </is>
      </c>
      <c r="B359" s="1" t="n">
        <v>44244</v>
      </c>
      <c r="C359" s="1" t="n">
        <v>45728</v>
      </c>
      <c r="D359" t="inlineStr">
        <is>
          <t>ÖREBRO LÄN</t>
        </is>
      </c>
      <c r="E359" t="inlineStr">
        <is>
          <t>ÖREBRO</t>
        </is>
      </c>
      <c r="G359" t="n">
        <v>9.1</v>
      </c>
      <c r="H359" t="n">
        <v>0</v>
      </c>
      <c r="I359" t="n">
        <v>0</v>
      </c>
      <c r="J359" t="n">
        <v>0</v>
      </c>
      <c r="K359" t="n">
        <v>0</v>
      </c>
      <c r="L359" t="n">
        <v>0</v>
      </c>
      <c r="M359" t="n">
        <v>0</v>
      </c>
      <c r="N359" t="n">
        <v>0</v>
      </c>
      <c r="O359" t="n">
        <v>0</v>
      </c>
      <c r="P359" t="n">
        <v>0</v>
      </c>
      <c r="Q359" t="n">
        <v>0</v>
      </c>
      <c r="R359" s="2" t="inlineStr"/>
    </row>
    <row r="360" ht="15" customHeight="1">
      <c r="A360" t="inlineStr">
        <is>
          <t>A 8375-2021</t>
        </is>
      </c>
      <c r="B360" s="1" t="n">
        <v>44244</v>
      </c>
      <c r="C360" s="1" t="n">
        <v>45728</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8332-2021</t>
        </is>
      </c>
      <c r="B361" s="1" t="n">
        <v>44244</v>
      </c>
      <c r="C361" s="1" t="n">
        <v>45728</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8374-2021</t>
        </is>
      </c>
      <c r="B362" s="1" t="n">
        <v>44244</v>
      </c>
      <c r="C362" s="1" t="n">
        <v>45728</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8543-2021</t>
        </is>
      </c>
      <c r="B363" s="1" t="n">
        <v>44245</v>
      </c>
      <c r="C363" s="1" t="n">
        <v>45728</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8565-2021</t>
        </is>
      </c>
      <c r="B364" s="1" t="n">
        <v>44245</v>
      </c>
      <c r="C364" s="1" t="n">
        <v>45728</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8571-2021</t>
        </is>
      </c>
      <c r="B365" s="1" t="n">
        <v>44245</v>
      </c>
      <c r="C365" s="1" t="n">
        <v>45728</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8568-2021</t>
        </is>
      </c>
      <c r="B366" s="1" t="n">
        <v>44245</v>
      </c>
      <c r="C366" s="1" t="n">
        <v>45728</v>
      </c>
      <c r="D366" t="inlineStr">
        <is>
          <t>ÖREBRO LÄN</t>
        </is>
      </c>
      <c r="E366" t="inlineStr">
        <is>
          <t>ÖREBRO</t>
        </is>
      </c>
      <c r="G366" t="n">
        <v>4.8</v>
      </c>
      <c r="H366" t="n">
        <v>0</v>
      </c>
      <c r="I366" t="n">
        <v>0</v>
      </c>
      <c r="J366" t="n">
        <v>0</v>
      </c>
      <c r="K366" t="n">
        <v>0</v>
      </c>
      <c r="L366" t="n">
        <v>0</v>
      </c>
      <c r="M366" t="n">
        <v>0</v>
      </c>
      <c r="N366" t="n">
        <v>0</v>
      </c>
      <c r="O366" t="n">
        <v>0</v>
      </c>
      <c r="P366" t="n">
        <v>0</v>
      </c>
      <c r="Q366" t="n">
        <v>0</v>
      </c>
      <c r="R366" s="2" t="inlineStr"/>
    </row>
    <row r="367" ht="15" customHeight="1">
      <c r="A367" t="inlineStr">
        <is>
          <t>A 8575-2021</t>
        </is>
      </c>
      <c r="B367" s="1" t="n">
        <v>44245</v>
      </c>
      <c r="C367" s="1" t="n">
        <v>45728</v>
      </c>
      <c r="D367" t="inlineStr">
        <is>
          <t>ÖREBRO LÄN</t>
        </is>
      </c>
      <c r="E367" t="inlineStr">
        <is>
          <t>ÖREBRO</t>
        </is>
      </c>
      <c r="G367" t="n">
        <v>3.4</v>
      </c>
      <c r="H367" t="n">
        <v>0</v>
      </c>
      <c r="I367" t="n">
        <v>0</v>
      </c>
      <c r="J367" t="n">
        <v>0</v>
      </c>
      <c r="K367" t="n">
        <v>0</v>
      </c>
      <c r="L367" t="n">
        <v>0</v>
      </c>
      <c r="M367" t="n">
        <v>0</v>
      </c>
      <c r="N367" t="n">
        <v>0</v>
      </c>
      <c r="O367" t="n">
        <v>0</v>
      </c>
      <c r="P367" t="n">
        <v>0</v>
      </c>
      <c r="Q367" t="n">
        <v>0</v>
      </c>
      <c r="R367" s="2" t="inlineStr"/>
    </row>
    <row r="368" ht="15" customHeight="1">
      <c r="A368" t="inlineStr">
        <is>
          <t>A 9406-2021</t>
        </is>
      </c>
      <c r="B368" s="1" t="n">
        <v>44251</v>
      </c>
      <c r="C368" s="1" t="n">
        <v>45728</v>
      </c>
      <c r="D368" t="inlineStr">
        <is>
          <t>ÖREBRO LÄN</t>
        </is>
      </c>
      <c r="E368" t="inlineStr">
        <is>
          <t>ÖREBRO</t>
        </is>
      </c>
      <c r="G368" t="n">
        <v>6.1</v>
      </c>
      <c r="H368" t="n">
        <v>0</v>
      </c>
      <c r="I368" t="n">
        <v>0</v>
      </c>
      <c r="J368" t="n">
        <v>0</v>
      </c>
      <c r="K368" t="n">
        <v>0</v>
      </c>
      <c r="L368" t="n">
        <v>0</v>
      </c>
      <c r="M368" t="n">
        <v>0</v>
      </c>
      <c r="N368" t="n">
        <v>0</v>
      </c>
      <c r="O368" t="n">
        <v>0</v>
      </c>
      <c r="P368" t="n">
        <v>0</v>
      </c>
      <c r="Q368" t="n">
        <v>0</v>
      </c>
      <c r="R368" s="2" t="inlineStr"/>
    </row>
    <row r="369" ht="15" customHeight="1">
      <c r="A369" t="inlineStr">
        <is>
          <t>A 10368-2021</t>
        </is>
      </c>
      <c r="B369" s="1" t="n">
        <v>44257</v>
      </c>
      <c r="C369" s="1" t="n">
        <v>45728</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12433-2021</t>
        </is>
      </c>
      <c r="B370" s="1" t="n">
        <v>44267</v>
      </c>
      <c r="C370" s="1" t="n">
        <v>45728</v>
      </c>
      <c r="D370" t="inlineStr">
        <is>
          <t>ÖREBRO LÄN</t>
        </is>
      </c>
      <c r="E370" t="inlineStr">
        <is>
          <t>ÖREBRO</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12871-2021</t>
        </is>
      </c>
      <c r="B371" s="1" t="n">
        <v>44271</v>
      </c>
      <c r="C371" s="1" t="n">
        <v>45728</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13193-2021</t>
        </is>
      </c>
      <c r="B372" s="1" t="n">
        <v>44272</v>
      </c>
      <c r="C372" s="1" t="n">
        <v>45728</v>
      </c>
      <c r="D372" t="inlineStr">
        <is>
          <t>ÖREBRO LÄN</t>
        </is>
      </c>
      <c r="E372" t="inlineStr">
        <is>
          <t>ÖREBRO</t>
        </is>
      </c>
      <c r="F372" t="inlineStr">
        <is>
          <t>Övriga Aktiebolag</t>
        </is>
      </c>
      <c r="G372" t="n">
        <v>4.1</v>
      </c>
      <c r="H372" t="n">
        <v>0</v>
      </c>
      <c r="I372" t="n">
        <v>0</v>
      </c>
      <c r="J372" t="n">
        <v>0</v>
      </c>
      <c r="K372" t="n">
        <v>0</v>
      </c>
      <c r="L372" t="n">
        <v>0</v>
      </c>
      <c r="M372" t="n">
        <v>0</v>
      </c>
      <c r="N372" t="n">
        <v>0</v>
      </c>
      <c r="O372" t="n">
        <v>0</v>
      </c>
      <c r="P372" t="n">
        <v>0</v>
      </c>
      <c r="Q372" t="n">
        <v>0</v>
      </c>
      <c r="R372" s="2" t="inlineStr"/>
    </row>
    <row r="373" ht="15" customHeight="1">
      <c r="A373" t="inlineStr">
        <is>
          <t>A 13760-2021</t>
        </is>
      </c>
      <c r="B373" s="1" t="n">
        <v>44274</v>
      </c>
      <c r="C373" s="1" t="n">
        <v>45728</v>
      </c>
      <c r="D373" t="inlineStr">
        <is>
          <t>ÖREBRO LÄN</t>
        </is>
      </c>
      <c r="E373" t="inlineStr">
        <is>
          <t>ÖREBRO</t>
        </is>
      </c>
      <c r="G373" t="n">
        <v>2.1</v>
      </c>
      <c r="H373" t="n">
        <v>0</v>
      </c>
      <c r="I373" t="n">
        <v>0</v>
      </c>
      <c r="J373" t="n">
        <v>0</v>
      </c>
      <c r="K373" t="n">
        <v>0</v>
      </c>
      <c r="L373" t="n">
        <v>0</v>
      </c>
      <c r="M373" t="n">
        <v>0</v>
      </c>
      <c r="N373" t="n">
        <v>0</v>
      </c>
      <c r="O373" t="n">
        <v>0</v>
      </c>
      <c r="P373" t="n">
        <v>0</v>
      </c>
      <c r="Q373" t="n">
        <v>0</v>
      </c>
      <c r="R373" s="2" t="inlineStr"/>
    </row>
    <row r="374" ht="15" customHeight="1">
      <c r="A374" t="inlineStr">
        <is>
          <t>A 14064-2021</t>
        </is>
      </c>
      <c r="B374" s="1" t="n">
        <v>44277</v>
      </c>
      <c r="C374" s="1" t="n">
        <v>45728</v>
      </c>
      <c r="D374" t="inlineStr">
        <is>
          <t>ÖREBRO LÄN</t>
        </is>
      </c>
      <c r="E374" t="inlineStr">
        <is>
          <t>ÖREBRO</t>
        </is>
      </c>
      <c r="G374" t="n">
        <v>0.3</v>
      </c>
      <c r="H374" t="n">
        <v>0</v>
      </c>
      <c r="I374" t="n">
        <v>0</v>
      </c>
      <c r="J374" t="n">
        <v>0</v>
      </c>
      <c r="K374" t="n">
        <v>0</v>
      </c>
      <c r="L374" t="n">
        <v>0</v>
      </c>
      <c r="M374" t="n">
        <v>0</v>
      </c>
      <c r="N374" t="n">
        <v>0</v>
      </c>
      <c r="O374" t="n">
        <v>0</v>
      </c>
      <c r="P374" t="n">
        <v>0</v>
      </c>
      <c r="Q374" t="n">
        <v>0</v>
      </c>
      <c r="R374" s="2" t="inlineStr"/>
    </row>
    <row r="375" ht="15" customHeight="1">
      <c r="A375" t="inlineStr">
        <is>
          <t>A 14239-2021</t>
        </is>
      </c>
      <c r="B375" s="1" t="n">
        <v>44278</v>
      </c>
      <c r="C375" s="1" t="n">
        <v>45728</v>
      </c>
      <c r="D375" t="inlineStr">
        <is>
          <t>ÖREBRO LÄN</t>
        </is>
      </c>
      <c r="E375" t="inlineStr">
        <is>
          <t>ÖREBRO</t>
        </is>
      </c>
      <c r="G375" t="n">
        <v>2.6</v>
      </c>
      <c r="H375" t="n">
        <v>0</v>
      </c>
      <c r="I375" t="n">
        <v>0</v>
      </c>
      <c r="J375" t="n">
        <v>0</v>
      </c>
      <c r="K375" t="n">
        <v>0</v>
      </c>
      <c r="L375" t="n">
        <v>0</v>
      </c>
      <c r="M375" t="n">
        <v>0</v>
      </c>
      <c r="N375" t="n">
        <v>0</v>
      </c>
      <c r="O375" t="n">
        <v>0</v>
      </c>
      <c r="P375" t="n">
        <v>0</v>
      </c>
      <c r="Q375" t="n">
        <v>0</v>
      </c>
      <c r="R375" s="2" t="inlineStr"/>
    </row>
    <row r="376" ht="15" customHeight="1">
      <c r="A376" t="inlineStr">
        <is>
          <t>A 15574-2021</t>
        </is>
      </c>
      <c r="B376" s="1" t="n">
        <v>44285</v>
      </c>
      <c r="C376" s="1" t="n">
        <v>45728</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15571-2021</t>
        </is>
      </c>
      <c r="B377" s="1" t="n">
        <v>44285</v>
      </c>
      <c r="C377" s="1" t="n">
        <v>45728</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16260-2021</t>
        </is>
      </c>
      <c r="B378" s="1" t="n">
        <v>44292</v>
      </c>
      <c r="C378" s="1" t="n">
        <v>45728</v>
      </c>
      <c r="D378" t="inlineStr">
        <is>
          <t>ÖREBRO LÄN</t>
        </is>
      </c>
      <c r="E378" t="inlineStr">
        <is>
          <t>ÖREBRO</t>
        </is>
      </c>
      <c r="G378" t="n">
        <v>3.2</v>
      </c>
      <c r="H378" t="n">
        <v>0</v>
      </c>
      <c r="I378" t="n">
        <v>0</v>
      </c>
      <c r="J378" t="n">
        <v>0</v>
      </c>
      <c r="K378" t="n">
        <v>0</v>
      </c>
      <c r="L378" t="n">
        <v>0</v>
      </c>
      <c r="M378" t="n">
        <v>0</v>
      </c>
      <c r="N378" t="n">
        <v>0</v>
      </c>
      <c r="O378" t="n">
        <v>0</v>
      </c>
      <c r="P378" t="n">
        <v>0</v>
      </c>
      <c r="Q378" t="n">
        <v>0</v>
      </c>
      <c r="R378" s="2" t="inlineStr"/>
    </row>
    <row r="379" ht="15" customHeight="1">
      <c r="A379" t="inlineStr">
        <is>
          <t>A 16785-2021</t>
        </is>
      </c>
      <c r="B379" s="1" t="n">
        <v>44295</v>
      </c>
      <c r="C379" s="1" t="n">
        <v>45728</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19468-2021</t>
        </is>
      </c>
      <c r="B380" s="1" t="n">
        <v>44311</v>
      </c>
      <c r="C380" s="1" t="n">
        <v>45728</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19803-2021</t>
        </is>
      </c>
      <c r="B381" s="1" t="n">
        <v>44313</v>
      </c>
      <c r="C381" s="1" t="n">
        <v>45728</v>
      </c>
      <c r="D381" t="inlineStr">
        <is>
          <t>ÖREBRO LÄN</t>
        </is>
      </c>
      <c r="E381" t="inlineStr">
        <is>
          <t>ÖREBRO</t>
        </is>
      </c>
      <c r="G381" t="n">
        <v>2.5</v>
      </c>
      <c r="H381" t="n">
        <v>0</v>
      </c>
      <c r="I381" t="n">
        <v>0</v>
      </c>
      <c r="J381" t="n">
        <v>0</v>
      </c>
      <c r="K381" t="n">
        <v>0</v>
      </c>
      <c r="L381" t="n">
        <v>0</v>
      </c>
      <c r="M381" t="n">
        <v>0</v>
      </c>
      <c r="N381" t="n">
        <v>0</v>
      </c>
      <c r="O381" t="n">
        <v>0</v>
      </c>
      <c r="P381" t="n">
        <v>0</v>
      </c>
      <c r="Q381" t="n">
        <v>0</v>
      </c>
      <c r="R381" s="2" t="inlineStr"/>
    </row>
    <row r="382" ht="15" customHeight="1">
      <c r="A382" t="inlineStr">
        <is>
          <t>A 19831-2021</t>
        </is>
      </c>
      <c r="B382" s="1" t="n">
        <v>44313</v>
      </c>
      <c r="C382" s="1" t="n">
        <v>45728</v>
      </c>
      <c r="D382" t="inlineStr">
        <is>
          <t>ÖREBRO LÄN</t>
        </is>
      </c>
      <c r="E382" t="inlineStr">
        <is>
          <t>ÖREBRO</t>
        </is>
      </c>
      <c r="G382" t="n">
        <v>10.4</v>
      </c>
      <c r="H382" t="n">
        <v>0</v>
      </c>
      <c r="I382" t="n">
        <v>0</v>
      </c>
      <c r="J382" t="n">
        <v>0</v>
      </c>
      <c r="K382" t="n">
        <v>0</v>
      </c>
      <c r="L382" t="n">
        <v>0</v>
      </c>
      <c r="M382" t="n">
        <v>0</v>
      </c>
      <c r="N382" t="n">
        <v>0</v>
      </c>
      <c r="O382" t="n">
        <v>0</v>
      </c>
      <c r="P382" t="n">
        <v>0</v>
      </c>
      <c r="Q382" t="n">
        <v>0</v>
      </c>
      <c r="R382" s="2" t="inlineStr"/>
    </row>
    <row r="383" ht="15" customHeight="1">
      <c r="A383" t="inlineStr">
        <is>
          <t>A 21983-2021</t>
        </is>
      </c>
      <c r="B383" s="1" t="n">
        <v>44323</v>
      </c>
      <c r="C383" s="1" t="n">
        <v>45728</v>
      </c>
      <c r="D383" t="inlineStr">
        <is>
          <t>ÖREBRO LÄN</t>
        </is>
      </c>
      <c r="E383" t="inlineStr">
        <is>
          <t>ÖREBRO</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23606-2021</t>
        </is>
      </c>
      <c r="B384" s="1" t="n">
        <v>44334</v>
      </c>
      <c r="C384" s="1" t="n">
        <v>45728</v>
      </c>
      <c r="D384" t="inlineStr">
        <is>
          <t>ÖREBRO LÄN</t>
        </is>
      </c>
      <c r="E384" t="inlineStr">
        <is>
          <t>ÖREBRO</t>
        </is>
      </c>
      <c r="G384" t="n">
        <v>2.4</v>
      </c>
      <c r="H384" t="n">
        <v>0</v>
      </c>
      <c r="I384" t="n">
        <v>0</v>
      </c>
      <c r="J384" t="n">
        <v>0</v>
      </c>
      <c r="K384" t="n">
        <v>0</v>
      </c>
      <c r="L384" t="n">
        <v>0</v>
      </c>
      <c r="M384" t="n">
        <v>0</v>
      </c>
      <c r="N384" t="n">
        <v>0</v>
      </c>
      <c r="O384" t="n">
        <v>0</v>
      </c>
      <c r="P384" t="n">
        <v>0</v>
      </c>
      <c r="Q384" t="n">
        <v>0</v>
      </c>
      <c r="R384" s="2" t="inlineStr"/>
    </row>
    <row r="385" ht="15" customHeight="1">
      <c r="A385" t="inlineStr">
        <is>
          <t>A 24818-2021</t>
        </is>
      </c>
      <c r="B385" s="1" t="n">
        <v>44340</v>
      </c>
      <c r="C385" s="1" t="n">
        <v>45728</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25407-2021</t>
        </is>
      </c>
      <c r="B386" s="1" t="n">
        <v>44342</v>
      </c>
      <c r="C386" s="1" t="n">
        <v>45728</v>
      </c>
      <c r="D386" t="inlineStr">
        <is>
          <t>ÖREBRO LÄN</t>
        </is>
      </c>
      <c r="E386" t="inlineStr">
        <is>
          <t>ÖREBRO</t>
        </is>
      </c>
      <c r="F386" t="inlineStr">
        <is>
          <t>Kommuner</t>
        </is>
      </c>
      <c r="G386" t="n">
        <v>7.2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45728</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25660-2021</t>
        </is>
      </c>
      <c r="B388" s="1" t="n">
        <v>44343</v>
      </c>
      <c r="C388" s="1" t="n">
        <v>45728</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25778-2021</t>
        </is>
      </c>
      <c r="B389" s="1" t="n">
        <v>44343</v>
      </c>
      <c r="C389" s="1" t="n">
        <v>45728</v>
      </c>
      <c r="D389" t="inlineStr">
        <is>
          <t>ÖREBRO LÄN</t>
        </is>
      </c>
      <c r="E389" t="inlineStr">
        <is>
          <t>ÖREBRO</t>
        </is>
      </c>
      <c r="F389" t="inlineStr">
        <is>
          <t>Övriga Aktiebolag</t>
        </is>
      </c>
      <c r="G389" t="n">
        <v>11.3</v>
      </c>
      <c r="H389" t="n">
        <v>0</v>
      </c>
      <c r="I389" t="n">
        <v>0</v>
      </c>
      <c r="J389" t="n">
        <v>0</v>
      </c>
      <c r="K389" t="n">
        <v>0</v>
      </c>
      <c r="L389" t="n">
        <v>0</v>
      </c>
      <c r="M389" t="n">
        <v>0</v>
      </c>
      <c r="N389" t="n">
        <v>0</v>
      </c>
      <c r="O389" t="n">
        <v>0</v>
      </c>
      <c r="P389" t="n">
        <v>0</v>
      </c>
      <c r="Q389" t="n">
        <v>0</v>
      </c>
      <c r="R389" s="2" t="inlineStr"/>
    </row>
    <row r="390" ht="15" customHeight="1">
      <c r="A390" t="inlineStr">
        <is>
          <t>A 26118-2021</t>
        </is>
      </c>
      <c r="B390" s="1" t="n">
        <v>44345</v>
      </c>
      <c r="C390" s="1" t="n">
        <v>45728</v>
      </c>
      <c r="D390" t="inlineStr">
        <is>
          <t>ÖREBRO LÄN</t>
        </is>
      </c>
      <c r="E390" t="inlineStr">
        <is>
          <t>ÖREBRO</t>
        </is>
      </c>
      <c r="G390" t="n">
        <v>2.2</v>
      </c>
      <c r="H390" t="n">
        <v>0</v>
      </c>
      <c r="I390" t="n">
        <v>0</v>
      </c>
      <c r="J390" t="n">
        <v>0</v>
      </c>
      <c r="K390" t="n">
        <v>0</v>
      </c>
      <c r="L390" t="n">
        <v>0</v>
      </c>
      <c r="M390" t="n">
        <v>0</v>
      </c>
      <c r="N390" t="n">
        <v>0</v>
      </c>
      <c r="O390" t="n">
        <v>0</v>
      </c>
      <c r="P390" t="n">
        <v>0</v>
      </c>
      <c r="Q390" t="n">
        <v>0</v>
      </c>
      <c r="R390" s="2" t="inlineStr"/>
    </row>
    <row r="391" ht="15" customHeight="1">
      <c r="A391" t="inlineStr">
        <is>
          <t>A 26119-2021</t>
        </is>
      </c>
      <c r="B391" s="1" t="n">
        <v>44345</v>
      </c>
      <c r="C391" s="1" t="n">
        <v>45728</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26117-2021</t>
        </is>
      </c>
      <c r="B392" s="1" t="n">
        <v>44345</v>
      </c>
      <c r="C392" s="1" t="n">
        <v>45728</v>
      </c>
      <c r="D392" t="inlineStr">
        <is>
          <t>ÖREBRO LÄN</t>
        </is>
      </c>
      <c r="E392" t="inlineStr">
        <is>
          <t>ÖREBRO</t>
        </is>
      </c>
      <c r="G392" t="n">
        <v>8.1</v>
      </c>
      <c r="H392" t="n">
        <v>0</v>
      </c>
      <c r="I392" t="n">
        <v>0</v>
      </c>
      <c r="J392" t="n">
        <v>0</v>
      </c>
      <c r="K392" t="n">
        <v>0</v>
      </c>
      <c r="L392" t="n">
        <v>0</v>
      </c>
      <c r="M392" t="n">
        <v>0</v>
      </c>
      <c r="N392" t="n">
        <v>0</v>
      </c>
      <c r="O392" t="n">
        <v>0</v>
      </c>
      <c r="P392" t="n">
        <v>0</v>
      </c>
      <c r="Q392" t="n">
        <v>0</v>
      </c>
      <c r="R392" s="2" t="inlineStr"/>
    </row>
    <row r="393" ht="15" customHeight="1">
      <c r="A393" t="inlineStr">
        <is>
          <t>A 26153-2021</t>
        </is>
      </c>
      <c r="B393" s="1" t="n">
        <v>44347</v>
      </c>
      <c r="C393" s="1" t="n">
        <v>45728</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26338-2021</t>
        </is>
      </c>
      <c r="B394" s="1" t="n">
        <v>44347</v>
      </c>
      <c r="C394" s="1" t="n">
        <v>45728</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26509-2021</t>
        </is>
      </c>
      <c r="B395" s="1" t="n">
        <v>44348</v>
      </c>
      <c r="C395" s="1" t="n">
        <v>45728</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27141-2021</t>
        </is>
      </c>
      <c r="B396" s="1" t="n">
        <v>44350</v>
      </c>
      <c r="C396" s="1" t="n">
        <v>45728</v>
      </c>
      <c r="D396" t="inlineStr">
        <is>
          <t>ÖREBRO LÄN</t>
        </is>
      </c>
      <c r="E396" t="inlineStr">
        <is>
          <t>ÖREBRO</t>
        </is>
      </c>
      <c r="F396" t="inlineStr">
        <is>
          <t>Kommuner</t>
        </is>
      </c>
      <c r="G396" t="n">
        <v>1.6</v>
      </c>
      <c r="H396" t="n">
        <v>0</v>
      </c>
      <c r="I396" t="n">
        <v>0</v>
      </c>
      <c r="J396" t="n">
        <v>0</v>
      </c>
      <c r="K396" t="n">
        <v>0</v>
      </c>
      <c r="L396" t="n">
        <v>0</v>
      </c>
      <c r="M396" t="n">
        <v>0</v>
      </c>
      <c r="N396" t="n">
        <v>0</v>
      </c>
      <c r="O396" t="n">
        <v>0</v>
      </c>
      <c r="P396" t="n">
        <v>0</v>
      </c>
      <c r="Q396" t="n">
        <v>0</v>
      </c>
      <c r="R396" s="2" t="inlineStr"/>
    </row>
    <row r="397" ht="15" customHeight="1">
      <c r="A397" t="inlineStr">
        <is>
          <t>A 28689-2021</t>
        </is>
      </c>
      <c r="B397" s="1" t="n">
        <v>44357</v>
      </c>
      <c r="C397" s="1" t="n">
        <v>45728</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28870-2021</t>
        </is>
      </c>
      <c r="B398" s="1" t="n">
        <v>44357</v>
      </c>
      <c r="C398" s="1" t="n">
        <v>45728</v>
      </c>
      <c r="D398" t="inlineStr">
        <is>
          <t>ÖREBRO LÄN</t>
        </is>
      </c>
      <c r="E398" t="inlineStr">
        <is>
          <t>ÖREBRO</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29033-2021</t>
        </is>
      </c>
      <c r="B399" s="1" t="n">
        <v>44358</v>
      </c>
      <c r="C399" s="1" t="n">
        <v>45728</v>
      </c>
      <c r="D399" t="inlineStr">
        <is>
          <t>ÖREBRO LÄN</t>
        </is>
      </c>
      <c r="E399" t="inlineStr">
        <is>
          <t>ÖREBRO</t>
        </is>
      </c>
      <c r="F399" t="inlineStr">
        <is>
          <t>Kommuner</t>
        </is>
      </c>
      <c r="G399" t="n">
        <v>3.7</v>
      </c>
      <c r="H399" t="n">
        <v>0</v>
      </c>
      <c r="I399" t="n">
        <v>0</v>
      </c>
      <c r="J399" t="n">
        <v>0</v>
      </c>
      <c r="K399" t="n">
        <v>0</v>
      </c>
      <c r="L399" t="n">
        <v>0</v>
      </c>
      <c r="M399" t="n">
        <v>0</v>
      </c>
      <c r="N399" t="n">
        <v>0</v>
      </c>
      <c r="O399" t="n">
        <v>0</v>
      </c>
      <c r="P399" t="n">
        <v>0</v>
      </c>
      <c r="Q399" t="n">
        <v>0</v>
      </c>
      <c r="R399" s="2" t="inlineStr"/>
    </row>
    <row r="400" ht="15" customHeight="1">
      <c r="A400" t="inlineStr">
        <is>
          <t>A 31235-2021</t>
        </is>
      </c>
      <c r="B400" s="1" t="n">
        <v>44368</v>
      </c>
      <c r="C400" s="1" t="n">
        <v>45728</v>
      </c>
      <c r="D400" t="inlineStr">
        <is>
          <t>ÖREBRO LÄN</t>
        </is>
      </c>
      <c r="E400" t="inlineStr">
        <is>
          <t>ÖREBRO</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33779-2021</t>
        </is>
      </c>
      <c r="B401" s="1" t="n">
        <v>44378</v>
      </c>
      <c r="C401" s="1" t="n">
        <v>45728</v>
      </c>
      <c r="D401" t="inlineStr">
        <is>
          <t>ÖREBRO LÄN</t>
        </is>
      </c>
      <c r="E401" t="inlineStr">
        <is>
          <t>ÖREBRO</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33814-2021</t>
        </is>
      </c>
      <c r="B402" s="1" t="n">
        <v>44378</v>
      </c>
      <c r="C402" s="1" t="n">
        <v>45728</v>
      </c>
      <c r="D402" t="inlineStr">
        <is>
          <t>ÖREBRO LÄN</t>
        </is>
      </c>
      <c r="E402" t="inlineStr">
        <is>
          <t>ÖREBRO</t>
        </is>
      </c>
      <c r="F402" t="inlineStr">
        <is>
          <t>Kommuner</t>
        </is>
      </c>
      <c r="G402" t="n">
        <v>1.2</v>
      </c>
      <c r="H402" t="n">
        <v>0</v>
      </c>
      <c r="I402" t="n">
        <v>0</v>
      </c>
      <c r="J402" t="n">
        <v>0</v>
      </c>
      <c r="K402" t="n">
        <v>0</v>
      </c>
      <c r="L402" t="n">
        <v>0</v>
      </c>
      <c r="M402" t="n">
        <v>0</v>
      </c>
      <c r="N402" t="n">
        <v>0</v>
      </c>
      <c r="O402" t="n">
        <v>0</v>
      </c>
      <c r="P402" t="n">
        <v>0</v>
      </c>
      <c r="Q402" t="n">
        <v>0</v>
      </c>
      <c r="R402" s="2" t="inlineStr"/>
    </row>
    <row r="403" ht="15" customHeight="1">
      <c r="A403" t="inlineStr">
        <is>
          <t>A 33865-2021</t>
        </is>
      </c>
      <c r="B403" s="1" t="n">
        <v>44378</v>
      </c>
      <c r="C403" s="1" t="n">
        <v>45728</v>
      </c>
      <c r="D403" t="inlineStr">
        <is>
          <t>ÖREBRO LÄN</t>
        </is>
      </c>
      <c r="E403" t="inlineStr">
        <is>
          <t>ÖREBRO</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35836-2021</t>
        </is>
      </c>
      <c r="B404" s="1" t="n">
        <v>44386</v>
      </c>
      <c r="C404" s="1" t="n">
        <v>45728</v>
      </c>
      <c r="D404" t="inlineStr">
        <is>
          <t>ÖREBRO LÄN</t>
        </is>
      </c>
      <c r="E404" t="inlineStr">
        <is>
          <t>ÖREBRO</t>
        </is>
      </c>
      <c r="F404" t="inlineStr">
        <is>
          <t>Kommuner</t>
        </is>
      </c>
      <c r="G404" t="n">
        <v>2.1</v>
      </c>
      <c r="H404" t="n">
        <v>0</v>
      </c>
      <c r="I404" t="n">
        <v>0</v>
      </c>
      <c r="J404" t="n">
        <v>0</v>
      </c>
      <c r="K404" t="n">
        <v>0</v>
      </c>
      <c r="L404" t="n">
        <v>0</v>
      </c>
      <c r="M404" t="n">
        <v>0</v>
      </c>
      <c r="N404" t="n">
        <v>0</v>
      </c>
      <c r="O404" t="n">
        <v>0</v>
      </c>
      <c r="P404" t="n">
        <v>0</v>
      </c>
      <c r="Q404" t="n">
        <v>0</v>
      </c>
      <c r="R404" s="2" t="inlineStr"/>
    </row>
    <row r="405" ht="15" customHeight="1">
      <c r="A405" t="inlineStr">
        <is>
          <t>A 37395-2021</t>
        </is>
      </c>
      <c r="B405" s="1" t="n">
        <v>44398</v>
      </c>
      <c r="C405" s="1" t="n">
        <v>45728</v>
      </c>
      <c r="D405" t="inlineStr">
        <is>
          <t>ÖREBRO LÄN</t>
        </is>
      </c>
      <c r="E405" t="inlineStr">
        <is>
          <t>ÖREBRO</t>
        </is>
      </c>
      <c r="G405" t="n">
        <v>3</v>
      </c>
      <c r="H405" t="n">
        <v>0</v>
      </c>
      <c r="I405" t="n">
        <v>0</v>
      </c>
      <c r="J405" t="n">
        <v>0</v>
      </c>
      <c r="K405" t="n">
        <v>0</v>
      </c>
      <c r="L405" t="n">
        <v>0</v>
      </c>
      <c r="M405" t="n">
        <v>0</v>
      </c>
      <c r="N405" t="n">
        <v>0</v>
      </c>
      <c r="O405" t="n">
        <v>0</v>
      </c>
      <c r="P405" t="n">
        <v>0</v>
      </c>
      <c r="Q405" t="n">
        <v>0</v>
      </c>
      <c r="R405" s="2" t="inlineStr"/>
    </row>
    <row r="406" ht="15" customHeight="1">
      <c r="A406" t="inlineStr">
        <is>
          <t>A 38133-2021</t>
        </is>
      </c>
      <c r="B406" s="1" t="n">
        <v>44404</v>
      </c>
      <c r="C406" s="1" t="n">
        <v>45728</v>
      </c>
      <c r="D406" t="inlineStr">
        <is>
          <t>ÖREBRO LÄN</t>
        </is>
      </c>
      <c r="E406" t="inlineStr">
        <is>
          <t>ÖREBRO</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40312-2021</t>
        </is>
      </c>
      <c r="B407" s="1" t="n">
        <v>44419</v>
      </c>
      <c r="C407" s="1" t="n">
        <v>45728</v>
      </c>
      <c r="D407" t="inlineStr">
        <is>
          <t>ÖREBRO LÄN</t>
        </is>
      </c>
      <c r="E407" t="inlineStr">
        <is>
          <t>ÖREBRO</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40597-2021</t>
        </is>
      </c>
      <c r="B408" s="1" t="n">
        <v>44420</v>
      </c>
      <c r="C408" s="1" t="n">
        <v>45728</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40605-2021</t>
        </is>
      </c>
      <c r="B409" s="1" t="n">
        <v>44420</v>
      </c>
      <c r="C409" s="1" t="n">
        <v>45728</v>
      </c>
      <c r="D409" t="inlineStr">
        <is>
          <t>ÖREBRO LÄN</t>
        </is>
      </c>
      <c r="E409" t="inlineStr">
        <is>
          <t>ÖREBRO</t>
        </is>
      </c>
      <c r="G409" t="n">
        <v>2.3</v>
      </c>
      <c r="H409" t="n">
        <v>0</v>
      </c>
      <c r="I409" t="n">
        <v>0</v>
      </c>
      <c r="J409" t="n">
        <v>0</v>
      </c>
      <c r="K409" t="n">
        <v>0</v>
      </c>
      <c r="L409" t="n">
        <v>0</v>
      </c>
      <c r="M409" t="n">
        <v>0</v>
      </c>
      <c r="N409" t="n">
        <v>0</v>
      </c>
      <c r="O409" t="n">
        <v>0</v>
      </c>
      <c r="P409" t="n">
        <v>0</v>
      </c>
      <c r="Q409" t="n">
        <v>0</v>
      </c>
      <c r="R409" s="2" t="inlineStr"/>
    </row>
    <row r="410" ht="15" customHeight="1">
      <c r="A410" t="inlineStr">
        <is>
          <t>A 40588-2021</t>
        </is>
      </c>
      <c r="B410" s="1" t="n">
        <v>44420</v>
      </c>
      <c r="C410" s="1" t="n">
        <v>45728</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41326-2021</t>
        </is>
      </c>
      <c r="B411" s="1" t="n">
        <v>44424</v>
      </c>
      <c r="C411" s="1" t="n">
        <v>45728</v>
      </c>
      <c r="D411" t="inlineStr">
        <is>
          <t>ÖREBRO LÄN</t>
        </is>
      </c>
      <c r="E411" t="inlineStr">
        <is>
          <t>ÖREBRO</t>
        </is>
      </c>
      <c r="G411" t="n">
        <v>5.9</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v>
      </c>
      <c r="C412" s="1" t="n">
        <v>45728</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42777-2021</t>
        </is>
      </c>
      <c r="B413" s="1" t="n">
        <v>44428</v>
      </c>
      <c r="C413" s="1" t="n">
        <v>45728</v>
      </c>
      <c r="D413" t="inlineStr">
        <is>
          <t>ÖREBRO LÄN</t>
        </is>
      </c>
      <c r="E413" t="inlineStr">
        <is>
          <t>ÖREBRO</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44043-2021</t>
        </is>
      </c>
      <c r="B414" s="1" t="n">
        <v>44434</v>
      </c>
      <c r="C414" s="1" t="n">
        <v>45728</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44146-2021</t>
        </is>
      </c>
      <c r="B415" s="1" t="n">
        <v>44434</v>
      </c>
      <c r="C415" s="1" t="n">
        <v>45728</v>
      </c>
      <c r="D415" t="inlineStr">
        <is>
          <t>ÖREBRO LÄN</t>
        </is>
      </c>
      <c r="E415" t="inlineStr">
        <is>
          <t>ÖREBRO</t>
        </is>
      </c>
      <c r="G415" t="n">
        <v>1.7</v>
      </c>
      <c r="H415" t="n">
        <v>0</v>
      </c>
      <c r="I415" t="n">
        <v>0</v>
      </c>
      <c r="J415" t="n">
        <v>0</v>
      </c>
      <c r="K415" t="n">
        <v>0</v>
      </c>
      <c r="L415" t="n">
        <v>0</v>
      </c>
      <c r="M415" t="n">
        <v>0</v>
      </c>
      <c r="N415" t="n">
        <v>0</v>
      </c>
      <c r="O415" t="n">
        <v>0</v>
      </c>
      <c r="P415" t="n">
        <v>0</v>
      </c>
      <c r="Q415" t="n">
        <v>0</v>
      </c>
      <c r="R415" s="2" t="inlineStr"/>
    </row>
    <row r="416" ht="15" customHeight="1">
      <c r="A416" t="inlineStr">
        <is>
          <t>A 44560-2021</t>
        </is>
      </c>
      <c r="B416" s="1" t="n">
        <v>44435</v>
      </c>
      <c r="C416" s="1" t="n">
        <v>45728</v>
      </c>
      <c r="D416" t="inlineStr">
        <is>
          <t>ÖREBRO LÄN</t>
        </is>
      </c>
      <c r="E416" t="inlineStr">
        <is>
          <t>ÖREBRO</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46757-2021</t>
        </is>
      </c>
      <c r="B417" s="1" t="n">
        <v>44445</v>
      </c>
      <c r="C417" s="1" t="n">
        <v>45728</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47130-2021</t>
        </is>
      </c>
      <c r="B418" s="1" t="n">
        <v>44446</v>
      </c>
      <c r="C418" s="1" t="n">
        <v>45728</v>
      </c>
      <c r="D418" t="inlineStr">
        <is>
          <t>ÖREBRO LÄN</t>
        </is>
      </c>
      <c r="E418" t="inlineStr">
        <is>
          <t>ÖREBRO</t>
        </is>
      </c>
      <c r="G418" t="n">
        <v>7.9</v>
      </c>
      <c r="H418" t="n">
        <v>0</v>
      </c>
      <c r="I418" t="n">
        <v>0</v>
      </c>
      <c r="J418" t="n">
        <v>0</v>
      </c>
      <c r="K418" t="n">
        <v>0</v>
      </c>
      <c r="L418" t="n">
        <v>0</v>
      </c>
      <c r="M418" t="n">
        <v>0</v>
      </c>
      <c r="N418" t="n">
        <v>0</v>
      </c>
      <c r="O418" t="n">
        <v>0</v>
      </c>
      <c r="P418" t="n">
        <v>0</v>
      </c>
      <c r="Q418" t="n">
        <v>0</v>
      </c>
      <c r="R418" s="2" t="inlineStr"/>
    </row>
    <row r="419" ht="15" customHeight="1">
      <c r="A419" t="inlineStr">
        <is>
          <t>A 47973-2021</t>
        </is>
      </c>
      <c r="B419" s="1" t="n">
        <v>44449</v>
      </c>
      <c r="C419" s="1" t="n">
        <v>45728</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49016-2021</t>
        </is>
      </c>
      <c r="B420" s="1" t="n">
        <v>44453</v>
      </c>
      <c r="C420" s="1" t="n">
        <v>45728</v>
      </c>
      <c r="D420" t="inlineStr">
        <is>
          <t>ÖREBRO LÄN</t>
        </is>
      </c>
      <c r="E420" t="inlineStr">
        <is>
          <t>ÖREBRO</t>
        </is>
      </c>
      <c r="G420" t="n">
        <v>4.5</v>
      </c>
      <c r="H420" t="n">
        <v>0</v>
      </c>
      <c r="I420" t="n">
        <v>0</v>
      </c>
      <c r="J420" t="n">
        <v>0</v>
      </c>
      <c r="K420" t="n">
        <v>0</v>
      </c>
      <c r="L420" t="n">
        <v>0</v>
      </c>
      <c r="M420" t="n">
        <v>0</v>
      </c>
      <c r="N420" t="n">
        <v>0</v>
      </c>
      <c r="O420" t="n">
        <v>0</v>
      </c>
      <c r="P420" t="n">
        <v>0</v>
      </c>
      <c r="Q420" t="n">
        <v>0</v>
      </c>
      <c r="R420" s="2" t="inlineStr"/>
    </row>
    <row r="421" ht="15" customHeight="1">
      <c r="A421" t="inlineStr">
        <is>
          <t>A 51429-2021</t>
        </is>
      </c>
      <c r="B421" s="1" t="n">
        <v>44462</v>
      </c>
      <c r="C421" s="1" t="n">
        <v>45728</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52352-2021</t>
        </is>
      </c>
      <c r="B422" s="1" t="n">
        <v>44464</v>
      </c>
      <c r="C422" s="1" t="n">
        <v>45728</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55487-2021</t>
        </is>
      </c>
      <c r="B423" s="1" t="n">
        <v>44475</v>
      </c>
      <c r="C423" s="1" t="n">
        <v>45728</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57343-2021</t>
        </is>
      </c>
      <c r="B424" s="1" t="n">
        <v>44482</v>
      </c>
      <c r="C424" s="1" t="n">
        <v>45728</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57498-2021</t>
        </is>
      </c>
      <c r="B425" s="1" t="n">
        <v>44483</v>
      </c>
      <c r="C425" s="1" t="n">
        <v>45728</v>
      </c>
      <c r="D425" t="inlineStr">
        <is>
          <t>ÖREBRO LÄN</t>
        </is>
      </c>
      <c r="E425" t="inlineStr">
        <is>
          <t>ÖREBRO</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58138-2021</t>
        </is>
      </c>
      <c r="B426" s="1" t="n">
        <v>44487</v>
      </c>
      <c r="C426" s="1" t="n">
        <v>45728</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59584-2021</t>
        </is>
      </c>
      <c r="B427" s="1" t="n">
        <v>44491</v>
      </c>
      <c r="C427" s="1" t="n">
        <v>45728</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61232-2021</t>
        </is>
      </c>
      <c r="B428" s="1" t="n">
        <v>44498</v>
      </c>
      <c r="C428" s="1" t="n">
        <v>45728</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62794-2021</t>
        </is>
      </c>
      <c r="B429" s="1" t="n">
        <v>44504</v>
      </c>
      <c r="C429" s="1" t="n">
        <v>45728</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63247-2021</t>
        </is>
      </c>
      <c r="B430" s="1" t="n">
        <v>44505</v>
      </c>
      <c r="C430" s="1" t="n">
        <v>45728</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63890-2021</t>
        </is>
      </c>
      <c r="B431" s="1" t="n">
        <v>44509</v>
      </c>
      <c r="C431" s="1" t="n">
        <v>45728</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64523-2021</t>
        </is>
      </c>
      <c r="B432" s="1" t="n">
        <v>44511</v>
      </c>
      <c r="C432" s="1" t="n">
        <v>45728</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66000-2021</t>
        </is>
      </c>
      <c r="B433" s="1" t="n">
        <v>44517</v>
      </c>
      <c r="C433" s="1" t="n">
        <v>45728</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66559-2021</t>
        </is>
      </c>
      <c r="B434" s="1" t="n">
        <v>44519</v>
      </c>
      <c r="C434" s="1" t="n">
        <v>45728</v>
      </c>
      <c r="D434" t="inlineStr">
        <is>
          <t>ÖREBRO LÄN</t>
        </is>
      </c>
      <c r="E434" t="inlineStr">
        <is>
          <t>ÖREBRO</t>
        </is>
      </c>
      <c r="F434" t="inlineStr">
        <is>
          <t>Allmännings- och besparingsskogar</t>
        </is>
      </c>
      <c r="G434" t="n">
        <v>4.3</v>
      </c>
      <c r="H434" t="n">
        <v>0</v>
      </c>
      <c r="I434" t="n">
        <v>0</v>
      </c>
      <c r="J434" t="n">
        <v>0</v>
      </c>
      <c r="K434" t="n">
        <v>0</v>
      </c>
      <c r="L434" t="n">
        <v>0</v>
      </c>
      <c r="M434" t="n">
        <v>0</v>
      </c>
      <c r="N434" t="n">
        <v>0</v>
      </c>
      <c r="O434" t="n">
        <v>0</v>
      </c>
      <c r="P434" t="n">
        <v>0</v>
      </c>
      <c r="Q434" t="n">
        <v>0</v>
      </c>
      <c r="R434" s="2" t="inlineStr"/>
    </row>
    <row r="435" ht="15" customHeight="1">
      <c r="A435" t="inlineStr">
        <is>
          <t>A 66936-2021</t>
        </is>
      </c>
      <c r="B435" s="1" t="n">
        <v>44522</v>
      </c>
      <c r="C435" s="1" t="n">
        <v>45728</v>
      </c>
      <c r="D435" t="inlineStr">
        <is>
          <t>ÖREBRO LÄN</t>
        </is>
      </c>
      <c r="E435" t="inlineStr">
        <is>
          <t>ÖREBRO</t>
        </is>
      </c>
      <c r="G435" t="n">
        <v>6.8</v>
      </c>
      <c r="H435" t="n">
        <v>0</v>
      </c>
      <c r="I435" t="n">
        <v>0</v>
      </c>
      <c r="J435" t="n">
        <v>0</v>
      </c>
      <c r="K435" t="n">
        <v>0</v>
      </c>
      <c r="L435" t="n">
        <v>0</v>
      </c>
      <c r="M435" t="n">
        <v>0</v>
      </c>
      <c r="N435" t="n">
        <v>0</v>
      </c>
      <c r="O435" t="n">
        <v>0</v>
      </c>
      <c r="P435" t="n">
        <v>0</v>
      </c>
      <c r="Q435" t="n">
        <v>0</v>
      </c>
      <c r="R435" s="2" t="inlineStr"/>
    </row>
    <row r="436" ht="15" customHeight="1">
      <c r="A436" t="inlineStr">
        <is>
          <t>A 66970-2021</t>
        </is>
      </c>
      <c r="B436" s="1" t="n">
        <v>44522</v>
      </c>
      <c r="C436" s="1" t="n">
        <v>45728</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69733-2021</t>
        </is>
      </c>
      <c r="B437" s="1" t="n">
        <v>44532</v>
      </c>
      <c r="C437" s="1" t="n">
        <v>45728</v>
      </c>
      <c r="D437" t="inlineStr">
        <is>
          <t>ÖREBRO LÄN</t>
        </is>
      </c>
      <c r="E437" t="inlineStr">
        <is>
          <t>ÖREBRO</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70199-2021</t>
        </is>
      </c>
      <c r="B438" s="1" t="n">
        <v>44534</v>
      </c>
      <c r="C438" s="1" t="n">
        <v>45728</v>
      </c>
      <c r="D438" t="inlineStr">
        <is>
          <t>ÖREBRO LÄN</t>
        </is>
      </c>
      <c r="E438" t="inlineStr">
        <is>
          <t>ÖREBRO</t>
        </is>
      </c>
      <c r="G438" t="n">
        <v>4.1</v>
      </c>
      <c r="H438" t="n">
        <v>0</v>
      </c>
      <c r="I438" t="n">
        <v>0</v>
      </c>
      <c r="J438" t="n">
        <v>0</v>
      </c>
      <c r="K438" t="n">
        <v>0</v>
      </c>
      <c r="L438" t="n">
        <v>0</v>
      </c>
      <c r="M438" t="n">
        <v>0</v>
      </c>
      <c r="N438" t="n">
        <v>0</v>
      </c>
      <c r="O438" t="n">
        <v>0</v>
      </c>
      <c r="P438" t="n">
        <v>0</v>
      </c>
      <c r="Q438" t="n">
        <v>0</v>
      </c>
      <c r="R438" s="2" t="inlineStr"/>
    </row>
    <row r="439" ht="15" customHeight="1">
      <c r="A439" t="inlineStr">
        <is>
          <t>A 70289-2021</t>
        </is>
      </c>
      <c r="B439" s="1" t="n">
        <v>44536</v>
      </c>
      <c r="C439" s="1" t="n">
        <v>45728</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70707-2021</t>
        </is>
      </c>
      <c r="B440" s="1" t="n">
        <v>44537</v>
      </c>
      <c r="C440" s="1" t="n">
        <v>45728</v>
      </c>
      <c r="D440" t="inlineStr">
        <is>
          <t>ÖREBRO LÄN</t>
        </is>
      </c>
      <c r="E440" t="inlineStr">
        <is>
          <t>ÖREBRO</t>
        </is>
      </c>
      <c r="G440" t="n">
        <v>13.2</v>
      </c>
      <c r="H440" t="n">
        <v>0</v>
      </c>
      <c r="I440" t="n">
        <v>0</v>
      </c>
      <c r="J440" t="n">
        <v>0</v>
      </c>
      <c r="K440" t="n">
        <v>0</v>
      </c>
      <c r="L440" t="n">
        <v>0</v>
      </c>
      <c r="M440" t="n">
        <v>0</v>
      </c>
      <c r="N440" t="n">
        <v>0</v>
      </c>
      <c r="O440" t="n">
        <v>0</v>
      </c>
      <c r="P440" t="n">
        <v>0</v>
      </c>
      <c r="Q440" t="n">
        <v>0</v>
      </c>
      <c r="R440" s="2" t="inlineStr"/>
    </row>
    <row r="441" ht="15" customHeight="1">
      <c r="A441" t="inlineStr">
        <is>
          <t>A 70719-2021</t>
        </is>
      </c>
      <c r="B441" s="1" t="n">
        <v>44537</v>
      </c>
      <c r="C441" s="1" t="n">
        <v>45728</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45728</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70871-2021</t>
        </is>
      </c>
      <c r="B443" s="1" t="n">
        <v>44538</v>
      </c>
      <c r="C443" s="1" t="n">
        <v>45728</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71206-2021</t>
        </is>
      </c>
      <c r="B444" s="1" t="n">
        <v>44539</v>
      </c>
      <c r="C444" s="1" t="n">
        <v>45728</v>
      </c>
      <c r="D444" t="inlineStr">
        <is>
          <t>ÖREBRO LÄN</t>
        </is>
      </c>
      <c r="E444" t="inlineStr">
        <is>
          <t>ÖREBRO</t>
        </is>
      </c>
      <c r="G444" t="n">
        <v>2.5</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45728</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71293-2021</t>
        </is>
      </c>
      <c r="B446" s="1" t="n">
        <v>44539</v>
      </c>
      <c r="C446" s="1" t="n">
        <v>45728</v>
      </c>
      <c r="D446" t="inlineStr">
        <is>
          <t>ÖREBRO LÄN</t>
        </is>
      </c>
      <c r="E446" t="inlineStr">
        <is>
          <t>ÖREBRO</t>
        </is>
      </c>
      <c r="G446" t="n">
        <v>3.9</v>
      </c>
      <c r="H446" t="n">
        <v>0</v>
      </c>
      <c r="I446" t="n">
        <v>0</v>
      </c>
      <c r="J446" t="n">
        <v>0</v>
      </c>
      <c r="K446" t="n">
        <v>0</v>
      </c>
      <c r="L446" t="n">
        <v>0</v>
      </c>
      <c r="M446" t="n">
        <v>0</v>
      </c>
      <c r="N446" t="n">
        <v>0</v>
      </c>
      <c r="O446" t="n">
        <v>0</v>
      </c>
      <c r="P446" t="n">
        <v>0</v>
      </c>
      <c r="Q446" t="n">
        <v>0</v>
      </c>
      <c r="R446" s="2" t="inlineStr"/>
    </row>
    <row r="447" ht="15" customHeight="1">
      <c r="A447" t="inlineStr">
        <is>
          <t>A 71267-2021</t>
        </is>
      </c>
      <c r="B447" s="1" t="n">
        <v>44539</v>
      </c>
      <c r="C447" s="1" t="n">
        <v>45728</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71266-2021</t>
        </is>
      </c>
      <c r="B448" s="1" t="n">
        <v>44539</v>
      </c>
      <c r="C448" s="1" t="n">
        <v>45728</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71275-2021</t>
        </is>
      </c>
      <c r="B449" s="1" t="n">
        <v>44539</v>
      </c>
      <c r="C449" s="1" t="n">
        <v>45728</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71288-2021</t>
        </is>
      </c>
      <c r="B450" s="1" t="n">
        <v>44539</v>
      </c>
      <c r="C450" s="1" t="n">
        <v>45728</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71272-2021</t>
        </is>
      </c>
      <c r="B451" s="1" t="n">
        <v>44539</v>
      </c>
      <c r="C451" s="1" t="n">
        <v>45728</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71285-2021</t>
        </is>
      </c>
      <c r="B452" s="1" t="n">
        <v>44539</v>
      </c>
      <c r="C452" s="1" t="n">
        <v>45728</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71295-2021</t>
        </is>
      </c>
      <c r="B453" s="1" t="n">
        <v>44539</v>
      </c>
      <c r="C453" s="1" t="n">
        <v>45728</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71280-2021</t>
        </is>
      </c>
      <c r="B454" s="1" t="n">
        <v>44539</v>
      </c>
      <c r="C454" s="1" t="n">
        <v>45728</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71291-2021</t>
        </is>
      </c>
      <c r="B455" s="1" t="n">
        <v>44539</v>
      </c>
      <c r="C455" s="1" t="n">
        <v>45728</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72329-2021</t>
        </is>
      </c>
      <c r="B456" s="1" t="n">
        <v>44545</v>
      </c>
      <c r="C456" s="1" t="n">
        <v>45728</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72338-2021</t>
        </is>
      </c>
      <c r="B457" s="1" t="n">
        <v>44545</v>
      </c>
      <c r="C457" s="1" t="n">
        <v>45728</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73946-2021</t>
        </is>
      </c>
      <c r="B458" s="1" t="n">
        <v>44552</v>
      </c>
      <c r="C458" s="1" t="n">
        <v>45728</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797-2022</t>
        </is>
      </c>
      <c r="B459" s="1" t="n">
        <v>44566</v>
      </c>
      <c r="C459" s="1" t="n">
        <v>45728</v>
      </c>
      <c r="D459" t="inlineStr">
        <is>
          <t>ÖREBRO LÄN</t>
        </is>
      </c>
      <c r="E459" t="inlineStr">
        <is>
          <t>ÖREBRO</t>
        </is>
      </c>
      <c r="G459" t="n">
        <v>0.1</v>
      </c>
      <c r="H459" t="n">
        <v>0</v>
      </c>
      <c r="I459" t="n">
        <v>0</v>
      </c>
      <c r="J459" t="n">
        <v>0</v>
      </c>
      <c r="K459" t="n">
        <v>0</v>
      </c>
      <c r="L459" t="n">
        <v>0</v>
      </c>
      <c r="M459" t="n">
        <v>0</v>
      </c>
      <c r="N459" t="n">
        <v>0</v>
      </c>
      <c r="O459" t="n">
        <v>0</v>
      </c>
      <c r="P459" t="n">
        <v>0</v>
      </c>
      <c r="Q459" t="n">
        <v>0</v>
      </c>
      <c r="R459" s="2" t="inlineStr"/>
    </row>
    <row r="460" ht="15" customHeight="1">
      <c r="A460" t="inlineStr">
        <is>
          <t>A 1257-2022</t>
        </is>
      </c>
      <c r="B460" s="1" t="n">
        <v>44572</v>
      </c>
      <c r="C460" s="1" t="n">
        <v>45728</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1492-2022</t>
        </is>
      </c>
      <c r="B461" s="1" t="n">
        <v>44573</v>
      </c>
      <c r="C461" s="1" t="n">
        <v>45728</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2596-2022</t>
        </is>
      </c>
      <c r="B462" s="1" t="n">
        <v>44580</v>
      </c>
      <c r="C462" s="1" t="n">
        <v>45728</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3120-2022</t>
        </is>
      </c>
      <c r="B463" s="1" t="n">
        <v>44582</v>
      </c>
      <c r="C463" s="1" t="n">
        <v>45728</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3563-2022</t>
        </is>
      </c>
      <c r="B464" s="1" t="n">
        <v>44585</v>
      </c>
      <c r="C464" s="1" t="n">
        <v>45728</v>
      </c>
      <c r="D464" t="inlineStr">
        <is>
          <t>ÖREBRO LÄN</t>
        </is>
      </c>
      <c r="E464" t="inlineStr">
        <is>
          <t>ÖREBRO</t>
        </is>
      </c>
      <c r="G464" t="n">
        <v>3.8</v>
      </c>
      <c r="H464" t="n">
        <v>0</v>
      </c>
      <c r="I464" t="n">
        <v>0</v>
      </c>
      <c r="J464" t="n">
        <v>0</v>
      </c>
      <c r="K464" t="n">
        <v>0</v>
      </c>
      <c r="L464" t="n">
        <v>0</v>
      </c>
      <c r="M464" t="n">
        <v>0</v>
      </c>
      <c r="N464" t="n">
        <v>0</v>
      </c>
      <c r="O464" t="n">
        <v>0</v>
      </c>
      <c r="P464" t="n">
        <v>0</v>
      </c>
      <c r="Q464" t="n">
        <v>0</v>
      </c>
      <c r="R464" s="2" t="inlineStr"/>
    </row>
    <row r="465" ht="15" customHeight="1">
      <c r="A465" t="inlineStr">
        <is>
          <t>A 3652-2022</t>
        </is>
      </c>
      <c r="B465" s="1" t="n">
        <v>44586</v>
      </c>
      <c r="C465" s="1" t="n">
        <v>45728</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4761-2022</t>
        </is>
      </c>
      <c r="B466" s="1" t="n">
        <v>44592</v>
      </c>
      <c r="C466" s="1" t="n">
        <v>45728</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4766-2022</t>
        </is>
      </c>
      <c r="B467" s="1" t="n">
        <v>44592</v>
      </c>
      <c r="C467" s="1" t="n">
        <v>45728</v>
      </c>
      <c r="D467" t="inlineStr">
        <is>
          <t>ÖREBRO LÄN</t>
        </is>
      </c>
      <c r="E467" t="inlineStr">
        <is>
          <t>ÖREBRO</t>
        </is>
      </c>
      <c r="G467" t="n">
        <v>2.9</v>
      </c>
      <c r="H467" t="n">
        <v>0</v>
      </c>
      <c r="I467" t="n">
        <v>0</v>
      </c>
      <c r="J467" t="n">
        <v>0</v>
      </c>
      <c r="K467" t="n">
        <v>0</v>
      </c>
      <c r="L467" t="n">
        <v>0</v>
      </c>
      <c r="M467" t="n">
        <v>0</v>
      </c>
      <c r="N467" t="n">
        <v>0</v>
      </c>
      <c r="O467" t="n">
        <v>0</v>
      </c>
      <c r="P467" t="n">
        <v>0</v>
      </c>
      <c r="Q467" t="n">
        <v>0</v>
      </c>
      <c r="R467" s="2" t="inlineStr"/>
    </row>
    <row r="468" ht="15" customHeight="1">
      <c r="A468" t="inlineStr">
        <is>
          <t>A 4956-2022</t>
        </is>
      </c>
      <c r="B468" s="1" t="n">
        <v>44593</v>
      </c>
      <c r="C468" s="1" t="n">
        <v>45728</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4961-2022</t>
        </is>
      </c>
      <c r="B469" s="1" t="n">
        <v>44593</v>
      </c>
      <c r="C469" s="1" t="n">
        <v>45728</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4887-2022</t>
        </is>
      </c>
      <c r="B470" s="1" t="n">
        <v>44593</v>
      </c>
      <c r="C470" s="1" t="n">
        <v>45728</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v>
      </c>
      <c r="C471" s="1" t="n">
        <v>45728</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5026-2022</t>
        </is>
      </c>
      <c r="B472" s="1" t="n">
        <v>44593</v>
      </c>
      <c r="C472" s="1" t="n">
        <v>45728</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5401-2022</t>
        </is>
      </c>
      <c r="B473" s="1" t="n">
        <v>44595</v>
      </c>
      <c r="C473" s="1" t="n">
        <v>45728</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5398-2022</t>
        </is>
      </c>
      <c r="B474" s="1" t="n">
        <v>44595</v>
      </c>
      <c r="C474" s="1" t="n">
        <v>45728</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5764-2022</t>
        </is>
      </c>
      <c r="B475" s="1" t="n">
        <v>44596</v>
      </c>
      <c r="C475" s="1" t="n">
        <v>45728</v>
      </c>
      <c r="D475" t="inlineStr">
        <is>
          <t>ÖREBRO LÄN</t>
        </is>
      </c>
      <c r="E475" t="inlineStr">
        <is>
          <t>ÖREBRO</t>
        </is>
      </c>
      <c r="G475" t="n">
        <v>3.5</v>
      </c>
      <c r="H475" t="n">
        <v>0</v>
      </c>
      <c r="I475" t="n">
        <v>0</v>
      </c>
      <c r="J475" t="n">
        <v>0</v>
      </c>
      <c r="K475" t="n">
        <v>0</v>
      </c>
      <c r="L475" t="n">
        <v>0</v>
      </c>
      <c r="M475" t="n">
        <v>0</v>
      </c>
      <c r="N475" t="n">
        <v>0</v>
      </c>
      <c r="O475" t="n">
        <v>0</v>
      </c>
      <c r="P475" t="n">
        <v>0</v>
      </c>
      <c r="Q475" t="n">
        <v>0</v>
      </c>
      <c r="R475" s="2" t="inlineStr"/>
    </row>
    <row r="476" ht="15" customHeight="1">
      <c r="A476" t="inlineStr">
        <is>
          <t>A 6638-2022</t>
        </is>
      </c>
      <c r="B476" s="1" t="n">
        <v>44601</v>
      </c>
      <c r="C476" s="1" t="n">
        <v>45728</v>
      </c>
      <c r="D476" t="inlineStr">
        <is>
          <t>ÖREBRO LÄN</t>
        </is>
      </c>
      <c r="E476" t="inlineStr">
        <is>
          <t>ÖREBRO</t>
        </is>
      </c>
      <c r="G476" t="n">
        <v>3.3</v>
      </c>
      <c r="H476" t="n">
        <v>0</v>
      </c>
      <c r="I476" t="n">
        <v>0</v>
      </c>
      <c r="J476" t="n">
        <v>0</v>
      </c>
      <c r="K476" t="n">
        <v>0</v>
      </c>
      <c r="L476" t="n">
        <v>0</v>
      </c>
      <c r="M476" t="n">
        <v>0</v>
      </c>
      <c r="N476" t="n">
        <v>0</v>
      </c>
      <c r="O476" t="n">
        <v>0</v>
      </c>
      <c r="P476" t="n">
        <v>0</v>
      </c>
      <c r="Q476" t="n">
        <v>0</v>
      </c>
      <c r="R476" s="2" t="inlineStr"/>
    </row>
    <row r="477" ht="15" customHeight="1">
      <c r="A477" t="inlineStr">
        <is>
          <t>A 6752-2022</t>
        </is>
      </c>
      <c r="B477" s="1" t="n">
        <v>44602</v>
      </c>
      <c r="C477" s="1" t="n">
        <v>45728</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7365-2022</t>
        </is>
      </c>
      <c r="B478" s="1" t="n">
        <v>44606</v>
      </c>
      <c r="C478" s="1" t="n">
        <v>45728</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8022-2022</t>
        </is>
      </c>
      <c r="B479" s="1" t="n">
        <v>44609</v>
      </c>
      <c r="C479" s="1" t="n">
        <v>45728</v>
      </c>
      <c r="D479" t="inlineStr">
        <is>
          <t>ÖREBRO LÄN</t>
        </is>
      </c>
      <c r="E479" t="inlineStr">
        <is>
          <t>ÖREBRO</t>
        </is>
      </c>
      <c r="G479" t="n">
        <v>5.6</v>
      </c>
      <c r="H479" t="n">
        <v>0</v>
      </c>
      <c r="I479" t="n">
        <v>0</v>
      </c>
      <c r="J479" t="n">
        <v>0</v>
      </c>
      <c r="K479" t="n">
        <v>0</v>
      </c>
      <c r="L479" t="n">
        <v>0</v>
      </c>
      <c r="M479" t="n">
        <v>0</v>
      </c>
      <c r="N479" t="n">
        <v>0</v>
      </c>
      <c r="O479" t="n">
        <v>0</v>
      </c>
      <c r="P479" t="n">
        <v>0</v>
      </c>
      <c r="Q479" t="n">
        <v>0</v>
      </c>
      <c r="R479" s="2" t="inlineStr"/>
    </row>
    <row r="480" ht="15" customHeight="1">
      <c r="A480" t="inlineStr">
        <is>
          <t>A 8159-2022</t>
        </is>
      </c>
      <c r="B480" s="1" t="n">
        <v>44609</v>
      </c>
      <c r="C480" s="1" t="n">
        <v>45728</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8163-2022</t>
        </is>
      </c>
      <c r="B481" s="1" t="n">
        <v>44609</v>
      </c>
      <c r="C481" s="1" t="n">
        <v>45728</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8156-2022</t>
        </is>
      </c>
      <c r="B482" s="1" t="n">
        <v>44609</v>
      </c>
      <c r="C482" s="1" t="n">
        <v>45728</v>
      </c>
      <c r="D482" t="inlineStr">
        <is>
          <t>ÖREBRO LÄN</t>
        </is>
      </c>
      <c r="E482" t="inlineStr">
        <is>
          <t>ÖREBRO</t>
        </is>
      </c>
      <c r="G482" t="n">
        <v>3</v>
      </c>
      <c r="H482" t="n">
        <v>0</v>
      </c>
      <c r="I482" t="n">
        <v>0</v>
      </c>
      <c r="J482" t="n">
        <v>0</v>
      </c>
      <c r="K482" t="n">
        <v>0</v>
      </c>
      <c r="L482" t="n">
        <v>0</v>
      </c>
      <c r="M482" t="n">
        <v>0</v>
      </c>
      <c r="N482" t="n">
        <v>0</v>
      </c>
      <c r="O482" t="n">
        <v>0</v>
      </c>
      <c r="P482" t="n">
        <v>0</v>
      </c>
      <c r="Q482" t="n">
        <v>0</v>
      </c>
      <c r="R482" s="2" t="inlineStr"/>
    </row>
    <row r="483" ht="15" customHeight="1">
      <c r="A483" t="inlineStr">
        <is>
          <t>A 8884-2022</t>
        </is>
      </c>
      <c r="B483" s="1" t="n">
        <v>44614</v>
      </c>
      <c r="C483" s="1" t="n">
        <v>45728</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9395-2022</t>
        </is>
      </c>
      <c r="B484" s="1" t="n">
        <v>44616</v>
      </c>
      <c r="C484" s="1" t="n">
        <v>45728</v>
      </c>
      <c r="D484" t="inlineStr">
        <is>
          <t>ÖREBRO LÄN</t>
        </is>
      </c>
      <c r="E484" t="inlineStr">
        <is>
          <t>ÖREBRO</t>
        </is>
      </c>
      <c r="G484" t="n">
        <v>4.1</v>
      </c>
      <c r="H484" t="n">
        <v>0</v>
      </c>
      <c r="I484" t="n">
        <v>0</v>
      </c>
      <c r="J484" t="n">
        <v>0</v>
      </c>
      <c r="K484" t="n">
        <v>0</v>
      </c>
      <c r="L484" t="n">
        <v>0</v>
      </c>
      <c r="M484" t="n">
        <v>0</v>
      </c>
      <c r="N484" t="n">
        <v>0</v>
      </c>
      <c r="O484" t="n">
        <v>0</v>
      </c>
      <c r="P484" t="n">
        <v>0</v>
      </c>
      <c r="Q484" t="n">
        <v>0</v>
      </c>
      <c r="R484" s="2" t="inlineStr"/>
    </row>
    <row r="485" ht="15" customHeight="1">
      <c r="A485" t="inlineStr">
        <is>
          <t>A 9362-2022</t>
        </is>
      </c>
      <c r="B485" s="1" t="n">
        <v>44616</v>
      </c>
      <c r="C485" s="1" t="n">
        <v>45728</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9392-2022</t>
        </is>
      </c>
      <c r="B486" s="1" t="n">
        <v>44616</v>
      </c>
      <c r="C486" s="1" t="n">
        <v>45728</v>
      </c>
      <c r="D486" t="inlineStr">
        <is>
          <t>ÖREBRO LÄN</t>
        </is>
      </c>
      <c r="E486" t="inlineStr">
        <is>
          <t>ÖREBRO</t>
        </is>
      </c>
      <c r="G486" t="n">
        <v>10.9</v>
      </c>
      <c r="H486" t="n">
        <v>0</v>
      </c>
      <c r="I486" t="n">
        <v>0</v>
      </c>
      <c r="J486" t="n">
        <v>0</v>
      </c>
      <c r="K486" t="n">
        <v>0</v>
      </c>
      <c r="L486" t="n">
        <v>0</v>
      </c>
      <c r="M486" t="n">
        <v>0</v>
      </c>
      <c r="N486" t="n">
        <v>0</v>
      </c>
      <c r="O486" t="n">
        <v>0</v>
      </c>
      <c r="P486" t="n">
        <v>0</v>
      </c>
      <c r="Q486" t="n">
        <v>0</v>
      </c>
      <c r="R486" s="2" t="inlineStr"/>
    </row>
    <row r="487" ht="15" customHeight="1">
      <c r="A487" t="inlineStr">
        <is>
          <t>A 9397-2022</t>
        </is>
      </c>
      <c r="B487" s="1" t="n">
        <v>44616</v>
      </c>
      <c r="C487" s="1" t="n">
        <v>45728</v>
      </c>
      <c r="D487" t="inlineStr">
        <is>
          <t>ÖREBRO LÄN</t>
        </is>
      </c>
      <c r="E487" t="inlineStr">
        <is>
          <t>ÖREBRO</t>
        </is>
      </c>
      <c r="G487" t="n">
        <v>7.9</v>
      </c>
      <c r="H487" t="n">
        <v>0</v>
      </c>
      <c r="I487" t="n">
        <v>0</v>
      </c>
      <c r="J487" t="n">
        <v>0</v>
      </c>
      <c r="K487" t="n">
        <v>0</v>
      </c>
      <c r="L487" t="n">
        <v>0</v>
      </c>
      <c r="M487" t="n">
        <v>0</v>
      </c>
      <c r="N487" t="n">
        <v>0</v>
      </c>
      <c r="O487" t="n">
        <v>0</v>
      </c>
      <c r="P487" t="n">
        <v>0</v>
      </c>
      <c r="Q487" t="n">
        <v>0</v>
      </c>
      <c r="R487" s="2" t="inlineStr"/>
    </row>
    <row r="488" ht="15" customHeight="1">
      <c r="A488" t="inlineStr">
        <is>
          <t>A 10019-2022</t>
        </is>
      </c>
      <c r="B488" s="1" t="n">
        <v>44621</v>
      </c>
      <c r="C488" s="1" t="n">
        <v>45728</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11594-2022</t>
        </is>
      </c>
      <c r="B489" s="1" t="n">
        <v>44631</v>
      </c>
      <c r="C489" s="1" t="n">
        <v>45728</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11899-2022</t>
        </is>
      </c>
      <c r="B490" s="1" t="n">
        <v>44635</v>
      </c>
      <c r="C490" s="1" t="n">
        <v>45728</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12478-2022</t>
        </is>
      </c>
      <c r="B491" s="1" t="n">
        <v>44638</v>
      </c>
      <c r="C491" s="1" t="n">
        <v>45728</v>
      </c>
      <c r="D491" t="inlineStr">
        <is>
          <t>ÖREBRO LÄN</t>
        </is>
      </c>
      <c r="E491" t="inlineStr">
        <is>
          <t>ÖREBRO</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12990-2022</t>
        </is>
      </c>
      <c r="B492" s="1" t="n">
        <v>44643</v>
      </c>
      <c r="C492" s="1" t="n">
        <v>45728</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13045-2022</t>
        </is>
      </c>
      <c r="B493" s="1" t="n">
        <v>44643</v>
      </c>
      <c r="C493" s="1" t="n">
        <v>45728</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13511-2022</t>
        </is>
      </c>
      <c r="B494" s="1" t="n">
        <v>44647</v>
      </c>
      <c r="C494" s="1" t="n">
        <v>45728</v>
      </c>
      <c r="D494" t="inlineStr">
        <is>
          <t>ÖREBRO LÄN</t>
        </is>
      </c>
      <c r="E494" t="inlineStr">
        <is>
          <t>ÖREBRO</t>
        </is>
      </c>
      <c r="G494" t="n">
        <v>3</v>
      </c>
      <c r="H494" t="n">
        <v>0</v>
      </c>
      <c r="I494" t="n">
        <v>0</v>
      </c>
      <c r="J494" t="n">
        <v>0</v>
      </c>
      <c r="K494" t="n">
        <v>0</v>
      </c>
      <c r="L494" t="n">
        <v>0</v>
      </c>
      <c r="M494" t="n">
        <v>0</v>
      </c>
      <c r="N494" t="n">
        <v>0</v>
      </c>
      <c r="O494" t="n">
        <v>0</v>
      </c>
      <c r="P494" t="n">
        <v>0</v>
      </c>
      <c r="Q494" t="n">
        <v>0</v>
      </c>
      <c r="R494" s="2" t="inlineStr"/>
    </row>
    <row r="495" ht="15" customHeight="1">
      <c r="A495" t="inlineStr">
        <is>
          <t>A 13631-2022</t>
        </is>
      </c>
      <c r="B495" s="1" t="n">
        <v>44648</v>
      </c>
      <c r="C495" s="1" t="n">
        <v>45728</v>
      </c>
      <c r="D495" t="inlineStr">
        <is>
          <t>ÖREBRO LÄN</t>
        </is>
      </c>
      <c r="E495" t="inlineStr">
        <is>
          <t>ÖREBRO</t>
        </is>
      </c>
      <c r="G495" t="n">
        <v>10.4</v>
      </c>
      <c r="H495" t="n">
        <v>0</v>
      </c>
      <c r="I495" t="n">
        <v>0</v>
      </c>
      <c r="J495" t="n">
        <v>0</v>
      </c>
      <c r="K495" t="n">
        <v>0</v>
      </c>
      <c r="L495" t="n">
        <v>0</v>
      </c>
      <c r="M495" t="n">
        <v>0</v>
      </c>
      <c r="N495" t="n">
        <v>0</v>
      </c>
      <c r="O495" t="n">
        <v>0</v>
      </c>
      <c r="P495" t="n">
        <v>0</v>
      </c>
      <c r="Q495" t="n">
        <v>0</v>
      </c>
      <c r="R495" s="2" t="inlineStr"/>
    </row>
    <row r="496" ht="15" customHeight="1">
      <c r="A496" t="inlineStr">
        <is>
          <t>A 13856-2022</t>
        </is>
      </c>
      <c r="B496" s="1" t="n">
        <v>44649</v>
      </c>
      <c r="C496" s="1" t="n">
        <v>45728</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45728</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14562-2022</t>
        </is>
      </c>
      <c r="B498" s="1" t="n">
        <v>44655</v>
      </c>
      <c r="C498" s="1" t="n">
        <v>45728</v>
      </c>
      <c r="D498" t="inlineStr">
        <is>
          <t>ÖREBRO LÄN</t>
        </is>
      </c>
      <c r="E498" t="inlineStr">
        <is>
          <t>ÖREBRO</t>
        </is>
      </c>
      <c r="G498" t="n">
        <v>3.6</v>
      </c>
      <c r="H498" t="n">
        <v>0</v>
      </c>
      <c r="I498" t="n">
        <v>0</v>
      </c>
      <c r="J498" t="n">
        <v>0</v>
      </c>
      <c r="K498" t="n">
        <v>0</v>
      </c>
      <c r="L498" t="n">
        <v>0</v>
      </c>
      <c r="M498" t="n">
        <v>0</v>
      </c>
      <c r="N498" t="n">
        <v>0</v>
      </c>
      <c r="O498" t="n">
        <v>0</v>
      </c>
      <c r="P498" t="n">
        <v>0</v>
      </c>
      <c r="Q498" t="n">
        <v>0</v>
      </c>
      <c r="R498" s="2" t="inlineStr"/>
    </row>
    <row r="499" ht="15" customHeight="1">
      <c r="A499" t="inlineStr">
        <is>
          <t>A 14878-2022</t>
        </is>
      </c>
      <c r="B499" s="1" t="n">
        <v>44656</v>
      </c>
      <c r="C499" s="1" t="n">
        <v>45728</v>
      </c>
      <c r="D499" t="inlineStr">
        <is>
          <t>ÖREBRO LÄN</t>
        </is>
      </c>
      <c r="E499" t="inlineStr">
        <is>
          <t>ÖREBRO</t>
        </is>
      </c>
      <c r="G499" t="n">
        <v>5.4</v>
      </c>
      <c r="H499" t="n">
        <v>0</v>
      </c>
      <c r="I499" t="n">
        <v>0</v>
      </c>
      <c r="J499" t="n">
        <v>0</v>
      </c>
      <c r="K499" t="n">
        <v>0</v>
      </c>
      <c r="L499" t="n">
        <v>0</v>
      </c>
      <c r="M499" t="n">
        <v>0</v>
      </c>
      <c r="N499" t="n">
        <v>0</v>
      </c>
      <c r="O499" t="n">
        <v>0</v>
      </c>
      <c r="P499" t="n">
        <v>0</v>
      </c>
      <c r="Q499" t="n">
        <v>0</v>
      </c>
      <c r="R499" s="2" t="inlineStr"/>
    </row>
    <row r="500" ht="15" customHeight="1">
      <c r="A500" t="inlineStr">
        <is>
          <t>A 14877-2022</t>
        </is>
      </c>
      <c r="B500" s="1" t="n">
        <v>44656</v>
      </c>
      <c r="C500" s="1" t="n">
        <v>45728</v>
      </c>
      <c r="D500" t="inlineStr">
        <is>
          <t>ÖREBRO LÄN</t>
        </is>
      </c>
      <c r="E500" t="inlineStr">
        <is>
          <t>ÖREBRO</t>
        </is>
      </c>
      <c r="G500" t="n">
        <v>3.8</v>
      </c>
      <c r="H500" t="n">
        <v>0</v>
      </c>
      <c r="I500" t="n">
        <v>0</v>
      </c>
      <c r="J500" t="n">
        <v>0</v>
      </c>
      <c r="K500" t="n">
        <v>0</v>
      </c>
      <c r="L500" t="n">
        <v>0</v>
      </c>
      <c r="M500" t="n">
        <v>0</v>
      </c>
      <c r="N500" t="n">
        <v>0</v>
      </c>
      <c r="O500" t="n">
        <v>0</v>
      </c>
      <c r="P500" t="n">
        <v>0</v>
      </c>
      <c r="Q500" t="n">
        <v>0</v>
      </c>
      <c r="R500" s="2" t="inlineStr"/>
    </row>
    <row r="501" ht="15" customHeight="1">
      <c r="A501" t="inlineStr">
        <is>
          <t>A 15424-2022</t>
        </is>
      </c>
      <c r="B501" s="1" t="n">
        <v>44659</v>
      </c>
      <c r="C501" s="1" t="n">
        <v>45728</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15422-2022</t>
        </is>
      </c>
      <c r="B502" s="1" t="n">
        <v>44659</v>
      </c>
      <c r="C502" s="1" t="n">
        <v>45728</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15624-2022</t>
        </is>
      </c>
      <c r="B503" s="1" t="n">
        <v>44662</v>
      </c>
      <c r="C503" s="1" t="n">
        <v>45728</v>
      </c>
      <c r="D503" t="inlineStr">
        <is>
          <t>ÖREBRO LÄN</t>
        </is>
      </c>
      <c r="E503" t="inlineStr">
        <is>
          <t>ÖREBRO</t>
        </is>
      </c>
      <c r="F503" t="inlineStr">
        <is>
          <t>Övriga Aktiebolag</t>
        </is>
      </c>
      <c r="G503" t="n">
        <v>18.8</v>
      </c>
      <c r="H503" t="n">
        <v>0</v>
      </c>
      <c r="I503" t="n">
        <v>0</v>
      </c>
      <c r="J503" t="n">
        <v>0</v>
      </c>
      <c r="K503" t="n">
        <v>0</v>
      </c>
      <c r="L503" t="n">
        <v>0</v>
      </c>
      <c r="M503" t="n">
        <v>0</v>
      </c>
      <c r="N503" t="n">
        <v>0</v>
      </c>
      <c r="O503" t="n">
        <v>0</v>
      </c>
      <c r="P503" t="n">
        <v>0</v>
      </c>
      <c r="Q503" t="n">
        <v>0</v>
      </c>
      <c r="R503" s="2" t="inlineStr"/>
    </row>
    <row r="504" ht="15" customHeight="1">
      <c r="A504" t="inlineStr">
        <is>
          <t>A 15896-2022</t>
        </is>
      </c>
      <c r="B504" s="1" t="n">
        <v>44664</v>
      </c>
      <c r="C504" s="1" t="n">
        <v>45728</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15866-2022</t>
        </is>
      </c>
      <c r="B505" s="1" t="n">
        <v>44664</v>
      </c>
      <c r="C505" s="1" t="n">
        <v>45728</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16094-2022</t>
        </is>
      </c>
      <c r="B506" s="1" t="n">
        <v>44665</v>
      </c>
      <c r="C506" s="1" t="n">
        <v>45728</v>
      </c>
      <c r="D506" t="inlineStr">
        <is>
          <t>ÖREBRO LÄN</t>
        </is>
      </c>
      <c r="E506" t="inlineStr">
        <is>
          <t>ÖREBRO</t>
        </is>
      </c>
      <c r="F506" t="inlineStr">
        <is>
          <t>Allmännings- och besparingsskogar</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16258-2022</t>
        </is>
      </c>
      <c r="B507" s="1" t="n">
        <v>44670</v>
      </c>
      <c r="C507" s="1" t="n">
        <v>45728</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16261-2022</t>
        </is>
      </c>
      <c r="B508" s="1" t="n">
        <v>44670</v>
      </c>
      <c r="C508" s="1" t="n">
        <v>45728</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16300-2022</t>
        </is>
      </c>
      <c r="B509" s="1" t="n">
        <v>44670</v>
      </c>
      <c r="C509" s="1" t="n">
        <v>45728</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16374-2022</t>
        </is>
      </c>
      <c r="B510" s="1" t="n">
        <v>44671</v>
      </c>
      <c r="C510" s="1" t="n">
        <v>45728</v>
      </c>
      <c r="D510" t="inlineStr">
        <is>
          <t>ÖREBRO LÄN</t>
        </is>
      </c>
      <c r="E510" t="inlineStr">
        <is>
          <t>ÖREBRO</t>
        </is>
      </c>
      <c r="F510" t="inlineStr">
        <is>
          <t>Övriga Aktiebolag</t>
        </is>
      </c>
      <c r="G510" t="n">
        <v>30.3</v>
      </c>
      <c r="H510" t="n">
        <v>0</v>
      </c>
      <c r="I510" t="n">
        <v>0</v>
      </c>
      <c r="J510" t="n">
        <v>0</v>
      </c>
      <c r="K510" t="n">
        <v>0</v>
      </c>
      <c r="L510" t="n">
        <v>0</v>
      </c>
      <c r="M510" t="n">
        <v>0</v>
      </c>
      <c r="N510" t="n">
        <v>0</v>
      </c>
      <c r="O510" t="n">
        <v>0</v>
      </c>
      <c r="P510" t="n">
        <v>0</v>
      </c>
      <c r="Q510" t="n">
        <v>0</v>
      </c>
      <c r="R510" s="2" t="inlineStr"/>
    </row>
    <row r="511" ht="15" customHeight="1">
      <c r="A511" t="inlineStr">
        <is>
          <t>A 16759-2022</t>
        </is>
      </c>
      <c r="B511" s="1" t="n">
        <v>44673</v>
      </c>
      <c r="C511" s="1" t="n">
        <v>45728</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16732-2022</t>
        </is>
      </c>
      <c r="B512" s="1" t="n">
        <v>44673</v>
      </c>
      <c r="C512" s="1" t="n">
        <v>45728</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45728</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16958-2022</t>
        </is>
      </c>
      <c r="B514" s="1" t="n">
        <v>44676</v>
      </c>
      <c r="C514" s="1" t="n">
        <v>45728</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16969-2022</t>
        </is>
      </c>
      <c r="B515" s="1" t="n">
        <v>44676</v>
      </c>
      <c r="C515" s="1" t="n">
        <v>45728</v>
      </c>
      <c r="D515" t="inlineStr">
        <is>
          <t>ÖREBRO LÄN</t>
        </is>
      </c>
      <c r="E515" t="inlineStr">
        <is>
          <t>ÖREBRO</t>
        </is>
      </c>
      <c r="G515" t="n">
        <v>4.2</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45728</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17840-2022</t>
        </is>
      </c>
      <c r="B517" s="1" t="n">
        <v>44683</v>
      </c>
      <c r="C517" s="1" t="n">
        <v>45728</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18047-2022</t>
        </is>
      </c>
      <c r="B518" s="1" t="n">
        <v>44684</v>
      </c>
      <c r="C518" s="1" t="n">
        <v>45728</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18321-2022</t>
        </is>
      </c>
      <c r="B519" s="1" t="n">
        <v>44685</v>
      </c>
      <c r="C519" s="1" t="n">
        <v>45728</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18498-2022</t>
        </is>
      </c>
      <c r="B520" s="1" t="n">
        <v>44686</v>
      </c>
      <c r="C520" s="1" t="n">
        <v>45728</v>
      </c>
      <c r="D520" t="inlineStr">
        <is>
          <t>ÖREBRO LÄN</t>
        </is>
      </c>
      <c r="E520" t="inlineStr">
        <is>
          <t>ÖREBRO</t>
        </is>
      </c>
      <c r="G520" t="n">
        <v>2.7</v>
      </c>
      <c r="H520" t="n">
        <v>0</v>
      </c>
      <c r="I520" t="n">
        <v>0</v>
      </c>
      <c r="J520" t="n">
        <v>0</v>
      </c>
      <c r="K520" t="n">
        <v>0</v>
      </c>
      <c r="L520" t="n">
        <v>0</v>
      </c>
      <c r="M520" t="n">
        <v>0</v>
      </c>
      <c r="N520" t="n">
        <v>0</v>
      </c>
      <c r="O520" t="n">
        <v>0</v>
      </c>
      <c r="P520" t="n">
        <v>0</v>
      </c>
      <c r="Q520" t="n">
        <v>0</v>
      </c>
      <c r="R520" s="2" t="inlineStr"/>
    </row>
    <row r="521" ht="15" customHeight="1">
      <c r="A521" t="inlineStr">
        <is>
          <t>A 18674-2022</t>
        </is>
      </c>
      <c r="B521" s="1" t="n">
        <v>44687</v>
      </c>
      <c r="C521" s="1" t="n">
        <v>45728</v>
      </c>
      <c r="D521" t="inlineStr">
        <is>
          <t>ÖREBRO LÄN</t>
        </is>
      </c>
      <c r="E521" t="inlineStr">
        <is>
          <t>ÖREBRO</t>
        </is>
      </c>
      <c r="G521" t="n">
        <v>0.3</v>
      </c>
      <c r="H521" t="n">
        <v>0</v>
      </c>
      <c r="I521" t="n">
        <v>0</v>
      </c>
      <c r="J521" t="n">
        <v>0</v>
      </c>
      <c r="K521" t="n">
        <v>0</v>
      </c>
      <c r="L521" t="n">
        <v>0</v>
      </c>
      <c r="M521" t="n">
        <v>0</v>
      </c>
      <c r="N521" t="n">
        <v>0</v>
      </c>
      <c r="O521" t="n">
        <v>0</v>
      </c>
      <c r="P521" t="n">
        <v>0</v>
      </c>
      <c r="Q521" t="n">
        <v>0</v>
      </c>
      <c r="R521" s="2" t="inlineStr"/>
    </row>
    <row r="522" ht="15" customHeight="1">
      <c r="A522" t="inlineStr">
        <is>
          <t>A 19049-2022</t>
        </is>
      </c>
      <c r="B522" s="1" t="n">
        <v>44691</v>
      </c>
      <c r="C522" s="1" t="n">
        <v>45728</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19458-2022</t>
        </is>
      </c>
      <c r="B523" s="1" t="n">
        <v>44693</v>
      </c>
      <c r="C523" s="1" t="n">
        <v>45728</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19832-2022</t>
        </is>
      </c>
      <c r="B524" s="1" t="n">
        <v>44695</v>
      </c>
      <c r="C524" s="1" t="n">
        <v>45728</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19863-2022</t>
        </is>
      </c>
      <c r="B525" s="1" t="n">
        <v>44696</v>
      </c>
      <c r="C525" s="1" t="n">
        <v>45728</v>
      </c>
      <c r="D525" t="inlineStr">
        <is>
          <t>ÖREBRO LÄN</t>
        </is>
      </c>
      <c r="E525" t="inlineStr">
        <is>
          <t>ÖREBRO</t>
        </is>
      </c>
      <c r="G525" t="n">
        <v>4.6</v>
      </c>
      <c r="H525" t="n">
        <v>0</v>
      </c>
      <c r="I525" t="n">
        <v>0</v>
      </c>
      <c r="J525" t="n">
        <v>0</v>
      </c>
      <c r="K525" t="n">
        <v>0</v>
      </c>
      <c r="L525" t="n">
        <v>0</v>
      </c>
      <c r="M525" t="n">
        <v>0</v>
      </c>
      <c r="N525" t="n">
        <v>0</v>
      </c>
      <c r="O525" t="n">
        <v>0</v>
      </c>
      <c r="P525" t="n">
        <v>0</v>
      </c>
      <c r="Q525" t="n">
        <v>0</v>
      </c>
      <c r="R525" s="2" t="inlineStr"/>
    </row>
    <row r="526" ht="15" customHeight="1">
      <c r="A526" t="inlineStr">
        <is>
          <t>A 20922-2022</t>
        </is>
      </c>
      <c r="B526" s="1" t="n">
        <v>44701</v>
      </c>
      <c r="C526" s="1" t="n">
        <v>45728</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21109-2022</t>
        </is>
      </c>
      <c r="B527" s="1" t="n">
        <v>44704</v>
      </c>
      <c r="C527" s="1" t="n">
        <v>45728</v>
      </c>
      <c r="D527" t="inlineStr">
        <is>
          <t>ÖREBRO LÄN</t>
        </is>
      </c>
      <c r="E527" t="inlineStr">
        <is>
          <t>ÖREBRO</t>
        </is>
      </c>
      <c r="G527" t="n">
        <v>3.2</v>
      </c>
      <c r="H527" t="n">
        <v>0</v>
      </c>
      <c r="I527" t="n">
        <v>0</v>
      </c>
      <c r="J527" t="n">
        <v>0</v>
      </c>
      <c r="K527" t="n">
        <v>0</v>
      </c>
      <c r="L527" t="n">
        <v>0</v>
      </c>
      <c r="M527" t="n">
        <v>0</v>
      </c>
      <c r="N527" t="n">
        <v>0</v>
      </c>
      <c r="O527" t="n">
        <v>0</v>
      </c>
      <c r="P527" t="n">
        <v>0</v>
      </c>
      <c r="Q527" t="n">
        <v>0</v>
      </c>
      <c r="R527" s="2" t="inlineStr"/>
    </row>
    <row r="528" ht="15" customHeight="1">
      <c r="A528" t="inlineStr">
        <is>
          <t>A 21567-2022</t>
        </is>
      </c>
      <c r="B528" s="1" t="n">
        <v>44706</v>
      </c>
      <c r="C528" s="1" t="n">
        <v>45728</v>
      </c>
      <c r="D528" t="inlineStr">
        <is>
          <t>ÖREBRO LÄN</t>
        </is>
      </c>
      <c r="E528" t="inlineStr">
        <is>
          <t>ÖREBRO</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22153-2022</t>
        </is>
      </c>
      <c r="B529" s="1" t="n">
        <v>44712</v>
      </c>
      <c r="C529" s="1" t="n">
        <v>45728</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22677-2022</t>
        </is>
      </c>
      <c r="B530" s="1" t="n">
        <v>44714</v>
      </c>
      <c r="C530" s="1" t="n">
        <v>45728</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row>
    <row r="531" ht="15" customHeight="1">
      <c r="A531" t="inlineStr">
        <is>
          <t>A 23459-2022</t>
        </is>
      </c>
      <c r="B531" s="1" t="n">
        <v>44721</v>
      </c>
      <c r="C531" s="1" t="n">
        <v>45728</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23710-2022</t>
        </is>
      </c>
      <c r="B532" s="1" t="n">
        <v>44722</v>
      </c>
      <c r="C532" s="1" t="n">
        <v>45728</v>
      </c>
      <c r="D532" t="inlineStr">
        <is>
          <t>ÖREBRO LÄN</t>
        </is>
      </c>
      <c r="E532" t="inlineStr">
        <is>
          <t>ÖREBRO</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23741-2022</t>
        </is>
      </c>
      <c r="B533" s="1" t="n">
        <v>44722</v>
      </c>
      <c r="C533" s="1" t="n">
        <v>45728</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23939-2022</t>
        </is>
      </c>
      <c r="B534" s="1" t="n">
        <v>44722</v>
      </c>
      <c r="C534" s="1" t="n">
        <v>45728</v>
      </c>
      <c r="D534" t="inlineStr">
        <is>
          <t>ÖREBRO LÄN</t>
        </is>
      </c>
      <c r="E534" t="inlineStr">
        <is>
          <t>ÖREBRO</t>
        </is>
      </c>
      <c r="G534" t="n">
        <v>5.5</v>
      </c>
      <c r="H534" t="n">
        <v>0</v>
      </c>
      <c r="I534" t="n">
        <v>0</v>
      </c>
      <c r="J534" t="n">
        <v>0</v>
      </c>
      <c r="K534" t="n">
        <v>0</v>
      </c>
      <c r="L534" t="n">
        <v>0</v>
      </c>
      <c r="M534" t="n">
        <v>0</v>
      </c>
      <c r="N534" t="n">
        <v>0</v>
      </c>
      <c r="O534" t="n">
        <v>0</v>
      </c>
      <c r="P534" t="n">
        <v>0</v>
      </c>
      <c r="Q534" t="n">
        <v>0</v>
      </c>
      <c r="R534" s="2" t="inlineStr"/>
    </row>
    <row r="535" ht="15" customHeight="1">
      <c r="A535" t="inlineStr">
        <is>
          <t>A 24672-2022</t>
        </is>
      </c>
      <c r="B535" s="1" t="n">
        <v>44727</v>
      </c>
      <c r="C535" s="1" t="n">
        <v>45728</v>
      </c>
      <c r="D535" t="inlineStr">
        <is>
          <t>ÖREBRO LÄN</t>
        </is>
      </c>
      <c r="E535" t="inlineStr">
        <is>
          <t>ÖREBRO</t>
        </is>
      </c>
      <c r="G535" t="n">
        <v>6.9</v>
      </c>
      <c r="H535" t="n">
        <v>0</v>
      </c>
      <c r="I535" t="n">
        <v>0</v>
      </c>
      <c r="J535" t="n">
        <v>0</v>
      </c>
      <c r="K535" t="n">
        <v>0</v>
      </c>
      <c r="L535" t="n">
        <v>0</v>
      </c>
      <c r="M535" t="n">
        <v>0</v>
      </c>
      <c r="N535" t="n">
        <v>0</v>
      </c>
      <c r="O535" t="n">
        <v>0</v>
      </c>
      <c r="P535" t="n">
        <v>0</v>
      </c>
      <c r="Q535" t="n">
        <v>0</v>
      </c>
      <c r="R535" s="2" t="inlineStr"/>
    </row>
    <row r="536" ht="15" customHeight="1">
      <c r="A536" t="inlineStr">
        <is>
          <t>A 25597-2022</t>
        </is>
      </c>
      <c r="B536" s="1" t="n">
        <v>44732</v>
      </c>
      <c r="C536" s="1" t="n">
        <v>45728</v>
      </c>
      <c r="D536" t="inlineStr">
        <is>
          <t>ÖREBRO LÄN</t>
        </is>
      </c>
      <c r="E536" t="inlineStr">
        <is>
          <t>ÖREBRO</t>
        </is>
      </c>
      <c r="G536" t="n">
        <v>2.6</v>
      </c>
      <c r="H536" t="n">
        <v>0</v>
      </c>
      <c r="I536" t="n">
        <v>0</v>
      </c>
      <c r="J536" t="n">
        <v>0</v>
      </c>
      <c r="K536" t="n">
        <v>0</v>
      </c>
      <c r="L536" t="n">
        <v>0</v>
      </c>
      <c r="M536" t="n">
        <v>0</v>
      </c>
      <c r="N536" t="n">
        <v>0</v>
      </c>
      <c r="O536" t="n">
        <v>0</v>
      </c>
      <c r="P536" t="n">
        <v>0</v>
      </c>
      <c r="Q536" t="n">
        <v>0</v>
      </c>
      <c r="R536" s="2" t="inlineStr"/>
    </row>
    <row r="537" ht="15" customHeight="1">
      <c r="A537" t="inlineStr">
        <is>
          <t>A 25746-2022</t>
        </is>
      </c>
      <c r="B537" s="1" t="n">
        <v>44733</v>
      </c>
      <c r="C537" s="1" t="n">
        <v>45728</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26101-2022</t>
        </is>
      </c>
      <c r="B538" s="1" t="n">
        <v>44734</v>
      </c>
      <c r="C538" s="1" t="n">
        <v>45728</v>
      </c>
      <c r="D538" t="inlineStr">
        <is>
          <t>ÖREBRO LÄN</t>
        </is>
      </c>
      <c r="E538" t="inlineStr">
        <is>
          <t>ÖREBRO</t>
        </is>
      </c>
      <c r="G538" t="n">
        <v>15.8</v>
      </c>
      <c r="H538" t="n">
        <v>0</v>
      </c>
      <c r="I538" t="n">
        <v>0</v>
      </c>
      <c r="J538" t="n">
        <v>0</v>
      </c>
      <c r="K538" t="n">
        <v>0</v>
      </c>
      <c r="L538" t="n">
        <v>0</v>
      </c>
      <c r="M538" t="n">
        <v>0</v>
      </c>
      <c r="N538" t="n">
        <v>0</v>
      </c>
      <c r="O538" t="n">
        <v>0</v>
      </c>
      <c r="P538" t="n">
        <v>0</v>
      </c>
      <c r="Q538" t="n">
        <v>0</v>
      </c>
      <c r="R538" s="2" t="inlineStr"/>
    </row>
    <row r="539" ht="15" customHeight="1">
      <c r="A539" t="inlineStr">
        <is>
          <t>A 28054-2022</t>
        </is>
      </c>
      <c r="B539" s="1" t="n">
        <v>44746</v>
      </c>
      <c r="C539" s="1" t="n">
        <v>45728</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28706-2022</t>
        </is>
      </c>
      <c r="B540" s="1" t="n">
        <v>44748</v>
      </c>
      <c r="C540" s="1" t="n">
        <v>45728</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29108-2022</t>
        </is>
      </c>
      <c r="B541" s="1" t="n">
        <v>44750</v>
      </c>
      <c r="C541" s="1" t="n">
        <v>45728</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29138-2022</t>
        </is>
      </c>
      <c r="B542" s="1" t="n">
        <v>44750</v>
      </c>
      <c r="C542" s="1" t="n">
        <v>45728</v>
      </c>
      <c r="D542" t="inlineStr">
        <is>
          <t>ÖREBRO LÄN</t>
        </is>
      </c>
      <c r="E542" t="inlineStr">
        <is>
          <t>ÖREBRO</t>
        </is>
      </c>
      <c r="G542" t="n">
        <v>3.3</v>
      </c>
      <c r="H542" t="n">
        <v>0</v>
      </c>
      <c r="I542" t="n">
        <v>0</v>
      </c>
      <c r="J542" t="n">
        <v>0</v>
      </c>
      <c r="K542" t="n">
        <v>0</v>
      </c>
      <c r="L542" t="n">
        <v>0</v>
      </c>
      <c r="M542" t="n">
        <v>0</v>
      </c>
      <c r="N542" t="n">
        <v>0</v>
      </c>
      <c r="O542" t="n">
        <v>0</v>
      </c>
      <c r="P542" t="n">
        <v>0</v>
      </c>
      <c r="Q542" t="n">
        <v>0</v>
      </c>
      <c r="R542" s="2" t="inlineStr"/>
    </row>
    <row r="543" ht="15" customHeight="1">
      <c r="A543" t="inlineStr">
        <is>
          <t>A 29243-2022</t>
        </is>
      </c>
      <c r="B543" s="1" t="n">
        <v>44750</v>
      </c>
      <c r="C543" s="1" t="n">
        <v>45728</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29246-2022</t>
        </is>
      </c>
      <c r="B544" s="1" t="n">
        <v>44750</v>
      </c>
      <c r="C544" s="1" t="n">
        <v>45728</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29143-2022</t>
        </is>
      </c>
      <c r="B545" s="1" t="n">
        <v>44750</v>
      </c>
      <c r="C545" s="1" t="n">
        <v>45728</v>
      </c>
      <c r="D545" t="inlineStr">
        <is>
          <t>ÖREBRO LÄN</t>
        </is>
      </c>
      <c r="E545" t="inlineStr">
        <is>
          <t>ÖREBRO</t>
        </is>
      </c>
      <c r="G545" t="n">
        <v>5.6</v>
      </c>
      <c r="H545" t="n">
        <v>0</v>
      </c>
      <c r="I545" t="n">
        <v>0</v>
      </c>
      <c r="J545" t="n">
        <v>0</v>
      </c>
      <c r="K545" t="n">
        <v>0</v>
      </c>
      <c r="L545" t="n">
        <v>0</v>
      </c>
      <c r="M545" t="n">
        <v>0</v>
      </c>
      <c r="N545" t="n">
        <v>0</v>
      </c>
      <c r="O545" t="n">
        <v>0</v>
      </c>
      <c r="P545" t="n">
        <v>0</v>
      </c>
      <c r="Q545" t="n">
        <v>0</v>
      </c>
      <c r="R545" s="2" t="inlineStr"/>
    </row>
    <row r="546" ht="15" customHeight="1">
      <c r="A546" t="inlineStr">
        <is>
          <t>A 29490-2022</t>
        </is>
      </c>
      <c r="B546" s="1" t="n">
        <v>44753</v>
      </c>
      <c r="C546" s="1" t="n">
        <v>45728</v>
      </c>
      <c r="D546" t="inlineStr">
        <is>
          <t>ÖREBRO LÄN</t>
        </is>
      </c>
      <c r="E546" t="inlineStr">
        <is>
          <t>ÖREBRO</t>
        </is>
      </c>
      <c r="F546" t="inlineStr">
        <is>
          <t>Kommuner</t>
        </is>
      </c>
      <c r="G546" t="n">
        <v>0.3</v>
      </c>
      <c r="H546" t="n">
        <v>0</v>
      </c>
      <c r="I546" t="n">
        <v>0</v>
      </c>
      <c r="J546" t="n">
        <v>0</v>
      </c>
      <c r="K546" t="n">
        <v>0</v>
      </c>
      <c r="L546" t="n">
        <v>0</v>
      </c>
      <c r="M546" t="n">
        <v>0</v>
      </c>
      <c r="N546" t="n">
        <v>0</v>
      </c>
      <c r="O546" t="n">
        <v>0</v>
      </c>
      <c r="P546" t="n">
        <v>0</v>
      </c>
      <c r="Q546" t="n">
        <v>0</v>
      </c>
      <c r="R546" s="2" t="inlineStr"/>
    </row>
    <row r="547" ht="15" customHeight="1">
      <c r="A547" t="inlineStr">
        <is>
          <t>A 30472-2022</t>
        </is>
      </c>
      <c r="B547" s="1" t="n">
        <v>44761</v>
      </c>
      <c r="C547" s="1" t="n">
        <v>45728</v>
      </c>
      <c r="D547" t="inlineStr">
        <is>
          <t>ÖREBRO LÄN</t>
        </is>
      </c>
      <c r="E547" t="inlineStr">
        <is>
          <t>ÖREBRO</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30760-2022</t>
        </is>
      </c>
      <c r="B548" s="1" t="n">
        <v>44764</v>
      </c>
      <c r="C548" s="1" t="n">
        <v>45728</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30782-2022</t>
        </is>
      </c>
      <c r="B549" s="1" t="n">
        <v>44764</v>
      </c>
      <c r="C549" s="1" t="n">
        <v>45728</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32231-2022</t>
        </is>
      </c>
      <c r="B550" s="1" t="n">
        <v>44781</v>
      </c>
      <c r="C550" s="1" t="n">
        <v>45728</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32274-2022</t>
        </is>
      </c>
      <c r="B551" s="1" t="n">
        <v>44781</v>
      </c>
      <c r="C551" s="1" t="n">
        <v>45728</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32247-2022</t>
        </is>
      </c>
      <c r="B552" s="1" t="n">
        <v>44781</v>
      </c>
      <c r="C552" s="1" t="n">
        <v>45728</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34358-2022</t>
        </is>
      </c>
      <c r="B553" s="1" t="n">
        <v>44792</v>
      </c>
      <c r="C553" s="1" t="n">
        <v>45728</v>
      </c>
      <c r="D553" t="inlineStr">
        <is>
          <t>ÖREBRO LÄN</t>
        </is>
      </c>
      <c r="E553" t="inlineStr">
        <is>
          <t>ÖREBRO</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34874-2022</t>
        </is>
      </c>
      <c r="B554" s="1" t="n">
        <v>44796</v>
      </c>
      <c r="C554" s="1" t="n">
        <v>45728</v>
      </c>
      <c r="D554" t="inlineStr">
        <is>
          <t>ÖREBRO LÄN</t>
        </is>
      </c>
      <c r="E554" t="inlineStr">
        <is>
          <t>ÖREBRO</t>
        </is>
      </c>
      <c r="F554" t="inlineStr">
        <is>
          <t>Övriga Aktiebolag</t>
        </is>
      </c>
      <c r="G554" t="n">
        <v>2.3</v>
      </c>
      <c r="H554" t="n">
        <v>0</v>
      </c>
      <c r="I554" t="n">
        <v>0</v>
      </c>
      <c r="J554" t="n">
        <v>0</v>
      </c>
      <c r="K554" t="n">
        <v>0</v>
      </c>
      <c r="L554" t="n">
        <v>0</v>
      </c>
      <c r="M554" t="n">
        <v>0</v>
      </c>
      <c r="N554" t="n">
        <v>0</v>
      </c>
      <c r="O554" t="n">
        <v>0</v>
      </c>
      <c r="P554" t="n">
        <v>0</v>
      </c>
      <c r="Q554" t="n">
        <v>0</v>
      </c>
      <c r="R554" s="2" t="inlineStr"/>
    </row>
    <row r="555" ht="15" customHeight="1">
      <c r="A555" t="inlineStr">
        <is>
          <t>A 35843-2022</t>
        </is>
      </c>
      <c r="B555" s="1" t="n">
        <v>44802</v>
      </c>
      <c r="C555" s="1" t="n">
        <v>45728</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36794-2022</t>
        </is>
      </c>
      <c r="B556" s="1" t="n">
        <v>44805</v>
      </c>
      <c r="C556" s="1" t="n">
        <v>45728</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37270-2022</t>
        </is>
      </c>
      <c r="B557" s="1" t="n">
        <v>44807</v>
      </c>
      <c r="C557" s="1" t="n">
        <v>45728</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37277-2022</t>
        </is>
      </c>
      <c r="B558" s="1" t="n">
        <v>44807</v>
      </c>
      <c r="C558" s="1" t="n">
        <v>45728</v>
      </c>
      <c r="D558" t="inlineStr">
        <is>
          <t>ÖREBRO LÄN</t>
        </is>
      </c>
      <c r="E558" t="inlineStr">
        <is>
          <t>ÖREBRO</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37272-2022</t>
        </is>
      </c>
      <c r="B559" s="1" t="n">
        <v>44807</v>
      </c>
      <c r="C559" s="1" t="n">
        <v>45728</v>
      </c>
      <c r="D559" t="inlineStr">
        <is>
          <t>ÖREBRO LÄN</t>
        </is>
      </c>
      <c r="E559" t="inlineStr">
        <is>
          <t>ÖREBRO</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37271-2022</t>
        </is>
      </c>
      <c r="B560" s="1" t="n">
        <v>44807</v>
      </c>
      <c r="C560" s="1" t="n">
        <v>45728</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37268-2022</t>
        </is>
      </c>
      <c r="B561" s="1" t="n">
        <v>44807</v>
      </c>
      <c r="C561" s="1" t="n">
        <v>45728</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37276-2022</t>
        </is>
      </c>
      <c r="B562" s="1" t="n">
        <v>44807</v>
      </c>
      <c r="C562" s="1" t="n">
        <v>45728</v>
      </c>
      <c r="D562" t="inlineStr">
        <is>
          <t>ÖREBRO LÄN</t>
        </is>
      </c>
      <c r="E562" t="inlineStr">
        <is>
          <t>ÖREBRO</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38075-2022</t>
        </is>
      </c>
      <c r="B563" s="1" t="n">
        <v>44811</v>
      </c>
      <c r="C563" s="1" t="n">
        <v>45728</v>
      </c>
      <c r="D563" t="inlineStr">
        <is>
          <t>ÖREBRO LÄN</t>
        </is>
      </c>
      <c r="E563" t="inlineStr">
        <is>
          <t>ÖREBRO</t>
        </is>
      </c>
      <c r="G563" t="n">
        <v>0.2</v>
      </c>
      <c r="H563" t="n">
        <v>0</v>
      </c>
      <c r="I563" t="n">
        <v>0</v>
      </c>
      <c r="J563" t="n">
        <v>0</v>
      </c>
      <c r="K563" t="n">
        <v>0</v>
      </c>
      <c r="L563" t="n">
        <v>0</v>
      </c>
      <c r="M563" t="n">
        <v>0</v>
      </c>
      <c r="N563" t="n">
        <v>0</v>
      </c>
      <c r="O563" t="n">
        <v>0</v>
      </c>
      <c r="P563" t="n">
        <v>0</v>
      </c>
      <c r="Q563" t="n">
        <v>0</v>
      </c>
      <c r="R563" s="2" t="inlineStr"/>
    </row>
    <row r="564" ht="15" customHeight="1">
      <c r="A564" t="inlineStr">
        <is>
          <t>A 38864-2022</t>
        </is>
      </c>
      <c r="B564" s="1" t="n">
        <v>44814</v>
      </c>
      <c r="C564" s="1" t="n">
        <v>45728</v>
      </c>
      <c r="D564" t="inlineStr">
        <is>
          <t>ÖREBRO LÄN</t>
        </is>
      </c>
      <c r="E564" t="inlineStr">
        <is>
          <t>ÖREBRO</t>
        </is>
      </c>
      <c r="G564" t="n">
        <v>2.5</v>
      </c>
      <c r="H564" t="n">
        <v>0</v>
      </c>
      <c r="I564" t="n">
        <v>0</v>
      </c>
      <c r="J564" t="n">
        <v>0</v>
      </c>
      <c r="K564" t="n">
        <v>0</v>
      </c>
      <c r="L564" t="n">
        <v>0</v>
      </c>
      <c r="M564" t="n">
        <v>0</v>
      </c>
      <c r="N564" t="n">
        <v>0</v>
      </c>
      <c r="O564" t="n">
        <v>0</v>
      </c>
      <c r="P564" t="n">
        <v>0</v>
      </c>
      <c r="Q564" t="n">
        <v>0</v>
      </c>
      <c r="R564" s="2" t="inlineStr"/>
    </row>
    <row r="565" ht="15" customHeight="1">
      <c r="A565" t="inlineStr">
        <is>
          <t>A 38842-2022</t>
        </is>
      </c>
      <c r="B565" s="1" t="n">
        <v>44814</v>
      </c>
      <c r="C565" s="1" t="n">
        <v>45728</v>
      </c>
      <c r="D565" t="inlineStr">
        <is>
          <t>ÖREBRO LÄN</t>
        </is>
      </c>
      <c r="E565" t="inlineStr">
        <is>
          <t>ÖREBRO</t>
        </is>
      </c>
      <c r="G565" t="n">
        <v>5</v>
      </c>
      <c r="H565" t="n">
        <v>0</v>
      </c>
      <c r="I565" t="n">
        <v>0</v>
      </c>
      <c r="J565" t="n">
        <v>0</v>
      </c>
      <c r="K565" t="n">
        <v>0</v>
      </c>
      <c r="L565" t="n">
        <v>0</v>
      </c>
      <c r="M565" t="n">
        <v>0</v>
      </c>
      <c r="N565" t="n">
        <v>0</v>
      </c>
      <c r="O565" t="n">
        <v>0</v>
      </c>
      <c r="P565" t="n">
        <v>0</v>
      </c>
      <c r="Q565" t="n">
        <v>0</v>
      </c>
      <c r="R565" s="2" t="inlineStr"/>
    </row>
    <row r="566" ht="15" customHeight="1">
      <c r="A566" t="inlineStr">
        <is>
          <t>A 40231-2022</t>
        </is>
      </c>
      <c r="B566" s="1" t="n">
        <v>44820</v>
      </c>
      <c r="C566" s="1" t="n">
        <v>45728</v>
      </c>
      <c r="D566" t="inlineStr">
        <is>
          <t>ÖREBRO LÄN</t>
        </is>
      </c>
      <c r="E566" t="inlineStr">
        <is>
          <t>ÖREBRO</t>
        </is>
      </c>
      <c r="F566" t="inlineStr">
        <is>
          <t>Allmännings- och besparingsskogar</t>
        </is>
      </c>
      <c r="G566" t="n">
        <v>2.2</v>
      </c>
      <c r="H566" t="n">
        <v>0</v>
      </c>
      <c r="I566" t="n">
        <v>0</v>
      </c>
      <c r="J566" t="n">
        <v>0</v>
      </c>
      <c r="K566" t="n">
        <v>0</v>
      </c>
      <c r="L566" t="n">
        <v>0</v>
      </c>
      <c r="M566" t="n">
        <v>0</v>
      </c>
      <c r="N566" t="n">
        <v>0</v>
      </c>
      <c r="O566" t="n">
        <v>0</v>
      </c>
      <c r="P566" t="n">
        <v>0</v>
      </c>
      <c r="Q566" t="n">
        <v>0</v>
      </c>
      <c r="R566" s="2" t="inlineStr"/>
    </row>
    <row r="567" ht="15" customHeight="1">
      <c r="A567" t="inlineStr">
        <is>
          <t>A 41553-2022</t>
        </is>
      </c>
      <c r="B567" s="1" t="n">
        <v>44827</v>
      </c>
      <c r="C567" s="1" t="n">
        <v>45728</v>
      </c>
      <c r="D567" t="inlineStr">
        <is>
          <t>ÖREBRO LÄN</t>
        </is>
      </c>
      <c r="E567" t="inlineStr">
        <is>
          <t>ÖREBRO</t>
        </is>
      </c>
      <c r="G567" t="n">
        <v>3.7</v>
      </c>
      <c r="H567" t="n">
        <v>0</v>
      </c>
      <c r="I567" t="n">
        <v>0</v>
      </c>
      <c r="J567" t="n">
        <v>0</v>
      </c>
      <c r="K567" t="n">
        <v>0</v>
      </c>
      <c r="L567" t="n">
        <v>0</v>
      </c>
      <c r="M567" t="n">
        <v>0</v>
      </c>
      <c r="N567" t="n">
        <v>0</v>
      </c>
      <c r="O567" t="n">
        <v>0</v>
      </c>
      <c r="P567" t="n">
        <v>0</v>
      </c>
      <c r="Q567" t="n">
        <v>0</v>
      </c>
      <c r="R567" s="2" t="inlineStr"/>
    </row>
    <row r="568" ht="15" customHeight="1">
      <c r="A568" t="inlineStr">
        <is>
          <t>A 41894-2022</t>
        </is>
      </c>
      <c r="B568" s="1" t="n">
        <v>44830</v>
      </c>
      <c r="C568" s="1" t="n">
        <v>45728</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v>
      </c>
      <c r="C569" s="1" t="n">
        <v>45728</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42618-2022</t>
        </is>
      </c>
      <c r="B570" s="1" t="n">
        <v>44831</v>
      </c>
      <c r="C570" s="1" t="n">
        <v>45728</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42623-2022</t>
        </is>
      </c>
      <c r="B571" s="1" t="n">
        <v>44831</v>
      </c>
      <c r="C571" s="1" t="n">
        <v>45728</v>
      </c>
      <c r="D571" t="inlineStr">
        <is>
          <t>ÖREBRO LÄN</t>
        </is>
      </c>
      <c r="E571" t="inlineStr">
        <is>
          <t>ÖREBRO</t>
        </is>
      </c>
      <c r="G571" t="n">
        <v>3.6</v>
      </c>
      <c r="H571" t="n">
        <v>0</v>
      </c>
      <c r="I571" t="n">
        <v>0</v>
      </c>
      <c r="J571" t="n">
        <v>0</v>
      </c>
      <c r="K571" t="n">
        <v>0</v>
      </c>
      <c r="L571" t="n">
        <v>0</v>
      </c>
      <c r="M571" t="n">
        <v>0</v>
      </c>
      <c r="N571" t="n">
        <v>0</v>
      </c>
      <c r="O571" t="n">
        <v>0</v>
      </c>
      <c r="P571" t="n">
        <v>0</v>
      </c>
      <c r="Q571" t="n">
        <v>0</v>
      </c>
      <c r="R571" s="2" t="inlineStr"/>
    </row>
    <row r="572" ht="15" customHeight="1">
      <c r="A572" t="inlineStr">
        <is>
          <t>A 43391-2022</t>
        </is>
      </c>
      <c r="B572" s="1" t="n">
        <v>44834</v>
      </c>
      <c r="C572" s="1" t="n">
        <v>45728</v>
      </c>
      <c r="D572" t="inlineStr">
        <is>
          <t>ÖREBRO LÄN</t>
        </is>
      </c>
      <c r="E572" t="inlineStr">
        <is>
          <t>ÖREBRO</t>
        </is>
      </c>
      <c r="G572" t="n">
        <v>3.4</v>
      </c>
      <c r="H572" t="n">
        <v>0</v>
      </c>
      <c r="I572" t="n">
        <v>0</v>
      </c>
      <c r="J572" t="n">
        <v>0</v>
      </c>
      <c r="K572" t="n">
        <v>0</v>
      </c>
      <c r="L572" t="n">
        <v>0</v>
      </c>
      <c r="M572" t="n">
        <v>0</v>
      </c>
      <c r="N572" t="n">
        <v>0</v>
      </c>
      <c r="O572" t="n">
        <v>0</v>
      </c>
      <c r="P572" t="n">
        <v>0</v>
      </c>
      <c r="Q572" t="n">
        <v>0</v>
      </c>
      <c r="R572" s="2" t="inlineStr"/>
    </row>
    <row r="573" ht="15" customHeight="1">
      <c r="A573" t="inlineStr">
        <is>
          <t>A 43399-2022</t>
        </is>
      </c>
      <c r="B573" s="1" t="n">
        <v>44834</v>
      </c>
      <c r="C573" s="1" t="n">
        <v>45728</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43612-2022</t>
        </is>
      </c>
      <c r="B574" s="1" t="n">
        <v>44837</v>
      </c>
      <c r="C574" s="1" t="n">
        <v>45728</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44165-2022</t>
        </is>
      </c>
      <c r="B575" s="1" t="n">
        <v>44839</v>
      </c>
      <c r="C575" s="1" t="n">
        <v>45728</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44271-2022</t>
        </is>
      </c>
      <c r="B576" s="1" t="n">
        <v>44839</v>
      </c>
      <c r="C576" s="1" t="n">
        <v>45728</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44295-2022</t>
        </is>
      </c>
      <c r="B577" s="1" t="n">
        <v>44839</v>
      </c>
      <c r="C577" s="1" t="n">
        <v>45728</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44364-2022</t>
        </is>
      </c>
      <c r="B578" s="1" t="n">
        <v>44839</v>
      </c>
      <c r="C578" s="1" t="n">
        <v>45728</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44131-2022</t>
        </is>
      </c>
      <c r="B579" s="1" t="n">
        <v>44839</v>
      </c>
      <c r="C579" s="1" t="n">
        <v>45728</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44279-2022</t>
        </is>
      </c>
      <c r="B580" s="1" t="n">
        <v>44839</v>
      </c>
      <c r="C580" s="1" t="n">
        <v>45728</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v>
      </c>
      <c r="C581" s="1" t="n">
        <v>45728</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46266-2022</t>
        </is>
      </c>
      <c r="B582" s="1" t="n">
        <v>44847</v>
      </c>
      <c r="C582" s="1" t="n">
        <v>45728</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46271-2022</t>
        </is>
      </c>
      <c r="B583" s="1" t="n">
        <v>44847</v>
      </c>
      <c r="C583" s="1" t="n">
        <v>45728</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46834-2022</t>
        </is>
      </c>
      <c r="B584" s="1" t="n">
        <v>44851</v>
      </c>
      <c r="C584" s="1" t="n">
        <v>45728</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47047-2022</t>
        </is>
      </c>
      <c r="B585" s="1" t="n">
        <v>44852</v>
      </c>
      <c r="C585" s="1" t="n">
        <v>45728</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48008-2022</t>
        </is>
      </c>
      <c r="B586" s="1" t="n">
        <v>44855</v>
      </c>
      <c r="C586" s="1" t="n">
        <v>45728</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48021-2022</t>
        </is>
      </c>
      <c r="B587" s="1" t="n">
        <v>44855</v>
      </c>
      <c r="C587" s="1" t="n">
        <v>45728</v>
      </c>
      <c r="D587" t="inlineStr">
        <is>
          <t>ÖREBRO LÄN</t>
        </is>
      </c>
      <c r="E587" t="inlineStr">
        <is>
          <t>ÖREBRO</t>
        </is>
      </c>
      <c r="G587" t="n">
        <v>4.5</v>
      </c>
      <c r="H587" t="n">
        <v>0</v>
      </c>
      <c r="I587" t="n">
        <v>0</v>
      </c>
      <c r="J587" t="n">
        <v>0</v>
      </c>
      <c r="K587" t="n">
        <v>0</v>
      </c>
      <c r="L587" t="n">
        <v>0</v>
      </c>
      <c r="M587" t="n">
        <v>0</v>
      </c>
      <c r="N587" t="n">
        <v>0</v>
      </c>
      <c r="O587" t="n">
        <v>0</v>
      </c>
      <c r="P587" t="n">
        <v>0</v>
      </c>
      <c r="Q587" t="n">
        <v>0</v>
      </c>
      <c r="R587" s="2" t="inlineStr"/>
    </row>
    <row r="588" ht="15" customHeight="1">
      <c r="A588" t="inlineStr">
        <is>
          <t>A 49228-2022</t>
        </is>
      </c>
      <c r="B588" s="1" t="n">
        <v>44861</v>
      </c>
      <c r="C588" s="1" t="n">
        <v>45728</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49495-2022</t>
        </is>
      </c>
      <c r="B589" s="1" t="n">
        <v>44861</v>
      </c>
      <c r="C589" s="1" t="n">
        <v>45728</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50398-2022</t>
        </is>
      </c>
      <c r="B590" s="1" t="n">
        <v>44861</v>
      </c>
      <c r="C590" s="1" t="n">
        <v>45728</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51103-2022</t>
        </is>
      </c>
      <c r="B591" s="1" t="n">
        <v>44868</v>
      </c>
      <c r="C591" s="1" t="n">
        <v>45728</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51268-2022</t>
        </is>
      </c>
      <c r="B592" s="1" t="n">
        <v>44868</v>
      </c>
      <c r="C592" s="1" t="n">
        <v>45728</v>
      </c>
      <c r="D592" t="inlineStr">
        <is>
          <t>ÖREBRO LÄN</t>
        </is>
      </c>
      <c r="E592" t="inlineStr">
        <is>
          <t>ÖREBRO</t>
        </is>
      </c>
      <c r="G592" t="n">
        <v>3.8</v>
      </c>
      <c r="H592" t="n">
        <v>0</v>
      </c>
      <c r="I592" t="n">
        <v>0</v>
      </c>
      <c r="J592" t="n">
        <v>0</v>
      </c>
      <c r="K592" t="n">
        <v>0</v>
      </c>
      <c r="L592" t="n">
        <v>0</v>
      </c>
      <c r="M592" t="n">
        <v>0</v>
      </c>
      <c r="N592" t="n">
        <v>0</v>
      </c>
      <c r="O592" t="n">
        <v>0</v>
      </c>
      <c r="P592" t="n">
        <v>0</v>
      </c>
      <c r="Q592" t="n">
        <v>0</v>
      </c>
      <c r="R592" s="2" t="inlineStr"/>
    </row>
    <row r="593" ht="15" customHeight="1">
      <c r="A593" t="inlineStr">
        <is>
          <t>A 52309-2022</t>
        </is>
      </c>
      <c r="B593" s="1" t="n">
        <v>44873</v>
      </c>
      <c r="C593" s="1" t="n">
        <v>45728</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53578-2022</t>
        </is>
      </c>
      <c r="B594" s="1" t="n">
        <v>44879</v>
      </c>
      <c r="C594" s="1" t="n">
        <v>45728</v>
      </c>
      <c r="D594" t="inlineStr">
        <is>
          <t>ÖREBRO LÄN</t>
        </is>
      </c>
      <c r="E594" t="inlineStr">
        <is>
          <t>ÖREBRO</t>
        </is>
      </c>
      <c r="G594" t="n">
        <v>2.8</v>
      </c>
      <c r="H594" t="n">
        <v>0</v>
      </c>
      <c r="I594" t="n">
        <v>0</v>
      </c>
      <c r="J594" t="n">
        <v>0</v>
      </c>
      <c r="K594" t="n">
        <v>0</v>
      </c>
      <c r="L594" t="n">
        <v>0</v>
      </c>
      <c r="M594" t="n">
        <v>0</v>
      </c>
      <c r="N594" t="n">
        <v>0</v>
      </c>
      <c r="O594" t="n">
        <v>0</v>
      </c>
      <c r="P594" t="n">
        <v>0</v>
      </c>
      <c r="Q594" t="n">
        <v>0</v>
      </c>
      <c r="R594" s="2" t="inlineStr"/>
    </row>
    <row r="595" ht="15" customHeight="1">
      <c r="A595" t="inlineStr">
        <is>
          <t>A 55012-2022</t>
        </is>
      </c>
      <c r="B595" s="1" t="n">
        <v>44886</v>
      </c>
      <c r="C595" s="1" t="n">
        <v>45728</v>
      </c>
      <c r="D595" t="inlineStr">
        <is>
          <t>ÖREBRO LÄN</t>
        </is>
      </c>
      <c r="E595" t="inlineStr">
        <is>
          <t>ÖREBRO</t>
        </is>
      </c>
      <c r="G595" t="n">
        <v>5.1</v>
      </c>
      <c r="H595" t="n">
        <v>0</v>
      </c>
      <c r="I595" t="n">
        <v>0</v>
      </c>
      <c r="J595" t="n">
        <v>0</v>
      </c>
      <c r="K595" t="n">
        <v>0</v>
      </c>
      <c r="L595" t="n">
        <v>0</v>
      </c>
      <c r="M595" t="n">
        <v>0</v>
      </c>
      <c r="N595" t="n">
        <v>0</v>
      </c>
      <c r="O595" t="n">
        <v>0</v>
      </c>
      <c r="P595" t="n">
        <v>0</v>
      </c>
      <c r="Q595" t="n">
        <v>0</v>
      </c>
      <c r="R595" s="2" t="inlineStr"/>
    </row>
    <row r="596" ht="15" customHeight="1">
      <c r="A596" t="inlineStr">
        <is>
          <t>A 55593-2022</t>
        </is>
      </c>
      <c r="B596" s="1" t="n">
        <v>44888</v>
      </c>
      <c r="C596" s="1" t="n">
        <v>45728</v>
      </c>
      <c r="D596" t="inlineStr">
        <is>
          <t>ÖREBRO LÄN</t>
        </is>
      </c>
      <c r="E596" t="inlineStr">
        <is>
          <t>ÖREBRO</t>
        </is>
      </c>
      <c r="G596" t="n">
        <v>3.6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v>
      </c>
      <c r="C597" s="1" t="n">
        <v>45728</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57247-2022</t>
        </is>
      </c>
      <c r="B598" s="1" t="n">
        <v>44895</v>
      </c>
      <c r="C598" s="1" t="n">
        <v>45728</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57243-2022</t>
        </is>
      </c>
      <c r="B599" s="1" t="n">
        <v>44895</v>
      </c>
      <c r="C599" s="1" t="n">
        <v>45728</v>
      </c>
      <c r="D599" t="inlineStr">
        <is>
          <t>ÖREBRO LÄN</t>
        </is>
      </c>
      <c r="E599" t="inlineStr">
        <is>
          <t>ÖREBRO</t>
        </is>
      </c>
      <c r="G599" t="n">
        <v>6</v>
      </c>
      <c r="H599" t="n">
        <v>0</v>
      </c>
      <c r="I599" t="n">
        <v>0</v>
      </c>
      <c r="J599" t="n">
        <v>0</v>
      </c>
      <c r="K599" t="n">
        <v>0</v>
      </c>
      <c r="L599" t="n">
        <v>0</v>
      </c>
      <c r="M599" t="n">
        <v>0</v>
      </c>
      <c r="N599" t="n">
        <v>0</v>
      </c>
      <c r="O599" t="n">
        <v>0</v>
      </c>
      <c r="P599" t="n">
        <v>0</v>
      </c>
      <c r="Q599" t="n">
        <v>0</v>
      </c>
      <c r="R599" s="2" t="inlineStr"/>
    </row>
    <row r="600" ht="15" customHeight="1">
      <c r="A600" t="inlineStr">
        <is>
          <t>A 57638-2022</t>
        </is>
      </c>
      <c r="B600" s="1" t="n">
        <v>44897</v>
      </c>
      <c r="C600" s="1" t="n">
        <v>45728</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58277-2022</t>
        </is>
      </c>
      <c r="B601" s="1" t="n">
        <v>44901</v>
      </c>
      <c r="C601" s="1" t="n">
        <v>45728</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58551-2022</t>
        </is>
      </c>
      <c r="B602" s="1" t="n">
        <v>44902</v>
      </c>
      <c r="C602" s="1" t="n">
        <v>45728</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60100-2022</t>
        </is>
      </c>
      <c r="B603" s="1" t="n">
        <v>44902</v>
      </c>
      <c r="C603" s="1" t="n">
        <v>45728</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58595-2022</t>
        </is>
      </c>
      <c r="B604" s="1" t="n">
        <v>44902</v>
      </c>
      <c r="C604" s="1" t="n">
        <v>45728</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58598-2022</t>
        </is>
      </c>
      <c r="B605" s="1" t="n">
        <v>44902</v>
      </c>
      <c r="C605" s="1" t="n">
        <v>45728</v>
      </c>
      <c r="D605" t="inlineStr">
        <is>
          <t>ÖREBRO LÄN</t>
        </is>
      </c>
      <c r="E605" t="inlineStr">
        <is>
          <t>ÖREBRO</t>
        </is>
      </c>
      <c r="G605" t="n">
        <v>0.4</v>
      </c>
      <c r="H605" t="n">
        <v>0</v>
      </c>
      <c r="I605" t="n">
        <v>0</v>
      </c>
      <c r="J605" t="n">
        <v>0</v>
      </c>
      <c r="K605" t="n">
        <v>0</v>
      </c>
      <c r="L605" t="n">
        <v>0</v>
      </c>
      <c r="M605" t="n">
        <v>0</v>
      </c>
      <c r="N605" t="n">
        <v>0</v>
      </c>
      <c r="O605" t="n">
        <v>0</v>
      </c>
      <c r="P605" t="n">
        <v>0</v>
      </c>
      <c r="Q605" t="n">
        <v>0</v>
      </c>
      <c r="R605" s="2" t="inlineStr"/>
    </row>
    <row r="606" ht="15" customHeight="1">
      <c r="A606" t="inlineStr">
        <is>
          <t>A 60262-2022</t>
        </is>
      </c>
      <c r="B606" s="1" t="n">
        <v>44910</v>
      </c>
      <c r="C606" s="1" t="n">
        <v>45728</v>
      </c>
      <c r="D606" t="inlineStr">
        <is>
          <t>ÖREBRO LÄN</t>
        </is>
      </c>
      <c r="E606" t="inlineStr">
        <is>
          <t>ÖREBRO</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60769-2022</t>
        </is>
      </c>
      <c r="B607" s="1" t="n">
        <v>44914</v>
      </c>
      <c r="C607" s="1" t="n">
        <v>45728</v>
      </c>
      <c r="D607" t="inlineStr">
        <is>
          <t>ÖREBRO LÄN</t>
        </is>
      </c>
      <c r="E607" t="inlineStr">
        <is>
          <t>ÖREBRO</t>
        </is>
      </c>
      <c r="G607" t="n">
        <v>3.4</v>
      </c>
      <c r="H607" t="n">
        <v>0</v>
      </c>
      <c r="I607" t="n">
        <v>0</v>
      </c>
      <c r="J607" t="n">
        <v>0</v>
      </c>
      <c r="K607" t="n">
        <v>0</v>
      </c>
      <c r="L607" t="n">
        <v>0</v>
      </c>
      <c r="M607" t="n">
        <v>0</v>
      </c>
      <c r="N607" t="n">
        <v>0</v>
      </c>
      <c r="O607" t="n">
        <v>0</v>
      </c>
      <c r="P607" t="n">
        <v>0</v>
      </c>
      <c r="Q607" t="n">
        <v>0</v>
      </c>
      <c r="R607" s="2" t="inlineStr"/>
    </row>
    <row r="608" ht="15" customHeight="1">
      <c r="A608" t="inlineStr">
        <is>
          <t>A 61123-2022</t>
        </is>
      </c>
      <c r="B608" s="1" t="n">
        <v>44915</v>
      </c>
      <c r="C608" s="1" t="n">
        <v>45728</v>
      </c>
      <c r="D608" t="inlineStr">
        <is>
          <t>ÖREBRO LÄN</t>
        </is>
      </c>
      <c r="E608" t="inlineStr">
        <is>
          <t>ÖREBRO</t>
        </is>
      </c>
      <c r="G608" t="n">
        <v>7.7</v>
      </c>
      <c r="H608" t="n">
        <v>0</v>
      </c>
      <c r="I608" t="n">
        <v>0</v>
      </c>
      <c r="J608" t="n">
        <v>0</v>
      </c>
      <c r="K608" t="n">
        <v>0</v>
      </c>
      <c r="L608" t="n">
        <v>0</v>
      </c>
      <c r="M608" t="n">
        <v>0</v>
      </c>
      <c r="N608" t="n">
        <v>0</v>
      </c>
      <c r="O608" t="n">
        <v>0</v>
      </c>
      <c r="P608" t="n">
        <v>0</v>
      </c>
      <c r="Q608" t="n">
        <v>0</v>
      </c>
      <c r="R608" s="2" t="inlineStr"/>
    </row>
    <row r="609" ht="15" customHeight="1">
      <c r="A609" t="inlineStr">
        <is>
          <t>A 5118-2023</t>
        </is>
      </c>
      <c r="B609" s="1" t="n">
        <v>44922</v>
      </c>
      <c r="C609" s="1" t="n">
        <v>45728</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1346-2023</t>
        </is>
      </c>
      <c r="B610" s="1" t="n">
        <v>44936</v>
      </c>
      <c r="C610" s="1" t="n">
        <v>45728</v>
      </c>
      <c r="D610" t="inlineStr">
        <is>
          <t>ÖREBRO LÄN</t>
        </is>
      </c>
      <c r="E610" t="inlineStr">
        <is>
          <t>ÖREBRO</t>
        </is>
      </c>
      <c r="G610" t="n">
        <v>4.1</v>
      </c>
      <c r="H610" t="n">
        <v>0</v>
      </c>
      <c r="I610" t="n">
        <v>0</v>
      </c>
      <c r="J610" t="n">
        <v>0</v>
      </c>
      <c r="K610" t="n">
        <v>0</v>
      </c>
      <c r="L610" t="n">
        <v>0</v>
      </c>
      <c r="M610" t="n">
        <v>0</v>
      </c>
      <c r="N610" t="n">
        <v>0</v>
      </c>
      <c r="O610" t="n">
        <v>0</v>
      </c>
      <c r="P610" t="n">
        <v>0</v>
      </c>
      <c r="Q610" t="n">
        <v>0</v>
      </c>
      <c r="R610" s="2" t="inlineStr"/>
    </row>
    <row r="611" ht="15" customHeight="1">
      <c r="A611" t="inlineStr">
        <is>
          <t>A 1767-2023</t>
        </is>
      </c>
      <c r="B611" s="1" t="n">
        <v>44938</v>
      </c>
      <c r="C611" s="1" t="n">
        <v>45728</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2152-2023</t>
        </is>
      </c>
      <c r="B612" s="1" t="n">
        <v>44941</v>
      </c>
      <c r="C612" s="1" t="n">
        <v>45728</v>
      </c>
      <c r="D612" t="inlineStr">
        <is>
          <t>ÖREBRO LÄN</t>
        </is>
      </c>
      <c r="E612" t="inlineStr">
        <is>
          <t>ÖREBRO</t>
        </is>
      </c>
      <c r="G612" t="n">
        <v>8</v>
      </c>
      <c r="H612" t="n">
        <v>0</v>
      </c>
      <c r="I612" t="n">
        <v>0</v>
      </c>
      <c r="J612" t="n">
        <v>0</v>
      </c>
      <c r="K612" t="n">
        <v>0</v>
      </c>
      <c r="L612" t="n">
        <v>0</v>
      </c>
      <c r="M612" t="n">
        <v>0</v>
      </c>
      <c r="N612" t="n">
        <v>0</v>
      </c>
      <c r="O612" t="n">
        <v>0</v>
      </c>
      <c r="P612" t="n">
        <v>0</v>
      </c>
      <c r="Q612" t="n">
        <v>0</v>
      </c>
      <c r="R612" s="2" t="inlineStr"/>
    </row>
    <row r="613" ht="15" customHeight="1">
      <c r="A613" t="inlineStr">
        <is>
          <t>A 2153-2023</t>
        </is>
      </c>
      <c r="B613" s="1" t="n">
        <v>44941</v>
      </c>
      <c r="C613" s="1" t="n">
        <v>45728</v>
      </c>
      <c r="D613" t="inlineStr">
        <is>
          <t>ÖREBRO LÄN</t>
        </is>
      </c>
      <c r="E613" t="inlineStr">
        <is>
          <t>ÖREBRO</t>
        </is>
      </c>
      <c r="G613" t="n">
        <v>6.3</v>
      </c>
      <c r="H613" t="n">
        <v>0</v>
      </c>
      <c r="I613" t="n">
        <v>0</v>
      </c>
      <c r="J613" t="n">
        <v>0</v>
      </c>
      <c r="K613" t="n">
        <v>0</v>
      </c>
      <c r="L613" t="n">
        <v>0</v>
      </c>
      <c r="M613" t="n">
        <v>0</v>
      </c>
      <c r="N613" t="n">
        <v>0</v>
      </c>
      <c r="O613" t="n">
        <v>0</v>
      </c>
      <c r="P613" t="n">
        <v>0</v>
      </c>
      <c r="Q613" t="n">
        <v>0</v>
      </c>
      <c r="R613" s="2" t="inlineStr"/>
    </row>
    <row r="614" ht="15" customHeight="1">
      <c r="A614" t="inlineStr">
        <is>
          <t>A 2318-2023</t>
        </is>
      </c>
      <c r="B614" s="1" t="n">
        <v>44942</v>
      </c>
      <c r="C614" s="1" t="n">
        <v>45728</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2288-2023</t>
        </is>
      </c>
      <c r="B615" s="1" t="n">
        <v>44942</v>
      </c>
      <c r="C615" s="1" t="n">
        <v>45728</v>
      </c>
      <c r="D615" t="inlineStr">
        <is>
          <t>ÖREBRO LÄN</t>
        </is>
      </c>
      <c r="E615" t="inlineStr">
        <is>
          <t>ÖREBRO</t>
        </is>
      </c>
      <c r="G615" t="n">
        <v>2.9</v>
      </c>
      <c r="H615" t="n">
        <v>0</v>
      </c>
      <c r="I615" t="n">
        <v>0</v>
      </c>
      <c r="J615" t="n">
        <v>0</v>
      </c>
      <c r="K615" t="n">
        <v>0</v>
      </c>
      <c r="L615" t="n">
        <v>0</v>
      </c>
      <c r="M615" t="n">
        <v>0</v>
      </c>
      <c r="N615" t="n">
        <v>0</v>
      </c>
      <c r="O615" t="n">
        <v>0</v>
      </c>
      <c r="P615" t="n">
        <v>0</v>
      </c>
      <c r="Q615" t="n">
        <v>0</v>
      </c>
      <c r="R615" s="2" t="inlineStr"/>
    </row>
    <row r="616" ht="15" customHeight="1">
      <c r="A616" t="inlineStr">
        <is>
          <t>A 2630-2023</t>
        </is>
      </c>
      <c r="B616" s="1" t="n">
        <v>44944</v>
      </c>
      <c r="C616" s="1" t="n">
        <v>45728</v>
      </c>
      <c r="D616" t="inlineStr">
        <is>
          <t>ÖREBRO LÄN</t>
        </is>
      </c>
      <c r="E616" t="inlineStr">
        <is>
          <t>ÖREBRO</t>
        </is>
      </c>
      <c r="G616" t="n">
        <v>6.1</v>
      </c>
      <c r="H616" t="n">
        <v>0</v>
      </c>
      <c r="I616" t="n">
        <v>0</v>
      </c>
      <c r="J616" t="n">
        <v>0</v>
      </c>
      <c r="K616" t="n">
        <v>0</v>
      </c>
      <c r="L616" t="n">
        <v>0</v>
      </c>
      <c r="M616" t="n">
        <v>0</v>
      </c>
      <c r="N616" t="n">
        <v>0</v>
      </c>
      <c r="O616" t="n">
        <v>0</v>
      </c>
      <c r="P616" t="n">
        <v>0</v>
      </c>
      <c r="Q616" t="n">
        <v>0</v>
      </c>
      <c r="R616" s="2" t="inlineStr"/>
    </row>
    <row r="617" ht="15" customHeight="1">
      <c r="A617" t="inlineStr">
        <is>
          <t>A 2658-2023</t>
        </is>
      </c>
      <c r="B617" s="1" t="n">
        <v>44944</v>
      </c>
      <c r="C617" s="1" t="n">
        <v>45728</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2771-2023</t>
        </is>
      </c>
      <c r="B618" s="1" t="n">
        <v>44944</v>
      </c>
      <c r="C618" s="1" t="n">
        <v>45728</v>
      </c>
      <c r="D618" t="inlineStr">
        <is>
          <t>ÖREBRO LÄN</t>
        </is>
      </c>
      <c r="E618" t="inlineStr">
        <is>
          <t>ÖREBRO</t>
        </is>
      </c>
      <c r="G618" t="n">
        <v>15.4</v>
      </c>
      <c r="H618" t="n">
        <v>0</v>
      </c>
      <c r="I618" t="n">
        <v>0</v>
      </c>
      <c r="J618" t="n">
        <v>0</v>
      </c>
      <c r="K618" t="n">
        <v>0</v>
      </c>
      <c r="L618" t="n">
        <v>0</v>
      </c>
      <c r="M618" t="n">
        <v>0</v>
      </c>
      <c r="N618" t="n">
        <v>0</v>
      </c>
      <c r="O618" t="n">
        <v>0</v>
      </c>
      <c r="P618" t="n">
        <v>0</v>
      </c>
      <c r="Q618" t="n">
        <v>0</v>
      </c>
      <c r="R618" s="2" t="inlineStr"/>
    </row>
    <row r="619" ht="15" customHeight="1">
      <c r="A619" t="inlineStr">
        <is>
          <t>A 3791-2023</t>
        </is>
      </c>
      <c r="B619" s="1" t="n">
        <v>44951</v>
      </c>
      <c r="C619" s="1" t="n">
        <v>45728</v>
      </c>
      <c r="D619" t="inlineStr">
        <is>
          <t>ÖREBRO LÄN</t>
        </is>
      </c>
      <c r="E619" t="inlineStr">
        <is>
          <t>ÖREBRO</t>
        </is>
      </c>
      <c r="G619" t="n">
        <v>3.7</v>
      </c>
      <c r="H619" t="n">
        <v>0</v>
      </c>
      <c r="I619" t="n">
        <v>0</v>
      </c>
      <c r="J619" t="n">
        <v>0</v>
      </c>
      <c r="K619" t="n">
        <v>0</v>
      </c>
      <c r="L619" t="n">
        <v>0</v>
      </c>
      <c r="M619" t="n">
        <v>0</v>
      </c>
      <c r="N619" t="n">
        <v>0</v>
      </c>
      <c r="O619" t="n">
        <v>0</v>
      </c>
      <c r="P619" t="n">
        <v>0</v>
      </c>
      <c r="Q619" t="n">
        <v>0</v>
      </c>
      <c r="R619" s="2" t="inlineStr"/>
    </row>
    <row r="620" ht="15" customHeight="1">
      <c r="A620" t="inlineStr">
        <is>
          <t>A 3789-2023</t>
        </is>
      </c>
      <c r="B620" s="1" t="n">
        <v>44951</v>
      </c>
      <c r="C620" s="1" t="n">
        <v>45728</v>
      </c>
      <c r="D620" t="inlineStr">
        <is>
          <t>ÖREBRO LÄN</t>
        </is>
      </c>
      <c r="E620" t="inlineStr">
        <is>
          <t>ÖREBRO</t>
        </is>
      </c>
      <c r="G620" t="n">
        <v>7.5</v>
      </c>
      <c r="H620" t="n">
        <v>0</v>
      </c>
      <c r="I620" t="n">
        <v>0</v>
      </c>
      <c r="J620" t="n">
        <v>0</v>
      </c>
      <c r="K620" t="n">
        <v>0</v>
      </c>
      <c r="L620" t="n">
        <v>0</v>
      </c>
      <c r="M620" t="n">
        <v>0</v>
      </c>
      <c r="N620" t="n">
        <v>0</v>
      </c>
      <c r="O620" t="n">
        <v>0</v>
      </c>
      <c r="P620" t="n">
        <v>0</v>
      </c>
      <c r="Q620" t="n">
        <v>0</v>
      </c>
      <c r="R620" s="2" t="inlineStr"/>
    </row>
    <row r="621" ht="15" customHeight="1">
      <c r="A621" t="inlineStr">
        <is>
          <t>A 3835-2023</t>
        </is>
      </c>
      <c r="B621" s="1" t="n">
        <v>44951</v>
      </c>
      <c r="C621" s="1" t="n">
        <v>45728</v>
      </c>
      <c r="D621" t="inlineStr">
        <is>
          <t>ÖREBRO LÄN</t>
        </is>
      </c>
      <c r="E621" t="inlineStr">
        <is>
          <t>ÖREBRO</t>
        </is>
      </c>
      <c r="G621" t="n">
        <v>7.4</v>
      </c>
      <c r="H621" t="n">
        <v>0</v>
      </c>
      <c r="I621" t="n">
        <v>0</v>
      </c>
      <c r="J621" t="n">
        <v>0</v>
      </c>
      <c r="K621" t="n">
        <v>0</v>
      </c>
      <c r="L621" t="n">
        <v>0</v>
      </c>
      <c r="M621" t="n">
        <v>0</v>
      </c>
      <c r="N621" t="n">
        <v>0</v>
      </c>
      <c r="O621" t="n">
        <v>0</v>
      </c>
      <c r="P621" t="n">
        <v>0</v>
      </c>
      <c r="Q621" t="n">
        <v>0</v>
      </c>
      <c r="R621" s="2" t="inlineStr"/>
    </row>
    <row r="622" ht="15" customHeight="1">
      <c r="A622" t="inlineStr">
        <is>
          <t>A 3841-2023</t>
        </is>
      </c>
      <c r="B622" s="1" t="n">
        <v>44951</v>
      </c>
      <c r="C622" s="1" t="n">
        <v>45728</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3967-2023</t>
        </is>
      </c>
      <c r="B623" s="1" t="n">
        <v>44952</v>
      </c>
      <c r="C623" s="1" t="n">
        <v>45728</v>
      </c>
      <c r="D623" t="inlineStr">
        <is>
          <t>ÖREBRO LÄN</t>
        </is>
      </c>
      <c r="E623" t="inlineStr">
        <is>
          <t>ÖREBRO</t>
        </is>
      </c>
      <c r="G623" t="n">
        <v>5.2</v>
      </c>
      <c r="H623" t="n">
        <v>0</v>
      </c>
      <c r="I623" t="n">
        <v>0</v>
      </c>
      <c r="J623" t="n">
        <v>0</v>
      </c>
      <c r="K623" t="n">
        <v>0</v>
      </c>
      <c r="L623" t="n">
        <v>0</v>
      </c>
      <c r="M623" t="n">
        <v>0</v>
      </c>
      <c r="N623" t="n">
        <v>0</v>
      </c>
      <c r="O623" t="n">
        <v>0</v>
      </c>
      <c r="P623" t="n">
        <v>0</v>
      </c>
      <c r="Q623" t="n">
        <v>0</v>
      </c>
      <c r="R623" s="2" t="inlineStr"/>
    </row>
    <row r="624" ht="15" customHeight="1">
      <c r="A624" t="inlineStr">
        <is>
          <t>A 3964-2023</t>
        </is>
      </c>
      <c r="B624" s="1" t="n">
        <v>44952</v>
      </c>
      <c r="C624" s="1" t="n">
        <v>45728</v>
      </c>
      <c r="D624" t="inlineStr">
        <is>
          <t>ÖREBRO LÄN</t>
        </is>
      </c>
      <c r="E624" t="inlineStr">
        <is>
          <t>ÖREBRO</t>
        </is>
      </c>
      <c r="G624" t="n">
        <v>9.9</v>
      </c>
      <c r="H624" t="n">
        <v>0</v>
      </c>
      <c r="I624" t="n">
        <v>0</v>
      </c>
      <c r="J624" t="n">
        <v>0</v>
      </c>
      <c r="K624" t="n">
        <v>0</v>
      </c>
      <c r="L624" t="n">
        <v>0</v>
      </c>
      <c r="M624" t="n">
        <v>0</v>
      </c>
      <c r="N624" t="n">
        <v>0</v>
      </c>
      <c r="O624" t="n">
        <v>0</v>
      </c>
      <c r="P624" t="n">
        <v>0</v>
      </c>
      <c r="Q624" t="n">
        <v>0</v>
      </c>
      <c r="R624" s="2" t="inlineStr"/>
    </row>
    <row r="625" ht="15" customHeight="1">
      <c r="A625" t="inlineStr">
        <is>
          <t>A 3968-2023</t>
        </is>
      </c>
      <c r="B625" s="1" t="n">
        <v>44952</v>
      </c>
      <c r="C625" s="1" t="n">
        <v>45728</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3958-2023</t>
        </is>
      </c>
      <c r="B626" s="1" t="n">
        <v>44952</v>
      </c>
      <c r="C626" s="1" t="n">
        <v>45728</v>
      </c>
      <c r="D626" t="inlineStr">
        <is>
          <t>ÖREBRO LÄN</t>
        </is>
      </c>
      <c r="E626" t="inlineStr">
        <is>
          <t>ÖREBRO</t>
        </is>
      </c>
      <c r="G626" t="n">
        <v>6</v>
      </c>
      <c r="H626" t="n">
        <v>0</v>
      </c>
      <c r="I626" t="n">
        <v>0</v>
      </c>
      <c r="J626" t="n">
        <v>0</v>
      </c>
      <c r="K626" t="n">
        <v>0</v>
      </c>
      <c r="L626" t="n">
        <v>0</v>
      </c>
      <c r="M626" t="n">
        <v>0</v>
      </c>
      <c r="N626" t="n">
        <v>0</v>
      </c>
      <c r="O626" t="n">
        <v>0</v>
      </c>
      <c r="P626" t="n">
        <v>0</v>
      </c>
      <c r="Q626" t="n">
        <v>0</v>
      </c>
      <c r="R626" s="2" t="inlineStr"/>
    </row>
    <row r="627" ht="15" customHeight="1">
      <c r="A627" t="inlineStr">
        <is>
          <t>A 5120-2023</t>
        </is>
      </c>
      <c r="B627" s="1" t="n">
        <v>44953</v>
      </c>
      <c r="C627" s="1" t="n">
        <v>45728</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4557-2023</t>
        </is>
      </c>
      <c r="B628" s="1" t="n">
        <v>44956</v>
      </c>
      <c r="C628" s="1" t="n">
        <v>45728</v>
      </c>
      <c r="D628" t="inlineStr">
        <is>
          <t>ÖREBRO LÄN</t>
        </is>
      </c>
      <c r="E628" t="inlineStr">
        <is>
          <t>ÖREBRO</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4416-2023</t>
        </is>
      </c>
      <c r="B629" s="1" t="n">
        <v>44956</v>
      </c>
      <c r="C629" s="1" t="n">
        <v>45728</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5619-2023</t>
        </is>
      </c>
      <c r="B630" s="1" t="n">
        <v>44958</v>
      </c>
      <c r="C630" s="1" t="n">
        <v>45728</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5847-2023</t>
        </is>
      </c>
      <c r="B631" s="1" t="n">
        <v>44963</v>
      </c>
      <c r="C631" s="1" t="n">
        <v>45728</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5883-2023</t>
        </is>
      </c>
      <c r="B632" s="1" t="n">
        <v>44963</v>
      </c>
      <c r="C632" s="1" t="n">
        <v>45728</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6513-2023</t>
        </is>
      </c>
      <c r="B633" s="1" t="n">
        <v>44966</v>
      </c>
      <c r="C633" s="1" t="n">
        <v>45728</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6522-2023</t>
        </is>
      </c>
      <c r="B634" s="1" t="n">
        <v>44966</v>
      </c>
      <c r="C634" s="1" t="n">
        <v>45728</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6528-2023</t>
        </is>
      </c>
      <c r="B635" s="1" t="n">
        <v>44966</v>
      </c>
      <c r="C635" s="1" t="n">
        <v>45728</v>
      </c>
      <c r="D635" t="inlineStr">
        <is>
          <t>ÖREBRO LÄN</t>
        </is>
      </c>
      <c r="E635" t="inlineStr">
        <is>
          <t>ÖREBRO</t>
        </is>
      </c>
      <c r="G635" t="n">
        <v>2.4</v>
      </c>
      <c r="H635" t="n">
        <v>0</v>
      </c>
      <c r="I635" t="n">
        <v>0</v>
      </c>
      <c r="J635" t="n">
        <v>0</v>
      </c>
      <c r="K635" t="n">
        <v>0</v>
      </c>
      <c r="L635" t="n">
        <v>0</v>
      </c>
      <c r="M635" t="n">
        <v>0</v>
      </c>
      <c r="N635" t="n">
        <v>0</v>
      </c>
      <c r="O635" t="n">
        <v>0</v>
      </c>
      <c r="P635" t="n">
        <v>0</v>
      </c>
      <c r="Q635" t="n">
        <v>0</v>
      </c>
      <c r="R635" s="2" t="inlineStr"/>
    </row>
    <row r="636" ht="15" customHeight="1">
      <c r="A636" t="inlineStr">
        <is>
          <t>A 8584-2023</t>
        </is>
      </c>
      <c r="B636" s="1" t="n">
        <v>44977</v>
      </c>
      <c r="C636" s="1" t="n">
        <v>45728</v>
      </c>
      <c r="D636" t="inlineStr">
        <is>
          <t>ÖREBRO LÄN</t>
        </is>
      </c>
      <c r="E636" t="inlineStr">
        <is>
          <t>ÖREBRO</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9314-2023</t>
        </is>
      </c>
      <c r="B637" s="1" t="n">
        <v>44980</v>
      </c>
      <c r="C637" s="1" t="n">
        <v>45728</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9609-2023</t>
        </is>
      </c>
      <c r="B638" s="1" t="n">
        <v>44983</v>
      </c>
      <c r="C638" s="1" t="n">
        <v>45728</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9704-2023</t>
        </is>
      </c>
      <c r="B639" s="1" t="n">
        <v>44984</v>
      </c>
      <c r="C639" s="1" t="n">
        <v>45728</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10339-2023</t>
        </is>
      </c>
      <c r="B640" s="1" t="n">
        <v>44987</v>
      </c>
      <c r="C640" s="1" t="n">
        <v>45728</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10832-2023</t>
        </is>
      </c>
      <c r="B641" s="1" t="n">
        <v>44990</v>
      </c>
      <c r="C641" s="1" t="n">
        <v>45728</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10829-2023</t>
        </is>
      </c>
      <c r="B642" s="1" t="n">
        <v>44990</v>
      </c>
      <c r="C642" s="1" t="n">
        <v>45728</v>
      </c>
      <c r="D642" t="inlineStr">
        <is>
          <t>ÖREBRO LÄN</t>
        </is>
      </c>
      <c r="E642" t="inlineStr">
        <is>
          <t>ÖREBRO</t>
        </is>
      </c>
      <c r="G642" t="n">
        <v>4.4</v>
      </c>
      <c r="H642" t="n">
        <v>0</v>
      </c>
      <c r="I642" t="n">
        <v>0</v>
      </c>
      <c r="J642" t="n">
        <v>0</v>
      </c>
      <c r="K642" t="n">
        <v>0</v>
      </c>
      <c r="L642" t="n">
        <v>0</v>
      </c>
      <c r="M642" t="n">
        <v>0</v>
      </c>
      <c r="N642" t="n">
        <v>0</v>
      </c>
      <c r="O642" t="n">
        <v>0</v>
      </c>
      <c r="P642" t="n">
        <v>0</v>
      </c>
      <c r="Q642" t="n">
        <v>0</v>
      </c>
      <c r="R642" s="2" t="inlineStr"/>
    </row>
    <row r="643" ht="15" customHeight="1">
      <c r="A643" t="inlineStr">
        <is>
          <t>A 10831-2023</t>
        </is>
      </c>
      <c r="B643" s="1" t="n">
        <v>44990</v>
      </c>
      <c r="C643" s="1" t="n">
        <v>45728</v>
      </c>
      <c r="D643" t="inlineStr">
        <is>
          <t>ÖREBRO LÄN</t>
        </is>
      </c>
      <c r="E643" t="inlineStr">
        <is>
          <t>ÖREBRO</t>
        </is>
      </c>
      <c r="G643" t="n">
        <v>1.9</v>
      </c>
      <c r="H643" t="n">
        <v>0</v>
      </c>
      <c r="I643" t="n">
        <v>0</v>
      </c>
      <c r="J643" t="n">
        <v>0</v>
      </c>
      <c r="K643" t="n">
        <v>0</v>
      </c>
      <c r="L643" t="n">
        <v>0</v>
      </c>
      <c r="M643" t="n">
        <v>0</v>
      </c>
      <c r="N643" t="n">
        <v>0</v>
      </c>
      <c r="O643" t="n">
        <v>0</v>
      </c>
      <c r="P643" t="n">
        <v>0</v>
      </c>
      <c r="Q643" t="n">
        <v>0</v>
      </c>
      <c r="R643" s="2" t="inlineStr"/>
    </row>
    <row r="644" ht="15" customHeight="1">
      <c r="A644" t="inlineStr">
        <is>
          <t>A 10830-2023</t>
        </is>
      </c>
      <c r="B644" s="1" t="n">
        <v>44990</v>
      </c>
      <c r="C644" s="1" t="n">
        <v>45728</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11118-2023</t>
        </is>
      </c>
      <c r="B645" s="1" t="n">
        <v>44992</v>
      </c>
      <c r="C645" s="1" t="n">
        <v>45728</v>
      </c>
      <c r="D645" t="inlineStr">
        <is>
          <t>ÖREBRO LÄN</t>
        </is>
      </c>
      <c r="E645" t="inlineStr">
        <is>
          <t>ÖREBRO</t>
        </is>
      </c>
      <c r="G645" t="n">
        <v>2.5</v>
      </c>
      <c r="H645" t="n">
        <v>0</v>
      </c>
      <c r="I645" t="n">
        <v>0</v>
      </c>
      <c r="J645" t="n">
        <v>0</v>
      </c>
      <c r="K645" t="n">
        <v>0</v>
      </c>
      <c r="L645" t="n">
        <v>0</v>
      </c>
      <c r="M645" t="n">
        <v>0</v>
      </c>
      <c r="N645" t="n">
        <v>0</v>
      </c>
      <c r="O645" t="n">
        <v>0</v>
      </c>
      <c r="P645" t="n">
        <v>0</v>
      </c>
      <c r="Q645" t="n">
        <v>0</v>
      </c>
      <c r="R645" s="2" t="inlineStr"/>
    </row>
    <row r="646" ht="15" customHeight="1">
      <c r="A646" t="inlineStr">
        <is>
          <t>A 11473-2023</t>
        </is>
      </c>
      <c r="B646" s="1" t="n">
        <v>44993</v>
      </c>
      <c r="C646" s="1" t="n">
        <v>45728</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11382-2023</t>
        </is>
      </c>
      <c r="B647" s="1" t="n">
        <v>44993</v>
      </c>
      <c r="C647" s="1" t="n">
        <v>45728</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11391-2023</t>
        </is>
      </c>
      <c r="B648" s="1" t="n">
        <v>44993</v>
      </c>
      <c r="C648" s="1" t="n">
        <v>45728</v>
      </c>
      <c r="D648" t="inlineStr">
        <is>
          <t>ÖREBRO LÄN</t>
        </is>
      </c>
      <c r="E648" t="inlineStr">
        <is>
          <t>ÖREBRO</t>
        </is>
      </c>
      <c r="G648" t="n">
        <v>0.6</v>
      </c>
      <c r="H648" t="n">
        <v>0</v>
      </c>
      <c r="I648" t="n">
        <v>0</v>
      </c>
      <c r="J648" t="n">
        <v>0</v>
      </c>
      <c r="K648" t="n">
        <v>0</v>
      </c>
      <c r="L648" t="n">
        <v>0</v>
      </c>
      <c r="M648" t="n">
        <v>0</v>
      </c>
      <c r="N648" t="n">
        <v>0</v>
      </c>
      <c r="O648" t="n">
        <v>0</v>
      </c>
      <c r="P648" t="n">
        <v>0</v>
      </c>
      <c r="Q648" t="n">
        <v>0</v>
      </c>
      <c r="R648" s="2" t="inlineStr"/>
    </row>
    <row r="649" ht="15" customHeight="1">
      <c r="A649" t="inlineStr">
        <is>
          <t>A 11565-2023</t>
        </is>
      </c>
      <c r="B649" s="1" t="n">
        <v>44994</v>
      </c>
      <c r="C649" s="1" t="n">
        <v>45728</v>
      </c>
      <c r="D649" t="inlineStr">
        <is>
          <t>ÖREBRO LÄN</t>
        </is>
      </c>
      <c r="E649" t="inlineStr">
        <is>
          <t>ÖREBRO</t>
        </is>
      </c>
      <c r="G649" t="n">
        <v>4.7</v>
      </c>
      <c r="H649" t="n">
        <v>0</v>
      </c>
      <c r="I649" t="n">
        <v>0</v>
      </c>
      <c r="J649" t="n">
        <v>0</v>
      </c>
      <c r="K649" t="n">
        <v>0</v>
      </c>
      <c r="L649" t="n">
        <v>0</v>
      </c>
      <c r="M649" t="n">
        <v>0</v>
      </c>
      <c r="N649" t="n">
        <v>0</v>
      </c>
      <c r="O649" t="n">
        <v>0</v>
      </c>
      <c r="P649" t="n">
        <v>0</v>
      </c>
      <c r="Q649" t="n">
        <v>0</v>
      </c>
      <c r="R649" s="2" t="inlineStr"/>
    </row>
    <row r="650" ht="15" customHeight="1">
      <c r="A650" t="inlineStr">
        <is>
          <t>A 12099-2023</t>
        </is>
      </c>
      <c r="B650" s="1" t="n">
        <v>44998</v>
      </c>
      <c r="C650" s="1" t="n">
        <v>45728</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12102-2023</t>
        </is>
      </c>
      <c r="B651" s="1" t="n">
        <v>44998</v>
      </c>
      <c r="C651" s="1" t="n">
        <v>45728</v>
      </c>
      <c r="D651" t="inlineStr">
        <is>
          <t>ÖREBRO LÄN</t>
        </is>
      </c>
      <c r="E651" t="inlineStr">
        <is>
          <t>ÖREBRO</t>
        </is>
      </c>
      <c r="G651" t="n">
        <v>3.5</v>
      </c>
      <c r="H651" t="n">
        <v>0</v>
      </c>
      <c r="I651" t="n">
        <v>0</v>
      </c>
      <c r="J651" t="n">
        <v>0</v>
      </c>
      <c r="K651" t="n">
        <v>0</v>
      </c>
      <c r="L651" t="n">
        <v>0</v>
      </c>
      <c r="M651" t="n">
        <v>0</v>
      </c>
      <c r="N651" t="n">
        <v>0</v>
      </c>
      <c r="O651" t="n">
        <v>0</v>
      </c>
      <c r="P651" t="n">
        <v>0</v>
      </c>
      <c r="Q651" t="n">
        <v>0</v>
      </c>
      <c r="R651" s="2" t="inlineStr"/>
    </row>
    <row r="652" ht="15" customHeight="1">
      <c r="A652" t="inlineStr">
        <is>
          <t>A 12245-2023</t>
        </is>
      </c>
      <c r="B652" s="1" t="n">
        <v>44998</v>
      </c>
      <c r="C652" s="1" t="n">
        <v>45728</v>
      </c>
      <c r="D652" t="inlineStr">
        <is>
          <t>ÖREBRO LÄN</t>
        </is>
      </c>
      <c r="E652" t="inlineStr">
        <is>
          <t>ÖREBRO</t>
        </is>
      </c>
      <c r="G652" t="n">
        <v>1.2</v>
      </c>
      <c r="H652" t="n">
        <v>0</v>
      </c>
      <c r="I652" t="n">
        <v>0</v>
      </c>
      <c r="J652" t="n">
        <v>0</v>
      </c>
      <c r="K652" t="n">
        <v>0</v>
      </c>
      <c r="L652" t="n">
        <v>0</v>
      </c>
      <c r="M652" t="n">
        <v>0</v>
      </c>
      <c r="N652" t="n">
        <v>0</v>
      </c>
      <c r="O652" t="n">
        <v>0</v>
      </c>
      <c r="P652" t="n">
        <v>0</v>
      </c>
      <c r="Q652" t="n">
        <v>0</v>
      </c>
      <c r="R652" s="2" t="inlineStr"/>
    </row>
    <row r="653" ht="15" customHeight="1">
      <c r="A653" t="inlineStr">
        <is>
          <t>A 12638-2023</t>
        </is>
      </c>
      <c r="B653" s="1" t="n">
        <v>45000</v>
      </c>
      <c r="C653" s="1" t="n">
        <v>45728</v>
      </c>
      <c r="D653" t="inlineStr">
        <is>
          <t>ÖREBRO LÄN</t>
        </is>
      </c>
      <c r="E653" t="inlineStr">
        <is>
          <t>ÖREBRO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12682-2023</t>
        </is>
      </c>
      <c r="B654" s="1" t="n">
        <v>45000</v>
      </c>
      <c r="C654" s="1" t="n">
        <v>45728</v>
      </c>
      <c r="D654" t="inlineStr">
        <is>
          <t>ÖREBRO LÄN</t>
        </is>
      </c>
      <c r="E654" t="inlineStr">
        <is>
          <t>ÖREBRO</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13181-2023</t>
        </is>
      </c>
      <c r="B655" s="1" t="n">
        <v>45002</v>
      </c>
      <c r="C655" s="1" t="n">
        <v>45728</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13355-2023</t>
        </is>
      </c>
      <c r="B656" s="1" t="n">
        <v>45004</v>
      </c>
      <c r="C656" s="1" t="n">
        <v>45728</v>
      </c>
      <c r="D656" t="inlineStr">
        <is>
          <t>ÖREBRO LÄN</t>
        </is>
      </c>
      <c r="E656" t="inlineStr">
        <is>
          <t>ÖREBRO</t>
        </is>
      </c>
      <c r="G656" t="n">
        <v>2.3</v>
      </c>
      <c r="H656" t="n">
        <v>0</v>
      </c>
      <c r="I656" t="n">
        <v>0</v>
      </c>
      <c r="J656" t="n">
        <v>0</v>
      </c>
      <c r="K656" t="n">
        <v>0</v>
      </c>
      <c r="L656" t="n">
        <v>0</v>
      </c>
      <c r="M656" t="n">
        <v>0</v>
      </c>
      <c r="N656" t="n">
        <v>0</v>
      </c>
      <c r="O656" t="n">
        <v>0</v>
      </c>
      <c r="P656" t="n">
        <v>0</v>
      </c>
      <c r="Q656" t="n">
        <v>0</v>
      </c>
      <c r="R656" s="2" t="inlineStr"/>
    </row>
    <row r="657" ht="15" customHeight="1">
      <c r="A657" t="inlineStr">
        <is>
          <t>A 13347-2023</t>
        </is>
      </c>
      <c r="B657" s="1" t="n">
        <v>45004</v>
      </c>
      <c r="C657" s="1" t="n">
        <v>45728</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13592-2023</t>
        </is>
      </c>
      <c r="B658" s="1" t="n">
        <v>45006</v>
      </c>
      <c r="C658" s="1" t="n">
        <v>45728</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13762-2023</t>
        </is>
      </c>
      <c r="B659" s="1" t="n">
        <v>45007</v>
      </c>
      <c r="C659" s="1" t="n">
        <v>45728</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13763-2023</t>
        </is>
      </c>
      <c r="B660" s="1" t="n">
        <v>45007</v>
      </c>
      <c r="C660" s="1" t="n">
        <v>45728</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13764-2023</t>
        </is>
      </c>
      <c r="B661" s="1" t="n">
        <v>45007</v>
      </c>
      <c r="C661" s="1" t="n">
        <v>45728</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14003-2023</t>
        </is>
      </c>
      <c r="B662" s="1" t="n">
        <v>45007</v>
      </c>
      <c r="C662" s="1" t="n">
        <v>45728</v>
      </c>
      <c r="D662" t="inlineStr">
        <is>
          <t>ÖREBRO LÄN</t>
        </is>
      </c>
      <c r="E662" t="inlineStr">
        <is>
          <t>ÖREBRO</t>
        </is>
      </c>
      <c r="G662" t="n">
        <v>3.1</v>
      </c>
      <c r="H662" t="n">
        <v>0</v>
      </c>
      <c r="I662" t="n">
        <v>0</v>
      </c>
      <c r="J662" t="n">
        <v>0</v>
      </c>
      <c r="K662" t="n">
        <v>0</v>
      </c>
      <c r="L662" t="n">
        <v>0</v>
      </c>
      <c r="M662" t="n">
        <v>0</v>
      </c>
      <c r="N662" t="n">
        <v>0</v>
      </c>
      <c r="O662" t="n">
        <v>0</v>
      </c>
      <c r="P662" t="n">
        <v>0</v>
      </c>
      <c r="Q662" t="n">
        <v>0</v>
      </c>
      <c r="R662" s="2" t="inlineStr"/>
    </row>
    <row r="663" ht="15" customHeight="1">
      <c r="A663" t="inlineStr">
        <is>
          <t>A 13912-2023</t>
        </is>
      </c>
      <c r="B663" s="1" t="n">
        <v>45008</v>
      </c>
      <c r="C663" s="1" t="n">
        <v>45728</v>
      </c>
      <c r="D663" t="inlineStr">
        <is>
          <t>ÖREBRO LÄN</t>
        </is>
      </c>
      <c r="E663" t="inlineStr">
        <is>
          <t>ÖREBRO</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14289-2023</t>
        </is>
      </c>
      <c r="B664" s="1" t="n">
        <v>45010</v>
      </c>
      <c r="C664" s="1" t="n">
        <v>45728</v>
      </c>
      <c r="D664" t="inlineStr">
        <is>
          <t>ÖREBRO LÄN</t>
        </is>
      </c>
      <c r="E664" t="inlineStr">
        <is>
          <t>ÖREBRO</t>
        </is>
      </c>
      <c r="G664" t="n">
        <v>1.5</v>
      </c>
      <c r="H664" t="n">
        <v>0</v>
      </c>
      <c r="I664" t="n">
        <v>0</v>
      </c>
      <c r="J664" t="n">
        <v>0</v>
      </c>
      <c r="K664" t="n">
        <v>0</v>
      </c>
      <c r="L664" t="n">
        <v>0</v>
      </c>
      <c r="M664" t="n">
        <v>0</v>
      </c>
      <c r="N664" t="n">
        <v>0</v>
      </c>
      <c r="O664" t="n">
        <v>0</v>
      </c>
      <c r="P664" t="n">
        <v>0</v>
      </c>
      <c r="Q664" t="n">
        <v>0</v>
      </c>
      <c r="R664" s="2" t="inlineStr"/>
    </row>
    <row r="665" ht="15" customHeight="1">
      <c r="A665" t="inlineStr">
        <is>
          <t>A 14291-2023</t>
        </is>
      </c>
      <c r="B665" s="1" t="n">
        <v>45010</v>
      </c>
      <c r="C665" s="1" t="n">
        <v>45728</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14290-2023</t>
        </is>
      </c>
      <c r="B666" s="1" t="n">
        <v>45010</v>
      </c>
      <c r="C666" s="1" t="n">
        <v>45728</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14469-2023</t>
        </is>
      </c>
      <c r="B667" s="1" t="n">
        <v>45012</v>
      </c>
      <c r="C667" s="1" t="n">
        <v>45728</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14432-2023</t>
        </is>
      </c>
      <c r="B668" s="1" t="n">
        <v>45012</v>
      </c>
      <c r="C668" s="1" t="n">
        <v>45728</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14487-2023</t>
        </is>
      </c>
      <c r="B669" s="1" t="n">
        <v>45012</v>
      </c>
      <c r="C669" s="1" t="n">
        <v>45728</v>
      </c>
      <c r="D669" t="inlineStr">
        <is>
          <t>ÖREBRO LÄN</t>
        </is>
      </c>
      <c r="E669" t="inlineStr">
        <is>
          <t>ÖREBRO</t>
        </is>
      </c>
      <c r="G669" t="n">
        <v>0.5</v>
      </c>
      <c r="H669" t="n">
        <v>0</v>
      </c>
      <c r="I669" t="n">
        <v>0</v>
      </c>
      <c r="J669" t="n">
        <v>0</v>
      </c>
      <c r="K669" t="n">
        <v>0</v>
      </c>
      <c r="L669" t="n">
        <v>0</v>
      </c>
      <c r="M669" t="n">
        <v>0</v>
      </c>
      <c r="N669" t="n">
        <v>0</v>
      </c>
      <c r="O669" t="n">
        <v>0</v>
      </c>
      <c r="P669" t="n">
        <v>0</v>
      </c>
      <c r="Q669" t="n">
        <v>0</v>
      </c>
      <c r="R669" s="2" t="inlineStr"/>
    </row>
    <row r="670" ht="15" customHeight="1">
      <c r="A670" t="inlineStr">
        <is>
          <t>A 14543-2023</t>
        </is>
      </c>
      <c r="B670" s="1" t="n">
        <v>45013</v>
      </c>
      <c r="C670" s="1" t="n">
        <v>45728</v>
      </c>
      <c r="D670" t="inlineStr">
        <is>
          <t>ÖREBRO LÄN</t>
        </is>
      </c>
      <c r="E670" t="inlineStr">
        <is>
          <t>ÖREBRO</t>
        </is>
      </c>
      <c r="G670" t="n">
        <v>4.5</v>
      </c>
      <c r="H670" t="n">
        <v>0</v>
      </c>
      <c r="I670" t="n">
        <v>0</v>
      </c>
      <c r="J670" t="n">
        <v>0</v>
      </c>
      <c r="K670" t="n">
        <v>0</v>
      </c>
      <c r="L670" t="n">
        <v>0</v>
      </c>
      <c r="M670" t="n">
        <v>0</v>
      </c>
      <c r="N670" t="n">
        <v>0</v>
      </c>
      <c r="O670" t="n">
        <v>0</v>
      </c>
      <c r="P670" t="n">
        <v>0</v>
      </c>
      <c r="Q670" t="n">
        <v>0</v>
      </c>
      <c r="R670" s="2" t="inlineStr"/>
    </row>
    <row r="671" ht="15" customHeight="1">
      <c r="A671" t="inlineStr">
        <is>
          <t>A 14544-2023</t>
        </is>
      </c>
      <c r="B671" s="1" t="n">
        <v>45013</v>
      </c>
      <c r="C671" s="1" t="n">
        <v>45728</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14571-2023</t>
        </is>
      </c>
      <c r="B672" s="1" t="n">
        <v>45013</v>
      </c>
      <c r="C672" s="1" t="n">
        <v>45728</v>
      </c>
      <c r="D672" t="inlineStr">
        <is>
          <t>ÖREBRO LÄN</t>
        </is>
      </c>
      <c r="E672" t="inlineStr">
        <is>
          <t>ÖREBRO</t>
        </is>
      </c>
      <c r="G672" t="n">
        <v>3</v>
      </c>
      <c r="H672" t="n">
        <v>0</v>
      </c>
      <c r="I672" t="n">
        <v>0</v>
      </c>
      <c r="J672" t="n">
        <v>0</v>
      </c>
      <c r="K672" t="n">
        <v>0</v>
      </c>
      <c r="L672" t="n">
        <v>0</v>
      </c>
      <c r="M672" t="n">
        <v>0</v>
      </c>
      <c r="N672" t="n">
        <v>0</v>
      </c>
      <c r="O672" t="n">
        <v>0</v>
      </c>
      <c r="P672" t="n">
        <v>0</v>
      </c>
      <c r="Q672" t="n">
        <v>0</v>
      </c>
      <c r="R672" s="2" t="inlineStr"/>
    </row>
    <row r="673" ht="15" customHeight="1">
      <c r="A673" t="inlineStr">
        <is>
          <t>A 14545-2023</t>
        </is>
      </c>
      <c r="B673" s="1" t="n">
        <v>45013</v>
      </c>
      <c r="C673" s="1" t="n">
        <v>45728</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14630-2023</t>
        </is>
      </c>
      <c r="B674" s="1" t="n">
        <v>45013</v>
      </c>
      <c r="C674" s="1" t="n">
        <v>45728</v>
      </c>
      <c r="D674" t="inlineStr">
        <is>
          <t>ÖREBRO LÄN</t>
        </is>
      </c>
      <c r="E674" t="inlineStr">
        <is>
          <t>ÖREBRO</t>
        </is>
      </c>
      <c r="G674" t="n">
        <v>1.1</v>
      </c>
      <c r="H674" t="n">
        <v>0</v>
      </c>
      <c r="I674" t="n">
        <v>0</v>
      </c>
      <c r="J674" t="n">
        <v>0</v>
      </c>
      <c r="K674" t="n">
        <v>0</v>
      </c>
      <c r="L674" t="n">
        <v>0</v>
      </c>
      <c r="M674" t="n">
        <v>0</v>
      </c>
      <c r="N674" t="n">
        <v>0</v>
      </c>
      <c r="O674" t="n">
        <v>0</v>
      </c>
      <c r="P674" t="n">
        <v>0</v>
      </c>
      <c r="Q674" t="n">
        <v>0</v>
      </c>
      <c r="R674" s="2" t="inlineStr"/>
    </row>
    <row r="675" ht="15" customHeight="1">
      <c r="A675" t="inlineStr">
        <is>
          <t>A 15473-2023</t>
        </is>
      </c>
      <c r="B675" s="1" t="n">
        <v>45016</v>
      </c>
      <c r="C675" s="1" t="n">
        <v>45728</v>
      </c>
      <c r="D675" t="inlineStr">
        <is>
          <t>ÖREBRO LÄN</t>
        </is>
      </c>
      <c r="E675" t="inlineStr">
        <is>
          <t>ÖREBRO</t>
        </is>
      </c>
      <c r="G675" t="n">
        <v>3.8</v>
      </c>
      <c r="H675" t="n">
        <v>0</v>
      </c>
      <c r="I675" t="n">
        <v>0</v>
      </c>
      <c r="J675" t="n">
        <v>0</v>
      </c>
      <c r="K675" t="n">
        <v>0</v>
      </c>
      <c r="L675" t="n">
        <v>0</v>
      </c>
      <c r="M675" t="n">
        <v>0</v>
      </c>
      <c r="N675" t="n">
        <v>0</v>
      </c>
      <c r="O675" t="n">
        <v>0</v>
      </c>
      <c r="P675" t="n">
        <v>0</v>
      </c>
      <c r="Q675" t="n">
        <v>0</v>
      </c>
      <c r="R675" s="2" t="inlineStr"/>
    </row>
    <row r="676" ht="15" customHeight="1">
      <c r="A676" t="inlineStr">
        <is>
          <t>A 15679-2023</t>
        </is>
      </c>
      <c r="B676" s="1" t="n">
        <v>45021</v>
      </c>
      <c r="C676" s="1" t="n">
        <v>45728</v>
      </c>
      <c r="D676" t="inlineStr">
        <is>
          <t>ÖREBRO LÄN</t>
        </is>
      </c>
      <c r="E676" t="inlineStr">
        <is>
          <t>ÖREBRO</t>
        </is>
      </c>
      <c r="G676" t="n">
        <v>4.2</v>
      </c>
      <c r="H676" t="n">
        <v>0</v>
      </c>
      <c r="I676" t="n">
        <v>0</v>
      </c>
      <c r="J676" t="n">
        <v>0</v>
      </c>
      <c r="K676" t="n">
        <v>0</v>
      </c>
      <c r="L676" t="n">
        <v>0</v>
      </c>
      <c r="M676" t="n">
        <v>0</v>
      </c>
      <c r="N676" t="n">
        <v>0</v>
      </c>
      <c r="O676" t="n">
        <v>0</v>
      </c>
      <c r="P676" t="n">
        <v>0</v>
      </c>
      <c r="Q676" t="n">
        <v>0</v>
      </c>
      <c r="R676" s="2" t="inlineStr"/>
    </row>
    <row r="677" ht="15" customHeight="1">
      <c r="A677" t="inlineStr">
        <is>
          <t>A 15789-2023</t>
        </is>
      </c>
      <c r="B677" s="1" t="n">
        <v>45021</v>
      </c>
      <c r="C677" s="1" t="n">
        <v>45728</v>
      </c>
      <c r="D677" t="inlineStr">
        <is>
          <t>ÖREBRO LÄN</t>
        </is>
      </c>
      <c r="E677" t="inlineStr">
        <is>
          <t>ÖREBRO</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15682-2023</t>
        </is>
      </c>
      <c r="B678" s="1" t="n">
        <v>45021</v>
      </c>
      <c r="C678" s="1" t="n">
        <v>45728</v>
      </c>
      <c r="D678" t="inlineStr">
        <is>
          <t>ÖREBRO LÄN</t>
        </is>
      </c>
      <c r="E678" t="inlineStr">
        <is>
          <t>ÖREBRO</t>
        </is>
      </c>
      <c r="G678" t="n">
        <v>1.3</v>
      </c>
      <c r="H678" t="n">
        <v>0</v>
      </c>
      <c r="I678" t="n">
        <v>0</v>
      </c>
      <c r="J678" t="n">
        <v>0</v>
      </c>
      <c r="K678" t="n">
        <v>0</v>
      </c>
      <c r="L678" t="n">
        <v>0</v>
      </c>
      <c r="M678" t="n">
        <v>0</v>
      </c>
      <c r="N678" t="n">
        <v>0</v>
      </c>
      <c r="O678" t="n">
        <v>0</v>
      </c>
      <c r="P678" t="n">
        <v>0</v>
      </c>
      <c r="Q678" t="n">
        <v>0</v>
      </c>
      <c r="R678" s="2" t="inlineStr"/>
    </row>
    <row r="679" ht="15" customHeight="1">
      <c r="A679" t="inlineStr">
        <is>
          <t>A 16140-2023</t>
        </is>
      </c>
      <c r="B679" s="1" t="n">
        <v>45027</v>
      </c>
      <c r="C679" s="1" t="n">
        <v>45728</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16165-2023</t>
        </is>
      </c>
      <c r="B680" s="1" t="n">
        <v>45027</v>
      </c>
      <c r="C680" s="1" t="n">
        <v>45728</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16908-2023</t>
        </is>
      </c>
      <c r="B681" s="1" t="n">
        <v>45028</v>
      </c>
      <c r="C681" s="1" t="n">
        <v>45728</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16498-2023</t>
        </is>
      </c>
      <c r="B682" s="1" t="n">
        <v>45029</v>
      </c>
      <c r="C682" s="1" t="n">
        <v>45728</v>
      </c>
      <c r="D682" t="inlineStr">
        <is>
          <t>ÖREBRO LÄN</t>
        </is>
      </c>
      <c r="E682" t="inlineStr">
        <is>
          <t>ÖREBRO</t>
        </is>
      </c>
      <c r="G682" t="n">
        <v>9.1</v>
      </c>
      <c r="H682" t="n">
        <v>0</v>
      </c>
      <c r="I682" t="n">
        <v>0</v>
      </c>
      <c r="J682" t="n">
        <v>0</v>
      </c>
      <c r="K682" t="n">
        <v>0</v>
      </c>
      <c r="L682" t="n">
        <v>0</v>
      </c>
      <c r="M682" t="n">
        <v>0</v>
      </c>
      <c r="N682" t="n">
        <v>0</v>
      </c>
      <c r="O682" t="n">
        <v>0</v>
      </c>
      <c r="P682" t="n">
        <v>0</v>
      </c>
      <c r="Q682" t="n">
        <v>0</v>
      </c>
      <c r="R682" s="2" t="inlineStr"/>
    </row>
    <row r="683" ht="15" customHeight="1">
      <c r="A683" t="inlineStr">
        <is>
          <t>A 16739-2023</t>
        </is>
      </c>
      <c r="B683" s="1" t="n">
        <v>45030</v>
      </c>
      <c r="C683" s="1" t="n">
        <v>45728</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16737-2023</t>
        </is>
      </c>
      <c r="B684" s="1" t="n">
        <v>45030</v>
      </c>
      <c r="C684" s="1" t="n">
        <v>45728</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16736-2023</t>
        </is>
      </c>
      <c r="B685" s="1" t="n">
        <v>45030</v>
      </c>
      <c r="C685" s="1" t="n">
        <v>45728</v>
      </c>
      <c r="D685" t="inlineStr">
        <is>
          <t>ÖREBRO LÄN</t>
        </is>
      </c>
      <c r="E685" t="inlineStr">
        <is>
          <t>ÖREBRO</t>
        </is>
      </c>
      <c r="G685" t="n">
        <v>4</v>
      </c>
      <c r="H685" t="n">
        <v>0</v>
      </c>
      <c r="I685" t="n">
        <v>0</v>
      </c>
      <c r="J685" t="n">
        <v>0</v>
      </c>
      <c r="K685" t="n">
        <v>0</v>
      </c>
      <c r="L685" t="n">
        <v>0</v>
      </c>
      <c r="M685" t="n">
        <v>0</v>
      </c>
      <c r="N685" t="n">
        <v>0</v>
      </c>
      <c r="O685" t="n">
        <v>0</v>
      </c>
      <c r="P685" t="n">
        <v>0</v>
      </c>
      <c r="Q685" t="n">
        <v>0</v>
      </c>
      <c r="R685" s="2" t="inlineStr"/>
    </row>
    <row r="686" ht="15" customHeight="1">
      <c r="A686" t="inlineStr">
        <is>
          <t>A 16742-2023</t>
        </is>
      </c>
      <c r="B686" s="1" t="n">
        <v>45030</v>
      </c>
      <c r="C686" s="1" t="n">
        <v>45728</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16936-2023</t>
        </is>
      </c>
      <c r="B687" s="1" t="n">
        <v>45033</v>
      </c>
      <c r="C687" s="1" t="n">
        <v>45728</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17465-2023</t>
        </is>
      </c>
      <c r="B688" s="1" t="n">
        <v>45036</v>
      </c>
      <c r="C688" s="1" t="n">
        <v>45728</v>
      </c>
      <c r="D688" t="inlineStr">
        <is>
          <t>ÖREBRO LÄN</t>
        </is>
      </c>
      <c r="E688" t="inlineStr">
        <is>
          <t>ÖREBRO</t>
        </is>
      </c>
      <c r="G688" t="n">
        <v>0.8</v>
      </c>
      <c r="H688" t="n">
        <v>0</v>
      </c>
      <c r="I688" t="n">
        <v>0</v>
      </c>
      <c r="J688" t="n">
        <v>0</v>
      </c>
      <c r="K688" t="n">
        <v>0</v>
      </c>
      <c r="L688" t="n">
        <v>0</v>
      </c>
      <c r="M688" t="n">
        <v>0</v>
      </c>
      <c r="N688" t="n">
        <v>0</v>
      </c>
      <c r="O688" t="n">
        <v>0</v>
      </c>
      <c r="P688" t="n">
        <v>0</v>
      </c>
      <c r="Q688" t="n">
        <v>0</v>
      </c>
      <c r="R688" s="2" t="inlineStr"/>
    </row>
    <row r="689" ht="15" customHeight="1">
      <c r="A689" t="inlineStr">
        <is>
          <t>A 17476-2023</t>
        </is>
      </c>
      <c r="B689" s="1" t="n">
        <v>45036</v>
      </c>
      <c r="C689" s="1" t="n">
        <v>45728</v>
      </c>
      <c r="D689" t="inlineStr">
        <is>
          <t>ÖREBRO LÄN</t>
        </is>
      </c>
      <c r="E689" t="inlineStr">
        <is>
          <t>ÖREBRO</t>
        </is>
      </c>
      <c r="G689" t="n">
        <v>2.5</v>
      </c>
      <c r="H689" t="n">
        <v>0</v>
      </c>
      <c r="I689" t="n">
        <v>0</v>
      </c>
      <c r="J689" t="n">
        <v>0</v>
      </c>
      <c r="K689" t="n">
        <v>0</v>
      </c>
      <c r="L689" t="n">
        <v>0</v>
      </c>
      <c r="M689" t="n">
        <v>0</v>
      </c>
      <c r="N689" t="n">
        <v>0</v>
      </c>
      <c r="O689" t="n">
        <v>0</v>
      </c>
      <c r="P689" t="n">
        <v>0</v>
      </c>
      <c r="Q689" t="n">
        <v>0</v>
      </c>
      <c r="R689" s="2" t="inlineStr"/>
    </row>
    <row r="690" ht="15" customHeight="1">
      <c r="A690" t="inlineStr">
        <is>
          <t>A 18047-2023</t>
        </is>
      </c>
      <c r="B690" s="1" t="n">
        <v>45040</v>
      </c>
      <c r="C690" s="1" t="n">
        <v>45728</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18449-2023</t>
        </is>
      </c>
      <c r="B691" s="1" t="n">
        <v>45042</v>
      </c>
      <c r="C691" s="1" t="n">
        <v>45728</v>
      </c>
      <c r="D691" t="inlineStr">
        <is>
          <t>ÖREBRO LÄN</t>
        </is>
      </c>
      <c r="E691" t="inlineStr">
        <is>
          <t>ÖREBRO</t>
        </is>
      </c>
      <c r="G691" t="n">
        <v>1.5</v>
      </c>
      <c r="H691" t="n">
        <v>0</v>
      </c>
      <c r="I691" t="n">
        <v>0</v>
      </c>
      <c r="J691" t="n">
        <v>0</v>
      </c>
      <c r="K691" t="n">
        <v>0</v>
      </c>
      <c r="L691" t="n">
        <v>0</v>
      </c>
      <c r="M691" t="n">
        <v>0</v>
      </c>
      <c r="N691" t="n">
        <v>0</v>
      </c>
      <c r="O691" t="n">
        <v>0</v>
      </c>
      <c r="P691" t="n">
        <v>0</v>
      </c>
      <c r="Q691" t="n">
        <v>0</v>
      </c>
      <c r="R691" s="2" t="inlineStr"/>
    </row>
    <row r="692" ht="15" customHeight="1">
      <c r="A692" t="inlineStr">
        <is>
          <t>A 18480-2023</t>
        </is>
      </c>
      <c r="B692" s="1" t="n">
        <v>45042</v>
      </c>
      <c r="C692" s="1" t="n">
        <v>45728</v>
      </c>
      <c r="D692" t="inlineStr">
        <is>
          <t>ÖREBRO LÄN</t>
        </is>
      </c>
      <c r="E692" t="inlineStr">
        <is>
          <t>ÖREBRO</t>
        </is>
      </c>
      <c r="G692" t="n">
        <v>1.8</v>
      </c>
      <c r="H692" t="n">
        <v>0</v>
      </c>
      <c r="I692" t="n">
        <v>0</v>
      </c>
      <c r="J692" t="n">
        <v>0</v>
      </c>
      <c r="K692" t="n">
        <v>0</v>
      </c>
      <c r="L692" t="n">
        <v>0</v>
      </c>
      <c r="M692" t="n">
        <v>0</v>
      </c>
      <c r="N692" t="n">
        <v>0</v>
      </c>
      <c r="O692" t="n">
        <v>0</v>
      </c>
      <c r="P692" t="n">
        <v>0</v>
      </c>
      <c r="Q692" t="n">
        <v>0</v>
      </c>
      <c r="R692" s="2" t="inlineStr"/>
    </row>
    <row r="693" ht="15" customHeight="1">
      <c r="A693" t="inlineStr">
        <is>
          <t>A 18396-2023</t>
        </is>
      </c>
      <c r="B693" s="1" t="n">
        <v>45042</v>
      </c>
      <c r="C693" s="1" t="n">
        <v>45728</v>
      </c>
      <c r="D693" t="inlineStr">
        <is>
          <t>ÖREBRO LÄN</t>
        </is>
      </c>
      <c r="E693" t="inlineStr">
        <is>
          <t>ÖREBRO</t>
        </is>
      </c>
      <c r="G693" t="n">
        <v>26.8</v>
      </c>
      <c r="H693" t="n">
        <v>0</v>
      </c>
      <c r="I693" t="n">
        <v>0</v>
      </c>
      <c r="J693" t="n">
        <v>0</v>
      </c>
      <c r="K693" t="n">
        <v>0</v>
      </c>
      <c r="L693" t="n">
        <v>0</v>
      </c>
      <c r="M693" t="n">
        <v>0</v>
      </c>
      <c r="N693" t="n">
        <v>0</v>
      </c>
      <c r="O693" t="n">
        <v>0</v>
      </c>
      <c r="P693" t="n">
        <v>0</v>
      </c>
      <c r="Q693" t="n">
        <v>0</v>
      </c>
      <c r="R693" s="2" t="inlineStr"/>
    </row>
    <row r="694" ht="15" customHeight="1">
      <c r="A694" t="inlineStr">
        <is>
          <t>A 18450-2023</t>
        </is>
      </c>
      <c r="B694" s="1" t="n">
        <v>45042</v>
      </c>
      <c r="C694" s="1" t="n">
        <v>45728</v>
      </c>
      <c r="D694" t="inlineStr">
        <is>
          <t>ÖREBRO LÄN</t>
        </is>
      </c>
      <c r="E694" t="inlineStr">
        <is>
          <t>ÖREBRO</t>
        </is>
      </c>
      <c r="G694" t="n">
        <v>3.3</v>
      </c>
      <c r="H694" t="n">
        <v>0</v>
      </c>
      <c r="I694" t="n">
        <v>0</v>
      </c>
      <c r="J694" t="n">
        <v>0</v>
      </c>
      <c r="K694" t="n">
        <v>0</v>
      </c>
      <c r="L694" t="n">
        <v>0</v>
      </c>
      <c r="M694" t="n">
        <v>0</v>
      </c>
      <c r="N694" t="n">
        <v>0</v>
      </c>
      <c r="O694" t="n">
        <v>0</v>
      </c>
      <c r="P694" t="n">
        <v>0</v>
      </c>
      <c r="Q694" t="n">
        <v>0</v>
      </c>
      <c r="R694" s="2" t="inlineStr"/>
    </row>
    <row r="695" ht="15" customHeight="1">
      <c r="A695" t="inlineStr">
        <is>
          <t>A 18716-2023</t>
        </is>
      </c>
      <c r="B695" s="1" t="n">
        <v>45043</v>
      </c>
      <c r="C695" s="1" t="n">
        <v>45728</v>
      </c>
      <c r="D695" t="inlineStr">
        <is>
          <t>ÖREBRO LÄN</t>
        </is>
      </c>
      <c r="E695" t="inlineStr">
        <is>
          <t>ÖREBRO</t>
        </is>
      </c>
      <c r="G695" t="n">
        <v>0.7</v>
      </c>
      <c r="H695" t="n">
        <v>0</v>
      </c>
      <c r="I695" t="n">
        <v>0</v>
      </c>
      <c r="J695" t="n">
        <v>0</v>
      </c>
      <c r="K695" t="n">
        <v>0</v>
      </c>
      <c r="L695" t="n">
        <v>0</v>
      </c>
      <c r="M695" t="n">
        <v>0</v>
      </c>
      <c r="N695" t="n">
        <v>0</v>
      </c>
      <c r="O695" t="n">
        <v>0</v>
      </c>
      <c r="P695" t="n">
        <v>0</v>
      </c>
      <c r="Q695" t="n">
        <v>0</v>
      </c>
      <c r="R695" s="2" t="inlineStr"/>
    </row>
    <row r="696" ht="15" customHeight="1">
      <c r="A696" t="inlineStr">
        <is>
          <t>A 18747-2023</t>
        </is>
      </c>
      <c r="B696" s="1" t="n">
        <v>45043</v>
      </c>
      <c r="C696" s="1" t="n">
        <v>45728</v>
      </c>
      <c r="D696" t="inlineStr">
        <is>
          <t>ÖREBRO LÄN</t>
        </is>
      </c>
      <c r="E696" t="inlineStr">
        <is>
          <t>ÖREBRO</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19553-2023</t>
        </is>
      </c>
      <c r="B697" s="1" t="n">
        <v>45050</v>
      </c>
      <c r="C697" s="1" t="n">
        <v>45728</v>
      </c>
      <c r="D697" t="inlineStr">
        <is>
          <t>ÖREBRO LÄN</t>
        </is>
      </c>
      <c r="E697" t="inlineStr">
        <is>
          <t>ÖREBRO</t>
        </is>
      </c>
      <c r="G697" t="n">
        <v>2.1</v>
      </c>
      <c r="H697" t="n">
        <v>0</v>
      </c>
      <c r="I697" t="n">
        <v>0</v>
      </c>
      <c r="J697" t="n">
        <v>0</v>
      </c>
      <c r="K697" t="n">
        <v>0</v>
      </c>
      <c r="L697" t="n">
        <v>0</v>
      </c>
      <c r="M697" t="n">
        <v>0</v>
      </c>
      <c r="N697" t="n">
        <v>0</v>
      </c>
      <c r="O697" t="n">
        <v>0</v>
      </c>
      <c r="P697" t="n">
        <v>0</v>
      </c>
      <c r="Q697" t="n">
        <v>0</v>
      </c>
      <c r="R697" s="2" t="inlineStr"/>
    </row>
    <row r="698" ht="15" customHeight="1">
      <c r="A698" t="inlineStr">
        <is>
          <t>A 20245-2023</t>
        </is>
      </c>
      <c r="B698" s="1" t="n">
        <v>45055</v>
      </c>
      <c r="C698" s="1" t="n">
        <v>45728</v>
      </c>
      <c r="D698" t="inlineStr">
        <is>
          <t>ÖREBRO LÄN</t>
        </is>
      </c>
      <c r="E698" t="inlineStr">
        <is>
          <t>ÖREBRO</t>
        </is>
      </c>
      <c r="F698" t="inlineStr">
        <is>
          <t>Övriga Aktiebolag</t>
        </is>
      </c>
      <c r="G698" t="n">
        <v>11.7</v>
      </c>
      <c r="H698" t="n">
        <v>0</v>
      </c>
      <c r="I698" t="n">
        <v>0</v>
      </c>
      <c r="J698" t="n">
        <v>0</v>
      </c>
      <c r="K698" t="n">
        <v>0</v>
      </c>
      <c r="L698" t="n">
        <v>0</v>
      </c>
      <c r="M698" t="n">
        <v>0</v>
      </c>
      <c r="N698" t="n">
        <v>0</v>
      </c>
      <c r="O698" t="n">
        <v>0</v>
      </c>
      <c r="P698" t="n">
        <v>0</v>
      </c>
      <c r="Q698" t="n">
        <v>0</v>
      </c>
      <c r="R698" s="2" t="inlineStr"/>
    </row>
    <row r="699" ht="15" customHeight="1">
      <c r="A699" t="inlineStr">
        <is>
          <t>A 20249-2023</t>
        </is>
      </c>
      <c r="B699" s="1" t="n">
        <v>45055</v>
      </c>
      <c r="C699" s="1" t="n">
        <v>45728</v>
      </c>
      <c r="D699" t="inlineStr">
        <is>
          <t>ÖREBRO LÄN</t>
        </is>
      </c>
      <c r="E699" t="inlineStr">
        <is>
          <t>ÖREBRO</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20289-2023</t>
        </is>
      </c>
      <c r="B700" s="1" t="n">
        <v>45056</v>
      </c>
      <c r="C700" s="1" t="n">
        <v>45728</v>
      </c>
      <c r="D700" t="inlineStr">
        <is>
          <t>ÖREBRO LÄN</t>
        </is>
      </c>
      <c r="E700" t="inlineStr">
        <is>
          <t>ÖREBRO</t>
        </is>
      </c>
      <c r="F700" t="inlineStr">
        <is>
          <t>Allmännings- och besparingsskogar</t>
        </is>
      </c>
      <c r="G700" t="n">
        <v>3</v>
      </c>
      <c r="H700" t="n">
        <v>0</v>
      </c>
      <c r="I700" t="n">
        <v>0</v>
      </c>
      <c r="J700" t="n">
        <v>0</v>
      </c>
      <c r="K700" t="n">
        <v>0</v>
      </c>
      <c r="L700" t="n">
        <v>0</v>
      </c>
      <c r="M700" t="n">
        <v>0</v>
      </c>
      <c r="N700" t="n">
        <v>0</v>
      </c>
      <c r="O700" t="n">
        <v>0</v>
      </c>
      <c r="P700" t="n">
        <v>0</v>
      </c>
      <c r="Q700" t="n">
        <v>0</v>
      </c>
      <c r="R700" s="2" t="inlineStr"/>
    </row>
    <row r="701" ht="15" customHeight="1">
      <c r="A701" t="inlineStr">
        <is>
          <t>A 21602-2023</t>
        </is>
      </c>
      <c r="B701" s="1" t="n">
        <v>45063</v>
      </c>
      <c r="C701" s="1" t="n">
        <v>45728</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22079-2023</t>
        </is>
      </c>
      <c r="B702" s="1" t="n">
        <v>45069</v>
      </c>
      <c r="C702" s="1" t="n">
        <v>45728</v>
      </c>
      <c r="D702" t="inlineStr">
        <is>
          <t>ÖREBRO LÄN</t>
        </is>
      </c>
      <c r="E702" t="inlineStr">
        <is>
          <t>ÖREBRO</t>
        </is>
      </c>
      <c r="G702" t="n">
        <v>1.3</v>
      </c>
      <c r="H702" t="n">
        <v>0</v>
      </c>
      <c r="I702" t="n">
        <v>0</v>
      </c>
      <c r="J702" t="n">
        <v>0</v>
      </c>
      <c r="K702" t="n">
        <v>0</v>
      </c>
      <c r="L702" t="n">
        <v>0</v>
      </c>
      <c r="M702" t="n">
        <v>0</v>
      </c>
      <c r="N702" t="n">
        <v>0</v>
      </c>
      <c r="O702" t="n">
        <v>0</v>
      </c>
      <c r="P702" t="n">
        <v>0</v>
      </c>
      <c r="Q702" t="n">
        <v>0</v>
      </c>
      <c r="R702" s="2" t="inlineStr"/>
    </row>
    <row r="703" ht="15" customHeight="1">
      <c r="A703" t="inlineStr">
        <is>
          <t>A 22047-2023</t>
        </is>
      </c>
      <c r="B703" s="1" t="n">
        <v>45069</v>
      </c>
      <c r="C703" s="1" t="n">
        <v>45728</v>
      </c>
      <c r="D703" t="inlineStr">
        <is>
          <t>ÖREBRO LÄN</t>
        </is>
      </c>
      <c r="E703" t="inlineStr">
        <is>
          <t>ÖREBRO</t>
        </is>
      </c>
      <c r="G703" t="n">
        <v>3.8</v>
      </c>
      <c r="H703" t="n">
        <v>0</v>
      </c>
      <c r="I703" t="n">
        <v>0</v>
      </c>
      <c r="J703" t="n">
        <v>0</v>
      </c>
      <c r="K703" t="n">
        <v>0</v>
      </c>
      <c r="L703" t="n">
        <v>0</v>
      </c>
      <c r="M703" t="n">
        <v>0</v>
      </c>
      <c r="N703" t="n">
        <v>0</v>
      </c>
      <c r="O703" t="n">
        <v>0</v>
      </c>
      <c r="P703" t="n">
        <v>0</v>
      </c>
      <c r="Q703" t="n">
        <v>0</v>
      </c>
      <c r="R703" s="2" t="inlineStr"/>
    </row>
    <row r="704" ht="15" customHeight="1">
      <c r="A704" t="inlineStr">
        <is>
          <t>A 22298-2023</t>
        </is>
      </c>
      <c r="B704" s="1" t="n">
        <v>45070</v>
      </c>
      <c r="C704" s="1" t="n">
        <v>45728</v>
      </c>
      <c r="D704" t="inlineStr">
        <is>
          <t>ÖREBRO LÄN</t>
        </is>
      </c>
      <c r="E704" t="inlineStr">
        <is>
          <t>ÖREBRO</t>
        </is>
      </c>
      <c r="G704" t="n">
        <v>1</v>
      </c>
      <c r="H704" t="n">
        <v>0</v>
      </c>
      <c r="I704" t="n">
        <v>0</v>
      </c>
      <c r="J704" t="n">
        <v>0</v>
      </c>
      <c r="K704" t="n">
        <v>0</v>
      </c>
      <c r="L704" t="n">
        <v>0</v>
      </c>
      <c r="M704" t="n">
        <v>0</v>
      </c>
      <c r="N704" t="n">
        <v>0</v>
      </c>
      <c r="O704" t="n">
        <v>0</v>
      </c>
      <c r="P704" t="n">
        <v>0</v>
      </c>
      <c r="Q704" t="n">
        <v>0</v>
      </c>
      <c r="R704" s="2" t="inlineStr"/>
    </row>
    <row r="705" ht="15" customHeight="1">
      <c r="A705" t="inlineStr">
        <is>
          <t>A 22451-2023</t>
        </is>
      </c>
      <c r="B705" s="1" t="n">
        <v>45070</v>
      </c>
      <c r="C705" s="1" t="n">
        <v>45728</v>
      </c>
      <c r="D705" t="inlineStr">
        <is>
          <t>ÖREBRO LÄN</t>
        </is>
      </c>
      <c r="E705" t="inlineStr">
        <is>
          <t>ÖREBRO</t>
        </is>
      </c>
      <c r="G705" t="n">
        <v>8</v>
      </c>
      <c r="H705" t="n">
        <v>0</v>
      </c>
      <c r="I705" t="n">
        <v>0</v>
      </c>
      <c r="J705" t="n">
        <v>0</v>
      </c>
      <c r="K705" t="n">
        <v>0</v>
      </c>
      <c r="L705" t="n">
        <v>0</v>
      </c>
      <c r="M705" t="n">
        <v>0</v>
      </c>
      <c r="N705" t="n">
        <v>0</v>
      </c>
      <c r="O705" t="n">
        <v>0</v>
      </c>
      <c r="P705" t="n">
        <v>0</v>
      </c>
      <c r="Q705" t="n">
        <v>0</v>
      </c>
      <c r="R705" s="2" t="inlineStr"/>
    </row>
    <row r="706" ht="15" customHeight="1">
      <c r="A706" t="inlineStr">
        <is>
          <t>A 22639-2023</t>
        </is>
      </c>
      <c r="B706" s="1" t="n">
        <v>45071</v>
      </c>
      <c r="C706" s="1" t="n">
        <v>45728</v>
      </c>
      <c r="D706" t="inlineStr">
        <is>
          <t>ÖREBRO LÄN</t>
        </is>
      </c>
      <c r="E706" t="inlineStr">
        <is>
          <t>ÖREBRO</t>
        </is>
      </c>
      <c r="G706" t="n">
        <v>3.7</v>
      </c>
      <c r="H706" t="n">
        <v>0</v>
      </c>
      <c r="I706" t="n">
        <v>0</v>
      </c>
      <c r="J706" t="n">
        <v>0</v>
      </c>
      <c r="K706" t="n">
        <v>0</v>
      </c>
      <c r="L706" t="n">
        <v>0</v>
      </c>
      <c r="M706" t="n">
        <v>0</v>
      </c>
      <c r="N706" t="n">
        <v>0</v>
      </c>
      <c r="O706" t="n">
        <v>0</v>
      </c>
      <c r="P706" t="n">
        <v>0</v>
      </c>
      <c r="Q706" t="n">
        <v>0</v>
      </c>
      <c r="R706" s="2" t="inlineStr"/>
    </row>
    <row r="707" ht="15" customHeight="1">
      <c r="A707" t="inlineStr">
        <is>
          <t>A 23179-2023</t>
        </is>
      </c>
      <c r="B707" s="1" t="n">
        <v>45075</v>
      </c>
      <c r="C707" s="1" t="n">
        <v>45728</v>
      </c>
      <c r="D707" t="inlineStr">
        <is>
          <t>ÖREBRO LÄN</t>
        </is>
      </c>
      <c r="E707" t="inlineStr">
        <is>
          <t>ÖREBRO</t>
        </is>
      </c>
      <c r="G707" t="n">
        <v>1.2</v>
      </c>
      <c r="H707" t="n">
        <v>0</v>
      </c>
      <c r="I707" t="n">
        <v>0</v>
      </c>
      <c r="J707" t="n">
        <v>0</v>
      </c>
      <c r="K707" t="n">
        <v>0</v>
      </c>
      <c r="L707" t="n">
        <v>0</v>
      </c>
      <c r="M707" t="n">
        <v>0</v>
      </c>
      <c r="N707" t="n">
        <v>0</v>
      </c>
      <c r="O707" t="n">
        <v>0</v>
      </c>
      <c r="P707" t="n">
        <v>0</v>
      </c>
      <c r="Q707" t="n">
        <v>0</v>
      </c>
      <c r="R707" s="2" t="inlineStr"/>
    </row>
    <row r="708" ht="15" customHeight="1">
      <c r="A708" t="inlineStr">
        <is>
          <t>A 23573-2023</t>
        </is>
      </c>
      <c r="B708" s="1" t="n">
        <v>45077</v>
      </c>
      <c r="C708" s="1" t="n">
        <v>45728</v>
      </c>
      <c r="D708" t="inlineStr">
        <is>
          <t>ÖREBRO LÄN</t>
        </is>
      </c>
      <c r="E708" t="inlineStr">
        <is>
          <t>ÖREBRO</t>
        </is>
      </c>
      <c r="G708" t="n">
        <v>2.9</v>
      </c>
      <c r="H708" t="n">
        <v>0</v>
      </c>
      <c r="I708" t="n">
        <v>0</v>
      </c>
      <c r="J708" t="n">
        <v>0</v>
      </c>
      <c r="K708" t="n">
        <v>0</v>
      </c>
      <c r="L708" t="n">
        <v>0</v>
      </c>
      <c r="M708" t="n">
        <v>0</v>
      </c>
      <c r="N708" t="n">
        <v>0</v>
      </c>
      <c r="O708" t="n">
        <v>0</v>
      </c>
      <c r="P708" t="n">
        <v>0</v>
      </c>
      <c r="Q708" t="n">
        <v>0</v>
      </c>
      <c r="R708" s="2" t="inlineStr"/>
    </row>
    <row r="709" ht="15" customHeight="1">
      <c r="A709" t="inlineStr">
        <is>
          <t>A 23594-2023</t>
        </is>
      </c>
      <c r="B709" s="1" t="n">
        <v>45077</v>
      </c>
      <c r="C709" s="1" t="n">
        <v>45728</v>
      </c>
      <c r="D709" t="inlineStr">
        <is>
          <t>ÖREBRO LÄN</t>
        </is>
      </c>
      <c r="E709" t="inlineStr">
        <is>
          <t>ÖREBRO</t>
        </is>
      </c>
      <c r="G709" t="n">
        <v>9.9</v>
      </c>
      <c r="H709" t="n">
        <v>0</v>
      </c>
      <c r="I709" t="n">
        <v>0</v>
      </c>
      <c r="J709" t="n">
        <v>0</v>
      </c>
      <c r="K709" t="n">
        <v>0</v>
      </c>
      <c r="L709" t="n">
        <v>0</v>
      </c>
      <c r="M709" t="n">
        <v>0</v>
      </c>
      <c r="N709" t="n">
        <v>0</v>
      </c>
      <c r="O709" t="n">
        <v>0</v>
      </c>
      <c r="P709" t="n">
        <v>0</v>
      </c>
      <c r="Q709" t="n">
        <v>0</v>
      </c>
      <c r="R709" s="2" t="inlineStr"/>
    </row>
    <row r="710" ht="15" customHeight="1">
      <c r="A710" t="inlineStr">
        <is>
          <t>A 23732-2023</t>
        </is>
      </c>
      <c r="B710" s="1" t="n">
        <v>45077</v>
      </c>
      <c r="C710" s="1" t="n">
        <v>45728</v>
      </c>
      <c r="D710" t="inlineStr">
        <is>
          <t>ÖREBRO LÄN</t>
        </is>
      </c>
      <c r="E710" t="inlineStr">
        <is>
          <t>ÖREBRO</t>
        </is>
      </c>
      <c r="F710" t="inlineStr">
        <is>
          <t>Övriga Aktiebolag</t>
        </is>
      </c>
      <c r="G710" t="n">
        <v>7.4</v>
      </c>
      <c r="H710" t="n">
        <v>0</v>
      </c>
      <c r="I710" t="n">
        <v>0</v>
      </c>
      <c r="J710" t="n">
        <v>0</v>
      </c>
      <c r="K710" t="n">
        <v>0</v>
      </c>
      <c r="L710" t="n">
        <v>0</v>
      </c>
      <c r="M710" t="n">
        <v>0</v>
      </c>
      <c r="N710" t="n">
        <v>0</v>
      </c>
      <c r="O710" t="n">
        <v>0</v>
      </c>
      <c r="P710" t="n">
        <v>0</v>
      </c>
      <c r="Q710" t="n">
        <v>0</v>
      </c>
      <c r="R710" s="2" t="inlineStr"/>
    </row>
    <row r="711" ht="15" customHeight="1">
      <c r="A711" t="inlineStr">
        <is>
          <t>A 23738-2023</t>
        </is>
      </c>
      <c r="B711" s="1" t="n">
        <v>45077</v>
      </c>
      <c r="C711" s="1" t="n">
        <v>45728</v>
      </c>
      <c r="D711" t="inlineStr">
        <is>
          <t>ÖREBRO LÄN</t>
        </is>
      </c>
      <c r="E711" t="inlineStr">
        <is>
          <t>ÖREBRO</t>
        </is>
      </c>
      <c r="F711" t="inlineStr">
        <is>
          <t>Övriga Aktiebolag</t>
        </is>
      </c>
      <c r="G711" t="n">
        <v>4.7</v>
      </c>
      <c r="H711" t="n">
        <v>0</v>
      </c>
      <c r="I711" t="n">
        <v>0</v>
      </c>
      <c r="J711" t="n">
        <v>0</v>
      </c>
      <c r="K711" t="n">
        <v>0</v>
      </c>
      <c r="L711" t="n">
        <v>0</v>
      </c>
      <c r="M711" t="n">
        <v>0</v>
      </c>
      <c r="N711" t="n">
        <v>0</v>
      </c>
      <c r="O711" t="n">
        <v>0</v>
      </c>
      <c r="P711" t="n">
        <v>0</v>
      </c>
      <c r="Q711" t="n">
        <v>0</v>
      </c>
      <c r="R711" s="2" t="inlineStr"/>
    </row>
    <row r="712" ht="15" customHeight="1">
      <c r="A712" t="inlineStr">
        <is>
          <t>A 23863-2023</t>
        </is>
      </c>
      <c r="B712" s="1" t="n">
        <v>45078</v>
      </c>
      <c r="C712" s="1" t="n">
        <v>45728</v>
      </c>
      <c r="D712" t="inlineStr">
        <is>
          <t>ÖREBRO LÄN</t>
        </is>
      </c>
      <c r="E712" t="inlineStr">
        <is>
          <t>ÖREBRO</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24143-2023</t>
        </is>
      </c>
      <c r="B713" s="1" t="n">
        <v>45079</v>
      </c>
      <c r="C713" s="1" t="n">
        <v>45728</v>
      </c>
      <c r="D713" t="inlineStr">
        <is>
          <t>ÖREBRO LÄN</t>
        </is>
      </c>
      <c r="E713" t="inlineStr">
        <is>
          <t>ÖREBRO</t>
        </is>
      </c>
      <c r="G713" t="n">
        <v>2</v>
      </c>
      <c r="H713" t="n">
        <v>0</v>
      </c>
      <c r="I713" t="n">
        <v>0</v>
      </c>
      <c r="J713" t="n">
        <v>0</v>
      </c>
      <c r="K713" t="n">
        <v>0</v>
      </c>
      <c r="L713" t="n">
        <v>0</v>
      </c>
      <c r="M713" t="n">
        <v>0</v>
      </c>
      <c r="N713" t="n">
        <v>0</v>
      </c>
      <c r="O713" t="n">
        <v>0</v>
      </c>
      <c r="P713" t="n">
        <v>0</v>
      </c>
      <c r="Q713" t="n">
        <v>0</v>
      </c>
      <c r="R713" s="2" t="inlineStr"/>
    </row>
    <row r="714" ht="15" customHeight="1">
      <c r="A714" t="inlineStr">
        <is>
          <t>A 25247-2023</t>
        </is>
      </c>
      <c r="B714" s="1" t="n">
        <v>45086</v>
      </c>
      <c r="C714" s="1" t="n">
        <v>45728</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25487-2023</t>
        </is>
      </c>
      <c r="B715" s="1" t="n">
        <v>45089</v>
      </c>
      <c r="C715" s="1" t="n">
        <v>45728</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26765-2023</t>
        </is>
      </c>
      <c r="B716" s="1" t="n">
        <v>45093</v>
      </c>
      <c r="C716" s="1" t="n">
        <v>45728</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27112-2023</t>
        </is>
      </c>
      <c r="B717" s="1" t="n">
        <v>45096</v>
      </c>
      <c r="C717" s="1" t="n">
        <v>45728</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27956-2023</t>
        </is>
      </c>
      <c r="B718" s="1" t="n">
        <v>45098</v>
      </c>
      <c r="C718" s="1" t="n">
        <v>45728</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28632-2023</t>
        </is>
      </c>
      <c r="B719" s="1" t="n">
        <v>45103</v>
      </c>
      <c r="C719" s="1" t="n">
        <v>45728</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29012-2023</t>
        </is>
      </c>
      <c r="B720" s="1" t="n">
        <v>45104</v>
      </c>
      <c r="C720" s="1" t="n">
        <v>45728</v>
      </c>
      <c r="D720" t="inlineStr">
        <is>
          <t>ÖREBRO LÄN</t>
        </is>
      </c>
      <c r="E720" t="inlineStr">
        <is>
          <t>ÖREBRO</t>
        </is>
      </c>
      <c r="G720" t="n">
        <v>2.8</v>
      </c>
      <c r="H720" t="n">
        <v>0</v>
      </c>
      <c r="I720" t="n">
        <v>0</v>
      </c>
      <c r="J720" t="n">
        <v>0</v>
      </c>
      <c r="K720" t="n">
        <v>0</v>
      </c>
      <c r="L720" t="n">
        <v>0</v>
      </c>
      <c r="M720" t="n">
        <v>0</v>
      </c>
      <c r="N720" t="n">
        <v>0</v>
      </c>
      <c r="O720" t="n">
        <v>0</v>
      </c>
      <c r="P720" t="n">
        <v>0</v>
      </c>
      <c r="Q720" t="n">
        <v>0</v>
      </c>
      <c r="R720" s="2" t="inlineStr"/>
    </row>
    <row r="721" ht="15" customHeight="1">
      <c r="A721" t="inlineStr">
        <is>
          <t>A 30015-2023</t>
        </is>
      </c>
      <c r="B721" s="1" t="n">
        <v>45109</v>
      </c>
      <c r="C721" s="1" t="n">
        <v>45728</v>
      </c>
      <c r="D721" t="inlineStr">
        <is>
          <t>ÖREBRO LÄN</t>
        </is>
      </c>
      <c r="E721" t="inlineStr">
        <is>
          <t>ÖREBRO</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30362-2023</t>
        </is>
      </c>
      <c r="B722" s="1" t="n">
        <v>45111</v>
      </c>
      <c r="C722" s="1" t="n">
        <v>45728</v>
      </c>
      <c r="D722" t="inlineStr">
        <is>
          <t>ÖREBRO LÄN</t>
        </is>
      </c>
      <c r="E722" t="inlineStr">
        <is>
          <t>ÖREBRO</t>
        </is>
      </c>
      <c r="F722" t="inlineStr">
        <is>
          <t>Övriga Aktiebolag</t>
        </is>
      </c>
      <c r="G722" t="n">
        <v>6.8</v>
      </c>
      <c r="H722" t="n">
        <v>0</v>
      </c>
      <c r="I722" t="n">
        <v>0</v>
      </c>
      <c r="J722" t="n">
        <v>0</v>
      </c>
      <c r="K722" t="n">
        <v>0</v>
      </c>
      <c r="L722" t="n">
        <v>0</v>
      </c>
      <c r="M722" t="n">
        <v>0</v>
      </c>
      <c r="N722" t="n">
        <v>0</v>
      </c>
      <c r="O722" t="n">
        <v>0</v>
      </c>
      <c r="P722" t="n">
        <v>0</v>
      </c>
      <c r="Q722" t="n">
        <v>0</v>
      </c>
      <c r="R722" s="2" t="inlineStr"/>
    </row>
    <row r="723" ht="15" customHeight="1">
      <c r="A723" t="inlineStr">
        <is>
          <t>A 30403-2023</t>
        </is>
      </c>
      <c r="B723" s="1" t="n">
        <v>45111</v>
      </c>
      <c r="C723" s="1" t="n">
        <v>45728</v>
      </c>
      <c r="D723" t="inlineStr">
        <is>
          <t>ÖREBRO LÄN</t>
        </is>
      </c>
      <c r="E723" t="inlineStr">
        <is>
          <t>ÖREBRO</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30374-2023</t>
        </is>
      </c>
      <c r="B724" s="1" t="n">
        <v>45111</v>
      </c>
      <c r="C724" s="1" t="n">
        <v>45728</v>
      </c>
      <c r="D724" t="inlineStr">
        <is>
          <t>ÖREBRO LÄN</t>
        </is>
      </c>
      <c r="E724" t="inlineStr">
        <is>
          <t>ÖREBRO</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30665-2023</t>
        </is>
      </c>
      <c r="B725" s="1" t="n">
        <v>45112</v>
      </c>
      <c r="C725" s="1" t="n">
        <v>45728</v>
      </c>
      <c r="D725" t="inlineStr">
        <is>
          <t>ÖREBRO LÄN</t>
        </is>
      </c>
      <c r="E725" t="inlineStr">
        <is>
          <t>ÖREBRO</t>
        </is>
      </c>
      <c r="G725" t="n">
        <v>5</v>
      </c>
      <c r="H725" t="n">
        <v>0</v>
      </c>
      <c r="I725" t="n">
        <v>0</v>
      </c>
      <c r="J725" t="n">
        <v>0</v>
      </c>
      <c r="K725" t="n">
        <v>0</v>
      </c>
      <c r="L725" t="n">
        <v>0</v>
      </c>
      <c r="M725" t="n">
        <v>0</v>
      </c>
      <c r="N725" t="n">
        <v>0</v>
      </c>
      <c r="O725" t="n">
        <v>0</v>
      </c>
      <c r="P725" t="n">
        <v>0</v>
      </c>
      <c r="Q725" t="n">
        <v>0</v>
      </c>
      <c r="R725" s="2" t="inlineStr"/>
    </row>
    <row r="726" ht="15" customHeight="1">
      <c r="A726" t="inlineStr">
        <is>
          <t>A 31247-2023</t>
        </is>
      </c>
      <c r="B726" s="1" t="n">
        <v>45114</v>
      </c>
      <c r="C726" s="1" t="n">
        <v>45728</v>
      </c>
      <c r="D726" t="inlineStr">
        <is>
          <t>ÖREBRO LÄN</t>
        </is>
      </c>
      <c r="E726" t="inlineStr">
        <is>
          <t>ÖREBRO</t>
        </is>
      </c>
      <c r="F726" t="inlineStr">
        <is>
          <t>Allmännings- och besparingsskogar</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31267-2023</t>
        </is>
      </c>
      <c r="B727" s="1" t="n">
        <v>45114</v>
      </c>
      <c r="C727" s="1" t="n">
        <v>45728</v>
      </c>
      <c r="D727" t="inlineStr">
        <is>
          <t>ÖREBRO LÄN</t>
        </is>
      </c>
      <c r="E727" t="inlineStr">
        <is>
          <t>ÖREBRO</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31258-2023</t>
        </is>
      </c>
      <c r="B728" s="1" t="n">
        <v>45114</v>
      </c>
      <c r="C728" s="1" t="n">
        <v>45728</v>
      </c>
      <c r="D728" t="inlineStr">
        <is>
          <t>ÖREBRO LÄN</t>
        </is>
      </c>
      <c r="E728" t="inlineStr">
        <is>
          <t>ÖREBRO</t>
        </is>
      </c>
      <c r="F728" t="inlineStr">
        <is>
          <t>Allmännings- och besparingsskogar</t>
        </is>
      </c>
      <c r="G728" t="n">
        <v>4.7</v>
      </c>
      <c r="H728" t="n">
        <v>0</v>
      </c>
      <c r="I728" t="n">
        <v>0</v>
      </c>
      <c r="J728" t="n">
        <v>0</v>
      </c>
      <c r="K728" t="n">
        <v>0</v>
      </c>
      <c r="L728" t="n">
        <v>0</v>
      </c>
      <c r="M728" t="n">
        <v>0</v>
      </c>
      <c r="N728" t="n">
        <v>0</v>
      </c>
      <c r="O728" t="n">
        <v>0</v>
      </c>
      <c r="P728" t="n">
        <v>0</v>
      </c>
      <c r="Q728" t="n">
        <v>0</v>
      </c>
      <c r="R728" s="2" t="inlineStr"/>
    </row>
    <row r="729" ht="15" customHeight="1">
      <c r="A729" t="inlineStr">
        <is>
          <t>A 31270-2023</t>
        </is>
      </c>
      <c r="B729" s="1" t="n">
        <v>45114</v>
      </c>
      <c r="C729" s="1" t="n">
        <v>45728</v>
      </c>
      <c r="D729" t="inlineStr">
        <is>
          <t>ÖREBRO LÄN</t>
        </is>
      </c>
      <c r="E729" t="inlineStr">
        <is>
          <t>ÖREBRO</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31240-2023</t>
        </is>
      </c>
      <c r="B730" s="1" t="n">
        <v>45114</v>
      </c>
      <c r="C730" s="1" t="n">
        <v>45728</v>
      </c>
      <c r="D730" t="inlineStr">
        <is>
          <t>ÖREBRO LÄN</t>
        </is>
      </c>
      <c r="E730" t="inlineStr">
        <is>
          <t>ÖREBRO</t>
        </is>
      </c>
      <c r="F730" t="inlineStr">
        <is>
          <t>Allmännings- och besparingsskogar</t>
        </is>
      </c>
      <c r="G730" t="n">
        <v>6.2</v>
      </c>
      <c r="H730" t="n">
        <v>0</v>
      </c>
      <c r="I730" t="n">
        <v>0</v>
      </c>
      <c r="J730" t="n">
        <v>0</v>
      </c>
      <c r="K730" t="n">
        <v>0</v>
      </c>
      <c r="L730" t="n">
        <v>0</v>
      </c>
      <c r="M730" t="n">
        <v>0</v>
      </c>
      <c r="N730" t="n">
        <v>0</v>
      </c>
      <c r="O730" t="n">
        <v>0</v>
      </c>
      <c r="P730" t="n">
        <v>0</v>
      </c>
      <c r="Q730" t="n">
        <v>0</v>
      </c>
      <c r="R730" s="2" t="inlineStr"/>
    </row>
    <row r="731" ht="15" customHeight="1">
      <c r="A731" t="inlineStr">
        <is>
          <t>A 31447-2023</t>
        </is>
      </c>
      <c r="B731" s="1" t="n">
        <v>45114</v>
      </c>
      <c r="C731" s="1" t="n">
        <v>45728</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31905-2023</t>
        </is>
      </c>
      <c r="B732" s="1" t="n">
        <v>45118</v>
      </c>
      <c r="C732" s="1" t="n">
        <v>45728</v>
      </c>
      <c r="D732" t="inlineStr">
        <is>
          <t>ÖREBRO LÄN</t>
        </is>
      </c>
      <c r="E732" t="inlineStr">
        <is>
          <t>ÖREBRO</t>
        </is>
      </c>
      <c r="G732" t="n">
        <v>2.1</v>
      </c>
      <c r="H732" t="n">
        <v>0</v>
      </c>
      <c r="I732" t="n">
        <v>0</v>
      </c>
      <c r="J732" t="n">
        <v>0</v>
      </c>
      <c r="K732" t="n">
        <v>0</v>
      </c>
      <c r="L732" t="n">
        <v>0</v>
      </c>
      <c r="M732" t="n">
        <v>0</v>
      </c>
      <c r="N732" t="n">
        <v>0</v>
      </c>
      <c r="O732" t="n">
        <v>0</v>
      </c>
      <c r="P732" t="n">
        <v>0</v>
      </c>
      <c r="Q732" t="n">
        <v>0</v>
      </c>
      <c r="R732" s="2" t="inlineStr"/>
    </row>
    <row r="733" ht="15" customHeight="1">
      <c r="A733" t="inlineStr">
        <is>
          <t>A 31906-2023</t>
        </is>
      </c>
      <c r="B733" s="1" t="n">
        <v>45118</v>
      </c>
      <c r="C733" s="1" t="n">
        <v>45728</v>
      </c>
      <c r="D733" t="inlineStr">
        <is>
          <t>ÖREBRO LÄN</t>
        </is>
      </c>
      <c r="E733" t="inlineStr">
        <is>
          <t>ÖREBRO</t>
        </is>
      </c>
      <c r="G733" t="n">
        <v>9</v>
      </c>
      <c r="H733" t="n">
        <v>0</v>
      </c>
      <c r="I733" t="n">
        <v>0</v>
      </c>
      <c r="J733" t="n">
        <v>0</v>
      </c>
      <c r="K733" t="n">
        <v>0</v>
      </c>
      <c r="L733" t="n">
        <v>0</v>
      </c>
      <c r="M733" t="n">
        <v>0</v>
      </c>
      <c r="N733" t="n">
        <v>0</v>
      </c>
      <c r="O733" t="n">
        <v>0</v>
      </c>
      <c r="P733" t="n">
        <v>0</v>
      </c>
      <c r="Q733" t="n">
        <v>0</v>
      </c>
      <c r="R733" s="2" t="inlineStr"/>
    </row>
    <row r="734" ht="15" customHeight="1">
      <c r="A734" t="inlineStr">
        <is>
          <t>A 31904-2023</t>
        </is>
      </c>
      <c r="B734" s="1" t="n">
        <v>45118</v>
      </c>
      <c r="C734" s="1" t="n">
        <v>45728</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row>
    <row r="735" ht="15" customHeight="1">
      <c r="A735" t="inlineStr">
        <is>
          <t>A 32113-2023</t>
        </is>
      </c>
      <c r="B735" s="1" t="n">
        <v>45119</v>
      </c>
      <c r="C735" s="1" t="n">
        <v>45728</v>
      </c>
      <c r="D735" t="inlineStr">
        <is>
          <t>ÖREBRO LÄN</t>
        </is>
      </c>
      <c r="E735" t="inlineStr">
        <is>
          <t>ÖREBRO</t>
        </is>
      </c>
      <c r="G735" t="n">
        <v>2.2</v>
      </c>
      <c r="H735" t="n">
        <v>0</v>
      </c>
      <c r="I735" t="n">
        <v>0</v>
      </c>
      <c r="J735" t="n">
        <v>0</v>
      </c>
      <c r="K735" t="n">
        <v>0</v>
      </c>
      <c r="L735" t="n">
        <v>0</v>
      </c>
      <c r="M735" t="n">
        <v>0</v>
      </c>
      <c r="N735" t="n">
        <v>0</v>
      </c>
      <c r="O735" t="n">
        <v>0</v>
      </c>
      <c r="P735" t="n">
        <v>0</v>
      </c>
      <c r="Q735" t="n">
        <v>0</v>
      </c>
      <c r="R735" s="2" t="inlineStr"/>
    </row>
    <row r="736" ht="15" customHeight="1">
      <c r="A736" t="inlineStr">
        <is>
          <t>A 32152-2023</t>
        </is>
      </c>
      <c r="B736" s="1" t="n">
        <v>45119</v>
      </c>
      <c r="C736" s="1" t="n">
        <v>45728</v>
      </c>
      <c r="D736" t="inlineStr">
        <is>
          <t>ÖREBRO LÄN</t>
        </is>
      </c>
      <c r="E736" t="inlineStr">
        <is>
          <t>ÖREBRO</t>
        </is>
      </c>
      <c r="F736" t="inlineStr">
        <is>
          <t>Övriga Aktiebolag</t>
        </is>
      </c>
      <c r="G736" t="n">
        <v>3.6</v>
      </c>
      <c r="H736" t="n">
        <v>0</v>
      </c>
      <c r="I736" t="n">
        <v>0</v>
      </c>
      <c r="J736" t="n">
        <v>0</v>
      </c>
      <c r="K736" t="n">
        <v>0</v>
      </c>
      <c r="L736" t="n">
        <v>0</v>
      </c>
      <c r="M736" t="n">
        <v>0</v>
      </c>
      <c r="N736" t="n">
        <v>0</v>
      </c>
      <c r="O736" t="n">
        <v>0</v>
      </c>
      <c r="P736" t="n">
        <v>0</v>
      </c>
      <c r="Q736" t="n">
        <v>0</v>
      </c>
      <c r="R736" s="2" t="inlineStr"/>
    </row>
    <row r="737" ht="15" customHeight="1">
      <c r="A737" t="inlineStr">
        <is>
          <t>A 32157-2023</t>
        </is>
      </c>
      <c r="B737" s="1" t="n">
        <v>45119</v>
      </c>
      <c r="C737" s="1" t="n">
        <v>45728</v>
      </c>
      <c r="D737" t="inlineStr">
        <is>
          <t>ÖREBRO LÄN</t>
        </is>
      </c>
      <c r="E737" t="inlineStr">
        <is>
          <t>ÖREBRO</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32176-2023</t>
        </is>
      </c>
      <c r="B738" s="1" t="n">
        <v>45119</v>
      </c>
      <c r="C738" s="1" t="n">
        <v>45728</v>
      </c>
      <c r="D738" t="inlineStr">
        <is>
          <t>ÖREBRO LÄN</t>
        </is>
      </c>
      <c r="E738" t="inlineStr">
        <is>
          <t>ÖREBRO</t>
        </is>
      </c>
      <c r="G738" t="n">
        <v>0.8</v>
      </c>
      <c r="H738" t="n">
        <v>0</v>
      </c>
      <c r="I738" t="n">
        <v>0</v>
      </c>
      <c r="J738" t="n">
        <v>0</v>
      </c>
      <c r="K738" t="n">
        <v>0</v>
      </c>
      <c r="L738" t="n">
        <v>0</v>
      </c>
      <c r="M738" t="n">
        <v>0</v>
      </c>
      <c r="N738" t="n">
        <v>0</v>
      </c>
      <c r="O738" t="n">
        <v>0</v>
      </c>
      <c r="P738" t="n">
        <v>0</v>
      </c>
      <c r="Q738" t="n">
        <v>0</v>
      </c>
      <c r="R738" s="2" t="inlineStr"/>
    </row>
    <row r="739" ht="15" customHeight="1">
      <c r="A739" t="inlineStr">
        <is>
          <t>A 32076-2023</t>
        </is>
      </c>
      <c r="B739" s="1" t="n">
        <v>45119</v>
      </c>
      <c r="C739" s="1" t="n">
        <v>45728</v>
      </c>
      <c r="D739" t="inlineStr">
        <is>
          <t>ÖREBRO LÄN</t>
        </is>
      </c>
      <c r="E739" t="inlineStr">
        <is>
          <t>ÖREBRO</t>
        </is>
      </c>
      <c r="G739" t="n">
        <v>1.1</v>
      </c>
      <c r="H739" t="n">
        <v>0</v>
      </c>
      <c r="I739" t="n">
        <v>0</v>
      </c>
      <c r="J739" t="n">
        <v>0</v>
      </c>
      <c r="K739" t="n">
        <v>0</v>
      </c>
      <c r="L739" t="n">
        <v>0</v>
      </c>
      <c r="M739" t="n">
        <v>0</v>
      </c>
      <c r="N739" t="n">
        <v>0</v>
      </c>
      <c r="O739" t="n">
        <v>0</v>
      </c>
      <c r="P739" t="n">
        <v>0</v>
      </c>
      <c r="Q739" t="n">
        <v>0</v>
      </c>
      <c r="R739" s="2" t="inlineStr"/>
    </row>
    <row r="740" ht="15" customHeight="1">
      <c r="A740" t="inlineStr">
        <is>
          <t>A 32086-2023</t>
        </is>
      </c>
      <c r="B740" s="1" t="n">
        <v>45119</v>
      </c>
      <c r="C740" s="1" t="n">
        <v>45728</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32125-2023</t>
        </is>
      </c>
      <c r="B741" s="1" t="n">
        <v>45119</v>
      </c>
      <c r="C741" s="1" t="n">
        <v>45728</v>
      </c>
      <c r="D741" t="inlineStr">
        <is>
          <t>ÖREBRO LÄN</t>
        </is>
      </c>
      <c r="E741" t="inlineStr">
        <is>
          <t>ÖREBRO</t>
        </is>
      </c>
      <c r="G741" t="n">
        <v>10.6</v>
      </c>
      <c r="H741" t="n">
        <v>0</v>
      </c>
      <c r="I741" t="n">
        <v>0</v>
      </c>
      <c r="J741" t="n">
        <v>0</v>
      </c>
      <c r="K741" t="n">
        <v>0</v>
      </c>
      <c r="L741" t="n">
        <v>0</v>
      </c>
      <c r="M741" t="n">
        <v>0</v>
      </c>
      <c r="N741" t="n">
        <v>0</v>
      </c>
      <c r="O741" t="n">
        <v>0</v>
      </c>
      <c r="P741" t="n">
        <v>0</v>
      </c>
      <c r="Q741" t="n">
        <v>0</v>
      </c>
      <c r="R741" s="2" t="inlineStr"/>
    </row>
    <row r="742" ht="15" customHeight="1">
      <c r="A742" t="inlineStr">
        <is>
          <t>A 32067-2023</t>
        </is>
      </c>
      <c r="B742" s="1" t="n">
        <v>45119</v>
      </c>
      <c r="C742" s="1" t="n">
        <v>45728</v>
      </c>
      <c r="D742" t="inlineStr">
        <is>
          <t>ÖREBRO LÄN</t>
        </is>
      </c>
      <c r="E742" t="inlineStr">
        <is>
          <t>ÖREBRO</t>
        </is>
      </c>
      <c r="G742" t="n">
        <v>2.9</v>
      </c>
      <c r="H742" t="n">
        <v>0</v>
      </c>
      <c r="I742" t="n">
        <v>0</v>
      </c>
      <c r="J742" t="n">
        <v>0</v>
      </c>
      <c r="K742" t="n">
        <v>0</v>
      </c>
      <c r="L742" t="n">
        <v>0</v>
      </c>
      <c r="M742" t="n">
        <v>0</v>
      </c>
      <c r="N742" t="n">
        <v>0</v>
      </c>
      <c r="O742" t="n">
        <v>0</v>
      </c>
      <c r="P742" t="n">
        <v>0</v>
      </c>
      <c r="Q742" t="n">
        <v>0</v>
      </c>
      <c r="R742" s="2" t="inlineStr"/>
    </row>
    <row r="743" ht="15" customHeight="1">
      <c r="A743" t="inlineStr">
        <is>
          <t>A 32321-2023</t>
        </is>
      </c>
      <c r="B743" s="1" t="n">
        <v>45120</v>
      </c>
      <c r="C743" s="1" t="n">
        <v>45728</v>
      </c>
      <c r="D743" t="inlineStr">
        <is>
          <t>ÖREBRO LÄN</t>
        </is>
      </c>
      <c r="E743" t="inlineStr">
        <is>
          <t>ÖREBRO</t>
        </is>
      </c>
      <c r="G743" t="n">
        <v>3.4</v>
      </c>
      <c r="H743" t="n">
        <v>0</v>
      </c>
      <c r="I743" t="n">
        <v>0</v>
      </c>
      <c r="J743" t="n">
        <v>0</v>
      </c>
      <c r="K743" t="n">
        <v>0</v>
      </c>
      <c r="L743" t="n">
        <v>0</v>
      </c>
      <c r="M743" t="n">
        <v>0</v>
      </c>
      <c r="N743" t="n">
        <v>0</v>
      </c>
      <c r="O743" t="n">
        <v>0</v>
      </c>
      <c r="P743" t="n">
        <v>0</v>
      </c>
      <c r="Q743" t="n">
        <v>0</v>
      </c>
      <c r="R743" s="2" t="inlineStr"/>
    </row>
    <row r="744" ht="15" customHeight="1">
      <c r="A744" t="inlineStr">
        <is>
          <t>A 33005-2023</t>
        </is>
      </c>
      <c r="B744" s="1" t="n">
        <v>45125</v>
      </c>
      <c r="C744" s="1" t="n">
        <v>45728</v>
      </c>
      <c r="D744" t="inlineStr">
        <is>
          <t>ÖREBRO LÄN</t>
        </is>
      </c>
      <c r="E744" t="inlineStr">
        <is>
          <t>ÖREBRO</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33292-2023</t>
        </is>
      </c>
      <c r="B745" s="1" t="n">
        <v>45127</v>
      </c>
      <c r="C745" s="1" t="n">
        <v>45728</v>
      </c>
      <c r="D745" t="inlineStr">
        <is>
          <t>ÖREBRO LÄN</t>
        </is>
      </c>
      <c r="E745" t="inlineStr">
        <is>
          <t>ÖREBRO</t>
        </is>
      </c>
      <c r="F745" t="inlineStr">
        <is>
          <t>Övriga Aktiebolag</t>
        </is>
      </c>
      <c r="G745" t="n">
        <v>2.1</v>
      </c>
      <c r="H745" t="n">
        <v>0</v>
      </c>
      <c r="I745" t="n">
        <v>0</v>
      </c>
      <c r="J745" t="n">
        <v>0</v>
      </c>
      <c r="K745" t="n">
        <v>0</v>
      </c>
      <c r="L745" t="n">
        <v>0</v>
      </c>
      <c r="M745" t="n">
        <v>0</v>
      </c>
      <c r="N745" t="n">
        <v>0</v>
      </c>
      <c r="O745" t="n">
        <v>0</v>
      </c>
      <c r="P745" t="n">
        <v>0</v>
      </c>
      <c r="Q745" t="n">
        <v>0</v>
      </c>
      <c r="R745" s="2" t="inlineStr"/>
    </row>
    <row r="746" ht="15" customHeight="1">
      <c r="A746" t="inlineStr">
        <is>
          <t>A 33294-2023</t>
        </is>
      </c>
      <c r="B746" s="1" t="n">
        <v>45127</v>
      </c>
      <c r="C746" s="1" t="n">
        <v>45728</v>
      </c>
      <c r="D746" t="inlineStr">
        <is>
          <t>ÖREBRO LÄN</t>
        </is>
      </c>
      <c r="E746" t="inlineStr">
        <is>
          <t>ÖREBRO</t>
        </is>
      </c>
      <c r="F746" t="inlineStr">
        <is>
          <t>Övriga Aktiebolag</t>
        </is>
      </c>
      <c r="G746" t="n">
        <v>6.7</v>
      </c>
      <c r="H746" t="n">
        <v>0</v>
      </c>
      <c r="I746" t="n">
        <v>0</v>
      </c>
      <c r="J746" t="n">
        <v>0</v>
      </c>
      <c r="K746" t="n">
        <v>0</v>
      </c>
      <c r="L746" t="n">
        <v>0</v>
      </c>
      <c r="M746" t="n">
        <v>0</v>
      </c>
      <c r="N746" t="n">
        <v>0</v>
      </c>
      <c r="O746" t="n">
        <v>0</v>
      </c>
      <c r="P746" t="n">
        <v>0</v>
      </c>
      <c r="Q746" t="n">
        <v>0</v>
      </c>
      <c r="R746" s="2" t="inlineStr"/>
    </row>
    <row r="747" ht="15" customHeight="1">
      <c r="A747" t="inlineStr">
        <is>
          <t>A 33282-2023</t>
        </is>
      </c>
      <c r="B747" s="1" t="n">
        <v>45127</v>
      </c>
      <c r="C747" s="1" t="n">
        <v>45728</v>
      </c>
      <c r="D747" t="inlineStr">
        <is>
          <t>ÖREBRO LÄN</t>
        </is>
      </c>
      <c r="E747" t="inlineStr">
        <is>
          <t>ÖREBRO</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33456-2023</t>
        </is>
      </c>
      <c r="B748" s="1" t="n">
        <v>45131</v>
      </c>
      <c r="C748" s="1" t="n">
        <v>45728</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33455-2023</t>
        </is>
      </c>
      <c r="B749" s="1" t="n">
        <v>45131</v>
      </c>
      <c r="C749" s="1" t="n">
        <v>45728</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33457-2023</t>
        </is>
      </c>
      <c r="B750" s="1" t="n">
        <v>45131</v>
      </c>
      <c r="C750" s="1" t="n">
        <v>45728</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33522-2023</t>
        </is>
      </c>
      <c r="B751" s="1" t="n">
        <v>45131</v>
      </c>
      <c r="C751" s="1" t="n">
        <v>45728</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33577-2023</t>
        </is>
      </c>
      <c r="B752" s="1" t="n">
        <v>45131</v>
      </c>
      <c r="C752" s="1" t="n">
        <v>45728</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33634-2023</t>
        </is>
      </c>
      <c r="B753" s="1" t="n">
        <v>45132</v>
      </c>
      <c r="C753" s="1" t="n">
        <v>45728</v>
      </c>
      <c r="D753" t="inlineStr">
        <is>
          <t>ÖREBRO LÄN</t>
        </is>
      </c>
      <c r="E753" t="inlineStr">
        <is>
          <t>ÖREBRO</t>
        </is>
      </c>
      <c r="G753" t="n">
        <v>1.2</v>
      </c>
      <c r="H753" t="n">
        <v>0</v>
      </c>
      <c r="I753" t="n">
        <v>0</v>
      </c>
      <c r="J753" t="n">
        <v>0</v>
      </c>
      <c r="K753" t="n">
        <v>0</v>
      </c>
      <c r="L753" t="n">
        <v>0</v>
      </c>
      <c r="M753" t="n">
        <v>0</v>
      </c>
      <c r="N753" t="n">
        <v>0</v>
      </c>
      <c r="O753" t="n">
        <v>0</v>
      </c>
      <c r="P753" t="n">
        <v>0</v>
      </c>
      <c r="Q753" t="n">
        <v>0</v>
      </c>
      <c r="R753" s="2" t="inlineStr"/>
    </row>
    <row r="754" ht="15" customHeight="1">
      <c r="A754" t="inlineStr">
        <is>
          <t>A 33628-2023</t>
        </is>
      </c>
      <c r="B754" s="1" t="n">
        <v>45132</v>
      </c>
      <c r="C754" s="1" t="n">
        <v>45728</v>
      </c>
      <c r="D754" t="inlineStr">
        <is>
          <t>ÖREBRO LÄN</t>
        </is>
      </c>
      <c r="E754" t="inlineStr">
        <is>
          <t>ÖREBRO</t>
        </is>
      </c>
      <c r="G754" t="n">
        <v>0.8</v>
      </c>
      <c r="H754" t="n">
        <v>0</v>
      </c>
      <c r="I754" t="n">
        <v>0</v>
      </c>
      <c r="J754" t="n">
        <v>0</v>
      </c>
      <c r="K754" t="n">
        <v>0</v>
      </c>
      <c r="L754" t="n">
        <v>0</v>
      </c>
      <c r="M754" t="n">
        <v>0</v>
      </c>
      <c r="N754" t="n">
        <v>0</v>
      </c>
      <c r="O754" t="n">
        <v>0</v>
      </c>
      <c r="P754" t="n">
        <v>0</v>
      </c>
      <c r="Q754" t="n">
        <v>0</v>
      </c>
      <c r="R754" s="2" t="inlineStr"/>
    </row>
    <row r="755" ht="15" customHeight="1">
      <c r="A755" t="inlineStr">
        <is>
          <t>A 33632-2023</t>
        </is>
      </c>
      <c r="B755" s="1" t="n">
        <v>45132</v>
      </c>
      <c r="C755" s="1" t="n">
        <v>45728</v>
      </c>
      <c r="D755" t="inlineStr">
        <is>
          <t>ÖREBRO LÄN</t>
        </is>
      </c>
      <c r="E755" t="inlineStr">
        <is>
          <t>ÖREBRO</t>
        </is>
      </c>
      <c r="G755" t="n">
        <v>4.4</v>
      </c>
      <c r="H755" t="n">
        <v>0</v>
      </c>
      <c r="I755" t="n">
        <v>0</v>
      </c>
      <c r="J755" t="n">
        <v>0</v>
      </c>
      <c r="K755" t="n">
        <v>0</v>
      </c>
      <c r="L755" t="n">
        <v>0</v>
      </c>
      <c r="M755" t="n">
        <v>0</v>
      </c>
      <c r="N755" t="n">
        <v>0</v>
      </c>
      <c r="O755" t="n">
        <v>0</v>
      </c>
      <c r="P755" t="n">
        <v>0</v>
      </c>
      <c r="Q755" t="n">
        <v>0</v>
      </c>
      <c r="R755" s="2" t="inlineStr"/>
    </row>
    <row r="756" ht="15" customHeight="1">
      <c r="A756" t="inlineStr">
        <is>
          <t>A 33980-2023</t>
        </is>
      </c>
      <c r="B756" s="1" t="n">
        <v>45134</v>
      </c>
      <c r="C756" s="1" t="n">
        <v>45728</v>
      </c>
      <c r="D756" t="inlineStr">
        <is>
          <t>ÖREBRO LÄN</t>
        </is>
      </c>
      <c r="E756" t="inlineStr">
        <is>
          <t>ÖREBRO</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33984-2023</t>
        </is>
      </c>
      <c r="B757" s="1" t="n">
        <v>45134</v>
      </c>
      <c r="C757" s="1" t="n">
        <v>45728</v>
      </c>
      <c r="D757" t="inlineStr">
        <is>
          <t>ÖREBRO LÄN</t>
        </is>
      </c>
      <c r="E757" t="inlineStr">
        <is>
          <t>ÖREBRO</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34056-2023</t>
        </is>
      </c>
      <c r="B758" s="1" t="n">
        <v>45135</v>
      </c>
      <c r="C758" s="1" t="n">
        <v>45728</v>
      </c>
      <c r="D758" t="inlineStr">
        <is>
          <t>ÖREBRO LÄN</t>
        </is>
      </c>
      <c r="E758" t="inlineStr">
        <is>
          <t>ÖREBRO</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34076-2023</t>
        </is>
      </c>
      <c r="B759" s="1" t="n">
        <v>45135</v>
      </c>
      <c r="C759" s="1" t="n">
        <v>45728</v>
      </c>
      <c r="D759" t="inlineStr">
        <is>
          <t>ÖREBRO LÄN</t>
        </is>
      </c>
      <c r="E759" t="inlineStr">
        <is>
          <t>ÖREBRO</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34037-2023</t>
        </is>
      </c>
      <c r="B760" s="1" t="n">
        <v>45135</v>
      </c>
      <c r="C760" s="1" t="n">
        <v>45728</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34251-2023</t>
        </is>
      </c>
      <c r="B761" s="1" t="n">
        <v>45138</v>
      </c>
      <c r="C761" s="1" t="n">
        <v>45728</v>
      </c>
      <c r="D761" t="inlineStr">
        <is>
          <t>ÖREBRO LÄN</t>
        </is>
      </c>
      <c r="E761" t="inlineStr">
        <is>
          <t>ÖREBRO</t>
        </is>
      </c>
      <c r="G761" t="n">
        <v>1.9</v>
      </c>
      <c r="H761" t="n">
        <v>0</v>
      </c>
      <c r="I761" t="n">
        <v>0</v>
      </c>
      <c r="J761" t="n">
        <v>0</v>
      </c>
      <c r="K761" t="n">
        <v>0</v>
      </c>
      <c r="L761" t="n">
        <v>0</v>
      </c>
      <c r="M761" t="n">
        <v>0</v>
      </c>
      <c r="N761" t="n">
        <v>0</v>
      </c>
      <c r="O761" t="n">
        <v>0</v>
      </c>
      <c r="P761" t="n">
        <v>0</v>
      </c>
      <c r="Q761" t="n">
        <v>0</v>
      </c>
      <c r="R761" s="2" t="inlineStr"/>
    </row>
    <row r="762" ht="15" customHeight="1">
      <c r="A762" t="inlineStr">
        <is>
          <t>A 34769-2023</t>
        </is>
      </c>
      <c r="B762" s="1" t="n">
        <v>45141</v>
      </c>
      <c r="C762" s="1" t="n">
        <v>45728</v>
      </c>
      <c r="D762" t="inlineStr">
        <is>
          <t>ÖREBRO LÄN</t>
        </is>
      </c>
      <c r="E762" t="inlineStr">
        <is>
          <t>ÖREBRO</t>
        </is>
      </c>
      <c r="G762" t="n">
        <v>0.7</v>
      </c>
      <c r="H762" t="n">
        <v>0</v>
      </c>
      <c r="I762" t="n">
        <v>0</v>
      </c>
      <c r="J762" t="n">
        <v>0</v>
      </c>
      <c r="K762" t="n">
        <v>0</v>
      </c>
      <c r="L762" t="n">
        <v>0</v>
      </c>
      <c r="M762" t="n">
        <v>0</v>
      </c>
      <c r="N762" t="n">
        <v>0</v>
      </c>
      <c r="O762" t="n">
        <v>0</v>
      </c>
      <c r="P762" t="n">
        <v>0</v>
      </c>
      <c r="Q762" t="n">
        <v>0</v>
      </c>
      <c r="R762" s="2" t="inlineStr"/>
    </row>
    <row r="763" ht="15" customHeight="1">
      <c r="A763" t="inlineStr">
        <is>
          <t>A 35187-2023</t>
        </is>
      </c>
      <c r="B763" s="1" t="n">
        <v>45145</v>
      </c>
      <c r="C763" s="1" t="n">
        <v>45728</v>
      </c>
      <c r="D763" t="inlineStr">
        <is>
          <t>ÖREBRO LÄN</t>
        </is>
      </c>
      <c r="E763" t="inlineStr">
        <is>
          <t>ÖREBRO</t>
        </is>
      </c>
      <c r="G763" t="n">
        <v>1.3</v>
      </c>
      <c r="H763" t="n">
        <v>0</v>
      </c>
      <c r="I763" t="n">
        <v>0</v>
      </c>
      <c r="J763" t="n">
        <v>0</v>
      </c>
      <c r="K763" t="n">
        <v>0</v>
      </c>
      <c r="L763" t="n">
        <v>0</v>
      </c>
      <c r="M763" t="n">
        <v>0</v>
      </c>
      <c r="N763" t="n">
        <v>0</v>
      </c>
      <c r="O763" t="n">
        <v>0</v>
      </c>
      <c r="P763" t="n">
        <v>0</v>
      </c>
      <c r="Q763" t="n">
        <v>0</v>
      </c>
      <c r="R763" s="2" t="inlineStr"/>
    </row>
    <row r="764" ht="15" customHeight="1">
      <c r="A764" t="inlineStr">
        <is>
          <t>A 35707-2023</t>
        </is>
      </c>
      <c r="B764" s="1" t="n">
        <v>45147</v>
      </c>
      <c r="C764" s="1" t="n">
        <v>45728</v>
      </c>
      <c r="D764" t="inlineStr">
        <is>
          <t>ÖREBRO LÄN</t>
        </is>
      </c>
      <c r="E764" t="inlineStr">
        <is>
          <t>ÖREBRO</t>
        </is>
      </c>
      <c r="F764" t="inlineStr">
        <is>
          <t>Övriga Aktiebolag</t>
        </is>
      </c>
      <c r="G764" t="n">
        <v>2.5</v>
      </c>
      <c r="H764" t="n">
        <v>0</v>
      </c>
      <c r="I764" t="n">
        <v>0</v>
      </c>
      <c r="J764" t="n">
        <v>0</v>
      </c>
      <c r="K764" t="n">
        <v>0</v>
      </c>
      <c r="L764" t="n">
        <v>0</v>
      </c>
      <c r="M764" t="n">
        <v>0</v>
      </c>
      <c r="N764" t="n">
        <v>0</v>
      </c>
      <c r="O764" t="n">
        <v>0</v>
      </c>
      <c r="P764" t="n">
        <v>0</v>
      </c>
      <c r="Q764" t="n">
        <v>0</v>
      </c>
      <c r="R764" s="2" t="inlineStr"/>
    </row>
    <row r="765" ht="15" customHeight="1">
      <c r="A765" t="inlineStr">
        <is>
          <t>A 35717-2023</t>
        </is>
      </c>
      <c r="B765" s="1" t="n">
        <v>45147</v>
      </c>
      <c r="C765" s="1" t="n">
        <v>45728</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36080-2023</t>
        </is>
      </c>
      <c r="B766" s="1" t="n">
        <v>45149</v>
      </c>
      <c r="C766" s="1" t="n">
        <v>45728</v>
      </c>
      <c r="D766" t="inlineStr">
        <is>
          <t>ÖREBRO LÄN</t>
        </is>
      </c>
      <c r="E766" t="inlineStr">
        <is>
          <t>ÖREBRO</t>
        </is>
      </c>
      <c r="G766" t="n">
        <v>5</v>
      </c>
      <c r="H766" t="n">
        <v>0</v>
      </c>
      <c r="I766" t="n">
        <v>0</v>
      </c>
      <c r="J766" t="n">
        <v>0</v>
      </c>
      <c r="K766" t="n">
        <v>0</v>
      </c>
      <c r="L766" t="n">
        <v>0</v>
      </c>
      <c r="M766" t="n">
        <v>0</v>
      </c>
      <c r="N766" t="n">
        <v>0</v>
      </c>
      <c r="O766" t="n">
        <v>0</v>
      </c>
      <c r="P766" t="n">
        <v>0</v>
      </c>
      <c r="Q766" t="n">
        <v>0</v>
      </c>
      <c r="R766" s="2" t="inlineStr"/>
    </row>
    <row r="767" ht="15" customHeight="1">
      <c r="A767" t="inlineStr">
        <is>
          <t>A 36445-2023</t>
        </is>
      </c>
      <c r="B767" s="1" t="n">
        <v>45152</v>
      </c>
      <c r="C767" s="1" t="n">
        <v>45728</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36635-2023</t>
        </is>
      </c>
      <c r="B768" s="1" t="n">
        <v>45153</v>
      </c>
      <c r="C768" s="1" t="n">
        <v>45728</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38223-2023</t>
        </is>
      </c>
      <c r="B769" s="1" t="n">
        <v>45161</v>
      </c>
      <c r="C769" s="1" t="n">
        <v>45728</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38415-2023</t>
        </is>
      </c>
      <c r="B770" s="1" t="n">
        <v>45162</v>
      </c>
      <c r="C770" s="1" t="n">
        <v>45728</v>
      </c>
      <c r="D770" t="inlineStr">
        <is>
          <t>ÖREBRO LÄN</t>
        </is>
      </c>
      <c r="E770" t="inlineStr">
        <is>
          <t>ÖREBRO</t>
        </is>
      </c>
      <c r="G770" t="n">
        <v>2.6</v>
      </c>
      <c r="H770" t="n">
        <v>0</v>
      </c>
      <c r="I770" t="n">
        <v>0</v>
      </c>
      <c r="J770" t="n">
        <v>0</v>
      </c>
      <c r="K770" t="n">
        <v>0</v>
      </c>
      <c r="L770" t="n">
        <v>0</v>
      </c>
      <c r="M770" t="n">
        <v>0</v>
      </c>
      <c r="N770" t="n">
        <v>0</v>
      </c>
      <c r="O770" t="n">
        <v>0</v>
      </c>
      <c r="P770" t="n">
        <v>0</v>
      </c>
      <c r="Q770" t="n">
        <v>0</v>
      </c>
      <c r="R770" s="2" t="inlineStr"/>
    </row>
    <row r="771" ht="15" customHeight="1">
      <c r="A771" t="inlineStr">
        <is>
          <t>A 38422-2023</t>
        </is>
      </c>
      <c r="B771" s="1" t="n">
        <v>45162</v>
      </c>
      <c r="C771" s="1" t="n">
        <v>45728</v>
      </c>
      <c r="D771" t="inlineStr">
        <is>
          <t>ÖREBRO LÄN</t>
        </is>
      </c>
      <c r="E771" t="inlineStr">
        <is>
          <t>ÖREBRO</t>
        </is>
      </c>
      <c r="G771" t="n">
        <v>8</v>
      </c>
      <c r="H771" t="n">
        <v>0</v>
      </c>
      <c r="I771" t="n">
        <v>0</v>
      </c>
      <c r="J771" t="n">
        <v>0</v>
      </c>
      <c r="K771" t="n">
        <v>0</v>
      </c>
      <c r="L771" t="n">
        <v>0</v>
      </c>
      <c r="M771" t="n">
        <v>0</v>
      </c>
      <c r="N771" t="n">
        <v>0</v>
      </c>
      <c r="O771" t="n">
        <v>0</v>
      </c>
      <c r="P771" t="n">
        <v>0</v>
      </c>
      <c r="Q771" t="n">
        <v>0</v>
      </c>
      <c r="R771" s="2" t="inlineStr"/>
    </row>
    <row r="772" ht="15" customHeight="1">
      <c r="A772" t="inlineStr">
        <is>
          <t>A 38489-2023</t>
        </is>
      </c>
      <c r="B772" s="1" t="n">
        <v>45162</v>
      </c>
      <c r="C772" s="1" t="n">
        <v>45728</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38573-2023</t>
        </is>
      </c>
      <c r="B773" s="1" t="n">
        <v>45162</v>
      </c>
      <c r="C773" s="1" t="n">
        <v>45728</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38583-2023</t>
        </is>
      </c>
      <c r="B774" s="1" t="n">
        <v>45162</v>
      </c>
      <c r="C774" s="1" t="n">
        <v>45728</v>
      </c>
      <c r="D774" t="inlineStr">
        <is>
          <t>ÖREBRO LÄN</t>
        </is>
      </c>
      <c r="E774" t="inlineStr">
        <is>
          <t>ÖREBRO</t>
        </is>
      </c>
      <c r="G774" t="n">
        <v>5.7</v>
      </c>
      <c r="H774" t="n">
        <v>0</v>
      </c>
      <c r="I774" t="n">
        <v>0</v>
      </c>
      <c r="J774" t="n">
        <v>0</v>
      </c>
      <c r="K774" t="n">
        <v>0</v>
      </c>
      <c r="L774" t="n">
        <v>0</v>
      </c>
      <c r="M774" t="n">
        <v>0</v>
      </c>
      <c r="N774" t="n">
        <v>0</v>
      </c>
      <c r="O774" t="n">
        <v>0</v>
      </c>
      <c r="P774" t="n">
        <v>0</v>
      </c>
      <c r="Q774" t="n">
        <v>0</v>
      </c>
      <c r="R774" s="2" t="inlineStr"/>
    </row>
    <row r="775" ht="15" customHeight="1">
      <c r="A775" t="inlineStr">
        <is>
          <t>A 38898-2023</t>
        </is>
      </c>
      <c r="B775" s="1" t="n">
        <v>45163</v>
      </c>
      <c r="C775" s="1" t="n">
        <v>45728</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39130-2023</t>
        </is>
      </c>
      <c r="B776" s="1" t="n">
        <v>45165</v>
      </c>
      <c r="C776" s="1" t="n">
        <v>45728</v>
      </c>
      <c r="D776" t="inlineStr">
        <is>
          <t>ÖREBRO LÄN</t>
        </is>
      </c>
      <c r="E776" t="inlineStr">
        <is>
          <t>ÖREBRO</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39696-2023</t>
        </is>
      </c>
      <c r="B777" s="1" t="n">
        <v>45167</v>
      </c>
      <c r="C777" s="1" t="n">
        <v>45728</v>
      </c>
      <c r="D777" t="inlineStr">
        <is>
          <t>ÖREBRO LÄN</t>
        </is>
      </c>
      <c r="E777" t="inlineStr">
        <is>
          <t>ÖREBRO</t>
        </is>
      </c>
      <c r="G777" t="n">
        <v>4.7</v>
      </c>
      <c r="H777" t="n">
        <v>0</v>
      </c>
      <c r="I777" t="n">
        <v>0</v>
      </c>
      <c r="J777" t="n">
        <v>0</v>
      </c>
      <c r="K777" t="n">
        <v>0</v>
      </c>
      <c r="L777" t="n">
        <v>0</v>
      </c>
      <c r="M777" t="n">
        <v>0</v>
      </c>
      <c r="N777" t="n">
        <v>0</v>
      </c>
      <c r="O777" t="n">
        <v>0</v>
      </c>
      <c r="P777" t="n">
        <v>0</v>
      </c>
      <c r="Q777" t="n">
        <v>0</v>
      </c>
      <c r="R777" s="2" t="inlineStr"/>
    </row>
    <row r="778" ht="15" customHeight="1">
      <c r="A778" t="inlineStr">
        <is>
          <t>A 39782-2023</t>
        </is>
      </c>
      <c r="B778" s="1" t="n">
        <v>45167</v>
      </c>
      <c r="C778" s="1" t="n">
        <v>45728</v>
      </c>
      <c r="D778" t="inlineStr">
        <is>
          <t>ÖREBRO LÄN</t>
        </is>
      </c>
      <c r="E778" t="inlineStr">
        <is>
          <t>ÖREBRO</t>
        </is>
      </c>
      <c r="G778" t="n">
        <v>1.4</v>
      </c>
      <c r="H778" t="n">
        <v>0</v>
      </c>
      <c r="I778" t="n">
        <v>0</v>
      </c>
      <c r="J778" t="n">
        <v>0</v>
      </c>
      <c r="K778" t="n">
        <v>0</v>
      </c>
      <c r="L778" t="n">
        <v>0</v>
      </c>
      <c r="M778" t="n">
        <v>0</v>
      </c>
      <c r="N778" t="n">
        <v>0</v>
      </c>
      <c r="O778" t="n">
        <v>0</v>
      </c>
      <c r="P778" t="n">
        <v>0</v>
      </c>
      <c r="Q778" t="n">
        <v>0</v>
      </c>
      <c r="R778" s="2" t="inlineStr"/>
    </row>
    <row r="779" ht="15" customHeight="1">
      <c r="A779" t="inlineStr">
        <is>
          <t>A 40656-2023</t>
        </is>
      </c>
      <c r="B779" s="1" t="n">
        <v>45170</v>
      </c>
      <c r="C779" s="1" t="n">
        <v>45728</v>
      </c>
      <c r="D779" t="inlineStr">
        <is>
          <t>ÖREBRO LÄN</t>
        </is>
      </c>
      <c r="E779" t="inlineStr">
        <is>
          <t>ÖREBRO</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41255-2023</t>
        </is>
      </c>
      <c r="B780" s="1" t="n">
        <v>45174</v>
      </c>
      <c r="C780" s="1" t="n">
        <v>45728</v>
      </c>
      <c r="D780" t="inlineStr">
        <is>
          <t>ÖREBRO LÄN</t>
        </is>
      </c>
      <c r="E780" t="inlineStr">
        <is>
          <t>ÖREBRO</t>
        </is>
      </c>
      <c r="G780" t="n">
        <v>2.5</v>
      </c>
      <c r="H780" t="n">
        <v>0</v>
      </c>
      <c r="I780" t="n">
        <v>0</v>
      </c>
      <c r="J780" t="n">
        <v>0</v>
      </c>
      <c r="K780" t="n">
        <v>0</v>
      </c>
      <c r="L780" t="n">
        <v>0</v>
      </c>
      <c r="M780" t="n">
        <v>0</v>
      </c>
      <c r="N780" t="n">
        <v>0</v>
      </c>
      <c r="O780" t="n">
        <v>0</v>
      </c>
      <c r="P780" t="n">
        <v>0</v>
      </c>
      <c r="Q780" t="n">
        <v>0</v>
      </c>
      <c r="R780" s="2" t="inlineStr"/>
    </row>
    <row r="781" ht="15" customHeight="1">
      <c r="A781" t="inlineStr">
        <is>
          <t>A 41455-2023</t>
        </is>
      </c>
      <c r="B781" s="1" t="n">
        <v>45175</v>
      </c>
      <c r="C781" s="1" t="n">
        <v>45728</v>
      </c>
      <c r="D781" t="inlineStr">
        <is>
          <t>ÖREBRO LÄN</t>
        </is>
      </c>
      <c r="E781" t="inlineStr">
        <is>
          <t>ÖREBRO</t>
        </is>
      </c>
      <c r="G781" t="n">
        <v>2</v>
      </c>
      <c r="H781" t="n">
        <v>0</v>
      </c>
      <c r="I781" t="n">
        <v>0</v>
      </c>
      <c r="J781" t="n">
        <v>0</v>
      </c>
      <c r="K781" t="n">
        <v>0</v>
      </c>
      <c r="L781" t="n">
        <v>0</v>
      </c>
      <c r="M781" t="n">
        <v>0</v>
      </c>
      <c r="N781" t="n">
        <v>0</v>
      </c>
      <c r="O781" t="n">
        <v>0</v>
      </c>
      <c r="P781" t="n">
        <v>0</v>
      </c>
      <c r="Q781" t="n">
        <v>0</v>
      </c>
      <c r="R781" s="2" t="inlineStr"/>
    </row>
    <row r="782" ht="15" customHeight="1">
      <c r="A782" t="inlineStr">
        <is>
          <t>A 41593-2023</t>
        </is>
      </c>
      <c r="B782" s="1" t="n">
        <v>45175</v>
      </c>
      <c r="C782" s="1" t="n">
        <v>45728</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41466-2023</t>
        </is>
      </c>
      <c r="B783" s="1" t="n">
        <v>45175</v>
      </c>
      <c r="C783" s="1" t="n">
        <v>45728</v>
      </c>
      <c r="D783" t="inlineStr">
        <is>
          <t>ÖREBRO LÄN</t>
        </is>
      </c>
      <c r="E783" t="inlineStr">
        <is>
          <t>ÖREBRO</t>
        </is>
      </c>
      <c r="G783" t="n">
        <v>0.7</v>
      </c>
      <c r="H783" t="n">
        <v>0</v>
      </c>
      <c r="I783" t="n">
        <v>0</v>
      </c>
      <c r="J783" t="n">
        <v>0</v>
      </c>
      <c r="K783" t="n">
        <v>0</v>
      </c>
      <c r="L783" t="n">
        <v>0</v>
      </c>
      <c r="M783" t="n">
        <v>0</v>
      </c>
      <c r="N783" t="n">
        <v>0</v>
      </c>
      <c r="O783" t="n">
        <v>0</v>
      </c>
      <c r="P783" t="n">
        <v>0</v>
      </c>
      <c r="Q783" t="n">
        <v>0</v>
      </c>
      <c r="R783" s="2" t="inlineStr"/>
    </row>
    <row r="784" ht="15" customHeight="1">
      <c r="A784" t="inlineStr">
        <is>
          <t>A 41974-2023</t>
        </is>
      </c>
      <c r="B784" s="1" t="n">
        <v>45177</v>
      </c>
      <c r="C784" s="1" t="n">
        <v>45728</v>
      </c>
      <c r="D784" t="inlineStr">
        <is>
          <t>ÖREBRO LÄN</t>
        </is>
      </c>
      <c r="E784" t="inlineStr">
        <is>
          <t>ÖREBRO</t>
        </is>
      </c>
      <c r="G784" t="n">
        <v>3.4</v>
      </c>
      <c r="H784" t="n">
        <v>0</v>
      </c>
      <c r="I784" t="n">
        <v>0</v>
      </c>
      <c r="J784" t="n">
        <v>0</v>
      </c>
      <c r="K784" t="n">
        <v>0</v>
      </c>
      <c r="L784" t="n">
        <v>0</v>
      </c>
      <c r="M784" t="n">
        <v>0</v>
      </c>
      <c r="N784" t="n">
        <v>0</v>
      </c>
      <c r="O784" t="n">
        <v>0</v>
      </c>
      <c r="P784" t="n">
        <v>0</v>
      </c>
      <c r="Q784" t="n">
        <v>0</v>
      </c>
      <c r="R784" s="2" t="inlineStr"/>
    </row>
    <row r="785" ht="15" customHeight="1">
      <c r="A785" t="inlineStr">
        <is>
          <t>A 41992-2023</t>
        </is>
      </c>
      <c r="B785" s="1" t="n">
        <v>45177</v>
      </c>
      <c r="C785" s="1" t="n">
        <v>45728</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43273-2023</t>
        </is>
      </c>
      <c r="B786" s="1" t="n">
        <v>45180</v>
      </c>
      <c r="C786" s="1" t="n">
        <v>45728</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43255-2023</t>
        </is>
      </c>
      <c r="B787" s="1" t="n">
        <v>45180</v>
      </c>
      <c r="C787" s="1" t="n">
        <v>45728</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42636-2023</t>
        </is>
      </c>
      <c r="B788" s="1" t="n">
        <v>45181</v>
      </c>
      <c r="C788" s="1" t="n">
        <v>45728</v>
      </c>
      <c r="D788" t="inlineStr">
        <is>
          <t>ÖREBRO LÄN</t>
        </is>
      </c>
      <c r="E788" t="inlineStr">
        <is>
          <t>ÖREBRO</t>
        </is>
      </c>
      <c r="G788" t="n">
        <v>1.7</v>
      </c>
      <c r="H788" t="n">
        <v>0</v>
      </c>
      <c r="I788" t="n">
        <v>0</v>
      </c>
      <c r="J788" t="n">
        <v>0</v>
      </c>
      <c r="K788" t="n">
        <v>0</v>
      </c>
      <c r="L788" t="n">
        <v>0</v>
      </c>
      <c r="M788" t="n">
        <v>0</v>
      </c>
      <c r="N788" t="n">
        <v>0</v>
      </c>
      <c r="O788" t="n">
        <v>0</v>
      </c>
      <c r="P788" t="n">
        <v>0</v>
      </c>
      <c r="Q788" t="n">
        <v>0</v>
      </c>
      <c r="R788" s="2" t="inlineStr"/>
    </row>
    <row r="789" ht="15" customHeight="1">
      <c r="A789" t="inlineStr">
        <is>
          <t>A 43520-2023</t>
        </is>
      </c>
      <c r="B789" s="1" t="n">
        <v>45184</v>
      </c>
      <c r="C789" s="1" t="n">
        <v>45728</v>
      </c>
      <c r="D789" t="inlineStr">
        <is>
          <t>ÖREBRO LÄN</t>
        </is>
      </c>
      <c r="E789" t="inlineStr">
        <is>
          <t>ÖREBRO</t>
        </is>
      </c>
      <c r="G789" t="n">
        <v>5.1</v>
      </c>
      <c r="H789" t="n">
        <v>0</v>
      </c>
      <c r="I789" t="n">
        <v>0</v>
      </c>
      <c r="J789" t="n">
        <v>0</v>
      </c>
      <c r="K789" t="n">
        <v>0</v>
      </c>
      <c r="L789" t="n">
        <v>0</v>
      </c>
      <c r="M789" t="n">
        <v>0</v>
      </c>
      <c r="N789" t="n">
        <v>0</v>
      </c>
      <c r="O789" t="n">
        <v>0</v>
      </c>
      <c r="P789" t="n">
        <v>0</v>
      </c>
      <c r="Q789" t="n">
        <v>0</v>
      </c>
      <c r="R789" s="2" t="inlineStr"/>
    </row>
    <row r="790" ht="15" customHeight="1">
      <c r="A790" t="inlineStr">
        <is>
          <t>A 43803-2023</t>
        </is>
      </c>
      <c r="B790" s="1" t="n">
        <v>45187</v>
      </c>
      <c r="C790" s="1" t="n">
        <v>45728</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44511-2023</t>
        </is>
      </c>
      <c r="B791" s="1" t="n">
        <v>45189</v>
      </c>
      <c r="C791" s="1" t="n">
        <v>45728</v>
      </c>
      <c r="D791" t="inlineStr">
        <is>
          <t>ÖREBRO LÄN</t>
        </is>
      </c>
      <c r="E791" t="inlineStr">
        <is>
          <t>ÖREBRO</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45897-2023</t>
        </is>
      </c>
      <c r="B792" s="1" t="n">
        <v>45189</v>
      </c>
      <c r="C792" s="1" t="n">
        <v>45728</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45237-2023</t>
        </is>
      </c>
      <c r="B793" s="1" t="n">
        <v>45191</v>
      </c>
      <c r="C793" s="1" t="n">
        <v>45728</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45517-2023</t>
        </is>
      </c>
      <c r="B794" s="1" t="n">
        <v>45194</v>
      </c>
      <c r="C794" s="1" t="n">
        <v>45728</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46182-2023</t>
        </is>
      </c>
      <c r="B795" s="1" t="n">
        <v>45196</v>
      </c>
      <c r="C795" s="1" t="n">
        <v>45728</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46496-2023</t>
        </is>
      </c>
      <c r="B796" s="1" t="n">
        <v>45197</v>
      </c>
      <c r="C796" s="1" t="n">
        <v>45728</v>
      </c>
      <c r="D796" t="inlineStr">
        <is>
          <t>ÖREBRO LÄN</t>
        </is>
      </c>
      <c r="E796" t="inlineStr">
        <is>
          <t>ÖREBRO</t>
        </is>
      </c>
      <c r="G796" t="n">
        <v>3</v>
      </c>
      <c r="H796" t="n">
        <v>0</v>
      </c>
      <c r="I796" t="n">
        <v>0</v>
      </c>
      <c r="J796" t="n">
        <v>0</v>
      </c>
      <c r="K796" t="n">
        <v>0</v>
      </c>
      <c r="L796" t="n">
        <v>0</v>
      </c>
      <c r="M796" t="n">
        <v>0</v>
      </c>
      <c r="N796" t="n">
        <v>0</v>
      </c>
      <c r="O796" t="n">
        <v>0</v>
      </c>
      <c r="P796" t="n">
        <v>0</v>
      </c>
      <c r="Q796" t="n">
        <v>0</v>
      </c>
      <c r="R796" s="2" t="inlineStr"/>
    </row>
    <row r="797" ht="15" customHeight="1">
      <c r="A797" t="inlineStr">
        <is>
          <t>A 46502-2023</t>
        </is>
      </c>
      <c r="B797" s="1" t="n">
        <v>45197</v>
      </c>
      <c r="C797" s="1" t="n">
        <v>45728</v>
      </c>
      <c r="D797" t="inlineStr">
        <is>
          <t>ÖREBRO LÄN</t>
        </is>
      </c>
      <c r="E797" t="inlineStr">
        <is>
          <t>ÖREBRO</t>
        </is>
      </c>
      <c r="G797" t="n">
        <v>7.7</v>
      </c>
      <c r="H797" t="n">
        <v>0</v>
      </c>
      <c r="I797" t="n">
        <v>0</v>
      </c>
      <c r="J797" t="n">
        <v>0</v>
      </c>
      <c r="K797" t="n">
        <v>0</v>
      </c>
      <c r="L797" t="n">
        <v>0</v>
      </c>
      <c r="M797" t="n">
        <v>0</v>
      </c>
      <c r="N797" t="n">
        <v>0</v>
      </c>
      <c r="O797" t="n">
        <v>0</v>
      </c>
      <c r="P797" t="n">
        <v>0</v>
      </c>
      <c r="Q797" t="n">
        <v>0</v>
      </c>
      <c r="R797" s="2" t="inlineStr"/>
    </row>
    <row r="798" ht="15" customHeight="1">
      <c r="A798" t="inlineStr">
        <is>
          <t>A 46514-2023</t>
        </is>
      </c>
      <c r="B798" s="1" t="n">
        <v>45197</v>
      </c>
      <c r="C798" s="1" t="n">
        <v>45728</v>
      </c>
      <c r="D798" t="inlineStr">
        <is>
          <t>ÖREBRO LÄN</t>
        </is>
      </c>
      <c r="E798" t="inlineStr">
        <is>
          <t>ÖREBRO</t>
        </is>
      </c>
      <c r="G798" t="n">
        <v>10.9</v>
      </c>
      <c r="H798" t="n">
        <v>0</v>
      </c>
      <c r="I798" t="n">
        <v>0</v>
      </c>
      <c r="J798" t="n">
        <v>0</v>
      </c>
      <c r="K798" t="n">
        <v>0</v>
      </c>
      <c r="L798" t="n">
        <v>0</v>
      </c>
      <c r="M798" t="n">
        <v>0</v>
      </c>
      <c r="N798" t="n">
        <v>0</v>
      </c>
      <c r="O798" t="n">
        <v>0</v>
      </c>
      <c r="P798" t="n">
        <v>0</v>
      </c>
      <c r="Q798" t="n">
        <v>0</v>
      </c>
      <c r="R798" s="2" t="inlineStr"/>
    </row>
    <row r="799" ht="15" customHeight="1">
      <c r="A799" t="inlineStr">
        <is>
          <t>A 46518-2023</t>
        </is>
      </c>
      <c r="B799" s="1" t="n">
        <v>45197</v>
      </c>
      <c r="C799" s="1" t="n">
        <v>45728</v>
      </c>
      <c r="D799" t="inlineStr">
        <is>
          <t>ÖREBRO LÄN</t>
        </is>
      </c>
      <c r="E799" t="inlineStr">
        <is>
          <t>ÖREBRO</t>
        </is>
      </c>
      <c r="G799" t="n">
        <v>2.2</v>
      </c>
      <c r="H799" t="n">
        <v>0</v>
      </c>
      <c r="I799" t="n">
        <v>0</v>
      </c>
      <c r="J799" t="n">
        <v>0</v>
      </c>
      <c r="K799" t="n">
        <v>0</v>
      </c>
      <c r="L799" t="n">
        <v>0</v>
      </c>
      <c r="M799" t="n">
        <v>0</v>
      </c>
      <c r="N799" t="n">
        <v>0</v>
      </c>
      <c r="O799" t="n">
        <v>0</v>
      </c>
      <c r="P799" t="n">
        <v>0</v>
      </c>
      <c r="Q799" t="n">
        <v>0</v>
      </c>
      <c r="R799" s="2" t="inlineStr"/>
    </row>
    <row r="800" ht="15" customHeight="1">
      <c r="A800" t="inlineStr">
        <is>
          <t>A 47193-2023</t>
        </is>
      </c>
      <c r="B800" s="1" t="n">
        <v>45202</v>
      </c>
      <c r="C800" s="1" t="n">
        <v>45728</v>
      </c>
      <c r="D800" t="inlineStr">
        <is>
          <t>ÖREBRO LÄN</t>
        </is>
      </c>
      <c r="E800" t="inlineStr">
        <is>
          <t>ÖREBRO</t>
        </is>
      </c>
      <c r="G800" t="n">
        <v>2.4</v>
      </c>
      <c r="H800" t="n">
        <v>0</v>
      </c>
      <c r="I800" t="n">
        <v>0</v>
      </c>
      <c r="J800" t="n">
        <v>0</v>
      </c>
      <c r="K800" t="n">
        <v>0</v>
      </c>
      <c r="L800" t="n">
        <v>0</v>
      </c>
      <c r="M800" t="n">
        <v>0</v>
      </c>
      <c r="N800" t="n">
        <v>0</v>
      </c>
      <c r="O800" t="n">
        <v>0</v>
      </c>
      <c r="P800" t="n">
        <v>0</v>
      </c>
      <c r="Q800" t="n">
        <v>0</v>
      </c>
      <c r="R800" s="2" t="inlineStr"/>
    </row>
    <row r="801" ht="15" customHeight="1">
      <c r="A801" t="inlineStr">
        <is>
          <t>A 48350-2023</t>
        </is>
      </c>
      <c r="B801" s="1" t="n">
        <v>45205</v>
      </c>
      <c r="C801" s="1" t="n">
        <v>45728</v>
      </c>
      <c r="D801" t="inlineStr">
        <is>
          <t>ÖREBRO LÄN</t>
        </is>
      </c>
      <c r="E801" t="inlineStr">
        <is>
          <t>ÖREBRO</t>
        </is>
      </c>
      <c r="G801" t="n">
        <v>3.2</v>
      </c>
      <c r="H801" t="n">
        <v>0</v>
      </c>
      <c r="I801" t="n">
        <v>0</v>
      </c>
      <c r="J801" t="n">
        <v>0</v>
      </c>
      <c r="K801" t="n">
        <v>0</v>
      </c>
      <c r="L801" t="n">
        <v>0</v>
      </c>
      <c r="M801" t="n">
        <v>0</v>
      </c>
      <c r="N801" t="n">
        <v>0</v>
      </c>
      <c r="O801" t="n">
        <v>0</v>
      </c>
      <c r="P801" t="n">
        <v>0</v>
      </c>
      <c r="Q801" t="n">
        <v>0</v>
      </c>
      <c r="R801" s="2" t="inlineStr"/>
    </row>
    <row r="802" ht="15" customHeight="1">
      <c r="A802" t="inlineStr">
        <is>
          <t>A 49062-2023</t>
        </is>
      </c>
      <c r="B802" s="1" t="n">
        <v>45210</v>
      </c>
      <c r="C802" s="1" t="n">
        <v>45728</v>
      </c>
      <c r="D802" t="inlineStr">
        <is>
          <t>ÖREBRO LÄN</t>
        </is>
      </c>
      <c r="E802" t="inlineStr">
        <is>
          <t>ÖREBRO</t>
        </is>
      </c>
      <c r="G802" t="n">
        <v>1.6</v>
      </c>
      <c r="H802" t="n">
        <v>0</v>
      </c>
      <c r="I802" t="n">
        <v>0</v>
      </c>
      <c r="J802" t="n">
        <v>0</v>
      </c>
      <c r="K802" t="n">
        <v>0</v>
      </c>
      <c r="L802" t="n">
        <v>0</v>
      </c>
      <c r="M802" t="n">
        <v>0</v>
      </c>
      <c r="N802" t="n">
        <v>0</v>
      </c>
      <c r="O802" t="n">
        <v>0</v>
      </c>
      <c r="P802" t="n">
        <v>0</v>
      </c>
      <c r="Q802" t="n">
        <v>0</v>
      </c>
      <c r="R802" s="2" t="inlineStr"/>
    </row>
    <row r="803" ht="15" customHeight="1">
      <c r="A803" t="inlineStr">
        <is>
          <t>A 49215-2023</t>
        </is>
      </c>
      <c r="B803" s="1" t="n">
        <v>45210</v>
      </c>
      <c r="C803" s="1" t="n">
        <v>45728</v>
      </c>
      <c r="D803" t="inlineStr">
        <is>
          <t>ÖREBRO LÄN</t>
        </is>
      </c>
      <c r="E803" t="inlineStr">
        <is>
          <t>ÖREBRO</t>
        </is>
      </c>
      <c r="F803" t="inlineStr">
        <is>
          <t>Övriga Aktiebolag</t>
        </is>
      </c>
      <c r="G803" t="n">
        <v>4.2</v>
      </c>
      <c r="H803" t="n">
        <v>0</v>
      </c>
      <c r="I803" t="n">
        <v>0</v>
      </c>
      <c r="J803" t="n">
        <v>0</v>
      </c>
      <c r="K803" t="n">
        <v>0</v>
      </c>
      <c r="L803" t="n">
        <v>0</v>
      </c>
      <c r="M803" t="n">
        <v>0</v>
      </c>
      <c r="N803" t="n">
        <v>0</v>
      </c>
      <c r="O803" t="n">
        <v>0</v>
      </c>
      <c r="P803" t="n">
        <v>0</v>
      </c>
      <c r="Q803" t="n">
        <v>0</v>
      </c>
      <c r="R803" s="2" t="inlineStr"/>
    </row>
    <row r="804" ht="15" customHeight="1">
      <c r="A804" t="inlineStr">
        <is>
          <t>A 51373-2023</t>
        </is>
      </c>
      <c r="B804" s="1" t="n">
        <v>45213</v>
      </c>
      <c r="C804" s="1" t="n">
        <v>45728</v>
      </c>
      <c r="D804" t="inlineStr">
        <is>
          <t>ÖREBRO LÄN</t>
        </is>
      </c>
      <c r="E804" t="inlineStr">
        <is>
          <t>ÖREBRO</t>
        </is>
      </c>
      <c r="G804" t="n">
        <v>5.9</v>
      </c>
      <c r="H804" t="n">
        <v>0</v>
      </c>
      <c r="I804" t="n">
        <v>0</v>
      </c>
      <c r="J804" t="n">
        <v>0</v>
      </c>
      <c r="K804" t="n">
        <v>0</v>
      </c>
      <c r="L804" t="n">
        <v>0</v>
      </c>
      <c r="M804" t="n">
        <v>0</v>
      </c>
      <c r="N804" t="n">
        <v>0</v>
      </c>
      <c r="O804" t="n">
        <v>0</v>
      </c>
      <c r="P804" t="n">
        <v>0</v>
      </c>
      <c r="Q804" t="n">
        <v>0</v>
      </c>
      <c r="R804" s="2" t="inlineStr"/>
    </row>
    <row r="805" ht="15" customHeight="1">
      <c r="A805" t="inlineStr">
        <is>
          <t>A 50450-2023</t>
        </is>
      </c>
      <c r="B805" s="1" t="n">
        <v>45216</v>
      </c>
      <c r="C805" s="1" t="n">
        <v>45728</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50446-2023</t>
        </is>
      </c>
      <c r="B806" s="1" t="n">
        <v>45216</v>
      </c>
      <c r="C806" s="1" t="n">
        <v>45728</v>
      </c>
      <c r="D806" t="inlineStr">
        <is>
          <t>ÖREBRO LÄN</t>
        </is>
      </c>
      <c r="E806" t="inlineStr">
        <is>
          <t>ÖREBRO</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51315-2023</t>
        </is>
      </c>
      <c r="B807" s="1" t="n">
        <v>45219</v>
      </c>
      <c r="C807" s="1" t="n">
        <v>45728</v>
      </c>
      <c r="D807" t="inlineStr">
        <is>
          <t>ÖREBRO LÄN</t>
        </is>
      </c>
      <c r="E807" t="inlineStr">
        <is>
          <t>ÖREBRO</t>
        </is>
      </c>
      <c r="G807" t="n">
        <v>0.7</v>
      </c>
      <c r="H807" t="n">
        <v>0</v>
      </c>
      <c r="I807" t="n">
        <v>0</v>
      </c>
      <c r="J807" t="n">
        <v>0</v>
      </c>
      <c r="K807" t="n">
        <v>0</v>
      </c>
      <c r="L807" t="n">
        <v>0</v>
      </c>
      <c r="M807" t="n">
        <v>0</v>
      </c>
      <c r="N807" t="n">
        <v>0</v>
      </c>
      <c r="O807" t="n">
        <v>0</v>
      </c>
      <c r="P807" t="n">
        <v>0</v>
      </c>
      <c r="Q807" t="n">
        <v>0</v>
      </c>
      <c r="R807" s="2" t="inlineStr"/>
    </row>
    <row r="808" ht="15" customHeight="1">
      <c r="A808" t="inlineStr">
        <is>
          <t>A 51180-2023</t>
        </is>
      </c>
      <c r="B808" s="1" t="n">
        <v>45219</v>
      </c>
      <c r="C808" s="1" t="n">
        <v>45728</v>
      </c>
      <c r="D808" t="inlineStr">
        <is>
          <t>ÖREBRO LÄN</t>
        </is>
      </c>
      <c r="E808" t="inlineStr">
        <is>
          <t>ÖREBRO</t>
        </is>
      </c>
      <c r="G808" t="n">
        <v>6.5</v>
      </c>
      <c r="H808" t="n">
        <v>0</v>
      </c>
      <c r="I808" t="n">
        <v>0</v>
      </c>
      <c r="J808" t="n">
        <v>0</v>
      </c>
      <c r="K808" t="n">
        <v>0</v>
      </c>
      <c r="L808" t="n">
        <v>0</v>
      </c>
      <c r="M808" t="n">
        <v>0</v>
      </c>
      <c r="N808" t="n">
        <v>0</v>
      </c>
      <c r="O808" t="n">
        <v>0</v>
      </c>
      <c r="P808" t="n">
        <v>0</v>
      </c>
      <c r="Q808" t="n">
        <v>0</v>
      </c>
      <c r="R808" s="2" t="inlineStr"/>
    </row>
    <row r="809" ht="15" customHeight="1">
      <c r="A809" t="inlineStr">
        <is>
          <t>A 51297-2023</t>
        </is>
      </c>
      <c r="B809" s="1" t="n">
        <v>45219</v>
      </c>
      <c r="C809" s="1" t="n">
        <v>45728</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51327-2023</t>
        </is>
      </c>
      <c r="B810" s="1" t="n">
        <v>45219</v>
      </c>
      <c r="C810" s="1" t="n">
        <v>45728</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51331-2023</t>
        </is>
      </c>
      <c r="B811" s="1" t="n">
        <v>45219</v>
      </c>
      <c r="C811" s="1" t="n">
        <v>45728</v>
      </c>
      <c r="D811" t="inlineStr">
        <is>
          <t>ÖREBRO LÄN</t>
        </is>
      </c>
      <c r="E811" t="inlineStr">
        <is>
          <t>ÖREBRO</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51962-2023</t>
        </is>
      </c>
      <c r="B812" s="1" t="n">
        <v>45223</v>
      </c>
      <c r="C812" s="1" t="n">
        <v>45728</v>
      </c>
      <c r="D812" t="inlineStr">
        <is>
          <t>ÖREBRO LÄN</t>
        </is>
      </c>
      <c r="E812" t="inlineStr">
        <is>
          <t>ÖREBRO</t>
        </is>
      </c>
      <c r="G812" t="n">
        <v>1.4</v>
      </c>
      <c r="H812" t="n">
        <v>0</v>
      </c>
      <c r="I812" t="n">
        <v>0</v>
      </c>
      <c r="J812" t="n">
        <v>0</v>
      </c>
      <c r="K812" t="n">
        <v>0</v>
      </c>
      <c r="L812" t="n">
        <v>0</v>
      </c>
      <c r="M812" t="n">
        <v>0</v>
      </c>
      <c r="N812" t="n">
        <v>0</v>
      </c>
      <c r="O812" t="n">
        <v>0</v>
      </c>
      <c r="P812" t="n">
        <v>0</v>
      </c>
      <c r="Q812" t="n">
        <v>0</v>
      </c>
      <c r="R812" s="2" t="inlineStr"/>
    </row>
    <row r="813" ht="15" customHeight="1">
      <c r="A813" t="inlineStr">
        <is>
          <t>A 52005-2023</t>
        </is>
      </c>
      <c r="B813" s="1" t="n">
        <v>45223</v>
      </c>
      <c r="C813" s="1" t="n">
        <v>45728</v>
      </c>
      <c r="D813" t="inlineStr">
        <is>
          <t>ÖREBRO LÄN</t>
        </is>
      </c>
      <c r="E813" t="inlineStr">
        <is>
          <t>ÖREBRO</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52256-2023</t>
        </is>
      </c>
      <c r="B814" s="1" t="n">
        <v>45224</v>
      </c>
      <c r="C814" s="1" t="n">
        <v>45728</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53234-2023</t>
        </is>
      </c>
      <c r="B815" s="1" t="n">
        <v>45229</v>
      </c>
      <c r="C815" s="1" t="n">
        <v>45728</v>
      </c>
      <c r="D815" t="inlineStr">
        <is>
          <t>ÖREBRO LÄN</t>
        </is>
      </c>
      <c r="E815" t="inlineStr">
        <is>
          <t>ÖREBRO</t>
        </is>
      </c>
      <c r="G815" t="n">
        <v>1.8</v>
      </c>
      <c r="H815" t="n">
        <v>0</v>
      </c>
      <c r="I815" t="n">
        <v>0</v>
      </c>
      <c r="J815" t="n">
        <v>0</v>
      </c>
      <c r="K815" t="n">
        <v>0</v>
      </c>
      <c r="L815" t="n">
        <v>0</v>
      </c>
      <c r="M815" t="n">
        <v>0</v>
      </c>
      <c r="N815" t="n">
        <v>0</v>
      </c>
      <c r="O815" t="n">
        <v>0</v>
      </c>
      <c r="P815" t="n">
        <v>0</v>
      </c>
      <c r="Q815" t="n">
        <v>0</v>
      </c>
      <c r="R815" s="2" t="inlineStr"/>
    </row>
    <row r="816" ht="15" customHeight="1">
      <c r="A816" t="inlineStr">
        <is>
          <t>A 53143-2023</t>
        </is>
      </c>
      <c r="B816" s="1" t="n">
        <v>45229</v>
      </c>
      <c r="C816" s="1" t="n">
        <v>45728</v>
      </c>
      <c r="D816" t="inlineStr">
        <is>
          <t>ÖREBRO LÄN</t>
        </is>
      </c>
      <c r="E816" t="inlineStr">
        <is>
          <t>ÖREBRO</t>
        </is>
      </c>
      <c r="G816" t="n">
        <v>3.3</v>
      </c>
      <c r="H816" t="n">
        <v>0</v>
      </c>
      <c r="I816" t="n">
        <v>0</v>
      </c>
      <c r="J816" t="n">
        <v>0</v>
      </c>
      <c r="K816" t="n">
        <v>0</v>
      </c>
      <c r="L816" t="n">
        <v>0</v>
      </c>
      <c r="M816" t="n">
        <v>0</v>
      </c>
      <c r="N816" t="n">
        <v>0</v>
      </c>
      <c r="O816" t="n">
        <v>0</v>
      </c>
      <c r="P816" t="n">
        <v>0</v>
      </c>
      <c r="Q816" t="n">
        <v>0</v>
      </c>
      <c r="R816" s="2" t="inlineStr"/>
    </row>
    <row r="817" ht="15" customHeight="1">
      <c r="A817" t="inlineStr">
        <is>
          <t>A 53170-2023</t>
        </is>
      </c>
      <c r="B817" s="1" t="n">
        <v>45229</v>
      </c>
      <c r="C817" s="1" t="n">
        <v>45728</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54925-2023</t>
        </is>
      </c>
      <c r="B818" s="1" t="n">
        <v>45229</v>
      </c>
      <c r="C818" s="1" t="n">
        <v>45728</v>
      </c>
      <c r="D818" t="inlineStr">
        <is>
          <t>ÖREBRO LÄN</t>
        </is>
      </c>
      <c r="E818" t="inlineStr">
        <is>
          <t>ÖREBRO</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54917-2023</t>
        </is>
      </c>
      <c r="B819" s="1" t="n">
        <v>45229</v>
      </c>
      <c r="C819" s="1" t="n">
        <v>45728</v>
      </c>
      <c r="D819" t="inlineStr">
        <is>
          <t>ÖREBRO LÄN</t>
        </is>
      </c>
      <c r="E819" t="inlineStr">
        <is>
          <t>ÖREBRO</t>
        </is>
      </c>
      <c r="G819" t="n">
        <v>3.1</v>
      </c>
      <c r="H819" t="n">
        <v>0</v>
      </c>
      <c r="I819" t="n">
        <v>0</v>
      </c>
      <c r="J819" t="n">
        <v>0</v>
      </c>
      <c r="K819" t="n">
        <v>0</v>
      </c>
      <c r="L819" t="n">
        <v>0</v>
      </c>
      <c r="M819" t="n">
        <v>0</v>
      </c>
      <c r="N819" t="n">
        <v>0</v>
      </c>
      <c r="O819" t="n">
        <v>0</v>
      </c>
      <c r="P819" t="n">
        <v>0</v>
      </c>
      <c r="Q819" t="n">
        <v>0</v>
      </c>
      <c r="R819" s="2" t="inlineStr"/>
    </row>
    <row r="820" ht="15" customHeight="1">
      <c r="A820" t="inlineStr">
        <is>
          <t>A 53598-2023</t>
        </is>
      </c>
      <c r="B820" s="1" t="n">
        <v>45230</v>
      </c>
      <c r="C820" s="1" t="n">
        <v>45728</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53802-2023</t>
        </is>
      </c>
      <c r="B821" s="1" t="n">
        <v>45230</v>
      </c>
      <c r="C821" s="1" t="n">
        <v>45728</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53558-2023</t>
        </is>
      </c>
      <c r="B822" s="1" t="n">
        <v>45230</v>
      </c>
      <c r="C822" s="1" t="n">
        <v>45728</v>
      </c>
      <c r="D822" t="inlineStr">
        <is>
          <t>ÖREBRO LÄN</t>
        </is>
      </c>
      <c r="E822" t="inlineStr">
        <is>
          <t>ÖREBRO</t>
        </is>
      </c>
      <c r="F822" t="inlineStr">
        <is>
          <t>Övriga Aktiebolag</t>
        </is>
      </c>
      <c r="G822" t="n">
        <v>4.7</v>
      </c>
      <c r="H822" t="n">
        <v>0</v>
      </c>
      <c r="I822" t="n">
        <v>0</v>
      </c>
      <c r="J822" t="n">
        <v>0</v>
      </c>
      <c r="K822" t="n">
        <v>0</v>
      </c>
      <c r="L822" t="n">
        <v>0</v>
      </c>
      <c r="M822" t="n">
        <v>0</v>
      </c>
      <c r="N822" t="n">
        <v>0</v>
      </c>
      <c r="O822" t="n">
        <v>0</v>
      </c>
      <c r="P822" t="n">
        <v>0</v>
      </c>
      <c r="Q822" t="n">
        <v>0</v>
      </c>
      <c r="R822" s="2" t="inlineStr"/>
    </row>
    <row r="823" ht="15" customHeight="1">
      <c r="A823" t="inlineStr">
        <is>
          <t>A 54561-2023</t>
        </is>
      </c>
      <c r="B823" s="1" t="n">
        <v>45233</v>
      </c>
      <c r="C823" s="1" t="n">
        <v>45728</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54505-2023</t>
        </is>
      </c>
      <c r="B824" s="1" t="n">
        <v>45233</v>
      </c>
      <c r="C824" s="1" t="n">
        <v>45728</v>
      </c>
      <c r="D824" t="inlineStr">
        <is>
          <t>ÖREBRO LÄN</t>
        </is>
      </c>
      <c r="E824" t="inlineStr">
        <is>
          <t>ÖREBRO</t>
        </is>
      </c>
      <c r="F824" t="inlineStr">
        <is>
          <t>Övriga Aktiebolag</t>
        </is>
      </c>
      <c r="G824" t="n">
        <v>7.2</v>
      </c>
      <c r="H824" t="n">
        <v>0</v>
      </c>
      <c r="I824" t="n">
        <v>0</v>
      </c>
      <c r="J824" t="n">
        <v>0</v>
      </c>
      <c r="K824" t="n">
        <v>0</v>
      </c>
      <c r="L824" t="n">
        <v>0</v>
      </c>
      <c r="M824" t="n">
        <v>0</v>
      </c>
      <c r="N824" t="n">
        <v>0</v>
      </c>
      <c r="O824" t="n">
        <v>0</v>
      </c>
      <c r="P824" t="n">
        <v>0</v>
      </c>
      <c r="Q824" t="n">
        <v>0</v>
      </c>
      <c r="R824" s="2" t="inlineStr"/>
    </row>
    <row r="825" ht="15" customHeight="1">
      <c r="A825" t="inlineStr">
        <is>
          <t>A 54558-2023</t>
        </is>
      </c>
      <c r="B825" s="1" t="n">
        <v>45233</v>
      </c>
      <c r="C825" s="1" t="n">
        <v>45728</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54678-2023</t>
        </is>
      </c>
      <c r="B826" s="1" t="n">
        <v>45235</v>
      </c>
      <c r="C826" s="1" t="n">
        <v>45728</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54865-2023</t>
        </is>
      </c>
      <c r="B827" s="1" t="n">
        <v>45236</v>
      </c>
      <c r="C827" s="1" t="n">
        <v>45728</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55008-2023</t>
        </is>
      </c>
      <c r="B828" s="1" t="n">
        <v>45236</v>
      </c>
      <c r="C828" s="1" t="n">
        <v>45728</v>
      </c>
      <c r="D828" t="inlineStr">
        <is>
          <t>ÖREBRO LÄN</t>
        </is>
      </c>
      <c r="E828" t="inlineStr">
        <is>
          <t>ÖREBRO</t>
        </is>
      </c>
      <c r="G828" t="n">
        <v>4</v>
      </c>
      <c r="H828" t="n">
        <v>0</v>
      </c>
      <c r="I828" t="n">
        <v>0</v>
      </c>
      <c r="J828" t="n">
        <v>0</v>
      </c>
      <c r="K828" t="n">
        <v>0</v>
      </c>
      <c r="L828" t="n">
        <v>0</v>
      </c>
      <c r="M828" t="n">
        <v>0</v>
      </c>
      <c r="N828" t="n">
        <v>0</v>
      </c>
      <c r="O828" t="n">
        <v>0</v>
      </c>
      <c r="P828" t="n">
        <v>0</v>
      </c>
      <c r="Q828" t="n">
        <v>0</v>
      </c>
      <c r="R828" s="2" t="inlineStr"/>
    </row>
    <row r="829" ht="15" customHeight="1">
      <c r="A829" t="inlineStr">
        <is>
          <t>A 55472-2023</t>
        </is>
      </c>
      <c r="B829" s="1" t="n">
        <v>45238</v>
      </c>
      <c r="C829" s="1" t="n">
        <v>45728</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55692-2023</t>
        </is>
      </c>
      <c r="B830" s="1" t="n">
        <v>45239</v>
      </c>
      <c r="C830" s="1" t="n">
        <v>45728</v>
      </c>
      <c r="D830" t="inlineStr">
        <is>
          <t>ÖREBRO LÄN</t>
        </is>
      </c>
      <c r="E830" t="inlineStr">
        <is>
          <t>ÖREBRO</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55745-2023</t>
        </is>
      </c>
      <c r="B831" s="1" t="n">
        <v>45239</v>
      </c>
      <c r="C831" s="1" t="n">
        <v>45728</v>
      </c>
      <c r="D831" t="inlineStr">
        <is>
          <t>ÖREBRO LÄN</t>
        </is>
      </c>
      <c r="E831" t="inlineStr">
        <is>
          <t>ÖREBRO</t>
        </is>
      </c>
      <c r="G831" t="n">
        <v>13.3</v>
      </c>
      <c r="H831" t="n">
        <v>0</v>
      </c>
      <c r="I831" t="n">
        <v>0</v>
      </c>
      <c r="J831" t="n">
        <v>0</v>
      </c>
      <c r="K831" t="n">
        <v>0</v>
      </c>
      <c r="L831" t="n">
        <v>0</v>
      </c>
      <c r="M831" t="n">
        <v>0</v>
      </c>
      <c r="N831" t="n">
        <v>0</v>
      </c>
      <c r="O831" t="n">
        <v>0</v>
      </c>
      <c r="P831" t="n">
        <v>0</v>
      </c>
      <c r="Q831" t="n">
        <v>0</v>
      </c>
      <c r="R831" s="2" t="inlineStr"/>
    </row>
    <row r="832" ht="15" customHeight="1">
      <c r="A832" t="inlineStr">
        <is>
          <t>A 57312-2023</t>
        </is>
      </c>
      <c r="B832" s="1" t="n">
        <v>45245</v>
      </c>
      <c r="C832" s="1" t="n">
        <v>45728</v>
      </c>
      <c r="D832" t="inlineStr">
        <is>
          <t>ÖREBRO LÄN</t>
        </is>
      </c>
      <c r="E832" t="inlineStr">
        <is>
          <t>ÖREBRO</t>
        </is>
      </c>
      <c r="G832" t="n">
        <v>12.5</v>
      </c>
      <c r="H832" t="n">
        <v>0</v>
      </c>
      <c r="I832" t="n">
        <v>0</v>
      </c>
      <c r="J832" t="n">
        <v>0</v>
      </c>
      <c r="K832" t="n">
        <v>0</v>
      </c>
      <c r="L832" t="n">
        <v>0</v>
      </c>
      <c r="M832" t="n">
        <v>0</v>
      </c>
      <c r="N832" t="n">
        <v>0</v>
      </c>
      <c r="O832" t="n">
        <v>0</v>
      </c>
      <c r="P832" t="n">
        <v>0</v>
      </c>
      <c r="Q832" t="n">
        <v>0</v>
      </c>
      <c r="R832" s="2" t="inlineStr"/>
    </row>
    <row r="833" ht="15" customHeight="1">
      <c r="A833" t="inlineStr">
        <is>
          <t>A 57604-2023</t>
        </is>
      </c>
      <c r="B833" s="1" t="n">
        <v>45246</v>
      </c>
      <c r="C833" s="1" t="n">
        <v>45728</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57485-2023</t>
        </is>
      </c>
      <c r="B834" s="1" t="n">
        <v>45246</v>
      </c>
      <c r="C834" s="1" t="n">
        <v>45728</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58032-2023</t>
        </is>
      </c>
      <c r="B835" s="1" t="n">
        <v>45247</v>
      </c>
      <c r="C835" s="1" t="n">
        <v>45728</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58035-2023</t>
        </is>
      </c>
      <c r="B836" s="1" t="n">
        <v>45247</v>
      </c>
      <c r="C836" s="1" t="n">
        <v>45728</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58516-2023</t>
        </is>
      </c>
      <c r="B837" s="1" t="n">
        <v>45251</v>
      </c>
      <c r="C837" s="1" t="n">
        <v>45728</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58504-2023</t>
        </is>
      </c>
      <c r="B838" s="1" t="n">
        <v>45251</v>
      </c>
      <c r="C838" s="1" t="n">
        <v>45728</v>
      </c>
      <c r="D838" t="inlineStr">
        <is>
          <t>ÖREBRO LÄN</t>
        </is>
      </c>
      <c r="E838" t="inlineStr">
        <is>
          <t>ÖREBRO</t>
        </is>
      </c>
      <c r="G838" t="n">
        <v>2.1</v>
      </c>
      <c r="H838" t="n">
        <v>0</v>
      </c>
      <c r="I838" t="n">
        <v>0</v>
      </c>
      <c r="J838" t="n">
        <v>0</v>
      </c>
      <c r="K838" t="n">
        <v>0</v>
      </c>
      <c r="L838" t="n">
        <v>0</v>
      </c>
      <c r="M838" t="n">
        <v>0</v>
      </c>
      <c r="N838" t="n">
        <v>0</v>
      </c>
      <c r="O838" t="n">
        <v>0</v>
      </c>
      <c r="P838" t="n">
        <v>0</v>
      </c>
      <c r="Q838" t="n">
        <v>0</v>
      </c>
      <c r="R838" s="2" t="inlineStr"/>
    </row>
    <row r="839" ht="15" customHeight="1">
      <c r="A839" t="inlineStr">
        <is>
          <t>A 58644-2023</t>
        </is>
      </c>
      <c r="B839" s="1" t="n">
        <v>45251</v>
      </c>
      <c r="C839" s="1" t="n">
        <v>45728</v>
      </c>
      <c r="D839" t="inlineStr">
        <is>
          <t>ÖREBRO LÄN</t>
        </is>
      </c>
      <c r="E839" t="inlineStr">
        <is>
          <t>ÖREBRO</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58682-2023</t>
        </is>
      </c>
      <c r="B840" s="1" t="n">
        <v>45251</v>
      </c>
      <c r="C840" s="1" t="n">
        <v>45728</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58684-2023</t>
        </is>
      </c>
      <c r="B841" s="1" t="n">
        <v>45251</v>
      </c>
      <c r="C841" s="1" t="n">
        <v>45728</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58889-2023</t>
        </is>
      </c>
      <c r="B842" s="1" t="n">
        <v>45252</v>
      </c>
      <c r="C842" s="1" t="n">
        <v>45728</v>
      </c>
      <c r="D842" t="inlineStr">
        <is>
          <t>ÖREBRO LÄN</t>
        </is>
      </c>
      <c r="E842" t="inlineStr">
        <is>
          <t>ÖREBRO</t>
        </is>
      </c>
      <c r="G842" t="n">
        <v>0.8</v>
      </c>
      <c r="H842" t="n">
        <v>0</v>
      </c>
      <c r="I842" t="n">
        <v>0</v>
      </c>
      <c r="J842" t="n">
        <v>0</v>
      </c>
      <c r="K842" t="n">
        <v>0</v>
      </c>
      <c r="L842" t="n">
        <v>0</v>
      </c>
      <c r="M842" t="n">
        <v>0</v>
      </c>
      <c r="N842" t="n">
        <v>0</v>
      </c>
      <c r="O842" t="n">
        <v>0</v>
      </c>
      <c r="P842" t="n">
        <v>0</v>
      </c>
      <c r="Q842" t="n">
        <v>0</v>
      </c>
      <c r="R842" s="2" t="inlineStr"/>
    </row>
    <row r="843" ht="15" customHeight="1">
      <c r="A843" t="inlineStr">
        <is>
          <t>A 59037-2023</t>
        </is>
      </c>
      <c r="B843" s="1" t="n">
        <v>45252</v>
      </c>
      <c r="C843" s="1" t="n">
        <v>45728</v>
      </c>
      <c r="D843" t="inlineStr">
        <is>
          <t>ÖREBRO LÄN</t>
        </is>
      </c>
      <c r="E843" t="inlineStr">
        <is>
          <t>ÖREBRO</t>
        </is>
      </c>
      <c r="G843" t="n">
        <v>2.7</v>
      </c>
      <c r="H843" t="n">
        <v>0</v>
      </c>
      <c r="I843" t="n">
        <v>0</v>
      </c>
      <c r="J843" t="n">
        <v>0</v>
      </c>
      <c r="K843" t="n">
        <v>0</v>
      </c>
      <c r="L843" t="n">
        <v>0</v>
      </c>
      <c r="M843" t="n">
        <v>0</v>
      </c>
      <c r="N843" t="n">
        <v>0</v>
      </c>
      <c r="O843" t="n">
        <v>0</v>
      </c>
      <c r="P843" t="n">
        <v>0</v>
      </c>
      <c r="Q843" t="n">
        <v>0</v>
      </c>
      <c r="R843" s="2" t="inlineStr"/>
    </row>
    <row r="844" ht="15" customHeight="1">
      <c r="A844" t="inlineStr">
        <is>
          <t>A 59623-2023</t>
        </is>
      </c>
      <c r="B844" s="1" t="n">
        <v>45254</v>
      </c>
      <c r="C844" s="1" t="n">
        <v>45728</v>
      </c>
      <c r="D844" t="inlineStr">
        <is>
          <t>ÖREBRO LÄN</t>
        </is>
      </c>
      <c r="E844" t="inlineStr">
        <is>
          <t>ÖREBRO</t>
        </is>
      </c>
      <c r="G844" t="n">
        <v>4.6</v>
      </c>
      <c r="H844" t="n">
        <v>0</v>
      </c>
      <c r="I844" t="n">
        <v>0</v>
      </c>
      <c r="J844" t="n">
        <v>0</v>
      </c>
      <c r="K844" t="n">
        <v>0</v>
      </c>
      <c r="L844" t="n">
        <v>0</v>
      </c>
      <c r="M844" t="n">
        <v>0</v>
      </c>
      <c r="N844" t="n">
        <v>0</v>
      </c>
      <c r="O844" t="n">
        <v>0</v>
      </c>
      <c r="P844" t="n">
        <v>0</v>
      </c>
      <c r="Q844" t="n">
        <v>0</v>
      </c>
      <c r="R844" s="2" t="inlineStr"/>
    </row>
    <row r="845" ht="15" customHeight="1">
      <c r="A845" t="inlineStr">
        <is>
          <t>A 59736-2023</t>
        </is>
      </c>
      <c r="B845" s="1" t="n">
        <v>45257</v>
      </c>
      <c r="C845" s="1" t="n">
        <v>45728</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59749-2023</t>
        </is>
      </c>
      <c r="B846" s="1" t="n">
        <v>45257</v>
      </c>
      <c r="C846" s="1" t="n">
        <v>45728</v>
      </c>
      <c r="D846" t="inlineStr">
        <is>
          <t>ÖREBRO LÄN</t>
        </is>
      </c>
      <c r="E846" t="inlineStr">
        <is>
          <t>ÖREBRO</t>
        </is>
      </c>
      <c r="G846" t="n">
        <v>5</v>
      </c>
      <c r="H846" t="n">
        <v>0</v>
      </c>
      <c r="I846" t="n">
        <v>0</v>
      </c>
      <c r="J846" t="n">
        <v>0</v>
      </c>
      <c r="K846" t="n">
        <v>0</v>
      </c>
      <c r="L846" t="n">
        <v>0</v>
      </c>
      <c r="M846" t="n">
        <v>0</v>
      </c>
      <c r="N846" t="n">
        <v>0</v>
      </c>
      <c r="O846" t="n">
        <v>0</v>
      </c>
      <c r="P846" t="n">
        <v>0</v>
      </c>
      <c r="Q846" t="n">
        <v>0</v>
      </c>
      <c r="R846" s="2" t="inlineStr"/>
    </row>
    <row r="847" ht="15" customHeight="1">
      <c r="A847" t="inlineStr">
        <is>
          <t>A 59873-2023</t>
        </is>
      </c>
      <c r="B847" s="1" t="n">
        <v>45257</v>
      </c>
      <c r="C847" s="1" t="n">
        <v>45728</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59757-2023</t>
        </is>
      </c>
      <c r="B848" s="1" t="n">
        <v>45257</v>
      </c>
      <c r="C848" s="1" t="n">
        <v>45728</v>
      </c>
      <c r="D848" t="inlineStr">
        <is>
          <t>ÖREBRO LÄN</t>
        </is>
      </c>
      <c r="E848" t="inlineStr">
        <is>
          <t>ÖREBRO</t>
        </is>
      </c>
      <c r="G848" t="n">
        <v>1</v>
      </c>
      <c r="H848" t="n">
        <v>0</v>
      </c>
      <c r="I848" t="n">
        <v>0</v>
      </c>
      <c r="J848" t="n">
        <v>0</v>
      </c>
      <c r="K848" t="n">
        <v>0</v>
      </c>
      <c r="L848" t="n">
        <v>0</v>
      </c>
      <c r="M848" t="n">
        <v>0</v>
      </c>
      <c r="N848" t="n">
        <v>0</v>
      </c>
      <c r="O848" t="n">
        <v>0</v>
      </c>
      <c r="P848" t="n">
        <v>0</v>
      </c>
      <c r="Q848" t="n">
        <v>0</v>
      </c>
      <c r="R848" s="2" t="inlineStr"/>
    </row>
    <row r="849" ht="15" customHeight="1">
      <c r="A849" t="inlineStr">
        <is>
          <t>A 60289-2023</t>
        </is>
      </c>
      <c r="B849" s="1" t="n">
        <v>45257</v>
      </c>
      <c r="C849" s="1" t="n">
        <v>45728</v>
      </c>
      <c r="D849" t="inlineStr">
        <is>
          <t>ÖREBRO LÄN</t>
        </is>
      </c>
      <c r="E849" t="inlineStr">
        <is>
          <t>ÖREBRO</t>
        </is>
      </c>
      <c r="G849" t="n">
        <v>10.9</v>
      </c>
      <c r="H849" t="n">
        <v>0</v>
      </c>
      <c r="I849" t="n">
        <v>0</v>
      </c>
      <c r="J849" t="n">
        <v>0</v>
      </c>
      <c r="K849" t="n">
        <v>0</v>
      </c>
      <c r="L849" t="n">
        <v>0</v>
      </c>
      <c r="M849" t="n">
        <v>0</v>
      </c>
      <c r="N849" t="n">
        <v>0</v>
      </c>
      <c r="O849" t="n">
        <v>0</v>
      </c>
      <c r="P849" t="n">
        <v>0</v>
      </c>
      <c r="Q849" t="n">
        <v>0</v>
      </c>
      <c r="R849" s="2" t="inlineStr"/>
    </row>
    <row r="850" ht="15" customHeight="1">
      <c r="A850" t="inlineStr">
        <is>
          <t>A 60126-2023</t>
        </is>
      </c>
      <c r="B850" s="1" t="n">
        <v>45258</v>
      </c>
      <c r="C850" s="1" t="n">
        <v>45728</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60059-2023</t>
        </is>
      </c>
      <c r="B851" s="1" t="n">
        <v>45258</v>
      </c>
      <c r="C851" s="1" t="n">
        <v>45728</v>
      </c>
      <c r="D851" t="inlineStr">
        <is>
          <t>ÖREBRO LÄN</t>
        </is>
      </c>
      <c r="E851" t="inlineStr">
        <is>
          <t>ÖREBRO</t>
        </is>
      </c>
      <c r="G851" t="n">
        <v>4</v>
      </c>
      <c r="H851" t="n">
        <v>0</v>
      </c>
      <c r="I851" t="n">
        <v>0</v>
      </c>
      <c r="J851" t="n">
        <v>0</v>
      </c>
      <c r="K851" t="n">
        <v>0</v>
      </c>
      <c r="L851" t="n">
        <v>0</v>
      </c>
      <c r="M851" t="n">
        <v>0</v>
      </c>
      <c r="N851" t="n">
        <v>0</v>
      </c>
      <c r="O851" t="n">
        <v>0</v>
      </c>
      <c r="P851" t="n">
        <v>0</v>
      </c>
      <c r="Q851" t="n">
        <v>0</v>
      </c>
      <c r="R851" s="2" t="inlineStr"/>
    </row>
    <row r="852" ht="15" customHeight="1">
      <c r="A852" t="inlineStr">
        <is>
          <t>A 60128-2023</t>
        </is>
      </c>
      <c r="B852" s="1" t="n">
        <v>45258</v>
      </c>
      <c r="C852" s="1" t="n">
        <v>45728</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60312-2023</t>
        </is>
      </c>
      <c r="B853" s="1" t="n">
        <v>45258</v>
      </c>
      <c r="C853" s="1" t="n">
        <v>45728</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61593-2023</t>
        </is>
      </c>
      <c r="B854" s="1" t="n">
        <v>45265</v>
      </c>
      <c r="C854" s="1" t="n">
        <v>45728</v>
      </c>
      <c r="D854" t="inlineStr">
        <is>
          <t>ÖREBRO LÄN</t>
        </is>
      </c>
      <c r="E854" t="inlineStr">
        <is>
          <t>ÖREBRO</t>
        </is>
      </c>
      <c r="G854" t="n">
        <v>2.5</v>
      </c>
      <c r="H854" t="n">
        <v>0</v>
      </c>
      <c r="I854" t="n">
        <v>0</v>
      </c>
      <c r="J854" t="n">
        <v>0</v>
      </c>
      <c r="K854" t="n">
        <v>0</v>
      </c>
      <c r="L854" t="n">
        <v>0</v>
      </c>
      <c r="M854" t="n">
        <v>0</v>
      </c>
      <c r="N854" t="n">
        <v>0</v>
      </c>
      <c r="O854" t="n">
        <v>0</v>
      </c>
      <c r="P854" t="n">
        <v>0</v>
      </c>
      <c r="Q854" t="n">
        <v>0</v>
      </c>
      <c r="R854" s="2" t="inlineStr"/>
    </row>
    <row r="855" ht="15" customHeight="1">
      <c r="A855" t="inlineStr">
        <is>
          <t>A 62511-2023</t>
        </is>
      </c>
      <c r="B855" s="1" t="n">
        <v>45268</v>
      </c>
      <c r="C855" s="1" t="n">
        <v>45728</v>
      </c>
      <c r="D855" t="inlineStr">
        <is>
          <t>ÖREBRO LÄN</t>
        </is>
      </c>
      <c r="E855" t="inlineStr">
        <is>
          <t>ÖREBRO</t>
        </is>
      </c>
      <c r="F855" t="inlineStr">
        <is>
          <t>Övriga Aktiebolag</t>
        </is>
      </c>
      <c r="G855" t="n">
        <v>3.6</v>
      </c>
      <c r="H855" t="n">
        <v>0</v>
      </c>
      <c r="I855" t="n">
        <v>0</v>
      </c>
      <c r="J855" t="n">
        <v>0</v>
      </c>
      <c r="K855" t="n">
        <v>0</v>
      </c>
      <c r="L855" t="n">
        <v>0</v>
      </c>
      <c r="M855" t="n">
        <v>0</v>
      </c>
      <c r="N855" t="n">
        <v>0</v>
      </c>
      <c r="O855" t="n">
        <v>0</v>
      </c>
      <c r="P855" t="n">
        <v>0</v>
      </c>
      <c r="Q855" t="n">
        <v>0</v>
      </c>
      <c r="R855" s="2" t="inlineStr"/>
    </row>
    <row r="856" ht="15" customHeight="1">
      <c r="A856" t="inlineStr">
        <is>
          <t>A 62497-2023</t>
        </is>
      </c>
      <c r="B856" s="1" t="n">
        <v>45268</v>
      </c>
      <c r="C856" s="1" t="n">
        <v>45728</v>
      </c>
      <c r="D856" t="inlineStr">
        <is>
          <t>ÖREBRO LÄN</t>
        </is>
      </c>
      <c r="E856" t="inlineStr">
        <is>
          <t>ÖREBRO</t>
        </is>
      </c>
      <c r="F856" t="inlineStr">
        <is>
          <t>Övriga Aktiebolag</t>
        </is>
      </c>
      <c r="G856" t="n">
        <v>3.2</v>
      </c>
      <c r="H856" t="n">
        <v>0</v>
      </c>
      <c r="I856" t="n">
        <v>0</v>
      </c>
      <c r="J856" t="n">
        <v>0</v>
      </c>
      <c r="K856" t="n">
        <v>0</v>
      </c>
      <c r="L856" t="n">
        <v>0</v>
      </c>
      <c r="M856" t="n">
        <v>0</v>
      </c>
      <c r="N856" t="n">
        <v>0</v>
      </c>
      <c r="O856" t="n">
        <v>0</v>
      </c>
      <c r="P856" t="n">
        <v>0</v>
      </c>
      <c r="Q856" t="n">
        <v>0</v>
      </c>
      <c r="R856" s="2" t="inlineStr"/>
    </row>
    <row r="857" ht="15" customHeight="1">
      <c r="A857" t="inlineStr">
        <is>
          <t>A 62995-2023</t>
        </is>
      </c>
      <c r="B857" s="1" t="n">
        <v>45272</v>
      </c>
      <c r="C857" s="1" t="n">
        <v>45728</v>
      </c>
      <c r="D857" t="inlineStr">
        <is>
          <t>ÖREBRO LÄN</t>
        </is>
      </c>
      <c r="E857" t="inlineStr">
        <is>
          <t>ÖREBRO</t>
        </is>
      </c>
      <c r="G857" t="n">
        <v>2.6</v>
      </c>
      <c r="H857" t="n">
        <v>0</v>
      </c>
      <c r="I857" t="n">
        <v>0</v>
      </c>
      <c r="J857" t="n">
        <v>0</v>
      </c>
      <c r="K857" t="n">
        <v>0</v>
      </c>
      <c r="L857" t="n">
        <v>0</v>
      </c>
      <c r="M857" t="n">
        <v>0</v>
      </c>
      <c r="N857" t="n">
        <v>0</v>
      </c>
      <c r="O857" t="n">
        <v>0</v>
      </c>
      <c r="P857" t="n">
        <v>0</v>
      </c>
      <c r="Q857" t="n">
        <v>0</v>
      </c>
      <c r="R857" s="2" t="inlineStr"/>
    </row>
    <row r="858" ht="15" customHeight="1">
      <c r="A858" t="inlineStr">
        <is>
          <t>A 63142-2023</t>
        </is>
      </c>
      <c r="B858" s="1" t="n">
        <v>45273</v>
      </c>
      <c r="C858" s="1" t="n">
        <v>45728</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63342-2023</t>
        </is>
      </c>
      <c r="B859" s="1" t="n">
        <v>45274</v>
      </c>
      <c r="C859" s="1" t="n">
        <v>45728</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64611-2023</t>
        </is>
      </c>
      <c r="B860" s="1" t="n">
        <v>45281</v>
      </c>
      <c r="C860" s="1" t="n">
        <v>45728</v>
      </c>
      <c r="D860" t="inlineStr">
        <is>
          <t>ÖREBRO LÄN</t>
        </is>
      </c>
      <c r="E860" t="inlineStr">
        <is>
          <t>ÖREBRO</t>
        </is>
      </c>
      <c r="G860" t="n">
        <v>9.4</v>
      </c>
      <c r="H860" t="n">
        <v>0</v>
      </c>
      <c r="I860" t="n">
        <v>0</v>
      </c>
      <c r="J860" t="n">
        <v>0</v>
      </c>
      <c r="K860" t="n">
        <v>0</v>
      </c>
      <c r="L860" t="n">
        <v>0</v>
      </c>
      <c r="M860" t="n">
        <v>0</v>
      </c>
      <c r="N860" t="n">
        <v>0</v>
      </c>
      <c r="O860" t="n">
        <v>0</v>
      </c>
      <c r="P860" t="n">
        <v>0</v>
      </c>
      <c r="Q860" t="n">
        <v>0</v>
      </c>
      <c r="R860" s="2" t="inlineStr"/>
    </row>
    <row r="861" ht="15" customHeight="1">
      <c r="A861" t="inlineStr">
        <is>
          <t>A 64730-2023</t>
        </is>
      </c>
      <c r="B861" s="1" t="n">
        <v>45281</v>
      </c>
      <c r="C861" s="1" t="n">
        <v>45728</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64968-2023</t>
        </is>
      </c>
      <c r="B862" s="1" t="n">
        <v>45283</v>
      </c>
      <c r="C862" s="1" t="n">
        <v>45728</v>
      </c>
      <c r="D862" t="inlineStr">
        <is>
          <t>ÖREBRO LÄN</t>
        </is>
      </c>
      <c r="E862" t="inlineStr">
        <is>
          <t>ÖREBRO</t>
        </is>
      </c>
      <c r="G862" t="n">
        <v>2.1</v>
      </c>
      <c r="H862" t="n">
        <v>0</v>
      </c>
      <c r="I862" t="n">
        <v>0</v>
      </c>
      <c r="J862" t="n">
        <v>0</v>
      </c>
      <c r="K862" t="n">
        <v>0</v>
      </c>
      <c r="L862" t="n">
        <v>0</v>
      </c>
      <c r="M862" t="n">
        <v>0</v>
      </c>
      <c r="N862" t="n">
        <v>0</v>
      </c>
      <c r="O862" t="n">
        <v>0</v>
      </c>
      <c r="P862" t="n">
        <v>0</v>
      </c>
      <c r="Q862" t="n">
        <v>0</v>
      </c>
      <c r="R862" s="2" t="inlineStr"/>
    </row>
    <row r="863" ht="15" customHeight="1">
      <c r="A863" t="inlineStr">
        <is>
          <t>A 65025-2023</t>
        </is>
      </c>
      <c r="B863" s="1" t="n">
        <v>45287</v>
      </c>
      <c r="C863" s="1" t="n">
        <v>45728</v>
      </c>
      <c r="D863" t="inlineStr">
        <is>
          <t>ÖREBRO LÄN</t>
        </is>
      </c>
      <c r="E863" t="inlineStr">
        <is>
          <t>ÖREBRO</t>
        </is>
      </c>
      <c r="G863" t="n">
        <v>8.9</v>
      </c>
      <c r="H863" t="n">
        <v>0</v>
      </c>
      <c r="I863" t="n">
        <v>0</v>
      </c>
      <c r="J863" t="n">
        <v>0</v>
      </c>
      <c r="K863" t="n">
        <v>0</v>
      </c>
      <c r="L863" t="n">
        <v>0</v>
      </c>
      <c r="M863" t="n">
        <v>0</v>
      </c>
      <c r="N863" t="n">
        <v>0</v>
      </c>
      <c r="O863" t="n">
        <v>0</v>
      </c>
      <c r="P863" t="n">
        <v>0</v>
      </c>
      <c r="Q863" t="n">
        <v>0</v>
      </c>
      <c r="R863" s="2" t="inlineStr"/>
    </row>
    <row r="864" ht="15" customHeight="1">
      <c r="A864" t="inlineStr">
        <is>
          <t>A 65257-2023</t>
        </is>
      </c>
      <c r="B864" s="1" t="n">
        <v>45290</v>
      </c>
      <c r="C864" s="1" t="n">
        <v>45728</v>
      </c>
      <c r="D864" t="inlineStr">
        <is>
          <t>ÖREBRO LÄN</t>
        </is>
      </c>
      <c r="E864" t="inlineStr">
        <is>
          <t>ÖREBRO</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65256-2023</t>
        </is>
      </c>
      <c r="B865" s="1" t="n">
        <v>45290</v>
      </c>
      <c r="C865" s="1" t="n">
        <v>45728</v>
      </c>
      <c r="D865" t="inlineStr">
        <is>
          <t>ÖREBRO LÄN</t>
        </is>
      </c>
      <c r="E865" t="inlineStr">
        <is>
          <t>ÖREBRO</t>
        </is>
      </c>
      <c r="F865" t="inlineStr">
        <is>
          <t>Övriga Aktiebolag</t>
        </is>
      </c>
      <c r="G865" t="n">
        <v>1.2</v>
      </c>
      <c r="H865" t="n">
        <v>0</v>
      </c>
      <c r="I865" t="n">
        <v>0</v>
      </c>
      <c r="J865" t="n">
        <v>0</v>
      </c>
      <c r="K865" t="n">
        <v>0</v>
      </c>
      <c r="L865" t="n">
        <v>0</v>
      </c>
      <c r="M865" t="n">
        <v>0</v>
      </c>
      <c r="N865" t="n">
        <v>0</v>
      </c>
      <c r="O865" t="n">
        <v>0</v>
      </c>
      <c r="P865" t="n">
        <v>0</v>
      </c>
      <c r="Q865" t="n">
        <v>0</v>
      </c>
      <c r="R865" s="2" t="inlineStr"/>
    </row>
    <row r="866" ht="15" customHeight="1">
      <c r="A866" t="inlineStr">
        <is>
          <t>A 3-2024</t>
        </is>
      </c>
      <c r="B866" s="1" t="n">
        <v>45292</v>
      </c>
      <c r="C866" s="1" t="n">
        <v>45728</v>
      </c>
      <c r="D866" t="inlineStr">
        <is>
          <t>ÖREBRO LÄN</t>
        </is>
      </c>
      <c r="E866" t="inlineStr">
        <is>
          <t>ÖREBRO</t>
        </is>
      </c>
      <c r="G866" t="n">
        <v>2.7</v>
      </c>
      <c r="H866" t="n">
        <v>0</v>
      </c>
      <c r="I866" t="n">
        <v>0</v>
      </c>
      <c r="J866" t="n">
        <v>0</v>
      </c>
      <c r="K866" t="n">
        <v>0</v>
      </c>
      <c r="L866" t="n">
        <v>0</v>
      </c>
      <c r="M866" t="n">
        <v>0</v>
      </c>
      <c r="N866" t="n">
        <v>0</v>
      </c>
      <c r="O866" t="n">
        <v>0</v>
      </c>
      <c r="P866" t="n">
        <v>0</v>
      </c>
      <c r="Q866" t="n">
        <v>0</v>
      </c>
      <c r="R866" s="2" t="inlineStr"/>
    </row>
    <row r="867" ht="15" customHeight="1">
      <c r="A867" t="inlineStr">
        <is>
          <t>A 187-2024</t>
        </is>
      </c>
      <c r="B867" s="1" t="n">
        <v>45294</v>
      </c>
      <c r="C867" s="1" t="n">
        <v>45728</v>
      </c>
      <c r="D867" t="inlineStr">
        <is>
          <t>ÖREBRO LÄN</t>
        </is>
      </c>
      <c r="E867" t="inlineStr">
        <is>
          <t>ÖREBRO</t>
        </is>
      </c>
      <c r="G867" t="n">
        <v>5.9</v>
      </c>
      <c r="H867" t="n">
        <v>0</v>
      </c>
      <c r="I867" t="n">
        <v>0</v>
      </c>
      <c r="J867" t="n">
        <v>0</v>
      </c>
      <c r="K867" t="n">
        <v>0</v>
      </c>
      <c r="L867" t="n">
        <v>0</v>
      </c>
      <c r="M867" t="n">
        <v>0</v>
      </c>
      <c r="N867" t="n">
        <v>0</v>
      </c>
      <c r="O867" t="n">
        <v>0</v>
      </c>
      <c r="P867" t="n">
        <v>0</v>
      </c>
      <c r="Q867" t="n">
        <v>0</v>
      </c>
      <c r="R867" s="2" t="inlineStr"/>
    </row>
    <row r="868" ht="15" customHeight="1">
      <c r="A868" t="inlineStr">
        <is>
          <t>A 190-2024</t>
        </is>
      </c>
      <c r="B868" s="1" t="n">
        <v>45294</v>
      </c>
      <c r="C868" s="1" t="n">
        <v>45728</v>
      </c>
      <c r="D868" t="inlineStr">
        <is>
          <t>ÖREBRO LÄN</t>
        </is>
      </c>
      <c r="E868" t="inlineStr">
        <is>
          <t>ÖREBRO</t>
        </is>
      </c>
      <c r="G868" t="n">
        <v>2.4</v>
      </c>
      <c r="H868" t="n">
        <v>0</v>
      </c>
      <c r="I868" t="n">
        <v>0</v>
      </c>
      <c r="J868" t="n">
        <v>0</v>
      </c>
      <c r="K868" t="n">
        <v>0</v>
      </c>
      <c r="L868" t="n">
        <v>0</v>
      </c>
      <c r="M868" t="n">
        <v>0</v>
      </c>
      <c r="N868" t="n">
        <v>0</v>
      </c>
      <c r="O868" t="n">
        <v>0</v>
      </c>
      <c r="P868" t="n">
        <v>0</v>
      </c>
      <c r="Q868" t="n">
        <v>0</v>
      </c>
      <c r="R868" s="2" t="inlineStr"/>
    </row>
    <row r="869" ht="15" customHeight="1">
      <c r="A869" t="inlineStr">
        <is>
          <t>A 681-2024</t>
        </is>
      </c>
      <c r="B869" s="1" t="n">
        <v>45300</v>
      </c>
      <c r="C869" s="1" t="n">
        <v>45728</v>
      </c>
      <c r="D869" t="inlineStr">
        <is>
          <t>ÖREBRO LÄN</t>
        </is>
      </c>
      <c r="E869" t="inlineStr">
        <is>
          <t>ÖREBRO</t>
        </is>
      </c>
      <c r="G869" t="n">
        <v>3.3</v>
      </c>
      <c r="H869" t="n">
        <v>0</v>
      </c>
      <c r="I869" t="n">
        <v>0</v>
      </c>
      <c r="J869" t="n">
        <v>0</v>
      </c>
      <c r="K869" t="n">
        <v>0</v>
      </c>
      <c r="L869" t="n">
        <v>0</v>
      </c>
      <c r="M869" t="n">
        <v>0</v>
      </c>
      <c r="N869" t="n">
        <v>0</v>
      </c>
      <c r="O869" t="n">
        <v>0</v>
      </c>
      <c r="P869" t="n">
        <v>0</v>
      </c>
      <c r="Q869" t="n">
        <v>0</v>
      </c>
      <c r="R869" s="2" t="inlineStr"/>
    </row>
    <row r="870" ht="15" customHeight="1">
      <c r="A870" t="inlineStr">
        <is>
          <t>A 767-2024</t>
        </is>
      </c>
      <c r="B870" s="1" t="n">
        <v>45300</v>
      </c>
      <c r="C870" s="1" t="n">
        <v>45728</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764-2024</t>
        </is>
      </c>
      <c r="B871" s="1" t="n">
        <v>45300</v>
      </c>
      <c r="C871" s="1" t="n">
        <v>45728</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1013-2024</t>
        </is>
      </c>
      <c r="B872" s="1" t="n">
        <v>45301</v>
      </c>
      <c r="C872" s="1" t="n">
        <v>45728</v>
      </c>
      <c r="D872" t="inlineStr">
        <is>
          <t>ÖREBRO LÄN</t>
        </is>
      </c>
      <c r="E872" t="inlineStr">
        <is>
          <t>ÖREBRO</t>
        </is>
      </c>
      <c r="G872" t="n">
        <v>2.6</v>
      </c>
      <c r="H872" t="n">
        <v>0</v>
      </c>
      <c r="I872" t="n">
        <v>0</v>
      </c>
      <c r="J872" t="n">
        <v>0</v>
      </c>
      <c r="K872" t="n">
        <v>0</v>
      </c>
      <c r="L872" t="n">
        <v>0</v>
      </c>
      <c r="M872" t="n">
        <v>0</v>
      </c>
      <c r="N872" t="n">
        <v>0</v>
      </c>
      <c r="O872" t="n">
        <v>0</v>
      </c>
      <c r="P872" t="n">
        <v>0</v>
      </c>
      <c r="Q872" t="n">
        <v>0</v>
      </c>
      <c r="R872" s="2" t="inlineStr"/>
    </row>
    <row r="873" ht="15" customHeight="1">
      <c r="A873" t="inlineStr">
        <is>
          <t>A 1014-2024</t>
        </is>
      </c>
      <c r="B873" s="1" t="n">
        <v>45301</v>
      </c>
      <c r="C873" s="1" t="n">
        <v>45728</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1262-2024</t>
        </is>
      </c>
      <c r="B874" s="1" t="n">
        <v>45302</v>
      </c>
      <c r="C874" s="1" t="n">
        <v>45728</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1261-2024</t>
        </is>
      </c>
      <c r="B875" s="1" t="n">
        <v>45302</v>
      </c>
      <c r="C875" s="1" t="n">
        <v>45728</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1260-2024</t>
        </is>
      </c>
      <c r="B876" s="1" t="n">
        <v>45302</v>
      </c>
      <c r="C876" s="1" t="n">
        <v>45728</v>
      </c>
      <c r="D876" t="inlineStr">
        <is>
          <t>ÖREBRO LÄN</t>
        </is>
      </c>
      <c r="E876" t="inlineStr">
        <is>
          <t>ÖREBRO</t>
        </is>
      </c>
      <c r="G876" t="n">
        <v>0.9</v>
      </c>
      <c r="H876" t="n">
        <v>0</v>
      </c>
      <c r="I876" t="n">
        <v>0</v>
      </c>
      <c r="J876" t="n">
        <v>0</v>
      </c>
      <c r="K876" t="n">
        <v>0</v>
      </c>
      <c r="L876" t="n">
        <v>0</v>
      </c>
      <c r="M876" t="n">
        <v>0</v>
      </c>
      <c r="N876" t="n">
        <v>0</v>
      </c>
      <c r="O876" t="n">
        <v>0</v>
      </c>
      <c r="P876" t="n">
        <v>0</v>
      </c>
      <c r="Q876" t="n">
        <v>0</v>
      </c>
      <c r="R876" s="2" t="inlineStr"/>
    </row>
    <row r="877" ht="15" customHeight="1">
      <c r="A877" t="inlineStr">
        <is>
          <t>A 1647-2024</t>
        </is>
      </c>
      <c r="B877" s="1" t="n">
        <v>45306</v>
      </c>
      <c r="C877" s="1" t="n">
        <v>45728</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1800-2024</t>
        </is>
      </c>
      <c r="B878" s="1" t="n">
        <v>45307</v>
      </c>
      <c r="C878" s="1" t="n">
        <v>45728</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3767-2024</t>
        </is>
      </c>
      <c r="B879" s="1" t="n">
        <v>45321</v>
      </c>
      <c r="C879" s="1" t="n">
        <v>45728</v>
      </c>
      <c r="D879" t="inlineStr">
        <is>
          <t>ÖREBRO LÄN</t>
        </is>
      </c>
      <c r="E879" t="inlineStr">
        <is>
          <t>ÖREBRO</t>
        </is>
      </c>
      <c r="G879" t="n">
        <v>5.2</v>
      </c>
      <c r="H879" t="n">
        <v>0</v>
      </c>
      <c r="I879" t="n">
        <v>0</v>
      </c>
      <c r="J879" t="n">
        <v>0</v>
      </c>
      <c r="K879" t="n">
        <v>0</v>
      </c>
      <c r="L879" t="n">
        <v>0</v>
      </c>
      <c r="M879" t="n">
        <v>0</v>
      </c>
      <c r="N879" t="n">
        <v>0</v>
      </c>
      <c r="O879" t="n">
        <v>0</v>
      </c>
      <c r="P879" t="n">
        <v>0</v>
      </c>
      <c r="Q879" t="n">
        <v>0</v>
      </c>
      <c r="R879" s="2" t="inlineStr"/>
    </row>
    <row r="880" ht="15" customHeight="1">
      <c r="A880" t="inlineStr">
        <is>
          <t>A 3891-2024</t>
        </is>
      </c>
      <c r="B880" s="1" t="n">
        <v>45322</v>
      </c>
      <c r="C880" s="1" t="n">
        <v>45728</v>
      </c>
      <c r="D880" t="inlineStr">
        <is>
          <t>ÖREBRO LÄN</t>
        </is>
      </c>
      <c r="E880" t="inlineStr">
        <is>
          <t>ÖREBRO</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4757-2024</t>
        </is>
      </c>
      <c r="B881" s="1" t="n">
        <v>45328</v>
      </c>
      <c r="C881" s="1" t="n">
        <v>45728</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5127-2024</t>
        </is>
      </c>
      <c r="B882" s="1" t="n">
        <v>45330</v>
      </c>
      <c r="C882" s="1" t="n">
        <v>45728</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5135-2024</t>
        </is>
      </c>
      <c r="B883" s="1" t="n">
        <v>45330</v>
      </c>
      <c r="C883" s="1" t="n">
        <v>45728</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5136-2024</t>
        </is>
      </c>
      <c r="B884" s="1" t="n">
        <v>45330</v>
      </c>
      <c r="C884" s="1" t="n">
        <v>45728</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5113-2024</t>
        </is>
      </c>
      <c r="B885" s="1" t="n">
        <v>45330</v>
      </c>
      <c r="C885" s="1" t="n">
        <v>45728</v>
      </c>
      <c r="D885" t="inlineStr">
        <is>
          <t>ÖREBRO LÄN</t>
        </is>
      </c>
      <c r="E885" t="inlineStr">
        <is>
          <t>ÖREBRO</t>
        </is>
      </c>
      <c r="G885" t="n">
        <v>1.7</v>
      </c>
      <c r="H885" t="n">
        <v>0</v>
      </c>
      <c r="I885" t="n">
        <v>0</v>
      </c>
      <c r="J885" t="n">
        <v>0</v>
      </c>
      <c r="K885" t="n">
        <v>0</v>
      </c>
      <c r="L885" t="n">
        <v>0</v>
      </c>
      <c r="M885" t="n">
        <v>0</v>
      </c>
      <c r="N885" t="n">
        <v>0</v>
      </c>
      <c r="O885" t="n">
        <v>0</v>
      </c>
      <c r="P885" t="n">
        <v>0</v>
      </c>
      <c r="Q885" t="n">
        <v>0</v>
      </c>
      <c r="R885" s="2" t="inlineStr"/>
    </row>
    <row r="886" ht="15" customHeight="1">
      <c r="A886" t="inlineStr">
        <is>
          <t>A 5125-2024</t>
        </is>
      </c>
      <c r="B886" s="1" t="n">
        <v>45330</v>
      </c>
      <c r="C886" s="1" t="n">
        <v>45728</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5129-2024</t>
        </is>
      </c>
      <c r="B887" s="1" t="n">
        <v>45330</v>
      </c>
      <c r="C887" s="1" t="n">
        <v>45728</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5133-2024</t>
        </is>
      </c>
      <c r="B888" s="1" t="n">
        <v>45330</v>
      </c>
      <c r="C888" s="1" t="n">
        <v>45728</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5324-2024</t>
        </is>
      </c>
      <c r="B889" s="1" t="n">
        <v>45331</v>
      </c>
      <c r="C889" s="1" t="n">
        <v>45728</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5342-2024</t>
        </is>
      </c>
      <c r="B890" s="1" t="n">
        <v>45331</v>
      </c>
      <c r="C890" s="1" t="n">
        <v>45728</v>
      </c>
      <c r="D890" t="inlineStr">
        <is>
          <t>ÖREBRO LÄN</t>
        </is>
      </c>
      <c r="E890" t="inlineStr">
        <is>
          <t>ÖREBRO</t>
        </is>
      </c>
      <c r="G890" t="n">
        <v>2.5</v>
      </c>
      <c r="H890" t="n">
        <v>0</v>
      </c>
      <c r="I890" t="n">
        <v>0</v>
      </c>
      <c r="J890" t="n">
        <v>0</v>
      </c>
      <c r="K890" t="n">
        <v>0</v>
      </c>
      <c r="L890" t="n">
        <v>0</v>
      </c>
      <c r="M890" t="n">
        <v>0</v>
      </c>
      <c r="N890" t="n">
        <v>0</v>
      </c>
      <c r="O890" t="n">
        <v>0</v>
      </c>
      <c r="P890" t="n">
        <v>0</v>
      </c>
      <c r="Q890" t="n">
        <v>0</v>
      </c>
      <c r="R890" s="2" t="inlineStr"/>
    </row>
    <row r="891" ht="15" customHeight="1">
      <c r="A891" t="inlineStr">
        <is>
          <t>A 5352-2024</t>
        </is>
      </c>
      <c r="B891" s="1" t="n">
        <v>45331</v>
      </c>
      <c r="C891" s="1" t="n">
        <v>45728</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5330-2024</t>
        </is>
      </c>
      <c r="B892" s="1" t="n">
        <v>45331</v>
      </c>
      <c r="C892" s="1" t="n">
        <v>45728</v>
      </c>
      <c r="D892" t="inlineStr">
        <is>
          <t>ÖREBRO LÄN</t>
        </is>
      </c>
      <c r="E892" t="inlineStr">
        <is>
          <t>ÖREBRO</t>
        </is>
      </c>
      <c r="G892" t="n">
        <v>1.4</v>
      </c>
      <c r="H892" t="n">
        <v>0</v>
      </c>
      <c r="I892" t="n">
        <v>0</v>
      </c>
      <c r="J892" t="n">
        <v>0</v>
      </c>
      <c r="K892" t="n">
        <v>0</v>
      </c>
      <c r="L892" t="n">
        <v>0</v>
      </c>
      <c r="M892" t="n">
        <v>0</v>
      </c>
      <c r="N892" t="n">
        <v>0</v>
      </c>
      <c r="O892" t="n">
        <v>0</v>
      </c>
      <c r="P892" t="n">
        <v>0</v>
      </c>
      <c r="Q892" t="n">
        <v>0</v>
      </c>
      <c r="R892" s="2" t="inlineStr"/>
    </row>
    <row r="893" ht="15" customHeight="1">
      <c r="A893" t="inlineStr">
        <is>
          <t>A 5338-2024</t>
        </is>
      </c>
      <c r="B893" s="1" t="n">
        <v>45331</v>
      </c>
      <c r="C893" s="1" t="n">
        <v>45728</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5357-2024</t>
        </is>
      </c>
      <c r="B894" s="1" t="n">
        <v>45331</v>
      </c>
      <c r="C894" s="1" t="n">
        <v>45728</v>
      </c>
      <c r="D894" t="inlineStr">
        <is>
          <t>ÖREBRO LÄN</t>
        </is>
      </c>
      <c r="E894" t="inlineStr">
        <is>
          <t>ÖREBRO</t>
        </is>
      </c>
      <c r="G894" t="n">
        <v>0.7</v>
      </c>
      <c r="H894" t="n">
        <v>0</v>
      </c>
      <c r="I894" t="n">
        <v>0</v>
      </c>
      <c r="J894" t="n">
        <v>0</v>
      </c>
      <c r="K894" t="n">
        <v>0</v>
      </c>
      <c r="L894" t="n">
        <v>0</v>
      </c>
      <c r="M894" t="n">
        <v>0</v>
      </c>
      <c r="N894" t="n">
        <v>0</v>
      </c>
      <c r="O894" t="n">
        <v>0</v>
      </c>
      <c r="P894" t="n">
        <v>0</v>
      </c>
      <c r="Q894" t="n">
        <v>0</v>
      </c>
      <c r="R894" s="2" t="inlineStr"/>
    </row>
    <row r="895" ht="15" customHeight="1">
      <c r="A895" t="inlineStr">
        <is>
          <t>A 5578-2024</t>
        </is>
      </c>
      <c r="B895" s="1" t="n">
        <v>45334</v>
      </c>
      <c r="C895" s="1" t="n">
        <v>45728</v>
      </c>
      <c r="D895" t="inlineStr">
        <is>
          <t>ÖREBRO LÄN</t>
        </is>
      </c>
      <c r="E895" t="inlineStr">
        <is>
          <t>ÖREBRO</t>
        </is>
      </c>
      <c r="G895" t="n">
        <v>2.4</v>
      </c>
      <c r="H895" t="n">
        <v>0</v>
      </c>
      <c r="I895" t="n">
        <v>0</v>
      </c>
      <c r="J895" t="n">
        <v>0</v>
      </c>
      <c r="K895" t="n">
        <v>0</v>
      </c>
      <c r="L895" t="n">
        <v>0</v>
      </c>
      <c r="M895" t="n">
        <v>0</v>
      </c>
      <c r="N895" t="n">
        <v>0</v>
      </c>
      <c r="O895" t="n">
        <v>0</v>
      </c>
      <c r="P895" t="n">
        <v>0</v>
      </c>
      <c r="Q895" t="n">
        <v>0</v>
      </c>
      <c r="R895" s="2" t="inlineStr"/>
    </row>
    <row r="896" ht="15" customHeight="1">
      <c r="A896" t="inlineStr">
        <is>
          <t>A 5795-2024</t>
        </is>
      </c>
      <c r="B896" s="1" t="n">
        <v>45335</v>
      </c>
      <c r="C896" s="1" t="n">
        <v>45728</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6586-2024</t>
        </is>
      </c>
      <c r="B897" s="1" t="n">
        <v>45341</v>
      </c>
      <c r="C897" s="1" t="n">
        <v>45728</v>
      </c>
      <c r="D897" t="inlineStr">
        <is>
          <t>ÖREBRO LÄN</t>
        </is>
      </c>
      <c r="E897" t="inlineStr">
        <is>
          <t>ÖREBRO</t>
        </is>
      </c>
      <c r="F897" t="inlineStr">
        <is>
          <t>Övriga Aktiebolag</t>
        </is>
      </c>
      <c r="G897" t="n">
        <v>6.9</v>
      </c>
      <c r="H897" t="n">
        <v>0</v>
      </c>
      <c r="I897" t="n">
        <v>0</v>
      </c>
      <c r="J897" t="n">
        <v>0</v>
      </c>
      <c r="K897" t="n">
        <v>0</v>
      </c>
      <c r="L897" t="n">
        <v>0</v>
      </c>
      <c r="M897" t="n">
        <v>0</v>
      </c>
      <c r="N897" t="n">
        <v>0</v>
      </c>
      <c r="O897" t="n">
        <v>0</v>
      </c>
      <c r="P897" t="n">
        <v>0</v>
      </c>
      <c r="Q897" t="n">
        <v>0</v>
      </c>
      <c r="R897" s="2" t="inlineStr"/>
    </row>
    <row r="898" ht="15" customHeight="1">
      <c r="A898" t="inlineStr">
        <is>
          <t>A 6592-2024</t>
        </is>
      </c>
      <c r="B898" s="1" t="n">
        <v>45341</v>
      </c>
      <c r="C898" s="1" t="n">
        <v>45728</v>
      </c>
      <c r="D898" t="inlineStr">
        <is>
          <t>ÖREBRO LÄN</t>
        </is>
      </c>
      <c r="E898" t="inlineStr">
        <is>
          <t>ÖREBRO</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6879-2024</t>
        </is>
      </c>
      <c r="B899" s="1" t="n">
        <v>45342</v>
      </c>
      <c r="C899" s="1" t="n">
        <v>45728</v>
      </c>
      <c r="D899" t="inlineStr">
        <is>
          <t>ÖREBRO LÄN</t>
        </is>
      </c>
      <c r="E899" t="inlineStr">
        <is>
          <t>ÖREBRO</t>
        </is>
      </c>
      <c r="G899" t="n">
        <v>1.6</v>
      </c>
      <c r="H899" t="n">
        <v>0</v>
      </c>
      <c r="I899" t="n">
        <v>0</v>
      </c>
      <c r="J899" t="n">
        <v>0</v>
      </c>
      <c r="K899" t="n">
        <v>0</v>
      </c>
      <c r="L899" t="n">
        <v>0</v>
      </c>
      <c r="M899" t="n">
        <v>0</v>
      </c>
      <c r="N899" t="n">
        <v>0</v>
      </c>
      <c r="O899" t="n">
        <v>0</v>
      </c>
      <c r="P899" t="n">
        <v>0</v>
      </c>
      <c r="Q899" t="n">
        <v>0</v>
      </c>
      <c r="R899" s="2" t="inlineStr"/>
    </row>
    <row r="900" ht="15" customHeight="1">
      <c r="A900" t="inlineStr">
        <is>
          <t>A 7609-2024</t>
        </is>
      </c>
      <c r="B900" s="1" t="n">
        <v>45348</v>
      </c>
      <c r="C900" s="1" t="n">
        <v>45728</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7634-2024</t>
        </is>
      </c>
      <c r="B901" s="1" t="n">
        <v>45348</v>
      </c>
      <c r="C901" s="1" t="n">
        <v>45728</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7611-2024</t>
        </is>
      </c>
      <c r="B902" s="1" t="n">
        <v>45348</v>
      </c>
      <c r="C902" s="1" t="n">
        <v>45728</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8005-2024</t>
        </is>
      </c>
      <c r="B903" s="1" t="n">
        <v>45350</v>
      </c>
      <c r="C903" s="1" t="n">
        <v>45728</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8008-2024</t>
        </is>
      </c>
      <c r="B904" s="1" t="n">
        <v>45350</v>
      </c>
      <c r="C904" s="1" t="n">
        <v>45728</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9379-2024</t>
        </is>
      </c>
      <c r="B905" s="1" t="n">
        <v>45359</v>
      </c>
      <c r="C905" s="1" t="n">
        <v>45728</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9458-2024</t>
        </is>
      </c>
      <c r="B906" s="1" t="n">
        <v>45359</v>
      </c>
      <c r="C906" s="1" t="n">
        <v>45728</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9670-2024</t>
        </is>
      </c>
      <c r="B907" s="1" t="n">
        <v>45362</v>
      </c>
      <c r="C907" s="1" t="n">
        <v>45728</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9677-2024</t>
        </is>
      </c>
      <c r="B908" s="1" t="n">
        <v>45362</v>
      </c>
      <c r="C908" s="1" t="n">
        <v>45728</v>
      </c>
      <c r="D908" t="inlineStr">
        <is>
          <t>ÖREBRO LÄN</t>
        </is>
      </c>
      <c r="E908" t="inlineStr">
        <is>
          <t>ÖREBRO</t>
        </is>
      </c>
      <c r="G908" t="n">
        <v>1</v>
      </c>
      <c r="H908" t="n">
        <v>0</v>
      </c>
      <c r="I908" t="n">
        <v>0</v>
      </c>
      <c r="J908" t="n">
        <v>0</v>
      </c>
      <c r="K908" t="n">
        <v>0</v>
      </c>
      <c r="L908" t="n">
        <v>0</v>
      </c>
      <c r="M908" t="n">
        <v>0</v>
      </c>
      <c r="N908" t="n">
        <v>0</v>
      </c>
      <c r="O908" t="n">
        <v>0</v>
      </c>
      <c r="P908" t="n">
        <v>0</v>
      </c>
      <c r="Q908" t="n">
        <v>0</v>
      </c>
      <c r="R908" s="2" t="inlineStr"/>
    </row>
    <row r="909" ht="15" customHeight="1">
      <c r="A909" t="inlineStr">
        <is>
          <t>A 10291-2024</t>
        </is>
      </c>
      <c r="B909" s="1" t="n">
        <v>45365</v>
      </c>
      <c r="C909" s="1" t="n">
        <v>45728</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10544-2024</t>
        </is>
      </c>
      <c r="B910" s="1" t="n">
        <v>45366</v>
      </c>
      <c r="C910" s="1" t="n">
        <v>45728</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10799-2024</t>
        </is>
      </c>
      <c r="B911" s="1" t="n">
        <v>45369</v>
      </c>
      <c r="C911" s="1" t="n">
        <v>45728</v>
      </c>
      <c r="D911" t="inlineStr">
        <is>
          <t>ÖREBRO LÄN</t>
        </is>
      </c>
      <c r="E911" t="inlineStr">
        <is>
          <t>ÖREBRO</t>
        </is>
      </c>
      <c r="G911" t="n">
        <v>5.8</v>
      </c>
      <c r="H911" t="n">
        <v>0</v>
      </c>
      <c r="I911" t="n">
        <v>0</v>
      </c>
      <c r="J911" t="n">
        <v>0</v>
      </c>
      <c r="K911" t="n">
        <v>0</v>
      </c>
      <c r="L911" t="n">
        <v>0</v>
      </c>
      <c r="M911" t="n">
        <v>0</v>
      </c>
      <c r="N911" t="n">
        <v>0</v>
      </c>
      <c r="O911" t="n">
        <v>0</v>
      </c>
      <c r="P911" t="n">
        <v>0</v>
      </c>
      <c r="Q911" t="n">
        <v>0</v>
      </c>
      <c r="R911" s="2" t="inlineStr"/>
    </row>
    <row r="912" ht="15" customHeight="1">
      <c r="A912" t="inlineStr">
        <is>
          <t>A 10937-2024</t>
        </is>
      </c>
      <c r="B912" s="1" t="n">
        <v>45370</v>
      </c>
      <c r="C912" s="1" t="n">
        <v>45728</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11516-2024</t>
        </is>
      </c>
      <c r="B913" s="1" t="n">
        <v>45372</v>
      </c>
      <c r="C913" s="1" t="n">
        <v>45728</v>
      </c>
      <c r="D913" t="inlineStr">
        <is>
          <t>ÖREBRO LÄN</t>
        </is>
      </c>
      <c r="E913" t="inlineStr">
        <is>
          <t>ÖREBRO</t>
        </is>
      </c>
      <c r="G913" t="n">
        <v>10.7</v>
      </c>
      <c r="H913" t="n">
        <v>0</v>
      </c>
      <c r="I913" t="n">
        <v>0</v>
      </c>
      <c r="J913" t="n">
        <v>0</v>
      </c>
      <c r="K913" t="n">
        <v>0</v>
      </c>
      <c r="L913" t="n">
        <v>0</v>
      </c>
      <c r="M913" t="n">
        <v>0</v>
      </c>
      <c r="N913" t="n">
        <v>0</v>
      </c>
      <c r="O913" t="n">
        <v>0</v>
      </c>
      <c r="P913" t="n">
        <v>0</v>
      </c>
      <c r="Q913" t="n">
        <v>0</v>
      </c>
      <c r="R913" s="2" t="inlineStr"/>
    </row>
    <row r="914" ht="15" customHeight="1">
      <c r="A914" t="inlineStr">
        <is>
          <t>A 11663-2024</t>
        </is>
      </c>
      <c r="B914" s="1" t="n">
        <v>45373</v>
      </c>
      <c r="C914" s="1" t="n">
        <v>45728</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11940-2024</t>
        </is>
      </c>
      <c r="B915" s="1" t="n">
        <v>45376</v>
      </c>
      <c r="C915" s="1" t="n">
        <v>45728</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12017-2024</t>
        </is>
      </c>
      <c r="B916" s="1" t="n">
        <v>45377</v>
      </c>
      <c r="C916" s="1" t="n">
        <v>45728</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13169-2024</t>
        </is>
      </c>
      <c r="B917" s="1" t="n">
        <v>45386</v>
      </c>
      <c r="C917" s="1" t="n">
        <v>45728</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13321-2024</t>
        </is>
      </c>
      <c r="B918" s="1" t="n">
        <v>45386</v>
      </c>
      <c r="C918" s="1" t="n">
        <v>45728</v>
      </c>
      <c r="D918" t="inlineStr">
        <is>
          <t>ÖREBRO LÄN</t>
        </is>
      </c>
      <c r="E918" t="inlineStr">
        <is>
          <t>ÖREBRO</t>
        </is>
      </c>
      <c r="G918" t="n">
        <v>13.1</v>
      </c>
      <c r="H918" t="n">
        <v>0</v>
      </c>
      <c r="I918" t="n">
        <v>0</v>
      </c>
      <c r="J918" t="n">
        <v>0</v>
      </c>
      <c r="K918" t="n">
        <v>0</v>
      </c>
      <c r="L918" t="n">
        <v>0</v>
      </c>
      <c r="M918" t="n">
        <v>0</v>
      </c>
      <c r="N918" t="n">
        <v>0</v>
      </c>
      <c r="O918" t="n">
        <v>0</v>
      </c>
      <c r="P918" t="n">
        <v>0</v>
      </c>
      <c r="Q918" t="n">
        <v>0</v>
      </c>
      <c r="R918" s="2" t="inlineStr"/>
    </row>
    <row r="919" ht="15" customHeight="1">
      <c r="A919" t="inlineStr">
        <is>
          <t>A 13158-2024</t>
        </is>
      </c>
      <c r="B919" s="1" t="n">
        <v>45386</v>
      </c>
      <c r="C919" s="1" t="n">
        <v>45728</v>
      </c>
      <c r="D919" t="inlineStr">
        <is>
          <t>ÖREBRO LÄN</t>
        </is>
      </c>
      <c r="E919" t="inlineStr">
        <is>
          <t>ÖREBRO</t>
        </is>
      </c>
      <c r="G919" t="n">
        <v>1.8</v>
      </c>
      <c r="H919" t="n">
        <v>0</v>
      </c>
      <c r="I919" t="n">
        <v>0</v>
      </c>
      <c r="J919" t="n">
        <v>0</v>
      </c>
      <c r="K919" t="n">
        <v>0</v>
      </c>
      <c r="L919" t="n">
        <v>0</v>
      </c>
      <c r="M919" t="n">
        <v>0</v>
      </c>
      <c r="N919" t="n">
        <v>0</v>
      </c>
      <c r="O919" t="n">
        <v>0</v>
      </c>
      <c r="P919" t="n">
        <v>0</v>
      </c>
      <c r="Q919" t="n">
        <v>0</v>
      </c>
      <c r="R919" s="2" t="inlineStr"/>
    </row>
    <row r="920" ht="15" customHeight="1">
      <c r="A920" t="inlineStr">
        <is>
          <t>A 13418-2024</t>
        </is>
      </c>
      <c r="B920" s="1" t="n">
        <v>45387</v>
      </c>
      <c r="C920" s="1" t="n">
        <v>45728</v>
      </c>
      <c r="D920" t="inlineStr">
        <is>
          <t>ÖREBRO LÄN</t>
        </is>
      </c>
      <c r="E920" t="inlineStr">
        <is>
          <t>ÖREBRO</t>
        </is>
      </c>
      <c r="G920" t="n">
        <v>4.2</v>
      </c>
      <c r="H920" t="n">
        <v>0</v>
      </c>
      <c r="I920" t="n">
        <v>0</v>
      </c>
      <c r="J920" t="n">
        <v>0</v>
      </c>
      <c r="K920" t="n">
        <v>0</v>
      </c>
      <c r="L920" t="n">
        <v>0</v>
      </c>
      <c r="M920" t="n">
        <v>0</v>
      </c>
      <c r="N920" t="n">
        <v>0</v>
      </c>
      <c r="O920" t="n">
        <v>0</v>
      </c>
      <c r="P920" t="n">
        <v>0</v>
      </c>
      <c r="Q920" t="n">
        <v>0</v>
      </c>
      <c r="R920" s="2" t="inlineStr"/>
    </row>
    <row r="921" ht="15" customHeight="1">
      <c r="A921" t="inlineStr">
        <is>
          <t>A 13625-2024</t>
        </is>
      </c>
      <c r="B921" s="1" t="n">
        <v>45390</v>
      </c>
      <c r="C921" s="1" t="n">
        <v>45728</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13623-2024</t>
        </is>
      </c>
      <c r="B922" s="1" t="n">
        <v>45390</v>
      </c>
      <c r="C922" s="1" t="n">
        <v>45728</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13700-2024</t>
        </is>
      </c>
      <c r="B923" s="1" t="n">
        <v>45390</v>
      </c>
      <c r="C923" s="1" t="n">
        <v>45728</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14234-2024</t>
        </is>
      </c>
      <c r="B924" s="1" t="n">
        <v>45393</v>
      </c>
      <c r="C924" s="1" t="n">
        <v>45728</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14279-2024</t>
        </is>
      </c>
      <c r="B925" s="1" t="n">
        <v>45393</v>
      </c>
      <c r="C925" s="1" t="n">
        <v>45728</v>
      </c>
      <c r="D925" t="inlineStr">
        <is>
          <t>ÖREBRO LÄN</t>
        </is>
      </c>
      <c r="E925" t="inlineStr">
        <is>
          <t>ÖREBRO</t>
        </is>
      </c>
      <c r="G925" t="n">
        <v>2.6</v>
      </c>
      <c r="H925" t="n">
        <v>0</v>
      </c>
      <c r="I925" t="n">
        <v>0</v>
      </c>
      <c r="J925" t="n">
        <v>0</v>
      </c>
      <c r="K925" t="n">
        <v>0</v>
      </c>
      <c r="L925" t="n">
        <v>0</v>
      </c>
      <c r="M925" t="n">
        <v>0</v>
      </c>
      <c r="N925" t="n">
        <v>0</v>
      </c>
      <c r="O925" t="n">
        <v>0</v>
      </c>
      <c r="P925" t="n">
        <v>0</v>
      </c>
      <c r="Q925" t="n">
        <v>0</v>
      </c>
      <c r="R925" s="2" t="inlineStr"/>
    </row>
    <row r="926" ht="15" customHeight="1">
      <c r="A926" t="inlineStr">
        <is>
          <t>A 14717-2024</t>
        </is>
      </c>
      <c r="B926" s="1" t="n">
        <v>45397</v>
      </c>
      <c r="C926" s="1" t="n">
        <v>45728</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14715-2024</t>
        </is>
      </c>
      <c r="B927" s="1" t="n">
        <v>45397</v>
      </c>
      <c r="C927" s="1" t="n">
        <v>45728</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15354-2024</t>
        </is>
      </c>
      <c r="B928" s="1" t="n">
        <v>45400</v>
      </c>
      <c r="C928" s="1" t="n">
        <v>45728</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15698-2024</t>
        </is>
      </c>
      <c r="B929" s="1" t="n">
        <v>45404</v>
      </c>
      <c r="C929" s="1" t="n">
        <v>45728</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15689-2024</t>
        </is>
      </c>
      <c r="B930" s="1" t="n">
        <v>45404</v>
      </c>
      <c r="C930" s="1" t="n">
        <v>45728</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15693-2024</t>
        </is>
      </c>
      <c r="B931" s="1" t="n">
        <v>45404</v>
      </c>
      <c r="C931" s="1" t="n">
        <v>45728</v>
      </c>
      <c r="D931" t="inlineStr">
        <is>
          <t>ÖREBRO LÄN</t>
        </is>
      </c>
      <c r="E931" t="inlineStr">
        <is>
          <t>ÖREBRO</t>
        </is>
      </c>
      <c r="G931" t="n">
        <v>1.5</v>
      </c>
      <c r="H931" t="n">
        <v>0</v>
      </c>
      <c r="I931" t="n">
        <v>0</v>
      </c>
      <c r="J931" t="n">
        <v>0</v>
      </c>
      <c r="K931" t="n">
        <v>0</v>
      </c>
      <c r="L931" t="n">
        <v>0</v>
      </c>
      <c r="M931" t="n">
        <v>0</v>
      </c>
      <c r="N931" t="n">
        <v>0</v>
      </c>
      <c r="O931" t="n">
        <v>0</v>
      </c>
      <c r="P931" t="n">
        <v>0</v>
      </c>
      <c r="Q931" t="n">
        <v>0</v>
      </c>
      <c r="R931" s="2" t="inlineStr"/>
    </row>
    <row r="932" ht="15" customHeight="1">
      <c r="A932" t="inlineStr">
        <is>
          <t>A 15695-2024</t>
        </is>
      </c>
      <c r="B932" s="1" t="n">
        <v>45404</v>
      </c>
      <c r="C932" s="1" t="n">
        <v>45728</v>
      </c>
      <c r="D932" t="inlineStr">
        <is>
          <t>ÖREBRO LÄN</t>
        </is>
      </c>
      <c r="E932" t="inlineStr">
        <is>
          <t>ÖREBRO</t>
        </is>
      </c>
      <c r="G932" t="n">
        <v>2.7</v>
      </c>
      <c r="H932" t="n">
        <v>0</v>
      </c>
      <c r="I932" t="n">
        <v>0</v>
      </c>
      <c r="J932" t="n">
        <v>0</v>
      </c>
      <c r="K932" t="n">
        <v>0</v>
      </c>
      <c r="L932" t="n">
        <v>0</v>
      </c>
      <c r="M932" t="n">
        <v>0</v>
      </c>
      <c r="N932" t="n">
        <v>0</v>
      </c>
      <c r="O932" t="n">
        <v>0</v>
      </c>
      <c r="P932" t="n">
        <v>0</v>
      </c>
      <c r="Q932" t="n">
        <v>0</v>
      </c>
      <c r="R932" s="2" t="inlineStr"/>
    </row>
    <row r="933" ht="15" customHeight="1">
      <c r="A933" t="inlineStr">
        <is>
          <t>A 17103-2024</t>
        </is>
      </c>
      <c r="B933" s="1" t="n">
        <v>45412</v>
      </c>
      <c r="C933" s="1" t="n">
        <v>45728</v>
      </c>
      <c r="D933" t="inlineStr">
        <is>
          <t>ÖREBRO LÄN</t>
        </is>
      </c>
      <c r="E933" t="inlineStr">
        <is>
          <t>ÖREBRO</t>
        </is>
      </c>
      <c r="G933" t="n">
        <v>5</v>
      </c>
      <c r="H933" t="n">
        <v>0</v>
      </c>
      <c r="I933" t="n">
        <v>0</v>
      </c>
      <c r="J933" t="n">
        <v>0</v>
      </c>
      <c r="K933" t="n">
        <v>0</v>
      </c>
      <c r="L933" t="n">
        <v>0</v>
      </c>
      <c r="M933" t="n">
        <v>0</v>
      </c>
      <c r="N933" t="n">
        <v>0</v>
      </c>
      <c r="O933" t="n">
        <v>0</v>
      </c>
      <c r="P933" t="n">
        <v>0</v>
      </c>
      <c r="Q933" t="n">
        <v>0</v>
      </c>
      <c r="R933" s="2" t="inlineStr"/>
    </row>
    <row r="934" ht="15" customHeight="1">
      <c r="A934" t="inlineStr">
        <is>
          <t>A 17014-2024</t>
        </is>
      </c>
      <c r="B934" s="1" t="n">
        <v>45412</v>
      </c>
      <c r="C934" s="1" t="n">
        <v>45728</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17680-2024</t>
        </is>
      </c>
      <c r="B935" s="1" t="n">
        <v>45418</v>
      </c>
      <c r="C935" s="1" t="n">
        <v>45728</v>
      </c>
      <c r="D935" t="inlineStr">
        <is>
          <t>ÖREBRO LÄN</t>
        </is>
      </c>
      <c r="E935" t="inlineStr">
        <is>
          <t>ÖREBRO</t>
        </is>
      </c>
      <c r="G935" t="n">
        <v>5.1</v>
      </c>
      <c r="H935" t="n">
        <v>0</v>
      </c>
      <c r="I935" t="n">
        <v>0</v>
      </c>
      <c r="J935" t="n">
        <v>0</v>
      </c>
      <c r="K935" t="n">
        <v>0</v>
      </c>
      <c r="L935" t="n">
        <v>0</v>
      </c>
      <c r="M935" t="n">
        <v>0</v>
      </c>
      <c r="N935" t="n">
        <v>0</v>
      </c>
      <c r="O935" t="n">
        <v>0</v>
      </c>
      <c r="P935" t="n">
        <v>0</v>
      </c>
      <c r="Q935" t="n">
        <v>0</v>
      </c>
      <c r="R935" s="2" t="inlineStr"/>
    </row>
    <row r="936" ht="15" customHeight="1">
      <c r="A936" t="inlineStr">
        <is>
          <t>A 17869-2024</t>
        </is>
      </c>
      <c r="B936" s="1" t="n">
        <v>45419</v>
      </c>
      <c r="C936" s="1" t="n">
        <v>45728</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17863-2024</t>
        </is>
      </c>
      <c r="B937" s="1" t="n">
        <v>45419</v>
      </c>
      <c r="C937" s="1" t="n">
        <v>45728</v>
      </c>
      <c r="D937" t="inlineStr">
        <is>
          <t>ÖREBRO LÄN</t>
        </is>
      </c>
      <c r="E937" t="inlineStr">
        <is>
          <t>ÖREBRO</t>
        </is>
      </c>
      <c r="G937" t="n">
        <v>2.1</v>
      </c>
      <c r="H937" t="n">
        <v>0</v>
      </c>
      <c r="I937" t="n">
        <v>0</v>
      </c>
      <c r="J937" t="n">
        <v>0</v>
      </c>
      <c r="K937" t="n">
        <v>0</v>
      </c>
      <c r="L937" t="n">
        <v>0</v>
      </c>
      <c r="M937" t="n">
        <v>0</v>
      </c>
      <c r="N937" t="n">
        <v>0</v>
      </c>
      <c r="O937" t="n">
        <v>0</v>
      </c>
      <c r="P937" t="n">
        <v>0</v>
      </c>
      <c r="Q937" t="n">
        <v>0</v>
      </c>
      <c r="R937" s="2" t="inlineStr"/>
    </row>
    <row r="938" ht="15" customHeight="1">
      <c r="A938" t="inlineStr">
        <is>
          <t>A 18181-2024</t>
        </is>
      </c>
      <c r="B938" s="1" t="n">
        <v>45420</v>
      </c>
      <c r="C938" s="1" t="n">
        <v>45728</v>
      </c>
      <c r="D938" t="inlineStr">
        <is>
          <t>ÖREBRO LÄN</t>
        </is>
      </c>
      <c r="E938" t="inlineStr">
        <is>
          <t>ÖREBRO</t>
        </is>
      </c>
      <c r="G938" t="n">
        <v>7.6</v>
      </c>
      <c r="H938" t="n">
        <v>0</v>
      </c>
      <c r="I938" t="n">
        <v>0</v>
      </c>
      <c r="J938" t="n">
        <v>0</v>
      </c>
      <c r="K938" t="n">
        <v>0</v>
      </c>
      <c r="L938" t="n">
        <v>0</v>
      </c>
      <c r="M938" t="n">
        <v>0</v>
      </c>
      <c r="N938" t="n">
        <v>0</v>
      </c>
      <c r="O938" t="n">
        <v>0</v>
      </c>
      <c r="P938" t="n">
        <v>0</v>
      </c>
      <c r="Q938" t="n">
        <v>0</v>
      </c>
      <c r="R938" s="2" t="inlineStr"/>
    </row>
    <row r="939" ht="15" customHeight="1">
      <c r="A939" t="inlineStr">
        <is>
          <t>A 18360-2024</t>
        </is>
      </c>
      <c r="B939" s="1" t="n">
        <v>45422</v>
      </c>
      <c r="C939" s="1" t="n">
        <v>45728</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19306-2024</t>
        </is>
      </c>
      <c r="B940" s="1" t="n">
        <v>45428</v>
      </c>
      <c r="C940" s="1" t="n">
        <v>45728</v>
      </c>
      <c r="D940" t="inlineStr">
        <is>
          <t>ÖREBRO LÄN</t>
        </is>
      </c>
      <c r="E940" t="inlineStr">
        <is>
          <t>ÖREBRO</t>
        </is>
      </c>
      <c r="F940" t="inlineStr">
        <is>
          <t>Övriga Aktiebolag</t>
        </is>
      </c>
      <c r="G940" t="n">
        <v>5.2</v>
      </c>
      <c r="H940" t="n">
        <v>0</v>
      </c>
      <c r="I940" t="n">
        <v>0</v>
      </c>
      <c r="J940" t="n">
        <v>0</v>
      </c>
      <c r="K940" t="n">
        <v>0</v>
      </c>
      <c r="L940" t="n">
        <v>0</v>
      </c>
      <c r="M940" t="n">
        <v>0</v>
      </c>
      <c r="N940" t="n">
        <v>0</v>
      </c>
      <c r="O940" t="n">
        <v>0</v>
      </c>
      <c r="P940" t="n">
        <v>0</v>
      </c>
      <c r="Q940" t="n">
        <v>0</v>
      </c>
      <c r="R940" s="2" t="inlineStr"/>
    </row>
    <row r="941" ht="15" customHeight="1">
      <c r="A941" t="inlineStr">
        <is>
          <t>A 19388-2024</t>
        </is>
      </c>
      <c r="B941" s="1" t="n">
        <v>45429</v>
      </c>
      <c r="C941" s="1" t="n">
        <v>45728</v>
      </c>
      <c r="D941" t="inlineStr">
        <is>
          <t>ÖREBRO LÄN</t>
        </is>
      </c>
      <c r="E941" t="inlineStr">
        <is>
          <t>ÖREBRO</t>
        </is>
      </c>
      <c r="G941" t="n">
        <v>4.3</v>
      </c>
      <c r="H941" t="n">
        <v>0</v>
      </c>
      <c r="I941" t="n">
        <v>0</v>
      </c>
      <c r="J941" t="n">
        <v>0</v>
      </c>
      <c r="K941" t="n">
        <v>0</v>
      </c>
      <c r="L941" t="n">
        <v>0</v>
      </c>
      <c r="M941" t="n">
        <v>0</v>
      </c>
      <c r="N941" t="n">
        <v>0</v>
      </c>
      <c r="O941" t="n">
        <v>0</v>
      </c>
      <c r="P941" t="n">
        <v>0</v>
      </c>
      <c r="Q941" t="n">
        <v>0</v>
      </c>
      <c r="R941" s="2" t="inlineStr"/>
    </row>
    <row r="942" ht="15" customHeight="1">
      <c r="A942" t="inlineStr">
        <is>
          <t>A 19392-2024</t>
        </is>
      </c>
      <c r="B942" s="1" t="n">
        <v>45429</v>
      </c>
      <c r="C942" s="1" t="n">
        <v>45728</v>
      </c>
      <c r="D942" t="inlineStr">
        <is>
          <t>ÖREBRO LÄN</t>
        </is>
      </c>
      <c r="E942" t="inlineStr">
        <is>
          <t>ÖREBRO</t>
        </is>
      </c>
      <c r="G942" t="n">
        <v>1</v>
      </c>
      <c r="H942" t="n">
        <v>0</v>
      </c>
      <c r="I942" t="n">
        <v>0</v>
      </c>
      <c r="J942" t="n">
        <v>0</v>
      </c>
      <c r="K942" t="n">
        <v>0</v>
      </c>
      <c r="L942" t="n">
        <v>0</v>
      </c>
      <c r="M942" t="n">
        <v>0</v>
      </c>
      <c r="N942" t="n">
        <v>0</v>
      </c>
      <c r="O942" t="n">
        <v>0</v>
      </c>
      <c r="P942" t="n">
        <v>0</v>
      </c>
      <c r="Q942" t="n">
        <v>0</v>
      </c>
      <c r="R942" s="2" t="inlineStr"/>
    </row>
    <row r="943" ht="15" customHeight="1">
      <c r="A943" t="inlineStr">
        <is>
          <t>A 19384-2024</t>
        </is>
      </c>
      <c r="B943" s="1" t="n">
        <v>45429</v>
      </c>
      <c r="C943" s="1" t="n">
        <v>45728</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19763-2024</t>
        </is>
      </c>
      <c r="B944" s="1" t="n">
        <v>45432</v>
      </c>
      <c r="C944" s="1" t="n">
        <v>45728</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20115-2024</t>
        </is>
      </c>
      <c r="B945" s="1" t="n">
        <v>45434</v>
      </c>
      <c r="C945" s="1" t="n">
        <v>45728</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20146-2024</t>
        </is>
      </c>
      <c r="B946" s="1" t="n">
        <v>45434</v>
      </c>
      <c r="C946" s="1" t="n">
        <v>45728</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20150-2024</t>
        </is>
      </c>
      <c r="B947" s="1" t="n">
        <v>45434</v>
      </c>
      <c r="C947" s="1" t="n">
        <v>45728</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20121-2024</t>
        </is>
      </c>
      <c r="B948" s="1" t="n">
        <v>45434</v>
      </c>
      <c r="C948" s="1" t="n">
        <v>45728</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20589-2024</t>
        </is>
      </c>
      <c r="B949" s="1" t="n">
        <v>45436</v>
      </c>
      <c r="C949" s="1" t="n">
        <v>45728</v>
      </c>
      <c r="D949" t="inlineStr">
        <is>
          <t>ÖREBRO LÄN</t>
        </is>
      </c>
      <c r="E949" t="inlineStr">
        <is>
          <t>ÖREBRO</t>
        </is>
      </c>
      <c r="G949" t="n">
        <v>3.7</v>
      </c>
      <c r="H949" t="n">
        <v>0</v>
      </c>
      <c r="I949" t="n">
        <v>0</v>
      </c>
      <c r="J949" t="n">
        <v>0</v>
      </c>
      <c r="K949" t="n">
        <v>0</v>
      </c>
      <c r="L949" t="n">
        <v>0</v>
      </c>
      <c r="M949" t="n">
        <v>0</v>
      </c>
      <c r="N949" t="n">
        <v>0</v>
      </c>
      <c r="O949" t="n">
        <v>0</v>
      </c>
      <c r="P949" t="n">
        <v>0</v>
      </c>
      <c r="Q949" t="n">
        <v>0</v>
      </c>
      <c r="R949" s="2" t="inlineStr"/>
    </row>
    <row r="950" ht="15" customHeight="1">
      <c r="A950" t="inlineStr">
        <is>
          <t>A 21052-2024</t>
        </is>
      </c>
      <c r="B950" s="1" t="n">
        <v>45439</v>
      </c>
      <c r="C950" s="1" t="n">
        <v>45728</v>
      </c>
      <c r="D950" t="inlineStr">
        <is>
          <t>ÖREBRO LÄN</t>
        </is>
      </c>
      <c r="E950" t="inlineStr">
        <is>
          <t>ÖREBRO</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21056-2024</t>
        </is>
      </c>
      <c r="B951" s="1" t="n">
        <v>45439</v>
      </c>
      <c r="C951" s="1" t="n">
        <v>45728</v>
      </c>
      <c r="D951" t="inlineStr">
        <is>
          <t>ÖREBRO LÄN</t>
        </is>
      </c>
      <c r="E951" t="inlineStr">
        <is>
          <t>ÖREBRO</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21036-2024</t>
        </is>
      </c>
      <c r="B952" s="1" t="n">
        <v>45439</v>
      </c>
      <c r="C952" s="1" t="n">
        <v>45728</v>
      </c>
      <c r="D952" t="inlineStr">
        <is>
          <t>ÖREBRO LÄN</t>
        </is>
      </c>
      <c r="E952" t="inlineStr">
        <is>
          <t>ÖREBRO</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21277-2024</t>
        </is>
      </c>
      <c r="B953" s="1" t="n">
        <v>45440</v>
      </c>
      <c r="C953" s="1" t="n">
        <v>45728</v>
      </c>
      <c r="D953" t="inlineStr">
        <is>
          <t>ÖREBRO LÄN</t>
        </is>
      </c>
      <c r="E953" t="inlineStr">
        <is>
          <t>ÖREBRO</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21306-2024</t>
        </is>
      </c>
      <c r="B954" s="1" t="n">
        <v>45440</v>
      </c>
      <c r="C954" s="1" t="n">
        <v>45728</v>
      </c>
      <c r="D954" t="inlineStr">
        <is>
          <t>ÖREBRO LÄN</t>
        </is>
      </c>
      <c r="E954" t="inlineStr">
        <is>
          <t>ÖREBRO</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21422-2024</t>
        </is>
      </c>
      <c r="B955" s="1" t="n">
        <v>45441</v>
      </c>
      <c r="C955" s="1" t="n">
        <v>45728</v>
      </c>
      <c r="D955" t="inlineStr">
        <is>
          <t>ÖREBRO LÄN</t>
        </is>
      </c>
      <c r="E955" t="inlineStr">
        <is>
          <t>ÖREBRO</t>
        </is>
      </c>
      <c r="G955" t="n">
        <v>0.6</v>
      </c>
      <c r="H955" t="n">
        <v>0</v>
      </c>
      <c r="I955" t="n">
        <v>0</v>
      </c>
      <c r="J955" t="n">
        <v>0</v>
      </c>
      <c r="K955" t="n">
        <v>0</v>
      </c>
      <c r="L955" t="n">
        <v>0</v>
      </c>
      <c r="M955" t="n">
        <v>0</v>
      </c>
      <c r="N955" t="n">
        <v>0</v>
      </c>
      <c r="O955" t="n">
        <v>0</v>
      </c>
      <c r="P955" t="n">
        <v>0</v>
      </c>
      <c r="Q955" t="n">
        <v>0</v>
      </c>
      <c r="R955" s="2" t="inlineStr"/>
    </row>
    <row r="956" ht="15" customHeight="1">
      <c r="A956" t="inlineStr">
        <is>
          <t>A 21588-2024</t>
        </is>
      </c>
      <c r="B956" s="1" t="n">
        <v>45441</v>
      </c>
      <c r="C956" s="1" t="n">
        <v>45728</v>
      </c>
      <c r="D956" t="inlineStr">
        <is>
          <t>ÖREBRO LÄN</t>
        </is>
      </c>
      <c r="E956" t="inlineStr">
        <is>
          <t>ÖREBRO</t>
        </is>
      </c>
      <c r="G956" t="n">
        <v>8.1</v>
      </c>
      <c r="H956" t="n">
        <v>0</v>
      </c>
      <c r="I956" t="n">
        <v>0</v>
      </c>
      <c r="J956" t="n">
        <v>0</v>
      </c>
      <c r="K956" t="n">
        <v>0</v>
      </c>
      <c r="L956" t="n">
        <v>0</v>
      </c>
      <c r="M956" t="n">
        <v>0</v>
      </c>
      <c r="N956" t="n">
        <v>0</v>
      </c>
      <c r="O956" t="n">
        <v>0</v>
      </c>
      <c r="P956" t="n">
        <v>0</v>
      </c>
      <c r="Q956" t="n">
        <v>0</v>
      </c>
      <c r="R956" s="2" t="inlineStr"/>
    </row>
    <row r="957" ht="15" customHeight="1">
      <c r="A957" t="inlineStr">
        <is>
          <t>A 21800-2024</t>
        </is>
      </c>
      <c r="B957" s="1" t="n">
        <v>45442</v>
      </c>
      <c r="C957" s="1" t="n">
        <v>45728</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22045-2024</t>
        </is>
      </c>
      <c r="B958" s="1" t="n">
        <v>45443</v>
      </c>
      <c r="C958" s="1" t="n">
        <v>45728</v>
      </c>
      <c r="D958" t="inlineStr">
        <is>
          <t>ÖREBRO LÄN</t>
        </is>
      </c>
      <c r="E958" t="inlineStr">
        <is>
          <t>ÖREBRO</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22061-2024</t>
        </is>
      </c>
      <c r="B959" s="1" t="n">
        <v>45443</v>
      </c>
      <c r="C959" s="1" t="n">
        <v>45728</v>
      </c>
      <c r="D959" t="inlineStr">
        <is>
          <t>ÖREBRO LÄN</t>
        </is>
      </c>
      <c r="E959" t="inlineStr">
        <is>
          <t>ÖREBRO</t>
        </is>
      </c>
      <c r="G959" t="n">
        <v>3.5</v>
      </c>
      <c r="H959" t="n">
        <v>0</v>
      </c>
      <c r="I959" t="n">
        <v>0</v>
      </c>
      <c r="J959" t="n">
        <v>0</v>
      </c>
      <c r="K959" t="n">
        <v>0</v>
      </c>
      <c r="L959" t="n">
        <v>0</v>
      </c>
      <c r="M959" t="n">
        <v>0</v>
      </c>
      <c r="N959" t="n">
        <v>0</v>
      </c>
      <c r="O959" t="n">
        <v>0</v>
      </c>
      <c r="P959" t="n">
        <v>0</v>
      </c>
      <c r="Q959" t="n">
        <v>0</v>
      </c>
      <c r="R959" s="2" t="inlineStr"/>
    </row>
    <row r="960" ht="15" customHeight="1">
      <c r="A960" t="inlineStr">
        <is>
          <t>A 22351-2024</t>
        </is>
      </c>
      <c r="B960" s="1" t="n">
        <v>45446</v>
      </c>
      <c r="C960" s="1" t="n">
        <v>45728</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22348-2024</t>
        </is>
      </c>
      <c r="B961" s="1" t="n">
        <v>45446</v>
      </c>
      <c r="C961" s="1" t="n">
        <v>45728</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22510-2024</t>
        </is>
      </c>
      <c r="B962" s="1" t="n">
        <v>45447</v>
      </c>
      <c r="C962" s="1" t="n">
        <v>45728</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22557-2024</t>
        </is>
      </c>
      <c r="B963" s="1" t="n">
        <v>45447</v>
      </c>
      <c r="C963" s="1" t="n">
        <v>45728</v>
      </c>
      <c r="D963" t="inlineStr">
        <is>
          <t>ÖREBRO LÄN</t>
        </is>
      </c>
      <c r="E963" t="inlineStr">
        <is>
          <t>ÖREBRO</t>
        </is>
      </c>
      <c r="G963" t="n">
        <v>3.4</v>
      </c>
      <c r="H963" t="n">
        <v>0</v>
      </c>
      <c r="I963" t="n">
        <v>0</v>
      </c>
      <c r="J963" t="n">
        <v>0</v>
      </c>
      <c r="K963" t="n">
        <v>0</v>
      </c>
      <c r="L963" t="n">
        <v>0</v>
      </c>
      <c r="M963" t="n">
        <v>0</v>
      </c>
      <c r="N963" t="n">
        <v>0</v>
      </c>
      <c r="O963" t="n">
        <v>0</v>
      </c>
      <c r="P963" t="n">
        <v>0</v>
      </c>
      <c r="Q963" t="n">
        <v>0</v>
      </c>
      <c r="R963" s="2" t="inlineStr"/>
    </row>
    <row r="964" ht="15" customHeight="1">
      <c r="A964" t="inlineStr">
        <is>
          <t>A 22803-2024</t>
        </is>
      </c>
      <c r="B964" s="1" t="n">
        <v>45448</v>
      </c>
      <c r="C964" s="1" t="n">
        <v>45728</v>
      </c>
      <c r="D964" t="inlineStr">
        <is>
          <t>ÖREBRO LÄN</t>
        </is>
      </c>
      <c r="E964" t="inlineStr">
        <is>
          <t>ÖREBRO</t>
        </is>
      </c>
      <c r="G964" t="n">
        <v>3.1</v>
      </c>
      <c r="H964" t="n">
        <v>0</v>
      </c>
      <c r="I964" t="n">
        <v>0</v>
      </c>
      <c r="J964" t="n">
        <v>0</v>
      </c>
      <c r="K964" t="n">
        <v>0</v>
      </c>
      <c r="L964" t="n">
        <v>0</v>
      </c>
      <c r="M964" t="n">
        <v>0</v>
      </c>
      <c r="N964" t="n">
        <v>0</v>
      </c>
      <c r="O964" t="n">
        <v>0</v>
      </c>
      <c r="P964" t="n">
        <v>0</v>
      </c>
      <c r="Q964" t="n">
        <v>0</v>
      </c>
      <c r="R964" s="2" t="inlineStr"/>
    </row>
    <row r="965" ht="15" customHeight="1">
      <c r="A965" t="inlineStr">
        <is>
          <t>A 25183-2024</t>
        </is>
      </c>
      <c r="B965" s="1" t="n">
        <v>45462</v>
      </c>
      <c r="C965" s="1" t="n">
        <v>45728</v>
      </c>
      <c r="D965" t="inlineStr">
        <is>
          <t>ÖREBRO LÄN</t>
        </is>
      </c>
      <c r="E965" t="inlineStr">
        <is>
          <t>ÖREBRO</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25996-2024</t>
        </is>
      </c>
      <c r="B966" s="1" t="n">
        <v>45467</v>
      </c>
      <c r="C966" s="1" t="n">
        <v>45728</v>
      </c>
      <c r="D966" t="inlineStr">
        <is>
          <t>ÖREBRO LÄN</t>
        </is>
      </c>
      <c r="E966" t="inlineStr">
        <is>
          <t>ÖREBRO</t>
        </is>
      </c>
      <c r="G966" t="n">
        <v>4.7</v>
      </c>
      <c r="H966" t="n">
        <v>0</v>
      </c>
      <c r="I966" t="n">
        <v>0</v>
      </c>
      <c r="J966" t="n">
        <v>0</v>
      </c>
      <c r="K966" t="n">
        <v>0</v>
      </c>
      <c r="L966" t="n">
        <v>0</v>
      </c>
      <c r="M966" t="n">
        <v>0</v>
      </c>
      <c r="N966" t="n">
        <v>0</v>
      </c>
      <c r="O966" t="n">
        <v>0</v>
      </c>
      <c r="P966" t="n">
        <v>0</v>
      </c>
      <c r="Q966" t="n">
        <v>0</v>
      </c>
      <c r="R966" s="2" t="inlineStr"/>
    </row>
    <row r="967" ht="15" customHeight="1">
      <c r="A967" t="inlineStr">
        <is>
          <t>A 26443-2024</t>
        </is>
      </c>
      <c r="B967" s="1" t="n">
        <v>45469</v>
      </c>
      <c r="C967" s="1" t="n">
        <v>45728</v>
      </c>
      <c r="D967" t="inlineStr">
        <is>
          <t>ÖREBRO LÄN</t>
        </is>
      </c>
      <c r="E967" t="inlineStr">
        <is>
          <t>ÖREBRO</t>
        </is>
      </c>
      <c r="G967" t="n">
        <v>5.7</v>
      </c>
      <c r="H967" t="n">
        <v>0</v>
      </c>
      <c r="I967" t="n">
        <v>0</v>
      </c>
      <c r="J967" t="n">
        <v>0</v>
      </c>
      <c r="K967" t="n">
        <v>0</v>
      </c>
      <c r="L967" t="n">
        <v>0</v>
      </c>
      <c r="M967" t="n">
        <v>0</v>
      </c>
      <c r="N967" t="n">
        <v>0</v>
      </c>
      <c r="O967" t="n">
        <v>0</v>
      </c>
      <c r="P967" t="n">
        <v>0</v>
      </c>
      <c r="Q967" t="n">
        <v>0</v>
      </c>
      <c r="R967" s="2" t="inlineStr"/>
    </row>
    <row r="968" ht="15" customHeight="1">
      <c r="A968" t="inlineStr">
        <is>
          <t>A 26858-2024</t>
        </is>
      </c>
      <c r="B968" s="1" t="n">
        <v>45470</v>
      </c>
      <c r="C968" s="1" t="n">
        <v>45728</v>
      </c>
      <c r="D968" t="inlineStr">
        <is>
          <t>ÖREBRO LÄN</t>
        </is>
      </c>
      <c r="E968" t="inlineStr">
        <is>
          <t>ÖREBRO</t>
        </is>
      </c>
      <c r="G968" t="n">
        <v>2.3</v>
      </c>
      <c r="H968" t="n">
        <v>0</v>
      </c>
      <c r="I968" t="n">
        <v>0</v>
      </c>
      <c r="J968" t="n">
        <v>0</v>
      </c>
      <c r="K968" t="n">
        <v>0</v>
      </c>
      <c r="L968" t="n">
        <v>0</v>
      </c>
      <c r="M968" t="n">
        <v>0</v>
      </c>
      <c r="N968" t="n">
        <v>0</v>
      </c>
      <c r="O968" t="n">
        <v>0</v>
      </c>
      <c r="P968" t="n">
        <v>0</v>
      </c>
      <c r="Q968" t="n">
        <v>0</v>
      </c>
      <c r="R968" s="2" t="inlineStr"/>
    </row>
    <row r="969" ht="15" customHeight="1">
      <c r="A969" t="inlineStr">
        <is>
          <t>A 26817-2024</t>
        </is>
      </c>
      <c r="B969" s="1" t="n">
        <v>45470</v>
      </c>
      <c r="C969" s="1" t="n">
        <v>45728</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29086-2024</t>
        </is>
      </c>
      <c r="B970" s="1" t="n">
        <v>45482</v>
      </c>
      <c r="C970" s="1" t="n">
        <v>45728</v>
      </c>
      <c r="D970" t="inlineStr">
        <is>
          <t>ÖREBRO LÄN</t>
        </is>
      </c>
      <c r="E970" t="inlineStr">
        <is>
          <t>ÖREBRO</t>
        </is>
      </c>
      <c r="G970" t="n">
        <v>2</v>
      </c>
      <c r="H970" t="n">
        <v>0</v>
      </c>
      <c r="I970" t="n">
        <v>0</v>
      </c>
      <c r="J970" t="n">
        <v>0</v>
      </c>
      <c r="K970" t="n">
        <v>0</v>
      </c>
      <c r="L970" t="n">
        <v>0</v>
      </c>
      <c r="M970" t="n">
        <v>0</v>
      </c>
      <c r="N970" t="n">
        <v>0</v>
      </c>
      <c r="O970" t="n">
        <v>0</v>
      </c>
      <c r="P970" t="n">
        <v>0</v>
      </c>
      <c r="Q970" t="n">
        <v>0</v>
      </c>
      <c r="R970" s="2" t="inlineStr"/>
    </row>
    <row r="971" ht="15" customHeight="1">
      <c r="A971" t="inlineStr">
        <is>
          <t>A 29352-2024</t>
        </is>
      </c>
      <c r="B971" s="1" t="n">
        <v>45483</v>
      </c>
      <c r="C971" s="1" t="n">
        <v>45728</v>
      </c>
      <c r="D971" t="inlineStr">
        <is>
          <t>ÖREBRO LÄN</t>
        </is>
      </c>
      <c r="E971" t="inlineStr">
        <is>
          <t>ÖREBRO</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30089-2024</t>
        </is>
      </c>
      <c r="B972" s="1" t="n">
        <v>45485</v>
      </c>
      <c r="C972" s="1" t="n">
        <v>45728</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29978-2024</t>
        </is>
      </c>
      <c r="B973" s="1" t="n">
        <v>45488</v>
      </c>
      <c r="C973" s="1" t="n">
        <v>45728</v>
      </c>
      <c r="D973" t="inlineStr">
        <is>
          <t>ÖREBRO LÄN</t>
        </is>
      </c>
      <c r="E973" t="inlineStr">
        <is>
          <t>ÖREBRO</t>
        </is>
      </c>
      <c r="G973" t="n">
        <v>1.8</v>
      </c>
      <c r="H973" t="n">
        <v>0</v>
      </c>
      <c r="I973" t="n">
        <v>0</v>
      </c>
      <c r="J973" t="n">
        <v>0</v>
      </c>
      <c r="K973" t="n">
        <v>0</v>
      </c>
      <c r="L973" t="n">
        <v>0</v>
      </c>
      <c r="M973" t="n">
        <v>0</v>
      </c>
      <c r="N973" t="n">
        <v>0</v>
      </c>
      <c r="O973" t="n">
        <v>0</v>
      </c>
      <c r="P973" t="n">
        <v>0</v>
      </c>
      <c r="Q973" t="n">
        <v>0</v>
      </c>
      <c r="R973" s="2" t="inlineStr"/>
    </row>
    <row r="974" ht="15" customHeight="1">
      <c r="A974" t="inlineStr">
        <is>
          <t>A 30316-2024</t>
        </is>
      </c>
      <c r="B974" s="1" t="n">
        <v>45490</v>
      </c>
      <c r="C974" s="1" t="n">
        <v>45728</v>
      </c>
      <c r="D974" t="inlineStr">
        <is>
          <t>ÖREBRO LÄN</t>
        </is>
      </c>
      <c r="E974" t="inlineStr">
        <is>
          <t>ÖREBRO</t>
        </is>
      </c>
      <c r="G974" t="n">
        <v>5.5</v>
      </c>
      <c r="H974" t="n">
        <v>0</v>
      </c>
      <c r="I974" t="n">
        <v>0</v>
      </c>
      <c r="J974" t="n">
        <v>0</v>
      </c>
      <c r="K974" t="n">
        <v>0</v>
      </c>
      <c r="L974" t="n">
        <v>0</v>
      </c>
      <c r="M974" t="n">
        <v>0</v>
      </c>
      <c r="N974" t="n">
        <v>0</v>
      </c>
      <c r="O974" t="n">
        <v>0</v>
      </c>
      <c r="P974" t="n">
        <v>0</v>
      </c>
      <c r="Q974" t="n">
        <v>0</v>
      </c>
      <c r="R974" s="2" t="inlineStr"/>
    </row>
    <row r="975" ht="15" customHeight="1">
      <c r="A975" t="inlineStr">
        <is>
          <t>A 30903-2024</t>
        </is>
      </c>
      <c r="B975" s="1" t="n">
        <v>45498</v>
      </c>
      <c r="C975" s="1" t="n">
        <v>45728</v>
      </c>
      <c r="D975" t="inlineStr">
        <is>
          <t>ÖREBRO LÄN</t>
        </is>
      </c>
      <c r="E975" t="inlineStr">
        <is>
          <t>ÖREBRO</t>
        </is>
      </c>
      <c r="G975" t="n">
        <v>1.1</v>
      </c>
      <c r="H975" t="n">
        <v>0</v>
      </c>
      <c r="I975" t="n">
        <v>0</v>
      </c>
      <c r="J975" t="n">
        <v>0</v>
      </c>
      <c r="K975" t="n">
        <v>0</v>
      </c>
      <c r="L975" t="n">
        <v>0</v>
      </c>
      <c r="M975" t="n">
        <v>0</v>
      </c>
      <c r="N975" t="n">
        <v>0</v>
      </c>
      <c r="O975" t="n">
        <v>0</v>
      </c>
      <c r="P975" t="n">
        <v>0</v>
      </c>
      <c r="Q975" t="n">
        <v>0</v>
      </c>
      <c r="R975" s="2" t="inlineStr"/>
    </row>
    <row r="976" ht="15" customHeight="1">
      <c r="A976" t="inlineStr">
        <is>
          <t>A 31074-2024</t>
        </is>
      </c>
      <c r="B976" s="1" t="n">
        <v>45502</v>
      </c>
      <c r="C976" s="1" t="n">
        <v>45728</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31323-2024</t>
        </is>
      </c>
      <c r="B977" s="1" t="n">
        <v>45504</v>
      </c>
      <c r="C977" s="1" t="n">
        <v>45728</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31326-2024</t>
        </is>
      </c>
      <c r="B978" s="1" t="n">
        <v>45504</v>
      </c>
      <c r="C978" s="1" t="n">
        <v>45728</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31992-2024</t>
        </is>
      </c>
      <c r="B979" s="1" t="n">
        <v>45510</v>
      </c>
      <c r="C979" s="1" t="n">
        <v>45728</v>
      </c>
      <c r="D979" t="inlineStr">
        <is>
          <t>ÖREBRO LÄN</t>
        </is>
      </c>
      <c r="E979" t="inlineStr">
        <is>
          <t>ÖREBRO</t>
        </is>
      </c>
      <c r="G979" t="n">
        <v>1</v>
      </c>
      <c r="H979" t="n">
        <v>0</v>
      </c>
      <c r="I979" t="n">
        <v>0</v>
      </c>
      <c r="J979" t="n">
        <v>0</v>
      </c>
      <c r="K979" t="n">
        <v>0</v>
      </c>
      <c r="L979" t="n">
        <v>0</v>
      </c>
      <c r="M979" t="n">
        <v>0</v>
      </c>
      <c r="N979" t="n">
        <v>0</v>
      </c>
      <c r="O979" t="n">
        <v>0</v>
      </c>
      <c r="P979" t="n">
        <v>0</v>
      </c>
      <c r="Q979" t="n">
        <v>0</v>
      </c>
      <c r="R979" s="2" t="inlineStr"/>
    </row>
    <row r="980" ht="15" customHeight="1">
      <c r="A980" t="inlineStr">
        <is>
          <t>A 32025-2024</t>
        </is>
      </c>
      <c r="B980" s="1" t="n">
        <v>45510</v>
      </c>
      <c r="C980" s="1" t="n">
        <v>45728</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31990-2024</t>
        </is>
      </c>
      <c r="B981" s="1" t="n">
        <v>45510</v>
      </c>
      <c r="C981" s="1" t="n">
        <v>45728</v>
      </c>
      <c r="D981" t="inlineStr">
        <is>
          <t>ÖREBRO LÄN</t>
        </is>
      </c>
      <c r="E981" t="inlineStr">
        <is>
          <t>ÖREBRO</t>
        </is>
      </c>
      <c r="G981" t="n">
        <v>3.2</v>
      </c>
      <c r="H981" t="n">
        <v>0</v>
      </c>
      <c r="I981" t="n">
        <v>0</v>
      </c>
      <c r="J981" t="n">
        <v>0</v>
      </c>
      <c r="K981" t="n">
        <v>0</v>
      </c>
      <c r="L981" t="n">
        <v>0</v>
      </c>
      <c r="M981" t="n">
        <v>0</v>
      </c>
      <c r="N981" t="n">
        <v>0</v>
      </c>
      <c r="O981" t="n">
        <v>0</v>
      </c>
      <c r="P981" t="n">
        <v>0</v>
      </c>
      <c r="Q981" t="n">
        <v>0</v>
      </c>
      <c r="R981" s="2" t="inlineStr"/>
    </row>
    <row r="982" ht="15" customHeight="1">
      <c r="A982" t="inlineStr">
        <is>
          <t>A 32975-2024</t>
        </is>
      </c>
      <c r="B982" s="1" t="n">
        <v>45517</v>
      </c>
      <c r="C982" s="1" t="n">
        <v>45728</v>
      </c>
      <c r="D982" t="inlineStr">
        <is>
          <t>ÖREBRO LÄN</t>
        </is>
      </c>
      <c r="E982" t="inlineStr">
        <is>
          <t>ÖREBRO</t>
        </is>
      </c>
      <c r="G982" t="n">
        <v>2.8</v>
      </c>
      <c r="H982" t="n">
        <v>0</v>
      </c>
      <c r="I982" t="n">
        <v>0</v>
      </c>
      <c r="J982" t="n">
        <v>0</v>
      </c>
      <c r="K982" t="n">
        <v>0</v>
      </c>
      <c r="L982" t="n">
        <v>0</v>
      </c>
      <c r="M982" t="n">
        <v>0</v>
      </c>
      <c r="N982" t="n">
        <v>0</v>
      </c>
      <c r="O982" t="n">
        <v>0</v>
      </c>
      <c r="P982" t="n">
        <v>0</v>
      </c>
      <c r="Q982" t="n">
        <v>0</v>
      </c>
      <c r="R982" s="2" t="inlineStr"/>
    </row>
    <row r="983" ht="15" customHeight="1">
      <c r="A983" t="inlineStr">
        <is>
          <t>A 33920-2024</t>
        </is>
      </c>
      <c r="B983" s="1" t="n">
        <v>45523</v>
      </c>
      <c r="C983" s="1" t="n">
        <v>45728</v>
      </c>
      <c r="D983" t="inlineStr">
        <is>
          <t>ÖREBRO LÄN</t>
        </is>
      </c>
      <c r="E983" t="inlineStr">
        <is>
          <t>ÖREBRO</t>
        </is>
      </c>
      <c r="G983" t="n">
        <v>2.1</v>
      </c>
      <c r="H983" t="n">
        <v>0</v>
      </c>
      <c r="I983" t="n">
        <v>0</v>
      </c>
      <c r="J983" t="n">
        <v>0</v>
      </c>
      <c r="K983" t="n">
        <v>0</v>
      </c>
      <c r="L983" t="n">
        <v>0</v>
      </c>
      <c r="M983" t="n">
        <v>0</v>
      </c>
      <c r="N983" t="n">
        <v>0</v>
      </c>
      <c r="O983" t="n">
        <v>0</v>
      </c>
      <c r="P983" t="n">
        <v>0</v>
      </c>
      <c r="Q983" t="n">
        <v>0</v>
      </c>
      <c r="R983" s="2" t="inlineStr"/>
    </row>
    <row r="984" ht="15" customHeight="1">
      <c r="A984" t="inlineStr">
        <is>
          <t>A 34336-2024</t>
        </is>
      </c>
      <c r="B984" s="1" t="n">
        <v>45525</v>
      </c>
      <c r="C984" s="1" t="n">
        <v>45728</v>
      </c>
      <c r="D984" t="inlineStr">
        <is>
          <t>ÖREBRO LÄN</t>
        </is>
      </c>
      <c r="E984" t="inlineStr">
        <is>
          <t>ÖREBRO</t>
        </is>
      </c>
      <c r="G984" t="n">
        <v>1.3</v>
      </c>
      <c r="H984" t="n">
        <v>0</v>
      </c>
      <c r="I984" t="n">
        <v>0</v>
      </c>
      <c r="J984" t="n">
        <v>0</v>
      </c>
      <c r="K984" t="n">
        <v>0</v>
      </c>
      <c r="L984" t="n">
        <v>0</v>
      </c>
      <c r="M984" t="n">
        <v>0</v>
      </c>
      <c r="N984" t="n">
        <v>0</v>
      </c>
      <c r="O984" t="n">
        <v>0</v>
      </c>
      <c r="P984" t="n">
        <v>0</v>
      </c>
      <c r="Q984" t="n">
        <v>0</v>
      </c>
      <c r="R984" s="2" t="inlineStr"/>
    </row>
    <row r="985" ht="15" customHeight="1">
      <c r="A985" t="inlineStr">
        <is>
          <t>A 35345-2024</t>
        </is>
      </c>
      <c r="B985" s="1" t="n">
        <v>45530</v>
      </c>
      <c r="C985" s="1" t="n">
        <v>45728</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35477-2024</t>
        </is>
      </c>
      <c r="B986" s="1" t="n">
        <v>45531</v>
      </c>
      <c r="C986" s="1" t="n">
        <v>45728</v>
      </c>
      <c r="D986" t="inlineStr">
        <is>
          <t>ÖREBRO LÄN</t>
        </is>
      </c>
      <c r="E986" t="inlineStr">
        <is>
          <t>ÖREBRO</t>
        </is>
      </c>
      <c r="G986" t="n">
        <v>2.4</v>
      </c>
      <c r="H986" t="n">
        <v>0</v>
      </c>
      <c r="I986" t="n">
        <v>0</v>
      </c>
      <c r="J986" t="n">
        <v>0</v>
      </c>
      <c r="K986" t="n">
        <v>0</v>
      </c>
      <c r="L986" t="n">
        <v>0</v>
      </c>
      <c r="M986" t="n">
        <v>0</v>
      </c>
      <c r="N986" t="n">
        <v>0</v>
      </c>
      <c r="O986" t="n">
        <v>0</v>
      </c>
      <c r="P986" t="n">
        <v>0</v>
      </c>
      <c r="Q986" t="n">
        <v>0</v>
      </c>
      <c r="R986" s="2" t="inlineStr"/>
    </row>
    <row r="987" ht="15" customHeight="1">
      <c r="A987" t="inlineStr">
        <is>
          <t>A 35819-2024</t>
        </is>
      </c>
      <c r="B987" s="1" t="n">
        <v>45532</v>
      </c>
      <c r="C987" s="1" t="n">
        <v>45728</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35829-2024</t>
        </is>
      </c>
      <c r="B988" s="1" t="n">
        <v>45532</v>
      </c>
      <c r="C988" s="1" t="n">
        <v>45728</v>
      </c>
      <c r="D988" t="inlineStr">
        <is>
          <t>ÖREBRO LÄN</t>
        </is>
      </c>
      <c r="E988" t="inlineStr">
        <is>
          <t>ÖREBRO</t>
        </is>
      </c>
      <c r="G988" t="n">
        <v>4.6</v>
      </c>
      <c r="H988" t="n">
        <v>0</v>
      </c>
      <c r="I988" t="n">
        <v>0</v>
      </c>
      <c r="J988" t="n">
        <v>0</v>
      </c>
      <c r="K988" t="n">
        <v>0</v>
      </c>
      <c r="L988" t="n">
        <v>0</v>
      </c>
      <c r="M988" t="n">
        <v>0</v>
      </c>
      <c r="N988" t="n">
        <v>0</v>
      </c>
      <c r="O988" t="n">
        <v>0</v>
      </c>
      <c r="P988" t="n">
        <v>0</v>
      </c>
      <c r="Q988" t="n">
        <v>0</v>
      </c>
      <c r="R988" s="2" t="inlineStr"/>
    </row>
    <row r="989" ht="15" customHeight="1">
      <c r="A989" t="inlineStr">
        <is>
          <t>A 35833-2024</t>
        </is>
      </c>
      <c r="B989" s="1" t="n">
        <v>45532</v>
      </c>
      <c r="C989" s="1" t="n">
        <v>45728</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36441-2024</t>
        </is>
      </c>
      <c r="B990" s="1" t="n">
        <v>45536</v>
      </c>
      <c r="C990" s="1" t="n">
        <v>45728</v>
      </c>
      <c r="D990" t="inlineStr">
        <is>
          <t>ÖREBRO LÄN</t>
        </is>
      </c>
      <c r="E990" t="inlineStr">
        <is>
          <t>ÖREBRO</t>
        </is>
      </c>
      <c r="G990" t="n">
        <v>1.2</v>
      </c>
      <c r="H990" t="n">
        <v>0</v>
      </c>
      <c r="I990" t="n">
        <v>0</v>
      </c>
      <c r="J990" t="n">
        <v>0</v>
      </c>
      <c r="K990" t="n">
        <v>0</v>
      </c>
      <c r="L990" t="n">
        <v>0</v>
      </c>
      <c r="M990" t="n">
        <v>0</v>
      </c>
      <c r="N990" t="n">
        <v>0</v>
      </c>
      <c r="O990" t="n">
        <v>0</v>
      </c>
      <c r="P990" t="n">
        <v>0</v>
      </c>
      <c r="Q990" t="n">
        <v>0</v>
      </c>
      <c r="R990" s="2" t="inlineStr"/>
    </row>
    <row r="991" ht="15" customHeight="1">
      <c r="A991" t="inlineStr">
        <is>
          <t>A 36444-2024</t>
        </is>
      </c>
      <c r="B991" s="1" t="n">
        <v>45536</v>
      </c>
      <c r="C991" s="1" t="n">
        <v>45728</v>
      </c>
      <c r="D991" t="inlineStr">
        <is>
          <t>ÖREBRO LÄN</t>
        </is>
      </c>
      <c r="E991" t="inlineStr">
        <is>
          <t>ÖREBRO</t>
        </is>
      </c>
      <c r="G991" t="n">
        <v>1.1</v>
      </c>
      <c r="H991" t="n">
        <v>0</v>
      </c>
      <c r="I991" t="n">
        <v>0</v>
      </c>
      <c r="J991" t="n">
        <v>0</v>
      </c>
      <c r="K991" t="n">
        <v>0</v>
      </c>
      <c r="L991" t="n">
        <v>0</v>
      </c>
      <c r="M991" t="n">
        <v>0</v>
      </c>
      <c r="N991" t="n">
        <v>0</v>
      </c>
      <c r="O991" t="n">
        <v>0</v>
      </c>
      <c r="P991" t="n">
        <v>0</v>
      </c>
      <c r="Q991" t="n">
        <v>0</v>
      </c>
      <c r="R991" s="2" t="inlineStr"/>
    </row>
    <row r="992" ht="15" customHeight="1">
      <c r="A992" t="inlineStr">
        <is>
          <t>A 37027-2024</t>
        </is>
      </c>
      <c r="B992" s="1" t="n">
        <v>45539</v>
      </c>
      <c r="C992" s="1" t="n">
        <v>45728</v>
      </c>
      <c r="D992" t="inlineStr">
        <is>
          <t>ÖREBRO LÄN</t>
        </is>
      </c>
      <c r="E992" t="inlineStr">
        <is>
          <t>ÖREBRO</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37012-2024</t>
        </is>
      </c>
      <c r="B993" s="1" t="n">
        <v>45539</v>
      </c>
      <c r="C993" s="1" t="n">
        <v>45728</v>
      </c>
      <c r="D993" t="inlineStr">
        <is>
          <t>ÖREBRO LÄN</t>
        </is>
      </c>
      <c r="E993" t="inlineStr">
        <is>
          <t>ÖREBRO</t>
        </is>
      </c>
      <c r="G993" t="n">
        <v>4.1</v>
      </c>
      <c r="H993" t="n">
        <v>0</v>
      </c>
      <c r="I993" t="n">
        <v>0</v>
      </c>
      <c r="J993" t="n">
        <v>0</v>
      </c>
      <c r="K993" t="n">
        <v>0</v>
      </c>
      <c r="L993" t="n">
        <v>0</v>
      </c>
      <c r="M993" t="n">
        <v>0</v>
      </c>
      <c r="N993" t="n">
        <v>0</v>
      </c>
      <c r="O993" t="n">
        <v>0</v>
      </c>
      <c r="P993" t="n">
        <v>0</v>
      </c>
      <c r="Q993" t="n">
        <v>0</v>
      </c>
      <c r="R993" s="2" t="inlineStr"/>
    </row>
    <row r="994" ht="15" customHeight="1">
      <c r="A994" t="inlineStr">
        <is>
          <t>A 37020-2024</t>
        </is>
      </c>
      <c r="B994" s="1" t="n">
        <v>45539</v>
      </c>
      <c r="C994" s="1" t="n">
        <v>45728</v>
      </c>
      <c r="D994" t="inlineStr">
        <is>
          <t>ÖREBRO LÄN</t>
        </is>
      </c>
      <c r="E994" t="inlineStr">
        <is>
          <t>ÖREBRO</t>
        </is>
      </c>
      <c r="F994" t="inlineStr">
        <is>
          <t>Sveaskog</t>
        </is>
      </c>
      <c r="G994" t="n">
        <v>3.1</v>
      </c>
      <c r="H994" t="n">
        <v>0</v>
      </c>
      <c r="I994" t="n">
        <v>0</v>
      </c>
      <c r="J994" t="n">
        <v>0</v>
      </c>
      <c r="K994" t="n">
        <v>0</v>
      </c>
      <c r="L994" t="n">
        <v>0</v>
      </c>
      <c r="M994" t="n">
        <v>0</v>
      </c>
      <c r="N994" t="n">
        <v>0</v>
      </c>
      <c r="O994" t="n">
        <v>0</v>
      </c>
      <c r="P994" t="n">
        <v>0</v>
      </c>
      <c r="Q994" t="n">
        <v>0</v>
      </c>
      <c r="R994" s="2" t="inlineStr"/>
    </row>
    <row r="995" ht="15" customHeight="1">
      <c r="A995" t="inlineStr">
        <is>
          <t>A 37024-2024</t>
        </is>
      </c>
      <c r="B995" s="1" t="n">
        <v>45539</v>
      </c>
      <c r="C995" s="1" t="n">
        <v>45728</v>
      </c>
      <c r="D995" t="inlineStr">
        <is>
          <t>ÖREBRO LÄN</t>
        </is>
      </c>
      <c r="E995" t="inlineStr">
        <is>
          <t>ÖREBRO</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37025-2024</t>
        </is>
      </c>
      <c r="B996" s="1" t="n">
        <v>45539</v>
      </c>
      <c r="C996" s="1" t="n">
        <v>45728</v>
      </c>
      <c r="D996" t="inlineStr">
        <is>
          <t>ÖREBRO LÄN</t>
        </is>
      </c>
      <c r="E996" t="inlineStr">
        <is>
          <t>ÖREBRO</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37021-2024</t>
        </is>
      </c>
      <c r="B997" s="1" t="n">
        <v>45539</v>
      </c>
      <c r="C997" s="1" t="n">
        <v>45728</v>
      </c>
      <c r="D997" t="inlineStr">
        <is>
          <t>ÖREBRO LÄN</t>
        </is>
      </c>
      <c r="E997" t="inlineStr">
        <is>
          <t>ÖREBRO</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37022-2024</t>
        </is>
      </c>
      <c r="B998" s="1" t="n">
        <v>45539</v>
      </c>
      <c r="C998" s="1" t="n">
        <v>45728</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37631-2024</t>
        </is>
      </c>
      <c r="B999" s="1" t="n">
        <v>45541</v>
      </c>
      <c r="C999" s="1" t="n">
        <v>45728</v>
      </c>
      <c r="D999" t="inlineStr">
        <is>
          <t>ÖREBRO LÄN</t>
        </is>
      </c>
      <c r="E999" t="inlineStr">
        <is>
          <t>ÖREBRO</t>
        </is>
      </c>
      <c r="G999" t="n">
        <v>0.9</v>
      </c>
      <c r="H999" t="n">
        <v>0</v>
      </c>
      <c r="I999" t="n">
        <v>0</v>
      </c>
      <c r="J999" t="n">
        <v>0</v>
      </c>
      <c r="K999" t="n">
        <v>0</v>
      </c>
      <c r="L999" t="n">
        <v>0</v>
      </c>
      <c r="M999" t="n">
        <v>0</v>
      </c>
      <c r="N999" t="n">
        <v>0</v>
      </c>
      <c r="O999" t="n">
        <v>0</v>
      </c>
      <c r="P999" t="n">
        <v>0</v>
      </c>
      <c r="Q999" t="n">
        <v>0</v>
      </c>
      <c r="R999" s="2" t="inlineStr"/>
    </row>
    <row r="1000" ht="15" customHeight="1">
      <c r="A1000" t="inlineStr">
        <is>
          <t>A 37771-2024</t>
        </is>
      </c>
      <c r="B1000" s="1" t="n">
        <v>45542</v>
      </c>
      <c r="C1000" s="1" t="n">
        <v>45728</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37786-2024</t>
        </is>
      </c>
      <c r="B1001" s="1" t="n">
        <v>45542</v>
      </c>
      <c r="C1001" s="1" t="n">
        <v>45728</v>
      </c>
      <c r="D1001" t="inlineStr">
        <is>
          <t>ÖREBRO LÄN</t>
        </is>
      </c>
      <c r="E1001" t="inlineStr">
        <is>
          <t>ÖREBRO</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37772-2024</t>
        </is>
      </c>
      <c r="B1002" s="1" t="n">
        <v>45542</v>
      </c>
      <c r="C1002" s="1" t="n">
        <v>45728</v>
      </c>
      <c r="D1002" t="inlineStr">
        <is>
          <t>ÖREBRO LÄN</t>
        </is>
      </c>
      <c r="E1002" t="inlineStr">
        <is>
          <t>ÖREBRO</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37784-2024</t>
        </is>
      </c>
      <c r="B1003" s="1" t="n">
        <v>45542</v>
      </c>
      <c r="C1003" s="1" t="n">
        <v>45728</v>
      </c>
      <c r="D1003" t="inlineStr">
        <is>
          <t>ÖREBRO LÄN</t>
        </is>
      </c>
      <c r="E1003" t="inlineStr">
        <is>
          <t>ÖREBRO</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37773-2024</t>
        </is>
      </c>
      <c r="B1004" s="1" t="n">
        <v>45542</v>
      </c>
      <c r="C1004" s="1" t="n">
        <v>45728</v>
      </c>
      <c r="D1004" t="inlineStr">
        <is>
          <t>ÖREBRO LÄN</t>
        </is>
      </c>
      <c r="E1004" t="inlineStr">
        <is>
          <t>ÖREBRO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37968-2024</t>
        </is>
      </c>
      <c r="B1005" s="1" t="n">
        <v>45544</v>
      </c>
      <c r="C1005" s="1" t="n">
        <v>45728</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38790-2024</t>
        </is>
      </c>
      <c r="B1006" s="1" t="n">
        <v>45547</v>
      </c>
      <c r="C1006" s="1" t="n">
        <v>45728</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39443-2024</t>
        </is>
      </c>
      <c r="B1007" s="1" t="n">
        <v>45551</v>
      </c>
      <c r="C1007" s="1" t="n">
        <v>45728</v>
      </c>
      <c r="D1007" t="inlineStr">
        <is>
          <t>ÖREBRO LÄN</t>
        </is>
      </c>
      <c r="E1007" t="inlineStr">
        <is>
          <t>ÖREBRO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39735-2024</t>
        </is>
      </c>
      <c r="B1008" s="1" t="n">
        <v>45552</v>
      </c>
      <c r="C1008" s="1" t="n">
        <v>45728</v>
      </c>
      <c r="D1008" t="inlineStr">
        <is>
          <t>ÖREBRO LÄN</t>
        </is>
      </c>
      <c r="E1008" t="inlineStr">
        <is>
          <t>ÖREBRO</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40051-2024</t>
        </is>
      </c>
      <c r="B1009" s="1" t="n">
        <v>45553</v>
      </c>
      <c r="C1009" s="1" t="n">
        <v>45728</v>
      </c>
      <c r="D1009" t="inlineStr">
        <is>
          <t>ÖREBRO LÄN</t>
        </is>
      </c>
      <c r="E1009" t="inlineStr">
        <is>
          <t>ÖREBRO</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40522-2024</t>
        </is>
      </c>
      <c r="B1010" s="1" t="n">
        <v>45555</v>
      </c>
      <c r="C1010" s="1" t="n">
        <v>45728</v>
      </c>
      <c r="D1010" t="inlineStr">
        <is>
          <t>ÖREBRO LÄN</t>
        </is>
      </c>
      <c r="E1010" t="inlineStr">
        <is>
          <t>ÖREBRO</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41150-2024</t>
        </is>
      </c>
      <c r="B1011" s="1" t="n">
        <v>45559</v>
      </c>
      <c r="C1011" s="1" t="n">
        <v>45728</v>
      </c>
      <c r="D1011" t="inlineStr">
        <is>
          <t>ÖREBRO LÄN</t>
        </is>
      </c>
      <c r="E1011" t="inlineStr">
        <is>
          <t>ÖREBRO</t>
        </is>
      </c>
      <c r="F1011" t="inlineStr">
        <is>
          <t>Kommuner</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41703-2024</t>
        </is>
      </c>
      <c r="B1012" s="1" t="n">
        <v>45560</v>
      </c>
      <c r="C1012" s="1" t="n">
        <v>45728</v>
      </c>
      <c r="D1012" t="inlineStr">
        <is>
          <t>ÖREBRO LÄN</t>
        </is>
      </c>
      <c r="E1012" t="inlineStr">
        <is>
          <t>ÖREBRO</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41678-2024</t>
        </is>
      </c>
      <c r="B1013" s="1" t="n">
        <v>45560</v>
      </c>
      <c r="C1013" s="1" t="n">
        <v>45728</v>
      </c>
      <c r="D1013" t="inlineStr">
        <is>
          <t>ÖREBRO LÄN</t>
        </is>
      </c>
      <c r="E1013" t="inlineStr">
        <is>
          <t>ÖREBRO</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41543-2024</t>
        </is>
      </c>
      <c r="B1014" s="1" t="n">
        <v>45560</v>
      </c>
      <c r="C1014" s="1" t="n">
        <v>45728</v>
      </c>
      <c r="D1014" t="inlineStr">
        <is>
          <t>ÖREBRO LÄN</t>
        </is>
      </c>
      <c r="E1014" t="inlineStr">
        <is>
          <t>ÖREBRO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41995-2024</t>
        </is>
      </c>
      <c r="B1015" s="1" t="n">
        <v>45561</v>
      </c>
      <c r="C1015" s="1" t="n">
        <v>45728</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42138-2024</t>
        </is>
      </c>
      <c r="B1016" s="1" t="n">
        <v>45562</v>
      </c>
      <c r="C1016" s="1" t="n">
        <v>45728</v>
      </c>
      <c r="D1016" t="inlineStr">
        <is>
          <t>ÖREBRO LÄN</t>
        </is>
      </c>
      <c r="E1016" t="inlineStr">
        <is>
          <t>ÖREBRO</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45027-2024</t>
        </is>
      </c>
      <c r="B1017" s="1" t="n">
        <v>45575</v>
      </c>
      <c r="C1017" s="1" t="n">
        <v>45728</v>
      </c>
      <c r="D1017" t="inlineStr">
        <is>
          <t>ÖREBRO LÄN</t>
        </is>
      </c>
      <c r="E1017" t="inlineStr">
        <is>
          <t>ÖREBRO</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46052-2024</t>
        </is>
      </c>
      <c r="B1018" s="1" t="n">
        <v>45580</v>
      </c>
      <c r="C1018" s="1" t="n">
        <v>45728</v>
      </c>
      <c r="D1018" t="inlineStr">
        <is>
          <t>ÖREBRO LÄN</t>
        </is>
      </c>
      <c r="E1018" t="inlineStr">
        <is>
          <t>ÖREBRO</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46056-2024</t>
        </is>
      </c>
      <c r="B1019" s="1" t="n">
        <v>45580</v>
      </c>
      <c r="C1019" s="1" t="n">
        <v>45728</v>
      </c>
      <c r="D1019" t="inlineStr">
        <is>
          <t>ÖREBRO LÄN</t>
        </is>
      </c>
      <c r="E1019" t="inlineStr">
        <is>
          <t>ÖREBRO</t>
        </is>
      </c>
      <c r="F1019" t="inlineStr">
        <is>
          <t>Övriga Aktiebolag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46030-2024</t>
        </is>
      </c>
      <c r="B1020" s="1" t="n">
        <v>45580</v>
      </c>
      <c r="C1020" s="1" t="n">
        <v>45728</v>
      </c>
      <c r="D1020" t="inlineStr">
        <is>
          <t>ÖREBRO LÄN</t>
        </is>
      </c>
      <c r="E1020" t="inlineStr">
        <is>
          <t>ÖREBRO</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46050-2024</t>
        </is>
      </c>
      <c r="B1021" s="1" t="n">
        <v>45580</v>
      </c>
      <c r="C1021" s="1" t="n">
        <v>45728</v>
      </c>
      <c r="D1021" t="inlineStr">
        <is>
          <t>ÖREBRO LÄN</t>
        </is>
      </c>
      <c r="E1021" t="inlineStr">
        <is>
          <t>ÖREBRO</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46054-2024</t>
        </is>
      </c>
      <c r="B1022" s="1" t="n">
        <v>45580</v>
      </c>
      <c r="C1022" s="1" t="n">
        <v>45728</v>
      </c>
      <c r="D1022" t="inlineStr">
        <is>
          <t>ÖREBRO LÄN</t>
        </is>
      </c>
      <c r="E1022" t="inlineStr">
        <is>
          <t>ÖREBRO</t>
        </is>
      </c>
      <c r="F1022" t="inlineStr">
        <is>
          <t>Övriga Aktiebolag</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46053-2024</t>
        </is>
      </c>
      <c r="B1023" s="1" t="n">
        <v>45580</v>
      </c>
      <c r="C1023" s="1" t="n">
        <v>45728</v>
      </c>
      <c r="D1023" t="inlineStr">
        <is>
          <t>ÖREBRO LÄN</t>
        </is>
      </c>
      <c r="E1023" t="inlineStr">
        <is>
          <t>ÖREBRO</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46057-2024</t>
        </is>
      </c>
      <c r="B1024" s="1" t="n">
        <v>45581</v>
      </c>
      <c r="C1024" s="1" t="n">
        <v>45728</v>
      </c>
      <c r="D1024" t="inlineStr">
        <is>
          <t>ÖREBRO LÄN</t>
        </is>
      </c>
      <c r="E1024" t="inlineStr">
        <is>
          <t>ÖREBRO</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45877-2024</t>
        </is>
      </c>
      <c r="B1025" s="1" t="n">
        <v>45580</v>
      </c>
      <c r="C1025" s="1" t="n">
        <v>45728</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46059-2024</t>
        </is>
      </c>
      <c r="B1026" s="1" t="n">
        <v>45581</v>
      </c>
      <c r="C1026" s="1" t="n">
        <v>45728</v>
      </c>
      <c r="D1026" t="inlineStr">
        <is>
          <t>ÖREBRO LÄN</t>
        </is>
      </c>
      <c r="E1026" t="inlineStr">
        <is>
          <t>ÖREBRO</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46327-2024</t>
        </is>
      </c>
      <c r="B1027" s="1" t="n">
        <v>45581</v>
      </c>
      <c r="C1027" s="1" t="n">
        <v>45728</v>
      </c>
      <c r="D1027" t="inlineStr">
        <is>
          <t>ÖREBRO LÄN</t>
        </is>
      </c>
      <c r="E1027" t="inlineStr">
        <is>
          <t>ÖREBRO</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46322-2024</t>
        </is>
      </c>
      <c r="B1028" s="1" t="n">
        <v>45581</v>
      </c>
      <c r="C1028" s="1" t="n">
        <v>45728</v>
      </c>
      <c r="D1028" t="inlineStr">
        <is>
          <t>ÖREBRO LÄN</t>
        </is>
      </c>
      <c r="E1028" t="inlineStr">
        <is>
          <t>ÖREBRO</t>
        </is>
      </c>
      <c r="F1028" t="inlineStr">
        <is>
          <t>Övriga Aktiebolag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46323-2024</t>
        </is>
      </c>
      <c r="B1029" s="1" t="n">
        <v>45581</v>
      </c>
      <c r="C1029" s="1" t="n">
        <v>45728</v>
      </c>
      <c r="D1029" t="inlineStr">
        <is>
          <t>ÖREBRO LÄN</t>
        </is>
      </c>
      <c r="E1029" t="inlineStr">
        <is>
          <t>ÖREBRO</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46321-2024</t>
        </is>
      </c>
      <c r="B1030" s="1" t="n">
        <v>45581</v>
      </c>
      <c r="C1030" s="1" t="n">
        <v>45728</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47900-2024</t>
        </is>
      </c>
      <c r="B1031" s="1" t="n">
        <v>45589</v>
      </c>
      <c r="C1031" s="1" t="n">
        <v>45728</v>
      </c>
      <c r="D1031" t="inlineStr">
        <is>
          <t>ÖREBRO LÄN</t>
        </is>
      </c>
      <c r="E1031" t="inlineStr">
        <is>
          <t>ÖREBRO</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48140-2024</t>
        </is>
      </c>
      <c r="B1032" s="1" t="n">
        <v>45589</v>
      </c>
      <c r="C1032" s="1" t="n">
        <v>45728</v>
      </c>
      <c r="D1032" t="inlineStr">
        <is>
          <t>ÖREBRO LÄN</t>
        </is>
      </c>
      <c r="E1032" t="inlineStr">
        <is>
          <t>ÖREBRO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48581-2024</t>
        </is>
      </c>
      <c r="B1033" s="1" t="n">
        <v>45593</v>
      </c>
      <c r="C1033" s="1" t="n">
        <v>45728</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48687-2024</t>
        </is>
      </c>
      <c r="B1034" s="1" t="n">
        <v>45593</v>
      </c>
      <c r="C1034" s="1" t="n">
        <v>45728</v>
      </c>
      <c r="D1034" t="inlineStr">
        <is>
          <t>ÖREBRO LÄN</t>
        </is>
      </c>
      <c r="E1034" t="inlineStr">
        <is>
          <t>ÖREBRO</t>
        </is>
      </c>
      <c r="F1034" t="inlineStr">
        <is>
          <t>Övriga Aktiebolag</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48644-2024</t>
        </is>
      </c>
      <c r="B1035" s="1" t="n">
        <v>45593</v>
      </c>
      <c r="C1035" s="1" t="n">
        <v>45728</v>
      </c>
      <c r="D1035" t="inlineStr">
        <is>
          <t>ÖREBRO LÄN</t>
        </is>
      </c>
      <c r="E1035" t="inlineStr">
        <is>
          <t>ÖREBRO</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48632-2024</t>
        </is>
      </c>
      <c r="B1036" s="1" t="n">
        <v>45593</v>
      </c>
      <c r="C1036" s="1" t="n">
        <v>45728</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49029-2024</t>
        </is>
      </c>
      <c r="B1037" s="1" t="n">
        <v>45594</v>
      </c>
      <c r="C1037" s="1" t="n">
        <v>45728</v>
      </c>
      <c r="D1037" t="inlineStr">
        <is>
          <t>ÖREBRO LÄN</t>
        </is>
      </c>
      <c r="E1037" t="inlineStr">
        <is>
          <t>ÖREBRO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49028-2024</t>
        </is>
      </c>
      <c r="B1038" s="1" t="n">
        <v>45594</v>
      </c>
      <c r="C1038" s="1" t="n">
        <v>45728</v>
      </c>
      <c r="D1038" t="inlineStr">
        <is>
          <t>ÖREBRO LÄN</t>
        </is>
      </c>
      <c r="E1038" t="inlineStr">
        <is>
          <t>ÖREBRO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49465-2024</t>
        </is>
      </c>
      <c r="B1039" s="1" t="n">
        <v>45596</v>
      </c>
      <c r="C1039" s="1" t="n">
        <v>45728</v>
      </c>
      <c r="D1039" t="inlineStr">
        <is>
          <t>ÖREBRO LÄN</t>
        </is>
      </c>
      <c r="E1039" t="inlineStr">
        <is>
          <t>ÖREBRO</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49797-2024</t>
        </is>
      </c>
      <c r="B1040" s="1" t="n">
        <v>45597</v>
      </c>
      <c r="C1040" s="1" t="n">
        <v>45728</v>
      </c>
      <c r="D1040" t="inlineStr">
        <is>
          <t>ÖREBRO LÄN</t>
        </is>
      </c>
      <c r="E1040" t="inlineStr">
        <is>
          <t>ÖREBRO</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50026-2024</t>
        </is>
      </c>
      <c r="B1041" s="1" t="n">
        <v>45599</v>
      </c>
      <c r="C1041" s="1" t="n">
        <v>45728</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50375-2024</t>
        </is>
      </c>
      <c r="B1042" s="1" t="n">
        <v>45601</v>
      </c>
      <c r="C1042" s="1" t="n">
        <v>45728</v>
      </c>
      <c r="D1042" t="inlineStr">
        <is>
          <t>ÖREBRO LÄN</t>
        </is>
      </c>
      <c r="E1042" t="inlineStr">
        <is>
          <t>ÖREBRO</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50954-2024</t>
        </is>
      </c>
      <c r="B1043" s="1" t="n">
        <v>45603</v>
      </c>
      <c r="C1043" s="1" t="n">
        <v>45728</v>
      </c>
      <c r="D1043" t="inlineStr">
        <is>
          <t>ÖREBRO LÄN</t>
        </is>
      </c>
      <c r="E1043" t="inlineStr">
        <is>
          <t>ÖREBRO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52016-2024</t>
        </is>
      </c>
      <c r="B1044" s="1" t="n">
        <v>45607</v>
      </c>
      <c r="C1044" s="1" t="n">
        <v>45728</v>
      </c>
      <c r="D1044" t="inlineStr">
        <is>
          <t>ÖREBRO LÄN</t>
        </is>
      </c>
      <c r="E1044" t="inlineStr">
        <is>
          <t>ÖREBRO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52018-2024</t>
        </is>
      </c>
      <c r="B1045" s="1" t="n">
        <v>45607</v>
      </c>
      <c r="C1045" s="1" t="n">
        <v>45728</v>
      </c>
      <c r="D1045" t="inlineStr">
        <is>
          <t>ÖREBRO LÄN</t>
        </is>
      </c>
      <c r="E1045" t="inlineStr">
        <is>
          <t>ÖREBRO</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52391-2024</t>
        </is>
      </c>
      <c r="B1046" s="1" t="n">
        <v>45609</v>
      </c>
      <c r="C1046" s="1" t="n">
        <v>45728</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45728</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45728</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52447-2024</t>
        </is>
      </c>
      <c r="B1049" s="1" t="n">
        <v>45609</v>
      </c>
      <c r="C1049" s="1" t="n">
        <v>45728</v>
      </c>
      <c r="D1049" t="inlineStr">
        <is>
          <t>ÖREBRO LÄN</t>
        </is>
      </c>
      <c r="E1049" t="inlineStr">
        <is>
          <t>ÖREBRO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52499-2024</t>
        </is>
      </c>
      <c r="B1050" s="1" t="n">
        <v>45609</v>
      </c>
      <c r="C1050" s="1" t="n">
        <v>45728</v>
      </c>
      <c r="D1050" t="inlineStr">
        <is>
          <t>ÖREBRO LÄN</t>
        </is>
      </c>
      <c r="E1050" t="inlineStr">
        <is>
          <t>ÖREBRO</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52441-2024</t>
        </is>
      </c>
      <c r="B1051" s="1" t="n">
        <v>45609</v>
      </c>
      <c r="C1051" s="1" t="n">
        <v>45728</v>
      </c>
      <c r="D1051" t="inlineStr">
        <is>
          <t>ÖREBRO LÄN</t>
        </is>
      </c>
      <c r="E1051" t="inlineStr">
        <is>
          <t>ÖREBRO</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52449-2024</t>
        </is>
      </c>
      <c r="B1052" s="1" t="n">
        <v>45609</v>
      </c>
      <c r="C1052" s="1" t="n">
        <v>45728</v>
      </c>
      <c r="D1052" t="inlineStr">
        <is>
          <t>ÖREBRO LÄN</t>
        </is>
      </c>
      <c r="E1052" t="inlineStr">
        <is>
          <t>ÖREBRO</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52477-2024</t>
        </is>
      </c>
      <c r="B1053" s="1" t="n">
        <v>45609</v>
      </c>
      <c r="C1053" s="1" t="n">
        <v>45728</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52623-2024</t>
        </is>
      </c>
      <c r="B1054" s="1" t="n">
        <v>45609</v>
      </c>
      <c r="C1054" s="1" t="n">
        <v>45728</v>
      </c>
      <c r="D1054" t="inlineStr">
        <is>
          <t>ÖREBRO LÄN</t>
        </is>
      </c>
      <c r="E1054" t="inlineStr">
        <is>
          <t>ÖREBRO</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52612-2024</t>
        </is>
      </c>
      <c r="B1055" s="1" t="n">
        <v>45609</v>
      </c>
      <c r="C1055" s="1" t="n">
        <v>45728</v>
      </c>
      <c r="D1055" t="inlineStr">
        <is>
          <t>ÖREBRO LÄN</t>
        </is>
      </c>
      <c r="E1055" t="inlineStr">
        <is>
          <t>ÖREBRO</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53481-2024</t>
        </is>
      </c>
      <c r="B1056" s="1" t="n">
        <v>45614</v>
      </c>
      <c r="C1056" s="1" t="n">
        <v>45728</v>
      </c>
      <c r="D1056" t="inlineStr">
        <is>
          <t>ÖREBRO LÄN</t>
        </is>
      </c>
      <c r="E1056" t="inlineStr">
        <is>
          <t>ÖREBRO</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53478-2024</t>
        </is>
      </c>
      <c r="B1057" s="1" t="n">
        <v>45614</v>
      </c>
      <c r="C1057" s="1" t="n">
        <v>45728</v>
      </c>
      <c r="D1057" t="inlineStr">
        <is>
          <t>ÖREBRO LÄN</t>
        </is>
      </c>
      <c r="E1057" t="inlineStr">
        <is>
          <t>ÖREBRO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53494-2024</t>
        </is>
      </c>
      <c r="B1058" s="1" t="n">
        <v>45614</v>
      </c>
      <c r="C1058" s="1" t="n">
        <v>45728</v>
      </c>
      <c r="D1058" t="inlineStr">
        <is>
          <t>ÖREBRO LÄN</t>
        </is>
      </c>
      <c r="E1058" t="inlineStr">
        <is>
          <t>ÖREBRO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54149-2024</t>
        </is>
      </c>
      <c r="B1059" s="1" t="n">
        <v>45616</v>
      </c>
      <c r="C1059" s="1" t="n">
        <v>45728</v>
      </c>
      <c r="D1059" t="inlineStr">
        <is>
          <t>ÖREBRO LÄN</t>
        </is>
      </c>
      <c r="E1059" t="inlineStr">
        <is>
          <t>ÖREBRO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55313-2024</t>
        </is>
      </c>
      <c r="B1060" s="1" t="n">
        <v>45621</v>
      </c>
      <c r="C1060" s="1" t="n">
        <v>45728</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55355-2024</t>
        </is>
      </c>
      <c r="B1061" s="1" t="n">
        <v>45621</v>
      </c>
      <c r="C1061" s="1" t="n">
        <v>45728</v>
      </c>
      <c r="D1061" t="inlineStr">
        <is>
          <t>ÖREBRO LÄN</t>
        </is>
      </c>
      <c r="E1061" t="inlineStr">
        <is>
          <t>ÖREBRO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55353-2024</t>
        </is>
      </c>
      <c r="B1062" s="1" t="n">
        <v>45621</v>
      </c>
      <c r="C1062" s="1" t="n">
        <v>45728</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55357-2024</t>
        </is>
      </c>
      <c r="B1063" s="1" t="n">
        <v>45621</v>
      </c>
      <c r="C1063" s="1" t="n">
        <v>45728</v>
      </c>
      <c r="D1063" t="inlineStr">
        <is>
          <t>ÖREBRO LÄN</t>
        </is>
      </c>
      <c r="E1063" t="inlineStr">
        <is>
          <t>ÖREBRO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55453-2024</t>
        </is>
      </c>
      <c r="B1064" s="1" t="n">
        <v>45622</v>
      </c>
      <c r="C1064" s="1" t="n">
        <v>45728</v>
      </c>
      <c r="D1064" t="inlineStr">
        <is>
          <t>ÖREBRO LÄN</t>
        </is>
      </c>
      <c r="E1064" t="inlineStr">
        <is>
          <t>ÖREBRO</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55693-2024</t>
        </is>
      </c>
      <c r="B1065" s="1" t="n">
        <v>45622</v>
      </c>
      <c r="C1065" s="1" t="n">
        <v>45728</v>
      </c>
      <c r="D1065" t="inlineStr">
        <is>
          <t>ÖREBRO LÄN</t>
        </is>
      </c>
      <c r="E1065" t="inlineStr">
        <is>
          <t>ÖREBRO</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45728</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45728</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45728</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55846-2024</t>
        </is>
      </c>
      <c r="B1069" s="1" t="n">
        <v>45623</v>
      </c>
      <c r="C1069" s="1" t="n">
        <v>45728</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55943-2024</t>
        </is>
      </c>
      <c r="B1070" s="1" t="n">
        <v>45623</v>
      </c>
      <c r="C1070" s="1" t="n">
        <v>45728</v>
      </c>
      <c r="D1070" t="inlineStr">
        <is>
          <t>ÖREBRO LÄN</t>
        </is>
      </c>
      <c r="E1070" t="inlineStr">
        <is>
          <t>ÖREBRO</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56040-2024</t>
        </is>
      </c>
      <c r="B1071" s="1" t="n">
        <v>45624</v>
      </c>
      <c r="C1071" s="1" t="n">
        <v>45728</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57216-2024</t>
        </is>
      </c>
      <c r="B1072" s="1" t="n">
        <v>45629</v>
      </c>
      <c r="C1072" s="1" t="n">
        <v>45728</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45728</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45728</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45728</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57867-2024</t>
        </is>
      </c>
      <c r="B1076" s="1" t="n">
        <v>45631</v>
      </c>
      <c r="C1076" s="1" t="n">
        <v>45728</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45728</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45728</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58208-2024</t>
        </is>
      </c>
      <c r="B1079" s="1" t="n">
        <v>45632</v>
      </c>
      <c r="C1079" s="1" t="n">
        <v>45728</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58216-2024</t>
        </is>
      </c>
      <c r="B1080" s="1" t="n">
        <v>45632</v>
      </c>
      <c r="C1080" s="1" t="n">
        <v>45728</v>
      </c>
      <c r="D1080" t="inlineStr">
        <is>
          <t>ÖREBRO LÄN</t>
        </is>
      </c>
      <c r="E1080" t="inlineStr">
        <is>
          <t>ÖREBRO</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58662-2024</t>
        </is>
      </c>
      <c r="B1081" s="1" t="n">
        <v>45632</v>
      </c>
      <c r="C1081" s="1" t="n">
        <v>45728</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45728</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45728</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45728</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45728</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45728</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58486-2024</t>
        </is>
      </c>
      <c r="B1087" s="1" t="n">
        <v>45635</v>
      </c>
      <c r="C1087" s="1" t="n">
        <v>45728</v>
      </c>
      <c r="D1087" t="inlineStr">
        <is>
          <t>ÖREBRO LÄN</t>
        </is>
      </c>
      <c r="E1087" t="inlineStr">
        <is>
          <t>ÖREBRO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58532-2024</t>
        </is>
      </c>
      <c r="B1088" s="1" t="n">
        <v>45635</v>
      </c>
      <c r="C1088" s="1" t="n">
        <v>45728</v>
      </c>
      <c r="D1088" t="inlineStr">
        <is>
          <t>ÖREBRO LÄN</t>
        </is>
      </c>
      <c r="E1088" t="inlineStr">
        <is>
          <t>ÖREBRO</t>
        </is>
      </c>
      <c r="F1088" t="inlineStr">
        <is>
          <t>Sveaskog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58611-2024</t>
        </is>
      </c>
      <c r="B1089" s="1" t="n">
        <v>45635</v>
      </c>
      <c r="C1089" s="1" t="n">
        <v>45728</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58615-2024</t>
        </is>
      </c>
      <c r="B1090" s="1" t="n">
        <v>45635</v>
      </c>
      <c r="C1090" s="1" t="n">
        <v>45728</v>
      </c>
      <c r="D1090" t="inlineStr">
        <is>
          <t>ÖREBRO LÄN</t>
        </is>
      </c>
      <c r="E1090" t="inlineStr">
        <is>
          <t>ÖREBRO</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58620-2024</t>
        </is>
      </c>
      <c r="B1091" s="1" t="n">
        <v>45635</v>
      </c>
      <c r="C1091" s="1" t="n">
        <v>45728</v>
      </c>
      <c r="D1091" t="inlineStr">
        <is>
          <t>ÖREBRO LÄN</t>
        </is>
      </c>
      <c r="E1091" t="inlineStr">
        <is>
          <t>ÖREBRO</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58513-2024</t>
        </is>
      </c>
      <c r="B1092" s="1" t="n">
        <v>45635</v>
      </c>
      <c r="C1092" s="1" t="n">
        <v>45728</v>
      </c>
      <c r="D1092" t="inlineStr">
        <is>
          <t>ÖREBRO LÄN</t>
        </is>
      </c>
      <c r="E1092" t="inlineStr">
        <is>
          <t>ÖREBRO</t>
        </is>
      </c>
      <c r="F1092" t="inlineStr">
        <is>
          <t>Sveaskog</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45728</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59026-2024</t>
        </is>
      </c>
      <c r="B1094" s="1" t="n">
        <v>45636</v>
      </c>
      <c r="C1094" s="1" t="n">
        <v>45728</v>
      </c>
      <c r="D1094" t="inlineStr">
        <is>
          <t>ÖREBRO LÄN</t>
        </is>
      </c>
      <c r="E1094" t="inlineStr">
        <is>
          <t>ÖREBRO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59121-2024</t>
        </is>
      </c>
      <c r="B1095" s="1" t="n">
        <v>45637</v>
      </c>
      <c r="C1095" s="1" t="n">
        <v>45728</v>
      </c>
      <c r="D1095" t="inlineStr">
        <is>
          <t>ÖREBRO LÄN</t>
        </is>
      </c>
      <c r="E1095" t="inlineStr">
        <is>
          <t>ÖREBRO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59682-2024</t>
        </is>
      </c>
      <c r="B1096" s="1" t="n">
        <v>45639</v>
      </c>
      <c r="C1096" s="1" t="n">
        <v>45728</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45728</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60022-2024</t>
        </is>
      </c>
      <c r="B1098" s="1" t="n">
        <v>45642</v>
      </c>
      <c r="C1098" s="1" t="n">
        <v>45728</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45728</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60406-2024</t>
        </is>
      </c>
      <c r="B1100" s="1" t="n">
        <v>45643</v>
      </c>
      <c r="C1100" s="1" t="n">
        <v>45728</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45728</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61279-2024</t>
        </is>
      </c>
      <c r="B1102" s="1" t="n">
        <v>45645</v>
      </c>
      <c r="C1102" s="1" t="n">
        <v>45728</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39-2025</t>
        </is>
      </c>
      <c r="B1103" s="1" t="n">
        <v>45657</v>
      </c>
      <c r="C1103" s="1" t="n">
        <v>45728</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271-2025</t>
        </is>
      </c>
      <c r="B1104" s="1" t="n">
        <v>45658</v>
      </c>
      <c r="C1104" s="1" t="n">
        <v>45728</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123-2025</t>
        </is>
      </c>
      <c r="B1105" s="1" t="n">
        <v>45659</v>
      </c>
      <c r="C1105" s="1" t="n">
        <v>45728</v>
      </c>
      <c r="D1105" t="inlineStr">
        <is>
          <t>ÖREBRO LÄN</t>
        </is>
      </c>
      <c r="E1105" t="inlineStr">
        <is>
          <t>ÖREBRO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281-2025</t>
        </is>
      </c>
      <c r="B1106" s="1" t="n">
        <v>45660</v>
      </c>
      <c r="C1106" s="1" t="n">
        <v>45728</v>
      </c>
      <c r="D1106" t="inlineStr">
        <is>
          <t>ÖREBRO LÄN</t>
        </is>
      </c>
      <c r="E1106" t="inlineStr">
        <is>
          <t>ÖREBRO</t>
        </is>
      </c>
      <c r="F1106" t="inlineStr">
        <is>
          <t>Övriga Aktiebolag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541-2025</t>
        </is>
      </c>
      <c r="B1107" s="1" t="n">
        <v>45664</v>
      </c>
      <c r="C1107" s="1" t="n">
        <v>45728</v>
      </c>
      <c r="D1107" t="inlineStr">
        <is>
          <t>ÖREBRO LÄN</t>
        </is>
      </c>
      <c r="E1107" t="inlineStr">
        <is>
          <t>ÖREBRO</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45728</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852-2025</t>
        </is>
      </c>
      <c r="B1109" s="1" t="n">
        <v>45665</v>
      </c>
      <c r="C1109" s="1" t="n">
        <v>45728</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45728</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45728</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2095-2025</t>
        </is>
      </c>
      <c r="B1112" s="1" t="n">
        <v>45672</v>
      </c>
      <c r="C1112" s="1" t="n">
        <v>45728</v>
      </c>
      <c r="D1112" t="inlineStr">
        <is>
          <t>ÖREBRO LÄN</t>
        </is>
      </c>
      <c r="E1112" t="inlineStr">
        <is>
          <t>ÖREBRO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3473-2025</t>
        </is>
      </c>
      <c r="B1113" s="1" t="n">
        <v>45680</v>
      </c>
      <c r="C1113" s="1" t="n">
        <v>45728</v>
      </c>
      <c r="D1113" t="inlineStr">
        <is>
          <t>ÖREBRO LÄN</t>
        </is>
      </c>
      <c r="E1113" t="inlineStr">
        <is>
          <t>ÖREBRO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45728</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3659-2025</t>
        </is>
      </c>
      <c r="B1115" s="1" t="n">
        <v>45681</v>
      </c>
      <c r="C1115" s="1" t="n">
        <v>45728</v>
      </c>
      <c r="D1115" t="inlineStr">
        <is>
          <t>ÖREBRO LÄN</t>
        </is>
      </c>
      <c r="E1115" t="inlineStr">
        <is>
          <t>ÖREBRO</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3774-2025</t>
        </is>
      </c>
      <c r="B1116" s="1" t="n">
        <v>45681</v>
      </c>
      <c r="C1116" s="1" t="n">
        <v>45728</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3817-2025</t>
        </is>
      </c>
      <c r="B1117" s="1" t="n">
        <v>45681</v>
      </c>
      <c r="C1117" s="1" t="n">
        <v>45728</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45728</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45728</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45728</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45728</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4178-2025</t>
        </is>
      </c>
      <c r="B1122" s="1" t="n">
        <v>45685</v>
      </c>
      <c r="C1122" s="1" t="n">
        <v>45728</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45728</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4380-2025</t>
        </is>
      </c>
      <c r="B1124" s="1" t="n">
        <v>45686</v>
      </c>
      <c r="C1124" s="1" t="n">
        <v>45728</v>
      </c>
      <c r="D1124" t="inlineStr">
        <is>
          <t>ÖREBRO LÄN</t>
        </is>
      </c>
      <c r="E1124" t="inlineStr">
        <is>
          <t>ÖREBRO</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45728</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5406-2025</t>
        </is>
      </c>
      <c r="B1126" s="1" t="n">
        <v>45692</v>
      </c>
      <c r="C1126" s="1" t="n">
        <v>45728</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5643-2025</t>
        </is>
      </c>
      <c r="B1127" s="1" t="n">
        <v>45693</v>
      </c>
      <c r="C1127" s="1" t="n">
        <v>45728</v>
      </c>
      <c r="D1127" t="inlineStr">
        <is>
          <t>ÖREBRO LÄN</t>
        </is>
      </c>
      <c r="E1127" t="inlineStr">
        <is>
          <t>ÖREBRO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5762-2025</t>
        </is>
      </c>
      <c r="B1128" s="1" t="n">
        <v>45694</v>
      </c>
      <c r="C1128" s="1" t="n">
        <v>45728</v>
      </c>
      <c r="D1128" t="inlineStr">
        <is>
          <t>ÖREBRO LÄN</t>
        </is>
      </c>
      <c r="E1128" t="inlineStr">
        <is>
          <t>ÖREBRO</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45728</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6869-2025</t>
        </is>
      </c>
      <c r="B1130" s="1" t="n">
        <v>45700</v>
      </c>
      <c r="C1130" s="1" t="n">
        <v>45728</v>
      </c>
      <c r="D1130" t="inlineStr">
        <is>
          <t>ÖREBRO LÄN</t>
        </is>
      </c>
      <c r="E1130" t="inlineStr">
        <is>
          <t>ÖREBRO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45728</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7141-2025</t>
        </is>
      </c>
      <c r="B1132" s="1" t="n">
        <v>45702</v>
      </c>
      <c r="C1132" s="1" t="n">
        <v>45728</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7302-2025</t>
        </is>
      </c>
      <c r="B1133" s="1" t="n">
        <v>45702</v>
      </c>
      <c r="C1133" s="1" t="n">
        <v>45728</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c r="U1133">
        <f>HYPERLINK("https://klasma.github.io/Logging_1880/knärot/A 7302-2025 karta knärot.png", "A 7302-2025")</f>
        <v/>
      </c>
      <c r="V1133">
        <f>HYPERLINK("https://klasma.github.io/Logging_1880/klagomål/A 7302-2025 FSC-klagomål.docx", "A 7302-2025")</f>
        <v/>
      </c>
      <c r="W1133">
        <f>HYPERLINK("https://klasma.github.io/Logging_1880/klagomålsmail/A 7302-2025 FSC-klagomål mail.docx", "A 7302-2025")</f>
        <v/>
      </c>
      <c r="X1133">
        <f>HYPERLINK("https://klasma.github.io/Logging_1880/tillsyn/A 7302-2025 tillsynsbegäran.docx", "A 7302-2025")</f>
        <v/>
      </c>
      <c r="Y1133">
        <f>HYPERLINK("https://klasma.github.io/Logging_1880/tillsynsmail/A 7302-2025 tillsynsbegäran mail.docx", "A 7302-2025")</f>
        <v/>
      </c>
    </row>
    <row r="1134" ht="15" customHeight="1">
      <c r="A1134" t="inlineStr">
        <is>
          <t>A 7506-2025</t>
        </is>
      </c>
      <c r="B1134" s="1" t="n">
        <v>45705</v>
      </c>
      <c r="C1134" s="1" t="n">
        <v>45728</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45728</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7404-2025</t>
        </is>
      </c>
      <c r="B1136" s="1" t="n">
        <v>45705</v>
      </c>
      <c r="C1136" s="1" t="n">
        <v>45728</v>
      </c>
      <c r="D1136" t="inlineStr">
        <is>
          <t>ÖREBRO LÄN</t>
        </is>
      </c>
      <c r="E1136" t="inlineStr">
        <is>
          <t>ÖREBRO</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8274-2025</t>
        </is>
      </c>
      <c r="B1137" s="1" t="n">
        <v>45708</v>
      </c>
      <c r="C1137" s="1" t="n">
        <v>45728</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8512-2025</t>
        </is>
      </c>
      <c r="B1138" s="1" t="n">
        <v>45709</v>
      </c>
      <c r="C1138" s="1" t="n">
        <v>45728</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8656-2025</t>
        </is>
      </c>
      <c r="B1139" s="1" t="n">
        <v>45712</v>
      </c>
      <c r="C1139" s="1" t="n">
        <v>45728</v>
      </c>
      <c r="D1139" t="inlineStr">
        <is>
          <t>ÖREBRO LÄN</t>
        </is>
      </c>
      <c r="E1139" t="inlineStr">
        <is>
          <t>ÖREBRO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9445-2025</t>
        </is>
      </c>
      <c r="B1140" s="1" t="n">
        <v>45715</v>
      </c>
      <c r="C1140" s="1" t="n">
        <v>45728</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9585-2025</t>
        </is>
      </c>
      <c r="B1141" s="1" t="n">
        <v>45715</v>
      </c>
      <c r="C1141" s="1" t="n">
        <v>45728</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10470-2025</t>
        </is>
      </c>
      <c r="B1142" s="1" t="n">
        <v>45720</v>
      </c>
      <c r="C1142" s="1" t="n">
        <v>45728</v>
      </c>
      <c r="D1142" t="inlineStr">
        <is>
          <t>ÖREBRO LÄN</t>
        </is>
      </c>
      <c r="E1142" t="inlineStr">
        <is>
          <t>ÖREBRO</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10992-2025</t>
        </is>
      </c>
      <c r="B1143" s="1" t="n">
        <v>45723</v>
      </c>
      <c r="C1143" s="1" t="n">
        <v>45728</v>
      </c>
      <c r="D1143" t="inlineStr">
        <is>
          <t>ÖREBRO LÄN</t>
        </is>
      </c>
      <c r="E1143" t="inlineStr">
        <is>
          <t>ÖREBRO</t>
        </is>
      </c>
      <c r="G1143" t="n">
        <v>9.5</v>
      </c>
      <c r="H1143" t="n">
        <v>0</v>
      </c>
      <c r="I1143" t="n">
        <v>0</v>
      </c>
      <c r="J1143" t="n">
        <v>0</v>
      </c>
      <c r="K1143" t="n">
        <v>0</v>
      </c>
      <c r="L1143" t="n">
        <v>0</v>
      </c>
      <c r="M1143" t="n">
        <v>0</v>
      </c>
      <c r="N1143" t="n">
        <v>0</v>
      </c>
      <c r="O1143" t="n">
        <v>0</v>
      </c>
      <c r="P1143" t="n">
        <v>0</v>
      </c>
      <c r="Q1143" t="n">
        <v>0</v>
      </c>
      <c r="R1143" s="2" t="inlineStr"/>
      <c r="U1143">
        <f>HYPERLINK("https://klasma.github.io/Logging_1880/knärot/A 10992-2025 karta knärot.png", "A 10992-2025")</f>
        <v/>
      </c>
      <c r="V1143">
        <f>HYPERLINK("https://klasma.github.io/Logging_1880/klagomål/A 10992-2025 FSC-klagomål.docx", "A 10992-2025")</f>
        <v/>
      </c>
      <c r="W1143">
        <f>HYPERLINK("https://klasma.github.io/Logging_1880/klagomålsmail/A 10992-2025 FSC-klagomål mail.docx", "A 10992-2025")</f>
        <v/>
      </c>
      <c r="X1143">
        <f>HYPERLINK("https://klasma.github.io/Logging_1880/tillsyn/A 10992-2025 tillsynsbegäran.docx", "A 10992-2025")</f>
        <v/>
      </c>
      <c r="Y1143">
        <f>HYPERLINK("https://klasma.github.io/Logging_1880/tillsynsmail/A 10992-2025 tillsynsbegäran mail.docx", "A 10992-2025")</f>
        <v/>
      </c>
    </row>
    <row r="1144">
      <c r="A1144" t="inlineStr">
        <is>
          <t>A 11067-2025</t>
        </is>
      </c>
      <c r="B1144" s="1" t="n">
        <v>45723</v>
      </c>
      <c r="C1144" s="1" t="n">
        <v>45728</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2025-03-12T16:46:22Z</dcterms:created>
  <dcterms:modified xmlns:dcterms="http://purl.org/dc/terms/" xmlns:xsi="http://www.w3.org/2001/XMLSchema-instance" xsi:type="dcterms:W3CDTF">2025-03-12T16:46:23Z</dcterms:modified>
</cp:coreProperties>
</file>