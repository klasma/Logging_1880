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46010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46010</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46010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46010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46010</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46010</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46010</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46010</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45989.65600694445</v>
      </c>
      <c r="C10" s="1" t="n">
        <v>46010</v>
      </c>
      <c r="D10" t="inlineStr">
        <is>
          <t>ÖREBRO LÄN</t>
        </is>
      </c>
      <c r="E10" t="inlineStr">
        <is>
          <t>ÖREBRO</t>
        </is>
      </c>
      <c r="F10" t="inlineStr">
        <is>
          <t>Sveaskog</t>
        </is>
      </c>
      <c r="G10" t="n">
        <v>1.7</v>
      </c>
      <c r="H10" t="n">
        <v>1</v>
      </c>
      <c r="I10" t="n">
        <v>3</v>
      </c>
      <c r="J10" t="n">
        <v>1</v>
      </c>
      <c r="K10" t="n">
        <v>0</v>
      </c>
      <c r="L10" t="n">
        <v>0</v>
      </c>
      <c r="M10" t="n">
        <v>0</v>
      </c>
      <c r="N10" t="n">
        <v>0</v>
      </c>
      <c r="O10" t="n">
        <v>1</v>
      </c>
      <c r="P10" t="n">
        <v>0</v>
      </c>
      <c r="Q10" t="n">
        <v>5</v>
      </c>
      <c r="R10" s="2" t="inlineStr">
        <is>
          <t>Dofttaggsvamp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46010</v>
      </c>
      <c r="D11" t="inlineStr">
        <is>
          <t>ÖREBRO LÄN</t>
        </is>
      </c>
      <c r="E11" t="inlineStr">
        <is>
          <t>ÖREBRO</t>
        </is>
      </c>
      <c r="G11" t="n">
        <v>2.6</v>
      </c>
      <c r="H11" t="n">
        <v>2</v>
      </c>
      <c r="I11" t="n">
        <v>2</v>
      </c>
      <c r="J11" t="n">
        <v>2</v>
      </c>
      <c r="K11" t="n">
        <v>1</v>
      </c>
      <c r="L11" t="n">
        <v>0</v>
      </c>
      <c r="M11" t="n">
        <v>0</v>
      </c>
      <c r="N11" t="n">
        <v>0</v>
      </c>
      <c r="O11" t="n">
        <v>3</v>
      </c>
      <c r="P11" t="n">
        <v>1</v>
      </c>
      <c r="Q11" t="n">
        <v>5</v>
      </c>
      <c r="R11" s="2" t="inlineStr">
        <is>
          <t>Knärot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33069-2025</t>
        </is>
      </c>
      <c r="B12" s="1" t="n">
        <v>45840</v>
      </c>
      <c r="C12" s="1" t="n">
        <v>46010</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5354-2024</t>
        </is>
      </c>
      <c r="B13" s="1" t="n">
        <v>45331</v>
      </c>
      <c r="C13" s="1" t="n">
        <v>46010</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8564-2021</t>
        </is>
      </c>
      <c r="B14" s="1" t="n">
        <v>44245</v>
      </c>
      <c r="C14" s="1" t="n">
        <v>46010</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46010</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58832-2025</t>
        </is>
      </c>
      <c r="B16" s="1" t="n">
        <v>45987</v>
      </c>
      <c r="C16" s="1" t="n">
        <v>46010</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57553-2023</t>
        </is>
      </c>
      <c r="B17" s="1" t="n">
        <v>45246</v>
      </c>
      <c r="C17" s="1" t="n">
        <v>46010</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12974-2022</t>
        </is>
      </c>
      <c r="B18" s="1" t="n">
        <v>44643.38490740741</v>
      </c>
      <c r="C18" s="1" t="n">
        <v>46010</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29487-2022</t>
        </is>
      </c>
      <c r="B19" s="1" t="n">
        <v>44753</v>
      </c>
      <c r="C19" s="1" t="n">
        <v>46010</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46010</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575-2024</t>
        </is>
      </c>
      <c r="B21" s="1" t="n">
        <v>45299</v>
      </c>
      <c r="C21" s="1" t="n">
        <v>46010</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17074-2024</t>
        </is>
      </c>
      <c r="B22" s="1" t="n">
        <v>45412</v>
      </c>
      <c r="C22" s="1" t="n">
        <v>46010</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46010</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46010</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46010</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46010</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50096-2023</t>
        </is>
      </c>
      <c r="B27" s="1" t="n">
        <v>45215</v>
      </c>
      <c r="C27" s="1" t="n">
        <v>46010</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29478-2022</t>
        </is>
      </c>
      <c r="B28" s="1" t="n">
        <v>44753</v>
      </c>
      <c r="C28" s="1" t="n">
        <v>46010</v>
      </c>
      <c r="D28" t="inlineStr">
        <is>
          <t>ÖREBRO LÄN</t>
        </is>
      </c>
      <c r="E28" t="inlineStr">
        <is>
          <t>ÖREBRO</t>
        </is>
      </c>
      <c r="F28" t="inlineStr">
        <is>
          <t>Kommuner</t>
        </is>
      </c>
      <c r="G28" t="n">
        <v>0.5</v>
      </c>
      <c r="H28" t="n">
        <v>0</v>
      </c>
      <c r="I28" t="n">
        <v>2</v>
      </c>
      <c r="J28" t="n">
        <v>0</v>
      </c>
      <c r="K28" t="n">
        <v>0</v>
      </c>
      <c r="L28" t="n">
        <v>0</v>
      </c>
      <c r="M28" t="n">
        <v>0</v>
      </c>
      <c r="N28" t="n">
        <v>0</v>
      </c>
      <c r="O28" t="n">
        <v>0</v>
      </c>
      <c r="P28" t="n">
        <v>0</v>
      </c>
      <c r="Q28" t="n">
        <v>2</v>
      </c>
      <c r="R28" s="2" t="inlineStr">
        <is>
          <t>Fjällig taggsvamp s.str.
Svavelriska</t>
        </is>
      </c>
      <c r="S28">
        <f>HYPERLINK("https://klasma.github.io/Logging_1880/artfynd/A 29478-2022 artfynd.xlsx", "A 29478-2022")</f>
        <v/>
      </c>
      <c r="T28">
        <f>HYPERLINK("https://klasma.github.io/Logging_1880/kartor/A 29478-2022 karta.png", "A 29478-2022")</f>
        <v/>
      </c>
      <c r="V28">
        <f>HYPERLINK("https://klasma.github.io/Logging_1880/klagomål/A 29478-2022 FSC-klagomål.docx", "A 29478-2022")</f>
        <v/>
      </c>
      <c r="W28">
        <f>HYPERLINK("https://klasma.github.io/Logging_1880/klagomålsmail/A 29478-2022 FSC-klagomål mail.docx", "A 29478-2022")</f>
        <v/>
      </c>
      <c r="X28">
        <f>HYPERLINK("https://klasma.github.io/Logging_1880/tillsyn/A 29478-2022 tillsynsbegäran.docx", "A 29478-2022")</f>
        <v/>
      </c>
      <c r="Y28">
        <f>HYPERLINK("https://klasma.github.io/Logging_1880/tillsynsmail/A 29478-2022 tillsynsbegäran mail.docx", "A 29478-2022")</f>
        <v/>
      </c>
    </row>
    <row r="29" ht="15" customHeight="1">
      <c r="A29" t="inlineStr">
        <is>
          <t>A 32782-2022</t>
        </is>
      </c>
      <c r="B29" s="1" t="n">
        <v>44783</v>
      </c>
      <c r="C29" s="1" t="n">
        <v>46010</v>
      </c>
      <c r="D29" t="inlineStr">
        <is>
          <t>ÖREBRO LÄN</t>
        </is>
      </c>
      <c r="E29" t="inlineStr">
        <is>
          <t>ÖREBRO</t>
        </is>
      </c>
      <c r="G29" t="n">
        <v>2.8</v>
      </c>
      <c r="H29" t="n">
        <v>1</v>
      </c>
      <c r="I29" t="n">
        <v>0</v>
      </c>
      <c r="J29" t="n">
        <v>1</v>
      </c>
      <c r="K29" t="n">
        <v>0</v>
      </c>
      <c r="L29" t="n">
        <v>0</v>
      </c>
      <c r="M29" t="n">
        <v>0</v>
      </c>
      <c r="N29" t="n">
        <v>0</v>
      </c>
      <c r="O29" t="n">
        <v>1</v>
      </c>
      <c r="P29" t="n">
        <v>0</v>
      </c>
      <c r="Q29" t="n">
        <v>2</v>
      </c>
      <c r="R29" s="2" t="inlineStr">
        <is>
          <t>Loppstarr
Blåsippa</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4943-2022</t>
        </is>
      </c>
      <c r="B30" s="1" t="n">
        <v>44593</v>
      </c>
      <c r="C30" s="1" t="n">
        <v>46010</v>
      </c>
      <c r="D30" t="inlineStr">
        <is>
          <t>ÖREBRO LÄN</t>
        </is>
      </c>
      <c r="E30" t="inlineStr">
        <is>
          <t>ÖREBRO</t>
        </is>
      </c>
      <c r="G30" t="n">
        <v>1.1</v>
      </c>
      <c r="H30" t="n">
        <v>0</v>
      </c>
      <c r="I30" t="n">
        <v>0</v>
      </c>
      <c r="J30" t="n">
        <v>1</v>
      </c>
      <c r="K30" t="n">
        <v>0</v>
      </c>
      <c r="L30" t="n">
        <v>1</v>
      </c>
      <c r="M30" t="n">
        <v>0</v>
      </c>
      <c r="N30" t="n">
        <v>0</v>
      </c>
      <c r="O30" t="n">
        <v>2</v>
      </c>
      <c r="P30" t="n">
        <v>1</v>
      </c>
      <c r="Q30" t="n">
        <v>2</v>
      </c>
      <c r="R30" s="2" t="inlineStr">
        <is>
          <t>Prakttagging
Skinntagging</t>
        </is>
      </c>
      <c r="S30">
        <f>HYPERLINK("https://klasma.github.io/Logging_1880/artfynd/A 4943-2022 artfynd.xlsx", "A 4943-2022")</f>
        <v/>
      </c>
      <c r="T30">
        <f>HYPERLINK("https://klasma.github.io/Logging_1880/kartor/A 4943-2022 karta.png", "A 4943-2022")</f>
        <v/>
      </c>
      <c r="V30">
        <f>HYPERLINK("https://klasma.github.io/Logging_1880/klagomål/A 4943-2022 FSC-klagomål.docx", "A 4943-2022")</f>
        <v/>
      </c>
      <c r="W30">
        <f>HYPERLINK("https://klasma.github.io/Logging_1880/klagomålsmail/A 4943-2022 FSC-klagomål mail.docx", "A 4943-2022")</f>
        <v/>
      </c>
      <c r="X30">
        <f>HYPERLINK("https://klasma.github.io/Logging_1880/tillsyn/A 4943-2022 tillsynsbegäran.docx", "A 4943-2022")</f>
        <v/>
      </c>
      <c r="Y30">
        <f>HYPERLINK("https://klasma.github.io/Logging_1880/tillsynsmail/A 4943-2022 tillsynsbegäran mail.docx", "A 4943-2022")</f>
        <v/>
      </c>
    </row>
    <row r="31" ht="15" customHeight="1">
      <c r="A31" t="inlineStr">
        <is>
          <t>A 49552-2022</t>
        </is>
      </c>
      <c r="B31" s="1" t="n">
        <v>44862.31013888889</v>
      </c>
      <c r="C31" s="1" t="n">
        <v>46010</v>
      </c>
      <c r="D31" t="inlineStr">
        <is>
          <t>ÖREBRO LÄN</t>
        </is>
      </c>
      <c r="E31" t="inlineStr">
        <is>
          <t>ÖREBRO</t>
        </is>
      </c>
      <c r="G31" t="n">
        <v>2.1</v>
      </c>
      <c r="H31" t="n">
        <v>0</v>
      </c>
      <c r="I31" t="n">
        <v>0</v>
      </c>
      <c r="J31" t="n">
        <v>1</v>
      </c>
      <c r="K31" t="n">
        <v>1</v>
      </c>
      <c r="L31" t="n">
        <v>0</v>
      </c>
      <c r="M31" t="n">
        <v>0</v>
      </c>
      <c r="N31" t="n">
        <v>0</v>
      </c>
      <c r="O31" t="n">
        <v>2</v>
      </c>
      <c r="P31" t="n">
        <v>1</v>
      </c>
      <c r="Q31" t="n">
        <v>2</v>
      </c>
      <c r="R31" s="2" t="inlineStr">
        <is>
          <t>Ulltickeporing
Ullticka</t>
        </is>
      </c>
      <c r="S31">
        <f>HYPERLINK("https://klasma.github.io/Logging_1880/artfynd/A 49552-2022 artfynd.xlsx", "A 49552-2022")</f>
        <v/>
      </c>
      <c r="T31">
        <f>HYPERLINK("https://klasma.github.io/Logging_1880/kartor/A 49552-2022 karta.png", "A 49552-2022")</f>
        <v/>
      </c>
      <c r="V31">
        <f>HYPERLINK("https://klasma.github.io/Logging_1880/klagomål/A 49552-2022 FSC-klagomål.docx", "A 49552-2022")</f>
        <v/>
      </c>
      <c r="W31">
        <f>HYPERLINK("https://klasma.github.io/Logging_1880/klagomålsmail/A 49552-2022 FSC-klagomål mail.docx", "A 49552-2022")</f>
        <v/>
      </c>
      <c r="X31">
        <f>HYPERLINK("https://klasma.github.io/Logging_1880/tillsyn/A 49552-2022 tillsynsbegäran.docx", "A 49552-2022")</f>
        <v/>
      </c>
      <c r="Y31">
        <f>HYPERLINK("https://klasma.github.io/Logging_1880/tillsynsmail/A 49552-2022 tillsynsbegäran mail.docx", "A 49552-2022")</f>
        <v/>
      </c>
    </row>
    <row r="32" ht="15" customHeight="1">
      <c r="A32" t="inlineStr">
        <is>
          <t>A 2586-2021</t>
        </is>
      </c>
      <c r="B32" s="1" t="n">
        <v>44214</v>
      </c>
      <c r="C32" s="1" t="n">
        <v>46010</v>
      </c>
      <c r="D32" t="inlineStr">
        <is>
          <t>ÖREBRO LÄN</t>
        </is>
      </c>
      <c r="E32" t="inlineStr">
        <is>
          <t>ÖREBRO</t>
        </is>
      </c>
      <c r="G32" t="n">
        <v>8</v>
      </c>
      <c r="H32" t="n">
        <v>1</v>
      </c>
      <c r="I32" t="n">
        <v>0</v>
      </c>
      <c r="J32" t="n">
        <v>1</v>
      </c>
      <c r="K32" t="n">
        <v>0</v>
      </c>
      <c r="L32" t="n">
        <v>0</v>
      </c>
      <c r="M32" t="n">
        <v>0</v>
      </c>
      <c r="N32" t="n">
        <v>0</v>
      </c>
      <c r="O32" t="n">
        <v>1</v>
      </c>
      <c r="P32" t="n">
        <v>0</v>
      </c>
      <c r="Q32" t="n">
        <v>2</v>
      </c>
      <c r="R32" s="2" t="inlineStr">
        <is>
          <t>Tallticka
Fläcknycklar</t>
        </is>
      </c>
      <c r="S32">
        <f>HYPERLINK("https://klasma.github.io/Logging_1880/artfynd/A 2586-2021 artfynd.xlsx", "A 2586-2021")</f>
        <v/>
      </c>
      <c r="T32">
        <f>HYPERLINK("https://klasma.github.io/Logging_1880/kartor/A 2586-2021 karta.png", "A 2586-2021")</f>
        <v/>
      </c>
      <c r="V32">
        <f>HYPERLINK("https://klasma.github.io/Logging_1880/klagomål/A 2586-2021 FSC-klagomål.docx", "A 2586-2021")</f>
        <v/>
      </c>
      <c r="W32">
        <f>HYPERLINK("https://klasma.github.io/Logging_1880/klagomålsmail/A 2586-2021 FSC-klagomål mail.docx", "A 2586-2021")</f>
        <v/>
      </c>
      <c r="X32">
        <f>HYPERLINK("https://klasma.github.io/Logging_1880/tillsyn/A 2586-2021 tillsynsbegäran.docx", "A 2586-2021")</f>
        <v/>
      </c>
      <c r="Y32">
        <f>HYPERLINK("https://klasma.github.io/Logging_1880/tillsynsmail/A 2586-2021 tillsynsbegäran mail.docx", "A 2586-2021")</f>
        <v/>
      </c>
    </row>
    <row r="33" ht="15" customHeight="1">
      <c r="A33" t="inlineStr">
        <is>
          <t>A 30409-2025</t>
        </is>
      </c>
      <c r="B33" s="1" t="n">
        <v>45827.59738425926</v>
      </c>
      <c r="C33" s="1" t="n">
        <v>46010</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14956-2025</t>
        </is>
      </c>
      <c r="B34" s="1" t="n">
        <v>45743.58409722222</v>
      </c>
      <c r="C34" s="1" t="n">
        <v>46010</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52400-2024</t>
        </is>
      </c>
      <c r="B35" s="1" t="n">
        <v>45609.44461805555</v>
      </c>
      <c r="C35" s="1" t="n">
        <v>46010</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37019-2024</t>
        </is>
      </c>
      <c r="B36" s="1" t="n">
        <v>45539.37905092593</v>
      </c>
      <c r="C36" s="1" t="n">
        <v>46010</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59519-2025</t>
        </is>
      </c>
      <c r="B37" s="1" t="n">
        <v>45989.65541666667</v>
      </c>
      <c r="C37" s="1" t="n">
        <v>46010</v>
      </c>
      <c r="D37" t="inlineStr">
        <is>
          <t>ÖREBRO LÄN</t>
        </is>
      </c>
      <c r="E37" t="inlineStr">
        <is>
          <t>ÖREBRO</t>
        </is>
      </c>
      <c r="F37" t="inlineStr">
        <is>
          <t>Sveaskog</t>
        </is>
      </c>
      <c r="G37" t="n">
        <v>2.5</v>
      </c>
      <c r="H37" t="n">
        <v>2</v>
      </c>
      <c r="I37" t="n">
        <v>0</v>
      </c>
      <c r="J37" t="n">
        <v>0</v>
      </c>
      <c r="K37" t="n">
        <v>0</v>
      </c>
      <c r="L37" t="n">
        <v>0</v>
      </c>
      <c r="M37" t="n">
        <v>0</v>
      </c>
      <c r="N37" t="n">
        <v>0</v>
      </c>
      <c r="O37" t="n">
        <v>0</v>
      </c>
      <c r="P37" t="n">
        <v>0</v>
      </c>
      <c r="Q37" t="n">
        <v>2</v>
      </c>
      <c r="R37" s="2" t="inlineStr">
        <is>
          <t>Hasselmus
Blåsippa</t>
        </is>
      </c>
      <c r="S37">
        <f>HYPERLINK("https://klasma.github.io/Logging_1880/artfynd/A 59519-2025 artfynd.xlsx", "A 59519-2025")</f>
        <v/>
      </c>
      <c r="T37">
        <f>HYPERLINK("https://klasma.github.io/Logging_1880/kartor/A 59519-2025 karta.png", "A 59519-2025")</f>
        <v/>
      </c>
      <c r="V37">
        <f>HYPERLINK("https://klasma.github.io/Logging_1880/klagomål/A 59519-2025 FSC-klagomål.docx", "A 59519-2025")</f>
        <v/>
      </c>
      <c r="W37">
        <f>HYPERLINK("https://klasma.github.io/Logging_1880/klagomålsmail/A 59519-2025 FSC-klagomål mail.docx", "A 59519-2025")</f>
        <v/>
      </c>
      <c r="X37">
        <f>HYPERLINK("https://klasma.github.io/Logging_1880/tillsyn/A 59519-2025 tillsynsbegäran.docx", "A 59519-2025")</f>
        <v/>
      </c>
      <c r="Y37">
        <f>HYPERLINK("https://klasma.github.io/Logging_1880/tillsynsmail/A 59519-2025 tillsynsbegäran mail.docx", "A 59519-2025")</f>
        <v/>
      </c>
    </row>
    <row r="38" ht="15" customHeight="1">
      <c r="A38" t="inlineStr">
        <is>
          <t>A 8267-2021</t>
        </is>
      </c>
      <c r="B38" s="1" t="n">
        <v>44244</v>
      </c>
      <c r="C38" s="1" t="n">
        <v>46010</v>
      </c>
      <c r="D38" t="inlineStr">
        <is>
          <t>ÖREBRO LÄN</t>
        </is>
      </c>
      <c r="E38" t="inlineStr">
        <is>
          <t>ÖREBRO</t>
        </is>
      </c>
      <c r="G38" t="n">
        <v>2.5</v>
      </c>
      <c r="H38" t="n">
        <v>1</v>
      </c>
      <c r="I38" t="n">
        <v>1</v>
      </c>
      <c r="J38" t="n">
        <v>0</v>
      </c>
      <c r="K38" t="n">
        <v>0</v>
      </c>
      <c r="L38" t="n">
        <v>0</v>
      </c>
      <c r="M38" t="n">
        <v>0</v>
      </c>
      <c r="N38" t="n">
        <v>0</v>
      </c>
      <c r="O38" t="n">
        <v>0</v>
      </c>
      <c r="P38" t="n">
        <v>0</v>
      </c>
      <c r="Q38" t="n">
        <v>2</v>
      </c>
      <c r="R38" s="2" t="inlineStr">
        <is>
          <t>Svart trolldruva
Blåsippa</t>
        </is>
      </c>
      <c r="S38">
        <f>HYPERLINK("https://klasma.github.io/Logging_1880/artfynd/A 8267-2021 artfynd.xlsx", "A 8267-2021")</f>
        <v/>
      </c>
      <c r="T38">
        <f>HYPERLINK("https://klasma.github.io/Logging_1880/kartor/A 8267-2021 karta.png", "A 8267-2021")</f>
        <v/>
      </c>
      <c r="V38">
        <f>HYPERLINK("https://klasma.github.io/Logging_1880/klagomål/A 8267-2021 FSC-klagomål.docx", "A 8267-2021")</f>
        <v/>
      </c>
      <c r="W38">
        <f>HYPERLINK("https://klasma.github.io/Logging_1880/klagomålsmail/A 8267-2021 FSC-klagomål mail.docx", "A 8267-2021")</f>
        <v/>
      </c>
      <c r="X38">
        <f>HYPERLINK("https://klasma.github.io/Logging_1880/tillsyn/A 8267-2021 tillsynsbegäran.docx", "A 8267-2021")</f>
        <v/>
      </c>
      <c r="Y38">
        <f>HYPERLINK("https://klasma.github.io/Logging_1880/tillsynsmail/A 8267-2021 tillsynsbegäran mail.docx", "A 8267-2021")</f>
        <v/>
      </c>
    </row>
    <row r="39" ht="15" customHeight="1">
      <c r="A39" t="inlineStr">
        <is>
          <t>A 51550-2025</t>
        </is>
      </c>
      <c r="B39" s="1" t="n">
        <v>45950.83359953704</v>
      </c>
      <c r="C39" s="1" t="n">
        <v>46010</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60557-2025</t>
        </is>
      </c>
      <c r="B40" s="1" t="n">
        <v>45995.74444444444</v>
      </c>
      <c r="C40" s="1" t="n">
        <v>46010</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13395-2024</t>
        </is>
      </c>
      <c r="B41" s="1" t="n">
        <v>45387.42296296296</v>
      </c>
      <c r="C41" s="1" t="n">
        <v>46010</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13458-2024</t>
        </is>
      </c>
      <c r="B42" s="1" t="n">
        <v>45387.54642361111</v>
      </c>
      <c r="C42" s="1" t="n">
        <v>46010</v>
      </c>
      <c r="D42" t="inlineStr">
        <is>
          <t>ÖREBRO LÄN</t>
        </is>
      </c>
      <c r="E42" t="inlineStr">
        <is>
          <t>ÖREBRO</t>
        </is>
      </c>
      <c r="G42" t="n">
        <v>1.8</v>
      </c>
      <c r="H42" t="n">
        <v>2</v>
      </c>
      <c r="I42" t="n">
        <v>0</v>
      </c>
      <c r="J42" t="n">
        <v>1</v>
      </c>
      <c r="K42" t="n">
        <v>0</v>
      </c>
      <c r="L42" t="n">
        <v>0</v>
      </c>
      <c r="M42" t="n">
        <v>0</v>
      </c>
      <c r="N42" t="n">
        <v>0</v>
      </c>
      <c r="O42" t="n">
        <v>1</v>
      </c>
      <c r="P42" t="n">
        <v>0</v>
      </c>
      <c r="Q42" t="n">
        <v>2</v>
      </c>
      <c r="R42" s="2" t="inlineStr">
        <is>
          <t>Havsörn
Göktyta</t>
        </is>
      </c>
      <c r="S42">
        <f>HYPERLINK("https://klasma.github.io/Logging_1880/artfynd/A 13458-2024 artfynd.xlsx", "A 13458-2024")</f>
        <v/>
      </c>
      <c r="T42">
        <f>HYPERLINK("https://klasma.github.io/Logging_1880/kartor/A 13458-2024 karta.png", "A 13458-2024")</f>
        <v/>
      </c>
      <c r="V42">
        <f>HYPERLINK("https://klasma.github.io/Logging_1880/klagomål/A 13458-2024 FSC-klagomål.docx", "A 13458-2024")</f>
        <v/>
      </c>
      <c r="W42">
        <f>HYPERLINK("https://klasma.github.io/Logging_1880/klagomålsmail/A 13458-2024 FSC-klagomål mail.docx", "A 13458-2024")</f>
        <v/>
      </c>
      <c r="X42">
        <f>HYPERLINK("https://klasma.github.io/Logging_1880/tillsyn/A 13458-2024 tillsynsbegäran.docx", "A 13458-2024")</f>
        <v/>
      </c>
      <c r="Y42">
        <f>HYPERLINK("https://klasma.github.io/Logging_1880/tillsynsmail/A 13458-2024 tillsynsbegäran mail.docx", "A 13458-2024")</f>
        <v/>
      </c>
      <c r="Z42">
        <f>HYPERLINK("https://klasma.github.io/Logging_1880/fåglar/A 13458-2024 prioriterade fågelarter.docx", "A 13458-2024")</f>
        <v/>
      </c>
    </row>
    <row r="43" ht="15" customHeight="1">
      <c r="A43" t="inlineStr">
        <is>
          <t>A 7608-2024</t>
        </is>
      </c>
      <c r="B43" s="1" t="n">
        <v>45348</v>
      </c>
      <c r="C43" s="1" t="n">
        <v>46010</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22577-2024</t>
        </is>
      </c>
      <c r="B44" s="1" t="n">
        <v>45447</v>
      </c>
      <c r="C44" s="1" t="n">
        <v>46010</v>
      </c>
      <c r="D44" t="inlineStr">
        <is>
          <t>ÖREBRO LÄN</t>
        </is>
      </c>
      <c r="E44" t="inlineStr">
        <is>
          <t>ÖREBRO</t>
        </is>
      </c>
      <c r="G44" t="n">
        <v>1.8</v>
      </c>
      <c r="H44" t="n">
        <v>1</v>
      </c>
      <c r="I44" t="n">
        <v>0</v>
      </c>
      <c r="J44" t="n">
        <v>2</v>
      </c>
      <c r="K44" t="n">
        <v>0</v>
      </c>
      <c r="L44" t="n">
        <v>0</v>
      </c>
      <c r="M44" t="n">
        <v>0</v>
      </c>
      <c r="N44" t="n">
        <v>0</v>
      </c>
      <c r="O44" t="n">
        <v>2</v>
      </c>
      <c r="P44" t="n">
        <v>0</v>
      </c>
      <c r="Q44" t="n">
        <v>2</v>
      </c>
      <c r="R44" s="2" t="inlineStr">
        <is>
          <t>Spillkråka
Ullticka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29704-2022</t>
        </is>
      </c>
      <c r="B45" s="1" t="n">
        <v>44755</v>
      </c>
      <c r="C45" s="1" t="n">
        <v>46010</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6926-2021</t>
        </is>
      </c>
      <c r="B46" s="1" t="n">
        <v>44237</v>
      </c>
      <c r="C46" s="1" t="n">
        <v>46010</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20032-2023</t>
        </is>
      </c>
      <c r="B47" s="1" t="n">
        <v>45054</v>
      </c>
      <c r="C47" s="1" t="n">
        <v>46010</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55904-2024</t>
        </is>
      </c>
      <c r="B48" s="1" t="n">
        <v>45623.58190972222</v>
      </c>
      <c r="C48" s="1" t="n">
        <v>46010</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46010</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15621-2021</t>
        </is>
      </c>
      <c r="B50" s="1" t="n">
        <v>44285</v>
      </c>
      <c r="C50" s="1" t="n">
        <v>46010</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4014-2021</t>
        </is>
      </c>
      <c r="B51" s="1" t="n">
        <v>44218</v>
      </c>
      <c r="C51" s="1" t="n">
        <v>46010</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44744-2024</t>
        </is>
      </c>
      <c r="B52" s="1" t="n">
        <v>45574.59789351852</v>
      </c>
      <c r="C52" s="1" t="n">
        <v>46010</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28936-2025</t>
        </is>
      </c>
      <c r="B53" s="1" t="n">
        <v>45820.69287037037</v>
      </c>
      <c r="C53" s="1" t="n">
        <v>46010</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32204-2025</t>
        </is>
      </c>
      <c r="B54" s="1" t="n">
        <v>45835.58074074074</v>
      </c>
      <c r="C54" s="1" t="n">
        <v>46010</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32226-2025</t>
        </is>
      </c>
      <c r="B55" s="1" t="n">
        <v>45835.59478009259</v>
      </c>
      <c r="C55" s="1" t="n">
        <v>46010</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26890-2022</t>
        </is>
      </c>
      <c r="B56" s="1" t="n">
        <v>44740</v>
      </c>
      <c r="C56" s="1" t="n">
        <v>46010</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43332-2022</t>
        </is>
      </c>
      <c r="B57" s="1" t="n">
        <v>44834</v>
      </c>
      <c r="C57" s="1" t="n">
        <v>46010</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44389-2021</t>
        </is>
      </c>
      <c r="B58" s="1" t="n">
        <v>44435</v>
      </c>
      <c r="C58" s="1" t="n">
        <v>46010</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50499-2025</t>
        </is>
      </c>
      <c r="B59" s="1" t="n">
        <v>45945.41712962963</v>
      </c>
      <c r="C59" s="1" t="n">
        <v>46010</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58838-2025</t>
        </is>
      </c>
      <c r="B60" s="1" t="n">
        <v>45987.35973379629</v>
      </c>
      <c r="C60" s="1" t="n">
        <v>46010</v>
      </c>
      <c r="D60" t="inlineStr">
        <is>
          <t>ÖREBRO LÄN</t>
        </is>
      </c>
      <c r="E60" t="inlineStr">
        <is>
          <t>ÖREBRO</t>
        </is>
      </c>
      <c r="G60" t="n">
        <v>1.7</v>
      </c>
      <c r="H60" t="n">
        <v>0</v>
      </c>
      <c r="I60" t="n">
        <v>1</v>
      </c>
      <c r="J60" t="n">
        <v>0</v>
      </c>
      <c r="K60" t="n">
        <v>0</v>
      </c>
      <c r="L60" t="n">
        <v>0</v>
      </c>
      <c r="M60" t="n">
        <v>0</v>
      </c>
      <c r="N60" t="n">
        <v>0</v>
      </c>
      <c r="O60" t="n">
        <v>0</v>
      </c>
      <c r="P60" t="n">
        <v>0</v>
      </c>
      <c r="Q60" t="n">
        <v>1</v>
      </c>
      <c r="R60" s="2" t="inlineStr">
        <is>
          <t>Grönpyrola</t>
        </is>
      </c>
      <c r="S60">
        <f>HYPERLINK("https://klasma.github.io/Logging_1880/artfynd/A 58838-2025 artfynd.xlsx", "A 58838-2025")</f>
        <v/>
      </c>
      <c r="T60">
        <f>HYPERLINK("https://klasma.github.io/Logging_1880/kartor/A 58838-2025 karta.png", "A 58838-2025")</f>
        <v/>
      </c>
      <c r="V60">
        <f>HYPERLINK("https://klasma.github.io/Logging_1880/klagomål/A 58838-2025 FSC-klagomål.docx", "A 58838-2025")</f>
        <v/>
      </c>
      <c r="W60">
        <f>HYPERLINK("https://klasma.github.io/Logging_1880/klagomålsmail/A 58838-2025 FSC-klagomål mail.docx", "A 58838-2025")</f>
        <v/>
      </c>
      <c r="X60">
        <f>HYPERLINK("https://klasma.github.io/Logging_1880/tillsyn/A 58838-2025 tillsynsbegäran.docx", "A 58838-2025")</f>
        <v/>
      </c>
      <c r="Y60">
        <f>HYPERLINK("https://klasma.github.io/Logging_1880/tillsynsmail/A 58838-2025 tillsynsbegäran mail.docx", "A 58838-2025")</f>
        <v/>
      </c>
    </row>
    <row r="61" ht="15" customHeight="1">
      <c r="A61" t="inlineStr">
        <is>
          <t>A 59516-2025</t>
        </is>
      </c>
      <c r="B61" s="1" t="n">
        <v>45989.65396990741</v>
      </c>
      <c r="C61" s="1" t="n">
        <v>46010</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2077-2023</t>
        </is>
      </c>
      <c r="B62" s="1" t="n">
        <v>44939</v>
      </c>
      <c r="C62" s="1" t="n">
        <v>46010</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46010</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31695-2024</t>
        </is>
      </c>
      <c r="B64" s="1" t="n">
        <v>45508</v>
      </c>
      <c r="C64" s="1" t="n">
        <v>46010</v>
      </c>
      <c r="D64" t="inlineStr">
        <is>
          <t>ÖREBRO LÄN</t>
        </is>
      </c>
      <c r="E64" t="inlineStr">
        <is>
          <t>ÖREBRO</t>
        </is>
      </c>
      <c r="G64" t="n">
        <v>1.3</v>
      </c>
      <c r="H64" t="n">
        <v>1</v>
      </c>
      <c r="I64" t="n">
        <v>1</v>
      </c>
      <c r="J64" t="n">
        <v>0</v>
      </c>
      <c r="K64" t="n">
        <v>0</v>
      </c>
      <c r="L64" t="n">
        <v>0</v>
      </c>
      <c r="M64" t="n">
        <v>0</v>
      </c>
      <c r="N64" t="n">
        <v>0</v>
      </c>
      <c r="O64" t="n">
        <v>0</v>
      </c>
      <c r="P64" t="n">
        <v>0</v>
      </c>
      <c r="Q64" t="n">
        <v>1</v>
      </c>
      <c r="R64" s="2" t="inlineStr">
        <is>
          <t>Skogsknipprot</t>
        </is>
      </c>
      <c r="S64">
        <f>HYPERLINK("https://klasma.github.io/Logging_1880/artfynd/A 31695-2024 artfynd.xlsx", "A 31695-2024")</f>
        <v/>
      </c>
      <c r="T64">
        <f>HYPERLINK("https://klasma.github.io/Logging_1880/kartor/A 31695-2024 karta.png", "A 31695-2024")</f>
        <v/>
      </c>
      <c r="V64">
        <f>HYPERLINK("https://klasma.github.io/Logging_1880/klagomål/A 31695-2024 FSC-klagomål.docx", "A 31695-2024")</f>
        <v/>
      </c>
      <c r="W64">
        <f>HYPERLINK("https://klasma.github.io/Logging_1880/klagomålsmail/A 31695-2024 FSC-klagomål mail.docx", "A 31695-2024")</f>
        <v/>
      </c>
      <c r="X64">
        <f>HYPERLINK("https://klasma.github.io/Logging_1880/tillsyn/A 31695-2024 tillsynsbegäran.docx", "A 31695-2024")</f>
        <v/>
      </c>
      <c r="Y64">
        <f>HYPERLINK("https://klasma.github.io/Logging_1880/tillsynsmail/A 31695-2024 tillsynsbegäran mail.docx", "A 31695-2024")</f>
        <v/>
      </c>
    </row>
    <row r="65" ht="15" customHeight="1">
      <c r="A65" t="inlineStr">
        <is>
          <t>A 5097-2023</t>
        </is>
      </c>
      <c r="B65" s="1" t="n">
        <v>44958</v>
      </c>
      <c r="C65" s="1" t="n">
        <v>46010</v>
      </c>
      <c r="D65" t="inlineStr">
        <is>
          <t>ÖREBRO LÄN</t>
        </is>
      </c>
      <c r="E65" t="inlineStr">
        <is>
          <t>ÖREBRO</t>
        </is>
      </c>
      <c r="G65" t="n">
        <v>3.6</v>
      </c>
      <c r="H65" t="n">
        <v>1</v>
      </c>
      <c r="I65" t="n">
        <v>0</v>
      </c>
      <c r="J65" t="n">
        <v>0</v>
      </c>
      <c r="K65" t="n">
        <v>0</v>
      </c>
      <c r="L65" t="n">
        <v>0</v>
      </c>
      <c r="M65" t="n">
        <v>0</v>
      </c>
      <c r="N65" t="n">
        <v>0</v>
      </c>
      <c r="O65" t="n">
        <v>0</v>
      </c>
      <c r="P65" t="n">
        <v>0</v>
      </c>
      <c r="Q65" t="n">
        <v>1</v>
      </c>
      <c r="R65" s="2" t="inlineStr">
        <is>
          <t>Grönvit nattviol</t>
        </is>
      </c>
      <c r="S65">
        <f>HYPERLINK("https://klasma.github.io/Logging_1880/artfynd/A 5097-2023 artfynd.xlsx", "A 5097-2023")</f>
        <v/>
      </c>
      <c r="T65">
        <f>HYPERLINK("https://klasma.github.io/Logging_1880/kartor/A 5097-2023 karta.png", "A 5097-2023")</f>
        <v/>
      </c>
      <c r="V65">
        <f>HYPERLINK("https://klasma.github.io/Logging_1880/klagomål/A 5097-2023 FSC-klagomål.docx", "A 5097-2023")</f>
        <v/>
      </c>
      <c r="W65">
        <f>HYPERLINK("https://klasma.github.io/Logging_1880/klagomålsmail/A 5097-2023 FSC-klagomål mail.docx", "A 5097-2023")</f>
        <v/>
      </c>
      <c r="X65">
        <f>HYPERLINK("https://klasma.github.io/Logging_1880/tillsyn/A 5097-2023 tillsynsbegäran.docx", "A 5097-2023")</f>
        <v/>
      </c>
      <c r="Y65">
        <f>HYPERLINK("https://klasma.github.io/Logging_1880/tillsynsmail/A 5097-2023 tillsynsbegäran mail.docx", "A 5097-2023")</f>
        <v/>
      </c>
    </row>
    <row r="66" ht="15" customHeight="1">
      <c r="A66" t="inlineStr">
        <is>
          <t>A 32105-2023</t>
        </is>
      </c>
      <c r="B66" s="1" t="n">
        <v>45119</v>
      </c>
      <c r="C66" s="1" t="n">
        <v>46010</v>
      </c>
      <c r="D66" t="inlineStr">
        <is>
          <t>ÖREBRO LÄN</t>
        </is>
      </c>
      <c r="E66" t="inlineStr">
        <is>
          <t>ÖREBRO</t>
        </is>
      </c>
      <c r="G66" t="n">
        <v>1.3</v>
      </c>
      <c r="H66" t="n">
        <v>1</v>
      </c>
      <c r="I66" t="n">
        <v>0</v>
      </c>
      <c r="J66" t="n">
        <v>1</v>
      </c>
      <c r="K66" t="n">
        <v>0</v>
      </c>
      <c r="L66" t="n">
        <v>0</v>
      </c>
      <c r="M66" t="n">
        <v>0</v>
      </c>
      <c r="N66" t="n">
        <v>0</v>
      </c>
      <c r="O66" t="n">
        <v>1</v>
      </c>
      <c r="P66" t="n">
        <v>0</v>
      </c>
      <c r="Q66" t="n">
        <v>1</v>
      </c>
      <c r="R66" s="2" t="inlineStr">
        <is>
          <t>Rödvingetrast</t>
        </is>
      </c>
      <c r="S66">
        <f>HYPERLINK("https://klasma.github.io/Logging_1880/artfynd/A 32105-2023 artfynd.xlsx", "A 32105-2023")</f>
        <v/>
      </c>
      <c r="T66">
        <f>HYPERLINK("https://klasma.github.io/Logging_1880/kartor/A 32105-2023 karta.png", "A 32105-2023")</f>
        <v/>
      </c>
      <c r="V66">
        <f>HYPERLINK("https://klasma.github.io/Logging_1880/klagomål/A 32105-2023 FSC-klagomål.docx", "A 32105-2023")</f>
        <v/>
      </c>
      <c r="W66">
        <f>HYPERLINK("https://klasma.github.io/Logging_1880/klagomålsmail/A 32105-2023 FSC-klagomål mail.docx", "A 32105-2023")</f>
        <v/>
      </c>
      <c r="X66">
        <f>HYPERLINK("https://klasma.github.io/Logging_1880/tillsyn/A 32105-2023 tillsynsbegäran.docx", "A 32105-2023")</f>
        <v/>
      </c>
      <c r="Y66">
        <f>HYPERLINK("https://klasma.github.io/Logging_1880/tillsynsmail/A 32105-2023 tillsynsbegäran mail.docx", "A 32105-2023")</f>
        <v/>
      </c>
      <c r="Z66">
        <f>HYPERLINK("https://klasma.github.io/Logging_1880/fåglar/A 32105-2023 prioriterade fågelarter.docx", "A 32105-2023")</f>
        <v/>
      </c>
    </row>
    <row r="67" ht="15" customHeight="1">
      <c r="A67" t="inlineStr">
        <is>
          <t>A 20247-2023</t>
        </is>
      </c>
      <c r="B67" s="1" t="n">
        <v>45055</v>
      </c>
      <c r="C67" s="1" t="n">
        <v>46010</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22604-2024</t>
        </is>
      </c>
      <c r="B68" s="1" t="n">
        <v>45447</v>
      </c>
      <c r="C68" s="1" t="n">
        <v>46010</v>
      </c>
      <c r="D68" t="inlineStr">
        <is>
          <t>ÖREBRO LÄN</t>
        </is>
      </c>
      <c r="E68" t="inlineStr">
        <is>
          <t>ÖREBRO</t>
        </is>
      </c>
      <c r="G68" t="n">
        <v>4.4</v>
      </c>
      <c r="H68" t="n">
        <v>0</v>
      </c>
      <c r="I68" t="n">
        <v>0</v>
      </c>
      <c r="J68" t="n">
        <v>1</v>
      </c>
      <c r="K68" t="n">
        <v>0</v>
      </c>
      <c r="L68" t="n">
        <v>0</v>
      </c>
      <c r="M68" t="n">
        <v>0</v>
      </c>
      <c r="N68" t="n">
        <v>0</v>
      </c>
      <c r="O68" t="n">
        <v>1</v>
      </c>
      <c r="P68" t="n">
        <v>0</v>
      </c>
      <c r="Q68" t="n">
        <v>1</v>
      </c>
      <c r="R68" s="2" t="inlineStr">
        <is>
          <t>Månlåsbräken</t>
        </is>
      </c>
      <c r="S68">
        <f>HYPERLINK("https://klasma.github.io/Logging_1880/artfynd/A 22604-2024 artfynd.xlsx", "A 22604-2024")</f>
        <v/>
      </c>
      <c r="T68">
        <f>HYPERLINK("https://klasma.github.io/Logging_1880/kartor/A 22604-2024 karta.png", "A 22604-2024")</f>
        <v/>
      </c>
      <c r="V68">
        <f>HYPERLINK("https://klasma.github.io/Logging_1880/klagomål/A 22604-2024 FSC-klagomål.docx", "A 22604-2024")</f>
        <v/>
      </c>
      <c r="W68">
        <f>HYPERLINK("https://klasma.github.io/Logging_1880/klagomålsmail/A 22604-2024 FSC-klagomål mail.docx", "A 22604-2024")</f>
        <v/>
      </c>
      <c r="X68">
        <f>HYPERLINK("https://klasma.github.io/Logging_1880/tillsyn/A 22604-2024 tillsynsbegäran.docx", "A 22604-2024")</f>
        <v/>
      </c>
      <c r="Y68">
        <f>HYPERLINK("https://klasma.github.io/Logging_1880/tillsynsmail/A 22604-2024 tillsynsbegäran mail.docx", "A 22604-2024")</f>
        <v/>
      </c>
    </row>
    <row r="69" ht="15" customHeight="1">
      <c r="A69" t="inlineStr">
        <is>
          <t>A 11501-2025</t>
        </is>
      </c>
      <c r="B69" s="1" t="n">
        <v>45726</v>
      </c>
      <c r="C69" s="1" t="n">
        <v>46010</v>
      </c>
      <c r="D69" t="inlineStr">
        <is>
          <t>ÖREBRO LÄN</t>
        </is>
      </c>
      <c r="E69" t="inlineStr">
        <is>
          <t>ÖREBRO</t>
        </is>
      </c>
      <c r="G69" t="n">
        <v>0.8</v>
      </c>
      <c r="H69" t="n">
        <v>1</v>
      </c>
      <c r="I69" t="n">
        <v>0</v>
      </c>
      <c r="J69" t="n">
        <v>0</v>
      </c>
      <c r="K69" t="n">
        <v>0</v>
      </c>
      <c r="L69" t="n">
        <v>0</v>
      </c>
      <c r="M69" t="n">
        <v>0</v>
      </c>
      <c r="N69" t="n">
        <v>0</v>
      </c>
      <c r="O69" t="n">
        <v>0</v>
      </c>
      <c r="P69" t="n">
        <v>0</v>
      </c>
      <c r="Q69" t="n">
        <v>1</v>
      </c>
      <c r="R69" s="2" t="inlineStr">
        <is>
          <t>Kopparödla</t>
        </is>
      </c>
      <c r="S69">
        <f>HYPERLINK("https://klasma.github.io/Logging_1880/artfynd/A 11501-2025 artfynd.xlsx", "A 11501-2025")</f>
        <v/>
      </c>
      <c r="T69">
        <f>HYPERLINK("https://klasma.github.io/Logging_1880/kartor/A 11501-2025 karta.png", "A 11501-2025")</f>
        <v/>
      </c>
      <c r="V69">
        <f>HYPERLINK("https://klasma.github.io/Logging_1880/klagomål/A 11501-2025 FSC-klagomål.docx", "A 11501-2025")</f>
        <v/>
      </c>
      <c r="W69">
        <f>HYPERLINK("https://klasma.github.io/Logging_1880/klagomålsmail/A 11501-2025 FSC-klagomål mail.docx", "A 11501-2025")</f>
        <v/>
      </c>
      <c r="X69">
        <f>HYPERLINK("https://klasma.github.io/Logging_1880/tillsyn/A 11501-2025 tillsynsbegäran.docx", "A 11501-2025")</f>
        <v/>
      </c>
      <c r="Y69">
        <f>HYPERLINK("https://klasma.github.io/Logging_1880/tillsynsmail/A 11501-2025 tillsynsbegäran mail.docx", "A 11501-2025")</f>
        <v/>
      </c>
    </row>
    <row r="70" ht="15" customHeight="1">
      <c r="A70" t="inlineStr">
        <is>
          <t>A 57920-2024</t>
        </is>
      </c>
      <c r="B70" s="1" t="n">
        <v>45631.50894675926</v>
      </c>
      <c r="C70" s="1" t="n">
        <v>46010</v>
      </c>
      <c r="D70" t="inlineStr">
        <is>
          <t>ÖREBRO LÄN</t>
        </is>
      </c>
      <c r="E70" t="inlineStr">
        <is>
          <t>ÖREBRO</t>
        </is>
      </c>
      <c r="G70" t="n">
        <v>2.3</v>
      </c>
      <c r="H70" t="n">
        <v>1</v>
      </c>
      <c r="I70" t="n">
        <v>0</v>
      </c>
      <c r="J70" t="n">
        <v>0</v>
      </c>
      <c r="K70" t="n">
        <v>0</v>
      </c>
      <c r="L70" t="n">
        <v>0</v>
      </c>
      <c r="M70" t="n">
        <v>0</v>
      </c>
      <c r="N70" t="n">
        <v>0</v>
      </c>
      <c r="O70" t="n">
        <v>0</v>
      </c>
      <c r="P70" t="n">
        <v>0</v>
      </c>
      <c r="Q70" t="n">
        <v>1</v>
      </c>
      <c r="R70" s="2" t="inlineStr">
        <is>
          <t>Kungsfågel</t>
        </is>
      </c>
      <c r="S70">
        <f>HYPERLINK("https://klasma.github.io/Logging_1880/artfynd/A 57920-2024 artfynd.xlsx", "A 57920-2024")</f>
        <v/>
      </c>
      <c r="T70">
        <f>HYPERLINK("https://klasma.github.io/Logging_1880/kartor/A 57920-2024 karta.png", "A 57920-2024")</f>
        <v/>
      </c>
      <c r="V70">
        <f>HYPERLINK("https://klasma.github.io/Logging_1880/klagomål/A 57920-2024 FSC-klagomål.docx", "A 57920-2024")</f>
        <v/>
      </c>
      <c r="W70">
        <f>HYPERLINK("https://klasma.github.io/Logging_1880/klagomålsmail/A 57920-2024 FSC-klagomål mail.docx", "A 57920-2024")</f>
        <v/>
      </c>
      <c r="X70">
        <f>HYPERLINK("https://klasma.github.io/Logging_1880/tillsyn/A 57920-2024 tillsynsbegäran.docx", "A 57920-2024")</f>
        <v/>
      </c>
      <c r="Y70">
        <f>HYPERLINK("https://klasma.github.io/Logging_1880/tillsynsmail/A 57920-2024 tillsynsbegäran mail.docx", "A 57920-2024")</f>
        <v/>
      </c>
      <c r="Z70">
        <f>HYPERLINK("https://klasma.github.io/Logging_1880/fåglar/A 57920-2024 prioriterade fågelarter.docx", "A 57920-2024")</f>
        <v/>
      </c>
    </row>
    <row r="71" ht="15" customHeight="1">
      <c r="A71" t="inlineStr">
        <is>
          <t>A 42636-2023</t>
        </is>
      </c>
      <c r="B71" s="1" t="n">
        <v>45181.49559027778</v>
      </c>
      <c r="C71" s="1" t="n">
        <v>46010</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9406-2021</t>
        </is>
      </c>
      <c r="B72" s="1" t="n">
        <v>44251</v>
      </c>
      <c r="C72" s="1" t="n">
        <v>46010</v>
      </c>
      <c r="D72" t="inlineStr">
        <is>
          <t>ÖREBRO LÄN</t>
        </is>
      </c>
      <c r="E72" t="inlineStr">
        <is>
          <t>ÖREBRO</t>
        </is>
      </c>
      <c r="G72" t="n">
        <v>6.1</v>
      </c>
      <c r="H72" t="n">
        <v>0</v>
      </c>
      <c r="I72" t="n">
        <v>0</v>
      </c>
      <c r="J72" t="n">
        <v>0</v>
      </c>
      <c r="K72" t="n">
        <v>0</v>
      </c>
      <c r="L72" t="n">
        <v>0</v>
      </c>
      <c r="M72" t="n">
        <v>0</v>
      </c>
      <c r="N72" t="n">
        <v>0</v>
      </c>
      <c r="O72" t="n">
        <v>0</v>
      </c>
      <c r="P72" t="n">
        <v>0</v>
      </c>
      <c r="Q72" t="n">
        <v>0</v>
      </c>
      <c r="R72" s="2" t="inlineStr"/>
    </row>
    <row r="73" ht="15" customHeight="1">
      <c r="A73" t="inlineStr">
        <is>
          <t>A 23606-2021</t>
        </is>
      </c>
      <c r="B73" s="1" t="n">
        <v>44334</v>
      </c>
      <c r="C73" s="1" t="n">
        <v>46010</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46010</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46010</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46010</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46010</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46010</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3081-2021</t>
        </is>
      </c>
      <c r="B79" s="1" t="n">
        <v>44216</v>
      </c>
      <c r="C79" s="1" t="n">
        <v>46010</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46010</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46010</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46010</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46010</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46010</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46010</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46010</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46010</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46010</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46010</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46010</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46010</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46010</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46010</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46010</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46010</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46010</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46010</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46010</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46010</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46010</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46010</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46010</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46010</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46010</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46010</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4021-2021</t>
        </is>
      </c>
      <c r="B106" s="1" t="n">
        <v>44218</v>
      </c>
      <c r="C106" s="1" t="n">
        <v>46010</v>
      </c>
      <c r="D106" t="inlineStr">
        <is>
          <t>ÖREBRO LÄN</t>
        </is>
      </c>
      <c r="E106" t="inlineStr">
        <is>
          <t>ÖREBRO</t>
        </is>
      </c>
      <c r="G106" t="n">
        <v>5.3</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46010</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46010</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26153-2021</t>
        </is>
      </c>
      <c r="B109" s="1" t="n">
        <v>44347</v>
      </c>
      <c r="C109" s="1" t="n">
        <v>46010</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51429-2021</t>
        </is>
      </c>
      <c r="B110" s="1" t="n">
        <v>44461.92744212963</v>
      </c>
      <c r="C110" s="1" t="n">
        <v>46010</v>
      </c>
      <c r="D110" t="inlineStr">
        <is>
          <t>ÖREBRO LÄN</t>
        </is>
      </c>
      <c r="E110" t="inlineStr">
        <is>
          <t>ÖREBRO</t>
        </is>
      </c>
      <c r="G110" t="n">
        <v>0.7</v>
      </c>
      <c r="H110" t="n">
        <v>0</v>
      </c>
      <c r="I110" t="n">
        <v>0</v>
      </c>
      <c r="J110" t="n">
        <v>0</v>
      </c>
      <c r="K110" t="n">
        <v>0</v>
      </c>
      <c r="L110" t="n">
        <v>0</v>
      </c>
      <c r="M110" t="n">
        <v>0</v>
      </c>
      <c r="N110" t="n">
        <v>0</v>
      </c>
      <c r="O110" t="n">
        <v>0</v>
      </c>
      <c r="P110" t="n">
        <v>0</v>
      </c>
      <c r="Q110" t="n">
        <v>0</v>
      </c>
      <c r="R110" s="2" t="inlineStr"/>
    </row>
    <row r="111" ht="15" customHeight="1">
      <c r="A111" t="inlineStr">
        <is>
          <t>A 24818-2021</t>
        </is>
      </c>
      <c r="B111" s="1" t="n">
        <v>44340</v>
      </c>
      <c r="C111" s="1" t="n">
        <v>46010</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797-2022</t>
        </is>
      </c>
      <c r="B112" s="1" t="n">
        <v>44566</v>
      </c>
      <c r="C112" s="1" t="n">
        <v>46010</v>
      </c>
      <c r="D112" t="inlineStr">
        <is>
          <t>ÖREBRO LÄN</t>
        </is>
      </c>
      <c r="E112" t="inlineStr">
        <is>
          <t>ÖREBRO</t>
        </is>
      </c>
      <c r="G112" t="n">
        <v>0.1</v>
      </c>
      <c r="H112" t="n">
        <v>0</v>
      </c>
      <c r="I112" t="n">
        <v>0</v>
      </c>
      <c r="J112" t="n">
        <v>0</v>
      </c>
      <c r="K112" t="n">
        <v>0</v>
      </c>
      <c r="L112" t="n">
        <v>0</v>
      </c>
      <c r="M112" t="n">
        <v>0</v>
      </c>
      <c r="N112" t="n">
        <v>0</v>
      </c>
      <c r="O112" t="n">
        <v>0</v>
      </c>
      <c r="P112" t="n">
        <v>0</v>
      </c>
      <c r="Q112" t="n">
        <v>0</v>
      </c>
      <c r="R112" s="2" t="inlineStr"/>
    </row>
    <row r="113" ht="15" customHeight="1">
      <c r="A113" t="inlineStr">
        <is>
          <t>A 35836-2021</t>
        </is>
      </c>
      <c r="B113" s="1" t="n">
        <v>44386</v>
      </c>
      <c r="C113" s="1" t="n">
        <v>46010</v>
      </c>
      <c r="D113" t="inlineStr">
        <is>
          <t>ÖREBRO LÄN</t>
        </is>
      </c>
      <c r="E113" t="inlineStr">
        <is>
          <t>ÖREBRO</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46010</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46010</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46010</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46010</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46010</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21567-2022</t>
        </is>
      </c>
      <c r="B119" s="1" t="n">
        <v>44706</v>
      </c>
      <c r="C119" s="1" t="n">
        <v>46010</v>
      </c>
      <c r="D119" t="inlineStr">
        <is>
          <t>ÖREBRO LÄN</t>
        </is>
      </c>
      <c r="E119" t="inlineStr">
        <is>
          <t>ÖREBRO</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58138-2021</t>
        </is>
      </c>
      <c r="B120" s="1" t="n">
        <v>44487</v>
      </c>
      <c r="C120" s="1" t="n">
        <v>46010</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16258-2022</t>
        </is>
      </c>
      <c r="B121" s="1" t="n">
        <v>44670</v>
      </c>
      <c r="C121" s="1" t="n">
        <v>46010</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7117-2021</t>
        </is>
      </c>
      <c r="B122" s="1" t="n">
        <v>44238</v>
      </c>
      <c r="C122" s="1" t="n">
        <v>46010</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63247-2021</t>
        </is>
      </c>
      <c r="B123" s="1" t="n">
        <v>44505</v>
      </c>
      <c r="C123" s="1" t="n">
        <v>46010</v>
      </c>
      <c r="D123" t="inlineStr">
        <is>
          <t>ÖREBRO LÄN</t>
        </is>
      </c>
      <c r="E123" t="inlineStr">
        <is>
          <t>ÖREBRO</t>
        </is>
      </c>
      <c r="G123" t="n">
        <v>1.5</v>
      </c>
      <c r="H123" t="n">
        <v>0</v>
      </c>
      <c r="I123" t="n">
        <v>0</v>
      </c>
      <c r="J123" t="n">
        <v>0</v>
      </c>
      <c r="K123" t="n">
        <v>0</v>
      </c>
      <c r="L123" t="n">
        <v>0</v>
      </c>
      <c r="M123" t="n">
        <v>0</v>
      </c>
      <c r="N123" t="n">
        <v>0</v>
      </c>
      <c r="O123" t="n">
        <v>0</v>
      </c>
      <c r="P123" t="n">
        <v>0</v>
      </c>
      <c r="Q123" t="n">
        <v>0</v>
      </c>
      <c r="R123" s="2" t="inlineStr"/>
    </row>
    <row r="124" ht="15" customHeight="1">
      <c r="A124" t="inlineStr">
        <is>
          <t>A 6638-2022</t>
        </is>
      </c>
      <c r="B124" s="1" t="n">
        <v>44601</v>
      </c>
      <c r="C124" s="1" t="n">
        <v>46010</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30760-2022</t>
        </is>
      </c>
      <c r="B125" s="1" t="n">
        <v>44764.51827546296</v>
      </c>
      <c r="C125" s="1" t="n">
        <v>46010</v>
      </c>
      <c r="D125" t="inlineStr">
        <is>
          <t>ÖREBRO LÄN</t>
        </is>
      </c>
      <c r="E125" t="inlineStr">
        <is>
          <t>ÖREBRO</t>
        </is>
      </c>
      <c r="G125" t="n">
        <v>4</v>
      </c>
      <c r="H125" t="n">
        <v>0</v>
      </c>
      <c r="I125" t="n">
        <v>0</v>
      </c>
      <c r="J125" t="n">
        <v>0</v>
      </c>
      <c r="K125" t="n">
        <v>0</v>
      </c>
      <c r="L125" t="n">
        <v>0</v>
      </c>
      <c r="M125" t="n">
        <v>0</v>
      </c>
      <c r="N125" t="n">
        <v>0</v>
      </c>
      <c r="O125" t="n">
        <v>0</v>
      </c>
      <c r="P125" t="n">
        <v>0</v>
      </c>
      <c r="Q125" t="n">
        <v>0</v>
      </c>
      <c r="R125" s="2" t="inlineStr"/>
    </row>
    <row r="126" ht="15" customHeight="1">
      <c r="A126" t="inlineStr">
        <is>
          <t>A 29490-2022</t>
        </is>
      </c>
      <c r="B126" s="1" t="n">
        <v>44753</v>
      </c>
      <c r="C126" s="1" t="n">
        <v>46010</v>
      </c>
      <c r="D126" t="inlineStr">
        <is>
          <t>ÖREBRO LÄN</t>
        </is>
      </c>
      <c r="E126" t="inlineStr">
        <is>
          <t>ÖREBRO</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37395-2021</t>
        </is>
      </c>
      <c r="B127" s="1" t="n">
        <v>44398</v>
      </c>
      <c r="C127" s="1" t="n">
        <v>46010</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66936-2021</t>
        </is>
      </c>
      <c r="B128" s="1" t="n">
        <v>44522.56349537037</v>
      </c>
      <c r="C128" s="1" t="n">
        <v>46010</v>
      </c>
      <c r="D128" t="inlineStr">
        <is>
          <t>ÖREBRO LÄN</t>
        </is>
      </c>
      <c r="E128" t="inlineStr">
        <is>
          <t>ÖREBRO</t>
        </is>
      </c>
      <c r="G128" t="n">
        <v>6.8</v>
      </c>
      <c r="H128" t="n">
        <v>0</v>
      </c>
      <c r="I128" t="n">
        <v>0</v>
      </c>
      <c r="J128" t="n">
        <v>0</v>
      </c>
      <c r="K128" t="n">
        <v>0</v>
      </c>
      <c r="L128" t="n">
        <v>0</v>
      </c>
      <c r="M128" t="n">
        <v>0</v>
      </c>
      <c r="N128" t="n">
        <v>0</v>
      </c>
      <c r="O128" t="n">
        <v>0</v>
      </c>
      <c r="P128" t="n">
        <v>0</v>
      </c>
      <c r="Q128" t="n">
        <v>0</v>
      </c>
      <c r="R128" s="2" t="inlineStr"/>
    </row>
    <row r="129" ht="15" customHeight="1">
      <c r="A129" t="inlineStr">
        <is>
          <t>A 44131-2022</t>
        </is>
      </c>
      <c r="B129" s="1" t="n">
        <v>44839</v>
      </c>
      <c r="C129" s="1" t="n">
        <v>46010</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18321-2022</t>
        </is>
      </c>
      <c r="B130" s="1" t="n">
        <v>44685</v>
      </c>
      <c r="C130" s="1" t="n">
        <v>46010</v>
      </c>
      <c r="D130" t="inlineStr">
        <is>
          <t>ÖREBRO LÄN</t>
        </is>
      </c>
      <c r="E130" t="inlineStr">
        <is>
          <t>ÖREBRO</t>
        </is>
      </c>
      <c r="G130" t="n">
        <v>2.1</v>
      </c>
      <c r="H130" t="n">
        <v>0</v>
      </c>
      <c r="I130" t="n">
        <v>0</v>
      </c>
      <c r="J130" t="n">
        <v>0</v>
      </c>
      <c r="K130" t="n">
        <v>0</v>
      </c>
      <c r="L130" t="n">
        <v>0</v>
      </c>
      <c r="M130" t="n">
        <v>0</v>
      </c>
      <c r="N130" t="n">
        <v>0</v>
      </c>
      <c r="O130" t="n">
        <v>0</v>
      </c>
      <c r="P130" t="n">
        <v>0</v>
      </c>
      <c r="Q130" t="n">
        <v>0</v>
      </c>
      <c r="R130" s="2" t="inlineStr"/>
    </row>
    <row r="131" ht="15" customHeight="1">
      <c r="A131" t="inlineStr">
        <is>
          <t>A 3087-2021</t>
        </is>
      </c>
      <c r="B131" s="1" t="n">
        <v>44216</v>
      </c>
      <c r="C131" s="1" t="n">
        <v>46010</v>
      </c>
      <c r="D131" t="inlineStr">
        <is>
          <t>ÖREBRO LÄN</t>
        </is>
      </c>
      <c r="E131" t="inlineStr">
        <is>
          <t>ÖREBRO</t>
        </is>
      </c>
      <c r="G131" t="n">
        <v>0.6</v>
      </c>
      <c r="H131" t="n">
        <v>0</v>
      </c>
      <c r="I131" t="n">
        <v>0</v>
      </c>
      <c r="J131" t="n">
        <v>0</v>
      </c>
      <c r="K131" t="n">
        <v>0</v>
      </c>
      <c r="L131" t="n">
        <v>0</v>
      </c>
      <c r="M131" t="n">
        <v>0</v>
      </c>
      <c r="N131" t="n">
        <v>0</v>
      </c>
      <c r="O131" t="n">
        <v>0</v>
      </c>
      <c r="P131" t="n">
        <v>0</v>
      </c>
      <c r="Q131" t="n">
        <v>0</v>
      </c>
      <c r="R131" s="2" t="inlineStr"/>
    </row>
    <row r="132" ht="15" customHeight="1">
      <c r="A132" t="inlineStr">
        <is>
          <t>A 32231-2022</t>
        </is>
      </c>
      <c r="B132" s="1" t="n">
        <v>44781</v>
      </c>
      <c r="C132" s="1" t="n">
        <v>46010</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32247-2022</t>
        </is>
      </c>
      <c r="B133" s="1" t="n">
        <v>44781</v>
      </c>
      <c r="C133" s="1" t="n">
        <v>46010</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41553-2022</t>
        </is>
      </c>
      <c r="B134" s="1" t="n">
        <v>44827.3940625</v>
      </c>
      <c r="C134" s="1" t="n">
        <v>46010</v>
      </c>
      <c r="D134" t="inlineStr">
        <is>
          <t>ÖREBRO LÄN</t>
        </is>
      </c>
      <c r="E134" t="inlineStr">
        <is>
          <t>ÖREBRO</t>
        </is>
      </c>
      <c r="G134" t="n">
        <v>3.7</v>
      </c>
      <c r="H134" t="n">
        <v>0</v>
      </c>
      <c r="I134" t="n">
        <v>0</v>
      </c>
      <c r="J134" t="n">
        <v>0</v>
      </c>
      <c r="K134" t="n">
        <v>0</v>
      </c>
      <c r="L134" t="n">
        <v>0</v>
      </c>
      <c r="M134" t="n">
        <v>0</v>
      </c>
      <c r="N134" t="n">
        <v>0</v>
      </c>
      <c r="O134" t="n">
        <v>0</v>
      </c>
      <c r="P134" t="n">
        <v>0</v>
      </c>
      <c r="Q134" t="n">
        <v>0</v>
      </c>
      <c r="R134" s="2" t="inlineStr"/>
    </row>
    <row r="135" ht="15" customHeight="1">
      <c r="A135" t="inlineStr">
        <is>
          <t>A 14562-2022</t>
        </is>
      </c>
      <c r="B135" s="1" t="n">
        <v>44655</v>
      </c>
      <c r="C135" s="1" t="n">
        <v>46010</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46010</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13631-2022</t>
        </is>
      </c>
      <c r="B137" s="1" t="n">
        <v>44648</v>
      </c>
      <c r="C137" s="1" t="n">
        <v>46010</v>
      </c>
      <c r="D137" t="inlineStr">
        <is>
          <t>ÖREBRO LÄN</t>
        </is>
      </c>
      <c r="E137" t="inlineStr">
        <is>
          <t>ÖREBRO</t>
        </is>
      </c>
      <c r="G137" t="n">
        <v>10.4</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46010</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57343-2021</t>
        </is>
      </c>
      <c r="B139" s="1" t="n">
        <v>44482</v>
      </c>
      <c r="C139" s="1" t="n">
        <v>46010</v>
      </c>
      <c r="D139" t="inlineStr">
        <is>
          <t>ÖREBRO LÄN</t>
        </is>
      </c>
      <c r="E139" t="inlineStr">
        <is>
          <t>ÖREBRO</t>
        </is>
      </c>
      <c r="G139" t="n">
        <v>3.3</v>
      </c>
      <c r="H139" t="n">
        <v>0</v>
      </c>
      <c r="I139" t="n">
        <v>0</v>
      </c>
      <c r="J139" t="n">
        <v>0</v>
      </c>
      <c r="K139" t="n">
        <v>0</v>
      </c>
      <c r="L139" t="n">
        <v>0</v>
      </c>
      <c r="M139" t="n">
        <v>0</v>
      </c>
      <c r="N139" t="n">
        <v>0</v>
      </c>
      <c r="O139" t="n">
        <v>0</v>
      </c>
      <c r="P139" t="n">
        <v>0</v>
      </c>
      <c r="Q139" t="n">
        <v>0</v>
      </c>
      <c r="R139" s="2" t="inlineStr"/>
    </row>
    <row r="140" ht="15" customHeight="1">
      <c r="A140" t="inlineStr">
        <is>
          <t>A 26118-2021</t>
        </is>
      </c>
      <c r="B140" s="1" t="n">
        <v>44345</v>
      </c>
      <c r="C140" s="1" t="n">
        <v>46010</v>
      </c>
      <c r="D140" t="inlineStr">
        <is>
          <t>ÖREBRO LÄN</t>
        </is>
      </c>
      <c r="E140" t="inlineStr">
        <is>
          <t>ÖREBRO</t>
        </is>
      </c>
      <c r="G140" t="n">
        <v>2.2</v>
      </c>
      <c r="H140" t="n">
        <v>0</v>
      </c>
      <c r="I140" t="n">
        <v>0</v>
      </c>
      <c r="J140" t="n">
        <v>0</v>
      </c>
      <c r="K140" t="n">
        <v>0</v>
      </c>
      <c r="L140" t="n">
        <v>0</v>
      </c>
      <c r="M140" t="n">
        <v>0</v>
      </c>
      <c r="N140" t="n">
        <v>0</v>
      </c>
      <c r="O140" t="n">
        <v>0</v>
      </c>
      <c r="P140" t="n">
        <v>0</v>
      </c>
      <c r="Q140" t="n">
        <v>0</v>
      </c>
      <c r="R140" s="2" t="inlineStr"/>
    </row>
    <row r="141" ht="15" customHeight="1">
      <c r="A141" t="inlineStr">
        <is>
          <t>A 26119-2021</t>
        </is>
      </c>
      <c r="B141" s="1" t="n">
        <v>44345.33282407407</v>
      </c>
      <c r="C141" s="1" t="n">
        <v>46010</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69613-2020</t>
        </is>
      </c>
      <c r="B142" s="1" t="n">
        <v>44195</v>
      </c>
      <c r="C142" s="1" t="n">
        <v>46010</v>
      </c>
      <c r="D142" t="inlineStr">
        <is>
          <t>ÖREBRO LÄN</t>
        </is>
      </c>
      <c r="E142" t="inlineStr">
        <is>
          <t>ÖREBRO</t>
        </is>
      </c>
      <c r="G142" t="n">
        <v>4.7</v>
      </c>
      <c r="H142" t="n">
        <v>0</v>
      </c>
      <c r="I142" t="n">
        <v>0</v>
      </c>
      <c r="J142" t="n">
        <v>0</v>
      </c>
      <c r="K142" t="n">
        <v>0</v>
      </c>
      <c r="L142" t="n">
        <v>0</v>
      </c>
      <c r="M142" t="n">
        <v>0</v>
      </c>
      <c r="N142" t="n">
        <v>0</v>
      </c>
      <c r="O142" t="n">
        <v>0</v>
      </c>
      <c r="P142" t="n">
        <v>0</v>
      </c>
      <c r="Q142" t="n">
        <v>0</v>
      </c>
      <c r="R142" s="2" t="inlineStr"/>
    </row>
    <row r="143" ht="15" customHeight="1">
      <c r="A143" t="inlineStr">
        <is>
          <t>A 19468-2021</t>
        </is>
      </c>
      <c r="B143" s="1" t="n">
        <v>44311</v>
      </c>
      <c r="C143" s="1" t="n">
        <v>46010</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9362-2022</t>
        </is>
      </c>
      <c r="B144" s="1" t="n">
        <v>44616.59946759259</v>
      </c>
      <c r="C144" s="1" t="n">
        <v>46010</v>
      </c>
      <c r="D144" t="inlineStr">
        <is>
          <t>ÖREBRO LÄN</t>
        </is>
      </c>
      <c r="E144" t="inlineStr">
        <is>
          <t>ÖREBRO</t>
        </is>
      </c>
      <c r="G144" t="n">
        <v>1.3</v>
      </c>
      <c r="H144" t="n">
        <v>0</v>
      </c>
      <c r="I144" t="n">
        <v>0</v>
      </c>
      <c r="J144" t="n">
        <v>0</v>
      </c>
      <c r="K144" t="n">
        <v>0</v>
      </c>
      <c r="L144" t="n">
        <v>0</v>
      </c>
      <c r="M144" t="n">
        <v>0</v>
      </c>
      <c r="N144" t="n">
        <v>0</v>
      </c>
      <c r="O144" t="n">
        <v>0</v>
      </c>
      <c r="P144" t="n">
        <v>0</v>
      </c>
      <c r="Q144" t="n">
        <v>0</v>
      </c>
      <c r="R144" s="2" t="inlineStr"/>
    </row>
    <row r="145" ht="15" customHeight="1">
      <c r="A145" t="inlineStr">
        <is>
          <t>A 16261-2022</t>
        </is>
      </c>
      <c r="B145" s="1" t="n">
        <v>44670</v>
      </c>
      <c r="C145" s="1" t="n">
        <v>46010</v>
      </c>
      <c r="D145" t="inlineStr">
        <is>
          <t>ÖREBRO LÄN</t>
        </is>
      </c>
      <c r="E145" t="inlineStr">
        <is>
          <t>ÖREBRO</t>
        </is>
      </c>
      <c r="G145" t="n">
        <v>1.2</v>
      </c>
      <c r="H145" t="n">
        <v>0</v>
      </c>
      <c r="I145" t="n">
        <v>0</v>
      </c>
      <c r="J145" t="n">
        <v>0</v>
      </c>
      <c r="K145" t="n">
        <v>0</v>
      </c>
      <c r="L145" t="n">
        <v>0</v>
      </c>
      <c r="M145" t="n">
        <v>0</v>
      </c>
      <c r="N145" t="n">
        <v>0</v>
      </c>
      <c r="O145" t="n">
        <v>0</v>
      </c>
      <c r="P145" t="n">
        <v>0</v>
      </c>
      <c r="Q145" t="n">
        <v>0</v>
      </c>
      <c r="R145" s="2" t="inlineStr"/>
    </row>
    <row r="146" ht="15" customHeight="1">
      <c r="A146" t="inlineStr">
        <is>
          <t>A 44165-2022</t>
        </is>
      </c>
      <c r="B146" s="1" t="n">
        <v>44839</v>
      </c>
      <c r="C146" s="1" t="n">
        <v>46010</v>
      </c>
      <c r="D146" t="inlineStr">
        <is>
          <t>ÖREBRO LÄN</t>
        </is>
      </c>
      <c r="E146" t="inlineStr">
        <is>
          <t>ÖREBRO</t>
        </is>
      </c>
      <c r="G146" t="n">
        <v>0.5</v>
      </c>
      <c r="H146" t="n">
        <v>0</v>
      </c>
      <c r="I146" t="n">
        <v>0</v>
      </c>
      <c r="J146" t="n">
        <v>0</v>
      </c>
      <c r="K146" t="n">
        <v>0</v>
      </c>
      <c r="L146" t="n">
        <v>0</v>
      </c>
      <c r="M146" t="n">
        <v>0</v>
      </c>
      <c r="N146" t="n">
        <v>0</v>
      </c>
      <c r="O146" t="n">
        <v>0</v>
      </c>
      <c r="P146" t="n">
        <v>0</v>
      </c>
      <c r="Q146" t="n">
        <v>0</v>
      </c>
      <c r="R146" s="2" t="inlineStr"/>
    </row>
    <row r="147" ht="15" customHeight="1">
      <c r="A147" t="inlineStr">
        <is>
          <t>A 61232-2021</t>
        </is>
      </c>
      <c r="B147" s="1" t="n">
        <v>44498</v>
      </c>
      <c r="C147" s="1" t="n">
        <v>46010</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57498-2021</t>
        </is>
      </c>
      <c r="B148" s="1" t="n">
        <v>44483</v>
      </c>
      <c r="C148" s="1" t="n">
        <v>46010</v>
      </c>
      <c r="D148" t="inlineStr">
        <is>
          <t>ÖREBRO LÄN</t>
        </is>
      </c>
      <c r="E148" t="inlineStr">
        <is>
          <t>ÖREBRO</t>
        </is>
      </c>
      <c r="F148" t="inlineStr">
        <is>
          <t>Övriga Aktiebolag</t>
        </is>
      </c>
      <c r="G148" t="n">
        <v>2.7</v>
      </c>
      <c r="H148" t="n">
        <v>0</v>
      </c>
      <c r="I148" t="n">
        <v>0</v>
      </c>
      <c r="J148" t="n">
        <v>0</v>
      </c>
      <c r="K148" t="n">
        <v>0</v>
      </c>
      <c r="L148" t="n">
        <v>0</v>
      </c>
      <c r="M148" t="n">
        <v>0</v>
      </c>
      <c r="N148" t="n">
        <v>0</v>
      </c>
      <c r="O148" t="n">
        <v>0</v>
      </c>
      <c r="P148" t="n">
        <v>0</v>
      </c>
      <c r="Q148" t="n">
        <v>0</v>
      </c>
      <c r="R148" s="2" t="inlineStr"/>
    </row>
    <row r="149" ht="15" customHeight="1">
      <c r="A149" t="inlineStr">
        <is>
          <t>A 51268-2022</t>
        </is>
      </c>
      <c r="B149" s="1" t="n">
        <v>44868</v>
      </c>
      <c r="C149" s="1" t="n">
        <v>46010</v>
      </c>
      <c r="D149" t="inlineStr">
        <is>
          <t>ÖREBRO LÄN</t>
        </is>
      </c>
      <c r="E149" t="inlineStr">
        <is>
          <t>ÖREBRO</t>
        </is>
      </c>
      <c r="G149" t="n">
        <v>3.8</v>
      </c>
      <c r="H149" t="n">
        <v>0</v>
      </c>
      <c r="I149" t="n">
        <v>0</v>
      </c>
      <c r="J149" t="n">
        <v>0</v>
      </c>
      <c r="K149" t="n">
        <v>0</v>
      </c>
      <c r="L149" t="n">
        <v>0</v>
      </c>
      <c r="M149" t="n">
        <v>0</v>
      </c>
      <c r="N149" t="n">
        <v>0</v>
      </c>
      <c r="O149" t="n">
        <v>0</v>
      </c>
      <c r="P149" t="n">
        <v>0</v>
      </c>
      <c r="Q149" t="n">
        <v>0</v>
      </c>
      <c r="R149" s="2" t="inlineStr"/>
    </row>
    <row r="150" ht="15" customHeight="1">
      <c r="A150" t="inlineStr">
        <is>
          <t>A 18047-2022</t>
        </is>
      </c>
      <c r="B150" s="1" t="n">
        <v>44684</v>
      </c>
      <c r="C150" s="1" t="n">
        <v>46010</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26509-2021</t>
        </is>
      </c>
      <c r="B151" s="1" t="n">
        <v>44348.45107638889</v>
      </c>
      <c r="C151" s="1" t="n">
        <v>46010</v>
      </c>
      <c r="D151" t="inlineStr">
        <is>
          <t>ÖREBRO LÄN</t>
        </is>
      </c>
      <c r="E151" t="inlineStr">
        <is>
          <t>ÖREBRO</t>
        </is>
      </c>
      <c r="G151" t="n">
        <v>2.5</v>
      </c>
      <c r="H151" t="n">
        <v>0</v>
      </c>
      <c r="I151" t="n">
        <v>0</v>
      </c>
      <c r="J151" t="n">
        <v>0</v>
      </c>
      <c r="K151" t="n">
        <v>0</v>
      </c>
      <c r="L151" t="n">
        <v>0</v>
      </c>
      <c r="M151" t="n">
        <v>0</v>
      </c>
      <c r="N151" t="n">
        <v>0</v>
      </c>
      <c r="O151" t="n">
        <v>0</v>
      </c>
      <c r="P151" t="n">
        <v>0</v>
      </c>
      <c r="Q151" t="n">
        <v>0</v>
      </c>
      <c r="R151" s="2" t="inlineStr"/>
    </row>
    <row r="152" ht="15" customHeight="1">
      <c r="A152" t="inlineStr">
        <is>
          <t>A 4766-2022</t>
        </is>
      </c>
      <c r="B152" s="1" t="n">
        <v>44592</v>
      </c>
      <c r="C152" s="1" t="n">
        <v>46010</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40312-2021</t>
        </is>
      </c>
      <c r="B153" s="1" t="n">
        <v>44419</v>
      </c>
      <c r="C153" s="1" t="n">
        <v>46010</v>
      </c>
      <c r="D153" t="inlineStr">
        <is>
          <t>ÖREBRO LÄN</t>
        </is>
      </c>
      <c r="E153" t="inlineStr">
        <is>
          <t>ÖREBRO</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12478-2022</t>
        </is>
      </c>
      <c r="B154" s="1" t="n">
        <v>44638</v>
      </c>
      <c r="C154" s="1" t="n">
        <v>46010</v>
      </c>
      <c r="D154" t="inlineStr">
        <is>
          <t>ÖREBRO LÄN</t>
        </is>
      </c>
      <c r="E154" t="inlineStr">
        <is>
          <t>ÖREBRO</t>
        </is>
      </c>
      <c r="F154" t="inlineStr">
        <is>
          <t>Kyrkan</t>
        </is>
      </c>
      <c r="G154" t="n">
        <v>1.4</v>
      </c>
      <c r="H154" t="n">
        <v>0</v>
      </c>
      <c r="I154" t="n">
        <v>0</v>
      </c>
      <c r="J154" t="n">
        <v>0</v>
      </c>
      <c r="K154" t="n">
        <v>0</v>
      </c>
      <c r="L154" t="n">
        <v>0</v>
      </c>
      <c r="M154" t="n">
        <v>0</v>
      </c>
      <c r="N154" t="n">
        <v>0</v>
      </c>
      <c r="O154" t="n">
        <v>0</v>
      </c>
      <c r="P154" t="n">
        <v>0</v>
      </c>
      <c r="Q154" t="n">
        <v>0</v>
      </c>
      <c r="R154" s="2" t="inlineStr"/>
    </row>
    <row r="155" ht="15" customHeight="1">
      <c r="A155" t="inlineStr">
        <is>
          <t>A 5401-2022</t>
        </is>
      </c>
      <c r="B155" s="1" t="n">
        <v>44595</v>
      </c>
      <c r="C155" s="1" t="n">
        <v>46010</v>
      </c>
      <c r="D155" t="inlineStr">
        <is>
          <t>ÖREBRO LÄN</t>
        </is>
      </c>
      <c r="E155" t="inlineStr">
        <is>
          <t>ÖREBRO</t>
        </is>
      </c>
      <c r="G155" t="n">
        <v>2.3</v>
      </c>
      <c r="H155" t="n">
        <v>0</v>
      </c>
      <c r="I155" t="n">
        <v>0</v>
      </c>
      <c r="J155" t="n">
        <v>0</v>
      </c>
      <c r="K155" t="n">
        <v>0</v>
      </c>
      <c r="L155" t="n">
        <v>0</v>
      </c>
      <c r="M155" t="n">
        <v>0</v>
      </c>
      <c r="N155" t="n">
        <v>0</v>
      </c>
      <c r="O155" t="n">
        <v>0</v>
      </c>
      <c r="P155" t="n">
        <v>0</v>
      </c>
      <c r="Q155" t="n">
        <v>0</v>
      </c>
      <c r="R155" s="2" t="inlineStr"/>
    </row>
    <row r="156" ht="15" customHeight="1">
      <c r="A156" t="inlineStr">
        <is>
          <t>A 46757-2021</t>
        </is>
      </c>
      <c r="B156" s="1" t="n">
        <v>44445</v>
      </c>
      <c r="C156" s="1" t="n">
        <v>46010</v>
      </c>
      <c r="D156" t="inlineStr">
        <is>
          <t>ÖREBRO LÄN</t>
        </is>
      </c>
      <c r="E156" t="inlineStr">
        <is>
          <t>ÖREBRO</t>
        </is>
      </c>
      <c r="G156" t="n">
        <v>5.6</v>
      </c>
      <c r="H156" t="n">
        <v>0</v>
      </c>
      <c r="I156" t="n">
        <v>0</v>
      </c>
      <c r="J156" t="n">
        <v>0</v>
      </c>
      <c r="K156" t="n">
        <v>0</v>
      </c>
      <c r="L156" t="n">
        <v>0</v>
      </c>
      <c r="M156" t="n">
        <v>0</v>
      </c>
      <c r="N156" t="n">
        <v>0</v>
      </c>
      <c r="O156" t="n">
        <v>0</v>
      </c>
      <c r="P156" t="n">
        <v>0</v>
      </c>
      <c r="Q156" t="n">
        <v>0</v>
      </c>
      <c r="R156" s="2" t="inlineStr"/>
    </row>
    <row r="157" ht="15" customHeight="1">
      <c r="A157" t="inlineStr">
        <is>
          <t>A 9609-2023</t>
        </is>
      </c>
      <c r="B157" s="1" t="n">
        <v>44983.93344907407</v>
      </c>
      <c r="C157" s="1" t="n">
        <v>46010</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23863-2023</t>
        </is>
      </c>
      <c r="B158" s="1" t="n">
        <v>45078.48994212963</v>
      </c>
      <c r="C158" s="1" t="n">
        <v>46010</v>
      </c>
      <c r="D158" t="inlineStr">
        <is>
          <t>ÖREBRO LÄN</t>
        </is>
      </c>
      <c r="E158" t="inlineStr">
        <is>
          <t>ÖREBRO</t>
        </is>
      </c>
      <c r="F158" t="inlineStr">
        <is>
          <t>Övriga Aktiebolag</t>
        </is>
      </c>
      <c r="G158" t="n">
        <v>5.9</v>
      </c>
      <c r="H158" t="n">
        <v>0</v>
      </c>
      <c r="I158" t="n">
        <v>0</v>
      </c>
      <c r="J158" t="n">
        <v>0</v>
      </c>
      <c r="K158" t="n">
        <v>0</v>
      </c>
      <c r="L158" t="n">
        <v>0</v>
      </c>
      <c r="M158" t="n">
        <v>0</v>
      </c>
      <c r="N158" t="n">
        <v>0</v>
      </c>
      <c r="O158" t="n">
        <v>0</v>
      </c>
      <c r="P158" t="n">
        <v>0</v>
      </c>
      <c r="Q158" t="n">
        <v>0</v>
      </c>
      <c r="R158" s="2" t="inlineStr"/>
    </row>
    <row r="159" ht="15" customHeight="1">
      <c r="A159" t="inlineStr">
        <is>
          <t>A 14053-2025</t>
        </is>
      </c>
      <c r="B159" s="1" t="n">
        <v>45739</v>
      </c>
      <c r="C159" s="1" t="n">
        <v>46010</v>
      </c>
      <c r="D159" t="inlineStr">
        <is>
          <t>ÖREBRO LÄN</t>
        </is>
      </c>
      <c r="E159" t="inlineStr">
        <is>
          <t>ÖREBRO</t>
        </is>
      </c>
      <c r="G159" t="n">
        <v>3.5</v>
      </c>
      <c r="H159" t="n">
        <v>0</v>
      </c>
      <c r="I159" t="n">
        <v>0</v>
      </c>
      <c r="J159" t="n">
        <v>0</v>
      </c>
      <c r="K159" t="n">
        <v>0</v>
      </c>
      <c r="L159" t="n">
        <v>0</v>
      </c>
      <c r="M159" t="n">
        <v>0</v>
      </c>
      <c r="N159" t="n">
        <v>0</v>
      </c>
      <c r="O159" t="n">
        <v>0</v>
      </c>
      <c r="P159" t="n">
        <v>0</v>
      </c>
      <c r="Q159" t="n">
        <v>0</v>
      </c>
      <c r="R159" s="2" t="inlineStr"/>
    </row>
    <row r="160" ht="15" customHeight="1">
      <c r="A160" t="inlineStr">
        <is>
          <t>A 5795-2024</t>
        </is>
      </c>
      <c r="B160" s="1" t="n">
        <v>45335.4531712963</v>
      </c>
      <c r="C160" s="1" t="n">
        <v>46010</v>
      </c>
      <c r="D160" t="inlineStr">
        <is>
          <t>ÖREBRO LÄN</t>
        </is>
      </c>
      <c r="E160" t="inlineStr">
        <is>
          <t>ÖREBRO</t>
        </is>
      </c>
      <c r="G160" t="n">
        <v>1.8</v>
      </c>
      <c r="H160" t="n">
        <v>0</v>
      </c>
      <c r="I160" t="n">
        <v>0</v>
      </c>
      <c r="J160" t="n">
        <v>0</v>
      </c>
      <c r="K160" t="n">
        <v>0</v>
      </c>
      <c r="L160" t="n">
        <v>0</v>
      </c>
      <c r="M160" t="n">
        <v>0</v>
      </c>
      <c r="N160" t="n">
        <v>0</v>
      </c>
      <c r="O160" t="n">
        <v>0</v>
      </c>
      <c r="P160" t="n">
        <v>0</v>
      </c>
      <c r="Q160" t="n">
        <v>0</v>
      </c>
      <c r="R160" s="2" t="inlineStr"/>
    </row>
    <row r="161" ht="15" customHeight="1">
      <c r="A161" t="inlineStr">
        <is>
          <t>A 59736-2023</t>
        </is>
      </c>
      <c r="B161" s="1" t="n">
        <v>45257.374375</v>
      </c>
      <c r="C161" s="1" t="n">
        <v>46010</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2153-2023</t>
        </is>
      </c>
      <c r="B162" s="1" t="n">
        <v>44941</v>
      </c>
      <c r="C162" s="1" t="n">
        <v>46010</v>
      </c>
      <c r="D162" t="inlineStr">
        <is>
          <t>ÖREBRO LÄN</t>
        </is>
      </c>
      <c r="E162" t="inlineStr">
        <is>
          <t>ÖREBRO</t>
        </is>
      </c>
      <c r="G162" t="n">
        <v>6.3</v>
      </c>
      <c r="H162" t="n">
        <v>0</v>
      </c>
      <c r="I162" t="n">
        <v>0</v>
      </c>
      <c r="J162" t="n">
        <v>0</v>
      </c>
      <c r="K162" t="n">
        <v>0</v>
      </c>
      <c r="L162" t="n">
        <v>0</v>
      </c>
      <c r="M162" t="n">
        <v>0</v>
      </c>
      <c r="N162" t="n">
        <v>0</v>
      </c>
      <c r="O162" t="n">
        <v>0</v>
      </c>
      <c r="P162" t="n">
        <v>0</v>
      </c>
      <c r="Q162" t="n">
        <v>0</v>
      </c>
      <c r="R162" s="2" t="inlineStr"/>
    </row>
    <row r="163" ht="15" customHeight="1">
      <c r="A163" t="inlineStr">
        <is>
          <t>A 10829-2023</t>
        </is>
      </c>
      <c r="B163" s="1" t="n">
        <v>44990.88512731482</v>
      </c>
      <c r="C163" s="1" t="n">
        <v>46010</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10831-2023</t>
        </is>
      </c>
      <c r="B164" s="1" t="n">
        <v>44990.90357638889</v>
      </c>
      <c r="C164" s="1" t="n">
        <v>46010</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58539-2024</t>
        </is>
      </c>
      <c r="B165" s="1" t="n">
        <v>45635.45157407408</v>
      </c>
      <c r="C165" s="1" t="n">
        <v>46010</v>
      </c>
      <c r="D165" t="inlineStr">
        <is>
          <t>ÖREBRO LÄN</t>
        </is>
      </c>
      <c r="E165" t="inlineStr">
        <is>
          <t>ÖREBRO</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187-2024</t>
        </is>
      </c>
      <c r="B166" s="1" t="n">
        <v>45294</v>
      </c>
      <c r="C166" s="1" t="n">
        <v>46010</v>
      </c>
      <c r="D166" t="inlineStr">
        <is>
          <t>ÖREBRO LÄN</t>
        </is>
      </c>
      <c r="E166" t="inlineStr">
        <is>
          <t>ÖREBRO</t>
        </is>
      </c>
      <c r="G166" t="n">
        <v>5.9</v>
      </c>
      <c r="H166" t="n">
        <v>0</v>
      </c>
      <c r="I166" t="n">
        <v>0</v>
      </c>
      <c r="J166" t="n">
        <v>0</v>
      </c>
      <c r="K166" t="n">
        <v>0</v>
      </c>
      <c r="L166" t="n">
        <v>0</v>
      </c>
      <c r="M166" t="n">
        <v>0</v>
      </c>
      <c r="N166" t="n">
        <v>0</v>
      </c>
      <c r="O166" t="n">
        <v>0</v>
      </c>
      <c r="P166" t="n">
        <v>0</v>
      </c>
      <c r="Q166" t="n">
        <v>0</v>
      </c>
      <c r="R166" s="2" t="inlineStr"/>
    </row>
    <row r="167" ht="15" customHeight="1">
      <c r="A167" t="inlineStr">
        <is>
          <t>A 58532-2024</t>
        </is>
      </c>
      <c r="B167" s="1" t="n">
        <v>45635.44899305556</v>
      </c>
      <c r="C167" s="1" t="n">
        <v>46010</v>
      </c>
      <c r="D167" t="inlineStr">
        <is>
          <t>ÖREBRO LÄN</t>
        </is>
      </c>
      <c r="E167" t="inlineStr">
        <is>
          <t>ÖREBRO</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10470-2025</t>
        </is>
      </c>
      <c r="B168" s="1" t="n">
        <v>45720</v>
      </c>
      <c r="C168" s="1" t="n">
        <v>46010</v>
      </c>
      <c r="D168" t="inlineStr">
        <is>
          <t>ÖREBRO LÄN</t>
        </is>
      </c>
      <c r="E168" t="inlineStr">
        <is>
          <t>ÖREBRO</t>
        </is>
      </c>
      <c r="G168" t="n">
        <v>11.5</v>
      </c>
      <c r="H168" t="n">
        <v>0</v>
      </c>
      <c r="I168" t="n">
        <v>0</v>
      </c>
      <c r="J168" t="n">
        <v>0</v>
      </c>
      <c r="K168" t="n">
        <v>0</v>
      </c>
      <c r="L168" t="n">
        <v>0</v>
      </c>
      <c r="M168" t="n">
        <v>0</v>
      </c>
      <c r="N168" t="n">
        <v>0</v>
      </c>
      <c r="O168" t="n">
        <v>0</v>
      </c>
      <c r="P168" t="n">
        <v>0</v>
      </c>
      <c r="Q168" t="n">
        <v>0</v>
      </c>
      <c r="R168" s="2" t="inlineStr"/>
    </row>
    <row r="169" ht="15" customHeight="1">
      <c r="A169" t="inlineStr">
        <is>
          <t>A 13762-2023</t>
        </is>
      </c>
      <c r="B169" s="1" t="n">
        <v>45007.43729166667</v>
      </c>
      <c r="C169" s="1" t="n">
        <v>46010</v>
      </c>
      <c r="D169" t="inlineStr">
        <is>
          <t>ÖREBRO LÄN</t>
        </is>
      </c>
      <c r="E169" t="inlineStr">
        <is>
          <t>ÖREBRO</t>
        </is>
      </c>
      <c r="G169" t="n">
        <v>1.3</v>
      </c>
      <c r="H169" t="n">
        <v>0</v>
      </c>
      <c r="I169" t="n">
        <v>0</v>
      </c>
      <c r="J169" t="n">
        <v>0</v>
      </c>
      <c r="K169" t="n">
        <v>0</v>
      </c>
      <c r="L169" t="n">
        <v>0</v>
      </c>
      <c r="M169" t="n">
        <v>0</v>
      </c>
      <c r="N169" t="n">
        <v>0</v>
      </c>
      <c r="O169" t="n">
        <v>0</v>
      </c>
      <c r="P169" t="n">
        <v>0</v>
      </c>
      <c r="Q169" t="n">
        <v>0</v>
      </c>
      <c r="R169" s="2" t="inlineStr"/>
    </row>
    <row r="170" ht="15" customHeight="1">
      <c r="A170" t="inlineStr">
        <is>
          <t>A 52623-2024</t>
        </is>
      </c>
      <c r="B170" s="1" t="n">
        <v>45609</v>
      </c>
      <c r="C170" s="1" t="n">
        <v>46010</v>
      </c>
      <c r="D170" t="inlineStr">
        <is>
          <t>ÖREBRO LÄN</t>
        </is>
      </c>
      <c r="E170" t="inlineStr">
        <is>
          <t>ÖREBRO</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62794-2021</t>
        </is>
      </c>
      <c r="B171" s="1" t="n">
        <v>44504</v>
      </c>
      <c r="C171" s="1" t="n">
        <v>46010</v>
      </c>
      <c r="D171" t="inlineStr">
        <is>
          <t>ÖREBRO LÄN</t>
        </is>
      </c>
      <c r="E171" t="inlineStr">
        <is>
          <t>ÖREBRO</t>
        </is>
      </c>
      <c r="G171" t="n">
        <v>3.3</v>
      </c>
      <c r="H171" t="n">
        <v>0</v>
      </c>
      <c r="I171" t="n">
        <v>0</v>
      </c>
      <c r="J171" t="n">
        <v>0</v>
      </c>
      <c r="K171" t="n">
        <v>0</v>
      </c>
      <c r="L171" t="n">
        <v>0</v>
      </c>
      <c r="M171" t="n">
        <v>0</v>
      </c>
      <c r="N171" t="n">
        <v>0</v>
      </c>
      <c r="O171" t="n">
        <v>0</v>
      </c>
      <c r="P171" t="n">
        <v>0</v>
      </c>
      <c r="Q171" t="n">
        <v>0</v>
      </c>
      <c r="R171" s="2" t="inlineStr"/>
    </row>
    <row r="172" ht="15" customHeight="1">
      <c r="A172" t="inlineStr">
        <is>
          <t>A 19180-2025</t>
        </is>
      </c>
      <c r="B172" s="1" t="n">
        <v>45769.40133101852</v>
      </c>
      <c r="C172" s="1" t="n">
        <v>46010</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60022-2024</t>
        </is>
      </c>
      <c r="B173" s="1" t="n">
        <v>45642</v>
      </c>
      <c r="C173" s="1" t="n">
        <v>46010</v>
      </c>
      <c r="D173" t="inlineStr">
        <is>
          <t>ÖREBRO LÄN</t>
        </is>
      </c>
      <c r="E173" t="inlineStr">
        <is>
          <t>ÖREBRO</t>
        </is>
      </c>
      <c r="G173" t="n">
        <v>1.7</v>
      </c>
      <c r="H173" t="n">
        <v>0</v>
      </c>
      <c r="I173" t="n">
        <v>0</v>
      </c>
      <c r="J173" t="n">
        <v>0</v>
      </c>
      <c r="K173" t="n">
        <v>0</v>
      </c>
      <c r="L173" t="n">
        <v>0</v>
      </c>
      <c r="M173" t="n">
        <v>0</v>
      </c>
      <c r="N173" t="n">
        <v>0</v>
      </c>
      <c r="O173" t="n">
        <v>0</v>
      </c>
      <c r="P173" t="n">
        <v>0</v>
      </c>
      <c r="Q173" t="n">
        <v>0</v>
      </c>
      <c r="R173" s="2" t="inlineStr"/>
    </row>
    <row r="174" ht="15" customHeight="1">
      <c r="A174" t="inlineStr">
        <is>
          <t>A 58684-2023</t>
        </is>
      </c>
      <c r="B174" s="1" t="n">
        <v>45251</v>
      </c>
      <c r="C174" s="1" t="n">
        <v>46010</v>
      </c>
      <c r="D174" t="inlineStr">
        <is>
          <t>ÖREBRO LÄN</t>
        </is>
      </c>
      <c r="E174" t="inlineStr">
        <is>
          <t>ÖREBRO</t>
        </is>
      </c>
      <c r="G174" t="n">
        <v>1.2</v>
      </c>
      <c r="H174" t="n">
        <v>0</v>
      </c>
      <c r="I174" t="n">
        <v>0</v>
      </c>
      <c r="J174" t="n">
        <v>0</v>
      </c>
      <c r="K174" t="n">
        <v>0</v>
      </c>
      <c r="L174" t="n">
        <v>0</v>
      </c>
      <c r="M174" t="n">
        <v>0</v>
      </c>
      <c r="N174" t="n">
        <v>0</v>
      </c>
      <c r="O174" t="n">
        <v>0</v>
      </c>
      <c r="P174" t="n">
        <v>0</v>
      </c>
      <c r="Q174" t="n">
        <v>0</v>
      </c>
      <c r="R174" s="2" t="inlineStr"/>
    </row>
    <row r="175" ht="15" customHeight="1">
      <c r="A175" t="inlineStr">
        <is>
          <t>A 37771-2024</t>
        </is>
      </c>
      <c r="B175" s="1" t="n">
        <v>45542.31359953704</v>
      </c>
      <c r="C175" s="1" t="n">
        <v>46010</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50026-2024</t>
        </is>
      </c>
      <c r="B176" s="1" t="n">
        <v>45599.60541666667</v>
      </c>
      <c r="C176" s="1" t="n">
        <v>46010</v>
      </c>
      <c r="D176" t="inlineStr">
        <is>
          <t>ÖREBRO LÄN</t>
        </is>
      </c>
      <c r="E176" t="inlineStr">
        <is>
          <t>ÖREBRO</t>
        </is>
      </c>
      <c r="G176" t="n">
        <v>2.2</v>
      </c>
      <c r="H176" t="n">
        <v>0</v>
      </c>
      <c r="I176" t="n">
        <v>0</v>
      </c>
      <c r="J176" t="n">
        <v>0</v>
      </c>
      <c r="K176" t="n">
        <v>0</v>
      </c>
      <c r="L176" t="n">
        <v>0</v>
      </c>
      <c r="M176" t="n">
        <v>0</v>
      </c>
      <c r="N176" t="n">
        <v>0</v>
      </c>
      <c r="O176" t="n">
        <v>0</v>
      </c>
      <c r="P176" t="n">
        <v>0</v>
      </c>
      <c r="Q176" t="n">
        <v>0</v>
      </c>
      <c r="R176" s="2" t="inlineStr"/>
    </row>
    <row r="177" ht="15" customHeight="1">
      <c r="A177" t="inlineStr">
        <is>
          <t>A 10799-2024</t>
        </is>
      </c>
      <c r="B177" s="1" t="n">
        <v>45369</v>
      </c>
      <c r="C177" s="1" t="n">
        <v>46010</v>
      </c>
      <c r="D177" t="inlineStr">
        <is>
          <t>ÖREBRO LÄN</t>
        </is>
      </c>
      <c r="E177" t="inlineStr">
        <is>
          <t>ÖREBRO</t>
        </is>
      </c>
      <c r="G177" t="n">
        <v>5.8</v>
      </c>
      <c r="H177" t="n">
        <v>0</v>
      </c>
      <c r="I177" t="n">
        <v>0</v>
      </c>
      <c r="J177" t="n">
        <v>0</v>
      </c>
      <c r="K177" t="n">
        <v>0</v>
      </c>
      <c r="L177" t="n">
        <v>0</v>
      </c>
      <c r="M177" t="n">
        <v>0</v>
      </c>
      <c r="N177" t="n">
        <v>0</v>
      </c>
      <c r="O177" t="n">
        <v>0</v>
      </c>
      <c r="P177" t="n">
        <v>0</v>
      </c>
      <c r="Q177" t="n">
        <v>0</v>
      </c>
      <c r="R177" s="2" t="inlineStr"/>
    </row>
    <row r="178" ht="15" customHeight="1">
      <c r="A178" t="inlineStr">
        <is>
          <t>A 71288-2021</t>
        </is>
      </c>
      <c r="B178" s="1" t="n">
        <v>44539.62481481482</v>
      </c>
      <c r="C178" s="1" t="n">
        <v>46010</v>
      </c>
      <c r="D178" t="inlineStr">
        <is>
          <t>ÖREBRO LÄN</t>
        </is>
      </c>
      <c r="E178" t="inlineStr">
        <is>
          <t>ÖREBRO</t>
        </is>
      </c>
      <c r="G178" t="n">
        <v>3.9</v>
      </c>
      <c r="H178" t="n">
        <v>0</v>
      </c>
      <c r="I178" t="n">
        <v>0</v>
      </c>
      <c r="J178" t="n">
        <v>0</v>
      </c>
      <c r="K178" t="n">
        <v>0</v>
      </c>
      <c r="L178" t="n">
        <v>0</v>
      </c>
      <c r="M178" t="n">
        <v>0</v>
      </c>
      <c r="N178" t="n">
        <v>0</v>
      </c>
      <c r="O178" t="n">
        <v>0</v>
      </c>
      <c r="P178" t="n">
        <v>0</v>
      </c>
      <c r="Q178" t="n">
        <v>0</v>
      </c>
      <c r="R178" s="2" t="inlineStr"/>
    </row>
    <row r="179" ht="15" customHeight="1">
      <c r="A179" t="inlineStr">
        <is>
          <t>A 45237-2023</t>
        </is>
      </c>
      <c r="B179" s="1" t="n">
        <v>45191</v>
      </c>
      <c r="C179" s="1" t="n">
        <v>46010</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16739-2023</t>
        </is>
      </c>
      <c r="B180" s="1" t="n">
        <v>45030.72627314815</v>
      </c>
      <c r="C180" s="1" t="n">
        <v>46010</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34336-2024</t>
        </is>
      </c>
      <c r="B181" s="1" t="n">
        <v>45524.94774305556</v>
      </c>
      <c r="C181" s="1" t="n">
        <v>46010</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15555-2025</t>
        </is>
      </c>
      <c r="B182" s="1" t="n">
        <v>45747.67768518518</v>
      </c>
      <c r="C182" s="1" t="n">
        <v>46010</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61279-2024</t>
        </is>
      </c>
      <c r="B183" s="1" t="n">
        <v>45645</v>
      </c>
      <c r="C183" s="1" t="n">
        <v>46010</v>
      </c>
      <c r="D183" t="inlineStr">
        <is>
          <t>ÖREBRO LÄN</t>
        </is>
      </c>
      <c r="E183" t="inlineStr">
        <is>
          <t>ÖREBRO</t>
        </is>
      </c>
      <c r="G183" t="n">
        <v>0.7</v>
      </c>
      <c r="H183" t="n">
        <v>0</v>
      </c>
      <c r="I183" t="n">
        <v>0</v>
      </c>
      <c r="J183" t="n">
        <v>0</v>
      </c>
      <c r="K183" t="n">
        <v>0</v>
      </c>
      <c r="L183" t="n">
        <v>0</v>
      </c>
      <c r="M183" t="n">
        <v>0</v>
      </c>
      <c r="N183" t="n">
        <v>0</v>
      </c>
      <c r="O183" t="n">
        <v>0</v>
      </c>
      <c r="P183" t="n">
        <v>0</v>
      </c>
      <c r="Q183" t="n">
        <v>0</v>
      </c>
      <c r="R183" s="2" t="inlineStr"/>
    </row>
    <row r="184" ht="15" customHeight="1">
      <c r="A184" t="inlineStr">
        <is>
          <t>A 49465-2024</t>
        </is>
      </c>
      <c r="B184" s="1" t="n">
        <v>45596</v>
      </c>
      <c r="C184" s="1" t="n">
        <v>46010</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38790-2024</t>
        </is>
      </c>
      <c r="B185" s="1" t="n">
        <v>45547.48450231482</v>
      </c>
      <c r="C185" s="1" t="n">
        <v>46010</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71269-2021</t>
        </is>
      </c>
      <c r="B186" s="1" t="n">
        <v>44539</v>
      </c>
      <c r="C186" s="1" t="n">
        <v>46010</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38842-2022</t>
        </is>
      </c>
      <c r="B187" s="1" t="n">
        <v>44814</v>
      </c>
      <c r="C187" s="1" t="n">
        <v>46010</v>
      </c>
      <c r="D187" t="inlineStr">
        <is>
          <t>ÖREBRO LÄN</t>
        </is>
      </c>
      <c r="E187" t="inlineStr">
        <is>
          <t>ÖREBRO</t>
        </is>
      </c>
      <c r="G187" t="n">
        <v>5</v>
      </c>
      <c r="H187" t="n">
        <v>0</v>
      </c>
      <c r="I187" t="n">
        <v>0</v>
      </c>
      <c r="J187" t="n">
        <v>0</v>
      </c>
      <c r="K187" t="n">
        <v>0</v>
      </c>
      <c r="L187" t="n">
        <v>0</v>
      </c>
      <c r="M187" t="n">
        <v>0</v>
      </c>
      <c r="N187" t="n">
        <v>0</v>
      </c>
      <c r="O187" t="n">
        <v>0</v>
      </c>
      <c r="P187" t="n">
        <v>0</v>
      </c>
      <c r="Q187" t="n">
        <v>0</v>
      </c>
      <c r="R187" s="2" t="inlineStr"/>
    </row>
    <row r="188" ht="15" customHeight="1">
      <c r="A188" t="inlineStr">
        <is>
          <t>A 37022-2024</t>
        </is>
      </c>
      <c r="B188" s="1" t="n">
        <v>45539.3822337963</v>
      </c>
      <c r="C188" s="1" t="n">
        <v>46010</v>
      </c>
      <c r="D188" t="inlineStr">
        <is>
          <t>ÖREBRO LÄN</t>
        </is>
      </c>
      <c r="E188" t="inlineStr">
        <is>
          <t>ÖREBRO</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37024-2024</t>
        </is>
      </c>
      <c r="B189" s="1" t="n">
        <v>45539.38329861111</v>
      </c>
      <c r="C189" s="1" t="n">
        <v>46010</v>
      </c>
      <c r="D189" t="inlineStr">
        <is>
          <t>ÖREBRO LÄN</t>
        </is>
      </c>
      <c r="E189" t="inlineStr">
        <is>
          <t>ÖREBRO</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30316-2024</t>
        </is>
      </c>
      <c r="B190" s="1" t="n">
        <v>45490</v>
      </c>
      <c r="C190" s="1" t="n">
        <v>46010</v>
      </c>
      <c r="D190" t="inlineStr">
        <is>
          <t>ÖREBRO LÄN</t>
        </is>
      </c>
      <c r="E190" t="inlineStr">
        <is>
          <t>ÖREBRO</t>
        </is>
      </c>
      <c r="G190" t="n">
        <v>5.5</v>
      </c>
      <c r="H190" t="n">
        <v>0</v>
      </c>
      <c r="I190" t="n">
        <v>0</v>
      </c>
      <c r="J190" t="n">
        <v>0</v>
      </c>
      <c r="K190" t="n">
        <v>0</v>
      </c>
      <c r="L190" t="n">
        <v>0</v>
      </c>
      <c r="M190" t="n">
        <v>0</v>
      </c>
      <c r="N190" t="n">
        <v>0</v>
      </c>
      <c r="O190" t="n">
        <v>0</v>
      </c>
      <c r="P190" t="n">
        <v>0</v>
      </c>
      <c r="Q190" t="n">
        <v>0</v>
      </c>
      <c r="R190" s="2" t="inlineStr"/>
    </row>
    <row r="191" ht="15" customHeight="1">
      <c r="A191" t="inlineStr">
        <is>
          <t>A 41678-2024</t>
        </is>
      </c>
      <c r="B191" s="1" t="n">
        <v>45560</v>
      </c>
      <c r="C191" s="1" t="n">
        <v>46010</v>
      </c>
      <c r="D191" t="inlineStr">
        <is>
          <t>ÖREBRO LÄN</t>
        </is>
      </c>
      <c r="E191" t="inlineStr">
        <is>
          <t>ÖREBRO</t>
        </is>
      </c>
      <c r="G191" t="n">
        <v>11.3</v>
      </c>
      <c r="H191" t="n">
        <v>0</v>
      </c>
      <c r="I191" t="n">
        <v>0</v>
      </c>
      <c r="J191" t="n">
        <v>0</v>
      </c>
      <c r="K191" t="n">
        <v>0</v>
      </c>
      <c r="L191" t="n">
        <v>0</v>
      </c>
      <c r="M191" t="n">
        <v>0</v>
      </c>
      <c r="N191" t="n">
        <v>0</v>
      </c>
      <c r="O191" t="n">
        <v>0</v>
      </c>
      <c r="P191" t="n">
        <v>0</v>
      </c>
      <c r="Q191" t="n">
        <v>0</v>
      </c>
      <c r="R191" s="2" t="inlineStr"/>
    </row>
    <row r="192" ht="15" customHeight="1">
      <c r="A192" t="inlineStr">
        <is>
          <t>A 13418-2024</t>
        </is>
      </c>
      <c r="B192" s="1" t="n">
        <v>45387.46482638889</v>
      </c>
      <c r="C192" s="1" t="n">
        <v>46010</v>
      </c>
      <c r="D192" t="inlineStr">
        <is>
          <t>ÖREBRO LÄN</t>
        </is>
      </c>
      <c r="E192" t="inlineStr">
        <is>
          <t>ÖREBRO</t>
        </is>
      </c>
      <c r="G192" t="n">
        <v>4.2</v>
      </c>
      <c r="H192" t="n">
        <v>0</v>
      </c>
      <c r="I192" t="n">
        <v>0</v>
      </c>
      <c r="J192" t="n">
        <v>0</v>
      </c>
      <c r="K192" t="n">
        <v>0</v>
      </c>
      <c r="L192" t="n">
        <v>0</v>
      </c>
      <c r="M192" t="n">
        <v>0</v>
      </c>
      <c r="N192" t="n">
        <v>0</v>
      </c>
      <c r="O192" t="n">
        <v>0</v>
      </c>
      <c r="P192" t="n">
        <v>0</v>
      </c>
      <c r="Q192" t="n">
        <v>0</v>
      </c>
      <c r="R192" s="2" t="inlineStr"/>
    </row>
    <row r="193" ht="15" customHeight="1">
      <c r="A193" t="inlineStr">
        <is>
          <t>A 44199-2024</t>
        </is>
      </c>
      <c r="B193" s="1" t="n">
        <v>45573</v>
      </c>
      <c r="C193" s="1" t="n">
        <v>46010</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47047-2022</t>
        </is>
      </c>
      <c r="B194" s="1" t="n">
        <v>44852.39063657408</v>
      </c>
      <c r="C194" s="1" t="n">
        <v>46010</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4380-2025</t>
        </is>
      </c>
      <c r="B195" s="1" t="n">
        <v>45686.3959375</v>
      </c>
      <c r="C195" s="1" t="n">
        <v>46010</v>
      </c>
      <c r="D195" t="inlineStr">
        <is>
          <t>ÖREBRO LÄN</t>
        </is>
      </c>
      <c r="E195" t="inlineStr">
        <is>
          <t>ÖREBRO</t>
        </is>
      </c>
      <c r="G195" t="n">
        <v>3.2</v>
      </c>
      <c r="H195" t="n">
        <v>0</v>
      </c>
      <c r="I195" t="n">
        <v>0</v>
      </c>
      <c r="J195" t="n">
        <v>0</v>
      </c>
      <c r="K195" t="n">
        <v>0</v>
      </c>
      <c r="L195" t="n">
        <v>0</v>
      </c>
      <c r="M195" t="n">
        <v>0</v>
      </c>
      <c r="N195" t="n">
        <v>0</v>
      </c>
      <c r="O195" t="n">
        <v>0</v>
      </c>
      <c r="P195" t="n">
        <v>0</v>
      </c>
      <c r="Q195" t="n">
        <v>0</v>
      </c>
      <c r="R195" s="2" t="inlineStr"/>
    </row>
    <row r="196" ht="15" customHeight="1">
      <c r="A196" t="inlineStr">
        <is>
          <t>A 26443-2024</t>
        </is>
      </c>
      <c r="B196" s="1" t="n">
        <v>45469.49901620371</v>
      </c>
      <c r="C196" s="1" t="n">
        <v>46010</v>
      </c>
      <c r="D196" t="inlineStr">
        <is>
          <t>ÖREBRO LÄN</t>
        </is>
      </c>
      <c r="E196" t="inlineStr">
        <is>
          <t>ÖREBRO</t>
        </is>
      </c>
      <c r="G196" t="n">
        <v>5.7</v>
      </c>
      <c r="H196" t="n">
        <v>0</v>
      </c>
      <c r="I196" t="n">
        <v>0</v>
      </c>
      <c r="J196" t="n">
        <v>0</v>
      </c>
      <c r="K196" t="n">
        <v>0</v>
      </c>
      <c r="L196" t="n">
        <v>0</v>
      </c>
      <c r="M196" t="n">
        <v>0</v>
      </c>
      <c r="N196" t="n">
        <v>0</v>
      </c>
      <c r="O196" t="n">
        <v>0</v>
      </c>
      <c r="P196" t="n">
        <v>0</v>
      </c>
      <c r="Q196" t="n">
        <v>0</v>
      </c>
      <c r="R196" s="2" t="inlineStr"/>
    </row>
    <row r="197" ht="15" customHeight="1">
      <c r="A197" t="inlineStr">
        <is>
          <t>A 5136-2024</t>
        </is>
      </c>
      <c r="B197" s="1" t="n">
        <v>45330</v>
      </c>
      <c r="C197" s="1" t="n">
        <v>46010</v>
      </c>
      <c r="D197" t="inlineStr">
        <is>
          <t>ÖREBRO LÄN</t>
        </is>
      </c>
      <c r="E197" t="inlineStr">
        <is>
          <t>ÖREBRO</t>
        </is>
      </c>
      <c r="G197" t="n">
        <v>2.1</v>
      </c>
      <c r="H197" t="n">
        <v>0</v>
      </c>
      <c r="I197" t="n">
        <v>0</v>
      </c>
      <c r="J197" t="n">
        <v>0</v>
      </c>
      <c r="K197" t="n">
        <v>0</v>
      </c>
      <c r="L197" t="n">
        <v>0</v>
      </c>
      <c r="M197" t="n">
        <v>0</v>
      </c>
      <c r="N197" t="n">
        <v>0</v>
      </c>
      <c r="O197" t="n">
        <v>0</v>
      </c>
      <c r="P197" t="n">
        <v>0</v>
      </c>
      <c r="Q197" t="n">
        <v>0</v>
      </c>
      <c r="R197" s="2" t="inlineStr"/>
    </row>
    <row r="198" ht="15" customHeight="1">
      <c r="A198" t="inlineStr">
        <is>
          <t>A 35477-2024</t>
        </is>
      </c>
      <c r="B198" s="1" t="n">
        <v>45531</v>
      </c>
      <c r="C198" s="1" t="n">
        <v>46010</v>
      </c>
      <c r="D198" t="inlineStr">
        <is>
          <t>ÖREBRO LÄN</t>
        </is>
      </c>
      <c r="E198" t="inlineStr">
        <is>
          <t>ÖREBRO</t>
        </is>
      </c>
      <c r="G198" t="n">
        <v>2.4</v>
      </c>
      <c r="H198" t="n">
        <v>0</v>
      </c>
      <c r="I198" t="n">
        <v>0</v>
      </c>
      <c r="J198" t="n">
        <v>0</v>
      </c>
      <c r="K198" t="n">
        <v>0</v>
      </c>
      <c r="L198" t="n">
        <v>0</v>
      </c>
      <c r="M198" t="n">
        <v>0</v>
      </c>
      <c r="N198" t="n">
        <v>0</v>
      </c>
      <c r="O198" t="n">
        <v>0</v>
      </c>
      <c r="P198" t="n">
        <v>0</v>
      </c>
      <c r="Q198" t="n">
        <v>0</v>
      </c>
      <c r="R198" s="2" t="inlineStr"/>
    </row>
    <row r="199" ht="15" customHeight="1">
      <c r="A199" t="inlineStr">
        <is>
          <t>A 5406-2025</t>
        </is>
      </c>
      <c r="B199" s="1" t="n">
        <v>45692.64821759259</v>
      </c>
      <c r="C199" s="1" t="n">
        <v>46010</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58598-2022</t>
        </is>
      </c>
      <c r="B200" s="1" t="n">
        <v>44902</v>
      </c>
      <c r="C200" s="1" t="n">
        <v>46010</v>
      </c>
      <c r="D200" t="inlineStr">
        <is>
          <t>ÖREBRO LÄN</t>
        </is>
      </c>
      <c r="E200" t="inlineStr">
        <is>
          <t>ÖREBRO</t>
        </is>
      </c>
      <c r="G200" t="n">
        <v>0.4</v>
      </c>
      <c r="H200" t="n">
        <v>0</v>
      </c>
      <c r="I200" t="n">
        <v>0</v>
      </c>
      <c r="J200" t="n">
        <v>0</v>
      </c>
      <c r="K200" t="n">
        <v>0</v>
      </c>
      <c r="L200" t="n">
        <v>0</v>
      </c>
      <c r="M200" t="n">
        <v>0</v>
      </c>
      <c r="N200" t="n">
        <v>0</v>
      </c>
      <c r="O200" t="n">
        <v>0</v>
      </c>
      <c r="P200" t="n">
        <v>0</v>
      </c>
      <c r="Q200" t="n">
        <v>0</v>
      </c>
      <c r="R200" s="2" t="inlineStr"/>
    </row>
    <row r="201" ht="15" customHeight="1">
      <c r="A201" t="inlineStr">
        <is>
          <t>A 39003-2025</t>
        </is>
      </c>
      <c r="B201" s="1" t="n">
        <v>45888.34467592592</v>
      </c>
      <c r="C201" s="1" t="n">
        <v>46010</v>
      </c>
      <c r="D201" t="inlineStr">
        <is>
          <t>ÖREBRO LÄN</t>
        </is>
      </c>
      <c r="E201" t="inlineStr">
        <is>
          <t>ÖREBRO</t>
        </is>
      </c>
      <c r="G201" t="n">
        <v>3.7</v>
      </c>
      <c r="H201" t="n">
        <v>0</v>
      </c>
      <c r="I201" t="n">
        <v>0</v>
      </c>
      <c r="J201" t="n">
        <v>0</v>
      </c>
      <c r="K201" t="n">
        <v>0</v>
      </c>
      <c r="L201" t="n">
        <v>0</v>
      </c>
      <c r="M201" t="n">
        <v>0</v>
      </c>
      <c r="N201" t="n">
        <v>0</v>
      </c>
      <c r="O201" t="n">
        <v>0</v>
      </c>
      <c r="P201" t="n">
        <v>0</v>
      </c>
      <c r="Q201" t="n">
        <v>0</v>
      </c>
      <c r="R201" s="2" t="inlineStr"/>
    </row>
    <row r="202" ht="15" customHeight="1">
      <c r="A202" t="inlineStr">
        <is>
          <t>A 15422-2022</t>
        </is>
      </c>
      <c r="B202" s="1" t="n">
        <v>44659.63753472222</v>
      </c>
      <c r="C202" s="1" t="n">
        <v>46010</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13158-2024</t>
        </is>
      </c>
      <c r="B203" s="1" t="n">
        <v>45386.38728009259</v>
      </c>
      <c r="C203" s="1" t="n">
        <v>46010</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51331-2023</t>
        </is>
      </c>
      <c r="B204" s="1" t="n">
        <v>45219</v>
      </c>
      <c r="C204" s="1" t="n">
        <v>46010</v>
      </c>
      <c r="D204" t="inlineStr">
        <is>
          <t>ÖREBRO LÄN</t>
        </is>
      </c>
      <c r="E204" t="inlineStr">
        <is>
          <t>ÖREBRO</t>
        </is>
      </c>
      <c r="F204" t="inlineStr">
        <is>
          <t>Kommuner</t>
        </is>
      </c>
      <c r="G204" t="n">
        <v>1.3</v>
      </c>
      <c r="H204" t="n">
        <v>0</v>
      </c>
      <c r="I204" t="n">
        <v>0</v>
      </c>
      <c r="J204" t="n">
        <v>0</v>
      </c>
      <c r="K204" t="n">
        <v>0</v>
      </c>
      <c r="L204" t="n">
        <v>0</v>
      </c>
      <c r="M204" t="n">
        <v>0</v>
      </c>
      <c r="N204" t="n">
        <v>0</v>
      </c>
      <c r="O204" t="n">
        <v>0</v>
      </c>
      <c r="P204" t="n">
        <v>0</v>
      </c>
      <c r="Q204" t="n">
        <v>0</v>
      </c>
      <c r="R204" s="2" t="inlineStr"/>
    </row>
    <row r="205" ht="15" customHeight="1">
      <c r="A205" t="inlineStr">
        <is>
          <t>A 39446-2025</t>
        </is>
      </c>
      <c r="B205" s="1" t="n">
        <v>45889.70388888889</v>
      </c>
      <c r="C205" s="1" t="n">
        <v>46010</v>
      </c>
      <c r="D205" t="inlineStr">
        <is>
          <t>ÖREBRO LÄN</t>
        </is>
      </c>
      <c r="E205" t="inlineStr">
        <is>
          <t>ÖREBRO</t>
        </is>
      </c>
      <c r="F205" t="inlineStr">
        <is>
          <t>Kyrkan</t>
        </is>
      </c>
      <c r="G205" t="n">
        <v>3.2</v>
      </c>
      <c r="H205" t="n">
        <v>0</v>
      </c>
      <c r="I205" t="n">
        <v>0</v>
      </c>
      <c r="J205" t="n">
        <v>0</v>
      </c>
      <c r="K205" t="n">
        <v>0</v>
      </c>
      <c r="L205" t="n">
        <v>0</v>
      </c>
      <c r="M205" t="n">
        <v>0</v>
      </c>
      <c r="N205" t="n">
        <v>0</v>
      </c>
      <c r="O205" t="n">
        <v>0</v>
      </c>
      <c r="P205" t="n">
        <v>0</v>
      </c>
      <c r="Q205" t="n">
        <v>0</v>
      </c>
      <c r="R205" s="2" t="inlineStr"/>
    </row>
    <row r="206" ht="15" customHeight="1">
      <c r="A206" t="inlineStr">
        <is>
          <t>A 52018-2024</t>
        </is>
      </c>
      <c r="B206" s="1" t="n">
        <v>45607.82974537037</v>
      </c>
      <c r="C206" s="1" t="n">
        <v>46010</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46323-2024</t>
        </is>
      </c>
      <c r="B207" s="1" t="n">
        <v>45581.84538194445</v>
      </c>
      <c r="C207" s="1" t="n">
        <v>46010</v>
      </c>
      <c r="D207" t="inlineStr">
        <is>
          <t>ÖREBRO LÄN</t>
        </is>
      </c>
      <c r="E207" t="inlineStr">
        <is>
          <t>ÖREBRO</t>
        </is>
      </c>
      <c r="F207" t="inlineStr">
        <is>
          <t>Övriga Aktiebolag</t>
        </is>
      </c>
      <c r="G207" t="n">
        <v>1.4</v>
      </c>
      <c r="H207" t="n">
        <v>0</v>
      </c>
      <c r="I207" t="n">
        <v>0</v>
      </c>
      <c r="J207" t="n">
        <v>0</v>
      </c>
      <c r="K207" t="n">
        <v>0</v>
      </c>
      <c r="L207" t="n">
        <v>0</v>
      </c>
      <c r="M207" t="n">
        <v>0</v>
      </c>
      <c r="N207" t="n">
        <v>0</v>
      </c>
      <c r="O207" t="n">
        <v>0</v>
      </c>
      <c r="P207" t="n">
        <v>0</v>
      </c>
      <c r="Q207" t="n">
        <v>0</v>
      </c>
      <c r="R207" s="2" t="inlineStr"/>
    </row>
    <row r="208" ht="15" customHeight="1">
      <c r="A208" t="inlineStr">
        <is>
          <t>A 34358-2022</t>
        </is>
      </c>
      <c r="B208" s="1" t="n">
        <v>44792.45494212963</v>
      </c>
      <c r="C208" s="1" t="n">
        <v>46010</v>
      </c>
      <c r="D208" t="inlineStr">
        <is>
          <t>ÖREBRO LÄN</t>
        </is>
      </c>
      <c r="E208" t="inlineStr">
        <is>
          <t>ÖREBRO</t>
        </is>
      </c>
      <c r="F208" t="inlineStr">
        <is>
          <t>Övriga Aktiebolag</t>
        </is>
      </c>
      <c r="G208" t="n">
        <v>3.4</v>
      </c>
      <c r="H208" t="n">
        <v>0</v>
      </c>
      <c r="I208" t="n">
        <v>0</v>
      </c>
      <c r="J208" t="n">
        <v>0</v>
      </c>
      <c r="K208" t="n">
        <v>0</v>
      </c>
      <c r="L208" t="n">
        <v>0</v>
      </c>
      <c r="M208" t="n">
        <v>0</v>
      </c>
      <c r="N208" t="n">
        <v>0</v>
      </c>
      <c r="O208" t="n">
        <v>0</v>
      </c>
      <c r="P208" t="n">
        <v>0</v>
      </c>
      <c r="Q208" t="n">
        <v>0</v>
      </c>
      <c r="R208" s="2" t="inlineStr"/>
    </row>
    <row r="209" ht="15" customHeight="1">
      <c r="A209" t="inlineStr">
        <is>
          <t>A 22348-2024</t>
        </is>
      </c>
      <c r="B209" s="1" t="n">
        <v>45446.61256944444</v>
      </c>
      <c r="C209" s="1" t="n">
        <v>46010</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34874-2022</t>
        </is>
      </c>
      <c r="B210" s="1" t="n">
        <v>44796</v>
      </c>
      <c r="C210" s="1" t="n">
        <v>46010</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39479-2025</t>
        </is>
      </c>
      <c r="B211" s="1" t="n">
        <v>45890.34752314815</v>
      </c>
      <c r="C211" s="1" t="n">
        <v>46010</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15695-2024</t>
        </is>
      </c>
      <c r="B212" s="1" t="n">
        <v>45404.45487268519</v>
      </c>
      <c r="C212" s="1" t="n">
        <v>46010</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30089-2024</t>
        </is>
      </c>
      <c r="B213" s="1" t="n">
        <v>45485</v>
      </c>
      <c r="C213" s="1" t="n">
        <v>46010</v>
      </c>
      <c r="D213" t="inlineStr">
        <is>
          <t>ÖREBRO LÄN</t>
        </is>
      </c>
      <c r="E213" t="inlineStr">
        <is>
          <t>ÖREBRO</t>
        </is>
      </c>
      <c r="G213" t="n">
        <v>2.2</v>
      </c>
      <c r="H213" t="n">
        <v>0</v>
      </c>
      <c r="I213" t="n">
        <v>0</v>
      </c>
      <c r="J213" t="n">
        <v>0</v>
      </c>
      <c r="K213" t="n">
        <v>0</v>
      </c>
      <c r="L213" t="n">
        <v>0</v>
      </c>
      <c r="M213" t="n">
        <v>0</v>
      </c>
      <c r="N213" t="n">
        <v>0</v>
      </c>
      <c r="O213" t="n">
        <v>0</v>
      </c>
      <c r="P213" t="n">
        <v>0</v>
      </c>
      <c r="Q213" t="n">
        <v>0</v>
      </c>
      <c r="R213" s="2" t="inlineStr"/>
    </row>
    <row r="214" ht="15" customHeight="1">
      <c r="A214" t="inlineStr">
        <is>
          <t>A 5643-2025</t>
        </is>
      </c>
      <c r="B214" s="1" t="n">
        <v>45693</v>
      </c>
      <c r="C214" s="1" t="n">
        <v>46010</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852-2025</t>
        </is>
      </c>
      <c r="B215" s="1" t="n">
        <v>45665.60148148148</v>
      </c>
      <c r="C215" s="1" t="n">
        <v>46010</v>
      </c>
      <c r="D215" t="inlineStr">
        <is>
          <t>ÖREBRO LÄN</t>
        </is>
      </c>
      <c r="E215" t="inlineStr">
        <is>
          <t>ÖREBRO</t>
        </is>
      </c>
      <c r="G215" t="n">
        <v>2.9</v>
      </c>
      <c r="H215" t="n">
        <v>0</v>
      </c>
      <c r="I215" t="n">
        <v>0</v>
      </c>
      <c r="J215" t="n">
        <v>0</v>
      </c>
      <c r="K215" t="n">
        <v>0</v>
      </c>
      <c r="L215" t="n">
        <v>0</v>
      </c>
      <c r="M215" t="n">
        <v>0</v>
      </c>
      <c r="N215" t="n">
        <v>0</v>
      </c>
      <c r="O215" t="n">
        <v>0</v>
      </c>
      <c r="P215" t="n">
        <v>0</v>
      </c>
      <c r="Q215" t="n">
        <v>0</v>
      </c>
      <c r="R215" s="2" t="inlineStr"/>
    </row>
    <row r="216" ht="15" customHeight="1">
      <c r="A216" t="inlineStr">
        <is>
          <t>A 46030-2024</t>
        </is>
      </c>
      <c r="B216" s="1" t="n">
        <v>45580.70377314815</v>
      </c>
      <c r="C216" s="1" t="n">
        <v>46010</v>
      </c>
      <c r="D216" t="inlineStr">
        <is>
          <t>ÖREBRO LÄN</t>
        </is>
      </c>
      <c r="E216" t="inlineStr">
        <is>
          <t>ÖREBRO</t>
        </is>
      </c>
      <c r="G216" t="n">
        <v>3.9</v>
      </c>
      <c r="H216" t="n">
        <v>0</v>
      </c>
      <c r="I216" t="n">
        <v>0</v>
      </c>
      <c r="J216" t="n">
        <v>0</v>
      </c>
      <c r="K216" t="n">
        <v>0</v>
      </c>
      <c r="L216" t="n">
        <v>0</v>
      </c>
      <c r="M216" t="n">
        <v>0</v>
      </c>
      <c r="N216" t="n">
        <v>0</v>
      </c>
      <c r="O216" t="n">
        <v>0</v>
      </c>
      <c r="P216" t="n">
        <v>0</v>
      </c>
      <c r="Q216" t="n">
        <v>0</v>
      </c>
      <c r="R216" s="2" t="inlineStr"/>
    </row>
    <row r="217" ht="15" customHeight="1">
      <c r="A217" t="inlineStr">
        <is>
          <t>A 5342-2024</t>
        </is>
      </c>
      <c r="B217" s="1" t="n">
        <v>45331.44145833333</v>
      </c>
      <c r="C217" s="1" t="n">
        <v>46010</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71295-2021</t>
        </is>
      </c>
      <c r="B218" s="1" t="n">
        <v>44539.63009259259</v>
      </c>
      <c r="C218" s="1" t="n">
        <v>46010</v>
      </c>
      <c r="D218" t="inlineStr">
        <is>
          <t>ÖREBRO LÄN</t>
        </is>
      </c>
      <c r="E218" t="inlineStr">
        <is>
          <t>ÖREBRO</t>
        </is>
      </c>
      <c r="G218" t="n">
        <v>2.3</v>
      </c>
      <c r="H218" t="n">
        <v>0</v>
      </c>
      <c r="I218" t="n">
        <v>0</v>
      </c>
      <c r="J218" t="n">
        <v>0</v>
      </c>
      <c r="K218" t="n">
        <v>0</v>
      </c>
      <c r="L218" t="n">
        <v>0</v>
      </c>
      <c r="M218" t="n">
        <v>0</v>
      </c>
      <c r="N218" t="n">
        <v>0</v>
      </c>
      <c r="O218" t="n">
        <v>0</v>
      </c>
      <c r="P218" t="n">
        <v>0</v>
      </c>
      <c r="Q218" t="n">
        <v>0</v>
      </c>
      <c r="R218" s="2" t="inlineStr"/>
    </row>
    <row r="219" ht="15" customHeight="1">
      <c r="A219" t="inlineStr">
        <is>
          <t>A 11516-2024</t>
        </is>
      </c>
      <c r="B219" s="1" t="n">
        <v>45372</v>
      </c>
      <c r="C219" s="1" t="n">
        <v>46010</v>
      </c>
      <c r="D219" t="inlineStr">
        <is>
          <t>ÖREBRO LÄN</t>
        </is>
      </c>
      <c r="E219" t="inlineStr">
        <is>
          <t>ÖREBRO</t>
        </is>
      </c>
      <c r="G219" t="n">
        <v>10.7</v>
      </c>
      <c r="H219" t="n">
        <v>0</v>
      </c>
      <c r="I219" t="n">
        <v>0</v>
      </c>
      <c r="J219" t="n">
        <v>0</v>
      </c>
      <c r="K219" t="n">
        <v>0</v>
      </c>
      <c r="L219" t="n">
        <v>0</v>
      </c>
      <c r="M219" t="n">
        <v>0</v>
      </c>
      <c r="N219" t="n">
        <v>0</v>
      </c>
      <c r="O219" t="n">
        <v>0</v>
      </c>
      <c r="P219" t="n">
        <v>0</v>
      </c>
      <c r="Q219" t="n">
        <v>0</v>
      </c>
      <c r="R219" s="2" t="inlineStr"/>
    </row>
    <row r="220" ht="15" customHeight="1">
      <c r="A220" t="inlineStr">
        <is>
          <t>A 38583-2023</t>
        </is>
      </c>
      <c r="B220" s="1" t="n">
        <v>45162.62861111111</v>
      </c>
      <c r="C220" s="1" t="n">
        <v>46010</v>
      </c>
      <c r="D220" t="inlineStr">
        <is>
          <t>ÖREBRO LÄN</t>
        </is>
      </c>
      <c r="E220" t="inlineStr">
        <is>
          <t>ÖREBRO</t>
        </is>
      </c>
      <c r="G220" t="n">
        <v>5.7</v>
      </c>
      <c r="H220" t="n">
        <v>0</v>
      </c>
      <c r="I220" t="n">
        <v>0</v>
      </c>
      <c r="J220" t="n">
        <v>0</v>
      </c>
      <c r="K220" t="n">
        <v>0</v>
      </c>
      <c r="L220" t="n">
        <v>0</v>
      </c>
      <c r="M220" t="n">
        <v>0</v>
      </c>
      <c r="N220" t="n">
        <v>0</v>
      </c>
      <c r="O220" t="n">
        <v>0</v>
      </c>
      <c r="P220" t="n">
        <v>0</v>
      </c>
      <c r="Q220" t="n">
        <v>0</v>
      </c>
      <c r="R220" s="2" t="inlineStr"/>
    </row>
    <row r="221" ht="15" customHeight="1">
      <c r="A221" t="inlineStr">
        <is>
          <t>A 40330-2025</t>
        </is>
      </c>
      <c r="B221" s="1" t="n">
        <v>45895.4531712963</v>
      </c>
      <c r="C221" s="1" t="n">
        <v>46010</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40332-2025</t>
        </is>
      </c>
      <c r="B222" s="1" t="n">
        <v>45895.46060185185</v>
      </c>
      <c r="C222" s="1" t="n">
        <v>46010</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55745-2023</t>
        </is>
      </c>
      <c r="B223" s="1" t="n">
        <v>45239.44811342593</v>
      </c>
      <c r="C223" s="1" t="n">
        <v>46010</v>
      </c>
      <c r="D223" t="inlineStr">
        <is>
          <t>ÖREBRO LÄN</t>
        </is>
      </c>
      <c r="E223" t="inlineStr">
        <is>
          <t>ÖREBRO</t>
        </is>
      </c>
      <c r="G223" t="n">
        <v>13.3</v>
      </c>
      <c r="H223" t="n">
        <v>0</v>
      </c>
      <c r="I223" t="n">
        <v>0</v>
      </c>
      <c r="J223" t="n">
        <v>0</v>
      </c>
      <c r="K223" t="n">
        <v>0</v>
      </c>
      <c r="L223" t="n">
        <v>0</v>
      </c>
      <c r="M223" t="n">
        <v>0</v>
      </c>
      <c r="N223" t="n">
        <v>0</v>
      </c>
      <c r="O223" t="n">
        <v>0</v>
      </c>
      <c r="P223" t="n">
        <v>0</v>
      </c>
      <c r="Q223" t="n">
        <v>0</v>
      </c>
      <c r="R223" s="2" t="inlineStr"/>
    </row>
    <row r="224" ht="15" customHeight="1">
      <c r="A224" t="inlineStr">
        <is>
          <t>A 38573-2023</t>
        </is>
      </c>
      <c r="B224" s="1" t="n">
        <v>45162.61837962963</v>
      </c>
      <c r="C224" s="1" t="n">
        <v>46010</v>
      </c>
      <c r="D224" t="inlineStr">
        <is>
          <t>ÖREBRO LÄN</t>
        </is>
      </c>
      <c r="E224" t="inlineStr">
        <is>
          <t>ÖREBRO</t>
        </is>
      </c>
      <c r="G224" t="n">
        <v>2.2</v>
      </c>
      <c r="H224" t="n">
        <v>0</v>
      </c>
      <c r="I224" t="n">
        <v>0</v>
      </c>
      <c r="J224" t="n">
        <v>0</v>
      </c>
      <c r="K224" t="n">
        <v>0</v>
      </c>
      <c r="L224" t="n">
        <v>0</v>
      </c>
      <c r="M224" t="n">
        <v>0</v>
      </c>
      <c r="N224" t="n">
        <v>0</v>
      </c>
      <c r="O224" t="n">
        <v>0</v>
      </c>
      <c r="P224" t="n">
        <v>0</v>
      </c>
      <c r="Q224" t="n">
        <v>0</v>
      </c>
      <c r="R224" s="2" t="inlineStr"/>
    </row>
    <row r="225" ht="15" customHeight="1">
      <c r="A225" t="inlineStr">
        <is>
          <t>A 25578-2025</t>
        </is>
      </c>
      <c r="B225" s="1" t="n">
        <v>45803.47803240741</v>
      </c>
      <c r="C225" s="1" t="n">
        <v>46010</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25519-2025</t>
        </is>
      </c>
      <c r="B226" s="1" t="n">
        <v>45803.38447916666</v>
      </c>
      <c r="C226" s="1" t="n">
        <v>46010</v>
      </c>
      <c r="D226" t="inlineStr">
        <is>
          <t>ÖREBRO LÄN</t>
        </is>
      </c>
      <c r="E226" t="inlineStr">
        <is>
          <t>ÖREBRO</t>
        </is>
      </c>
      <c r="G226" t="n">
        <v>7.4</v>
      </c>
      <c r="H226" t="n">
        <v>0</v>
      </c>
      <c r="I226" t="n">
        <v>0</v>
      </c>
      <c r="J226" t="n">
        <v>0</v>
      </c>
      <c r="K226" t="n">
        <v>0</v>
      </c>
      <c r="L226" t="n">
        <v>0</v>
      </c>
      <c r="M226" t="n">
        <v>0</v>
      </c>
      <c r="N226" t="n">
        <v>0</v>
      </c>
      <c r="O226" t="n">
        <v>0</v>
      </c>
      <c r="P226" t="n">
        <v>0</v>
      </c>
      <c r="Q226" t="n">
        <v>0</v>
      </c>
      <c r="R226" s="2" t="inlineStr"/>
    </row>
    <row r="227" ht="15" customHeight="1">
      <c r="A227" t="inlineStr">
        <is>
          <t>A 13856-2022</t>
        </is>
      </c>
      <c r="B227" s="1" t="n">
        <v>44649.6965162037</v>
      </c>
      <c r="C227" s="1" t="n">
        <v>46010</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52256-2023</t>
        </is>
      </c>
      <c r="B228" s="1" t="n">
        <v>45224.51471064815</v>
      </c>
      <c r="C228" s="1" t="n">
        <v>46010</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48644-2024</t>
        </is>
      </c>
      <c r="B229" s="1" t="n">
        <v>45593.47466435185</v>
      </c>
      <c r="C229" s="1" t="n">
        <v>46010</v>
      </c>
      <c r="D229" t="inlineStr">
        <is>
          <t>ÖREBRO LÄN</t>
        </is>
      </c>
      <c r="E229" t="inlineStr">
        <is>
          <t>ÖREBRO</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60289-2023</t>
        </is>
      </c>
      <c r="B230" s="1" t="n">
        <v>45257</v>
      </c>
      <c r="C230" s="1" t="n">
        <v>46010</v>
      </c>
      <c r="D230" t="inlineStr">
        <is>
          <t>ÖREBRO LÄN</t>
        </is>
      </c>
      <c r="E230" t="inlineStr">
        <is>
          <t>ÖREBRO</t>
        </is>
      </c>
      <c r="G230" t="n">
        <v>10.9</v>
      </c>
      <c r="H230" t="n">
        <v>0</v>
      </c>
      <c r="I230" t="n">
        <v>0</v>
      </c>
      <c r="J230" t="n">
        <v>0</v>
      </c>
      <c r="K230" t="n">
        <v>0</v>
      </c>
      <c r="L230" t="n">
        <v>0</v>
      </c>
      <c r="M230" t="n">
        <v>0</v>
      </c>
      <c r="N230" t="n">
        <v>0</v>
      </c>
      <c r="O230" t="n">
        <v>0</v>
      </c>
      <c r="P230" t="n">
        <v>0</v>
      </c>
      <c r="Q230" t="n">
        <v>0</v>
      </c>
      <c r="R230" s="2" t="inlineStr"/>
    </row>
    <row r="231" ht="15" customHeight="1">
      <c r="A231" t="inlineStr">
        <is>
          <t>A 12017-2024</t>
        </is>
      </c>
      <c r="B231" s="1" t="n">
        <v>45377</v>
      </c>
      <c r="C231" s="1" t="n">
        <v>46010</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54678-2023</t>
        </is>
      </c>
      <c r="B232" s="1" t="n">
        <v>45235</v>
      </c>
      <c r="C232" s="1" t="n">
        <v>46010</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190-2024</t>
        </is>
      </c>
      <c r="B233" s="1" t="n">
        <v>45294.61858796296</v>
      </c>
      <c r="C233" s="1" t="n">
        <v>46010</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44511-2023</t>
        </is>
      </c>
      <c r="B234" s="1" t="n">
        <v>45189</v>
      </c>
      <c r="C234" s="1" t="n">
        <v>46010</v>
      </c>
      <c r="D234" t="inlineStr">
        <is>
          <t>ÖREBRO LÄN</t>
        </is>
      </c>
      <c r="E234" t="inlineStr">
        <is>
          <t>ÖREBRO</t>
        </is>
      </c>
      <c r="F234" t="inlineStr">
        <is>
          <t>Allmännings- och besparingsskogar</t>
        </is>
      </c>
      <c r="G234" t="n">
        <v>2.7</v>
      </c>
      <c r="H234" t="n">
        <v>0</v>
      </c>
      <c r="I234" t="n">
        <v>0</v>
      </c>
      <c r="J234" t="n">
        <v>0</v>
      </c>
      <c r="K234" t="n">
        <v>0</v>
      </c>
      <c r="L234" t="n">
        <v>0</v>
      </c>
      <c r="M234" t="n">
        <v>0</v>
      </c>
      <c r="N234" t="n">
        <v>0</v>
      </c>
      <c r="O234" t="n">
        <v>0</v>
      </c>
      <c r="P234" t="n">
        <v>0</v>
      </c>
      <c r="Q234" t="n">
        <v>0</v>
      </c>
      <c r="R234" s="2" t="inlineStr"/>
    </row>
    <row r="235" ht="15" customHeight="1">
      <c r="A235" t="inlineStr">
        <is>
          <t>A 52447-2024</t>
        </is>
      </c>
      <c r="B235" s="1" t="n">
        <v>45609.49157407408</v>
      </c>
      <c r="C235" s="1" t="n">
        <v>46010</v>
      </c>
      <c r="D235" t="inlineStr">
        <is>
          <t>ÖREBRO LÄN</t>
        </is>
      </c>
      <c r="E235" t="inlineStr">
        <is>
          <t>ÖREBRO</t>
        </is>
      </c>
      <c r="G235" t="n">
        <v>1.4</v>
      </c>
      <c r="H235" t="n">
        <v>0</v>
      </c>
      <c r="I235" t="n">
        <v>0</v>
      </c>
      <c r="J235" t="n">
        <v>0</v>
      </c>
      <c r="K235" t="n">
        <v>0</v>
      </c>
      <c r="L235" t="n">
        <v>0</v>
      </c>
      <c r="M235" t="n">
        <v>0</v>
      </c>
      <c r="N235" t="n">
        <v>0</v>
      </c>
      <c r="O235" t="n">
        <v>0</v>
      </c>
      <c r="P235" t="n">
        <v>0</v>
      </c>
      <c r="Q235" t="n">
        <v>0</v>
      </c>
      <c r="R235" s="2" t="inlineStr"/>
    </row>
    <row r="236" ht="15" customHeight="1">
      <c r="A236" t="inlineStr">
        <is>
          <t>A 43803-2023</t>
        </is>
      </c>
      <c r="B236" s="1" t="n">
        <v>45187</v>
      </c>
      <c r="C236" s="1" t="n">
        <v>46010</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55943-2024</t>
        </is>
      </c>
      <c r="B237" s="1" t="n">
        <v>45623.61278935185</v>
      </c>
      <c r="C237" s="1" t="n">
        <v>46010</v>
      </c>
      <c r="D237" t="inlineStr">
        <is>
          <t>ÖREBRO LÄN</t>
        </is>
      </c>
      <c r="E237" t="inlineStr">
        <is>
          <t>ÖREBRO</t>
        </is>
      </c>
      <c r="G237" t="n">
        <v>4.8</v>
      </c>
      <c r="H237" t="n">
        <v>0</v>
      </c>
      <c r="I237" t="n">
        <v>0</v>
      </c>
      <c r="J237" t="n">
        <v>0</v>
      </c>
      <c r="K237" t="n">
        <v>0</v>
      </c>
      <c r="L237" t="n">
        <v>0</v>
      </c>
      <c r="M237" t="n">
        <v>0</v>
      </c>
      <c r="N237" t="n">
        <v>0</v>
      </c>
      <c r="O237" t="n">
        <v>0</v>
      </c>
      <c r="P237" t="n">
        <v>0</v>
      </c>
      <c r="Q237" t="n">
        <v>0</v>
      </c>
      <c r="R237" s="2" t="inlineStr"/>
    </row>
    <row r="238" ht="15" customHeight="1">
      <c r="A238" t="inlineStr">
        <is>
          <t>A 60028-2024</t>
        </is>
      </c>
      <c r="B238" s="1" t="n">
        <v>45642</v>
      </c>
      <c r="C238" s="1" t="n">
        <v>46010</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6794-2025</t>
        </is>
      </c>
      <c r="B239" s="1" t="n">
        <v>45700.66429398148</v>
      </c>
      <c r="C239" s="1" t="n">
        <v>46010</v>
      </c>
      <c r="D239" t="inlineStr">
        <is>
          <t>ÖREBRO LÄN</t>
        </is>
      </c>
      <c r="E239" t="inlineStr">
        <is>
          <t>ÖREBRO</t>
        </is>
      </c>
      <c r="G239" t="n">
        <v>1</v>
      </c>
      <c r="H239" t="n">
        <v>0</v>
      </c>
      <c r="I239" t="n">
        <v>0</v>
      </c>
      <c r="J239" t="n">
        <v>0</v>
      </c>
      <c r="K239" t="n">
        <v>0</v>
      </c>
      <c r="L239" t="n">
        <v>0</v>
      </c>
      <c r="M239" t="n">
        <v>0</v>
      </c>
      <c r="N239" t="n">
        <v>0</v>
      </c>
      <c r="O239" t="n">
        <v>0</v>
      </c>
      <c r="P239" t="n">
        <v>0</v>
      </c>
      <c r="Q239" t="n">
        <v>0</v>
      </c>
      <c r="R239" s="2" t="inlineStr"/>
    </row>
    <row r="240" ht="15" customHeight="1">
      <c r="A240" t="inlineStr">
        <is>
          <t>A 2596-2022</t>
        </is>
      </c>
      <c r="B240" s="1" t="n">
        <v>44580</v>
      </c>
      <c r="C240" s="1" t="n">
        <v>46010</v>
      </c>
      <c r="D240" t="inlineStr">
        <is>
          <t>ÖREBRO LÄN</t>
        </is>
      </c>
      <c r="E240" t="inlineStr">
        <is>
          <t>ÖREBRO</t>
        </is>
      </c>
      <c r="G240" t="n">
        <v>4.3</v>
      </c>
      <c r="H240" t="n">
        <v>0</v>
      </c>
      <c r="I240" t="n">
        <v>0</v>
      </c>
      <c r="J240" t="n">
        <v>0</v>
      </c>
      <c r="K240" t="n">
        <v>0</v>
      </c>
      <c r="L240" t="n">
        <v>0</v>
      </c>
      <c r="M240" t="n">
        <v>0</v>
      </c>
      <c r="N240" t="n">
        <v>0</v>
      </c>
      <c r="O240" t="n">
        <v>0</v>
      </c>
      <c r="P240" t="n">
        <v>0</v>
      </c>
      <c r="Q240" t="n">
        <v>0</v>
      </c>
      <c r="R240" s="2" t="inlineStr"/>
    </row>
    <row r="241" ht="15" customHeight="1">
      <c r="A241" t="inlineStr">
        <is>
          <t>A 27180-2025</t>
        </is>
      </c>
      <c r="B241" s="1" t="n">
        <v>45812.35736111111</v>
      </c>
      <c r="C241" s="1" t="n">
        <v>46010</v>
      </c>
      <c r="D241" t="inlineStr">
        <is>
          <t>ÖREBRO LÄN</t>
        </is>
      </c>
      <c r="E241" t="inlineStr">
        <is>
          <t>ÖREBRO</t>
        </is>
      </c>
      <c r="G241" t="n">
        <v>1.3</v>
      </c>
      <c r="H241" t="n">
        <v>0</v>
      </c>
      <c r="I241" t="n">
        <v>0</v>
      </c>
      <c r="J241" t="n">
        <v>0</v>
      </c>
      <c r="K241" t="n">
        <v>0</v>
      </c>
      <c r="L241" t="n">
        <v>0</v>
      </c>
      <c r="M241" t="n">
        <v>0</v>
      </c>
      <c r="N241" t="n">
        <v>0</v>
      </c>
      <c r="O241" t="n">
        <v>0</v>
      </c>
      <c r="P241" t="n">
        <v>0</v>
      </c>
      <c r="Q241" t="n">
        <v>0</v>
      </c>
      <c r="R241" s="2" t="inlineStr"/>
    </row>
    <row r="242" ht="15" customHeight="1">
      <c r="A242" t="inlineStr">
        <is>
          <t>A 27215-2025</t>
        </is>
      </c>
      <c r="B242" s="1" t="n">
        <v>45812.41869212963</v>
      </c>
      <c r="C242" s="1" t="n">
        <v>46010</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27225-2025</t>
        </is>
      </c>
      <c r="B243" s="1" t="n">
        <v>45812.42856481481</v>
      </c>
      <c r="C243" s="1" t="n">
        <v>46010</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13857-2022</t>
        </is>
      </c>
      <c r="B244" s="1" t="n">
        <v>44649</v>
      </c>
      <c r="C244" s="1" t="n">
        <v>46010</v>
      </c>
      <c r="D244" t="inlineStr">
        <is>
          <t>ÖREBRO LÄN</t>
        </is>
      </c>
      <c r="E244" t="inlineStr">
        <is>
          <t>ÖREBRO</t>
        </is>
      </c>
      <c r="G244" t="n">
        <v>0.6</v>
      </c>
      <c r="H244" t="n">
        <v>0</v>
      </c>
      <c r="I244" t="n">
        <v>0</v>
      </c>
      <c r="J244" t="n">
        <v>0</v>
      </c>
      <c r="K244" t="n">
        <v>0</v>
      </c>
      <c r="L244" t="n">
        <v>0</v>
      </c>
      <c r="M244" t="n">
        <v>0</v>
      </c>
      <c r="N244" t="n">
        <v>0</v>
      </c>
      <c r="O244" t="n">
        <v>0</v>
      </c>
      <c r="P244" t="n">
        <v>0</v>
      </c>
      <c r="Q244" t="n">
        <v>0</v>
      </c>
      <c r="R244" s="2" t="inlineStr"/>
    </row>
    <row r="245" ht="15" customHeight="1">
      <c r="A245" t="inlineStr">
        <is>
          <t>A 55692-2023</t>
        </is>
      </c>
      <c r="B245" s="1" t="n">
        <v>45239</v>
      </c>
      <c r="C245" s="1" t="n">
        <v>46010</v>
      </c>
      <c r="D245" t="inlineStr">
        <is>
          <t>ÖREBRO LÄN</t>
        </is>
      </c>
      <c r="E245" t="inlineStr">
        <is>
          <t>ÖREBRO</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41412-2025</t>
        </is>
      </c>
      <c r="B246" s="1" t="n">
        <v>45901.3549537037</v>
      </c>
      <c r="C246" s="1" t="n">
        <v>46010</v>
      </c>
      <c r="D246" t="inlineStr">
        <is>
          <t>ÖREBRO LÄN</t>
        </is>
      </c>
      <c r="E246" t="inlineStr">
        <is>
          <t>ÖREBRO</t>
        </is>
      </c>
      <c r="G246" t="n">
        <v>1.1</v>
      </c>
      <c r="H246" t="n">
        <v>0</v>
      </c>
      <c r="I246" t="n">
        <v>0</v>
      </c>
      <c r="J246" t="n">
        <v>0</v>
      </c>
      <c r="K246" t="n">
        <v>0</v>
      </c>
      <c r="L246" t="n">
        <v>0</v>
      </c>
      <c r="M246" t="n">
        <v>0</v>
      </c>
      <c r="N246" t="n">
        <v>0</v>
      </c>
      <c r="O246" t="n">
        <v>0</v>
      </c>
      <c r="P246" t="n">
        <v>0</v>
      </c>
      <c r="Q246" t="n">
        <v>0</v>
      </c>
      <c r="R246" s="2" t="inlineStr"/>
    </row>
    <row r="247" ht="15" customHeight="1">
      <c r="A247" t="inlineStr">
        <is>
          <t>A 27220-2025</t>
        </is>
      </c>
      <c r="B247" s="1" t="n">
        <v>45812.42293981482</v>
      </c>
      <c r="C247" s="1" t="n">
        <v>46010</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28120-2025</t>
        </is>
      </c>
      <c r="B248" s="1" t="n">
        <v>45818.30459490741</v>
      </c>
      <c r="C248" s="1" t="n">
        <v>46010</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15866-2022</t>
        </is>
      </c>
      <c r="B249" s="1" t="n">
        <v>44664</v>
      </c>
      <c r="C249" s="1" t="n">
        <v>46010</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41669-2025</t>
        </is>
      </c>
      <c r="B250" s="1" t="n">
        <v>45902.36149305556</v>
      </c>
      <c r="C250" s="1" t="n">
        <v>46010</v>
      </c>
      <c r="D250" t="inlineStr">
        <is>
          <t>ÖREBRO LÄN</t>
        </is>
      </c>
      <c r="E250" t="inlineStr">
        <is>
          <t>ÖREBRO</t>
        </is>
      </c>
      <c r="G250" t="n">
        <v>2.8</v>
      </c>
      <c r="H250" t="n">
        <v>0</v>
      </c>
      <c r="I250" t="n">
        <v>0</v>
      </c>
      <c r="J250" t="n">
        <v>0</v>
      </c>
      <c r="K250" t="n">
        <v>0</v>
      </c>
      <c r="L250" t="n">
        <v>0</v>
      </c>
      <c r="M250" t="n">
        <v>0</v>
      </c>
      <c r="N250" t="n">
        <v>0</v>
      </c>
      <c r="O250" t="n">
        <v>0</v>
      </c>
      <c r="P250" t="n">
        <v>0</v>
      </c>
      <c r="Q250" t="n">
        <v>0</v>
      </c>
      <c r="R250" s="2" t="inlineStr"/>
    </row>
    <row r="251" ht="15" customHeight="1">
      <c r="A251" t="inlineStr">
        <is>
          <t>A 28938-2025</t>
        </is>
      </c>
      <c r="B251" s="1" t="n">
        <v>45820.70626157407</v>
      </c>
      <c r="C251" s="1" t="n">
        <v>46010</v>
      </c>
      <c r="D251" t="inlineStr">
        <is>
          <t>ÖREBRO LÄN</t>
        </is>
      </c>
      <c r="E251" t="inlineStr">
        <is>
          <t>ÖREBRO</t>
        </is>
      </c>
      <c r="G251" t="n">
        <v>1.9</v>
      </c>
      <c r="H251" t="n">
        <v>0</v>
      </c>
      <c r="I251" t="n">
        <v>0</v>
      </c>
      <c r="J251" t="n">
        <v>0</v>
      </c>
      <c r="K251" t="n">
        <v>0</v>
      </c>
      <c r="L251" t="n">
        <v>0</v>
      </c>
      <c r="M251" t="n">
        <v>0</v>
      </c>
      <c r="N251" t="n">
        <v>0</v>
      </c>
      <c r="O251" t="n">
        <v>0</v>
      </c>
      <c r="P251" t="n">
        <v>0</v>
      </c>
      <c r="Q251" t="n">
        <v>0</v>
      </c>
      <c r="R251" s="2" t="inlineStr"/>
    </row>
    <row r="252" ht="15" customHeight="1">
      <c r="A252" t="inlineStr">
        <is>
          <t>A 28054-2022</t>
        </is>
      </c>
      <c r="B252" s="1" t="n">
        <v>44746.41938657407</v>
      </c>
      <c r="C252" s="1" t="n">
        <v>46010</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28920-2025</t>
        </is>
      </c>
      <c r="B253" s="1" t="n">
        <v>45820.66532407407</v>
      </c>
      <c r="C253" s="1" t="n">
        <v>46010</v>
      </c>
      <c r="D253" t="inlineStr">
        <is>
          <t>ÖREBRO LÄN</t>
        </is>
      </c>
      <c r="E253" t="inlineStr">
        <is>
          <t>ÖREBRO</t>
        </is>
      </c>
      <c r="G253" t="n">
        <v>3</v>
      </c>
      <c r="H253" t="n">
        <v>0</v>
      </c>
      <c r="I253" t="n">
        <v>0</v>
      </c>
      <c r="J253" t="n">
        <v>0</v>
      </c>
      <c r="K253" t="n">
        <v>0</v>
      </c>
      <c r="L253" t="n">
        <v>0</v>
      </c>
      <c r="M253" t="n">
        <v>0</v>
      </c>
      <c r="N253" t="n">
        <v>0</v>
      </c>
      <c r="O253" t="n">
        <v>0</v>
      </c>
      <c r="P253" t="n">
        <v>0</v>
      </c>
      <c r="Q253" t="n">
        <v>0</v>
      </c>
      <c r="R253" s="2" t="inlineStr"/>
    </row>
    <row r="254" ht="15" customHeight="1">
      <c r="A254" t="inlineStr">
        <is>
          <t>A 541-2025</t>
        </is>
      </c>
      <c r="B254" s="1" t="n">
        <v>45664.52034722222</v>
      </c>
      <c r="C254" s="1" t="n">
        <v>46010</v>
      </c>
      <c r="D254" t="inlineStr">
        <is>
          <t>ÖREBRO LÄN</t>
        </is>
      </c>
      <c r="E254" t="inlineStr">
        <is>
          <t>ÖREBRO</t>
        </is>
      </c>
      <c r="G254" t="n">
        <v>2.2</v>
      </c>
      <c r="H254" t="n">
        <v>0</v>
      </c>
      <c r="I254" t="n">
        <v>0</v>
      </c>
      <c r="J254" t="n">
        <v>0</v>
      </c>
      <c r="K254" t="n">
        <v>0</v>
      </c>
      <c r="L254" t="n">
        <v>0</v>
      </c>
      <c r="M254" t="n">
        <v>0</v>
      </c>
      <c r="N254" t="n">
        <v>0</v>
      </c>
      <c r="O254" t="n">
        <v>0</v>
      </c>
      <c r="P254" t="n">
        <v>0</v>
      </c>
      <c r="Q254" t="n">
        <v>0</v>
      </c>
      <c r="R254" s="2" t="inlineStr"/>
    </row>
    <row r="255" ht="15" customHeight="1">
      <c r="A255" t="inlineStr">
        <is>
          <t>A 29339-2025</t>
        </is>
      </c>
      <c r="B255" s="1" t="n">
        <v>45824.5044212963</v>
      </c>
      <c r="C255" s="1" t="n">
        <v>46010</v>
      </c>
      <c r="D255" t="inlineStr">
        <is>
          <t>ÖREBRO LÄN</t>
        </is>
      </c>
      <c r="E255" t="inlineStr">
        <is>
          <t>ÖREBRO</t>
        </is>
      </c>
      <c r="G255" t="n">
        <v>4.3</v>
      </c>
      <c r="H255" t="n">
        <v>0</v>
      </c>
      <c r="I255" t="n">
        <v>0</v>
      </c>
      <c r="J255" t="n">
        <v>0</v>
      </c>
      <c r="K255" t="n">
        <v>0</v>
      </c>
      <c r="L255" t="n">
        <v>0</v>
      </c>
      <c r="M255" t="n">
        <v>0</v>
      </c>
      <c r="N255" t="n">
        <v>0</v>
      </c>
      <c r="O255" t="n">
        <v>0</v>
      </c>
      <c r="P255" t="n">
        <v>0</v>
      </c>
      <c r="Q255" t="n">
        <v>0</v>
      </c>
      <c r="R255" s="2" t="inlineStr"/>
    </row>
    <row r="256" ht="15" customHeight="1">
      <c r="A256" t="inlineStr">
        <is>
          <t>A 60059-2023</t>
        </is>
      </c>
      <c r="B256" s="1" t="n">
        <v>45258.38157407408</v>
      </c>
      <c r="C256" s="1" t="n">
        <v>46010</v>
      </c>
      <c r="D256" t="inlineStr">
        <is>
          <t>ÖREBRO LÄN</t>
        </is>
      </c>
      <c r="E256" t="inlineStr">
        <is>
          <t>ÖREBRO</t>
        </is>
      </c>
      <c r="G256" t="n">
        <v>4</v>
      </c>
      <c r="H256" t="n">
        <v>0</v>
      </c>
      <c r="I256" t="n">
        <v>0</v>
      </c>
      <c r="J256" t="n">
        <v>0</v>
      </c>
      <c r="K256" t="n">
        <v>0</v>
      </c>
      <c r="L256" t="n">
        <v>0</v>
      </c>
      <c r="M256" t="n">
        <v>0</v>
      </c>
      <c r="N256" t="n">
        <v>0</v>
      </c>
      <c r="O256" t="n">
        <v>0</v>
      </c>
      <c r="P256" t="n">
        <v>0</v>
      </c>
      <c r="Q256" t="n">
        <v>0</v>
      </c>
      <c r="R256" s="2" t="inlineStr"/>
    </row>
    <row r="257" ht="15" customHeight="1">
      <c r="A257" t="inlineStr">
        <is>
          <t>A 26858-2024</t>
        </is>
      </c>
      <c r="B257" s="1" t="n">
        <v>45470</v>
      </c>
      <c r="C257" s="1" t="n">
        <v>46010</v>
      </c>
      <c r="D257" t="inlineStr">
        <is>
          <t>ÖREBRO LÄN</t>
        </is>
      </c>
      <c r="E257" t="inlineStr">
        <is>
          <t>ÖREBRO</t>
        </is>
      </c>
      <c r="G257" t="n">
        <v>2.3</v>
      </c>
      <c r="H257" t="n">
        <v>0</v>
      </c>
      <c r="I257" t="n">
        <v>0</v>
      </c>
      <c r="J257" t="n">
        <v>0</v>
      </c>
      <c r="K257" t="n">
        <v>0</v>
      </c>
      <c r="L257" t="n">
        <v>0</v>
      </c>
      <c r="M257" t="n">
        <v>0</v>
      </c>
      <c r="N257" t="n">
        <v>0</v>
      </c>
      <c r="O257" t="n">
        <v>0</v>
      </c>
      <c r="P257" t="n">
        <v>0</v>
      </c>
      <c r="Q257" t="n">
        <v>0</v>
      </c>
      <c r="R257" s="2" t="inlineStr"/>
    </row>
    <row r="258" ht="15" customHeight="1">
      <c r="A258" t="inlineStr">
        <is>
          <t>A 53143-2023</t>
        </is>
      </c>
      <c r="B258" s="1" t="n">
        <v>45229</v>
      </c>
      <c r="C258" s="1" t="n">
        <v>46010</v>
      </c>
      <c r="D258" t="inlineStr">
        <is>
          <t>ÖREBRO LÄN</t>
        </is>
      </c>
      <c r="E258" t="inlineStr">
        <is>
          <t>ÖREBRO</t>
        </is>
      </c>
      <c r="G258" t="n">
        <v>3.3</v>
      </c>
      <c r="H258" t="n">
        <v>0</v>
      </c>
      <c r="I258" t="n">
        <v>0</v>
      </c>
      <c r="J258" t="n">
        <v>0</v>
      </c>
      <c r="K258" t="n">
        <v>0</v>
      </c>
      <c r="L258" t="n">
        <v>0</v>
      </c>
      <c r="M258" t="n">
        <v>0</v>
      </c>
      <c r="N258" t="n">
        <v>0</v>
      </c>
      <c r="O258" t="n">
        <v>0</v>
      </c>
      <c r="P258" t="n">
        <v>0</v>
      </c>
      <c r="Q258" t="n">
        <v>0</v>
      </c>
      <c r="R258" s="2" t="inlineStr"/>
    </row>
    <row r="259" ht="15" customHeight="1">
      <c r="A259" t="inlineStr">
        <is>
          <t>A 25407-2021</t>
        </is>
      </c>
      <c r="B259" s="1" t="n">
        <v>44342</v>
      </c>
      <c r="C259" s="1" t="n">
        <v>46010</v>
      </c>
      <c r="D259" t="inlineStr">
        <is>
          <t>ÖREBRO LÄN</t>
        </is>
      </c>
      <c r="E259" t="inlineStr">
        <is>
          <t>ÖREBRO</t>
        </is>
      </c>
      <c r="F259" t="inlineStr">
        <is>
          <t>Kommuner</t>
        </is>
      </c>
      <c r="G259" t="n">
        <v>7.2</v>
      </c>
      <c r="H259" t="n">
        <v>0</v>
      </c>
      <c r="I259" t="n">
        <v>0</v>
      </c>
      <c r="J259" t="n">
        <v>0</v>
      </c>
      <c r="K259" t="n">
        <v>0</v>
      </c>
      <c r="L259" t="n">
        <v>0</v>
      </c>
      <c r="M259" t="n">
        <v>0</v>
      </c>
      <c r="N259" t="n">
        <v>0</v>
      </c>
      <c r="O259" t="n">
        <v>0</v>
      </c>
      <c r="P259" t="n">
        <v>0</v>
      </c>
      <c r="Q259" t="n">
        <v>0</v>
      </c>
      <c r="R259" s="2" t="inlineStr"/>
    </row>
    <row r="260" ht="15" customHeight="1">
      <c r="A260" t="inlineStr">
        <is>
          <t>A 29701-2025</t>
        </is>
      </c>
      <c r="B260" s="1" t="n">
        <v>45825.55261574074</v>
      </c>
      <c r="C260" s="1" t="n">
        <v>46010</v>
      </c>
      <c r="D260" t="inlineStr">
        <is>
          <t>ÖREBRO LÄN</t>
        </is>
      </c>
      <c r="E260" t="inlineStr">
        <is>
          <t>ÖREBRO</t>
        </is>
      </c>
      <c r="G260" t="n">
        <v>5.8</v>
      </c>
      <c r="H260" t="n">
        <v>0</v>
      </c>
      <c r="I260" t="n">
        <v>0</v>
      </c>
      <c r="J260" t="n">
        <v>0</v>
      </c>
      <c r="K260" t="n">
        <v>0</v>
      </c>
      <c r="L260" t="n">
        <v>0</v>
      </c>
      <c r="M260" t="n">
        <v>0</v>
      </c>
      <c r="N260" t="n">
        <v>0</v>
      </c>
      <c r="O260" t="n">
        <v>0</v>
      </c>
      <c r="P260" t="n">
        <v>0</v>
      </c>
      <c r="Q260" t="n">
        <v>0</v>
      </c>
      <c r="R260" s="2" t="inlineStr"/>
    </row>
    <row r="261" ht="15" customHeight="1">
      <c r="A261" t="inlineStr">
        <is>
          <t>A 29286-2025</t>
        </is>
      </c>
      <c r="B261" s="1" t="n">
        <v>45824.43502314815</v>
      </c>
      <c r="C261" s="1" t="n">
        <v>46010</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45027-2024</t>
        </is>
      </c>
      <c r="B262" s="1" t="n">
        <v>45575</v>
      </c>
      <c r="C262" s="1" t="n">
        <v>46010</v>
      </c>
      <c r="D262" t="inlineStr">
        <is>
          <t>ÖREBRO LÄN</t>
        </is>
      </c>
      <c r="E262" t="inlineStr">
        <is>
          <t>ÖREBRO</t>
        </is>
      </c>
      <c r="G262" t="n">
        <v>6.3</v>
      </c>
      <c r="H262" t="n">
        <v>0</v>
      </c>
      <c r="I262" t="n">
        <v>0</v>
      </c>
      <c r="J262" t="n">
        <v>0</v>
      </c>
      <c r="K262" t="n">
        <v>0</v>
      </c>
      <c r="L262" t="n">
        <v>0</v>
      </c>
      <c r="M262" t="n">
        <v>0</v>
      </c>
      <c r="N262" t="n">
        <v>0</v>
      </c>
      <c r="O262" t="n">
        <v>0</v>
      </c>
      <c r="P262" t="n">
        <v>0</v>
      </c>
      <c r="Q262" t="n">
        <v>0</v>
      </c>
      <c r="R262" s="2" t="inlineStr"/>
    </row>
    <row r="263" ht="15" customHeight="1">
      <c r="A263" t="inlineStr">
        <is>
          <t>A 16140-2023</t>
        </is>
      </c>
      <c r="B263" s="1" t="n">
        <v>45027.6433912037</v>
      </c>
      <c r="C263" s="1" t="n">
        <v>46010</v>
      </c>
      <c r="D263" t="inlineStr">
        <is>
          <t>ÖREBRO LÄN</t>
        </is>
      </c>
      <c r="E263" t="inlineStr">
        <is>
          <t>ÖREBRO</t>
        </is>
      </c>
      <c r="G263" t="n">
        <v>2</v>
      </c>
      <c r="H263" t="n">
        <v>0</v>
      </c>
      <c r="I263" t="n">
        <v>0</v>
      </c>
      <c r="J263" t="n">
        <v>0</v>
      </c>
      <c r="K263" t="n">
        <v>0</v>
      </c>
      <c r="L263" t="n">
        <v>0</v>
      </c>
      <c r="M263" t="n">
        <v>0</v>
      </c>
      <c r="N263" t="n">
        <v>0</v>
      </c>
      <c r="O263" t="n">
        <v>0</v>
      </c>
      <c r="P263" t="n">
        <v>0</v>
      </c>
      <c r="Q263" t="n">
        <v>0</v>
      </c>
      <c r="R263" s="2" t="inlineStr"/>
    </row>
    <row r="264" ht="15" customHeight="1">
      <c r="A264" t="inlineStr">
        <is>
          <t>A 52391-2024</t>
        </is>
      </c>
      <c r="B264" s="1" t="n">
        <v>45609.43180555556</v>
      </c>
      <c r="C264" s="1" t="n">
        <v>46010</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52401-2024</t>
        </is>
      </c>
      <c r="B265" s="1" t="n">
        <v>45609.44553240741</v>
      </c>
      <c r="C265" s="1" t="n">
        <v>46010</v>
      </c>
      <c r="D265" t="inlineStr">
        <is>
          <t>ÖREBRO LÄN</t>
        </is>
      </c>
      <c r="E265" t="inlineStr">
        <is>
          <t>ÖREBRO</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30550-2025</t>
        </is>
      </c>
      <c r="B266" s="1" t="n">
        <v>45831.38224537037</v>
      </c>
      <c r="C266" s="1" t="n">
        <v>46010</v>
      </c>
      <c r="D266" t="inlineStr">
        <is>
          <t>ÖREBRO LÄN</t>
        </is>
      </c>
      <c r="E266" t="inlineStr">
        <is>
          <t>ÖREBRO</t>
        </is>
      </c>
      <c r="G266" t="n">
        <v>1.8</v>
      </c>
      <c r="H266" t="n">
        <v>0</v>
      </c>
      <c r="I266" t="n">
        <v>0</v>
      </c>
      <c r="J266" t="n">
        <v>0</v>
      </c>
      <c r="K266" t="n">
        <v>0</v>
      </c>
      <c r="L266" t="n">
        <v>0</v>
      </c>
      <c r="M266" t="n">
        <v>0</v>
      </c>
      <c r="N266" t="n">
        <v>0</v>
      </c>
      <c r="O266" t="n">
        <v>0</v>
      </c>
      <c r="P266" t="n">
        <v>0</v>
      </c>
      <c r="Q266" t="n">
        <v>0</v>
      </c>
      <c r="R266" s="2" t="inlineStr"/>
    </row>
    <row r="267" ht="15" customHeight="1">
      <c r="A267" t="inlineStr">
        <is>
          <t>A 30731-2025</t>
        </is>
      </c>
      <c r="B267" s="1" t="n">
        <v>45831.57280092593</v>
      </c>
      <c r="C267" s="1" t="n">
        <v>46010</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26338-2021</t>
        </is>
      </c>
      <c r="B268" s="1" t="n">
        <v>44347</v>
      </c>
      <c r="C268" s="1" t="n">
        <v>46010</v>
      </c>
      <c r="D268" t="inlineStr">
        <is>
          <t>ÖREBRO LÄN</t>
        </is>
      </c>
      <c r="E268" t="inlineStr">
        <is>
          <t>ÖREBRO</t>
        </is>
      </c>
      <c r="G268" t="n">
        <v>0.5</v>
      </c>
      <c r="H268" t="n">
        <v>0</v>
      </c>
      <c r="I268" t="n">
        <v>0</v>
      </c>
      <c r="J268" t="n">
        <v>0</v>
      </c>
      <c r="K268" t="n">
        <v>0</v>
      </c>
      <c r="L268" t="n">
        <v>0</v>
      </c>
      <c r="M268" t="n">
        <v>0</v>
      </c>
      <c r="N268" t="n">
        <v>0</v>
      </c>
      <c r="O268" t="n">
        <v>0</v>
      </c>
      <c r="P268" t="n">
        <v>0</v>
      </c>
      <c r="Q268" t="n">
        <v>0</v>
      </c>
      <c r="R268" s="2" t="inlineStr"/>
    </row>
    <row r="269" ht="15" customHeight="1">
      <c r="A269" t="inlineStr">
        <is>
          <t>A 53234-2023</t>
        </is>
      </c>
      <c r="B269" s="1" t="n">
        <v>45229</v>
      </c>
      <c r="C269" s="1" t="n">
        <v>46010</v>
      </c>
      <c r="D269" t="inlineStr">
        <is>
          <t>ÖREBRO LÄN</t>
        </is>
      </c>
      <c r="E269" t="inlineStr">
        <is>
          <t>ÖREBRO</t>
        </is>
      </c>
      <c r="G269" t="n">
        <v>1.8</v>
      </c>
      <c r="H269" t="n">
        <v>0</v>
      </c>
      <c r="I269" t="n">
        <v>0</v>
      </c>
      <c r="J269" t="n">
        <v>0</v>
      </c>
      <c r="K269" t="n">
        <v>0</v>
      </c>
      <c r="L269" t="n">
        <v>0</v>
      </c>
      <c r="M269" t="n">
        <v>0</v>
      </c>
      <c r="N269" t="n">
        <v>0</v>
      </c>
      <c r="O269" t="n">
        <v>0</v>
      </c>
      <c r="P269" t="n">
        <v>0</v>
      </c>
      <c r="Q269" t="n">
        <v>0</v>
      </c>
      <c r="R269" s="2" t="inlineStr"/>
    </row>
    <row r="270" ht="15" customHeight="1">
      <c r="A270" t="inlineStr">
        <is>
          <t>A 31232-2025</t>
        </is>
      </c>
      <c r="B270" s="1" t="n">
        <v>45832.8252199074</v>
      </c>
      <c r="C270" s="1" t="n">
        <v>46010</v>
      </c>
      <c r="D270" t="inlineStr">
        <is>
          <t>ÖREBRO LÄN</t>
        </is>
      </c>
      <c r="E270" t="inlineStr">
        <is>
          <t>ÖREBRO</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30951-2025</t>
        </is>
      </c>
      <c r="B271" s="1" t="n">
        <v>45832.43225694444</v>
      </c>
      <c r="C271" s="1" t="n">
        <v>46010</v>
      </c>
      <c r="D271" t="inlineStr">
        <is>
          <t>ÖREBRO LÄN</t>
        </is>
      </c>
      <c r="E271" t="inlineStr">
        <is>
          <t>ÖREBRO</t>
        </is>
      </c>
      <c r="F271" t="inlineStr">
        <is>
          <t>Övriga Aktiebolag</t>
        </is>
      </c>
      <c r="G271" t="n">
        <v>2.3</v>
      </c>
      <c r="H271" t="n">
        <v>0</v>
      </c>
      <c r="I271" t="n">
        <v>0</v>
      </c>
      <c r="J271" t="n">
        <v>0</v>
      </c>
      <c r="K271" t="n">
        <v>0</v>
      </c>
      <c r="L271" t="n">
        <v>0</v>
      </c>
      <c r="M271" t="n">
        <v>0</v>
      </c>
      <c r="N271" t="n">
        <v>0</v>
      </c>
      <c r="O271" t="n">
        <v>0</v>
      </c>
      <c r="P271" t="n">
        <v>0</v>
      </c>
      <c r="Q271" t="n">
        <v>0</v>
      </c>
      <c r="R271" s="2" t="inlineStr"/>
    </row>
    <row r="272" ht="15" customHeight="1">
      <c r="A272" t="inlineStr">
        <is>
          <t>A 59757-2023</t>
        </is>
      </c>
      <c r="B272" s="1" t="n">
        <v>45257.40833333333</v>
      </c>
      <c r="C272" s="1" t="n">
        <v>46010</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31233-2025</t>
        </is>
      </c>
      <c r="B273" s="1" t="n">
        <v>45832.83341435185</v>
      </c>
      <c r="C273" s="1" t="n">
        <v>46010</v>
      </c>
      <c r="D273" t="inlineStr">
        <is>
          <t>ÖREBRO LÄN</t>
        </is>
      </c>
      <c r="E273" t="inlineStr">
        <is>
          <t>ÖREBRO</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11067-2025</t>
        </is>
      </c>
      <c r="B274" s="1" t="n">
        <v>45723</v>
      </c>
      <c r="C274" s="1" t="n">
        <v>46010</v>
      </c>
      <c r="D274" t="inlineStr">
        <is>
          <t>ÖREBRO LÄN</t>
        </is>
      </c>
      <c r="E274" t="inlineStr">
        <is>
          <t>ÖREBRO</t>
        </is>
      </c>
      <c r="G274" t="n">
        <v>3.1</v>
      </c>
      <c r="H274" t="n">
        <v>0</v>
      </c>
      <c r="I274" t="n">
        <v>0</v>
      </c>
      <c r="J274" t="n">
        <v>0</v>
      </c>
      <c r="K274" t="n">
        <v>0</v>
      </c>
      <c r="L274" t="n">
        <v>0</v>
      </c>
      <c r="M274" t="n">
        <v>0</v>
      </c>
      <c r="N274" t="n">
        <v>0</v>
      </c>
      <c r="O274" t="n">
        <v>0</v>
      </c>
      <c r="P274" t="n">
        <v>0</v>
      </c>
      <c r="Q274" t="n">
        <v>0</v>
      </c>
      <c r="R274" s="2" t="inlineStr"/>
    </row>
    <row r="275" ht="15" customHeight="1">
      <c r="A275" t="inlineStr">
        <is>
          <t>A 31237-2025</t>
        </is>
      </c>
      <c r="B275" s="1" t="n">
        <v>45832.84313657408</v>
      </c>
      <c r="C275" s="1" t="n">
        <v>46010</v>
      </c>
      <c r="D275" t="inlineStr">
        <is>
          <t>ÖREBRO LÄN</t>
        </is>
      </c>
      <c r="E275" t="inlineStr">
        <is>
          <t>ÖREBRO</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31066-2025</t>
        </is>
      </c>
      <c r="B276" s="1" t="n">
        <v>45832</v>
      </c>
      <c r="C276" s="1" t="n">
        <v>46010</v>
      </c>
      <c r="D276" t="inlineStr">
        <is>
          <t>ÖREBRO LÄN</t>
        </is>
      </c>
      <c r="E276" t="inlineStr">
        <is>
          <t>ÖREBRO</t>
        </is>
      </c>
      <c r="G276" t="n">
        <v>11.1</v>
      </c>
      <c r="H276" t="n">
        <v>0</v>
      </c>
      <c r="I276" t="n">
        <v>0</v>
      </c>
      <c r="J276" t="n">
        <v>0</v>
      </c>
      <c r="K276" t="n">
        <v>0</v>
      </c>
      <c r="L276" t="n">
        <v>0</v>
      </c>
      <c r="M276" t="n">
        <v>0</v>
      </c>
      <c r="N276" t="n">
        <v>0</v>
      </c>
      <c r="O276" t="n">
        <v>0</v>
      </c>
      <c r="P276" t="n">
        <v>0</v>
      </c>
      <c r="Q276" t="n">
        <v>0</v>
      </c>
      <c r="R276" s="2" t="inlineStr"/>
    </row>
    <row r="277" ht="15" customHeight="1">
      <c r="A277" t="inlineStr">
        <is>
          <t>A 3659-2025</t>
        </is>
      </c>
      <c r="B277" s="1" t="n">
        <v>45681</v>
      </c>
      <c r="C277" s="1" t="n">
        <v>46010</v>
      </c>
      <c r="D277" t="inlineStr">
        <is>
          <t>ÖREBRO LÄN</t>
        </is>
      </c>
      <c r="E277" t="inlineStr">
        <is>
          <t>ÖREBRO</t>
        </is>
      </c>
      <c r="G277" t="n">
        <v>15.8</v>
      </c>
      <c r="H277" t="n">
        <v>0</v>
      </c>
      <c r="I277" t="n">
        <v>0</v>
      </c>
      <c r="J277" t="n">
        <v>0</v>
      </c>
      <c r="K277" t="n">
        <v>0</v>
      </c>
      <c r="L277" t="n">
        <v>0</v>
      </c>
      <c r="M277" t="n">
        <v>0</v>
      </c>
      <c r="N277" t="n">
        <v>0</v>
      </c>
      <c r="O277" t="n">
        <v>0</v>
      </c>
      <c r="P277" t="n">
        <v>0</v>
      </c>
      <c r="Q277" t="n">
        <v>0</v>
      </c>
      <c r="R277" s="2" t="inlineStr"/>
    </row>
    <row r="278" ht="15" customHeight="1">
      <c r="A278" t="inlineStr">
        <is>
          <t>A 13347-2023</t>
        </is>
      </c>
      <c r="B278" s="1" t="n">
        <v>45004</v>
      </c>
      <c r="C278" s="1" t="n">
        <v>46010</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6752-2022</t>
        </is>
      </c>
      <c r="B279" s="1" t="n">
        <v>44602.48082175926</v>
      </c>
      <c r="C279" s="1" t="n">
        <v>46010</v>
      </c>
      <c r="D279" t="inlineStr">
        <is>
          <t>ÖREBRO LÄN</t>
        </is>
      </c>
      <c r="E279" t="inlineStr">
        <is>
          <t>ÖREBRO</t>
        </is>
      </c>
      <c r="G279" t="n">
        <v>3.1</v>
      </c>
      <c r="H279" t="n">
        <v>0</v>
      </c>
      <c r="I279" t="n">
        <v>0</v>
      </c>
      <c r="J279" t="n">
        <v>0</v>
      </c>
      <c r="K279" t="n">
        <v>0</v>
      </c>
      <c r="L279" t="n">
        <v>0</v>
      </c>
      <c r="M279" t="n">
        <v>0</v>
      </c>
      <c r="N279" t="n">
        <v>0</v>
      </c>
      <c r="O279" t="n">
        <v>0</v>
      </c>
      <c r="P279" t="n">
        <v>0</v>
      </c>
      <c r="Q279" t="n">
        <v>0</v>
      </c>
      <c r="R279" s="2" t="inlineStr"/>
    </row>
    <row r="280" ht="15" customHeight="1">
      <c r="A280" t="inlineStr">
        <is>
          <t>A 32188-2025</t>
        </is>
      </c>
      <c r="B280" s="1" t="n">
        <v>45835.56965277778</v>
      </c>
      <c r="C280" s="1" t="n">
        <v>46010</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32195-2025</t>
        </is>
      </c>
      <c r="B281" s="1" t="n">
        <v>45835.57407407407</v>
      </c>
      <c r="C281" s="1" t="n">
        <v>46010</v>
      </c>
      <c r="D281" t="inlineStr">
        <is>
          <t>ÖREBRO LÄN</t>
        </is>
      </c>
      <c r="E281" t="inlineStr">
        <is>
          <t>ÖREBRO</t>
        </is>
      </c>
      <c r="G281" t="n">
        <v>1.5</v>
      </c>
      <c r="H281" t="n">
        <v>0</v>
      </c>
      <c r="I281" t="n">
        <v>0</v>
      </c>
      <c r="J281" t="n">
        <v>0</v>
      </c>
      <c r="K281" t="n">
        <v>0</v>
      </c>
      <c r="L281" t="n">
        <v>0</v>
      </c>
      <c r="M281" t="n">
        <v>0</v>
      </c>
      <c r="N281" t="n">
        <v>0</v>
      </c>
      <c r="O281" t="n">
        <v>0</v>
      </c>
      <c r="P281" t="n">
        <v>0</v>
      </c>
      <c r="Q281" t="n">
        <v>0</v>
      </c>
      <c r="R281" s="2" t="inlineStr"/>
    </row>
    <row r="282" ht="15" customHeight="1">
      <c r="A282" t="inlineStr">
        <is>
          <t>A 57867-2024</t>
        </is>
      </c>
      <c r="B282" s="1" t="n">
        <v>45631.43864583333</v>
      </c>
      <c r="C282" s="1" t="n">
        <v>46010</v>
      </c>
      <c r="D282" t="inlineStr">
        <is>
          <t>ÖREBRO LÄN</t>
        </is>
      </c>
      <c r="E282" t="inlineStr">
        <is>
          <t>ÖREBRO</t>
        </is>
      </c>
      <c r="G282" t="n">
        <v>1.5</v>
      </c>
      <c r="H282" t="n">
        <v>0</v>
      </c>
      <c r="I282" t="n">
        <v>0</v>
      </c>
      <c r="J282" t="n">
        <v>0</v>
      </c>
      <c r="K282" t="n">
        <v>0</v>
      </c>
      <c r="L282" t="n">
        <v>0</v>
      </c>
      <c r="M282" t="n">
        <v>0</v>
      </c>
      <c r="N282" t="n">
        <v>0</v>
      </c>
      <c r="O282" t="n">
        <v>0</v>
      </c>
      <c r="P282" t="n">
        <v>0</v>
      </c>
      <c r="Q282" t="n">
        <v>0</v>
      </c>
      <c r="R282" s="2" t="inlineStr"/>
    </row>
    <row r="283" ht="15" customHeight="1">
      <c r="A283" t="inlineStr">
        <is>
          <t>A 32218-2025</t>
        </is>
      </c>
      <c r="B283" s="1" t="n">
        <v>45835.58880787037</v>
      </c>
      <c r="C283" s="1" t="n">
        <v>46010</v>
      </c>
      <c r="D283" t="inlineStr">
        <is>
          <t>ÖREBRO LÄN</t>
        </is>
      </c>
      <c r="E283" t="inlineStr">
        <is>
          <t>ÖREBRO</t>
        </is>
      </c>
      <c r="G283" t="n">
        <v>0.7</v>
      </c>
      <c r="H283" t="n">
        <v>0</v>
      </c>
      <c r="I283" t="n">
        <v>0</v>
      </c>
      <c r="J283" t="n">
        <v>0</v>
      </c>
      <c r="K283" t="n">
        <v>0</v>
      </c>
      <c r="L283" t="n">
        <v>0</v>
      </c>
      <c r="M283" t="n">
        <v>0</v>
      </c>
      <c r="N283" t="n">
        <v>0</v>
      </c>
      <c r="O283" t="n">
        <v>0</v>
      </c>
      <c r="P283" t="n">
        <v>0</v>
      </c>
      <c r="Q283" t="n">
        <v>0</v>
      </c>
      <c r="R283" s="2" t="inlineStr"/>
    </row>
    <row r="284" ht="15" customHeight="1">
      <c r="A284" t="inlineStr">
        <is>
          <t>A 13355-2023</t>
        </is>
      </c>
      <c r="B284" s="1" t="n">
        <v>45004</v>
      </c>
      <c r="C284" s="1" t="n">
        <v>46010</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14544-2023</t>
        </is>
      </c>
      <c r="B285" s="1" t="n">
        <v>45013</v>
      </c>
      <c r="C285" s="1" t="n">
        <v>46010</v>
      </c>
      <c r="D285" t="inlineStr">
        <is>
          <t>ÖREBRO LÄN</t>
        </is>
      </c>
      <c r="E285" t="inlineStr">
        <is>
          <t>ÖREBRO</t>
        </is>
      </c>
      <c r="G285" t="n">
        <v>0.5</v>
      </c>
      <c r="H285" t="n">
        <v>0</v>
      </c>
      <c r="I285" t="n">
        <v>0</v>
      </c>
      <c r="J285" t="n">
        <v>0</v>
      </c>
      <c r="K285" t="n">
        <v>0</v>
      </c>
      <c r="L285" t="n">
        <v>0</v>
      </c>
      <c r="M285" t="n">
        <v>0</v>
      </c>
      <c r="N285" t="n">
        <v>0</v>
      </c>
      <c r="O285" t="n">
        <v>0</v>
      </c>
      <c r="P285" t="n">
        <v>0</v>
      </c>
      <c r="Q285" t="n">
        <v>0</v>
      </c>
      <c r="R285" s="2" t="inlineStr"/>
    </row>
    <row r="286" ht="15" customHeight="1">
      <c r="A286" t="inlineStr">
        <is>
          <t>A 32904-2025</t>
        </is>
      </c>
      <c r="B286" s="1" t="n">
        <v>45839</v>
      </c>
      <c r="C286" s="1" t="n">
        <v>46010</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71272-2021</t>
        </is>
      </c>
      <c r="B287" s="1" t="n">
        <v>44539.61571759259</v>
      </c>
      <c r="C287" s="1" t="n">
        <v>46010</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32426-2025</t>
        </is>
      </c>
      <c r="B288" s="1" t="n">
        <v>45838.36179398148</v>
      </c>
      <c r="C288" s="1" t="n">
        <v>46010</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3120-2022</t>
        </is>
      </c>
      <c r="B289" s="1" t="n">
        <v>44582</v>
      </c>
      <c r="C289" s="1" t="n">
        <v>46010</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19388-2024</t>
        </is>
      </c>
      <c r="B290" s="1" t="n">
        <v>45429.37775462963</v>
      </c>
      <c r="C290" s="1" t="n">
        <v>46010</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33191-2025</t>
        </is>
      </c>
      <c r="B291" s="1" t="n">
        <v>45840.6003587963</v>
      </c>
      <c r="C291" s="1" t="n">
        <v>46010</v>
      </c>
      <c r="D291" t="inlineStr">
        <is>
          <t>ÖREBRO LÄN</t>
        </is>
      </c>
      <c r="E291" t="inlineStr">
        <is>
          <t>ÖREBRO</t>
        </is>
      </c>
      <c r="G291" t="n">
        <v>2.6</v>
      </c>
      <c r="H291" t="n">
        <v>0</v>
      </c>
      <c r="I291" t="n">
        <v>0</v>
      </c>
      <c r="J291" t="n">
        <v>0</v>
      </c>
      <c r="K291" t="n">
        <v>0</v>
      </c>
      <c r="L291" t="n">
        <v>0</v>
      </c>
      <c r="M291" t="n">
        <v>0</v>
      </c>
      <c r="N291" t="n">
        <v>0</v>
      </c>
      <c r="O291" t="n">
        <v>0</v>
      </c>
      <c r="P291" t="n">
        <v>0</v>
      </c>
      <c r="Q291" t="n">
        <v>0</v>
      </c>
      <c r="R291" s="2" t="inlineStr"/>
    </row>
    <row r="292" ht="15" customHeight="1">
      <c r="A292" t="inlineStr">
        <is>
          <t>A 40597-2021</t>
        </is>
      </c>
      <c r="B292" s="1" t="n">
        <v>44420</v>
      </c>
      <c r="C292" s="1" t="n">
        <v>46010</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2318-2023</t>
        </is>
      </c>
      <c r="B293" s="1" t="n">
        <v>44942</v>
      </c>
      <c r="C293" s="1" t="n">
        <v>46010</v>
      </c>
      <c r="D293" t="inlineStr">
        <is>
          <t>ÖREBRO LÄN</t>
        </is>
      </c>
      <c r="E293" t="inlineStr">
        <is>
          <t>ÖREBRO</t>
        </is>
      </c>
      <c r="G293" t="n">
        <v>1.9</v>
      </c>
      <c r="H293" t="n">
        <v>0</v>
      </c>
      <c r="I293" t="n">
        <v>0</v>
      </c>
      <c r="J293" t="n">
        <v>0</v>
      </c>
      <c r="K293" t="n">
        <v>0</v>
      </c>
      <c r="L293" t="n">
        <v>0</v>
      </c>
      <c r="M293" t="n">
        <v>0</v>
      </c>
      <c r="N293" t="n">
        <v>0</v>
      </c>
      <c r="O293" t="n">
        <v>0</v>
      </c>
      <c r="P293" t="n">
        <v>0</v>
      </c>
      <c r="Q293" t="n">
        <v>0</v>
      </c>
      <c r="R293" s="2" t="inlineStr"/>
    </row>
    <row r="294" ht="15" customHeight="1">
      <c r="A294" t="inlineStr">
        <is>
          <t>A 20121-2024</t>
        </is>
      </c>
      <c r="B294" s="1" t="n">
        <v>45434</v>
      </c>
      <c r="C294" s="1" t="n">
        <v>46010</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20150-2024</t>
        </is>
      </c>
      <c r="B295" s="1" t="n">
        <v>45434.57969907407</v>
      </c>
      <c r="C295" s="1" t="n">
        <v>46010</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767-2024</t>
        </is>
      </c>
      <c r="B296" s="1" t="n">
        <v>45300.51892361111</v>
      </c>
      <c r="C296" s="1" t="n">
        <v>46010</v>
      </c>
      <c r="D296" t="inlineStr">
        <is>
          <t>ÖREBRO LÄN</t>
        </is>
      </c>
      <c r="E296" t="inlineStr">
        <is>
          <t>ÖREBRO</t>
        </is>
      </c>
      <c r="G296" t="n">
        <v>2</v>
      </c>
      <c r="H296" t="n">
        <v>0</v>
      </c>
      <c r="I296" t="n">
        <v>0</v>
      </c>
      <c r="J296" t="n">
        <v>0</v>
      </c>
      <c r="K296" t="n">
        <v>0</v>
      </c>
      <c r="L296" t="n">
        <v>0</v>
      </c>
      <c r="M296" t="n">
        <v>0</v>
      </c>
      <c r="N296" t="n">
        <v>0</v>
      </c>
      <c r="O296" t="n">
        <v>0</v>
      </c>
      <c r="P296" t="n">
        <v>0</v>
      </c>
      <c r="Q296" t="n">
        <v>0</v>
      </c>
      <c r="R296" s="2" t="inlineStr"/>
    </row>
    <row r="297" ht="15" customHeight="1">
      <c r="A297" t="inlineStr">
        <is>
          <t>A 52441-2024</t>
        </is>
      </c>
      <c r="B297" s="1" t="n">
        <v>45609.48451388889</v>
      </c>
      <c r="C297" s="1" t="n">
        <v>46010</v>
      </c>
      <c r="D297" t="inlineStr">
        <is>
          <t>ÖREBRO LÄN</t>
        </is>
      </c>
      <c r="E297" t="inlineStr">
        <is>
          <t>ÖREBRO</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58611-2024</t>
        </is>
      </c>
      <c r="B298" s="1" t="n">
        <v>45635.55555555555</v>
      </c>
      <c r="C298" s="1" t="n">
        <v>46010</v>
      </c>
      <c r="D298" t="inlineStr">
        <is>
          <t>ÖREBRO LÄN</t>
        </is>
      </c>
      <c r="E298" t="inlineStr">
        <is>
          <t>ÖREBRO</t>
        </is>
      </c>
      <c r="F298" t="inlineStr">
        <is>
          <t>Sveaskog</t>
        </is>
      </c>
      <c r="G298" t="n">
        <v>0.3</v>
      </c>
      <c r="H298" t="n">
        <v>0</v>
      </c>
      <c r="I298" t="n">
        <v>0</v>
      </c>
      <c r="J298" t="n">
        <v>0</v>
      </c>
      <c r="K298" t="n">
        <v>0</v>
      </c>
      <c r="L298" t="n">
        <v>0</v>
      </c>
      <c r="M298" t="n">
        <v>0</v>
      </c>
      <c r="N298" t="n">
        <v>0</v>
      </c>
      <c r="O298" t="n">
        <v>0</v>
      </c>
      <c r="P298" t="n">
        <v>0</v>
      </c>
      <c r="Q298" t="n">
        <v>0</v>
      </c>
      <c r="R298" s="2" t="inlineStr"/>
    </row>
    <row r="299" ht="15" customHeight="1">
      <c r="A299" t="inlineStr">
        <is>
          <t>A 44960-2025</t>
        </is>
      </c>
      <c r="B299" s="1" t="n">
        <v>45918.61577546296</v>
      </c>
      <c r="C299" s="1" t="n">
        <v>46010</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38075-2022</t>
        </is>
      </c>
      <c r="B300" s="1" t="n">
        <v>44811</v>
      </c>
      <c r="C300" s="1" t="n">
        <v>46010</v>
      </c>
      <c r="D300" t="inlineStr">
        <is>
          <t>ÖREBRO LÄN</t>
        </is>
      </c>
      <c r="E300" t="inlineStr">
        <is>
          <t>ÖREBRO</t>
        </is>
      </c>
      <c r="G300" t="n">
        <v>0.2</v>
      </c>
      <c r="H300" t="n">
        <v>0</v>
      </c>
      <c r="I300" t="n">
        <v>0</v>
      </c>
      <c r="J300" t="n">
        <v>0</v>
      </c>
      <c r="K300" t="n">
        <v>0</v>
      </c>
      <c r="L300" t="n">
        <v>0</v>
      </c>
      <c r="M300" t="n">
        <v>0</v>
      </c>
      <c r="N300" t="n">
        <v>0</v>
      </c>
      <c r="O300" t="n">
        <v>0</v>
      </c>
      <c r="P300" t="n">
        <v>0</v>
      </c>
      <c r="Q300" t="n">
        <v>0</v>
      </c>
      <c r="R300" s="2" t="inlineStr"/>
    </row>
    <row r="301" ht="15" customHeight="1">
      <c r="A301" t="inlineStr">
        <is>
          <t>A 19831-2021</t>
        </is>
      </c>
      <c r="B301" s="1" t="n">
        <v>44313</v>
      </c>
      <c r="C301" s="1" t="n">
        <v>46010</v>
      </c>
      <c r="D301" t="inlineStr">
        <is>
          <t>ÖREBRO LÄN</t>
        </is>
      </c>
      <c r="E301" t="inlineStr">
        <is>
          <t>ÖREBRO</t>
        </is>
      </c>
      <c r="G301" t="n">
        <v>3.2</v>
      </c>
      <c r="H301" t="n">
        <v>0</v>
      </c>
      <c r="I301" t="n">
        <v>0</v>
      </c>
      <c r="J301" t="n">
        <v>0</v>
      </c>
      <c r="K301" t="n">
        <v>0</v>
      </c>
      <c r="L301" t="n">
        <v>0</v>
      </c>
      <c r="M301" t="n">
        <v>0</v>
      </c>
      <c r="N301" t="n">
        <v>0</v>
      </c>
      <c r="O301" t="n">
        <v>0</v>
      </c>
      <c r="P301" t="n">
        <v>0</v>
      </c>
      <c r="Q301" t="n">
        <v>0</v>
      </c>
      <c r="R301" s="2" t="inlineStr"/>
    </row>
    <row r="302" ht="15" customHeight="1">
      <c r="A302" t="inlineStr">
        <is>
          <t>A 5133-2024</t>
        </is>
      </c>
      <c r="B302" s="1" t="n">
        <v>45330</v>
      </c>
      <c r="C302" s="1" t="n">
        <v>46010</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48687-2024</t>
        </is>
      </c>
      <c r="B303" s="1" t="n">
        <v>45593.49899305555</v>
      </c>
      <c r="C303" s="1" t="n">
        <v>46010</v>
      </c>
      <c r="D303" t="inlineStr">
        <is>
          <t>ÖREBRO LÄN</t>
        </is>
      </c>
      <c r="E303" t="inlineStr">
        <is>
          <t>ÖREBRO</t>
        </is>
      </c>
      <c r="F303" t="inlineStr">
        <is>
          <t>Övriga Aktiebolag</t>
        </is>
      </c>
      <c r="G303" t="n">
        <v>3.8</v>
      </c>
      <c r="H303" t="n">
        <v>0</v>
      </c>
      <c r="I303" t="n">
        <v>0</v>
      </c>
      <c r="J303" t="n">
        <v>0</v>
      </c>
      <c r="K303" t="n">
        <v>0</v>
      </c>
      <c r="L303" t="n">
        <v>0</v>
      </c>
      <c r="M303" t="n">
        <v>0</v>
      </c>
      <c r="N303" t="n">
        <v>0</v>
      </c>
      <c r="O303" t="n">
        <v>0</v>
      </c>
      <c r="P303" t="n">
        <v>0</v>
      </c>
      <c r="Q303" t="n">
        <v>0</v>
      </c>
      <c r="R303" s="2" t="inlineStr"/>
    </row>
    <row r="304" ht="15" customHeight="1">
      <c r="A304" t="inlineStr">
        <is>
          <t>A 58219-2024</t>
        </is>
      </c>
      <c r="B304" s="1" t="n">
        <v>45632</v>
      </c>
      <c r="C304" s="1" t="n">
        <v>46010</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44875-2025</t>
        </is>
      </c>
      <c r="B305" s="1" t="n">
        <v>45918.47043981482</v>
      </c>
      <c r="C305" s="1" t="n">
        <v>46010</v>
      </c>
      <c r="D305" t="inlineStr">
        <is>
          <t>ÖREBRO LÄN</t>
        </is>
      </c>
      <c r="E305" t="inlineStr">
        <is>
          <t>ÖREBRO</t>
        </is>
      </c>
      <c r="G305" t="n">
        <v>1.4</v>
      </c>
      <c r="H305" t="n">
        <v>0</v>
      </c>
      <c r="I305" t="n">
        <v>0</v>
      </c>
      <c r="J305" t="n">
        <v>0</v>
      </c>
      <c r="K305" t="n">
        <v>0</v>
      </c>
      <c r="L305" t="n">
        <v>0</v>
      </c>
      <c r="M305" t="n">
        <v>0</v>
      </c>
      <c r="N305" t="n">
        <v>0</v>
      </c>
      <c r="O305" t="n">
        <v>0</v>
      </c>
      <c r="P305" t="n">
        <v>0</v>
      </c>
      <c r="Q305" t="n">
        <v>0</v>
      </c>
      <c r="R305" s="2" t="inlineStr"/>
    </row>
    <row r="306" ht="15" customHeight="1">
      <c r="A306" t="inlineStr">
        <is>
          <t>A 52477-2024</t>
        </is>
      </c>
      <c r="B306" s="1" t="n">
        <v>45609</v>
      </c>
      <c r="C306" s="1" t="n">
        <v>46010</v>
      </c>
      <c r="D306" t="inlineStr">
        <is>
          <t>ÖREBRO LÄN</t>
        </is>
      </c>
      <c r="E306" t="inlineStr">
        <is>
          <t>ÖREBRO</t>
        </is>
      </c>
      <c r="G306" t="n">
        <v>0.7</v>
      </c>
      <c r="H306" t="n">
        <v>0</v>
      </c>
      <c r="I306" t="n">
        <v>0</v>
      </c>
      <c r="J306" t="n">
        <v>0</v>
      </c>
      <c r="K306" t="n">
        <v>0</v>
      </c>
      <c r="L306" t="n">
        <v>0</v>
      </c>
      <c r="M306" t="n">
        <v>0</v>
      </c>
      <c r="N306" t="n">
        <v>0</v>
      </c>
      <c r="O306" t="n">
        <v>0</v>
      </c>
      <c r="P306" t="n">
        <v>0</v>
      </c>
      <c r="Q306" t="n">
        <v>0</v>
      </c>
      <c r="R306" s="2" t="inlineStr"/>
    </row>
    <row r="307" ht="15" customHeight="1">
      <c r="A307" t="inlineStr">
        <is>
          <t>A 10368-2021</t>
        </is>
      </c>
      <c r="B307" s="1" t="n">
        <v>44257</v>
      </c>
      <c r="C307" s="1" t="n">
        <v>46010</v>
      </c>
      <c r="D307" t="inlineStr">
        <is>
          <t>ÖREBRO LÄN</t>
        </is>
      </c>
      <c r="E307" t="inlineStr">
        <is>
          <t>ÖREBRO</t>
        </is>
      </c>
      <c r="G307" t="n">
        <v>1.2</v>
      </c>
      <c r="H307" t="n">
        <v>0</v>
      </c>
      <c r="I307" t="n">
        <v>0</v>
      </c>
      <c r="J307" t="n">
        <v>0</v>
      </c>
      <c r="K307" t="n">
        <v>0</v>
      </c>
      <c r="L307" t="n">
        <v>0</v>
      </c>
      <c r="M307" t="n">
        <v>0</v>
      </c>
      <c r="N307" t="n">
        <v>0</v>
      </c>
      <c r="O307" t="n">
        <v>0</v>
      </c>
      <c r="P307" t="n">
        <v>0</v>
      </c>
      <c r="Q307" t="n">
        <v>0</v>
      </c>
      <c r="R307" s="2" t="inlineStr"/>
    </row>
    <row r="308" ht="15" customHeight="1">
      <c r="A308" t="inlineStr">
        <is>
          <t>A 4284-2025</t>
        </is>
      </c>
      <c r="B308" s="1" t="n">
        <v>45685</v>
      </c>
      <c r="C308" s="1" t="n">
        <v>46010</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2771-2023</t>
        </is>
      </c>
      <c r="B309" s="1" t="n">
        <v>44944.64704861111</v>
      </c>
      <c r="C309" s="1" t="n">
        <v>46010</v>
      </c>
      <c r="D309" t="inlineStr">
        <is>
          <t>ÖREBRO LÄN</t>
        </is>
      </c>
      <c r="E309" t="inlineStr">
        <is>
          <t>ÖREBRO</t>
        </is>
      </c>
      <c r="G309" t="n">
        <v>15.4</v>
      </c>
      <c r="H309" t="n">
        <v>0</v>
      </c>
      <c r="I309" t="n">
        <v>0</v>
      </c>
      <c r="J309" t="n">
        <v>0</v>
      </c>
      <c r="K309" t="n">
        <v>0</v>
      </c>
      <c r="L309" t="n">
        <v>0</v>
      </c>
      <c r="M309" t="n">
        <v>0</v>
      </c>
      <c r="N309" t="n">
        <v>0</v>
      </c>
      <c r="O309" t="n">
        <v>0</v>
      </c>
      <c r="P309" t="n">
        <v>0</v>
      </c>
      <c r="Q309" t="n">
        <v>0</v>
      </c>
      <c r="R309" s="2" t="inlineStr"/>
    </row>
    <row r="310" ht="15" customHeight="1">
      <c r="A310" t="inlineStr">
        <is>
          <t>A 2076-2025</t>
        </is>
      </c>
      <c r="B310" s="1" t="n">
        <v>45672</v>
      </c>
      <c r="C310" s="1" t="n">
        <v>46010</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35062-2025</t>
        </is>
      </c>
      <c r="B311" s="1" t="n">
        <v>45852</v>
      </c>
      <c r="C311" s="1" t="n">
        <v>46010</v>
      </c>
      <c r="D311" t="inlineStr">
        <is>
          <t>ÖREBRO LÄN</t>
        </is>
      </c>
      <c r="E311" t="inlineStr">
        <is>
          <t>ÖREBRO</t>
        </is>
      </c>
      <c r="G311" t="n">
        <v>2.8</v>
      </c>
      <c r="H311" t="n">
        <v>0</v>
      </c>
      <c r="I311" t="n">
        <v>0</v>
      </c>
      <c r="J311" t="n">
        <v>0</v>
      </c>
      <c r="K311" t="n">
        <v>0</v>
      </c>
      <c r="L311" t="n">
        <v>0</v>
      </c>
      <c r="M311" t="n">
        <v>0</v>
      </c>
      <c r="N311" t="n">
        <v>0</v>
      </c>
      <c r="O311" t="n">
        <v>0</v>
      </c>
      <c r="P311" t="n">
        <v>0</v>
      </c>
      <c r="Q311" t="n">
        <v>0</v>
      </c>
      <c r="R311" s="2" t="inlineStr"/>
    </row>
    <row r="312" ht="15" customHeight="1">
      <c r="A312" t="inlineStr">
        <is>
          <t>A 58216-2024</t>
        </is>
      </c>
      <c r="B312" s="1" t="n">
        <v>45632</v>
      </c>
      <c r="C312" s="1" t="n">
        <v>46010</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3763-2025</t>
        </is>
      </c>
      <c r="B313" s="1" t="n">
        <v>45681</v>
      </c>
      <c r="C313" s="1" t="n">
        <v>46010</v>
      </c>
      <c r="D313" t="inlineStr">
        <is>
          <t>ÖREBRO LÄN</t>
        </is>
      </c>
      <c r="E313" t="inlineStr">
        <is>
          <t>ÖREBRO</t>
        </is>
      </c>
      <c r="G313" t="n">
        <v>10.1</v>
      </c>
      <c r="H313" t="n">
        <v>0</v>
      </c>
      <c r="I313" t="n">
        <v>0</v>
      </c>
      <c r="J313" t="n">
        <v>0</v>
      </c>
      <c r="K313" t="n">
        <v>0</v>
      </c>
      <c r="L313" t="n">
        <v>0</v>
      </c>
      <c r="M313" t="n">
        <v>0</v>
      </c>
      <c r="N313" t="n">
        <v>0</v>
      </c>
      <c r="O313" t="n">
        <v>0</v>
      </c>
      <c r="P313" t="n">
        <v>0</v>
      </c>
      <c r="Q313" t="n">
        <v>0</v>
      </c>
      <c r="R313" s="2" t="inlineStr"/>
    </row>
    <row r="314" ht="15" customHeight="1">
      <c r="A314" t="inlineStr">
        <is>
          <t>A 28821-2025</t>
        </is>
      </c>
      <c r="B314" s="1" t="n">
        <v>45820</v>
      </c>
      <c r="C314" s="1" t="n">
        <v>46010</v>
      </c>
      <c r="D314" t="inlineStr">
        <is>
          <t>ÖREBRO LÄN</t>
        </is>
      </c>
      <c r="E314" t="inlineStr">
        <is>
          <t>ÖREBRO</t>
        </is>
      </c>
      <c r="G314" t="n">
        <v>12.6</v>
      </c>
      <c r="H314" t="n">
        <v>0</v>
      </c>
      <c r="I314" t="n">
        <v>0</v>
      </c>
      <c r="J314" t="n">
        <v>0</v>
      </c>
      <c r="K314" t="n">
        <v>0</v>
      </c>
      <c r="L314" t="n">
        <v>0</v>
      </c>
      <c r="M314" t="n">
        <v>0</v>
      </c>
      <c r="N314" t="n">
        <v>0</v>
      </c>
      <c r="O314" t="n">
        <v>0</v>
      </c>
      <c r="P314" t="n">
        <v>0</v>
      </c>
      <c r="Q314" t="n">
        <v>0</v>
      </c>
      <c r="R314" s="2" t="inlineStr"/>
    </row>
    <row r="315" ht="15" customHeight="1">
      <c r="A315" t="inlineStr">
        <is>
          <t>A 5324-2024</t>
        </is>
      </c>
      <c r="B315" s="1" t="n">
        <v>45331</v>
      </c>
      <c r="C315" s="1" t="n">
        <v>46010</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35637-2025</t>
        </is>
      </c>
      <c r="B316" s="1" t="n">
        <v>45859.46859953704</v>
      </c>
      <c r="C316" s="1" t="n">
        <v>46010</v>
      </c>
      <c r="D316" t="inlineStr">
        <is>
          <t>ÖREBRO LÄN</t>
        </is>
      </c>
      <c r="E316" t="inlineStr">
        <is>
          <t>ÖREBRO</t>
        </is>
      </c>
      <c r="G316" t="n">
        <v>2.1</v>
      </c>
      <c r="H316" t="n">
        <v>0</v>
      </c>
      <c r="I316" t="n">
        <v>0</v>
      </c>
      <c r="J316" t="n">
        <v>0</v>
      </c>
      <c r="K316" t="n">
        <v>0</v>
      </c>
      <c r="L316" t="n">
        <v>0</v>
      </c>
      <c r="M316" t="n">
        <v>0</v>
      </c>
      <c r="N316" t="n">
        <v>0</v>
      </c>
      <c r="O316" t="n">
        <v>0</v>
      </c>
      <c r="P316" t="n">
        <v>0</v>
      </c>
      <c r="Q316" t="n">
        <v>0</v>
      </c>
      <c r="R316" s="2" t="inlineStr"/>
    </row>
    <row r="317" ht="15" customHeight="1">
      <c r="A317" t="inlineStr">
        <is>
          <t>A 18360-2024</t>
        </is>
      </c>
      <c r="B317" s="1" t="n">
        <v>45422</v>
      </c>
      <c r="C317" s="1" t="n">
        <v>46010</v>
      </c>
      <c r="D317" t="inlineStr">
        <is>
          <t>ÖREBRO LÄN</t>
        </is>
      </c>
      <c r="E317" t="inlineStr">
        <is>
          <t>ÖREBRO</t>
        </is>
      </c>
      <c r="G317" t="n">
        <v>0.7</v>
      </c>
      <c r="H317" t="n">
        <v>0</v>
      </c>
      <c r="I317" t="n">
        <v>0</v>
      </c>
      <c r="J317" t="n">
        <v>0</v>
      </c>
      <c r="K317" t="n">
        <v>0</v>
      </c>
      <c r="L317" t="n">
        <v>0</v>
      </c>
      <c r="M317" t="n">
        <v>0</v>
      </c>
      <c r="N317" t="n">
        <v>0</v>
      </c>
      <c r="O317" t="n">
        <v>0</v>
      </c>
      <c r="P317" t="n">
        <v>0</v>
      </c>
      <c r="Q317" t="n">
        <v>0</v>
      </c>
      <c r="R317" s="2" t="inlineStr"/>
    </row>
    <row r="318" ht="15" customHeight="1">
      <c r="A318" t="inlineStr">
        <is>
          <t>A 16676-2025</t>
        </is>
      </c>
      <c r="B318" s="1" t="n">
        <v>45754.44658564815</v>
      </c>
      <c r="C318" s="1" t="n">
        <v>46010</v>
      </c>
      <c r="D318" t="inlineStr">
        <is>
          <t>ÖREBRO LÄN</t>
        </is>
      </c>
      <c r="E318" t="inlineStr">
        <is>
          <t>ÖREBRO</t>
        </is>
      </c>
      <c r="G318" t="n">
        <v>5.8</v>
      </c>
      <c r="H318" t="n">
        <v>0</v>
      </c>
      <c r="I318" t="n">
        <v>0</v>
      </c>
      <c r="J318" t="n">
        <v>0</v>
      </c>
      <c r="K318" t="n">
        <v>0</v>
      </c>
      <c r="L318" t="n">
        <v>0</v>
      </c>
      <c r="M318" t="n">
        <v>0</v>
      </c>
      <c r="N318" t="n">
        <v>0</v>
      </c>
      <c r="O318" t="n">
        <v>0</v>
      </c>
      <c r="P318" t="n">
        <v>0</v>
      </c>
      <c r="Q318" t="n">
        <v>0</v>
      </c>
      <c r="R318" s="2" t="inlineStr"/>
    </row>
    <row r="319" ht="15" customHeight="1">
      <c r="A319" t="inlineStr">
        <is>
          <t>A 35928-2025</t>
        </is>
      </c>
      <c r="B319" s="1" t="n">
        <v>45862</v>
      </c>
      <c r="C319" s="1" t="n">
        <v>46010</v>
      </c>
      <c r="D319" t="inlineStr">
        <is>
          <t>ÖREBRO LÄN</t>
        </is>
      </c>
      <c r="E319" t="inlineStr">
        <is>
          <t>ÖREBRO</t>
        </is>
      </c>
      <c r="G319" t="n">
        <v>4.4</v>
      </c>
      <c r="H319" t="n">
        <v>0</v>
      </c>
      <c r="I319" t="n">
        <v>0</v>
      </c>
      <c r="J319" t="n">
        <v>0</v>
      </c>
      <c r="K319" t="n">
        <v>0</v>
      </c>
      <c r="L319" t="n">
        <v>0</v>
      </c>
      <c r="M319" t="n">
        <v>0</v>
      </c>
      <c r="N319" t="n">
        <v>0</v>
      </c>
      <c r="O319" t="n">
        <v>0</v>
      </c>
      <c r="P319" t="n">
        <v>0</v>
      </c>
      <c r="Q319" t="n">
        <v>0</v>
      </c>
      <c r="R319" s="2" t="inlineStr"/>
    </row>
    <row r="320" ht="15" customHeight="1">
      <c r="A320" t="inlineStr">
        <is>
          <t>A 5357-2024</t>
        </is>
      </c>
      <c r="B320" s="1" t="n">
        <v>45331</v>
      </c>
      <c r="C320" s="1" t="n">
        <v>46010</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57243-2022</t>
        </is>
      </c>
      <c r="B321" s="1" t="n">
        <v>44895.71835648148</v>
      </c>
      <c r="C321" s="1" t="n">
        <v>46010</v>
      </c>
      <c r="D321" t="inlineStr">
        <is>
          <t>ÖREBRO LÄN</t>
        </is>
      </c>
      <c r="E321" t="inlineStr">
        <is>
          <t>ÖREBRO</t>
        </is>
      </c>
      <c r="G321" t="n">
        <v>6</v>
      </c>
      <c r="H321" t="n">
        <v>0</v>
      </c>
      <c r="I321" t="n">
        <v>0</v>
      </c>
      <c r="J321" t="n">
        <v>0</v>
      </c>
      <c r="K321" t="n">
        <v>0</v>
      </c>
      <c r="L321" t="n">
        <v>0</v>
      </c>
      <c r="M321" t="n">
        <v>0</v>
      </c>
      <c r="N321" t="n">
        <v>0</v>
      </c>
      <c r="O321" t="n">
        <v>0</v>
      </c>
      <c r="P321" t="n">
        <v>0</v>
      </c>
      <c r="Q321" t="n">
        <v>0</v>
      </c>
      <c r="R321" s="2" t="inlineStr"/>
    </row>
    <row r="322" ht="15" customHeight="1">
      <c r="A322" t="inlineStr">
        <is>
          <t>A 32025-2024</t>
        </is>
      </c>
      <c r="B322" s="1" t="n">
        <v>45510.65754629629</v>
      </c>
      <c r="C322" s="1" t="n">
        <v>46010</v>
      </c>
      <c r="D322" t="inlineStr">
        <is>
          <t>ÖREBRO LÄN</t>
        </is>
      </c>
      <c r="E322" t="inlineStr">
        <is>
          <t>ÖREBRO</t>
        </is>
      </c>
      <c r="G322" t="n">
        <v>4</v>
      </c>
      <c r="H322" t="n">
        <v>0</v>
      </c>
      <c r="I322" t="n">
        <v>0</v>
      </c>
      <c r="J322" t="n">
        <v>0</v>
      </c>
      <c r="K322" t="n">
        <v>0</v>
      </c>
      <c r="L322" t="n">
        <v>0</v>
      </c>
      <c r="M322" t="n">
        <v>0</v>
      </c>
      <c r="N322" t="n">
        <v>0</v>
      </c>
      <c r="O322" t="n">
        <v>0</v>
      </c>
      <c r="P322" t="n">
        <v>0</v>
      </c>
      <c r="Q322" t="n">
        <v>0</v>
      </c>
      <c r="R322" s="2" t="inlineStr"/>
    </row>
    <row r="323" ht="15" customHeight="1">
      <c r="A323" t="inlineStr">
        <is>
          <t>A 40051-2024</t>
        </is>
      </c>
      <c r="B323" s="1" t="n">
        <v>45553</v>
      </c>
      <c r="C323" s="1" t="n">
        <v>46010</v>
      </c>
      <c r="D323" t="inlineStr">
        <is>
          <t>ÖREBRO LÄN</t>
        </is>
      </c>
      <c r="E323" t="inlineStr">
        <is>
          <t>ÖREBRO</t>
        </is>
      </c>
      <c r="G323" t="n">
        <v>3.5</v>
      </c>
      <c r="H323" t="n">
        <v>0</v>
      </c>
      <c r="I323" t="n">
        <v>0</v>
      </c>
      <c r="J323" t="n">
        <v>0</v>
      </c>
      <c r="K323" t="n">
        <v>0</v>
      </c>
      <c r="L323" t="n">
        <v>0</v>
      </c>
      <c r="M323" t="n">
        <v>0</v>
      </c>
      <c r="N323" t="n">
        <v>0</v>
      </c>
      <c r="O323" t="n">
        <v>0</v>
      </c>
      <c r="P323" t="n">
        <v>0</v>
      </c>
      <c r="Q323" t="n">
        <v>0</v>
      </c>
      <c r="R323" s="2" t="inlineStr"/>
    </row>
    <row r="324" ht="15" customHeight="1">
      <c r="A324" t="inlineStr">
        <is>
          <t>A 55453-2024</t>
        </is>
      </c>
      <c r="B324" s="1" t="n">
        <v>45622.42097222222</v>
      </c>
      <c r="C324" s="1" t="n">
        <v>46010</v>
      </c>
      <c r="D324" t="inlineStr">
        <is>
          <t>ÖREBRO LÄN</t>
        </is>
      </c>
      <c r="E324" t="inlineStr">
        <is>
          <t>ÖREBRO</t>
        </is>
      </c>
      <c r="G324" t="n">
        <v>8.5</v>
      </c>
      <c r="H324" t="n">
        <v>0</v>
      </c>
      <c r="I324" t="n">
        <v>0</v>
      </c>
      <c r="J324" t="n">
        <v>0</v>
      </c>
      <c r="K324" t="n">
        <v>0</v>
      </c>
      <c r="L324" t="n">
        <v>0</v>
      </c>
      <c r="M324" t="n">
        <v>0</v>
      </c>
      <c r="N324" t="n">
        <v>0</v>
      </c>
      <c r="O324" t="n">
        <v>0</v>
      </c>
      <c r="P324" t="n">
        <v>0</v>
      </c>
      <c r="Q324" t="n">
        <v>0</v>
      </c>
      <c r="R324" s="2" t="inlineStr"/>
    </row>
    <row r="325" ht="15" customHeight="1">
      <c r="A325" t="inlineStr">
        <is>
          <t>A 50446-2023</t>
        </is>
      </c>
      <c r="B325" s="1" t="n">
        <v>45216</v>
      </c>
      <c r="C325" s="1" t="n">
        <v>46010</v>
      </c>
      <c r="D325" t="inlineStr">
        <is>
          <t>ÖREBRO LÄN</t>
        </is>
      </c>
      <c r="E325" t="inlineStr">
        <is>
          <t>ÖREBRO</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36448-2025</t>
        </is>
      </c>
      <c r="B326" s="1" t="n">
        <v>45869.41929398148</v>
      </c>
      <c r="C326" s="1" t="n">
        <v>46010</v>
      </c>
      <c r="D326" t="inlineStr">
        <is>
          <t>ÖREBRO LÄN</t>
        </is>
      </c>
      <c r="E326" t="inlineStr">
        <is>
          <t>ÖREBRO</t>
        </is>
      </c>
      <c r="F326" t="inlineStr">
        <is>
          <t>Övriga Aktiebolag</t>
        </is>
      </c>
      <c r="G326" t="n">
        <v>4.3</v>
      </c>
      <c r="H326" t="n">
        <v>0</v>
      </c>
      <c r="I326" t="n">
        <v>0</v>
      </c>
      <c r="J326" t="n">
        <v>0</v>
      </c>
      <c r="K326" t="n">
        <v>0</v>
      </c>
      <c r="L326" t="n">
        <v>0</v>
      </c>
      <c r="M326" t="n">
        <v>0</v>
      </c>
      <c r="N326" t="n">
        <v>0</v>
      </c>
      <c r="O326" t="n">
        <v>0</v>
      </c>
      <c r="P326" t="n">
        <v>0</v>
      </c>
      <c r="Q326" t="n">
        <v>0</v>
      </c>
      <c r="R326" s="2" t="inlineStr"/>
    </row>
    <row r="327" ht="15" customHeight="1">
      <c r="A327" t="inlineStr">
        <is>
          <t>A 50450-2023</t>
        </is>
      </c>
      <c r="B327" s="1" t="n">
        <v>45216.73533564815</v>
      </c>
      <c r="C327" s="1" t="n">
        <v>46010</v>
      </c>
      <c r="D327" t="inlineStr">
        <is>
          <t>ÖREBRO LÄN</t>
        </is>
      </c>
      <c r="E327" t="inlineStr">
        <is>
          <t>ÖREBRO</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26117-2021</t>
        </is>
      </c>
      <c r="B328" s="1" t="n">
        <v>44345</v>
      </c>
      <c r="C328" s="1" t="n">
        <v>46010</v>
      </c>
      <c r="D328" t="inlineStr">
        <is>
          <t>ÖREBRO LÄN</t>
        </is>
      </c>
      <c r="E328" t="inlineStr">
        <is>
          <t>ÖREBRO</t>
        </is>
      </c>
      <c r="G328" t="n">
        <v>8.1</v>
      </c>
      <c r="H328" t="n">
        <v>0</v>
      </c>
      <c r="I328" t="n">
        <v>0</v>
      </c>
      <c r="J328" t="n">
        <v>0</v>
      </c>
      <c r="K328" t="n">
        <v>0</v>
      </c>
      <c r="L328" t="n">
        <v>0</v>
      </c>
      <c r="M328" t="n">
        <v>0</v>
      </c>
      <c r="N328" t="n">
        <v>0</v>
      </c>
      <c r="O328" t="n">
        <v>0</v>
      </c>
      <c r="P328" t="n">
        <v>0</v>
      </c>
      <c r="Q328" t="n">
        <v>0</v>
      </c>
      <c r="R328" s="2" t="inlineStr"/>
    </row>
    <row r="329" ht="15" customHeight="1">
      <c r="A329" t="inlineStr">
        <is>
          <t>A 36447-2025</t>
        </is>
      </c>
      <c r="B329" s="1" t="n">
        <v>45869.41387731482</v>
      </c>
      <c r="C329" s="1" t="n">
        <v>46010</v>
      </c>
      <c r="D329" t="inlineStr">
        <is>
          <t>ÖREBRO LÄN</t>
        </is>
      </c>
      <c r="E329" t="inlineStr">
        <is>
          <t>ÖREBRO</t>
        </is>
      </c>
      <c r="F329" t="inlineStr">
        <is>
          <t>Övriga Aktiebolag</t>
        </is>
      </c>
      <c r="G329" t="n">
        <v>12.6</v>
      </c>
      <c r="H329" t="n">
        <v>0</v>
      </c>
      <c r="I329" t="n">
        <v>0</v>
      </c>
      <c r="J329" t="n">
        <v>0</v>
      </c>
      <c r="K329" t="n">
        <v>0</v>
      </c>
      <c r="L329" t="n">
        <v>0</v>
      </c>
      <c r="M329" t="n">
        <v>0</v>
      </c>
      <c r="N329" t="n">
        <v>0</v>
      </c>
      <c r="O329" t="n">
        <v>0</v>
      </c>
      <c r="P329" t="n">
        <v>0</v>
      </c>
      <c r="Q329" t="n">
        <v>0</v>
      </c>
      <c r="R329" s="2" t="inlineStr"/>
    </row>
    <row r="330" ht="15" customHeight="1">
      <c r="A330" t="inlineStr">
        <is>
          <t>A 6879-2024</t>
        </is>
      </c>
      <c r="B330" s="1" t="n">
        <v>45342.85280092592</v>
      </c>
      <c r="C330" s="1" t="n">
        <v>46010</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58032-2023</t>
        </is>
      </c>
      <c r="B331" s="1" t="n">
        <v>45247</v>
      </c>
      <c r="C331" s="1" t="n">
        <v>46010</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58035-2023</t>
        </is>
      </c>
      <c r="B332" s="1" t="n">
        <v>45247</v>
      </c>
      <c r="C332" s="1" t="n">
        <v>46010</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6387-2021</t>
        </is>
      </c>
      <c r="B333" s="1" t="n">
        <v>44235</v>
      </c>
      <c r="C333" s="1" t="n">
        <v>46010</v>
      </c>
      <c r="D333" t="inlineStr">
        <is>
          <t>ÖREBRO LÄN</t>
        </is>
      </c>
      <c r="E333" t="inlineStr">
        <is>
          <t>ÖREBRO</t>
        </is>
      </c>
      <c r="G333" t="n">
        <v>1.1</v>
      </c>
      <c r="H333" t="n">
        <v>0</v>
      </c>
      <c r="I333" t="n">
        <v>0</v>
      </c>
      <c r="J333" t="n">
        <v>0</v>
      </c>
      <c r="K333" t="n">
        <v>0</v>
      </c>
      <c r="L333" t="n">
        <v>0</v>
      </c>
      <c r="M333" t="n">
        <v>0</v>
      </c>
      <c r="N333" t="n">
        <v>0</v>
      </c>
      <c r="O333" t="n">
        <v>0</v>
      </c>
      <c r="P333" t="n">
        <v>0</v>
      </c>
      <c r="Q333" t="n">
        <v>0</v>
      </c>
      <c r="R333" s="2" t="inlineStr"/>
    </row>
    <row r="334" ht="15" customHeight="1">
      <c r="A334" t="inlineStr">
        <is>
          <t>A 7506-2025</t>
        </is>
      </c>
      <c r="B334" s="1" t="n">
        <v>45705</v>
      </c>
      <c r="C334" s="1" t="n">
        <v>46010</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29554-2025</t>
        </is>
      </c>
      <c r="B335" s="1" t="n">
        <v>45825</v>
      </c>
      <c r="C335" s="1" t="n">
        <v>46010</v>
      </c>
      <c r="D335" t="inlineStr">
        <is>
          <t>ÖREBRO LÄN</t>
        </is>
      </c>
      <c r="E335" t="inlineStr">
        <is>
          <t>ÖREBRO</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31240-2023</t>
        </is>
      </c>
      <c r="B336" s="1" t="n">
        <v>45114</v>
      </c>
      <c r="C336" s="1" t="n">
        <v>46010</v>
      </c>
      <c r="D336" t="inlineStr">
        <is>
          <t>ÖREBRO LÄN</t>
        </is>
      </c>
      <c r="E336" t="inlineStr">
        <is>
          <t>ÖREBRO</t>
        </is>
      </c>
      <c r="F336" t="inlineStr">
        <is>
          <t>Allmännings- och besparingsskogar</t>
        </is>
      </c>
      <c r="G336" t="n">
        <v>6.2</v>
      </c>
      <c r="H336" t="n">
        <v>0</v>
      </c>
      <c r="I336" t="n">
        <v>0</v>
      </c>
      <c r="J336" t="n">
        <v>0</v>
      </c>
      <c r="K336" t="n">
        <v>0</v>
      </c>
      <c r="L336" t="n">
        <v>0</v>
      </c>
      <c r="M336" t="n">
        <v>0</v>
      </c>
      <c r="N336" t="n">
        <v>0</v>
      </c>
      <c r="O336" t="n">
        <v>0</v>
      </c>
      <c r="P336" t="n">
        <v>0</v>
      </c>
      <c r="Q336" t="n">
        <v>0</v>
      </c>
      <c r="R336" s="2" t="inlineStr"/>
    </row>
    <row r="337" ht="15" customHeight="1">
      <c r="A337" t="inlineStr">
        <is>
          <t>A 14717-2024</t>
        </is>
      </c>
      <c r="B337" s="1" t="n">
        <v>45397.55104166667</v>
      </c>
      <c r="C337" s="1" t="n">
        <v>46010</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37968-2024</t>
        </is>
      </c>
      <c r="B338" s="1" t="n">
        <v>45544</v>
      </c>
      <c r="C338" s="1" t="n">
        <v>46010</v>
      </c>
      <c r="D338" t="inlineStr">
        <is>
          <t>ÖREBRO LÄN</t>
        </is>
      </c>
      <c r="E338" t="inlineStr">
        <is>
          <t>ÖREBRO</t>
        </is>
      </c>
      <c r="G338" t="n">
        <v>2</v>
      </c>
      <c r="H338" t="n">
        <v>0</v>
      </c>
      <c r="I338" t="n">
        <v>0</v>
      </c>
      <c r="J338" t="n">
        <v>0</v>
      </c>
      <c r="K338" t="n">
        <v>0</v>
      </c>
      <c r="L338" t="n">
        <v>0</v>
      </c>
      <c r="M338" t="n">
        <v>0</v>
      </c>
      <c r="N338" t="n">
        <v>0</v>
      </c>
      <c r="O338" t="n">
        <v>0</v>
      </c>
      <c r="P338" t="n">
        <v>0</v>
      </c>
      <c r="Q338" t="n">
        <v>0</v>
      </c>
      <c r="R338" s="2" t="inlineStr"/>
    </row>
    <row r="339" ht="15" customHeight="1">
      <c r="A339" t="inlineStr">
        <is>
          <t>A 25443-2021</t>
        </is>
      </c>
      <c r="B339" s="1" t="n">
        <v>44342</v>
      </c>
      <c r="C339" s="1" t="n">
        <v>46010</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13700-2024</t>
        </is>
      </c>
      <c r="B340" s="1" t="n">
        <v>45390.59277777778</v>
      </c>
      <c r="C340" s="1" t="n">
        <v>46010</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6213-2021</t>
        </is>
      </c>
      <c r="B341" s="1" t="n">
        <v>44232</v>
      </c>
      <c r="C341" s="1" t="n">
        <v>46010</v>
      </c>
      <c r="D341" t="inlineStr">
        <is>
          <t>ÖREBRO LÄN</t>
        </is>
      </c>
      <c r="E341" t="inlineStr">
        <is>
          <t>ÖREBRO</t>
        </is>
      </c>
      <c r="G341" t="n">
        <v>4</v>
      </c>
      <c r="H341" t="n">
        <v>0</v>
      </c>
      <c r="I341" t="n">
        <v>0</v>
      </c>
      <c r="J341" t="n">
        <v>0</v>
      </c>
      <c r="K341" t="n">
        <v>0</v>
      </c>
      <c r="L341" t="n">
        <v>0</v>
      </c>
      <c r="M341" t="n">
        <v>0</v>
      </c>
      <c r="N341" t="n">
        <v>0</v>
      </c>
      <c r="O341" t="n">
        <v>0</v>
      </c>
      <c r="P341" t="n">
        <v>0</v>
      </c>
      <c r="Q341" t="n">
        <v>0</v>
      </c>
      <c r="R341" s="2" t="inlineStr"/>
    </row>
    <row r="342" ht="15" customHeight="1">
      <c r="A342" t="inlineStr">
        <is>
          <t>A 38057-2025</t>
        </is>
      </c>
      <c r="B342" s="1" t="n">
        <v>45882.42570601852</v>
      </c>
      <c r="C342" s="1" t="n">
        <v>46010</v>
      </c>
      <c r="D342" t="inlineStr">
        <is>
          <t>ÖREBRO LÄN</t>
        </is>
      </c>
      <c r="E342" t="inlineStr">
        <is>
          <t>ÖREBRO</t>
        </is>
      </c>
      <c r="G342" t="n">
        <v>3</v>
      </c>
      <c r="H342" t="n">
        <v>0</v>
      </c>
      <c r="I342" t="n">
        <v>0</v>
      </c>
      <c r="J342" t="n">
        <v>0</v>
      </c>
      <c r="K342" t="n">
        <v>0</v>
      </c>
      <c r="L342" t="n">
        <v>0</v>
      </c>
      <c r="M342" t="n">
        <v>0</v>
      </c>
      <c r="N342" t="n">
        <v>0</v>
      </c>
      <c r="O342" t="n">
        <v>0</v>
      </c>
      <c r="P342" t="n">
        <v>0</v>
      </c>
      <c r="Q342" t="n">
        <v>0</v>
      </c>
      <c r="R342" s="2" t="inlineStr"/>
    </row>
    <row r="343" ht="15" customHeight="1">
      <c r="A343" t="inlineStr">
        <is>
          <t>A 5398-2022</t>
        </is>
      </c>
      <c r="B343" s="1" t="n">
        <v>44595.3353587963</v>
      </c>
      <c r="C343" s="1" t="n">
        <v>46010</v>
      </c>
      <c r="D343" t="inlineStr">
        <is>
          <t>ÖREBRO LÄN</t>
        </is>
      </c>
      <c r="E343" t="inlineStr">
        <is>
          <t>ÖREBRO</t>
        </is>
      </c>
      <c r="G343" t="n">
        <v>2.1</v>
      </c>
      <c r="H343" t="n">
        <v>0</v>
      </c>
      <c r="I343" t="n">
        <v>0</v>
      </c>
      <c r="J343" t="n">
        <v>0</v>
      </c>
      <c r="K343" t="n">
        <v>0</v>
      </c>
      <c r="L343" t="n">
        <v>0</v>
      </c>
      <c r="M343" t="n">
        <v>0</v>
      </c>
      <c r="N343" t="n">
        <v>0</v>
      </c>
      <c r="O343" t="n">
        <v>0</v>
      </c>
      <c r="P343" t="n">
        <v>0</v>
      </c>
      <c r="Q343" t="n">
        <v>0</v>
      </c>
      <c r="R343" s="2" t="inlineStr"/>
    </row>
    <row r="344" ht="15" customHeight="1">
      <c r="A344" t="inlineStr">
        <is>
          <t>A 38415-2023</t>
        </is>
      </c>
      <c r="B344" s="1" t="n">
        <v>45162.35502314815</v>
      </c>
      <c r="C344" s="1" t="n">
        <v>46010</v>
      </c>
      <c r="D344" t="inlineStr">
        <is>
          <t>ÖREBRO LÄN</t>
        </is>
      </c>
      <c r="E344" t="inlineStr">
        <is>
          <t>ÖREBRO</t>
        </is>
      </c>
      <c r="G344" t="n">
        <v>2.6</v>
      </c>
      <c r="H344" t="n">
        <v>0</v>
      </c>
      <c r="I344" t="n">
        <v>0</v>
      </c>
      <c r="J344" t="n">
        <v>0</v>
      </c>
      <c r="K344" t="n">
        <v>0</v>
      </c>
      <c r="L344" t="n">
        <v>0</v>
      </c>
      <c r="M344" t="n">
        <v>0</v>
      </c>
      <c r="N344" t="n">
        <v>0</v>
      </c>
      <c r="O344" t="n">
        <v>0</v>
      </c>
      <c r="P344" t="n">
        <v>0</v>
      </c>
      <c r="Q344" t="n">
        <v>0</v>
      </c>
      <c r="R344" s="2" t="inlineStr"/>
    </row>
    <row r="345" ht="15" customHeight="1">
      <c r="A345" t="inlineStr">
        <is>
          <t>A 60128-2023</t>
        </is>
      </c>
      <c r="B345" s="1" t="n">
        <v>45258</v>
      </c>
      <c r="C345" s="1" t="n">
        <v>46010</v>
      </c>
      <c r="D345" t="inlineStr">
        <is>
          <t>ÖREBRO LÄN</t>
        </is>
      </c>
      <c r="E345" t="inlineStr">
        <is>
          <t>ÖREBRO</t>
        </is>
      </c>
      <c r="G345" t="n">
        <v>0.6</v>
      </c>
      <c r="H345" t="n">
        <v>0</v>
      </c>
      <c r="I345" t="n">
        <v>0</v>
      </c>
      <c r="J345" t="n">
        <v>0</v>
      </c>
      <c r="K345" t="n">
        <v>0</v>
      </c>
      <c r="L345" t="n">
        <v>0</v>
      </c>
      <c r="M345" t="n">
        <v>0</v>
      </c>
      <c r="N345" t="n">
        <v>0</v>
      </c>
      <c r="O345" t="n">
        <v>0</v>
      </c>
      <c r="P345" t="n">
        <v>0</v>
      </c>
      <c r="Q345" t="n">
        <v>0</v>
      </c>
      <c r="R345" s="2" t="inlineStr"/>
    </row>
    <row r="346" ht="15" customHeight="1">
      <c r="A346" t="inlineStr">
        <is>
          <t>A 18047-2023</t>
        </is>
      </c>
      <c r="B346" s="1" t="n">
        <v>45040</v>
      </c>
      <c r="C346" s="1" t="n">
        <v>46010</v>
      </c>
      <c r="D346" t="inlineStr">
        <is>
          <t>ÖREBRO LÄN</t>
        </is>
      </c>
      <c r="E346" t="inlineStr">
        <is>
          <t>ÖREBRO</t>
        </is>
      </c>
      <c r="G346" t="n">
        <v>3.9</v>
      </c>
      <c r="H346" t="n">
        <v>0</v>
      </c>
      <c r="I346" t="n">
        <v>0</v>
      </c>
      <c r="J346" t="n">
        <v>0</v>
      </c>
      <c r="K346" t="n">
        <v>0</v>
      </c>
      <c r="L346" t="n">
        <v>0</v>
      </c>
      <c r="M346" t="n">
        <v>0</v>
      </c>
      <c r="N346" t="n">
        <v>0</v>
      </c>
      <c r="O346" t="n">
        <v>0</v>
      </c>
      <c r="P346" t="n">
        <v>0</v>
      </c>
      <c r="Q346" t="n">
        <v>0</v>
      </c>
      <c r="R346" s="2" t="inlineStr"/>
    </row>
    <row r="347" ht="15" customHeight="1">
      <c r="A347" t="inlineStr">
        <is>
          <t>A 49797-2024</t>
        </is>
      </c>
      <c r="B347" s="1" t="n">
        <v>45597.37265046296</v>
      </c>
      <c r="C347" s="1" t="n">
        <v>46010</v>
      </c>
      <c r="D347" t="inlineStr">
        <is>
          <t>ÖREBRO LÄN</t>
        </is>
      </c>
      <c r="E347" t="inlineStr">
        <is>
          <t>ÖREBRO</t>
        </is>
      </c>
      <c r="G347" t="n">
        <v>11.6</v>
      </c>
      <c r="H347" t="n">
        <v>0</v>
      </c>
      <c r="I347" t="n">
        <v>0</v>
      </c>
      <c r="J347" t="n">
        <v>0</v>
      </c>
      <c r="K347" t="n">
        <v>0</v>
      </c>
      <c r="L347" t="n">
        <v>0</v>
      </c>
      <c r="M347" t="n">
        <v>0</v>
      </c>
      <c r="N347" t="n">
        <v>0</v>
      </c>
      <c r="O347" t="n">
        <v>0</v>
      </c>
      <c r="P347" t="n">
        <v>0</v>
      </c>
      <c r="Q347" t="n">
        <v>0</v>
      </c>
      <c r="R347" s="2" t="inlineStr"/>
    </row>
    <row r="348" ht="15" customHeight="1">
      <c r="A348" t="inlineStr">
        <is>
          <t>A 55748-2025</t>
        </is>
      </c>
      <c r="B348" s="1" t="n">
        <v>45972.57893518519</v>
      </c>
      <c r="C348" s="1" t="n">
        <v>46010</v>
      </c>
      <c r="D348" t="inlineStr">
        <is>
          <t>ÖREBRO LÄN</t>
        </is>
      </c>
      <c r="E348" t="inlineStr">
        <is>
          <t>ÖREBRO</t>
        </is>
      </c>
      <c r="G348" t="n">
        <v>1.5</v>
      </c>
      <c r="H348" t="n">
        <v>0</v>
      </c>
      <c r="I348" t="n">
        <v>0</v>
      </c>
      <c r="J348" t="n">
        <v>0</v>
      </c>
      <c r="K348" t="n">
        <v>0</v>
      </c>
      <c r="L348" t="n">
        <v>0</v>
      </c>
      <c r="M348" t="n">
        <v>0</v>
      </c>
      <c r="N348" t="n">
        <v>0</v>
      </c>
      <c r="O348" t="n">
        <v>0</v>
      </c>
      <c r="P348" t="n">
        <v>0</v>
      </c>
      <c r="Q348" t="n">
        <v>0</v>
      </c>
      <c r="R348" s="2" t="inlineStr"/>
    </row>
    <row r="349" ht="15" customHeight="1">
      <c r="A349" t="inlineStr">
        <is>
          <t>A 55888-2025</t>
        </is>
      </c>
      <c r="B349" s="1" t="n">
        <v>45973.37163194444</v>
      </c>
      <c r="C349" s="1" t="n">
        <v>46010</v>
      </c>
      <c r="D349" t="inlineStr">
        <is>
          <t>ÖREBRO LÄN</t>
        </is>
      </c>
      <c r="E349" t="inlineStr">
        <is>
          <t>ÖREBRO</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55879-2025</t>
        </is>
      </c>
      <c r="B350" s="1" t="n">
        <v>45973.36508101852</v>
      </c>
      <c r="C350" s="1" t="n">
        <v>46010</v>
      </c>
      <c r="D350" t="inlineStr">
        <is>
          <t>ÖREBRO LÄN</t>
        </is>
      </c>
      <c r="E350" t="inlineStr">
        <is>
          <t>ÖREBRO</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8022-2022</t>
        </is>
      </c>
      <c r="B351" s="1" t="n">
        <v>44609</v>
      </c>
      <c r="C351" s="1" t="n">
        <v>46010</v>
      </c>
      <c r="D351" t="inlineStr">
        <is>
          <t>ÖREBRO LÄN</t>
        </is>
      </c>
      <c r="E351" t="inlineStr">
        <is>
          <t>ÖREBRO</t>
        </is>
      </c>
      <c r="G351" t="n">
        <v>5.6</v>
      </c>
      <c r="H351" t="n">
        <v>0</v>
      </c>
      <c r="I351" t="n">
        <v>0</v>
      </c>
      <c r="J351" t="n">
        <v>0</v>
      </c>
      <c r="K351" t="n">
        <v>0</v>
      </c>
      <c r="L351" t="n">
        <v>0</v>
      </c>
      <c r="M351" t="n">
        <v>0</v>
      </c>
      <c r="N351" t="n">
        <v>0</v>
      </c>
      <c r="O351" t="n">
        <v>0</v>
      </c>
      <c r="P351" t="n">
        <v>0</v>
      </c>
      <c r="Q351" t="n">
        <v>0</v>
      </c>
      <c r="R351" s="2" t="inlineStr"/>
    </row>
    <row r="352" ht="15" customHeight="1">
      <c r="A352" t="inlineStr">
        <is>
          <t>A 55750-2025</t>
        </is>
      </c>
      <c r="B352" s="1" t="n">
        <v>45972.58171296296</v>
      </c>
      <c r="C352" s="1" t="n">
        <v>46010</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29978-2024</t>
        </is>
      </c>
      <c r="B353" s="1" t="n">
        <v>45488.48340277778</v>
      </c>
      <c r="C353" s="1" t="n">
        <v>46010</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19978-2025</t>
        </is>
      </c>
      <c r="B354" s="1" t="n">
        <v>45771.7062037037</v>
      </c>
      <c r="C354" s="1" t="n">
        <v>46010</v>
      </c>
      <c r="D354" t="inlineStr">
        <is>
          <t>ÖREBRO LÄN</t>
        </is>
      </c>
      <c r="E354" t="inlineStr">
        <is>
          <t>ÖREBRO</t>
        </is>
      </c>
      <c r="G354" t="n">
        <v>2</v>
      </c>
      <c r="H354" t="n">
        <v>0</v>
      </c>
      <c r="I354" t="n">
        <v>0</v>
      </c>
      <c r="J354" t="n">
        <v>0</v>
      </c>
      <c r="K354" t="n">
        <v>0</v>
      </c>
      <c r="L354" t="n">
        <v>0</v>
      </c>
      <c r="M354" t="n">
        <v>0</v>
      </c>
      <c r="N354" t="n">
        <v>0</v>
      </c>
      <c r="O354" t="n">
        <v>0</v>
      </c>
      <c r="P354" t="n">
        <v>0</v>
      </c>
      <c r="Q354" t="n">
        <v>0</v>
      </c>
      <c r="R354" s="2" t="inlineStr"/>
    </row>
    <row r="355" ht="15" customHeight="1">
      <c r="A355" t="inlineStr">
        <is>
          <t>A 7134-2025</t>
        </is>
      </c>
      <c r="B355" s="1" t="n">
        <v>45702</v>
      </c>
      <c r="C355" s="1" t="n">
        <v>46010</v>
      </c>
      <c r="D355" t="inlineStr">
        <is>
          <t>ÖREBRO LÄN</t>
        </is>
      </c>
      <c r="E355" t="inlineStr">
        <is>
          <t>ÖREBRO</t>
        </is>
      </c>
      <c r="F355" t="inlineStr">
        <is>
          <t>Övriga Aktiebolag</t>
        </is>
      </c>
      <c r="G355" t="n">
        <v>2.1</v>
      </c>
      <c r="H355" t="n">
        <v>0</v>
      </c>
      <c r="I355" t="n">
        <v>0</v>
      </c>
      <c r="J355" t="n">
        <v>0</v>
      </c>
      <c r="K355" t="n">
        <v>0</v>
      </c>
      <c r="L355" t="n">
        <v>0</v>
      </c>
      <c r="M355" t="n">
        <v>0</v>
      </c>
      <c r="N355" t="n">
        <v>0</v>
      </c>
      <c r="O355" t="n">
        <v>0</v>
      </c>
      <c r="P355" t="n">
        <v>0</v>
      </c>
      <c r="Q355" t="n">
        <v>0</v>
      </c>
      <c r="R355" s="2" t="inlineStr"/>
    </row>
    <row r="356" ht="15" customHeight="1">
      <c r="A356" t="inlineStr">
        <is>
          <t>A 16374-2022</t>
        </is>
      </c>
      <c r="B356" s="1" t="n">
        <v>44671</v>
      </c>
      <c r="C356" s="1" t="n">
        <v>46010</v>
      </c>
      <c r="D356" t="inlineStr">
        <is>
          <t>ÖREBRO LÄN</t>
        </is>
      </c>
      <c r="E356" t="inlineStr">
        <is>
          <t>ÖREBRO</t>
        </is>
      </c>
      <c r="F356" t="inlineStr">
        <is>
          <t>Övriga Aktiebolag</t>
        </is>
      </c>
      <c r="G356" t="n">
        <v>30.3</v>
      </c>
      <c r="H356" t="n">
        <v>0</v>
      </c>
      <c r="I356" t="n">
        <v>0</v>
      </c>
      <c r="J356" t="n">
        <v>0</v>
      </c>
      <c r="K356" t="n">
        <v>0</v>
      </c>
      <c r="L356" t="n">
        <v>0</v>
      </c>
      <c r="M356" t="n">
        <v>0</v>
      </c>
      <c r="N356" t="n">
        <v>0</v>
      </c>
      <c r="O356" t="n">
        <v>0</v>
      </c>
      <c r="P356" t="n">
        <v>0</v>
      </c>
      <c r="Q356" t="n">
        <v>0</v>
      </c>
      <c r="R356" s="2" t="inlineStr"/>
    </row>
    <row r="357" ht="15" customHeight="1">
      <c r="A357" t="inlineStr">
        <is>
          <t>A 27956-2023</t>
        </is>
      </c>
      <c r="B357" s="1" t="n">
        <v>45098</v>
      </c>
      <c r="C357" s="1" t="n">
        <v>46010</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13321-2024</t>
        </is>
      </c>
      <c r="B358" s="1" t="n">
        <v>45386.83142361111</v>
      </c>
      <c r="C358" s="1" t="n">
        <v>46010</v>
      </c>
      <c r="D358" t="inlineStr">
        <is>
          <t>ÖREBRO LÄN</t>
        </is>
      </c>
      <c r="E358" t="inlineStr">
        <is>
          <t>ÖREBRO</t>
        </is>
      </c>
      <c r="G358" t="n">
        <v>13.1</v>
      </c>
      <c r="H358" t="n">
        <v>0</v>
      </c>
      <c r="I358" t="n">
        <v>0</v>
      </c>
      <c r="J358" t="n">
        <v>0</v>
      </c>
      <c r="K358" t="n">
        <v>0</v>
      </c>
      <c r="L358" t="n">
        <v>0</v>
      </c>
      <c r="M358" t="n">
        <v>0</v>
      </c>
      <c r="N358" t="n">
        <v>0</v>
      </c>
      <c r="O358" t="n">
        <v>0</v>
      </c>
      <c r="P358" t="n">
        <v>0</v>
      </c>
      <c r="Q358" t="n">
        <v>0</v>
      </c>
      <c r="R358" s="2" t="inlineStr"/>
    </row>
    <row r="359" ht="15" customHeight="1">
      <c r="A359" t="inlineStr">
        <is>
          <t>A 18550-2025</t>
        </is>
      </c>
      <c r="B359" s="1" t="n">
        <v>45763.43422453704</v>
      </c>
      <c r="C359" s="1" t="n">
        <v>46010</v>
      </c>
      <c r="D359" t="inlineStr">
        <is>
          <t>ÖREBRO LÄN</t>
        </is>
      </c>
      <c r="E359" t="inlineStr">
        <is>
          <t>ÖREBRO</t>
        </is>
      </c>
      <c r="G359" t="n">
        <v>11.5</v>
      </c>
      <c r="H359" t="n">
        <v>0</v>
      </c>
      <c r="I359" t="n">
        <v>0</v>
      </c>
      <c r="J359" t="n">
        <v>0</v>
      </c>
      <c r="K359" t="n">
        <v>0</v>
      </c>
      <c r="L359" t="n">
        <v>0</v>
      </c>
      <c r="M359" t="n">
        <v>0</v>
      </c>
      <c r="N359" t="n">
        <v>0</v>
      </c>
      <c r="O359" t="n">
        <v>0</v>
      </c>
      <c r="P359" t="n">
        <v>0</v>
      </c>
      <c r="Q359" t="n">
        <v>0</v>
      </c>
      <c r="R359" s="2" t="inlineStr"/>
    </row>
    <row r="360" ht="15" customHeight="1">
      <c r="A360" t="inlineStr">
        <is>
          <t>A 15652-2025</t>
        </is>
      </c>
      <c r="B360" s="1" t="n">
        <v>45748</v>
      </c>
      <c r="C360" s="1" t="n">
        <v>46010</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16737-2023</t>
        </is>
      </c>
      <c r="B361" s="1" t="n">
        <v>45030.72472222222</v>
      </c>
      <c r="C361" s="1" t="n">
        <v>46010</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5762-2025</t>
        </is>
      </c>
      <c r="B362" s="1" t="n">
        <v>45694.57181712963</v>
      </c>
      <c r="C362" s="1" t="n">
        <v>46010</v>
      </c>
      <c r="D362" t="inlineStr">
        <is>
          <t>ÖREBRO LÄN</t>
        </is>
      </c>
      <c r="E362" t="inlineStr">
        <is>
          <t>ÖREBRO</t>
        </is>
      </c>
      <c r="F362" t="inlineStr">
        <is>
          <t>Övriga Aktiebolag</t>
        </is>
      </c>
      <c r="G362" t="n">
        <v>1.5</v>
      </c>
      <c r="H362" t="n">
        <v>0</v>
      </c>
      <c r="I362" t="n">
        <v>0</v>
      </c>
      <c r="J362" t="n">
        <v>0</v>
      </c>
      <c r="K362" t="n">
        <v>0</v>
      </c>
      <c r="L362" t="n">
        <v>0</v>
      </c>
      <c r="M362" t="n">
        <v>0</v>
      </c>
      <c r="N362" t="n">
        <v>0</v>
      </c>
      <c r="O362" t="n">
        <v>0</v>
      </c>
      <c r="P362" t="n">
        <v>0</v>
      </c>
      <c r="Q362" t="n">
        <v>0</v>
      </c>
      <c r="R362" s="2" t="inlineStr"/>
    </row>
    <row r="363" ht="15" customHeight="1">
      <c r="A363" t="inlineStr">
        <is>
          <t>A 51180-2023</t>
        </is>
      </c>
      <c r="B363" s="1" t="n">
        <v>45219</v>
      </c>
      <c r="C363" s="1" t="n">
        <v>46010</v>
      </c>
      <c r="D363" t="inlineStr">
        <is>
          <t>ÖREBRO LÄN</t>
        </is>
      </c>
      <c r="E363" t="inlineStr">
        <is>
          <t>ÖREBRO</t>
        </is>
      </c>
      <c r="G363" t="n">
        <v>6.5</v>
      </c>
      <c r="H363" t="n">
        <v>0</v>
      </c>
      <c r="I363" t="n">
        <v>0</v>
      </c>
      <c r="J363" t="n">
        <v>0</v>
      </c>
      <c r="K363" t="n">
        <v>0</v>
      </c>
      <c r="L363" t="n">
        <v>0</v>
      </c>
      <c r="M363" t="n">
        <v>0</v>
      </c>
      <c r="N363" t="n">
        <v>0</v>
      </c>
      <c r="O363" t="n">
        <v>0</v>
      </c>
      <c r="P363" t="n">
        <v>0</v>
      </c>
      <c r="Q363" t="n">
        <v>0</v>
      </c>
      <c r="R363" s="2" t="inlineStr"/>
    </row>
    <row r="364" ht="15" customHeight="1">
      <c r="A364" t="inlineStr">
        <is>
          <t>A 58621-2024</t>
        </is>
      </c>
      <c r="B364" s="1" t="n">
        <v>45635.56321759259</v>
      </c>
      <c r="C364" s="1" t="n">
        <v>46010</v>
      </c>
      <c r="D364" t="inlineStr">
        <is>
          <t>ÖREBRO LÄN</t>
        </is>
      </c>
      <c r="E364" t="inlineStr">
        <is>
          <t>ÖREBRO</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5578-2024</t>
        </is>
      </c>
      <c r="B365" s="1" t="n">
        <v>45334.49104166667</v>
      </c>
      <c r="C365" s="1" t="n">
        <v>46010</v>
      </c>
      <c r="D365" t="inlineStr">
        <is>
          <t>ÖREBRO LÄN</t>
        </is>
      </c>
      <c r="E365" t="inlineStr">
        <is>
          <t>ÖREBRO</t>
        </is>
      </c>
      <c r="G365" t="n">
        <v>2.4</v>
      </c>
      <c r="H365" t="n">
        <v>0</v>
      </c>
      <c r="I365" t="n">
        <v>0</v>
      </c>
      <c r="J365" t="n">
        <v>0</v>
      </c>
      <c r="K365" t="n">
        <v>0</v>
      </c>
      <c r="L365" t="n">
        <v>0</v>
      </c>
      <c r="M365" t="n">
        <v>0</v>
      </c>
      <c r="N365" t="n">
        <v>0</v>
      </c>
      <c r="O365" t="n">
        <v>0</v>
      </c>
      <c r="P365" t="n">
        <v>0</v>
      </c>
      <c r="Q365" t="n">
        <v>0</v>
      </c>
      <c r="R365" s="2" t="inlineStr"/>
    </row>
    <row r="366" ht="15" customHeight="1">
      <c r="A366" t="inlineStr">
        <is>
          <t>A 32086-2023</t>
        </is>
      </c>
      <c r="B366" s="1" t="n">
        <v>45119.59789351852</v>
      </c>
      <c r="C366" s="1" t="n">
        <v>46010</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22079-2023</t>
        </is>
      </c>
      <c r="B367" s="1" t="n">
        <v>45069</v>
      </c>
      <c r="C367" s="1" t="n">
        <v>46010</v>
      </c>
      <c r="D367" t="inlineStr">
        <is>
          <t>ÖREBRO LÄN</t>
        </is>
      </c>
      <c r="E367" t="inlineStr">
        <is>
          <t>ÖREBRO</t>
        </is>
      </c>
      <c r="G367" t="n">
        <v>1.3</v>
      </c>
      <c r="H367" t="n">
        <v>0</v>
      </c>
      <c r="I367" t="n">
        <v>0</v>
      </c>
      <c r="J367" t="n">
        <v>0</v>
      </c>
      <c r="K367" t="n">
        <v>0</v>
      </c>
      <c r="L367" t="n">
        <v>0</v>
      </c>
      <c r="M367" t="n">
        <v>0</v>
      </c>
      <c r="N367" t="n">
        <v>0</v>
      </c>
      <c r="O367" t="n">
        <v>0</v>
      </c>
      <c r="P367" t="n">
        <v>0</v>
      </c>
      <c r="Q367" t="n">
        <v>0</v>
      </c>
      <c r="R367" s="2" t="inlineStr"/>
    </row>
    <row r="368" ht="15" customHeight="1">
      <c r="A368" t="inlineStr">
        <is>
          <t>A 11663-2024</t>
        </is>
      </c>
      <c r="B368" s="1" t="n">
        <v>45373</v>
      </c>
      <c r="C368" s="1" t="n">
        <v>46010</v>
      </c>
      <c r="D368" t="inlineStr">
        <is>
          <t>ÖREBRO LÄN</t>
        </is>
      </c>
      <c r="E368" t="inlineStr">
        <is>
          <t>ÖREBRO</t>
        </is>
      </c>
      <c r="G368" t="n">
        <v>1</v>
      </c>
      <c r="H368" t="n">
        <v>0</v>
      </c>
      <c r="I368" t="n">
        <v>0</v>
      </c>
      <c r="J368" t="n">
        <v>0</v>
      </c>
      <c r="K368" t="n">
        <v>0</v>
      </c>
      <c r="L368" t="n">
        <v>0</v>
      </c>
      <c r="M368" t="n">
        <v>0</v>
      </c>
      <c r="N368" t="n">
        <v>0</v>
      </c>
      <c r="O368" t="n">
        <v>0</v>
      </c>
      <c r="P368" t="n">
        <v>0</v>
      </c>
      <c r="Q368" t="n">
        <v>0</v>
      </c>
      <c r="R368" s="2" t="inlineStr"/>
    </row>
    <row r="369" ht="15" customHeight="1">
      <c r="A369" t="inlineStr">
        <is>
          <t>A 2630-2023</t>
        </is>
      </c>
      <c r="B369" s="1" t="n">
        <v>44944.39105324074</v>
      </c>
      <c r="C369" s="1" t="n">
        <v>46010</v>
      </c>
      <c r="D369" t="inlineStr">
        <is>
          <t>ÖREBRO LÄN</t>
        </is>
      </c>
      <c r="E369" t="inlineStr">
        <is>
          <t>ÖREBRO</t>
        </is>
      </c>
      <c r="G369" t="n">
        <v>6.1</v>
      </c>
      <c r="H369" t="n">
        <v>0</v>
      </c>
      <c r="I369" t="n">
        <v>0</v>
      </c>
      <c r="J369" t="n">
        <v>0</v>
      </c>
      <c r="K369" t="n">
        <v>0</v>
      </c>
      <c r="L369" t="n">
        <v>0</v>
      </c>
      <c r="M369" t="n">
        <v>0</v>
      </c>
      <c r="N369" t="n">
        <v>0</v>
      </c>
      <c r="O369" t="n">
        <v>0</v>
      </c>
      <c r="P369" t="n">
        <v>0</v>
      </c>
      <c r="Q369" t="n">
        <v>0</v>
      </c>
      <c r="R369" s="2" t="inlineStr"/>
    </row>
    <row r="370" ht="15" customHeight="1">
      <c r="A370" t="inlineStr">
        <is>
          <t>A 5330-2024</t>
        </is>
      </c>
      <c r="B370" s="1" t="n">
        <v>45331.4187962963</v>
      </c>
      <c r="C370" s="1" t="n">
        <v>46010</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54925-2023</t>
        </is>
      </c>
      <c r="B371" s="1" t="n">
        <v>45229</v>
      </c>
      <c r="C371" s="1" t="n">
        <v>46010</v>
      </c>
      <c r="D371" t="inlineStr">
        <is>
          <t>ÖREBRO LÄN</t>
        </is>
      </c>
      <c r="E371" t="inlineStr">
        <is>
          <t>ÖREBRO</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10830-2023</t>
        </is>
      </c>
      <c r="B372" s="1" t="n">
        <v>44990.89752314815</v>
      </c>
      <c r="C372" s="1" t="n">
        <v>46010</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9585-2025</t>
        </is>
      </c>
      <c r="B373" s="1" t="n">
        <v>45715.63409722222</v>
      </c>
      <c r="C373" s="1" t="n">
        <v>46010</v>
      </c>
      <c r="D373" t="inlineStr">
        <is>
          <t>ÖREBRO LÄN</t>
        </is>
      </c>
      <c r="E373" t="inlineStr">
        <is>
          <t>ÖREBRO</t>
        </is>
      </c>
      <c r="G373" t="n">
        <v>3.4</v>
      </c>
      <c r="H373" t="n">
        <v>0</v>
      </c>
      <c r="I373" t="n">
        <v>0</v>
      </c>
      <c r="J373" t="n">
        <v>0</v>
      </c>
      <c r="K373" t="n">
        <v>0</v>
      </c>
      <c r="L373" t="n">
        <v>0</v>
      </c>
      <c r="M373" t="n">
        <v>0</v>
      </c>
      <c r="N373" t="n">
        <v>0</v>
      </c>
      <c r="O373" t="n">
        <v>0</v>
      </c>
      <c r="P373" t="n">
        <v>0</v>
      </c>
      <c r="Q373" t="n">
        <v>0</v>
      </c>
      <c r="R373" s="2" t="inlineStr"/>
    </row>
    <row r="374" ht="15" customHeight="1">
      <c r="A374" t="inlineStr">
        <is>
          <t>A 48454-2025</t>
        </is>
      </c>
      <c r="B374" s="1" t="n">
        <v>45935.80164351852</v>
      </c>
      <c r="C374" s="1" t="n">
        <v>46010</v>
      </c>
      <c r="D374" t="inlineStr">
        <is>
          <t>ÖREBRO LÄN</t>
        </is>
      </c>
      <c r="E374" t="inlineStr">
        <is>
          <t>ÖREBRO</t>
        </is>
      </c>
      <c r="F374" t="inlineStr">
        <is>
          <t>Övriga Aktiebolag</t>
        </is>
      </c>
      <c r="G374" t="n">
        <v>18.1</v>
      </c>
      <c r="H374" t="n">
        <v>0</v>
      </c>
      <c r="I374" t="n">
        <v>0</v>
      </c>
      <c r="J374" t="n">
        <v>0</v>
      </c>
      <c r="K374" t="n">
        <v>0</v>
      </c>
      <c r="L374" t="n">
        <v>0</v>
      </c>
      <c r="M374" t="n">
        <v>0</v>
      </c>
      <c r="N374" t="n">
        <v>0</v>
      </c>
      <c r="O374" t="n">
        <v>0</v>
      </c>
      <c r="P374" t="n">
        <v>0</v>
      </c>
      <c r="Q374" t="n">
        <v>0</v>
      </c>
      <c r="R374" s="2" t="inlineStr"/>
    </row>
    <row r="375" ht="15" customHeight="1">
      <c r="A375" t="inlineStr">
        <is>
          <t>A 5125-2024</t>
        </is>
      </c>
      <c r="B375" s="1" t="n">
        <v>45330</v>
      </c>
      <c r="C375" s="1" t="n">
        <v>46010</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42138-2024</t>
        </is>
      </c>
      <c r="B376" s="1" t="n">
        <v>45562.41854166667</v>
      </c>
      <c r="C376" s="1" t="n">
        <v>46010</v>
      </c>
      <c r="D376" t="inlineStr">
        <is>
          <t>ÖREBRO LÄN</t>
        </is>
      </c>
      <c r="E376" t="inlineStr">
        <is>
          <t>ÖREBRO</t>
        </is>
      </c>
      <c r="G376" t="n">
        <v>1.4</v>
      </c>
      <c r="H376" t="n">
        <v>0</v>
      </c>
      <c r="I376" t="n">
        <v>0</v>
      </c>
      <c r="J376" t="n">
        <v>0</v>
      </c>
      <c r="K376" t="n">
        <v>0</v>
      </c>
      <c r="L376" t="n">
        <v>0</v>
      </c>
      <c r="M376" t="n">
        <v>0</v>
      </c>
      <c r="N376" t="n">
        <v>0</v>
      </c>
      <c r="O376" t="n">
        <v>0</v>
      </c>
      <c r="P376" t="n">
        <v>0</v>
      </c>
      <c r="Q376" t="n">
        <v>0</v>
      </c>
      <c r="R376" s="2" t="inlineStr"/>
    </row>
    <row r="377" ht="15" customHeight="1">
      <c r="A377" t="inlineStr">
        <is>
          <t>A 26101-2022</t>
        </is>
      </c>
      <c r="B377" s="1" t="n">
        <v>44734</v>
      </c>
      <c r="C377" s="1" t="n">
        <v>46010</v>
      </c>
      <c r="D377" t="inlineStr">
        <is>
          <t>ÖREBRO LÄN</t>
        </is>
      </c>
      <c r="E377" t="inlineStr">
        <is>
          <t>ÖREBRO</t>
        </is>
      </c>
      <c r="G377" t="n">
        <v>15.8</v>
      </c>
      <c r="H377" t="n">
        <v>0</v>
      </c>
      <c r="I377" t="n">
        <v>0</v>
      </c>
      <c r="J377" t="n">
        <v>0</v>
      </c>
      <c r="K377" t="n">
        <v>0</v>
      </c>
      <c r="L377" t="n">
        <v>0</v>
      </c>
      <c r="M377" t="n">
        <v>0</v>
      </c>
      <c r="N377" t="n">
        <v>0</v>
      </c>
      <c r="O377" t="n">
        <v>0</v>
      </c>
      <c r="P377" t="n">
        <v>0</v>
      </c>
      <c r="Q377" t="n">
        <v>0</v>
      </c>
      <c r="R377" s="2" t="inlineStr"/>
    </row>
    <row r="378" ht="15" customHeight="1">
      <c r="A378" t="inlineStr">
        <is>
          <t>A 2095-2025</t>
        </is>
      </c>
      <c r="B378" s="1" t="n">
        <v>45672</v>
      </c>
      <c r="C378" s="1" t="n">
        <v>46010</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71206-2021</t>
        </is>
      </c>
      <c r="B379" s="1" t="n">
        <v>44539</v>
      </c>
      <c r="C379" s="1" t="n">
        <v>46010</v>
      </c>
      <c r="D379" t="inlineStr">
        <is>
          <t>ÖREBRO LÄN</t>
        </is>
      </c>
      <c r="E379" t="inlineStr">
        <is>
          <t>ÖREBRO</t>
        </is>
      </c>
      <c r="G379" t="n">
        <v>2.5</v>
      </c>
      <c r="H379" t="n">
        <v>0</v>
      </c>
      <c r="I379" t="n">
        <v>0</v>
      </c>
      <c r="J379" t="n">
        <v>0</v>
      </c>
      <c r="K379" t="n">
        <v>0</v>
      </c>
      <c r="L379" t="n">
        <v>0</v>
      </c>
      <c r="M379" t="n">
        <v>0</v>
      </c>
      <c r="N379" t="n">
        <v>0</v>
      </c>
      <c r="O379" t="n">
        <v>0</v>
      </c>
      <c r="P379" t="n">
        <v>0</v>
      </c>
      <c r="Q379" t="n">
        <v>0</v>
      </c>
      <c r="R379" s="2" t="inlineStr"/>
    </row>
    <row r="380" ht="15" customHeight="1">
      <c r="A380" t="inlineStr">
        <is>
          <t>A 48140-2024</t>
        </is>
      </c>
      <c r="B380" s="1" t="n">
        <v>45589.66474537037</v>
      </c>
      <c r="C380" s="1" t="n">
        <v>46010</v>
      </c>
      <c r="D380" t="inlineStr">
        <is>
          <t>ÖREBRO LÄN</t>
        </is>
      </c>
      <c r="E380" t="inlineStr">
        <is>
          <t>ÖREBRO</t>
        </is>
      </c>
      <c r="G380" t="n">
        <v>2.4</v>
      </c>
      <c r="H380" t="n">
        <v>0</v>
      </c>
      <c r="I380" t="n">
        <v>0</v>
      </c>
      <c r="J380" t="n">
        <v>0</v>
      </c>
      <c r="K380" t="n">
        <v>0</v>
      </c>
      <c r="L380" t="n">
        <v>0</v>
      </c>
      <c r="M380" t="n">
        <v>0</v>
      </c>
      <c r="N380" t="n">
        <v>0</v>
      </c>
      <c r="O380" t="n">
        <v>0</v>
      </c>
      <c r="P380" t="n">
        <v>0</v>
      </c>
      <c r="Q380" t="n">
        <v>0</v>
      </c>
      <c r="R380" s="2" t="inlineStr"/>
    </row>
    <row r="381" ht="15" customHeight="1">
      <c r="A381" t="inlineStr">
        <is>
          <t>A 41703-2024</t>
        </is>
      </c>
      <c r="B381" s="1" t="n">
        <v>45560</v>
      </c>
      <c r="C381" s="1" t="n">
        <v>46010</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57537-2025</t>
        </is>
      </c>
      <c r="B382" s="1" t="n">
        <v>45980.6446875</v>
      </c>
      <c r="C382" s="1" t="n">
        <v>46010</v>
      </c>
      <c r="D382" t="inlineStr">
        <is>
          <t>ÖREBRO LÄN</t>
        </is>
      </c>
      <c r="E382" t="inlineStr">
        <is>
          <t>ÖREBRO</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33577-2023</t>
        </is>
      </c>
      <c r="B383" s="1" t="n">
        <v>45131</v>
      </c>
      <c r="C383" s="1" t="n">
        <v>46010</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38489-2023</t>
        </is>
      </c>
      <c r="B384" s="1" t="n">
        <v>45162</v>
      </c>
      <c r="C384" s="1" t="n">
        <v>46010</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58230-2025</t>
        </is>
      </c>
      <c r="B385" s="1" t="n">
        <v>45985.38037037037</v>
      </c>
      <c r="C385" s="1" t="n">
        <v>46010</v>
      </c>
      <c r="D385" t="inlineStr">
        <is>
          <t>ÖREBRO LÄN</t>
        </is>
      </c>
      <c r="E385" t="inlineStr">
        <is>
          <t>ÖREBRO</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19763-2024</t>
        </is>
      </c>
      <c r="B386" s="1" t="n">
        <v>45432</v>
      </c>
      <c r="C386" s="1" t="n">
        <v>46010</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14545-2023</t>
        </is>
      </c>
      <c r="B387" s="1" t="n">
        <v>45013.34895833334</v>
      </c>
      <c r="C387" s="1" t="n">
        <v>46010</v>
      </c>
      <c r="D387" t="inlineStr">
        <is>
          <t>ÖREBRO LÄN</t>
        </is>
      </c>
      <c r="E387" t="inlineStr">
        <is>
          <t>ÖREBRO</t>
        </is>
      </c>
      <c r="G387" t="n">
        <v>2.5</v>
      </c>
      <c r="H387" t="n">
        <v>0</v>
      </c>
      <c r="I387" t="n">
        <v>0</v>
      </c>
      <c r="J387" t="n">
        <v>0</v>
      </c>
      <c r="K387" t="n">
        <v>0</v>
      </c>
      <c r="L387" t="n">
        <v>0</v>
      </c>
      <c r="M387" t="n">
        <v>0</v>
      </c>
      <c r="N387" t="n">
        <v>0</v>
      </c>
      <c r="O387" t="n">
        <v>0</v>
      </c>
      <c r="P387" t="n">
        <v>0</v>
      </c>
      <c r="Q387" t="n">
        <v>0</v>
      </c>
      <c r="R387" s="2" t="inlineStr"/>
    </row>
    <row r="388" ht="15" customHeight="1">
      <c r="A388" t="inlineStr">
        <is>
          <t>A 54917-2023</t>
        </is>
      </c>
      <c r="B388" s="1" t="n">
        <v>45229</v>
      </c>
      <c r="C388" s="1" t="n">
        <v>46010</v>
      </c>
      <c r="D388" t="inlineStr">
        <is>
          <t>ÖREBRO LÄN</t>
        </is>
      </c>
      <c r="E388" t="inlineStr">
        <is>
          <t>ÖREBRO</t>
        </is>
      </c>
      <c r="G388" t="n">
        <v>3.1</v>
      </c>
      <c r="H388" t="n">
        <v>0</v>
      </c>
      <c r="I388" t="n">
        <v>0</v>
      </c>
      <c r="J388" t="n">
        <v>0</v>
      </c>
      <c r="K388" t="n">
        <v>0</v>
      </c>
      <c r="L388" t="n">
        <v>0</v>
      </c>
      <c r="M388" t="n">
        <v>0</v>
      </c>
      <c r="N388" t="n">
        <v>0</v>
      </c>
      <c r="O388" t="n">
        <v>0</v>
      </c>
      <c r="P388" t="n">
        <v>0</v>
      </c>
      <c r="Q388" t="n">
        <v>0</v>
      </c>
      <c r="R388" s="2" t="inlineStr"/>
    </row>
    <row r="389" ht="15" customHeight="1">
      <c r="A389" t="inlineStr">
        <is>
          <t>A 14432-2023</t>
        </is>
      </c>
      <c r="B389" s="1" t="n">
        <v>45012</v>
      </c>
      <c r="C389" s="1" t="n">
        <v>46010</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3652-2022</t>
        </is>
      </c>
      <c r="B390" s="1" t="n">
        <v>44586.46921296296</v>
      </c>
      <c r="C390" s="1" t="n">
        <v>46010</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37021-2024</t>
        </is>
      </c>
      <c r="B391" s="1" t="n">
        <v>45539.38146990741</v>
      </c>
      <c r="C391" s="1" t="n">
        <v>46010</v>
      </c>
      <c r="D391" t="inlineStr">
        <is>
          <t>ÖREBRO LÄN</t>
        </is>
      </c>
      <c r="E391" t="inlineStr">
        <is>
          <t>ÖREBRO</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52499-2024</t>
        </is>
      </c>
      <c r="B392" s="1" t="n">
        <v>45609.58422453704</v>
      </c>
      <c r="C392" s="1" t="n">
        <v>46010</v>
      </c>
      <c r="D392" t="inlineStr">
        <is>
          <t>ÖREBRO LÄN</t>
        </is>
      </c>
      <c r="E392" t="inlineStr">
        <is>
          <t>ÖREBRO</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8374-2021</t>
        </is>
      </c>
      <c r="B393" s="1" t="n">
        <v>44244</v>
      </c>
      <c r="C393" s="1" t="n">
        <v>46010</v>
      </c>
      <c r="D393" t="inlineStr">
        <is>
          <t>ÖREBRO LÄN</t>
        </is>
      </c>
      <c r="E393" t="inlineStr">
        <is>
          <t>ÖREBRO</t>
        </is>
      </c>
      <c r="G393" t="n">
        <v>0.6</v>
      </c>
      <c r="H393" t="n">
        <v>0</v>
      </c>
      <c r="I393" t="n">
        <v>0</v>
      </c>
      <c r="J393" t="n">
        <v>0</v>
      </c>
      <c r="K393" t="n">
        <v>0</v>
      </c>
      <c r="L393" t="n">
        <v>0</v>
      </c>
      <c r="M393" t="n">
        <v>0</v>
      </c>
      <c r="N393" t="n">
        <v>0</v>
      </c>
      <c r="O393" t="n">
        <v>0</v>
      </c>
      <c r="P393" t="n">
        <v>0</v>
      </c>
      <c r="Q393" t="n">
        <v>0</v>
      </c>
      <c r="R393" s="2" t="inlineStr"/>
    </row>
    <row r="394" ht="15" customHeight="1">
      <c r="A394" t="inlineStr">
        <is>
          <t>A 14960-2025</t>
        </is>
      </c>
      <c r="B394" s="1" t="n">
        <v>45743.5853125</v>
      </c>
      <c r="C394" s="1" t="n">
        <v>46010</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13623-2024</t>
        </is>
      </c>
      <c r="B395" s="1" t="n">
        <v>45390.38626157407</v>
      </c>
      <c r="C395" s="1" t="n">
        <v>46010</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5619-2023</t>
        </is>
      </c>
      <c r="B396" s="1" t="n">
        <v>44958</v>
      </c>
      <c r="C396" s="1" t="n">
        <v>46010</v>
      </c>
      <c r="D396" t="inlineStr">
        <is>
          <t>ÖREBRO LÄN</t>
        </is>
      </c>
      <c r="E396" t="inlineStr">
        <is>
          <t>ÖREBRO</t>
        </is>
      </c>
      <c r="G396" t="n">
        <v>27</v>
      </c>
      <c r="H396" t="n">
        <v>0</v>
      </c>
      <c r="I396" t="n">
        <v>0</v>
      </c>
      <c r="J396" t="n">
        <v>0</v>
      </c>
      <c r="K396" t="n">
        <v>0</v>
      </c>
      <c r="L396" t="n">
        <v>0</v>
      </c>
      <c r="M396" t="n">
        <v>0</v>
      </c>
      <c r="N396" t="n">
        <v>0</v>
      </c>
      <c r="O396" t="n">
        <v>0</v>
      </c>
      <c r="P396" t="n">
        <v>0</v>
      </c>
      <c r="Q396" t="n">
        <v>0</v>
      </c>
      <c r="R396" s="2" t="inlineStr"/>
    </row>
    <row r="397" ht="15" customHeight="1">
      <c r="A397" t="inlineStr">
        <is>
          <t>A 37277-2022</t>
        </is>
      </c>
      <c r="B397" s="1" t="n">
        <v>44807.49150462963</v>
      </c>
      <c r="C397" s="1" t="n">
        <v>46010</v>
      </c>
      <c r="D397" t="inlineStr">
        <is>
          <t>ÖREBRO LÄN</t>
        </is>
      </c>
      <c r="E397" t="inlineStr">
        <is>
          <t>ÖREBRO</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58835-2025</t>
        </is>
      </c>
      <c r="B398" s="1" t="n">
        <v>45987.35519675926</v>
      </c>
      <c r="C398" s="1" t="n">
        <v>46010</v>
      </c>
      <c r="D398" t="inlineStr">
        <is>
          <t>ÖREBRO LÄN</t>
        </is>
      </c>
      <c r="E398" t="inlineStr">
        <is>
          <t>ÖREBRO</t>
        </is>
      </c>
      <c r="G398" t="n">
        <v>2.1</v>
      </c>
      <c r="H398" t="n">
        <v>0</v>
      </c>
      <c r="I398" t="n">
        <v>0</v>
      </c>
      <c r="J398" t="n">
        <v>0</v>
      </c>
      <c r="K398" t="n">
        <v>0</v>
      </c>
      <c r="L398" t="n">
        <v>0</v>
      </c>
      <c r="M398" t="n">
        <v>0</v>
      </c>
      <c r="N398" t="n">
        <v>0</v>
      </c>
      <c r="O398" t="n">
        <v>0</v>
      </c>
      <c r="P398" t="n">
        <v>0</v>
      </c>
      <c r="Q398" t="n">
        <v>0</v>
      </c>
      <c r="R398" s="2" t="inlineStr"/>
    </row>
    <row r="399" ht="15" customHeight="1">
      <c r="A399" t="inlineStr">
        <is>
          <t>A 23573-2023</t>
        </is>
      </c>
      <c r="B399" s="1" t="n">
        <v>45077.41672453703</v>
      </c>
      <c r="C399" s="1" t="n">
        <v>46010</v>
      </c>
      <c r="D399" t="inlineStr">
        <is>
          <t>ÖREBRO LÄN</t>
        </is>
      </c>
      <c r="E399" t="inlineStr">
        <is>
          <t>ÖREBRO</t>
        </is>
      </c>
      <c r="G399" t="n">
        <v>2.9</v>
      </c>
      <c r="H399" t="n">
        <v>0</v>
      </c>
      <c r="I399" t="n">
        <v>0</v>
      </c>
      <c r="J399" t="n">
        <v>0</v>
      </c>
      <c r="K399" t="n">
        <v>0</v>
      </c>
      <c r="L399" t="n">
        <v>0</v>
      </c>
      <c r="M399" t="n">
        <v>0</v>
      </c>
      <c r="N399" t="n">
        <v>0</v>
      </c>
      <c r="O399" t="n">
        <v>0</v>
      </c>
      <c r="P399" t="n">
        <v>0</v>
      </c>
      <c r="Q399" t="n">
        <v>0</v>
      </c>
      <c r="R399" s="2" t="inlineStr"/>
    </row>
    <row r="400" ht="15" customHeight="1">
      <c r="A400" t="inlineStr">
        <is>
          <t>A 61593-2023</t>
        </is>
      </c>
      <c r="B400" s="1" t="n">
        <v>45265</v>
      </c>
      <c r="C400" s="1" t="n">
        <v>46010</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59024-2024</t>
        </is>
      </c>
      <c r="B401" s="1" t="n">
        <v>45636.68505787037</v>
      </c>
      <c r="C401" s="1" t="n">
        <v>46010</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50311-2025</t>
        </is>
      </c>
      <c r="B402" s="1" t="n">
        <v>45944</v>
      </c>
      <c r="C402" s="1" t="n">
        <v>46010</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10339-2023</t>
        </is>
      </c>
      <c r="B403" s="1" t="n">
        <v>44987</v>
      </c>
      <c r="C403" s="1" t="n">
        <v>46010</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31247-2023</t>
        </is>
      </c>
      <c r="B404" s="1" t="n">
        <v>45114</v>
      </c>
      <c r="C404" s="1" t="n">
        <v>46010</v>
      </c>
      <c r="D404" t="inlineStr">
        <is>
          <t>ÖREBRO LÄN</t>
        </is>
      </c>
      <c r="E404" t="inlineStr">
        <is>
          <t>ÖREBRO</t>
        </is>
      </c>
      <c r="F404" t="inlineStr">
        <is>
          <t>Allmännings- och besparingsskogar</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16165-2023</t>
        </is>
      </c>
      <c r="B405" s="1" t="n">
        <v>45027</v>
      </c>
      <c r="C405" s="1" t="n">
        <v>46010</v>
      </c>
      <c r="D405" t="inlineStr">
        <is>
          <t>ÖREBRO LÄN</t>
        </is>
      </c>
      <c r="E405" t="inlineStr">
        <is>
          <t>ÖREBRO</t>
        </is>
      </c>
      <c r="G405" t="n">
        <v>11</v>
      </c>
      <c r="H405" t="n">
        <v>0</v>
      </c>
      <c r="I405" t="n">
        <v>0</v>
      </c>
      <c r="J405" t="n">
        <v>0</v>
      </c>
      <c r="K405" t="n">
        <v>0</v>
      </c>
      <c r="L405" t="n">
        <v>0</v>
      </c>
      <c r="M405" t="n">
        <v>0</v>
      </c>
      <c r="N405" t="n">
        <v>0</v>
      </c>
      <c r="O405" t="n">
        <v>0</v>
      </c>
      <c r="P405" t="n">
        <v>0</v>
      </c>
      <c r="Q405" t="n">
        <v>0</v>
      </c>
      <c r="R405" s="2" t="inlineStr"/>
    </row>
    <row r="406" ht="15" customHeight="1">
      <c r="A406" t="inlineStr">
        <is>
          <t>A 58587-2025</t>
        </is>
      </c>
      <c r="B406" s="1" t="n">
        <v>45986.40208333333</v>
      </c>
      <c r="C406" s="1" t="n">
        <v>46010</v>
      </c>
      <c r="D406" t="inlineStr">
        <is>
          <t>ÖREBRO LÄN</t>
        </is>
      </c>
      <c r="E406" t="inlineStr">
        <is>
          <t>ÖREBRO</t>
        </is>
      </c>
      <c r="G406" t="n">
        <v>1.6</v>
      </c>
      <c r="H406" t="n">
        <v>0</v>
      </c>
      <c r="I406" t="n">
        <v>0</v>
      </c>
      <c r="J406" t="n">
        <v>0</v>
      </c>
      <c r="K406" t="n">
        <v>0</v>
      </c>
      <c r="L406" t="n">
        <v>0</v>
      </c>
      <c r="M406" t="n">
        <v>0</v>
      </c>
      <c r="N406" t="n">
        <v>0</v>
      </c>
      <c r="O406" t="n">
        <v>0</v>
      </c>
      <c r="P406" t="n">
        <v>0</v>
      </c>
      <c r="Q406" t="n">
        <v>0</v>
      </c>
      <c r="R406" s="2" t="inlineStr"/>
    </row>
    <row r="407" ht="15" customHeight="1">
      <c r="A407" t="inlineStr">
        <is>
          <t>A 39130-2023</t>
        </is>
      </c>
      <c r="B407" s="1" t="n">
        <v>45165</v>
      </c>
      <c r="C407" s="1" t="n">
        <v>46010</v>
      </c>
      <c r="D407" t="inlineStr">
        <is>
          <t>ÖREBRO LÄN</t>
        </is>
      </c>
      <c r="E407" t="inlineStr">
        <is>
          <t>ÖREBRO</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50398-2022</t>
        </is>
      </c>
      <c r="B408" s="1" t="n">
        <v>44861</v>
      </c>
      <c r="C408" s="1" t="n">
        <v>46010</v>
      </c>
      <c r="D408" t="inlineStr">
        <is>
          <t>ÖREBRO LÄN</t>
        </is>
      </c>
      <c r="E408" t="inlineStr">
        <is>
          <t>ÖREBRO</t>
        </is>
      </c>
      <c r="G408" t="n">
        <v>1.9</v>
      </c>
      <c r="H408" t="n">
        <v>0</v>
      </c>
      <c r="I408" t="n">
        <v>0</v>
      </c>
      <c r="J408" t="n">
        <v>0</v>
      </c>
      <c r="K408" t="n">
        <v>0</v>
      </c>
      <c r="L408" t="n">
        <v>0</v>
      </c>
      <c r="M408" t="n">
        <v>0</v>
      </c>
      <c r="N408" t="n">
        <v>0</v>
      </c>
      <c r="O408" t="n">
        <v>0</v>
      </c>
      <c r="P408" t="n">
        <v>0</v>
      </c>
      <c r="Q408" t="n">
        <v>0</v>
      </c>
      <c r="R408" s="2" t="inlineStr"/>
    </row>
    <row r="409" ht="15" customHeight="1">
      <c r="A409" t="inlineStr">
        <is>
          <t>A 9379-2024</t>
        </is>
      </c>
      <c r="B409" s="1" t="n">
        <v>45359.37298611111</v>
      </c>
      <c r="C409" s="1" t="n">
        <v>46010</v>
      </c>
      <c r="D409" t="inlineStr">
        <is>
          <t>ÖREBRO LÄN</t>
        </is>
      </c>
      <c r="E409" t="inlineStr">
        <is>
          <t>ÖREBRO</t>
        </is>
      </c>
      <c r="G409" t="n">
        <v>2.4</v>
      </c>
      <c r="H409" t="n">
        <v>0</v>
      </c>
      <c r="I409" t="n">
        <v>0</v>
      </c>
      <c r="J409" t="n">
        <v>0</v>
      </c>
      <c r="K409" t="n">
        <v>0</v>
      </c>
      <c r="L409" t="n">
        <v>0</v>
      </c>
      <c r="M409" t="n">
        <v>0</v>
      </c>
      <c r="N409" t="n">
        <v>0</v>
      </c>
      <c r="O409" t="n">
        <v>0</v>
      </c>
      <c r="P409" t="n">
        <v>0</v>
      </c>
      <c r="Q409" t="n">
        <v>0</v>
      </c>
      <c r="R409" s="2" t="inlineStr"/>
    </row>
    <row r="410" ht="15" customHeight="1">
      <c r="A410" t="inlineStr">
        <is>
          <t>A 59145-2025</t>
        </is>
      </c>
      <c r="B410" s="1" t="n">
        <v>45988.52015046297</v>
      </c>
      <c r="C410" s="1" t="n">
        <v>46010</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35345-2024</t>
        </is>
      </c>
      <c r="B411" s="1" t="n">
        <v>45530</v>
      </c>
      <c r="C411" s="1" t="n">
        <v>46010</v>
      </c>
      <c r="D411" t="inlineStr">
        <is>
          <t>ÖREBRO LÄN</t>
        </is>
      </c>
      <c r="E411" t="inlineStr">
        <is>
          <t>ÖREBRO</t>
        </is>
      </c>
      <c r="G411" t="n">
        <v>0.9</v>
      </c>
      <c r="H411" t="n">
        <v>0</v>
      </c>
      <c r="I411" t="n">
        <v>0</v>
      </c>
      <c r="J411" t="n">
        <v>0</v>
      </c>
      <c r="K411" t="n">
        <v>0</v>
      </c>
      <c r="L411" t="n">
        <v>0</v>
      </c>
      <c r="M411" t="n">
        <v>0</v>
      </c>
      <c r="N411" t="n">
        <v>0</v>
      </c>
      <c r="O411" t="n">
        <v>0</v>
      </c>
      <c r="P411" t="n">
        <v>0</v>
      </c>
      <c r="Q411" t="n">
        <v>0</v>
      </c>
      <c r="R411" s="2" t="inlineStr"/>
    </row>
    <row r="412" ht="15" customHeight="1">
      <c r="A412" t="inlineStr">
        <is>
          <t>A 8568-2021</t>
        </is>
      </c>
      <c r="B412" s="1" t="n">
        <v>44245</v>
      </c>
      <c r="C412" s="1" t="n">
        <v>46010</v>
      </c>
      <c r="D412" t="inlineStr">
        <is>
          <t>ÖREBRO LÄN</t>
        </is>
      </c>
      <c r="E412" t="inlineStr">
        <is>
          <t>ÖREBRO</t>
        </is>
      </c>
      <c r="G412" t="n">
        <v>4.8</v>
      </c>
      <c r="H412" t="n">
        <v>0</v>
      </c>
      <c r="I412" t="n">
        <v>0</v>
      </c>
      <c r="J412" t="n">
        <v>0</v>
      </c>
      <c r="K412" t="n">
        <v>0</v>
      </c>
      <c r="L412" t="n">
        <v>0</v>
      </c>
      <c r="M412" t="n">
        <v>0</v>
      </c>
      <c r="N412" t="n">
        <v>0</v>
      </c>
      <c r="O412" t="n">
        <v>0</v>
      </c>
      <c r="P412" t="n">
        <v>0</v>
      </c>
      <c r="Q412" t="n">
        <v>0</v>
      </c>
      <c r="R412" s="2" t="inlineStr"/>
    </row>
    <row r="413" ht="15" customHeight="1">
      <c r="A413" t="inlineStr">
        <is>
          <t>A 45517-2023</t>
        </is>
      </c>
      <c r="B413" s="1" t="n">
        <v>45194.49594907407</v>
      </c>
      <c r="C413" s="1" t="n">
        <v>46010</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59515-2025</t>
        </is>
      </c>
      <c r="B414" s="1" t="n">
        <v>45989.65238425926</v>
      </c>
      <c r="C414" s="1" t="n">
        <v>46010</v>
      </c>
      <c r="D414" t="inlineStr">
        <is>
          <t>ÖREBRO LÄN</t>
        </is>
      </c>
      <c r="E414" t="inlineStr">
        <is>
          <t>ÖREBRO</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59312-2025</t>
        </is>
      </c>
      <c r="B415" s="1" t="n">
        <v>45989.30467592592</v>
      </c>
      <c r="C415" s="1" t="n">
        <v>46010</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59313-2025</t>
        </is>
      </c>
      <c r="B416" s="1" t="n">
        <v>45989.30920138889</v>
      </c>
      <c r="C416" s="1" t="n">
        <v>46010</v>
      </c>
      <c r="D416" t="inlineStr">
        <is>
          <t>ÖREBRO LÄN</t>
        </is>
      </c>
      <c r="E416" t="inlineStr">
        <is>
          <t>ÖREBRO</t>
        </is>
      </c>
      <c r="G416" t="n">
        <v>1.6</v>
      </c>
      <c r="H416" t="n">
        <v>0</v>
      </c>
      <c r="I416" t="n">
        <v>0</v>
      </c>
      <c r="J416" t="n">
        <v>0</v>
      </c>
      <c r="K416" t="n">
        <v>0</v>
      </c>
      <c r="L416" t="n">
        <v>0</v>
      </c>
      <c r="M416" t="n">
        <v>0</v>
      </c>
      <c r="N416" t="n">
        <v>0</v>
      </c>
      <c r="O416" t="n">
        <v>0</v>
      </c>
      <c r="P416" t="n">
        <v>0</v>
      </c>
      <c r="Q416" t="n">
        <v>0</v>
      </c>
      <c r="R416" s="2" t="inlineStr"/>
    </row>
    <row r="417" ht="15" customHeight="1">
      <c r="A417" t="inlineStr">
        <is>
          <t>A 32321-2023</t>
        </is>
      </c>
      <c r="B417" s="1" t="n">
        <v>45120</v>
      </c>
      <c r="C417" s="1" t="n">
        <v>46010</v>
      </c>
      <c r="D417" t="inlineStr">
        <is>
          <t>ÖREBRO LÄN</t>
        </is>
      </c>
      <c r="E417" t="inlineStr">
        <is>
          <t>ÖREBRO</t>
        </is>
      </c>
      <c r="G417" t="n">
        <v>3.4</v>
      </c>
      <c r="H417" t="n">
        <v>0</v>
      </c>
      <c r="I417" t="n">
        <v>0</v>
      </c>
      <c r="J417" t="n">
        <v>0</v>
      </c>
      <c r="K417" t="n">
        <v>0</v>
      </c>
      <c r="L417" t="n">
        <v>0</v>
      </c>
      <c r="M417" t="n">
        <v>0</v>
      </c>
      <c r="N417" t="n">
        <v>0</v>
      </c>
      <c r="O417" t="n">
        <v>0</v>
      </c>
      <c r="P417" t="n">
        <v>0</v>
      </c>
      <c r="Q417" t="n">
        <v>0</v>
      </c>
      <c r="R417" s="2" t="inlineStr"/>
    </row>
    <row r="418" ht="15" customHeight="1">
      <c r="A418" t="inlineStr">
        <is>
          <t>A 51248-2025</t>
        </is>
      </c>
      <c r="B418" s="1" t="n">
        <v>45948.450625</v>
      </c>
      <c r="C418" s="1" t="n">
        <v>46010</v>
      </c>
      <c r="D418" t="inlineStr">
        <is>
          <t>ÖREBRO LÄN</t>
        </is>
      </c>
      <c r="E418" t="inlineStr">
        <is>
          <t>ÖREBRO</t>
        </is>
      </c>
      <c r="G418" t="n">
        <v>4.4</v>
      </c>
      <c r="H418" t="n">
        <v>0</v>
      </c>
      <c r="I418" t="n">
        <v>0</v>
      </c>
      <c r="J418" t="n">
        <v>0</v>
      </c>
      <c r="K418" t="n">
        <v>0</v>
      </c>
      <c r="L418" t="n">
        <v>0</v>
      </c>
      <c r="M418" t="n">
        <v>0</v>
      </c>
      <c r="N418" t="n">
        <v>0</v>
      </c>
      <c r="O418" t="n">
        <v>0</v>
      </c>
      <c r="P418" t="n">
        <v>0</v>
      </c>
      <c r="Q418" t="n">
        <v>0</v>
      </c>
      <c r="R418" s="2" t="inlineStr"/>
    </row>
    <row r="419" ht="15" customHeight="1">
      <c r="A419" t="inlineStr">
        <is>
          <t>A 29138-2022</t>
        </is>
      </c>
      <c r="B419" s="1" t="n">
        <v>44750</v>
      </c>
      <c r="C419" s="1" t="n">
        <v>46010</v>
      </c>
      <c r="D419" t="inlineStr">
        <is>
          <t>ÖREBRO LÄN</t>
        </is>
      </c>
      <c r="E419" t="inlineStr">
        <is>
          <t>ÖREBRO</t>
        </is>
      </c>
      <c r="G419" t="n">
        <v>3.3</v>
      </c>
      <c r="H419" t="n">
        <v>0</v>
      </c>
      <c r="I419" t="n">
        <v>0</v>
      </c>
      <c r="J419" t="n">
        <v>0</v>
      </c>
      <c r="K419" t="n">
        <v>0</v>
      </c>
      <c r="L419" t="n">
        <v>0</v>
      </c>
      <c r="M419" t="n">
        <v>0</v>
      </c>
      <c r="N419" t="n">
        <v>0</v>
      </c>
      <c r="O419" t="n">
        <v>0</v>
      </c>
      <c r="P419" t="n">
        <v>0</v>
      </c>
      <c r="Q419" t="n">
        <v>0</v>
      </c>
      <c r="R419" s="2" t="inlineStr"/>
    </row>
    <row r="420" ht="15" customHeight="1">
      <c r="A420" t="inlineStr">
        <is>
          <t>A 29143-2022</t>
        </is>
      </c>
      <c r="B420" s="1" t="n">
        <v>44750</v>
      </c>
      <c r="C420" s="1" t="n">
        <v>46010</v>
      </c>
      <c r="D420" t="inlineStr">
        <is>
          <t>ÖREBRO LÄN</t>
        </is>
      </c>
      <c r="E420" t="inlineStr">
        <is>
          <t>ÖREBRO</t>
        </is>
      </c>
      <c r="G420" t="n">
        <v>5.6</v>
      </c>
      <c r="H420" t="n">
        <v>0</v>
      </c>
      <c r="I420" t="n">
        <v>0</v>
      </c>
      <c r="J420" t="n">
        <v>0</v>
      </c>
      <c r="K420" t="n">
        <v>0</v>
      </c>
      <c r="L420" t="n">
        <v>0</v>
      </c>
      <c r="M420" t="n">
        <v>0</v>
      </c>
      <c r="N420" t="n">
        <v>0</v>
      </c>
      <c r="O420" t="n">
        <v>0</v>
      </c>
      <c r="P420" t="n">
        <v>0</v>
      </c>
      <c r="Q420" t="n">
        <v>0</v>
      </c>
      <c r="R420" s="2" t="inlineStr"/>
    </row>
    <row r="421" ht="15" customHeight="1">
      <c r="A421" t="inlineStr">
        <is>
          <t>A 14234-2024</t>
        </is>
      </c>
      <c r="B421" s="1" t="n">
        <v>45393.46980324074</v>
      </c>
      <c r="C421" s="1" t="n">
        <v>46010</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59857-2025</t>
        </is>
      </c>
      <c r="B422" s="1" t="n">
        <v>45992.75820601852</v>
      </c>
      <c r="C422" s="1" t="n">
        <v>46010</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4557-2023</t>
        </is>
      </c>
      <c r="B423" s="1" t="n">
        <v>44956.6655787037</v>
      </c>
      <c r="C423" s="1" t="n">
        <v>46010</v>
      </c>
      <c r="D423" t="inlineStr">
        <is>
          <t>ÖREBRO LÄN</t>
        </is>
      </c>
      <c r="E423" t="inlineStr">
        <is>
          <t>ÖREBRO</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53558-2023</t>
        </is>
      </c>
      <c r="B424" s="1" t="n">
        <v>45230.47266203703</v>
      </c>
      <c r="C424" s="1" t="n">
        <v>46010</v>
      </c>
      <c r="D424" t="inlineStr">
        <is>
          <t>ÖREBRO LÄN</t>
        </is>
      </c>
      <c r="E424" t="inlineStr">
        <is>
          <t>ÖREBRO</t>
        </is>
      </c>
      <c r="F424" t="inlineStr">
        <is>
          <t>Övriga Aktiebolag</t>
        </is>
      </c>
      <c r="G424" t="n">
        <v>4.7</v>
      </c>
      <c r="H424" t="n">
        <v>0</v>
      </c>
      <c r="I424" t="n">
        <v>0</v>
      </c>
      <c r="J424" t="n">
        <v>0</v>
      </c>
      <c r="K424" t="n">
        <v>0</v>
      </c>
      <c r="L424" t="n">
        <v>0</v>
      </c>
      <c r="M424" t="n">
        <v>0</v>
      </c>
      <c r="N424" t="n">
        <v>0</v>
      </c>
      <c r="O424" t="n">
        <v>0</v>
      </c>
      <c r="P424" t="n">
        <v>0</v>
      </c>
      <c r="Q424" t="n">
        <v>0</v>
      </c>
      <c r="R424" s="2" t="inlineStr"/>
    </row>
    <row r="425" ht="15" customHeight="1">
      <c r="A425" t="inlineStr">
        <is>
          <t>A 46518-2023</t>
        </is>
      </c>
      <c r="B425" s="1" t="n">
        <v>45197.72777777778</v>
      </c>
      <c r="C425" s="1" t="n">
        <v>46010</v>
      </c>
      <c r="D425" t="inlineStr">
        <is>
          <t>ÖREBRO LÄN</t>
        </is>
      </c>
      <c r="E425" t="inlineStr">
        <is>
          <t>ÖREBRO</t>
        </is>
      </c>
      <c r="G425" t="n">
        <v>2.2</v>
      </c>
      <c r="H425" t="n">
        <v>0</v>
      </c>
      <c r="I425" t="n">
        <v>0</v>
      </c>
      <c r="J425" t="n">
        <v>0</v>
      </c>
      <c r="K425" t="n">
        <v>0</v>
      </c>
      <c r="L425" t="n">
        <v>0</v>
      </c>
      <c r="M425" t="n">
        <v>0</v>
      </c>
      <c r="N425" t="n">
        <v>0</v>
      </c>
      <c r="O425" t="n">
        <v>0</v>
      </c>
      <c r="P425" t="n">
        <v>0</v>
      </c>
      <c r="Q425" t="n">
        <v>0</v>
      </c>
      <c r="R425" s="2" t="inlineStr"/>
    </row>
    <row r="426" ht="15" customHeight="1">
      <c r="A426" t="inlineStr">
        <is>
          <t>A 7692-2023</t>
        </is>
      </c>
      <c r="B426" s="1" t="n">
        <v>44972.7762962963</v>
      </c>
      <c r="C426" s="1" t="n">
        <v>46010</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51249-2025</t>
        </is>
      </c>
      <c r="B427" s="1" t="n">
        <v>45948.45704861111</v>
      </c>
      <c r="C427" s="1" t="n">
        <v>46010</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59856-2025</t>
        </is>
      </c>
      <c r="B428" s="1" t="n">
        <v>45992.74891203704</v>
      </c>
      <c r="C428" s="1" t="n">
        <v>46010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46056-2024</t>
        </is>
      </c>
      <c r="B429" s="1" t="n">
        <v>45580.91502314815</v>
      </c>
      <c r="C429" s="1" t="n">
        <v>46010</v>
      </c>
      <c r="D429" t="inlineStr">
        <is>
          <t>ÖREBRO LÄN</t>
        </is>
      </c>
      <c r="E429" t="inlineStr">
        <is>
          <t>ÖREBRO</t>
        </is>
      </c>
      <c r="F429" t="inlineStr">
        <is>
          <t>Övriga Aktiebolag</t>
        </is>
      </c>
      <c r="G429" t="n">
        <v>4.5</v>
      </c>
      <c r="H429" t="n">
        <v>0</v>
      </c>
      <c r="I429" t="n">
        <v>0</v>
      </c>
      <c r="J429" t="n">
        <v>0</v>
      </c>
      <c r="K429" t="n">
        <v>0</v>
      </c>
      <c r="L429" t="n">
        <v>0</v>
      </c>
      <c r="M429" t="n">
        <v>0</v>
      </c>
      <c r="N429" t="n">
        <v>0</v>
      </c>
      <c r="O429" t="n">
        <v>0</v>
      </c>
      <c r="P429" t="n">
        <v>0</v>
      </c>
      <c r="Q429" t="n">
        <v>0</v>
      </c>
      <c r="R429" s="2" t="inlineStr"/>
    </row>
    <row r="430" ht="15" customHeight="1">
      <c r="A430" t="inlineStr">
        <is>
          <t>A 59937-2025</t>
        </is>
      </c>
      <c r="B430" s="1" t="n">
        <v>45993.41934027777</v>
      </c>
      <c r="C430" s="1" t="n">
        <v>46010</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59938-2025</t>
        </is>
      </c>
      <c r="B431" s="1" t="n">
        <v>45993.42108796296</v>
      </c>
      <c r="C431" s="1" t="n">
        <v>46010</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57638-2022</t>
        </is>
      </c>
      <c r="B432" s="1" t="n">
        <v>44897</v>
      </c>
      <c r="C432" s="1" t="n">
        <v>46010</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59858-2025</t>
        </is>
      </c>
      <c r="B433" s="1" t="n">
        <v>45992.76758101852</v>
      </c>
      <c r="C433" s="1" t="n">
        <v>46010</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59859-2025</t>
        </is>
      </c>
      <c r="B434" s="1" t="n">
        <v>45992.7803125</v>
      </c>
      <c r="C434" s="1" t="n">
        <v>46010</v>
      </c>
      <c r="D434" t="inlineStr">
        <is>
          <t>ÖREBRO LÄN</t>
        </is>
      </c>
      <c r="E434" t="inlineStr">
        <is>
          <t>ÖREBRO</t>
        </is>
      </c>
      <c r="G434" t="n">
        <v>0.4</v>
      </c>
      <c r="H434" t="n">
        <v>0</v>
      </c>
      <c r="I434" t="n">
        <v>0</v>
      </c>
      <c r="J434" t="n">
        <v>0</v>
      </c>
      <c r="K434" t="n">
        <v>0</v>
      </c>
      <c r="L434" t="n">
        <v>0</v>
      </c>
      <c r="M434" t="n">
        <v>0</v>
      </c>
      <c r="N434" t="n">
        <v>0</v>
      </c>
      <c r="O434" t="n">
        <v>0</v>
      </c>
      <c r="P434" t="n">
        <v>0</v>
      </c>
      <c r="Q434" t="n">
        <v>0</v>
      </c>
      <c r="R434" s="2" t="inlineStr"/>
    </row>
    <row r="435" ht="15" customHeight="1">
      <c r="A435" t="inlineStr">
        <is>
          <t>A 59860-2025</t>
        </is>
      </c>
      <c r="B435" s="1" t="n">
        <v>45992.78351851852</v>
      </c>
      <c r="C435" s="1" t="n">
        <v>46010</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8274-2025</t>
        </is>
      </c>
      <c r="B436" s="1" t="n">
        <v>45708</v>
      </c>
      <c r="C436" s="1" t="n">
        <v>46010</v>
      </c>
      <c r="D436" t="inlineStr">
        <is>
          <t>ÖREBRO LÄN</t>
        </is>
      </c>
      <c r="E436" t="inlineStr">
        <is>
          <t>ÖREBRO</t>
        </is>
      </c>
      <c r="G436" t="n">
        <v>5.8</v>
      </c>
      <c r="H436" t="n">
        <v>0</v>
      </c>
      <c r="I436" t="n">
        <v>0</v>
      </c>
      <c r="J436" t="n">
        <v>0</v>
      </c>
      <c r="K436" t="n">
        <v>0</v>
      </c>
      <c r="L436" t="n">
        <v>0</v>
      </c>
      <c r="M436" t="n">
        <v>0</v>
      </c>
      <c r="N436" t="n">
        <v>0</v>
      </c>
      <c r="O436" t="n">
        <v>0</v>
      </c>
      <c r="P436" t="n">
        <v>0</v>
      </c>
      <c r="Q436" t="n">
        <v>0</v>
      </c>
      <c r="R436" s="2" t="inlineStr"/>
    </row>
    <row r="437" ht="15" customHeight="1">
      <c r="A437" t="inlineStr">
        <is>
          <t>A 7634-2024</t>
        </is>
      </c>
      <c r="B437" s="1" t="n">
        <v>45348</v>
      </c>
      <c r="C437" s="1" t="n">
        <v>46010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58208-2024</t>
        </is>
      </c>
      <c r="B438" s="1" t="n">
        <v>45632</v>
      </c>
      <c r="C438" s="1" t="n">
        <v>46010</v>
      </c>
      <c r="D438" t="inlineStr">
        <is>
          <t>ÖREBRO LÄN</t>
        </is>
      </c>
      <c r="E438" t="inlineStr">
        <is>
          <t>ÖREBRO</t>
        </is>
      </c>
      <c r="G438" t="n">
        <v>3.1</v>
      </c>
      <c r="H438" t="n">
        <v>0</v>
      </c>
      <c r="I438" t="n">
        <v>0</v>
      </c>
      <c r="J438" t="n">
        <v>0</v>
      </c>
      <c r="K438" t="n">
        <v>0</v>
      </c>
      <c r="L438" t="n">
        <v>0</v>
      </c>
      <c r="M438" t="n">
        <v>0</v>
      </c>
      <c r="N438" t="n">
        <v>0</v>
      </c>
      <c r="O438" t="n">
        <v>0</v>
      </c>
      <c r="P438" t="n">
        <v>0</v>
      </c>
      <c r="Q438" t="n">
        <v>0</v>
      </c>
      <c r="R438" s="2" t="inlineStr"/>
    </row>
    <row r="439" ht="15" customHeight="1">
      <c r="A439" t="inlineStr">
        <is>
          <t>A 71266-2021</t>
        </is>
      </c>
      <c r="B439" s="1" t="n">
        <v>44539</v>
      </c>
      <c r="C439" s="1" t="n">
        <v>46010</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71267-2021</t>
        </is>
      </c>
      <c r="B440" s="1" t="n">
        <v>44539</v>
      </c>
      <c r="C440" s="1" t="n">
        <v>46010</v>
      </c>
      <c r="D440" t="inlineStr">
        <is>
          <t>ÖREBRO LÄN</t>
        </is>
      </c>
      <c r="E440" t="inlineStr">
        <is>
          <t>ÖREBRO</t>
        </is>
      </c>
      <c r="G440" t="n">
        <v>1.7</v>
      </c>
      <c r="H440" t="n">
        <v>0</v>
      </c>
      <c r="I440" t="n">
        <v>0</v>
      </c>
      <c r="J440" t="n">
        <v>0</v>
      </c>
      <c r="K440" t="n">
        <v>0</v>
      </c>
      <c r="L440" t="n">
        <v>0</v>
      </c>
      <c r="M440" t="n">
        <v>0</v>
      </c>
      <c r="N440" t="n">
        <v>0</v>
      </c>
      <c r="O440" t="n">
        <v>0</v>
      </c>
      <c r="P440" t="n">
        <v>0</v>
      </c>
      <c r="Q440" t="n">
        <v>0</v>
      </c>
      <c r="R440" s="2" t="inlineStr"/>
    </row>
    <row r="441" ht="15" customHeight="1">
      <c r="A441" t="inlineStr">
        <is>
          <t>A 71280-2021</t>
        </is>
      </c>
      <c r="B441" s="1" t="n">
        <v>44539</v>
      </c>
      <c r="C441" s="1" t="n">
        <v>46010</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52135-2025</t>
        </is>
      </c>
      <c r="B442" s="1" t="n">
        <v>45952.84231481481</v>
      </c>
      <c r="C442" s="1" t="n">
        <v>46010</v>
      </c>
      <c r="D442" t="inlineStr">
        <is>
          <t>ÖREBRO LÄN</t>
        </is>
      </c>
      <c r="E442" t="inlineStr">
        <is>
          <t>ÖREBRO</t>
        </is>
      </c>
      <c r="G442" t="n">
        <v>4</v>
      </c>
      <c r="H442" t="n">
        <v>0</v>
      </c>
      <c r="I442" t="n">
        <v>0</v>
      </c>
      <c r="J442" t="n">
        <v>0</v>
      </c>
      <c r="K442" t="n">
        <v>0</v>
      </c>
      <c r="L442" t="n">
        <v>0</v>
      </c>
      <c r="M442" t="n">
        <v>0</v>
      </c>
      <c r="N442" t="n">
        <v>0</v>
      </c>
      <c r="O442" t="n">
        <v>0</v>
      </c>
      <c r="P442" t="n">
        <v>0</v>
      </c>
      <c r="Q442" t="n">
        <v>0</v>
      </c>
      <c r="R442" s="2" t="inlineStr"/>
    </row>
    <row r="443" ht="15" customHeight="1">
      <c r="A443" t="inlineStr">
        <is>
          <t>A 60466-2025</t>
        </is>
      </c>
      <c r="B443" s="1" t="n">
        <v>45995.55927083334</v>
      </c>
      <c r="C443" s="1" t="n">
        <v>46010</v>
      </c>
      <c r="D443" t="inlineStr">
        <is>
          <t>ÖREBRO LÄN</t>
        </is>
      </c>
      <c r="E443" t="inlineStr">
        <is>
          <t>ÖREBRO</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51925-2025</t>
        </is>
      </c>
      <c r="B444" s="1" t="n">
        <v>45952.49476851852</v>
      </c>
      <c r="C444" s="1" t="n">
        <v>46010</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21983-2021</t>
        </is>
      </c>
      <c r="B445" s="1" t="n">
        <v>44323</v>
      </c>
      <c r="C445" s="1" t="n">
        <v>46010</v>
      </c>
      <c r="D445" t="inlineStr">
        <is>
          <t>ÖREBRO LÄN</t>
        </is>
      </c>
      <c r="E445" t="inlineStr">
        <is>
          <t>ÖREBRO</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62497-2023</t>
        </is>
      </c>
      <c r="B446" s="1" t="n">
        <v>45268.59935185185</v>
      </c>
      <c r="C446" s="1" t="n">
        <v>46010</v>
      </c>
      <c r="D446" t="inlineStr">
        <is>
          <t>ÖREBRO LÄN</t>
        </is>
      </c>
      <c r="E446" t="inlineStr">
        <is>
          <t>ÖREBRO</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33294-2023</t>
        </is>
      </c>
      <c r="B447" s="1" t="n">
        <v>45127</v>
      </c>
      <c r="C447" s="1" t="n">
        <v>46010</v>
      </c>
      <c r="D447" t="inlineStr">
        <is>
          <t>ÖREBRO LÄN</t>
        </is>
      </c>
      <c r="E447" t="inlineStr">
        <is>
          <t>ÖREBRO</t>
        </is>
      </c>
      <c r="F447" t="inlineStr">
        <is>
          <t>Övriga Aktiebolag</t>
        </is>
      </c>
      <c r="G447" t="n">
        <v>6.7</v>
      </c>
      <c r="H447" t="n">
        <v>0</v>
      </c>
      <c r="I447" t="n">
        <v>0</v>
      </c>
      <c r="J447" t="n">
        <v>0</v>
      </c>
      <c r="K447" t="n">
        <v>0</v>
      </c>
      <c r="L447" t="n">
        <v>0</v>
      </c>
      <c r="M447" t="n">
        <v>0</v>
      </c>
      <c r="N447" t="n">
        <v>0</v>
      </c>
      <c r="O447" t="n">
        <v>0</v>
      </c>
      <c r="P447" t="n">
        <v>0</v>
      </c>
      <c r="Q447" t="n">
        <v>0</v>
      </c>
      <c r="R447" s="2" t="inlineStr"/>
    </row>
    <row r="448" ht="15" customHeight="1">
      <c r="A448" t="inlineStr">
        <is>
          <t>A 51923-2025</t>
        </is>
      </c>
      <c r="B448" s="1" t="n">
        <v>45952.49300925926</v>
      </c>
      <c r="C448" s="1" t="n">
        <v>46010</v>
      </c>
      <c r="D448" t="inlineStr">
        <is>
          <t>ÖREBRO LÄN</t>
        </is>
      </c>
      <c r="E448" t="inlineStr">
        <is>
          <t>ÖREBRO</t>
        </is>
      </c>
      <c r="G448" t="n">
        <v>1</v>
      </c>
      <c r="H448" t="n">
        <v>0</v>
      </c>
      <c r="I448" t="n">
        <v>0</v>
      </c>
      <c r="J448" t="n">
        <v>0</v>
      </c>
      <c r="K448" t="n">
        <v>0</v>
      </c>
      <c r="L448" t="n">
        <v>0</v>
      </c>
      <c r="M448" t="n">
        <v>0</v>
      </c>
      <c r="N448" t="n">
        <v>0</v>
      </c>
      <c r="O448" t="n">
        <v>0</v>
      </c>
      <c r="P448" t="n">
        <v>0</v>
      </c>
      <c r="Q448" t="n">
        <v>0</v>
      </c>
      <c r="R448" s="2" t="inlineStr"/>
    </row>
    <row r="449" ht="15" customHeight="1">
      <c r="A449" t="inlineStr">
        <is>
          <t>A 51937-2025</t>
        </is>
      </c>
      <c r="B449" s="1" t="n">
        <v>45952.51270833334</v>
      </c>
      <c r="C449" s="1" t="n">
        <v>46010</v>
      </c>
      <c r="D449" t="inlineStr">
        <is>
          <t>ÖREBRO LÄN</t>
        </is>
      </c>
      <c r="E449" t="inlineStr">
        <is>
          <t>ÖREBRO</t>
        </is>
      </c>
      <c r="G449" t="n">
        <v>1</v>
      </c>
      <c r="H449" t="n">
        <v>0</v>
      </c>
      <c r="I449" t="n">
        <v>0</v>
      </c>
      <c r="J449" t="n">
        <v>0</v>
      </c>
      <c r="K449" t="n">
        <v>0</v>
      </c>
      <c r="L449" t="n">
        <v>0</v>
      </c>
      <c r="M449" t="n">
        <v>0</v>
      </c>
      <c r="N449" t="n">
        <v>0</v>
      </c>
      <c r="O449" t="n">
        <v>0</v>
      </c>
      <c r="P449" t="n">
        <v>0</v>
      </c>
      <c r="Q449" t="n">
        <v>0</v>
      </c>
      <c r="R449" s="2" t="inlineStr"/>
    </row>
    <row r="450" ht="15" customHeight="1">
      <c r="A450" t="inlineStr">
        <is>
          <t>A 60555-2025</t>
        </is>
      </c>
      <c r="B450" s="1" t="n">
        <v>45995.73722222223</v>
      </c>
      <c r="C450" s="1" t="n">
        <v>46010</v>
      </c>
      <c r="D450" t="inlineStr">
        <is>
          <t>ÖREBRO LÄN</t>
        </is>
      </c>
      <c r="E450" t="inlineStr">
        <is>
          <t>ÖREBRO</t>
        </is>
      </c>
      <c r="G450" t="n">
        <v>1.7</v>
      </c>
      <c r="H450" t="n">
        <v>0</v>
      </c>
      <c r="I450" t="n">
        <v>0</v>
      </c>
      <c r="J450" t="n">
        <v>0</v>
      </c>
      <c r="K450" t="n">
        <v>0</v>
      </c>
      <c r="L450" t="n">
        <v>0</v>
      </c>
      <c r="M450" t="n">
        <v>0</v>
      </c>
      <c r="N450" t="n">
        <v>0</v>
      </c>
      <c r="O450" t="n">
        <v>0</v>
      </c>
      <c r="P450" t="n">
        <v>0</v>
      </c>
      <c r="Q450" t="n">
        <v>0</v>
      </c>
      <c r="R450" s="2" t="inlineStr"/>
    </row>
    <row r="451" ht="15" customHeight="1">
      <c r="A451" t="inlineStr">
        <is>
          <t>A 60553-2025</t>
        </is>
      </c>
      <c r="B451" s="1" t="n">
        <v>45995.72620370371</v>
      </c>
      <c r="C451" s="1" t="n">
        <v>46010</v>
      </c>
      <c r="D451" t="inlineStr">
        <is>
          <t>ÖREBRO LÄN</t>
        </is>
      </c>
      <c r="E451" t="inlineStr">
        <is>
          <t>ÖREBRO</t>
        </is>
      </c>
      <c r="G451" t="n">
        <v>3.3</v>
      </c>
      <c r="H451" t="n">
        <v>0</v>
      </c>
      <c r="I451" t="n">
        <v>0</v>
      </c>
      <c r="J451" t="n">
        <v>0</v>
      </c>
      <c r="K451" t="n">
        <v>0</v>
      </c>
      <c r="L451" t="n">
        <v>0</v>
      </c>
      <c r="M451" t="n">
        <v>0</v>
      </c>
      <c r="N451" t="n">
        <v>0</v>
      </c>
      <c r="O451" t="n">
        <v>0</v>
      </c>
      <c r="P451" t="n">
        <v>0</v>
      </c>
      <c r="Q451" t="n">
        <v>0</v>
      </c>
      <c r="R451" s="2" t="inlineStr"/>
    </row>
    <row r="452" ht="15" customHeight="1">
      <c r="A452" t="inlineStr">
        <is>
          <t>A 60551-2025</t>
        </is>
      </c>
      <c r="B452" s="1" t="n">
        <v>45995</v>
      </c>
      <c r="C452" s="1" t="n">
        <v>46010</v>
      </c>
      <c r="D452" t="inlineStr">
        <is>
          <t>ÖREBRO LÄN</t>
        </is>
      </c>
      <c r="E452" t="inlineStr">
        <is>
          <t>ÖREBRO</t>
        </is>
      </c>
      <c r="G452" t="n">
        <v>1.3</v>
      </c>
      <c r="H452" t="n">
        <v>0</v>
      </c>
      <c r="I452" t="n">
        <v>0</v>
      </c>
      <c r="J452" t="n">
        <v>0</v>
      </c>
      <c r="K452" t="n">
        <v>0</v>
      </c>
      <c r="L452" t="n">
        <v>0</v>
      </c>
      <c r="M452" t="n">
        <v>0</v>
      </c>
      <c r="N452" t="n">
        <v>0</v>
      </c>
      <c r="O452" t="n">
        <v>0</v>
      </c>
      <c r="P452" t="n">
        <v>0</v>
      </c>
      <c r="Q452" t="n">
        <v>0</v>
      </c>
      <c r="R452" s="2" t="inlineStr"/>
    </row>
    <row r="453" ht="15" customHeight="1">
      <c r="A453" t="inlineStr">
        <is>
          <t>A 46052-2024</t>
        </is>
      </c>
      <c r="B453" s="1" t="n">
        <v>45580.89116898148</v>
      </c>
      <c r="C453" s="1" t="n">
        <v>46010</v>
      </c>
      <c r="D453" t="inlineStr">
        <is>
          <t>ÖREBRO LÄN</t>
        </is>
      </c>
      <c r="E453" t="inlineStr">
        <is>
          <t>ÖREBRO</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60718-2025</t>
        </is>
      </c>
      <c r="B454" s="1" t="n">
        <v>45996.6384375</v>
      </c>
      <c r="C454" s="1" t="n">
        <v>46010</v>
      </c>
      <c r="D454" t="inlineStr">
        <is>
          <t>ÖREBRO LÄN</t>
        </is>
      </c>
      <c r="E454" t="inlineStr">
        <is>
          <t>ÖREBRO</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54149-2024</t>
        </is>
      </c>
      <c r="B455" s="1" t="n">
        <v>45616</v>
      </c>
      <c r="C455" s="1" t="n">
        <v>46010</v>
      </c>
      <c r="D455" t="inlineStr">
        <is>
          <t>ÖREBRO LÄN</t>
        </is>
      </c>
      <c r="E455" t="inlineStr">
        <is>
          <t>ÖREBRO</t>
        </is>
      </c>
      <c r="G455" t="n">
        <v>2.7</v>
      </c>
      <c r="H455" t="n">
        <v>0</v>
      </c>
      <c r="I455" t="n">
        <v>0</v>
      </c>
      <c r="J455" t="n">
        <v>0</v>
      </c>
      <c r="K455" t="n">
        <v>0</v>
      </c>
      <c r="L455" t="n">
        <v>0</v>
      </c>
      <c r="M455" t="n">
        <v>0</v>
      </c>
      <c r="N455" t="n">
        <v>0</v>
      </c>
      <c r="O455" t="n">
        <v>0</v>
      </c>
      <c r="P455" t="n">
        <v>0</v>
      </c>
      <c r="Q455" t="n">
        <v>0</v>
      </c>
      <c r="R455" s="2" t="inlineStr"/>
    </row>
    <row r="456" ht="15" customHeight="1">
      <c r="A456" t="inlineStr">
        <is>
          <t>A 60840-2025</t>
        </is>
      </c>
      <c r="B456" s="1" t="n">
        <v>45999.48547453704</v>
      </c>
      <c r="C456" s="1" t="n">
        <v>46010</v>
      </c>
      <c r="D456" t="inlineStr">
        <is>
          <t>ÖREBRO LÄN</t>
        </is>
      </c>
      <c r="E456" t="inlineStr">
        <is>
          <t>ÖREBRO</t>
        </is>
      </c>
      <c r="G456" t="n">
        <v>3.5</v>
      </c>
      <c r="H456" t="n">
        <v>0</v>
      </c>
      <c r="I456" t="n">
        <v>0</v>
      </c>
      <c r="J456" t="n">
        <v>0</v>
      </c>
      <c r="K456" t="n">
        <v>0</v>
      </c>
      <c r="L456" t="n">
        <v>0</v>
      </c>
      <c r="M456" t="n">
        <v>0</v>
      </c>
      <c r="N456" t="n">
        <v>0</v>
      </c>
      <c r="O456" t="n">
        <v>0</v>
      </c>
      <c r="P456" t="n">
        <v>0</v>
      </c>
      <c r="Q456" t="n">
        <v>0</v>
      </c>
      <c r="R456" s="2" t="inlineStr"/>
    </row>
    <row r="457" ht="15" customHeight="1">
      <c r="A457" t="inlineStr">
        <is>
          <t>A 30743-2025</t>
        </is>
      </c>
      <c r="B457" s="1" t="n">
        <v>45831</v>
      </c>
      <c r="C457" s="1" t="n">
        <v>46010</v>
      </c>
      <c r="D457" t="inlineStr">
        <is>
          <t>ÖREBRO LÄN</t>
        </is>
      </c>
      <c r="E457" t="inlineStr">
        <is>
          <t>ÖREBRO</t>
        </is>
      </c>
      <c r="G457" t="n">
        <v>2.9</v>
      </c>
      <c r="H457" t="n">
        <v>0</v>
      </c>
      <c r="I457" t="n">
        <v>0</v>
      </c>
      <c r="J457" t="n">
        <v>0</v>
      </c>
      <c r="K457" t="n">
        <v>0</v>
      </c>
      <c r="L457" t="n">
        <v>0</v>
      </c>
      <c r="M457" t="n">
        <v>0</v>
      </c>
      <c r="N457" t="n">
        <v>0</v>
      </c>
      <c r="O457" t="n">
        <v>0</v>
      </c>
      <c r="P457" t="n">
        <v>0</v>
      </c>
      <c r="Q457" t="n">
        <v>0</v>
      </c>
      <c r="R457" s="2" t="inlineStr"/>
    </row>
    <row r="458" ht="15" customHeight="1">
      <c r="A458" t="inlineStr">
        <is>
          <t>A 60717-2025</t>
        </is>
      </c>
      <c r="B458" s="1" t="n">
        <v>45996.63673611111</v>
      </c>
      <c r="C458" s="1" t="n">
        <v>46010</v>
      </c>
      <c r="D458" t="inlineStr">
        <is>
          <t>ÖREBRO LÄN</t>
        </is>
      </c>
      <c r="E458" t="inlineStr">
        <is>
          <t>ÖREBRO</t>
        </is>
      </c>
      <c r="F458" t="inlineStr">
        <is>
          <t>Sveaskog</t>
        </is>
      </c>
      <c r="G458" t="n">
        <v>0.5</v>
      </c>
      <c r="H458" t="n">
        <v>0</v>
      </c>
      <c r="I458" t="n">
        <v>0</v>
      </c>
      <c r="J458" t="n">
        <v>0</v>
      </c>
      <c r="K458" t="n">
        <v>0</v>
      </c>
      <c r="L458" t="n">
        <v>0</v>
      </c>
      <c r="M458" t="n">
        <v>0</v>
      </c>
      <c r="N458" t="n">
        <v>0</v>
      </c>
      <c r="O458" t="n">
        <v>0</v>
      </c>
      <c r="P458" t="n">
        <v>0</v>
      </c>
      <c r="Q458" t="n">
        <v>0</v>
      </c>
      <c r="R458" s="2" t="inlineStr"/>
    </row>
    <row r="459" ht="15" customHeight="1">
      <c r="A459" t="inlineStr">
        <is>
          <t>A 12871-2021</t>
        </is>
      </c>
      <c r="B459" s="1" t="n">
        <v>44271.42121527778</v>
      </c>
      <c r="C459" s="1" t="n">
        <v>46010</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15424-2022</t>
        </is>
      </c>
      <c r="B460" s="1" t="n">
        <v>44659</v>
      </c>
      <c r="C460" s="1" t="n">
        <v>46010</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15682-2023</t>
        </is>
      </c>
      <c r="B461" s="1" t="n">
        <v>45021</v>
      </c>
      <c r="C461" s="1" t="n">
        <v>46010</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52382-2025</t>
        </is>
      </c>
      <c r="B462" s="1" t="n">
        <v>45953.9559837963</v>
      </c>
      <c r="C462" s="1" t="n">
        <v>46010</v>
      </c>
      <c r="D462" t="inlineStr">
        <is>
          <t>ÖREBRO LÄN</t>
        </is>
      </c>
      <c r="E462" t="inlineStr">
        <is>
          <t>ÖREBRO</t>
        </is>
      </c>
      <c r="F462" t="inlineStr">
        <is>
          <t>Sveaskog</t>
        </is>
      </c>
      <c r="G462" t="n">
        <v>3.4</v>
      </c>
      <c r="H462" t="n">
        <v>0</v>
      </c>
      <c r="I462" t="n">
        <v>0</v>
      </c>
      <c r="J462" t="n">
        <v>0</v>
      </c>
      <c r="K462" t="n">
        <v>0</v>
      </c>
      <c r="L462" t="n">
        <v>0</v>
      </c>
      <c r="M462" t="n">
        <v>0</v>
      </c>
      <c r="N462" t="n">
        <v>0</v>
      </c>
      <c r="O462" t="n">
        <v>0</v>
      </c>
      <c r="P462" t="n">
        <v>0</v>
      </c>
      <c r="Q462" t="n">
        <v>0</v>
      </c>
      <c r="R462" s="2" t="inlineStr"/>
    </row>
    <row r="463" ht="15" customHeight="1">
      <c r="A463" t="inlineStr">
        <is>
          <t>A 60720-2025</t>
        </is>
      </c>
      <c r="B463" s="1" t="n">
        <v>45996.64050925926</v>
      </c>
      <c r="C463" s="1" t="n">
        <v>46010</v>
      </c>
      <c r="D463" t="inlineStr">
        <is>
          <t>ÖREBRO LÄN</t>
        </is>
      </c>
      <c r="E463" t="inlineStr">
        <is>
          <t>ÖREBRO</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12682-2023</t>
        </is>
      </c>
      <c r="B464" s="1" t="n">
        <v>45000.6115625</v>
      </c>
      <c r="C464" s="1" t="n">
        <v>46010</v>
      </c>
      <c r="D464" t="inlineStr">
        <is>
          <t>ÖREBRO LÄN</t>
        </is>
      </c>
      <c r="E464" t="inlineStr">
        <is>
          <t>ÖREBRO</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57247-2022</t>
        </is>
      </c>
      <c r="B465" s="1" t="n">
        <v>44895.73065972222</v>
      </c>
      <c r="C465" s="1" t="n">
        <v>46010</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53443-2025</t>
        </is>
      </c>
      <c r="B466" s="1" t="n">
        <v>45959.6444675926</v>
      </c>
      <c r="C466" s="1" t="n">
        <v>46010</v>
      </c>
      <c r="D466" t="inlineStr">
        <is>
          <t>ÖREBRO LÄN</t>
        </is>
      </c>
      <c r="E466" t="inlineStr">
        <is>
          <t>ÖREBRO</t>
        </is>
      </c>
      <c r="G466" t="n">
        <v>2.8</v>
      </c>
      <c r="H466" t="n">
        <v>0</v>
      </c>
      <c r="I466" t="n">
        <v>0</v>
      </c>
      <c r="J466" t="n">
        <v>0</v>
      </c>
      <c r="K466" t="n">
        <v>0</v>
      </c>
      <c r="L466" t="n">
        <v>0</v>
      </c>
      <c r="M466" t="n">
        <v>0</v>
      </c>
      <c r="N466" t="n">
        <v>0</v>
      </c>
      <c r="O466" t="n">
        <v>0</v>
      </c>
      <c r="P466" t="n">
        <v>0</v>
      </c>
      <c r="Q466" t="n">
        <v>0</v>
      </c>
      <c r="R466" s="2" t="inlineStr"/>
    </row>
    <row r="467" ht="15" customHeight="1">
      <c r="A467" t="inlineStr">
        <is>
          <t>A 58606-2024</t>
        </is>
      </c>
      <c r="B467" s="1" t="n">
        <v>45635.54747685185</v>
      </c>
      <c r="C467" s="1" t="n">
        <v>46010</v>
      </c>
      <c r="D467" t="inlineStr">
        <is>
          <t>ÖREBRO LÄN</t>
        </is>
      </c>
      <c r="E467" t="inlineStr">
        <is>
          <t>ÖREBRO</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123-2025</t>
        </is>
      </c>
      <c r="B468" s="1" t="n">
        <v>45659.54851851852</v>
      </c>
      <c r="C468" s="1" t="n">
        <v>46010</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61525-2025</t>
        </is>
      </c>
      <c r="B469" s="1" t="n">
        <v>46001</v>
      </c>
      <c r="C469" s="1" t="n">
        <v>46010</v>
      </c>
      <c r="D469" t="inlineStr">
        <is>
          <t>ÖREBRO LÄN</t>
        </is>
      </c>
      <c r="E469" t="inlineStr">
        <is>
          <t>ÖREBRO</t>
        </is>
      </c>
      <c r="G469" t="n">
        <v>2.6</v>
      </c>
      <c r="H469" t="n">
        <v>0</v>
      </c>
      <c r="I469" t="n">
        <v>0</v>
      </c>
      <c r="J469" t="n">
        <v>0</v>
      </c>
      <c r="K469" t="n">
        <v>0</v>
      </c>
      <c r="L469" t="n">
        <v>0</v>
      </c>
      <c r="M469" t="n">
        <v>0</v>
      </c>
      <c r="N469" t="n">
        <v>0</v>
      </c>
      <c r="O469" t="n">
        <v>0</v>
      </c>
      <c r="P469" t="n">
        <v>0</v>
      </c>
      <c r="Q469" t="n">
        <v>0</v>
      </c>
      <c r="R469" s="2" t="inlineStr"/>
    </row>
    <row r="470" ht="15" customHeight="1">
      <c r="A470" t="inlineStr">
        <is>
          <t>A 37012-2024</t>
        </is>
      </c>
      <c r="B470" s="1" t="n">
        <v>45539</v>
      </c>
      <c r="C470" s="1" t="n">
        <v>46010</v>
      </c>
      <c r="D470" t="inlineStr">
        <is>
          <t>ÖREBRO LÄN</t>
        </is>
      </c>
      <c r="E470" t="inlineStr">
        <is>
          <t>ÖREBRO</t>
        </is>
      </c>
      <c r="G470" t="n">
        <v>4.1</v>
      </c>
      <c r="H470" t="n">
        <v>0</v>
      </c>
      <c r="I470" t="n">
        <v>0</v>
      </c>
      <c r="J470" t="n">
        <v>0</v>
      </c>
      <c r="K470" t="n">
        <v>0</v>
      </c>
      <c r="L470" t="n">
        <v>0</v>
      </c>
      <c r="M470" t="n">
        <v>0</v>
      </c>
      <c r="N470" t="n">
        <v>0</v>
      </c>
      <c r="O470" t="n">
        <v>0</v>
      </c>
      <c r="P470" t="n">
        <v>0</v>
      </c>
      <c r="Q470" t="n">
        <v>0</v>
      </c>
      <c r="R470" s="2" t="inlineStr"/>
    </row>
    <row r="471" ht="15" customHeight="1">
      <c r="A471" t="inlineStr">
        <is>
          <t>A 37020-2024</t>
        </is>
      </c>
      <c r="B471" s="1" t="n">
        <v>45539.38059027777</v>
      </c>
      <c r="C471" s="1" t="n">
        <v>46010</v>
      </c>
      <c r="D471" t="inlineStr">
        <is>
          <t>ÖREBRO LÄN</t>
        </is>
      </c>
      <c r="E471" t="inlineStr">
        <is>
          <t>ÖREBRO</t>
        </is>
      </c>
      <c r="F471" t="inlineStr">
        <is>
          <t>Sveaskog</t>
        </is>
      </c>
      <c r="G471" t="n">
        <v>3.1</v>
      </c>
      <c r="H471" t="n">
        <v>0</v>
      </c>
      <c r="I471" t="n">
        <v>0</v>
      </c>
      <c r="J471" t="n">
        <v>0</v>
      </c>
      <c r="K471" t="n">
        <v>0</v>
      </c>
      <c r="L471" t="n">
        <v>0</v>
      </c>
      <c r="M471" t="n">
        <v>0</v>
      </c>
      <c r="N471" t="n">
        <v>0</v>
      </c>
      <c r="O471" t="n">
        <v>0</v>
      </c>
      <c r="P471" t="n">
        <v>0</v>
      </c>
      <c r="Q471" t="n">
        <v>0</v>
      </c>
      <c r="R471" s="2" t="inlineStr"/>
    </row>
    <row r="472" ht="15" customHeight="1">
      <c r="A472" t="inlineStr">
        <is>
          <t>A 53437-2025</t>
        </is>
      </c>
      <c r="B472" s="1" t="n">
        <v>45959.63440972222</v>
      </c>
      <c r="C472" s="1" t="n">
        <v>46010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53342-2025</t>
        </is>
      </c>
      <c r="B473" s="1" t="n">
        <v>45959.41769675926</v>
      </c>
      <c r="C473" s="1" t="n">
        <v>46010</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53350-2025</t>
        </is>
      </c>
      <c r="B474" s="1" t="n">
        <v>45959.43827546296</v>
      </c>
      <c r="C474" s="1" t="n">
        <v>46010</v>
      </c>
      <c r="D474" t="inlineStr">
        <is>
          <t>ÖREBRO LÄN</t>
        </is>
      </c>
      <c r="E474" t="inlineStr">
        <is>
          <t>ÖREBRO</t>
        </is>
      </c>
      <c r="G474" t="n">
        <v>4.1</v>
      </c>
      <c r="H474" t="n">
        <v>0</v>
      </c>
      <c r="I474" t="n">
        <v>0</v>
      </c>
      <c r="J474" t="n">
        <v>0</v>
      </c>
      <c r="K474" t="n">
        <v>0</v>
      </c>
      <c r="L474" t="n">
        <v>0</v>
      </c>
      <c r="M474" t="n">
        <v>0</v>
      </c>
      <c r="N474" t="n">
        <v>0</v>
      </c>
      <c r="O474" t="n">
        <v>0</v>
      </c>
      <c r="P474" t="n">
        <v>0</v>
      </c>
      <c r="Q474" t="n">
        <v>0</v>
      </c>
      <c r="R474" s="2" t="inlineStr"/>
    </row>
    <row r="475" ht="15" customHeight="1">
      <c r="A475" t="inlineStr">
        <is>
          <t>A 16958-2022</t>
        </is>
      </c>
      <c r="B475" s="1" t="n">
        <v>44676.50481481481</v>
      </c>
      <c r="C475" s="1" t="n">
        <v>46010</v>
      </c>
      <c r="D475" t="inlineStr">
        <is>
          <t>ÖREBRO LÄN</t>
        </is>
      </c>
      <c r="E475" t="inlineStr">
        <is>
          <t>ÖREBRO</t>
        </is>
      </c>
      <c r="G475" t="n">
        <v>3.1</v>
      </c>
      <c r="H475" t="n">
        <v>0</v>
      </c>
      <c r="I475" t="n">
        <v>0</v>
      </c>
      <c r="J475" t="n">
        <v>0</v>
      </c>
      <c r="K475" t="n">
        <v>0</v>
      </c>
      <c r="L475" t="n">
        <v>0</v>
      </c>
      <c r="M475" t="n">
        <v>0</v>
      </c>
      <c r="N475" t="n">
        <v>0</v>
      </c>
      <c r="O475" t="n">
        <v>0</v>
      </c>
      <c r="P475" t="n">
        <v>0</v>
      </c>
      <c r="Q475" t="n">
        <v>0</v>
      </c>
      <c r="R475" s="2" t="inlineStr"/>
    </row>
    <row r="476" ht="15" customHeight="1">
      <c r="A476" t="inlineStr">
        <is>
          <t>A 5338-2024</t>
        </is>
      </c>
      <c r="B476" s="1" t="n">
        <v>45331</v>
      </c>
      <c r="C476" s="1" t="n">
        <v>46010</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4970-2022</t>
        </is>
      </c>
      <c r="B477" s="1" t="n">
        <v>44593.51175925926</v>
      </c>
      <c r="C477" s="1" t="n">
        <v>46010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13657-2025</t>
        </is>
      </c>
      <c r="B478" s="1" t="n">
        <v>45736.7427662037</v>
      </c>
      <c r="C478" s="1" t="n">
        <v>46010</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9314-2023</t>
        </is>
      </c>
      <c r="B479" s="1" t="n">
        <v>44980.67747685185</v>
      </c>
      <c r="C479" s="1" t="n">
        <v>46010</v>
      </c>
      <c r="D479" t="inlineStr">
        <is>
          <t>ÖREBRO LÄN</t>
        </is>
      </c>
      <c r="E479" t="inlineStr">
        <is>
          <t>ÖREBRO</t>
        </is>
      </c>
      <c r="G479" t="n">
        <v>0.8</v>
      </c>
      <c r="H479" t="n">
        <v>0</v>
      </c>
      <c r="I479" t="n">
        <v>0</v>
      </c>
      <c r="J479" t="n">
        <v>0</v>
      </c>
      <c r="K479" t="n">
        <v>0</v>
      </c>
      <c r="L479" t="n">
        <v>0</v>
      </c>
      <c r="M479" t="n">
        <v>0</v>
      </c>
      <c r="N479" t="n">
        <v>0</v>
      </c>
      <c r="O479" t="n">
        <v>0</v>
      </c>
      <c r="P479" t="n">
        <v>0</v>
      </c>
      <c r="Q479" t="n">
        <v>0</v>
      </c>
      <c r="R479" s="2" t="inlineStr"/>
    </row>
    <row r="480" ht="15" customHeight="1">
      <c r="A480" t="inlineStr">
        <is>
          <t>A 53343-2025</t>
        </is>
      </c>
      <c r="B480" s="1" t="n">
        <v>45959.42025462963</v>
      </c>
      <c r="C480" s="1" t="n">
        <v>46010</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53715-2025</t>
        </is>
      </c>
      <c r="B481" s="1" t="n">
        <v>45960.61763888889</v>
      </c>
      <c r="C481" s="1" t="n">
        <v>46010</v>
      </c>
      <c r="D481" t="inlineStr">
        <is>
          <t>ÖREBRO LÄN</t>
        </is>
      </c>
      <c r="E481" t="inlineStr">
        <is>
          <t>ÖREBRO</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53719-2025</t>
        </is>
      </c>
      <c r="B482" s="1" t="n">
        <v>45960.62042824074</v>
      </c>
      <c r="C482" s="1" t="n">
        <v>46010</v>
      </c>
      <c r="D482" t="inlineStr">
        <is>
          <t>ÖREBRO LÄN</t>
        </is>
      </c>
      <c r="E482" t="inlineStr">
        <is>
          <t>ÖREBRO</t>
        </is>
      </c>
      <c r="F482" t="inlineStr">
        <is>
          <t>Sveaskog</t>
        </is>
      </c>
      <c r="G482" t="n">
        <v>1</v>
      </c>
      <c r="H482" t="n">
        <v>0</v>
      </c>
      <c r="I482" t="n">
        <v>0</v>
      </c>
      <c r="J482" t="n">
        <v>0</v>
      </c>
      <c r="K482" t="n">
        <v>0</v>
      </c>
      <c r="L482" t="n">
        <v>0</v>
      </c>
      <c r="M482" t="n">
        <v>0</v>
      </c>
      <c r="N482" t="n">
        <v>0</v>
      </c>
      <c r="O482" t="n">
        <v>0</v>
      </c>
      <c r="P482" t="n">
        <v>0</v>
      </c>
      <c r="Q482" t="n">
        <v>0</v>
      </c>
      <c r="R482" s="2" t="inlineStr"/>
    </row>
    <row r="483" ht="15" customHeight="1">
      <c r="A483" t="inlineStr">
        <is>
          <t>A 61930-2025</t>
        </is>
      </c>
      <c r="B483" s="1" t="n">
        <v>46003</v>
      </c>
      <c r="C483" s="1" t="n">
        <v>46010</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6522-2023</t>
        </is>
      </c>
      <c r="B484" s="1" t="n">
        <v>44966</v>
      </c>
      <c r="C484" s="1" t="n">
        <v>46010</v>
      </c>
      <c r="D484" t="inlineStr">
        <is>
          <t>ÖREBRO LÄN</t>
        </is>
      </c>
      <c r="E484" t="inlineStr">
        <is>
          <t>ÖREBRO</t>
        </is>
      </c>
      <c r="G484" t="n">
        <v>4.4</v>
      </c>
      <c r="H484" t="n">
        <v>0</v>
      </c>
      <c r="I484" t="n">
        <v>0</v>
      </c>
      <c r="J484" t="n">
        <v>0</v>
      </c>
      <c r="K484" t="n">
        <v>0</v>
      </c>
      <c r="L484" t="n">
        <v>0</v>
      </c>
      <c r="M484" t="n">
        <v>0</v>
      </c>
      <c r="N484" t="n">
        <v>0</v>
      </c>
      <c r="O484" t="n">
        <v>0</v>
      </c>
      <c r="P484" t="n">
        <v>0</v>
      </c>
      <c r="Q484" t="n">
        <v>0</v>
      </c>
      <c r="R484" s="2" t="inlineStr"/>
    </row>
    <row r="485" ht="15" customHeight="1">
      <c r="A485" t="inlineStr">
        <is>
          <t>A 18449-2023</t>
        </is>
      </c>
      <c r="B485" s="1" t="n">
        <v>45042.5203125</v>
      </c>
      <c r="C485" s="1" t="n">
        <v>46010</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16736-2023</t>
        </is>
      </c>
      <c r="B486" s="1" t="n">
        <v>45030.72328703704</v>
      </c>
      <c r="C486" s="1" t="n">
        <v>46010</v>
      </c>
      <c r="D486" t="inlineStr">
        <is>
          <t>ÖREBRO LÄN</t>
        </is>
      </c>
      <c r="E486" t="inlineStr">
        <is>
          <t>ÖREBRO</t>
        </is>
      </c>
      <c r="G486" t="n">
        <v>4</v>
      </c>
      <c r="H486" t="n">
        <v>0</v>
      </c>
      <c r="I486" t="n">
        <v>0</v>
      </c>
      <c r="J486" t="n">
        <v>0</v>
      </c>
      <c r="K486" t="n">
        <v>0</v>
      </c>
      <c r="L486" t="n">
        <v>0</v>
      </c>
      <c r="M486" t="n">
        <v>0</v>
      </c>
      <c r="N486" t="n">
        <v>0</v>
      </c>
      <c r="O486" t="n">
        <v>0</v>
      </c>
      <c r="P486" t="n">
        <v>0</v>
      </c>
      <c r="Q486" t="n">
        <v>0</v>
      </c>
      <c r="R486" s="2" t="inlineStr"/>
    </row>
    <row r="487" ht="15" customHeight="1">
      <c r="A487" t="inlineStr">
        <is>
          <t>A 50375-2024</t>
        </is>
      </c>
      <c r="B487" s="1" t="n">
        <v>45601.29311342593</v>
      </c>
      <c r="C487" s="1" t="n">
        <v>46010</v>
      </c>
      <c r="D487" t="inlineStr">
        <is>
          <t>ÖREBRO LÄN</t>
        </is>
      </c>
      <c r="E487" t="inlineStr">
        <is>
          <t>ÖREBRO</t>
        </is>
      </c>
      <c r="G487" t="n">
        <v>5</v>
      </c>
      <c r="H487" t="n">
        <v>0</v>
      </c>
      <c r="I487" t="n">
        <v>0</v>
      </c>
      <c r="J487" t="n">
        <v>0</v>
      </c>
      <c r="K487" t="n">
        <v>0</v>
      </c>
      <c r="L487" t="n">
        <v>0</v>
      </c>
      <c r="M487" t="n">
        <v>0</v>
      </c>
      <c r="N487" t="n">
        <v>0</v>
      </c>
      <c r="O487" t="n">
        <v>0</v>
      </c>
      <c r="P487" t="n">
        <v>0</v>
      </c>
      <c r="Q487" t="n">
        <v>0</v>
      </c>
      <c r="R487" s="2" t="inlineStr"/>
    </row>
    <row r="488" ht="15" customHeight="1">
      <c r="A488" t="inlineStr">
        <is>
          <t>A 54205-2025</t>
        </is>
      </c>
      <c r="B488" s="1" t="n">
        <v>45964.58512731481</v>
      </c>
      <c r="C488" s="1" t="n">
        <v>46010</v>
      </c>
      <c r="D488" t="inlineStr">
        <is>
          <t>ÖREBRO LÄN</t>
        </is>
      </c>
      <c r="E488" t="inlineStr">
        <is>
          <t>ÖREBRO</t>
        </is>
      </c>
      <c r="G488" t="n">
        <v>24.3</v>
      </c>
      <c r="H488" t="n">
        <v>0</v>
      </c>
      <c r="I488" t="n">
        <v>0</v>
      </c>
      <c r="J488" t="n">
        <v>0</v>
      </c>
      <c r="K488" t="n">
        <v>0</v>
      </c>
      <c r="L488" t="n">
        <v>0</v>
      </c>
      <c r="M488" t="n">
        <v>0</v>
      </c>
      <c r="N488" t="n">
        <v>0</v>
      </c>
      <c r="O488" t="n">
        <v>0</v>
      </c>
      <c r="P488" t="n">
        <v>0</v>
      </c>
      <c r="Q488" t="n">
        <v>0</v>
      </c>
      <c r="R488" s="2" t="inlineStr"/>
    </row>
    <row r="489" ht="15" customHeight="1">
      <c r="A489" t="inlineStr">
        <is>
          <t>A 54485-2025</t>
        </is>
      </c>
      <c r="B489" s="1" t="n">
        <v>45965.59295138889</v>
      </c>
      <c r="C489" s="1" t="n">
        <v>46010</v>
      </c>
      <c r="D489" t="inlineStr">
        <is>
          <t>ÖREBRO LÄN</t>
        </is>
      </c>
      <c r="E489" t="inlineStr">
        <is>
          <t>ÖREBRO</t>
        </is>
      </c>
      <c r="F489" t="inlineStr">
        <is>
          <t>Allmännings- och besparingsskogar</t>
        </is>
      </c>
      <c r="G489" t="n">
        <v>1.7</v>
      </c>
      <c r="H489" t="n">
        <v>0</v>
      </c>
      <c r="I489" t="n">
        <v>0</v>
      </c>
      <c r="J489" t="n">
        <v>0</v>
      </c>
      <c r="K489" t="n">
        <v>0</v>
      </c>
      <c r="L489" t="n">
        <v>0</v>
      </c>
      <c r="M489" t="n">
        <v>0</v>
      </c>
      <c r="N489" t="n">
        <v>0</v>
      </c>
      <c r="O489" t="n">
        <v>0</v>
      </c>
      <c r="P489" t="n">
        <v>0</v>
      </c>
      <c r="Q489" t="n">
        <v>0</v>
      </c>
      <c r="R489" s="2" t="inlineStr"/>
    </row>
    <row r="490" ht="15" customHeight="1">
      <c r="A490" t="inlineStr">
        <is>
          <t>A 22045-2024</t>
        </is>
      </c>
      <c r="B490" s="1" t="n">
        <v>45443.61171296296</v>
      </c>
      <c r="C490" s="1" t="n">
        <v>46010</v>
      </c>
      <c r="D490" t="inlineStr">
        <is>
          <t>ÖREBRO LÄN</t>
        </is>
      </c>
      <c r="E490" t="inlineStr">
        <is>
          <t>ÖREBRO</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3-2024</t>
        </is>
      </c>
      <c r="B491" s="1" t="n">
        <v>45292</v>
      </c>
      <c r="C491" s="1" t="n">
        <v>46010</v>
      </c>
      <c r="D491" t="inlineStr">
        <is>
          <t>ÖREBRO LÄN</t>
        </is>
      </c>
      <c r="E491" t="inlineStr">
        <is>
          <t>ÖREBRO</t>
        </is>
      </c>
      <c r="G491" t="n">
        <v>2.7</v>
      </c>
      <c r="H491" t="n">
        <v>0</v>
      </c>
      <c r="I491" t="n">
        <v>0</v>
      </c>
      <c r="J491" t="n">
        <v>0</v>
      </c>
      <c r="K491" t="n">
        <v>0</v>
      </c>
      <c r="L491" t="n">
        <v>0</v>
      </c>
      <c r="M491" t="n">
        <v>0</v>
      </c>
      <c r="N491" t="n">
        <v>0</v>
      </c>
      <c r="O491" t="n">
        <v>0</v>
      </c>
      <c r="P491" t="n">
        <v>0</v>
      </c>
      <c r="Q491" t="n">
        <v>0</v>
      </c>
      <c r="R491" s="2" t="inlineStr"/>
    </row>
    <row r="492" ht="15" customHeight="1">
      <c r="A492" t="inlineStr">
        <is>
          <t>A 21306-2024</t>
        </is>
      </c>
      <c r="B492" s="1" t="n">
        <v>45440.67883101852</v>
      </c>
      <c r="C492" s="1" t="n">
        <v>46010</v>
      </c>
      <c r="D492" t="inlineStr">
        <is>
          <t>ÖREBRO LÄN</t>
        </is>
      </c>
      <c r="E492" t="inlineStr">
        <is>
          <t>ÖREBRO</t>
        </is>
      </c>
      <c r="F492" t="inlineStr">
        <is>
          <t>Övriga Aktiebolag</t>
        </is>
      </c>
      <c r="G492" t="n">
        <v>2</v>
      </c>
      <c r="H492" t="n">
        <v>0</v>
      </c>
      <c r="I492" t="n">
        <v>0</v>
      </c>
      <c r="J492" t="n">
        <v>0</v>
      </c>
      <c r="K492" t="n">
        <v>0</v>
      </c>
      <c r="L492" t="n">
        <v>0</v>
      </c>
      <c r="M492" t="n">
        <v>0</v>
      </c>
      <c r="N492" t="n">
        <v>0</v>
      </c>
      <c r="O492" t="n">
        <v>0</v>
      </c>
      <c r="P492" t="n">
        <v>0</v>
      </c>
      <c r="Q492" t="n">
        <v>0</v>
      </c>
      <c r="R492" s="2" t="inlineStr"/>
    </row>
    <row r="493" ht="15" customHeight="1">
      <c r="A493" t="inlineStr">
        <is>
          <t>A 1257-2022</t>
        </is>
      </c>
      <c r="B493" s="1" t="n">
        <v>44572</v>
      </c>
      <c r="C493" s="1" t="n">
        <v>46010</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62683-2025</t>
        </is>
      </c>
      <c r="B494" s="1" t="n">
        <v>46008.45796296297</v>
      </c>
      <c r="C494" s="1" t="n">
        <v>46010</v>
      </c>
      <c r="D494" t="inlineStr">
        <is>
          <t>ÖREBRO LÄN</t>
        </is>
      </c>
      <c r="E494" t="inlineStr">
        <is>
          <t>ÖREBRO</t>
        </is>
      </c>
      <c r="G494" t="n">
        <v>5.1</v>
      </c>
      <c r="H494" t="n">
        <v>0</v>
      </c>
      <c r="I494" t="n">
        <v>0</v>
      </c>
      <c r="J494" t="n">
        <v>0</v>
      </c>
      <c r="K494" t="n">
        <v>0</v>
      </c>
      <c r="L494" t="n">
        <v>0</v>
      </c>
      <c r="M494" t="n">
        <v>0</v>
      </c>
      <c r="N494" t="n">
        <v>0</v>
      </c>
      <c r="O494" t="n">
        <v>0</v>
      </c>
      <c r="P494" t="n">
        <v>0</v>
      </c>
      <c r="Q494" t="n">
        <v>0</v>
      </c>
      <c r="R494" s="2" t="inlineStr"/>
    </row>
    <row r="495" ht="15" customHeight="1">
      <c r="A495" t="inlineStr">
        <is>
          <t>A 60721-2025</t>
        </is>
      </c>
      <c r="B495" s="1" t="n">
        <v>45996</v>
      </c>
      <c r="C495" s="1" t="n">
        <v>46010</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64730-2023</t>
        </is>
      </c>
      <c r="B496" s="1" t="n">
        <v>45281</v>
      </c>
      <c r="C496" s="1" t="n">
        <v>46010</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6869-2025</t>
        </is>
      </c>
      <c r="B497" s="1" t="n">
        <v>45700</v>
      </c>
      <c r="C497" s="1" t="n">
        <v>46010</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55003-2025</t>
        </is>
      </c>
      <c r="B498" s="1" t="n">
        <v>45967</v>
      </c>
      <c r="C498" s="1" t="n">
        <v>46010</v>
      </c>
      <c r="D498" t="inlineStr">
        <is>
          <t>ÖREBRO LÄN</t>
        </is>
      </c>
      <c r="E498" t="inlineStr">
        <is>
          <t>ÖREBRO</t>
        </is>
      </c>
      <c r="F498" t="inlineStr">
        <is>
          <t>Övriga Aktiebolag</t>
        </is>
      </c>
      <c r="G498" t="n">
        <v>1.9</v>
      </c>
      <c r="H498" t="n">
        <v>0</v>
      </c>
      <c r="I498" t="n">
        <v>0</v>
      </c>
      <c r="J498" t="n">
        <v>0</v>
      </c>
      <c r="K498" t="n">
        <v>0</v>
      </c>
      <c r="L498" t="n">
        <v>0</v>
      </c>
      <c r="M498" t="n">
        <v>0</v>
      </c>
      <c r="N498" t="n">
        <v>0</v>
      </c>
      <c r="O498" t="n">
        <v>0</v>
      </c>
      <c r="P498" t="n">
        <v>0</v>
      </c>
      <c r="Q498" t="n">
        <v>0</v>
      </c>
      <c r="R498" s="2" t="inlineStr"/>
    </row>
    <row r="499" ht="15" customHeight="1">
      <c r="A499" t="inlineStr">
        <is>
          <t>A 4416-2023</t>
        </is>
      </c>
      <c r="B499" s="1" t="n">
        <v>44956</v>
      </c>
      <c r="C499" s="1" t="n">
        <v>46010</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16961-2022</t>
        </is>
      </c>
      <c r="B500" s="1" t="n">
        <v>44676</v>
      </c>
      <c r="C500" s="1" t="n">
        <v>46010</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17983-2025</t>
        </is>
      </c>
      <c r="B501" s="1" t="n">
        <v>45761.38829861111</v>
      </c>
      <c r="C501" s="1" t="n">
        <v>46010</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23594-2023</t>
        </is>
      </c>
      <c r="B502" s="1" t="n">
        <v>45077</v>
      </c>
      <c r="C502" s="1" t="n">
        <v>46010</v>
      </c>
      <c r="D502" t="inlineStr">
        <is>
          <t>ÖREBRO LÄN</t>
        </is>
      </c>
      <c r="E502" t="inlineStr">
        <is>
          <t>ÖREBRO</t>
        </is>
      </c>
      <c r="G502" t="n">
        <v>9.9</v>
      </c>
      <c r="H502" t="n">
        <v>0</v>
      </c>
      <c r="I502" t="n">
        <v>0</v>
      </c>
      <c r="J502" t="n">
        <v>0</v>
      </c>
      <c r="K502" t="n">
        <v>0</v>
      </c>
      <c r="L502" t="n">
        <v>0</v>
      </c>
      <c r="M502" t="n">
        <v>0</v>
      </c>
      <c r="N502" t="n">
        <v>0</v>
      </c>
      <c r="O502" t="n">
        <v>0</v>
      </c>
      <c r="P502" t="n">
        <v>0</v>
      </c>
      <c r="Q502" t="n">
        <v>0</v>
      </c>
      <c r="R502" s="2" t="inlineStr"/>
    </row>
    <row r="503" ht="15" customHeight="1">
      <c r="A503" t="inlineStr">
        <is>
          <t>A 52444-2024</t>
        </is>
      </c>
      <c r="B503" s="1" t="n">
        <v>45609.48894675926</v>
      </c>
      <c r="C503" s="1" t="n">
        <v>46010</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41995-2024</t>
        </is>
      </c>
      <c r="B504" s="1" t="n">
        <v>45561.6475462963</v>
      </c>
      <c r="C504" s="1" t="n">
        <v>46010</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25996-2024</t>
        </is>
      </c>
      <c r="B505" s="1" t="n">
        <v>45467.89081018518</v>
      </c>
      <c r="C505" s="1" t="n">
        <v>46010</v>
      </c>
      <c r="D505" t="inlineStr">
        <is>
          <t>ÖREBRO LÄN</t>
        </is>
      </c>
      <c r="E505" t="inlineStr">
        <is>
          <t>ÖREBRO</t>
        </is>
      </c>
      <c r="G505" t="n">
        <v>4.7</v>
      </c>
      <c r="H505" t="n">
        <v>0</v>
      </c>
      <c r="I505" t="n">
        <v>0</v>
      </c>
      <c r="J505" t="n">
        <v>0</v>
      </c>
      <c r="K505" t="n">
        <v>0</v>
      </c>
      <c r="L505" t="n">
        <v>0</v>
      </c>
      <c r="M505" t="n">
        <v>0</v>
      </c>
      <c r="N505" t="n">
        <v>0</v>
      </c>
      <c r="O505" t="n">
        <v>0</v>
      </c>
      <c r="P505" t="n">
        <v>0</v>
      </c>
      <c r="Q505" t="n">
        <v>0</v>
      </c>
      <c r="R505" s="2" t="inlineStr"/>
    </row>
    <row r="506" ht="15" customHeight="1">
      <c r="A506" t="inlineStr">
        <is>
          <t>A 8571-2021</t>
        </is>
      </c>
      <c r="B506" s="1" t="n">
        <v>44245</v>
      </c>
      <c r="C506" s="1" t="n">
        <v>46010</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7611-2024</t>
        </is>
      </c>
      <c r="B507" s="1" t="n">
        <v>45348.58864583333</v>
      </c>
      <c r="C507" s="1" t="n">
        <v>46010</v>
      </c>
      <c r="D507" t="inlineStr">
        <is>
          <t>ÖREBRO LÄN</t>
        </is>
      </c>
      <c r="E507" t="inlineStr">
        <is>
          <t>ÖREBRO</t>
        </is>
      </c>
      <c r="G507" t="n">
        <v>4.2</v>
      </c>
      <c r="H507" t="n">
        <v>0</v>
      </c>
      <c r="I507" t="n">
        <v>0</v>
      </c>
      <c r="J507" t="n">
        <v>0</v>
      </c>
      <c r="K507" t="n">
        <v>0</v>
      </c>
      <c r="L507" t="n">
        <v>0</v>
      </c>
      <c r="M507" t="n">
        <v>0</v>
      </c>
      <c r="N507" t="n">
        <v>0</v>
      </c>
      <c r="O507" t="n">
        <v>0</v>
      </c>
      <c r="P507" t="n">
        <v>0</v>
      </c>
      <c r="Q507" t="n">
        <v>0</v>
      </c>
      <c r="R507" s="2" t="inlineStr"/>
    </row>
    <row r="508" ht="15" customHeight="1">
      <c r="A508" t="inlineStr">
        <is>
          <t>A 15789-2023</t>
        </is>
      </c>
      <c r="B508" s="1" t="n">
        <v>45021.71539351852</v>
      </c>
      <c r="C508" s="1" t="n">
        <v>46010</v>
      </c>
      <c r="D508" t="inlineStr">
        <is>
          <t>ÖREBRO LÄN</t>
        </is>
      </c>
      <c r="E508" t="inlineStr">
        <is>
          <t>ÖREBRO</t>
        </is>
      </c>
      <c r="F508" t="inlineStr">
        <is>
          <t>Övriga Aktiebolag</t>
        </is>
      </c>
      <c r="G508" t="n">
        <v>3.7</v>
      </c>
      <c r="H508" t="n">
        <v>0</v>
      </c>
      <c r="I508" t="n">
        <v>0</v>
      </c>
      <c r="J508" t="n">
        <v>0</v>
      </c>
      <c r="K508" t="n">
        <v>0</v>
      </c>
      <c r="L508" t="n">
        <v>0</v>
      </c>
      <c r="M508" t="n">
        <v>0</v>
      </c>
      <c r="N508" t="n">
        <v>0</v>
      </c>
      <c r="O508" t="n">
        <v>0</v>
      </c>
      <c r="P508" t="n">
        <v>0</v>
      </c>
      <c r="Q508" t="n">
        <v>0</v>
      </c>
      <c r="R508" s="2" t="inlineStr"/>
    </row>
    <row r="509" ht="15" customHeight="1">
      <c r="A509" t="inlineStr">
        <is>
          <t>A 52612-2024</t>
        </is>
      </c>
      <c r="B509" s="1" t="n">
        <v>45609</v>
      </c>
      <c r="C509" s="1" t="n">
        <v>46010</v>
      </c>
      <c r="D509" t="inlineStr">
        <is>
          <t>ÖREBRO LÄN</t>
        </is>
      </c>
      <c r="E509" t="inlineStr">
        <is>
          <t>ÖREBRO</t>
        </is>
      </c>
      <c r="F509" t="inlineStr">
        <is>
          <t>Kommuner</t>
        </is>
      </c>
      <c r="G509" t="n">
        <v>5.5</v>
      </c>
      <c r="H509" t="n">
        <v>0</v>
      </c>
      <c r="I509" t="n">
        <v>0</v>
      </c>
      <c r="J509" t="n">
        <v>0</v>
      </c>
      <c r="K509" t="n">
        <v>0</v>
      </c>
      <c r="L509" t="n">
        <v>0</v>
      </c>
      <c r="M509" t="n">
        <v>0</v>
      </c>
      <c r="N509" t="n">
        <v>0</v>
      </c>
      <c r="O509" t="n">
        <v>0</v>
      </c>
      <c r="P509" t="n">
        <v>0</v>
      </c>
      <c r="Q509" t="n">
        <v>0</v>
      </c>
      <c r="R509" s="2" t="inlineStr"/>
    </row>
    <row r="510" ht="15" customHeight="1">
      <c r="A510" t="inlineStr">
        <is>
          <t>A 37786-2024</t>
        </is>
      </c>
      <c r="B510" s="1" t="n">
        <v>45542.82987268519</v>
      </c>
      <c r="C510" s="1" t="n">
        <v>46010</v>
      </c>
      <c r="D510" t="inlineStr">
        <is>
          <t>ÖREBRO LÄN</t>
        </is>
      </c>
      <c r="E510" t="inlineStr">
        <is>
          <t>ÖREBRO</t>
        </is>
      </c>
      <c r="G510" t="n">
        <v>3.1</v>
      </c>
      <c r="H510" t="n">
        <v>0</v>
      </c>
      <c r="I510" t="n">
        <v>0</v>
      </c>
      <c r="J510" t="n">
        <v>0</v>
      </c>
      <c r="K510" t="n">
        <v>0</v>
      </c>
      <c r="L510" t="n">
        <v>0</v>
      </c>
      <c r="M510" t="n">
        <v>0</v>
      </c>
      <c r="N510" t="n">
        <v>0</v>
      </c>
      <c r="O510" t="n">
        <v>0</v>
      </c>
      <c r="P510" t="n">
        <v>0</v>
      </c>
      <c r="Q510" t="n">
        <v>0</v>
      </c>
      <c r="R510" s="2" t="inlineStr"/>
    </row>
    <row r="511" ht="15" customHeight="1">
      <c r="A511" t="inlineStr">
        <is>
          <t>A 55875-2024</t>
        </is>
      </c>
      <c r="B511" s="1" t="n">
        <v>45623.55375</v>
      </c>
      <c r="C511" s="1" t="n">
        <v>46010</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3841-2023</t>
        </is>
      </c>
      <c r="B512" s="1" t="n">
        <v>44951</v>
      </c>
      <c r="C512" s="1" t="n">
        <v>46010</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49215-2023</t>
        </is>
      </c>
      <c r="B513" s="1" t="n">
        <v>45210.61050925926</v>
      </c>
      <c r="C513" s="1" t="n">
        <v>46010</v>
      </c>
      <c r="D513" t="inlineStr">
        <is>
          <t>ÖREBRO LÄN</t>
        </is>
      </c>
      <c r="E513" t="inlineStr">
        <is>
          <t>ÖREBRO</t>
        </is>
      </c>
      <c r="F513" t="inlineStr">
        <is>
          <t>Övriga Aktiebolag</t>
        </is>
      </c>
      <c r="G513" t="n">
        <v>4.2</v>
      </c>
      <c r="H513" t="n">
        <v>0</v>
      </c>
      <c r="I513" t="n">
        <v>0</v>
      </c>
      <c r="J513" t="n">
        <v>0</v>
      </c>
      <c r="K513" t="n">
        <v>0</v>
      </c>
      <c r="L513" t="n">
        <v>0</v>
      </c>
      <c r="M513" t="n">
        <v>0</v>
      </c>
      <c r="N513" t="n">
        <v>0</v>
      </c>
      <c r="O513" t="n">
        <v>0</v>
      </c>
      <c r="P513" t="n">
        <v>0</v>
      </c>
      <c r="Q513" t="n">
        <v>0</v>
      </c>
      <c r="R513" s="2" t="inlineStr"/>
    </row>
    <row r="514" ht="15" customHeight="1">
      <c r="A514" t="inlineStr">
        <is>
          <t>A 43399-2022</t>
        </is>
      </c>
      <c r="B514" s="1" t="n">
        <v>44834</v>
      </c>
      <c r="C514" s="1" t="n">
        <v>46010</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19553-2023</t>
        </is>
      </c>
      <c r="B515" s="1" t="n">
        <v>45050</v>
      </c>
      <c r="C515" s="1" t="n">
        <v>46010</v>
      </c>
      <c r="D515" t="inlineStr">
        <is>
          <t>ÖREBRO LÄN</t>
        </is>
      </c>
      <c r="E515" t="inlineStr">
        <is>
          <t>ÖREBRO</t>
        </is>
      </c>
      <c r="G515" t="n">
        <v>2.1</v>
      </c>
      <c r="H515" t="n">
        <v>0</v>
      </c>
      <c r="I515" t="n">
        <v>0</v>
      </c>
      <c r="J515" t="n">
        <v>0</v>
      </c>
      <c r="K515" t="n">
        <v>0</v>
      </c>
      <c r="L515" t="n">
        <v>0</v>
      </c>
      <c r="M515" t="n">
        <v>0</v>
      </c>
      <c r="N515" t="n">
        <v>0</v>
      </c>
      <c r="O515" t="n">
        <v>0</v>
      </c>
      <c r="P515" t="n">
        <v>0</v>
      </c>
      <c r="Q515" t="n">
        <v>0</v>
      </c>
      <c r="R515" s="2" t="inlineStr"/>
    </row>
    <row r="516" ht="15" customHeight="1">
      <c r="A516" t="inlineStr">
        <is>
          <t>A 14291-2023</t>
        </is>
      </c>
      <c r="B516" s="1" t="n">
        <v>45010</v>
      </c>
      <c r="C516" s="1" t="n">
        <v>46010</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58527-2024</t>
        </is>
      </c>
      <c r="B517" s="1" t="n">
        <v>45635.44388888889</v>
      </c>
      <c r="C517" s="1" t="n">
        <v>46010</v>
      </c>
      <c r="D517" t="inlineStr">
        <is>
          <t>ÖREBRO LÄN</t>
        </is>
      </c>
      <c r="E517" t="inlineStr">
        <is>
          <t>ÖREBRO</t>
        </is>
      </c>
      <c r="F517" t="inlineStr">
        <is>
          <t>Sveaskog</t>
        </is>
      </c>
      <c r="G517" t="n">
        <v>6.4</v>
      </c>
      <c r="H517" t="n">
        <v>0</v>
      </c>
      <c r="I517" t="n">
        <v>0</v>
      </c>
      <c r="J517" t="n">
        <v>0</v>
      </c>
      <c r="K517" t="n">
        <v>0</v>
      </c>
      <c r="L517" t="n">
        <v>0</v>
      </c>
      <c r="M517" t="n">
        <v>0</v>
      </c>
      <c r="N517" t="n">
        <v>0</v>
      </c>
      <c r="O517" t="n">
        <v>0</v>
      </c>
      <c r="P517" t="n">
        <v>0</v>
      </c>
      <c r="Q517" t="n">
        <v>0</v>
      </c>
      <c r="R517" s="2" t="inlineStr"/>
    </row>
    <row r="518" ht="15" customHeight="1">
      <c r="A518" t="inlineStr">
        <is>
          <t>A 55593-2022</t>
        </is>
      </c>
      <c r="B518" s="1" t="n">
        <v>44888</v>
      </c>
      <c r="C518" s="1" t="n">
        <v>46010</v>
      </c>
      <c r="D518" t="inlineStr">
        <is>
          <t>ÖREBRO LÄN</t>
        </is>
      </c>
      <c r="E518" t="inlineStr">
        <is>
          <t>ÖREBRO</t>
        </is>
      </c>
      <c r="G518" t="n">
        <v>3.6</v>
      </c>
      <c r="H518" t="n">
        <v>0</v>
      </c>
      <c r="I518" t="n">
        <v>0</v>
      </c>
      <c r="J518" t="n">
        <v>0</v>
      </c>
      <c r="K518" t="n">
        <v>0</v>
      </c>
      <c r="L518" t="n">
        <v>0</v>
      </c>
      <c r="M518" t="n">
        <v>0</v>
      </c>
      <c r="N518" t="n">
        <v>0</v>
      </c>
      <c r="O518" t="n">
        <v>0</v>
      </c>
      <c r="P518" t="n">
        <v>0</v>
      </c>
      <c r="Q518" t="n">
        <v>0</v>
      </c>
      <c r="R518" s="2" t="inlineStr"/>
    </row>
    <row r="519" ht="15" customHeight="1">
      <c r="A519" t="inlineStr">
        <is>
          <t>A 63142-2023</t>
        </is>
      </c>
      <c r="B519" s="1" t="n">
        <v>45273</v>
      </c>
      <c r="C519" s="1" t="n">
        <v>46010</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23741-2022</t>
        </is>
      </c>
      <c r="B520" s="1" t="n">
        <v>44722</v>
      </c>
      <c r="C520" s="1" t="n">
        <v>46010</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59121-2024</t>
        </is>
      </c>
      <c r="B521" s="1" t="n">
        <v>45637.37755787037</v>
      </c>
      <c r="C521" s="1" t="n">
        <v>46010</v>
      </c>
      <c r="D521" t="inlineStr">
        <is>
          <t>ÖREBRO LÄN</t>
        </is>
      </c>
      <c r="E521" t="inlineStr">
        <is>
          <t>ÖREBRO</t>
        </is>
      </c>
      <c r="G521" t="n">
        <v>1</v>
      </c>
      <c r="H521" t="n">
        <v>0</v>
      </c>
      <c r="I521" t="n">
        <v>0</v>
      </c>
      <c r="J521" t="n">
        <v>0</v>
      </c>
      <c r="K521" t="n">
        <v>0</v>
      </c>
      <c r="L521" t="n">
        <v>0</v>
      </c>
      <c r="M521" t="n">
        <v>0</v>
      </c>
      <c r="N521" t="n">
        <v>0</v>
      </c>
      <c r="O521" t="n">
        <v>0</v>
      </c>
      <c r="P521" t="n">
        <v>0</v>
      </c>
      <c r="Q521" t="n">
        <v>0</v>
      </c>
      <c r="R521" s="2" t="inlineStr"/>
    </row>
    <row r="522" ht="15" customHeight="1">
      <c r="A522" t="inlineStr">
        <is>
          <t>A 9704-2023</t>
        </is>
      </c>
      <c r="B522" s="1" t="n">
        <v>44984</v>
      </c>
      <c r="C522" s="1" t="n">
        <v>46010</v>
      </c>
      <c r="D522" t="inlineStr">
        <is>
          <t>ÖREBRO LÄN</t>
        </is>
      </c>
      <c r="E522" t="inlineStr">
        <is>
          <t>ÖREBRO</t>
        </is>
      </c>
      <c r="G522" t="n">
        <v>1</v>
      </c>
      <c r="H522" t="n">
        <v>0</v>
      </c>
      <c r="I522" t="n">
        <v>0</v>
      </c>
      <c r="J522" t="n">
        <v>0</v>
      </c>
      <c r="K522" t="n">
        <v>0</v>
      </c>
      <c r="L522" t="n">
        <v>0</v>
      </c>
      <c r="M522" t="n">
        <v>0</v>
      </c>
      <c r="N522" t="n">
        <v>0</v>
      </c>
      <c r="O522" t="n">
        <v>0</v>
      </c>
      <c r="P522" t="n">
        <v>0</v>
      </c>
      <c r="Q522" t="n">
        <v>0</v>
      </c>
      <c r="R522" s="2" t="inlineStr"/>
    </row>
    <row r="523" ht="15" customHeight="1">
      <c r="A523" t="inlineStr">
        <is>
          <t>A 12099-2023</t>
        </is>
      </c>
      <c r="B523" s="1" t="n">
        <v>44998.37043981482</v>
      </c>
      <c r="C523" s="1" t="n">
        <v>46010</v>
      </c>
      <c r="D523" t="inlineStr">
        <is>
          <t>ÖREBRO LÄN</t>
        </is>
      </c>
      <c r="E523" t="inlineStr">
        <is>
          <t>ÖREBRO</t>
        </is>
      </c>
      <c r="G523" t="n">
        <v>0.9</v>
      </c>
      <c r="H523" t="n">
        <v>0</v>
      </c>
      <c r="I523" t="n">
        <v>0</v>
      </c>
      <c r="J523" t="n">
        <v>0</v>
      </c>
      <c r="K523" t="n">
        <v>0</v>
      </c>
      <c r="L523" t="n">
        <v>0</v>
      </c>
      <c r="M523" t="n">
        <v>0</v>
      </c>
      <c r="N523" t="n">
        <v>0</v>
      </c>
      <c r="O523" t="n">
        <v>0</v>
      </c>
      <c r="P523" t="n">
        <v>0</v>
      </c>
      <c r="Q523" t="n">
        <v>0</v>
      </c>
      <c r="R523" s="2" t="inlineStr"/>
    </row>
    <row r="524" ht="15" customHeight="1">
      <c r="A524" t="inlineStr">
        <is>
          <t>A 17869-2024</t>
        </is>
      </c>
      <c r="B524" s="1" t="n">
        <v>45419</v>
      </c>
      <c r="C524" s="1" t="n">
        <v>46010</v>
      </c>
      <c r="D524" t="inlineStr">
        <is>
          <t>ÖREBRO LÄN</t>
        </is>
      </c>
      <c r="E524" t="inlineStr">
        <is>
          <t>ÖREBRO</t>
        </is>
      </c>
      <c r="G524" t="n">
        <v>3.7</v>
      </c>
      <c r="H524" t="n">
        <v>0</v>
      </c>
      <c r="I524" t="n">
        <v>0</v>
      </c>
      <c r="J524" t="n">
        <v>0</v>
      </c>
      <c r="K524" t="n">
        <v>0</v>
      </c>
      <c r="L524" t="n">
        <v>0</v>
      </c>
      <c r="M524" t="n">
        <v>0</v>
      </c>
      <c r="N524" t="n">
        <v>0</v>
      </c>
      <c r="O524" t="n">
        <v>0</v>
      </c>
      <c r="P524" t="n">
        <v>0</v>
      </c>
      <c r="Q524" t="n">
        <v>0</v>
      </c>
      <c r="R524" s="2" t="inlineStr"/>
    </row>
    <row r="525" ht="15" customHeight="1">
      <c r="A525" t="inlineStr">
        <is>
          <t>A 5026-2022</t>
        </is>
      </c>
      <c r="B525" s="1" t="n">
        <v>44593.63974537037</v>
      </c>
      <c r="C525" s="1" t="n">
        <v>46010</v>
      </c>
      <c r="D525" t="inlineStr">
        <is>
          <t>ÖREBRO LÄN</t>
        </is>
      </c>
      <c r="E525" t="inlineStr">
        <is>
          <t>ÖREBRO</t>
        </is>
      </c>
      <c r="G525" t="n">
        <v>1.1</v>
      </c>
      <c r="H525" t="n">
        <v>0</v>
      </c>
      <c r="I525" t="n">
        <v>0</v>
      </c>
      <c r="J525" t="n">
        <v>0</v>
      </c>
      <c r="K525" t="n">
        <v>0</v>
      </c>
      <c r="L525" t="n">
        <v>0</v>
      </c>
      <c r="M525" t="n">
        <v>0</v>
      </c>
      <c r="N525" t="n">
        <v>0</v>
      </c>
      <c r="O525" t="n">
        <v>0</v>
      </c>
      <c r="P525" t="n">
        <v>0</v>
      </c>
      <c r="Q525" t="n">
        <v>0</v>
      </c>
      <c r="R525" s="2" t="inlineStr"/>
    </row>
    <row r="526" ht="15" customHeight="1">
      <c r="A526" t="inlineStr">
        <is>
          <t>A 10832-2023</t>
        </is>
      </c>
      <c r="B526" s="1" t="n">
        <v>44990.91711805556</v>
      </c>
      <c r="C526" s="1" t="n">
        <v>46010</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48581-2024</t>
        </is>
      </c>
      <c r="B527" s="1" t="n">
        <v>45593.41642361111</v>
      </c>
      <c r="C527" s="1" t="n">
        <v>46010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40231-2022</t>
        </is>
      </c>
      <c r="B528" s="1" t="n">
        <v>44820</v>
      </c>
      <c r="C528" s="1" t="n">
        <v>46010</v>
      </c>
      <c r="D528" t="inlineStr">
        <is>
          <t>ÖREBRO LÄN</t>
        </is>
      </c>
      <c r="E528" t="inlineStr">
        <is>
          <t>ÖREBRO</t>
        </is>
      </c>
      <c r="F528" t="inlineStr">
        <is>
          <t>Allmännings- och besparingsskogar</t>
        </is>
      </c>
      <c r="G528" t="n">
        <v>2.2</v>
      </c>
      <c r="H528" t="n">
        <v>0</v>
      </c>
      <c r="I528" t="n">
        <v>0</v>
      </c>
      <c r="J528" t="n">
        <v>0</v>
      </c>
      <c r="K528" t="n">
        <v>0</v>
      </c>
      <c r="L528" t="n">
        <v>0</v>
      </c>
      <c r="M528" t="n">
        <v>0</v>
      </c>
      <c r="N528" t="n">
        <v>0</v>
      </c>
      <c r="O528" t="n">
        <v>0</v>
      </c>
      <c r="P528" t="n">
        <v>0</v>
      </c>
      <c r="Q528" t="n">
        <v>0</v>
      </c>
      <c r="R528" s="2" t="inlineStr"/>
    </row>
    <row r="529" ht="15" customHeight="1">
      <c r="A529" t="inlineStr">
        <is>
          <t>A 14963-2025</t>
        </is>
      </c>
      <c r="B529" s="1" t="n">
        <v>45743.58699074074</v>
      </c>
      <c r="C529" s="1" t="n">
        <v>46010</v>
      </c>
      <c r="D529" t="inlineStr">
        <is>
          <t>ÖREBRO LÄN</t>
        </is>
      </c>
      <c r="E529" t="inlineStr">
        <is>
          <t>ÖREBRO</t>
        </is>
      </c>
      <c r="G529" t="n">
        <v>9.1</v>
      </c>
      <c r="H529" t="n">
        <v>0</v>
      </c>
      <c r="I529" t="n">
        <v>0</v>
      </c>
      <c r="J529" t="n">
        <v>0</v>
      </c>
      <c r="K529" t="n">
        <v>0</v>
      </c>
      <c r="L529" t="n">
        <v>0</v>
      </c>
      <c r="M529" t="n">
        <v>0</v>
      </c>
      <c r="N529" t="n">
        <v>0</v>
      </c>
      <c r="O529" t="n">
        <v>0</v>
      </c>
      <c r="P529" t="n">
        <v>0</v>
      </c>
      <c r="Q529" t="n">
        <v>0</v>
      </c>
      <c r="R529" s="2" t="inlineStr"/>
    </row>
    <row r="530" ht="15" customHeight="1">
      <c r="A530" t="inlineStr">
        <is>
          <t>A 33455-2023</t>
        </is>
      </c>
      <c r="B530" s="1" t="n">
        <v>45130.98962962963</v>
      </c>
      <c r="C530" s="1" t="n">
        <v>46010</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2069-2025</t>
        </is>
      </c>
      <c r="B531" s="1" t="n">
        <v>45672.56614583333</v>
      </c>
      <c r="C531" s="1" t="n">
        <v>46010</v>
      </c>
      <c r="D531" t="inlineStr">
        <is>
          <t>ÖREBRO LÄN</t>
        </is>
      </c>
      <c r="E531" t="inlineStr">
        <is>
          <t>ÖREBRO</t>
        </is>
      </c>
      <c r="G531" t="n">
        <v>3.8</v>
      </c>
      <c r="H531" t="n">
        <v>0</v>
      </c>
      <c r="I531" t="n">
        <v>0</v>
      </c>
      <c r="J531" t="n">
        <v>0</v>
      </c>
      <c r="K531" t="n">
        <v>0</v>
      </c>
      <c r="L531" t="n">
        <v>0</v>
      </c>
      <c r="M531" t="n">
        <v>0</v>
      </c>
      <c r="N531" t="n">
        <v>0</v>
      </c>
      <c r="O531" t="n">
        <v>0</v>
      </c>
      <c r="P531" t="n">
        <v>0</v>
      </c>
      <c r="Q531" t="n">
        <v>0</v>
      </c>
      <c r="R531" s="2" t="inlineStr"/>
    </row>
    <row r="532" ht="15" customHeight="1">
      <c r="A532" t="inlineStr">
        <is>
          <t>A 58277-2022</t>
        </is>
      </c>
      <c r="B532" s="1" t="n">
        <v>44901.48108796297</v>
      </c>
      <c r="C532" s="1" t="n">
        <v>46010</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42518-2021</t>
        </is>
      </c>
      <c r="B533" s="1" t="n">
        <v>44427.81496527778</v>
      </c>
      <c r="C533" s="1" t="n">
        <v>46010</v>
      </c>
      <c r="D533" t="inlineStr">
        <is>
          <t>ÖREBRO LÄN</t>
        </is>
      </c>
      <c r="E533" t="inlineStr">
        <is>
          <t>ÖREBRO</t>
        </is>
      </c>
      <c r="G533" t="n">
        <v>4.5</v>
      </c>
      <c r="H533" t="n">
        <v>0</v>
      </c>
      <c r="I533" t="n">
        <v>0</v>
      </c>
      <c r="J533" t="n">
        <v>0</v>
      </c>
      <c r="K533" t="n">
        <v>0</v>
      </c>
      <c r="L533" t="n">
        <v>0</v>
      </c>
      <c r="M533" t="n">
        <v>0</v>
      </c>
      <c r="N533" t="n">
        <v>0</v>
      </c>
      <c r="O533" t="n">
        <v>0</v>
      </c>
      <c r="P533" t="n">
        <v>0</v>
      </c>
      <c r="Q533" t="n">
        <v>0</v>
      </c>
      <c r="R533" s="2" t="inlineStr"/>
    </row>
    <row r="534" ht="15" customHeight="1">
      <c r="A534" t="inlineStr">
        <is>
          <t>A 14524-2025</t>
        </is>
      </c>
      <c r="B534" s="1" t="n">
        <v>45741.64815972222</v>
      </c>
      <c r="C534" s="1" t="n">
        <v>46010</v>
      </c>
      <c r="D534" t="inlineStr">
        <is>
          <t>ÖREBRO LÄN</t>
        </is>
      </c>
      <c r="E534" t="inlineStr">
        <is>
          <t>ÖREBRO</t>
        </is>
      </c>
      <c r="G534" t="n">
        <v>2.8</v>
      </c>
      <c r="H534" t="n">
        <v>0</v>
      </c>
      <c r="I534" t="n">
        <v>0</v>
      </c>
      <c r="J534" t="n">
        <v>0</v>
      </c>
      <c r="K534" t="n">
        <v>0</v>
      </c>
      <c r="L534" t="n">
        <v>0</v>
      </c>
      <c r="M534" t="n">
        <v>0</v>
      </c>
      <c r="N534" t="n">
        <v>0</v>
      </c>
      <c r="O534" t="n">
        <v>0</v>
      </c>
      <c r="P534" t="n">
        <v>0</v>
      </c>
      <c r="Q534" t="n">
        <v>0</v>
      </c>
      <c r="R534" s="2" t="inlineStr"/>
    </row>
    <row r="535" ht="15" customHeight="1">
      <c r="A535" t="inlineStr">
        <is>
          <t>A 15354-2024</t>
        </is>
      </c>
      <c r="B535" s="1" t="n">
        <v>45400.85319444445</v>
      </c>
      <c r="C535" s="1" t="n">
        <v>46010</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41543-2024</t>
        </is>
      </c>
      <c r="B536" s="1" t="n">
        <v>45560</v>
      </c>
      <c r="C536" s="1" t="n">
        <v>46010</v>
      </c>
      <c r="D536" t="inlineStr">
        <is>
          <t>ÖREBRO LÄN</t>
        </is>
      </c>
      <c r="E536" t="inlineStr">
        <is>
          <t>ÖREBRO</t>
        </is>
      </c>
      <c r="G536" t="n">
        <v>2.8</v>
      </c>
      <c r="H536" t="n">
        <v>0</v>
      </c>
      <c r="I536" t="n">
        <v>0</v>
      </c>
      <c r="J536" t="n">
        <v>0</v>
      </c>
      <c r="K536" t="n">
        <v>0</v>
      </c>
      <c r="L536" t="n">
        <v>0</v>
      </c>
      <c r="M536" t="n">
        <v>0</v>
      </c>
      <c r="N536" t="n">
        <v>0</v>
      </c>
      <c r="O536" t="n">
        <v>0</v>
      </c>
      <c r="P536" t="n">
        <v>0</v>
      </c>
      <c r="Q536" t="n">
        <v>0</v>
      </c>
      <c r="R536" s="2" t="inlineStr"/>
    </row>
    <row r="537" ht="15" customHeight="1">
      <c r="A537" t="inlineStr">
        <is>
          <t>A 71275-2021</t>
        </is>
      </c>
      <c r="B537" s="1" t="n">
        <v>44539</v>
      </c>
      <c r="C537" s="1" t="n">
        <v>46010</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71285-2021</t>
        </is>
      </c>
      <c r="B538" s="1" t="n">
        <v>44539.62236111111</v>
      </c>
      <c r="C538" s="1" t="n">
        <v>46010</v>
      </c>
      <c r="D538" t="inlineStr">
        <is>
          <t>ÖREBRO LÄN</t>
        </is>
      </c>
      <c r="E538" t="inlineStr">
        <is>
          <t>ÖREBRO</t>
        </is>
      </c>
      <c r="G538" t="n">
        <v>0.8</v>
      </c>
      <c r="H538" t="n">
        <v>0</v>
      </c>
      <c r="I538" t="n">
        <v>0</v>
      </c>
      <c r="J538" t="n">
        <v>0</v>
      </c>
      <c r="K538" t="n">
        <v>0</v>
      </c>
      <c r="L538" t="n">
        <v>0</v>
      </c>
      <c r="M538" t="n">
        <v>0</v>
      </c>
      <c r="N538" t="n">
        <v>0</v>
      </c>
      <c r="O538" t="n">
        <v>0</v>
      </c>
      <c r="P538" t="n">
        <v>0</v>
      </c>
      <c r="Q538" t="n">
        <v>0</v>
      </c>
      <c r="R538" s="2" t="inlineStr"/>
    </row>
    <row r="539" ht="15" customHeight="1">
      <c r="A539" t="inlineStr">
        <is>
          <t>A 2658-2023</t>
        </is>
      </c>
      <c r="B539" s="1" t="n">
        <v>44944</v>
      </c>
      <c r="C539" s="1" t="n">
        <v>46010</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11382-2023</t>
        </is>
      </c>
      <c r="B540" s="1" t="n">
        <v>44993.45635416666</v>
      </c>
      <c r="C540" s="1" t="n">
        <v>46010</v>
      </c>
      <c r="D540" t="inlineStr">
        <is>
          <t>ÖREBRO LÄN</t>
        </is>
      </c>
      <c r="E540" t="inlineStr">
        <is>
          <t>ÖREBRO</t>
        </is>
      </c>
      <c r="G540" t="n">
        <v>3.3</v>
      </c>
      <c r="H540" t="n">
        <v>0</v>
      </c>
      <c r="I540" t="n">
        <v>0</v>
      </c>
      <c r="J540" t="n">
        <v>0</v>
      </c>
      <c r="K540" t="n">
        <v>0</v>
      </c>
      <c r="L540" t="n">
        <v>0</v>
      </c>
      <c r="M540" t="n">
        <v>0</v>
      </c>
      <c r="N540" t="n">
        <v>0</v>
      </c>
      <c r="O540" t="n">
        <v>0</v>
      </c>
      <c r="P540" t="n">
        <v>0</v>
      </c>
      <c r="Q540" t="n">
        <v>0</v>
      </c>
      <c r="R540" s="2" t="inlineStr"/>
    </row>
    <row r="541" ht="15" customHeight="1">
      <c r="A541" t="inlineStr">
        <is>
          <t>A 52016-2024</t>
        </is>
      </c>
      <c r="B541" s="1" t="n">
        <v>45607.81917824074</v>
      </c>
      <c r="C541" s="1" t="n">
        <v>46010</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27112-2023</t>
        </is>
      </c>
      <c r="B542" s="1" t="n">
        <v>45096</v>
      </c>
      <c r="C542" s="1" t="n">
        <v>46010</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16739-2022</t>
        </is>
      </c>
      <c r="B543" s="1" t="n">
        <v>44673</v>
      </c>
      <c r="C543" s="1" t="n">
        <v>46010</v>
      </c>
      <c r="D543" t="inlineStr">
        <is>
          <t>ÖREBRO LÄN</t>
        </is>
      </c>
      <c r="E543" t="inlineStr">
        <is>
          <t>ÖREBRO</t>
        </is>
      </c>
      <c r="G543" t="n">
        <v>4.7</v>
      </c>
      <c r="H543" t="n">
        <v>0</v>
      </c>
      <c r="I543" t="n">
        <v>0</v>
      </c>
      <c r="J543" t="n">
        <v>0</v>
      </c>
      <c r="K543" t="n">
        <v>0</v>
      </c>
      <c r="L543" t="n">
        <v>0</v>
      </c>
      <c r="M543" t="n">
        <v>0</v>
      </c>
      <c r="N543" t="n">
        <v>0</v>
      </c>
      <c r="O543" t="n">
        <v>0</v>
      </c>
      <c r="P543" t="n">
        <v>0</v>
      </c>
      <c r="Q543" t="n">
        <v>0</v>
      </c>
      <c r="R543" s="2" t="inlineStr"/>
    </row>
    <row r="544" ht="15" customHeight="1">
      <c r="A544" t="inlineStr">
        <is>
          <t>A 8331-2021</t>
        </is>
      </c>
      <c r="B544" s="1" t="n">
        <v>44244</v>
      </c>
      <c r="C544" s="1" t="n">
        <v>46010</v>
      </c>
      <c r="D544" t="inlineStr">
        <is>
          <t>ÖREBRO LÄN</t>
        </is>
      </c>
      <c r="E544" t="inlineStr">
        <is>
          <t>ÖREBRO</t>
        </is>
      </c>
      <c r="G544" t="n">
        <v>9.1</v>
      </c>
      <c r="H544" t="n">
        <v>0</v>
      </c>
      <c r="I544" t="n">
        <v>0</v>
      </c>
      <c r="J544" t="n">
        <v>0</v>
      </c>
      <c r="K544" t="n">
        <v>0</v>
      </c>
      <c r="L544" t="n">
        <v>0</v>
      </c>
      <c r="M544" t="n">
        <v>0</v>
      </c>
      <c r="N544" t="n">
        <v>0</v>
      </c>
      <c r="O544" t="n">
        <v>0</v>
      </c>
      <c r="P544" t="n">
        <v>0</v>
      </c>
      <c r="Q544" t="n">
        <v>0</v>
      </c>
      <c r="R544" s="2" t="inlineStr"/>
    </row>
    <row r="545" ht="15" customHeight="1">
      <c r="A545" t="inlineStr">
        <is>
          <t>A 13592-2023</t>
        </is>
      </c>
      <c r="B545" s="1" t="n">
        <v>45006.56870370371</v>
      </c>
      <c r="C545" s="1" t="n">
        <v>46010</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40656-2023</t>
        </is>
      </c>
      <c r="B546" s="1" t="n">
        <v>45170</v>
      </c>
      <c r="C546" s="1" t="n">
        <v>46010</v>
      </c>
      <c r="D546" t="inlineStr">
        <is>
          <t>ÖREBRO LÄN</t>
        </is>
      </c>
      <c r="E546" t="inlineStr">
        <is>
          <t>ÖREBRO</t>
        </is>
      </c>
      <c r="F546" t="inlineStr">
        <is>
          <t>Övriga Aktiebolag</t>
        </is>
      </c>
      <c r="G546" t="n">
        <v>0.8</v>
      </c>
      <c r="H546" t="n">
        <v>0</v>
      </c>
      <c r="I546" t="n">
        <v>0</v>
      </c>
      <c r="J546" t="n">
        <v>0</v>
      </c>
      <c r="K546" t="n">
        <v>0</v>
      </c>
      <c r="L546" t="n">
        <v>0</v>
      </c>
      <c r="M546" t="n">
        <v>0</v>
      </c>
      <c r="N546" t="n">
        <v>0</v>
      </c>
      <c r="O546" t="n">
        <v>0</v>
      </c>
      <c r="P546" t="n">
        <v>0</v>
      </c>
      <c r="Q546" t="n">
        <v>0</v>
      </c>
      <c r="R546" s="2" t="inlineStr"/>
    </row>
    <row r="547" ht="15" customHeight="1">
      <c r="A547" t="inlineStr">
        <is>
          <t>A 12245-2023</t>
        </is>
      </c>
      <c r="B547" s="1" t="n">
        <v>44998.64402777778</v>
      </c>
      <c r="C547" s="1" t="n">
        <v>46010</v>
      </c>
      <c r="D547" t="inlineStr">
        <is>
          <t>ÖREBRO LÄN</t>
        </is>
      </c>
      <c r="E547" t="inlineStr">
        <is>
          <t>ÖREBRO</t>
        </is>
      </c>
      <c r="G547" t="n">
        <v>1.2</v>
      </c>
      <c r="H547" t="n">
        <v>0</v>
      </c>
      <c r="I547" t="n">
        <v>0</v>
      </c>
      <c r="J547" t="n">
        <v>0</v>
      </c>
      <c r="K547" t="n">
        <v>0</v>
      </c>
      <c r="L547" t="n">
        <v>0</v>
      </c>
      <c r="M547" t="n">
        <v>0</v>
      </c>
      <c r="N547" t="n">
        <v>0</v>
      </c>
      <c r="O547" t="n">
        <v>0</v>
      </c>
      <c r="P547" t="n">
        <v>0</v>
      </c>
      <c r="Q547" t="n">
        <v>0</v>
      </c>
      <c r="R547" s="2" t="inlineStr"/>
    </row>
    <row r="548" ht="15" customHeight="1">
      <c r="A548" t="inlineStr">
        <is>
          <t>A 8008-2024</t>
        </is>
      </c>
      <c r="B548" s="1" t="n">
        <v>45350.6794212963</v>
      </c>
      <c r="C548" s="1" t="n">
        <v>46010</v>
      </c>
      <c r="D548" t="inlineStr">
        <is>
          <t>ÖREBRO LÄN</t>
        </is>
      </c>
      <c r="E548" t="inlineStr">
        <is>
          <t>ÖREBRO</t>
        </is>
      </c>
      <c r="G548" t="n">
        <v>0.6</v>
      </c>
      <c r="H548" t="n">
        <v>0</v>
      </c>
      <c r="I548" t="n">
        <v>0</v>
      </c>
      <c r="J548" t="n">
        <v>0</v>
      </c>
      <c r="K548" t="n">
        <v>0</v>
      </c>
      <c r="L548" t="n">
        <v>0</v>
      </c>
      <c r="M548" t="n">
        <v>0</v>
      </c>
      <c r="N548" t="n">
        <v>0</v>
      </c>
      <c r="O548" t="n">
        <v>0</v>
      </c>
      <c r="P548" t="n">
        <v>0</v>
      </c>
      <c r="Q548" t="n">
        <v>0</v>
      </c>
      <c r="R548" s="2" t="inlineStr"/>
    </row>
    <row r="549" ht="15" customHeight="1">
      <c r="A549" t="inlineStr">
        <is>
          <t>A 46834-2022</t>
        </is>
      </c>
      <c r="B549" s="1" t="n">
        <v>44851</v>
      </c>
      <c r="C549" s="1" t="n">
        <v>46010</v>
      </c>
      <c r="D549" t="inlineStr">
        <is>
          <t>ÖREBRO LÄN</t>
        </is>
      </c>
      <c r="E549" t="inlineStr">
        <is>
          <t>ÖREBRO</t>
        </is>
      </c>
      <c r="G549" t="n">
        <v>1.6</v>
      </c>
      <c r="H549" t="n">
        <v>0</v>
      </c>
      <c r="I549" t="n">
        <v>0</v>
      </c>
      <c r="J549" t="n">
        <v>0</v>
      </c>
      <c r="K549" t="n">
        <v>0</v>
      </c>
      <c r="L549" t="n">
        <v>0</v>
      </c>
      <c r="M549" t="n">
        <v>0</v>
      </c>
      <c r="N549" t="n">
        <v>0</v>
      </c>
      <c r="O549" t="n">
        <v>0</v>
      </c>
      <c r="P549" t="n">
        <v>0</v>
      </c>
      <c r="Q549" t="n">
        <v>0</v>
      </c>
      <c r="R549" s="2" t="inlineStr"/>
    </row>
    <row r="550" ht="15" customHeight="1">
      <c r="A550" t="inlineStr">
        <is>
          <t>A 3789-2023</t>
        </is>
      </c>
      <c r="B550" s="1" t="n">
        <v>44951</v>
      </c>
      <c r="C550" s="1" t="n">
        <v>46010</v>
      </c>
      <c r="D550" t="inlineStr">
        <is>
          <t>ÖREBRO LÄN</t>
        </is>
      </c>
      <c r="E550" t="inlineStr">
        <is>
          <t>ÖREBRO</t>
        </is>
      </c>
      <c r="G550" t="n">
        <v>7.5</v>
      </c>
      <c r="H550" t="n">
        <v>0</v>
      </c>
      <c r="I550" t="n">
        <v>0</v>
      </c>
      <c r="J550" t="n">
        <v>0</v>
      </c>
      <c r="K550" t="n">
        <v>0</v>
      </c>
      <c r="L550" t="n">
        <v>0</v>
      </c>
      <c r="M550" t="n">
        <v>0</v>
      </c>
      <c r="N550" t="n">
        <v>0</v>
      </c>
      <c r="O550" t="n">
        <v>0</v>
      </c>
      <c r="P550" t="n">
        <v>0</v>
      </c>
      <c r="Q550" t="n">
        <v>0</v>
      </c>
      <c r="R550" s="2" t="inlineStr"/>
    </row>
    <row r="551" ht="15" customHeight="1">
      <c r="A551" t="inlineStr">
        <is>
          <t>A 57869-2024</t>
        </is>
      </c>
      <c r="B551" s="1" t="n">
        <v>45631.44207175926</v>
      </c>
      <c r="C551" s="1" t="n">
        <v>46010</v>
      </c>
      <c r="D551" t="inlineStr">
        <is>
          <t>ÖREBRO LÄN</t>
        </is>
      </c>
      <c r="E551" t="inlineStr">
        <is>
          <t>ÖREBRO</t>
        </is>
      </c>
      <c r="G551" t="n">
        <v>1.4</v>
      </c>
      <c r="H551" t="n">
        <v>0</v>
      </c>
      <c r="I551" t="n">
        <v>0</v>
      </c>
      <c r="J551" t="n">
        <v>0</v>
      </c>
      <c r="K551" t="n">
        <v>0</v>
      </c>
      <c r="L551" t="n">
        <v>0</v>
      </c>
      <c r="M551" t="n">
        <v>0</v>
      </c>
      <c r="N551" t="n">
        <v>0</v>
      </c>
      <c r="O551" t="n">
        <v>0</v>
      </c>
      <c r="P551" t="n">
        <v>0</v>
      </c>
      <c r="Q551" t="n">
        <v>0</v>
      </c>
      <c r="R551" s="2" t="inlineStr"/>
    </row>
    <row r="552" ht="15" customHeight="1">
      <c r="A552" t="inlineStr">
        <is>
          <t>A 11565-2023</t>
        </is>
      </c>
      <c r="B552" s="1" t="n">
        <v>44994</v>
      </c>
      <c r="C552" s="1" t="n">
        <v>46010</v>
      </c>
      <c r="D552" t="inlineStr">
        <is>
          <t>ÖREBRO LÄN</t>
        </is>
      </c>
      <c r="E552" t="inlineStr">
        <is>
          <t>ÖREBRO</t>
        </is>
      </c>
      <c r="G552" t="n">
        <v>4.7</v>
      </c>
      <c r="H552" t="n">
        <v>0</v>
      </c>
      <c r="I552" t="n">
        <v>0</v>
      </c>
      <c r="J552" t="n">
        <v>0</v>
      </c>
      <c r="K552" t="n">
        <v>0</v>
      </c>
      <c r="L552" t="n">
        <v>0</v>
      </c>
      <c r="M552" t="n">
        <v>0</v>
      </c>
      <c r="N552" t="n">
        <v>0</v>
      </c>
      <c r="O552" t="n">
        <v>0</v>
      </c>
      <c r="P552" t="n">
        <v>0</v>
      </c>
      <c r="Q552" t="n">
        <v>0</v>
      </c>
      <c r="R552" s="2" t="inlineStr"/>
    </row>
    <row r="553" ht="15" customHeight="1">
      <c r="A553" t="inlineStr">
        <is>
          <t>A 1647-2024</t>
        </is>
      </c>
      <c r="B553" s="1" t="n">
        <v>45306</v>
      </c>
      <c r="C553" s="1" t="n">
        <v>46010</v>
      </c>
      <c r="D553" t="inlineStr">
        <is>
          <t>ÖREBRO LÄN</t>
        </is>
      </c>
      <c r="E553" t="inlineStr">
        <is>
          <t>ÖREBRO</t>
        </is>
      </c>
      <c r="G553" t="n">
        <v>1.3</v>
      </c>
      <c r="H553" t="n">
        <v>0</v>
      </c>
      <c r="I553" t="n">
        <v>0</v>
      </c>
      <c r="J553" t="n">
        <v>0</v>
      </c>
      <c r="K553" t="n">
        <v>0</v>
      </c>
      <c r="L553" t="n">
        <v>0</v>
      </c>
      <c r="M553" t="n">
        <v>0</v>
      </c>
      <c r="N553" t="n">
        <v>0</v>
      </c>
      <c r="O553" t="n">
        <v>0</v>
      </c>
      <c r="P553" t="n">
        <v>0</v>
      </c>
      <c r="Q553" t="n">
        <v>0</v>
      </c>
      <c r="R553" s="2" t="inlineStr"/>
    </row>
    <row r="554" ht="15" customHeight="1">
      <c r="A554" t="inlineStr">
        <is>
          <t>A 31906-2023</t>
        </is>
      </c>
      <c r="B554" s="1" t="n">
        <v>45118.8353125</v>
      </c>
      <c r="C554" s="1" t="n">
        <v>46010</v>
      </c>
      <c r="D554" t="inlineStr">
        <is>
          <t>ÖREBRO LÄN</t>
        </is>
      </c>
      <c r="E554" t="inlineStr">
        <is>
          <t>ÖREBRO</t>
        </is>
      </c>
      <c r="G554" t="n">
        <v>9</v>
      </c>
      <c r="H554" t="n">
        <v>0</v>
      </c>
      <c r="I554" t="n">
        <v>0</v>
      </c>
      <c r="J554" t="n">
        <v>0</v>
      </c>
      <c r="K554" t="n">
        <v>0</v>
      </c>
      <c r="L554" t="n">
        <v>0</v>
      </c>
      <c r="M554" t="n">
        <v>0</v>
      </c>
      <c r="N554" t="n">
        <v>0</v>
      </c>
      <c r="O554" t="n">
        <v>0</v>
      </c>
      <c r="P554" t="n">
        <v>0</v>
      </c>
      <c r="Q554" t="n">
        <v>0</v>
      </c>
      <c r="R554" s="2" t="inlineStr"/>
    </row>
    <row r="555" ht="15" customHeight="1">
      <c r="A555" t="inlineStr">
        <is>
          <t>A 31326-2024</t>
        </is>
      </c>
      <c r="B555" s="1" t="n">
        <v>45504.5934375</v>
      </c>
      <c r="C555" s="1" t="n">
        <v>46010</v>
      </c>
      <c r="D555" t="inlineStr">
        <is>
          <t>ÖREBRO LÄN</t>
        </is>
      </c>
      <c r="E555" t="inlineStr">
        <is>
          <t>ÖREBRO</t>
        </is>
      </c>
      <c r="G555" t="n">
        <v>6.4</v>
      </c>
      <c r="H555" t="n">
        <v>0</v>
      </c>
      <c r="I555" t="n">
        <v>0</v>
      </c>
      <c r="J555" t="n">
        <v>0</v>
      </c>
      <c r="K555" t="n">
        <v>0</v>
      </c>
      <c r="L555" t="n">
        <v>0</v>
      </c>
      <c r="M555" t="n">
        <v>0</v>
      </c>
      <c r="N555" t="n">
        <v>0</v>
      </c>
      <c r="O555" t="n">
        <v>0</v>
      </c>
      <c r="P555" t="n">
        <v>0</v>
      </c>
      <c r="Q555" t="n">
        <v>0</v>
      </c>
      <c r="R555" s="2" t="inlineStr"/>
    </row>
    <row r="556" ht="15" customHeight="1">
      <c r="A556" t="inlineStr">
        <is>
          <t>A 70719-2021</t>
        </is>
      </c>
      <c r="B556" s="1" t="n">
        <v>44537</v>
      </c>
      <c r="C556" s="1" t="n">
        <v>46010</v>
      </c>
      <c r="D556" t="inlineStr">
        <is>
          <t>ÖREBRO LÄN</t>
        </is>
      </c>
      <c r="E556" t="inlineStr">
        <is>
          <t>ÖREBRO</t>
        </is>
      </c>
      <c r="G556" t="n">
        <v>4.3</v>
      </c>
      <c r="H556" t="n">
        <v>0</v>
      </c>
      <c r="I556" t="n">
        <v>0</v>
      </c>
      <c r="J556" t="n">
        <v>0</v>
      </c>
      <c r="K556" t="n">
        <v>0</v>
      </c>
      <c r="L556" t="n">
        <v>0</v>
      </c>
      <c r="M556" t="n">
        <v>0</v>
      </c>
      <c r="N556" t="n">
        <v>0</v>
      </c>
      <c r="O556" t="n">
        <v>0</v>
      </c>
      <c r="P556" t="n">
        <v>0</v>
      </c>
      <c r="Q556" t="n">
        <v>0</v>
      </c>
      <c r="R556" s="2" t="inlineStr"/>
    </row>
    <row r="557" ht="15" customHeight="1">
      <c r="A557" t="inlineStr">
        <is>
          <t>A 16694-2025</t>
        </is>
      </c>
      <c r="B557" s="1" t="n">
        <v>45754.46480324074</v>
      </c>
      <c r="C557" s="1" t="n">
        <v>46010</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30374-2023</t>
        </is>
      </c>
      <c r="B558" s="1" t="n">
        <v>45111</v>
      </c>
      <c r="C558" s="1" t="n">
        <v>46010</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38898-2023</t>
        </is>
      </c>
      <c r="B559" s="1" t="n">
        <v>45163</v>
      </c>
      <c r="C559" s="1" t="n">
        <v>46010</v>
      </c>
      <c r="D559" t="inlineStr">
        <is>
          <t>ÖREBRO LÄN</t>
        </is>
      </c>
      <c r="E559" t="inlineStr">
        <is>
          <t>ÖREBRO</t>
        </is>
      </c>
      <c r="G559" t="n">
        <v>5.1</v>
      </c>
      <c r="H559" t="n">
        <v>0</v>
      </c>
      <c r="I559" t="n">
        <v>0</v>
      </c>
      <c r="J559" t="n">
        <v>0</v>
      </c>
      <c r="K559" t="n">
        <v>0</v>
      </c>
      <c r="L559" t="n">
        <v>0</v>
      </c>
      <c r="M559" t="n">
        <v>0</v>
      </c>
      <c r="N559" t="n">
        <v>0</v>
      </c>
      <c r="O559" t="n">
        <v>0</v>
      </c>
      <c r="P559" t="n">
        <v>0</v>
      </c>
      <c r="Q559" t="n">
        <v>0</v>
      </c>
      <c r="R559" s="2" t="inlineStr"/>
    </row>
    <row r="560" ht="15" customHeight="1">
      <c r="A560" t="inlineStr">
        <is>
          <t>A 5764-2022</t>
        </is>
      </c>
      <c r="B560" s="1" t="n">
        <v>44596</v>
      </c>
      <c r="C560" s="1" t="n">
        <v>46010</v>
      </c>
      <c r="D560" t="inlineStr">
        <is>
          <t>ÖREBRO LÄN</t>
        </is>
      </c>
      <c r="E560" t="inlineStr">
        <is>
          <t>ÖREBRO</t>
        </is>
      </c>
      <c r="G560" t="n">
        <v>3.5</v>
      </c>
      <c r="H560" t="n">
        <v>0</v>
      </c>
      <c r="I560" t="n">
        <v>0</v>
      </c>
      <c r="J560" t="n">
        <v>0</v>
      </c>
      <c r="K560" t="n">
        <v>0</v>
      </c>
      <c r="L560" t="n">
        <v>0</v>
      </c>
      <c r="M560" t="n">
        <v>0</v>
      </c>
      <c r="N560" t="n">
        <v>0</v>
      </c>
      <c r="O560" t="n">
        <v>0</v>
      </c>
      <c r="P560" t="n">
        <v>0</v>
      </c>
      <c r="Q560" t="n">
        <v>0</v>
      </c>
      <c r="R560" s="2" t="inlineStr"/>
    </row>
    <row r="561" ht="15" customHeight="1">
      <c r="A561" t="inlineStr">
        <is>
          <t>A 21036-2024</t>
        </is>
      </c>
      <c r="B561" s="1" t="n">
        <v>45439.65954861111</v>
      </c>
      <c r="C561" s="1" t="n">
        <v>46010</v>
      </c>
      <c r="D561" t="inlineStr">
        <is>
          <t>ÖREBRO LÄN</t>
        </is>
      </c>
      <c r="E561" t="inlineStr">
        <is>
          <t>ÖREBRO</t>
        </is>
      </c>
      <c r="F561" t="inlineStr">
        <is>
          <t>Övriga Aktiebolag</t>
        </is>
      </c>
      <c r="G561" t="n">
        <v>5.7</v>
      </c>
      <c r="H561" t="n">
        <v>0</v>
      </c>
      <c r="I561" t="n">
        <v>0</v>
      </c>
      <c r="J561" t="n">
        <v>0</v>
      </c>
      <c r="K561" t="n">
        <v>0</v>
      </c>
      <c r="L561" t="n">
        <v>0</v>
      </c>
      <c r="M561" t="n">
        <v>0</v>
      </c>
      <c r="N561" t="n">
        <v>0</v>
      </c>
      <c r="O561" t="n">
        <v>0</v>
      </c>
      <c r="P561" t="n">
        <v>0</v>
      </c>
      <c r="Q561" t="n">
        <v>0</v>
      </c>
      <c r="R561" s="2" t="inlineStr"/>
    </row>
    <row r="562" ht="15" customHeight="1">
      <c r="A562" t="inlineStr">
        <is>
          <t>A 8332-2021</t>
        </is>
      </c>
      <c r="B562" s="1" t="n">
        <v>44244</v>
      </c>
      <c r="C562" s="1" t="n">
        <v>46010</v>
      </c>
      <c r="D562" t="inlineStr">
        <is>
          <t>ÖREBRO LÄN</t>
        </is>
      </c>
      <c r="E562" t="inlineStr">
        <is>
          <t>ÖREBRO</t>
        </is>
      </c>
      <c r="G562" t="n">
        <v>11</v>
      </c>
      <c r="H562" t="n">
        <v>0</v>
      </c>
      <c r="I562" t="n">
        <v>0</v>
      </c>
      <c r="J562" t="n">
        <v>0</v>
      </c>
      <c r="K562" t="n">
        <v>0</v>
      </c>
      <c r="L562" t="n">
        <v>0</v>
      </c>
      <c r="M562" t="n">
        <v>0</v>
      </c>
      <c r="N562" t="n">
        <v>0</v>
      </c>
      <c r="O562" t="n">
        <v>0</v>
      </c>
      <c r="P562" t="n">
        <v>0</v>
      </c>
      <c r="Q562" t="n">
        <v>0</v>
      </c>
      <c r="R562" s="2" t="inlineStr"/>
    </row>
    <row r="563" ht="15" customHeight="1">
      <c r="A563" t="inlineStr">
        <is>
          <t>A 1492-2022</t>
        </is>
      </c>
      <c r="B563" s="1" t="n">
        <v>44573</v>
      </c>
      <c r="C563" s="1" t="n">
        <v>46010</v>
      </c>
      <c r="D563" t="inlineStr">
        <is>
          <t>ÖREBRO LÄN</t>
        </is>
      </c>
      <c r="E563" t="inlineStr">
        <is>
          <t>ÖREBRO</t>
        </is>
      </c>
      <c r="G563" t="n">
        <v>1.3</v>
      </c>
      <c r="H563" t="n">
        <v>0</v>
      </c>
      <c r="I563" t="n">
        <v>0</v>
      </c>
      <c r="J563" t="n">
        <v>0</v>
      </c>
      <c r="K563" t="n">
        <v>0</v>
      </c>
      <c r="L563" t="n">
        <v>0</v>
      </c>
      <c r="M563" t="n">
        <v>0</v>
      </c>
      <c r="N563" t="n">
        <v>0</v>
      </c>
      <c r="O563" t="n">
        <v>0</v>
      </c>
      <c r="P563" t="n">
        <v>0</v>
      </c>
      <c r="Q563" t="n">
        <v>0</v>
      </c>
      <c r="R563" s="2" t="inlineStr"/>
    </row>
    <row r="564" ht="15" customHeight="1">
      <c r="A564" t="inlineStr">
        <is>
          <t>A 5946-2021</t>
        </is>
      </c>
      <c r="B564" s="1" t="n">
        <v>44230</v>
      </c>
      <c r="C564" s="1" t="n">
        <v>46010</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58615-2024</t>
        </is>
      </c>
      <c r="B565" s="1" t="n">
        <v>45635.5587037037</v>
      </c>
      <c r="C565" s="1" t="n">
        <v>46010</v>
      </c>
      <c r="D565" t="inlineStr">
        <is>
          <t>ÖREBRO LÄN</t>
        </is>
      </c>
      <c r="E565" t="inlineStr">
        <is>
          <t>ÖREBRO</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58620-2024</t>
        </is>
      </c>
      <c r="B566" s="1" t="n">
        <v>45635.56246527778</v>
      </c>
      <c r="C566" s="1" t="n">
        <v>46010</v>
      </c>
      <c r="D566" t="inlineStr">
        <is>
          <t>ÖREBRO LÄN</t>
        </is>
      </c>
      <c r="E566" t="inlineStr">
        <is>
          <t>ÖREBRO</t>
        </is>
      </c>
      <c r="F566" t="inlineStr">
        <is>
          <t>Sveaskog</t>
        </is>
      </c>
      <c r="G566" t="n">
        <v>4.5</v>
      </c>
      <c r="H566" t="n">
        <v>0</v>
      </c>
      <c r="I566" t="n">
        <v>0</v>
      </c>
      <c r="J566" t="n">
        <v>0</v>
      </c>
      <c r="K566" t="n">
        <v>0</v>
      </c>
      <c r="L566" t="n">
        <v>0</v>
      </c>
      <c r="M566" t="n">
        <v>0</v>
      </c>
      <c r="N566" t="n">
        <v>0</v>
      </c>
      <c r="O566" t="n">
        <v>0</v>
      </c>
      <c r="P566" t="n">
        <v>0</v>
      </c>
      <c r="Q566" t="n">
        <v>0</v>
      </c>
      <c r="R566" s="2" t="inlineStr"/>
    </row>
    <row r="567" ht="15" customHeight="1">
      <c r="A567" t="inlineStr">
        <is>
          <t>A 1014-2024</t>
        </is>
      </c>
      <c r="B567" s="1" t="n">
        <v>45301</v>
      </c>
      <c r="C567" s="1" t="n">
        <v>46010</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30472-2022</t>
        </is>
      </c>
      <c r="B568" s="1" t="n">
        <v>44761.70467592592</v>
      </c>
      <c r="C568" s="1" t="n">
        <v>46010</v>
      </c>
      <c r="D568" t="inlineStr">
        <is>
          <t>ÖREBRO LÄN</t>
        </is>
      </c>
      <c r="E568" t="inlineStr">
        <is>
          <t>ÖREBRO</t>
        </is>
      </c>
      <c r="F568" t="inlineStr">
        <is>
          <t>Övriga Aktiebolag</t>
        </is>
      </c>
      <c r="G568" t="n">
        <v>5.6</v>
      </c>
      <c r="H568" t="n">
        <v>0</v>
      </c>
      <c r="I568" t="n">
        <v>0</v>
      </c>
      <c r="J568" t="n">
        <v>0</v>
      </c>
      <c r="K568" t="n">
        <v>0</v>
      </c>
      <c r="L568" t="n">
        <v>0</v>
      </c>
      <c r="M568" t="n">
        <v>0</v>
      </c>
      <c r="N568" t="n">
        <v>0</v>
      </c>
      <c r="O568" t="n">
        <v>0</v>
      </c>
      <c r="P568" t="n">
        <v>0</v>
      </c>
      <c r="Q568" t="n">
        <v>0</v>
      </c>
      <c r="R568" s="2" t="inlineStr"/>
    </row>
    <row r="569" ht="15" customHeight="1">
      <c r="A569" t="inlineStr">
        <is>
          <t>A 34056-2023</t>
        </is>
      </c>
      <c r="B569" s="1" t="n">
        <v>45135</v>
      </c>
      <c r="C569" s="1" t="n">
        <v>46010</v>
      </c>
      <c r="D569" t="inlineStr">
        <is>
          <t>ÖREBRO LÄN</t>
        </is>
      </c>
      <c r="E569" t="inlineStr">
        <is>
          <t>ÖREBRO</t>
        </is>
      </c>
      <c r="F569" t="inlineStr">
        <is>
          <t>Övriga Aktiebolag</t>
        </is>
      </c>
      <c r="G569" t="n">
        <v>4.1</v>
      </c>
      <c r="H569" t="n">
        <v>0</v>
      </c>
      <c r="I569" t="n">
        <v>0</v>
      </c>
      <c r="J569" t="n">
        <v>0</v>
      </c>
      <c r="K569" t="n">
        <v>0</v>
      </c>
      <c r="L569" t="n">
        <v>0</v>
      </c>
      <c r="M569" t="n">
        <v>0</v>
      </c>
      <c r="N569" t="n">
        <v>0</v>
      </c>
      <c r="O569" t="n">
        <v>0</v>
      </c>
      <c r="P569" t="n">
        <v>0</v>
      </c>
      <c r="Q569" t="n">
        <v>0</v>
      </c>
      <c r="R569" s="2" t="inlineStr"/>
    </row>
    <row r="570" ht="15" customHeight="1">
      <c r="A570" t="inlineStr">
        <is>
          <t>A 43612-2022</t>
        </is>
      </c>
      <c r="B570" s="1" t="n">
        <v>44837</v>
      </c>
      <c r="C570" s="1" t="n">
        <v>46010</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51373-2023</t>
        </is>
      </c>
      <c r="B571" s="1" t="n">
        <v>45213</v>
      </c>
      <c r="C571" s="1" t="n">
        <v>46010</v>
      </c>
      <c r="D571" t="inlineStr">
        <is>
          <t>ÖREBRO LÄN</t>
        </is>
      </c>
      <c r="E571" t="inlineStr">
        <is>
          <t>ÖREBRO</t>
        </is>
      </c>
      <c r="G571" t="n">
        <v>5.9</v>
      </c>
      <c r="H571" t="n">
        <v>0</v>
      </c>
      <c r="I571" t="n">
        <v>0</v>
      </c>
      <c r="J571" t="n">
        <v>0</v>
      </c>
      <c r="K571" t="n">
        <v>0</v>
      </c>
      <c r="L571" t="n">
        <v>0</v>
      </c>
      <c r="M571" t="n">
        <v>0</v>
      </c>
      <c r="N571" t="n">
        <v>0</v>
      </c>
      <c r="O571" t="n">
        <v>0</v>
      </c>
      <c r="P571" t="n">
        <v>0</v>
      </c>
      <c r="Q571" t="n">
        <v>0</v>
      </c>
      <c r="R571" s="2" t="inlineStr"/>
    </row>
    <row r="572" ht="15" customHeight="1">
      <c r="A572" t="inlineStr">
        <is>
          <t>A 35843-2022</t>
        </is>
      </c>
      <c r="B572" s="1" t="n">
        <v>44802</v>
      </c>
      <c r="C572" s="1" t="n">
        <v>46010</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13599-2025</t>
        </is>
      </c>
      <c r="B573" s="1" t="n">
        <v>45736.60597222222</v>
      </c>
      <c r="C573" s="1" t="n">
        <v>46010</v>
      </c>
      <c r="D573" t="inlineStr">
        <is>
          <t>ÖREBRO LÄN</t>
        </is>
      </c>
      <c r="E573" t="inlineStr">
        <is>
          <t>ÖREBRO</t>
        </is>
      </c>
      <c r="G573" t="n">
        <v>1.9</v>
      </c>
      <c r="H573" t="n">
        <v>0</v>
      </c>
      <c r="I573" t="n">
        <v>0</v>
      </c>
      <c r="J573" t="n">
        <v>0</v>
      </c>
      <c r="K573" t="n">
        <v>0</v>
      </c>
      <c r="L573" t="n">
        <v>0</v>
      </c>
      <c r="M573" t="n">
        <v>0</v>
      </c>
      <c r="N573" t="n">
        <v>0</v>
      </c>
      <c r="O573" t="n">
        <v>0</v>
      </c>
      <c r="P573" t="n">
        <v>0</v>
      </c>
      <c r="Q573" t="n">
        <v>0</v>
      </c>
      <c r="R573" s="2" t="inlineStr"/>
    </row>
    <row r="574" ht="15" customHeight="1">
      <c r="A574" t="inlineStr">
        <is>
          <t>A 20146-2024</t>
        </is>
      </c>
      <c r="B574" s="1" t="n">
        <v>45434.57641203704</v>
      </c>
      <c r="C574" s="1" t="n">
        <v>46010</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10937-2024</t>
        </is>
      </c>
      <c r="B575" s="1" t="n">
        <v>45370.44461805555</v>
      </c>
      <c r="C575" s="1" t="n">
        <v>46010</v>
      </c>
      <c r="D575" t="inlineStr">
        <is>
          <t>ÖREBRO LÄN</t>
        </is>
      </c>
      <c r="E575" t="inlineStr">
        <is>
          <t>ÖREBRO</t>
        </is>
      </c>
      <c r="G575" t="n">
        <v>4.3</v>
      </c>
      <c r="H575" t="n">
        <v>0</v>
      </c>
      <c r="I575" t="n">
        <v>0</v>
      </c>
      <c r="J575" t="n">
        <v>0</v>
      </c>
      <c r="K575" t="n">
        <v>0</v>
      </c>
      <c r="L575" t="n">
        <v>0</v>
      </c>
      <c r="M575" t="n">
        <v>0</v>
      </c>
      <c r="N575" t="n">
        <v>0</v>
      </c>
      <c r="O575" t="n">
        <v>0</v>
      </c>
      <c r="P575" t="n">
        <v>0</v>
      </c>
      <c r="Q575" t="n">
        <v>0</v>
      </c>
      <c r="R575" s="2" t="inlineStr"/>
    </row>
    <row r="576" ht="15" customHeight="1">
      <c r="A576" t="inlineStr">
        <is>
          <t>A 20115-2024</t>
        </is>
      </c>
      <c r="B576" s="1" t="n">
        <v>45434</v>
      </c>
      <c r="C576" s="1" t="n">
        <v>46010</v>
      </c>
      <c r="D576" t="inlineStr">
        <is>
          <t>ÖREBRO LÄN</t>
        </is>
      </c>
      <c r="E576" t="inlineStr">
        <is>
          <t>ÖREBRO</t>
        </is>
      </c>
      <c r="G576" t="n">
        <v>1.7</v>
      </c>
      <c r="H576" t="n">
        <v>0</v>
      </c>
      <c r="I576" t="n">
        <v>0</v>
      </c>
      <c r="J576" t="n">
        <v>0</v>
      </c>
      <c r="K576" t="n">
        <v>0</v>
      </c>
      <c r="L576" t="n">
        <v>0</v>
      </c>
      <c r="M576" t="n">
        <v>0</v>
      </c>
      <c r="N576" t="n">
        <v>0</v>
      </c>
      <c r="O576" t="n">
        <v>0</v>
      </c>
      <c r="P576" t="n">
        <v>0</v>
      </c>
      <c r="Q576" t="n">
        <v>0</v>
      </c>
      <c r="R576" s="2" t="inlineStr"/>
    </row>
    <row r="577" ht="15" customHeight="1">
      <c r="A577" t="inlineStr">
        <is>
          <t>A 16936-2023</t>
        </is>
      </c>
      <c r="B577" s="1" t="n">
        <v>45033.63005787037</v>
      </c>
      <c r="C577" s="1" t="n">
        <v>46010</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40588-2021</t>
        </is>
      </c>
      <c r="B578" s="1" t="n">
        <v>44420</v>
      </c>
      <c r="C578" s="1" t="n">
        <v>46010</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8565-2021</t>
        </is>
      </c>
      <c r="B579" s="1" t="n">
        <v>44245</v>
      </c>
      <c r="C579" s="1" t="n">
        <v>46010</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8575-2021</t>
        </is>
      </c>
      <c r="B580" s="1" t="n">
        <v>44245</v>
      </c>
      <c r="C580" s="1" t="n">
        <v>46010</v>
      </c>
      <c r="D580" t="inlineStr">
        <is>
          <t>ÖREBRO LÄN</t>
        </is>
      </c>
      <c r="E580" t="inlineStr">
        <is>
          <t>ÖREBRO</t>
        </is>
      </c>
      <c r="G580" t="n">
        <v>3.4</v>
      </c>
      <c r="H580" t="n">
        <v>0</v>
      </c>
      <c r="I580" t="n">
        <v>0</v>
      </c>
      <c r="J580" t="n">
        <v>0</v>
      </c>
      <c r="K580" t="n">
        <v>0</v>
      </c>
      <c r="L580" t="n">
        <v>0</v>
      </c>
      <c r="M580" t="n">
        <v>0</v>
      </c>
      <c r="N580" t="n">
        <v>0</v>
      </c>
      <c r="O580" t="n">
        <v>0</v>
      </c>
      <c r="P580" t="n">
        <v>0</v>
      </c>
      <c r="Q580" t="n">
        <v>0</v>
      </c>
      <c r="R580" s="2" t="inlineStr"/>
    </row>
    <row r="581" ht="15" customHeight="1">
      <c r="A581" t="inlineStr">
        <is>
          <t>A 57485-2023</t>
        </is>
      </c>
      <c r="B581" s="1" t="n">
        <v>45246</v>
      </c>
      <c r="C581" s="1" t="n">
        <v>46010</v>
      </c>
      <c r="D581" t="inlineStr">
        <is>
          <t>ÖREBRO LÄN</t>
        </is>
      </c>
      <c r="E581" t="inlineStr">
        <is>
          <t>ÖREBRO</t>
        </is>
      </c>
      <c r="G581" t="n">
        <v>0.9</v>
      </c>
      <c r="H581" t="n">
        <v>0</v>
      </c>
      <c r="I581" t="n">
        <v>0</v>
      </c>
      <c r="J581" t="n">
        <v>0</v>
      </c>
      <c r="K581" t="n">
        <v>0</v>
      </c>
      <c r="L581" t="n">
        <v>0</v>
      </c>
      <c r="M581" t="n">
        <v>0</v>
      </c>
      <c r="N581" t="n">
        <v>0</v>
      </c>
      <c r="O581" t="n">
        <v>0</v>
      </c>
      <c r="P581" t="n">
        <v>0</v>
      </c>
      <c r="Q581" t="n">
        <v>0</v>
      </c>
      <c r="R581" s="2" t="inlineStr"/>
    </row>
    <row r="582" ht="15" customHeight="1">
      <c r="A582" t="inlineStr">
        <is>
          <t>A 37025-2024</t>
        </is>
      </c>
      <c r="B582" s="1" t="n">
        <v>45539.3840162037</v>
      </c>
      <c r="C582" s="1" t="n">
        <v>46010</v>
      </c>
      <c r="D582" t="inlineStr">
        <is>
          <t>ÖREBRO LÄN</t>
        </is>
      </c>
      <c r="E582" t="inlineStr">
        <is>
          <t>ÖREBRO</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37027-2024</t>
        </is>
      </c>
      <c r="B583" s="1" t="n">
        <v>45539.38487268519</v>
      </c>
      <c r="C583" s="1" t="n">
        <v>46010</v>
      </c>
      <c r="D583" t="inlineStr">
        <is>
          <t>ÖREBRO LÄN</t>
        </is>
      </c>
      <c r="E583" t="inlineStr">
        <is>
          <t>ÖREBRO</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60506-2024</t>
        </is>
      </c>
      <c r="B584" s="1" t="n">
        <v>45643.66630787037</v>
      </c>
      <c r="C584" s="1" t="n">
        <v>46010</v>
      </c>
      <c r="D584" t="inlineStr">
        <is>
          <t>ÖREBRO LÄN</t>
        </is>
      </c>
      <c r="E584" t="inlineStr">
        <is>
          <t>ÖREBRO</t>
        </is>
      </c>
      <c r="G584" t="n">
        <v>5.8</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44839.59194444444</v>
      </c>
      <c r="C585" s="1" t="n">
        <v>46010</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46010</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58608-2024</t>
        </is>
      </c>
      <c r="B587" s="1" t="n">
        <v>45635.55185185185</v>
      </c>
      <c r="C587" s="1" t="n">
        <v>46010</v>
      </c>
      <c r="D587" t="inlineStr">
        <is>
          <t>ÖREBRO LÄN</t>
        </is>
      </c>
      <c r="E587" t="inlineStr">
        <is>
          <t>ÖREBRO</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38422-2023</t>
        </is>
      </c>
      <c r="B588" s="1" t="n">
        <v>45162.36422453704</v>
      </c>
      <c r="C588" s="1" t="n">
        <v>46010</v>
      </c>
      <c r="D588" t="inlineStr">
        <is>
          <t>ÖREBRO LÄN</t>
        </is>
      </c>
      <c r="E588" t="inlineStr">
        <is>
          <t>ÖREBRO</t>
        </is>
      </c>
      <c r="G588" t="n">
        <v>8</v>
      </c>
      <c r="H588" t="n">
        <v>0</v>
      </c>
      <c r="I588" t="n">
        <v>0</v>
      </c>
      <c r="J588" t="n">
        <v>0</v>
      </c>
      <c r="K588" t="n">
        <v>0</v>
      </c>
      <c r="L588" t="n">
        <v>0</v>
      </c>
      <c r="M588" t="n">
        <v>0</v>
      </c>
      <c r="N588" t="n">
        <v>0</v>
      </c>
      <c r="O588" t="n">
        <v>0</v>
      </c>
      <c r="P588" t="n">
        <v>0</v>
      </c>
      <c r="Q588" t="n">
        <v>0</v>
      </c>
      <c r="R588" s="2" t="inlineStr"/>
    </row>
    <row r="589" ht="15" customHeight="1">
      <c r="A589" t="inlineStr">
        <is>
          <t>A 56040-2024</t>
        </is>
      </c>
      <c r="B589" s="1" t="n">
        <v>45624.3344212963</v>
      </c>
      <c r="C589" s="1" t="n">
        <v>46010</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14487-2023</t>
        </is>
      </c>
      <c r="B590" s="1" t="n">
        <v>45012</v>
      </c>
      <c r="C590" s="1" t="n">
        <v>46010</v>
      </c>
      <c r="D590" t="inlineStr">
        <is>
          <t>ÖREBRO LÄN</t>
        </is>
      </c>
      <c r="E590" t="inlineStr">
        <is>
          <t>ÖREBRO</t>
        </is>
      </c>
      <c r="G590" t="n">
        <v>0.5</v>
      </c>
      <c r="H590" t="n">
        <v>0</v>
      </c>
      <c r="I590" t="n">
        <v>0</v>
      </c>
      <c r="J590" t="n">
        <v>0</v>
      </c>
      <c r="K590" t="n">
        <v>0</v>
      </c>
      <c r="L590" t="n">
        <v>0</v>
      </c>
      <c r="M590" t="n">
        <v>0</v>
      </c>
      <c r="N590" t="n">
        <v>0</v>
      </c>
      <c r="O590" t="n">
        <v>0</v>
      </c>
      <c r="P590" t="n">
        <v>0</v>
      </c>
      <c r="Q590" t="n">
        <v>0</v>
      </c>
      <c r="R590" s="2" t="inlineStr"/>
    </row>
    <row r="591" ht="15" customHeight="1">
      <c r="A591" t="inlineStr">
        <is>
          <t>A 40522-2024</t>
        </is>
      </c>
      <c r="B591" s="1" t="n">
        <v>45555.59717592593</v>
      </c>
      <c r="C591" s="1" t="n">
        <v>46010</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49029-2024</t>
        </is>
      </c>
      <c r="B592" s="1" t="n">
        <v>45594</v>
      </c>
      <c r="C592" s="1" t="n">
        <v>46010</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49062-2023</t>
        </is>
      </c>
      <c r="B593" s="1" t="n">
        <v>45210.35119212963</v>
      </c>
      <c r="C593" s="1" t="n">
        <v>46010</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35829-2024</t>
        </is>
      </c>
      <c r="B594" s="1" t="n">
        <v>45532</v>
      </c>
      <c r="C594" s="1" t="n">
        <v>46010</v>
      </c>
      <c r="D594" t="inlineStr">
        <is>
          <t>ÖREBRO LÄN</t>
        </is>
      </c>
      <c r="E594" t="inlineStr">
        <is>
          <t>ÖREBRO</t>
        </is>
      </c>
      <c r="G594" t="n">
        <v>4.6</v>
      </c>
      <c r="H594" t="n">
        <v>0</v>
      </c>
      <c r="I594" t="n">
        <v>0</v>
      </c>
      <c r="J594" t="n">
        <v>0</v>
      </c>
      <c r="K594" t="n">
        <v>0</v>
      </c>
      <c r="L594" t="n">
        <v>0</v>
      </c>
      <c r="M594" t="n">
        <v>0</v>
      </c>
      <c r="N594" t="n">
        <v>0</v>
      </c>
      <c r="O594" t="n">
        <v>0</v>
      </c>
      <c r="P594" t="n">
        <v>0</v>
      </c>
      <c r="Q594" t="n">
        <v>0</v>
      </c>
      <c r="R594" s="2" t="inlineStr"/>
    </row>
    <row r="595" ht="15" customHeight="1">
      <c r="A595" t="inlineStr">
        <is>
          <t>A 13181-2023</t>
        </is>
      </c>
      <c r="B595" s="1" t="n">
        <v>45002.60659722222</v>
      </c>
      <c r="C595" s="1" t="n">
        <v>46010</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61078-2024</t>
        </is>
      </c>
      <c r="B596" s="1" t="n">
        <v>45645.51034722223</v>
      </c>
      <c r="C596" s="1" t="n">
        <v>46010</v>
      </c>
      <c r="D596" t="inlineStr">
        <is>
          <t>ÖREBRO LÄN</t>
        </is>
      </c>
      <c r="E596" t="inlineStr">
        <is>
          <t>ÖREBRO</t>
        </is>
      </c>
      <c r="G596" t="n">
        <v>4.1</v>
      </c>
      <c r="H596" t="n">
        <v>0</v>
      </c>
      <c r="I596" t="n">
        <v>0</v>
      </c>
      <c r="J596" t="n">
        <v>0</v>
      </c>
      <c r="K596" t="n">
        <v>0</v>
      </c>
      <c r="L596" t="n">
        <v>0</v>
      </c>
      <c r="M596" t="n">
        <v>0</v>
      </c>
      <c r="N596" t="n">
        <v>0</v>
      </c>
      <c r="O596" t="n">
        <v>0</v>
      </c>
      <c r="P596" t="n">
        <v>0</v>
      </c>
      <c r="Q596" t="n">
        <v>0</v>
      </c>
      <c r="R596" s="2" t="inlineStr"/>
    </row>
    <row r="597" ht="15" customHeight="1">
      <c r="A597" t="inlineStr">
        <is>
          <t>A 62511-2023</t>
        </is>
      </c>
      <c r="B597" s="1" t="n">
        <v>45268.61855324074</v>
      </c>
      <c r="C597" s="1" t="n">
        <v>46010</v>
      </c>
      <c r="D597" t="inlineStr">
        <is>
          <t>ÖREBRO LÄN</t>
        </is>
      </c>
      <c r="E597" t="inlineStr">
        <is>
          <t>ÖREBRO</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55472-2023</t>
        </is>
      </c>
      <c r="B598" s="1" t="n">
        <v>45238</v>
      </c>
      <c r="C598" s="1" t="n">
        <v>46010</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5129-2024</t>
        </is>
      </c>
      <c r="B599" s="1" t="n">
        <v>45330</v>
      </c>
      <c r="C599" s="1" t="n">
        <v>46010</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58486-2024</t>
        </is>
      </c>
      <c r="B600" s="1" t="n">
        <v>45635</v>
      </c>
      <c r="C600" s="1" t="n">
        <v>46010</v>
      </c>
      <c r="D600" t="inlineStr">
        <is>
          <t>ÖREBRO LÄN</t>
        </is>
      </c>
      <c r="E600" t="inlineStr">
        <is>
          <t>ÖREBRO</t>
        </is>
      </c>
      <c r="G600" t="n">
        <v>1.7</v>
      </c>
      <c r="H600" t="n">
        <v>0</v>
      </c>
      <c r="I600" t="n">
        <v>0</v>
      </c>
      <c r="J600" t="n">
        <v>0</v>
      </c>
      <c r="K600" t="n">
        <v>0</v>
      </c>
      <c r="L600" t="n">
        <v>0</v>
      </c>
      <c r="M600" t="n">
        <v>0</v>
      </c>
      <c r="N600" t="n">
        <v>0</v>
      </c>
      <c r="O600" t="n">
        <v>0</v>
      </c>
      <c r="P600" t="n">
        <v>0</v>
      </c>
      <c r="Q600" t="n">
        <v>0</v>
      </c>
      <c r="R600" s="2" t="inlineStr"/>
    </row>
    <row r="601" ht="15" customHeight="1">
      <c r="A601" t="inlineStr">
        <is>
          <t>A 30015-2023</t>
        </is>
      </c>
      <c r="B601" s="1" t="n">
        <v>45109</v>
      </c>
      <c r="C601" s="1" t="n">
        <v>46010</v>
      </c>
      <c r="D601" t="inlineStr">
        <is>
          <t>ÖREBRO LÄN</t>
        </is>
      </c>
      <c r="E601" t="inlineStr">
        <is>
          <t>ÖREBRO</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1013-2024</t>
        </is>
      </c>
      <c r="B602" s="1" t="n">
        <v>45301</v>
      </c>
      <c r="C602" s="1" t="n">
        <v>46010</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8512-2025</t>
        </is>
      </c>
      <c r="B603" s="1" t="n">
        <v>45709.54873842592</v>
      </c>
      <c r="C603" s="1" t="n">
        <v>46010</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14715-2024</t>
        </is>
      </c>
      <c r="B604" s="1" t="n">
        <v>45397.5500462963</v>
      </c>
      <c r="C604" s="1" t="n">
        <v>46010</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58145-2024</t>
        </is>
      </c>
      <c r="B605" s="1" t="n">
        <v>45632.43230324074</v>
      </c>
      <c r="C605" s="1" t="n">
        <v>46010</v>
      </c>
      <c r="D605" t="inlineStr">
        <is>
          <t>ÖREBRO LÄN</t>
        </is>
      </c>
      <c r="E605" t="inlineStr">
        <is>
          <t>ÖREBRO</t>
        </is>
      </c>
      <c r="G605" t="n">
        <v>2.1</v>
      </c>
      <c r="H605" t="n">
        <v>0</v>
      </c>
      <c r="I605" t="n">
        <v>0</v>
      </c>
      <c r="J605" t="n">
        <v>0</v>
      </c>
      <c r="K605" t="n">
        <v>0</v>
      </c>
      <c r="L605" t="n">
        <v>0</v>
      </c>
      <c r="M605" t="n">
        <v>0</v>
      </c>
      <c r="N605" t="n">
        <v>0</v>
      </c>
      <c r="O605" t="n">
        <v>0</v>
      </c>
      <c r="P605" t="n">
        <v>0</v>
      </c>
      <c r="Q605" t="n">
        <v>0</v>
      </c>
      <c r="R605" s="2" t="inlineStr"/>
    </row>
    <row r="606" ht="15" customHeight="1">
      <c r="A606" t="inlineStr">
        <is>
          <t>A 16300-2022</t>
        </is>
      </c>
      <c r="B606" s="1" t="n">
        <v>44670</v>
      </c>
      <c r="C606" s="1" t="n">
        <v>46010</v>
      </c>
      <c r="D606" t="inlineStr">
        <is>
          <t>ÖREBRO LÄN</t>
        </is>
      </c>
      <c r="E606" t="inlineStr">
        <is>
          <t>ÖREBRO</t>
        </is>
      </c>
      <c r="G606" t="n">
        <v>0.8</v>
      </c>
      <c r="H606" t="n">
        <v>0</v>
      </c>
      <c r="I606" t="n">
        <v>0</v>
      </c>
      <c r="J606" t="n">
        <v>0</v>
      </c>
      <c r="K606" t="n">
        <v>0</v>
      </c>
      <c r="L606" t="n">
        <v>0</v>
      </c>
      <c r="M606" t="n">
        <v>0</v>
      </c>
      <c r="N606" t="n">
        <v>0</v>
      </c>
      <c r="O606" t="n">
        <v>0</v>
      </c>
      <c r="P606" t="n">
        <v>0</v>
      </c>
      <c r="Q606" t="n">
        <v>0</v>
      </c>
      <c r="R606" s="2" t="inlineStr"/>
    </row>
    <row r="607" ht="15" customHeight="1">
      <c r="A607" t="inlineStr">
        <is>
          <t>A 18181-2024</t>
        </is>
      </c>
      <c r="B607" s="1" t="n">
        <v>45420.64561342593</v>
      </c>
      <c r="C607" s="1" t="n">
        <v>46010</v>
      </c>
      <c r="D607" t="inlineStr">
        <is>
          <t>ÖREBRO LÄN</t>
        </is>
      </c>
      <c r="E607" t="inlineStr">
        <is>
          <t>ÖREBRO</t>
        </is>
      </c>
      <c r="G607" t="n">
        <v>7.6</v>
      </c>
      <c r="H607" t="n">
        <v>0</v>
      </c>
      <c r="I607" t="n">
        <v>0</v>
      </c>
      <c r="J607" t="n">
        <v>0</v>
      </c>
      <c r="K607" t="n">
        <v>0</v>
      </c>
      <c r="L607" t="n">
        <v>0</v>
      </c>
      <c r="M607" t="n">
        <v>0</v>
      </c>
      <c r="N607" t="n">
        <v>0</v>
      </c>
      <c r="O607" t="n">
        <v>0</v>
      </c>
      <c r="P607" t="n">
        <v>0</v>
      </c>
      <c r="Q607" t="n">
        <v>0</v>
      </c>
      <c r="R607" s="2" t="inlineStr"/>
    </row>
    <row r="608" ht="15" customHeight="1">
      <c r="A608" t="inlineStr">
        <is>
          <t>A 70707-2021</t>
        </is>
      </c>
      <c r="B608" s="1" t="n">
        <v>44537</v>
      </c>
      <c r="C608" s="1" t="n">
        <v>46010</v>
      </c>
      <c r="D608" t="inlineStr">
        <is>
          <t>ÖREBRO LÄN</t>
        </is>
      </c>
      <c r="E608" t="inlineStr">
        <is>
          <t>ÖREBRO</t>
        </is>
      </c>
      <c r="G608" t="n">
        <v>13.2</v>
      </c>
      <c r="H608" t="n">
        <v>0</v>
      </c>
      <c r="I608" t="n">
        <v>0</v>
      </c>
      <c r="J608" t="n">
        <v>0</v>
      </c>
      <c r="K608" t="n">
        <v>0</v>
      </c>
      <c r="L608" t="n">
        <v>0</v>
      </c>
      <c r="M608" t="n">
        <v>0</v>
      </c>
      <c r="N608" t="n">
        <v>0</v>
      </c>
      <c r="O608" t="n">
        <v>0</v>
      </c>
      <c r="P608" t="n">
        <v>0</v>
      </c>
      <c r="Q608" t="n">
        <v>0</v>
      </c>
      <c r="R608" s="2" t="inlineStr"/>
    </row>
    <row r="609" ht="15" customHeight="1">
      <c r="A609" t="inlineStr">
        <is>
          <t>A 60100-2022</t>
        </is>
      </c>
      <c r="B609" s="1" t="n">
        <v>44902</v>
      </c>
      <c r="C609" s="1" t="n">
        <v>46010</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2152-2023</t>
        </is>
      </c>
      <c r="B610" s="1" t="n">
        <v>44941.55056712963</v>
      </c>
      <c r="C610" s="1" t="n">
        <v>46010</v>
      </c>
      <c r="D610" t="inlineStr">
        <is>
          <t>ÖREBRO LÄN</t>
        </is>
      </c>
      <c r="E610" t="inlineStr">
        <is>
          <t>ÖREBRO</t>
        </is>
      </c>
      <c r="G610" t="n">
        <v>8</v>
      </c>
      <c r="H610" t="n">
        <v>0</v>
      </c>
      <c r="I610" t="n">
        <v>0</v>
      </c>
      <c r="J610" t="n">
        <v>0</v>
      </c>
      <c r="K610" t="n">
        <v>0</v>
      </c>
      <c r="L610" t="n">
        <v>0</v>
      </c>
      <c r="M610" t="n">
        <v>0</v>
      </c>
      <c r="N610" t="n">
        <v>0</v>
      </c>
      <c r="O610" t="n">
        <v>0</v>
      </c>
      <c r="P610" t="n">
        <v>0</v>
      </c>
      <c r="Q610" t="n">
        <v>0</v>
      </c>
      <c r="R610" s="2" t="inlineStr"/>
    </row>
    <row r="611" ht="15" customHeight="1">
      <c r="A611" t="inlineStr">
        <is>
          <t>A 8656-2025</t>
        </is>
      </c>
      <c r="B611" s="1" t="n">
        <v>45712.38268518518</v>
      </c>
      <c r="C611" s="1" t="n">
        <v>46010</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55353-2024</t>
        </is>
      </c>
      <c r="B612" s="1" t="n">
        <v>45621.79526620371</v>
      </c>
      <c r="C612" s="1" t="n">
        <v>46010</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row r="613" ht="15" customHeight="1">
      <c r="A613" t="inlineStr">
        <is>
          <t>A 55357-2024</t>
        </is>
      </c>
      <c r="B613" s="1" t="n">
        <v>45621.81126157408</v>
      </c>
      <c r="C613" s="1" t="n">
        <v>46010</v>
      </c>
      <c r="D613" t="inlineStr">
        <is>
          <t>ÖREBRO LÄN</t>
        </is>
      </c>
      <c r="E613" t="inlineStr">
        <is>
          <t>ÖREBRO</t>
        </is>
      </c>
      <c r="G613" t="n">
        <v>0.6</v>
      </c>
      <c r="H613" t="n">
        <v>0</v>
      </c>
      <c r="I613" t="n">
        <v>0</v>
      </c>
      <c r="J613" t="n">
        <v>0</v>
      </c>
      <c r="K613" t="n">
        <v>0</v>
      </c>
      <c r="L613" t="n">
        <v>0</v>
      </c>
      <c r="M613" t="n">
        <v>0</v>
      </c>
      <c r="N613" t="n">
        <v>0</v>
      </c>
      <c r="O613" t="n">
        <v>0</v>
      </c>
      <c r="P613" t="n">
        <v>0</v>
      </c>
      <c r="Q613" t="n">
        <v>0</v>
      </c>
      <c r="R613" s="2" t="inlineStr"/>
    </row>
    <row r="614" ht="15" customHeight="1">
      <c r="A614" t="inlineStr">
        <is>
          <t>A 42623-2022</t>
        </is>
      </c>
      <c r="B614" s="1" t="n">
        <v>44831</v>
      </c>
      <c r="C614" s="1" t="n">
        <v>46010</v>
      </c>
      <c r="D614" t="inlineStr">
        <is>
          <t>ÖREBRO LÄN</t>
        </is>
      </c>
      <c r="E614" t="inlineStr">
        <is>
          <t>ÖREBRO</t>
        </is>
      </c>
      <c r="G614" t="n">
        <v>3.6</v>
      </c>
      <c r="H614" t="n">
        <v>0</v>
      </c>
      <c r="I614" t="n">
        <v>0</v>
      </c>
      <c r="J614" t="n">
        <v>0</v>
      </c>
      <c r="K614" t="n">
        <v>0</v>
      </c>
      <c r="L614" t="n">
        <v>0</v>
      </c>
      <c r="M614" t="n">
        <v>0</v>
      </c>
      <c r="N614" t="n">
        <v>0</v>
      </c>
      <c r="O614" t="n">
        <v>0</v>
      </c>
      <c r="P614" t="n">
        <v>0</v>
      </c>
      <c r="Q614" t="n">
        <v>0</v>
      </c>
      <c r="R614" s="2" t="inlineStr"/>
    </row>
    <row r="615" ht="15" customHeight="1">
      <c r="A615" t="inlineStr">
        <is>
          <t>A 72329-2021</t>
        </is>
      </c>
      <c r="B615" s="1" t="n">
        <v>44545.46072916667</v>
      </c>
      <c r="C615" s="1" t="n">
        <v>46010</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4344-2025</t>
        </is>
      </c>
      <c r="B616" s="1" t="n">
        <v>45685</v>
      </c>
      <c r="C616" s="1" t="n">
        <v>46010</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55355-2024</t>
        </is>
      </c>
      <c r="B617" s="1" t="n">
        <v>45621.80475694445</v>
      </c>
      <c r="C617" s="1" t="n">
        <v>46010</v>
      </c>
      <c r="D617" t="inlineStr">
        <is>
          <t>ÖREBRO LÄN</t>
        </is>
      </c>
      <c r="E617" t="inlineStr">
        <is>
          <t>ÖREBRO</t>
        </is>
      </c>
      <c r="G617" t="n">
        <v>1.6</v>
      </c>
      <c r="H617" t="n">
        <v>0</v>
      </c>
      <c r="I617" t="n">
        <v>0</v>
      </c>
      <c r="J617" t="n">
        <v>0</v>
      </c>
      <c r="K617" t="n">
        <v>0</v>
      </c>
      <c r="L617" t="n">
        <v>0</v>
      </c>
      <c r="M617" t="n">
        <v>0</v>
      </c>
      <c r="N617" t="n">
        <v>0</v>
      </c>
      <c r="O617" t="n">
        <v>0</v>
      </c>
      <c r="P617" t="n">
        <v>0</v>
      </c>
      <c r="Q617" t="n">
        <v>0</v>
      </c>
      <c r="R617" s="2" t="inlineStr"/>
    </row>
    <row r="618" ht="15" customHeight="1">
      <c r="A618" t="inlineStr">
        <is>
          <t>A 56077-2022</t>
        </is>
      </c>
      <c r="B618" s="1" t="n">
        <v>44889.60872685185</v>
      </c>
      <c r="C618" s="1" t="n">
        <v>46010</v>
      </c>
      <c r="D618" t="inlineStr">
        <is>
          <t>ÖREBRO LÄN</t>
        </is>
      </c>
      <c r="E618" t="inlineStr">
        <is>
          <t>ÖREBRO</t>
        </is>
      </c>
      <c r="F618" t="inlineStr">
        <is>
          <t>Övriga Aktiebolag</t>
        </is>
      </c>
      <c r="G618" t="n">
        <v>2.5</v>
      </c>
      <c r="H618" t="n">
        <v>0</v>
      </c>
      <c r="I618" t="n">
        <v>0</v>
      </c>
      <c r="J618" t="n">
        <v>0</v>
      </c>
      <c r="K618" t="n">
        <v>0</v>
      </c>
      <c r="L618" t="n">
        <v>0</v>
      </c>
      <c r="M618" t="n">
        <v>0</v>
      </c>
      <c r="N618" t="n">
        <v>0</v>
      </c>
      <c r="O618" t="n">
        <v>0</v>
      </c>
      <c r="P618" t="n">
        <v>0</v>
      </c>
      <c r="Q618" t="n">
        <v>0</v>
      </c>
      <c r="R618" s="2" t="inlineStr"/>
    </row>
    <row r="619" ht="15" customHeight="1">
      <c r="A619" t="inlineStr">
        <is>
          <t>A 33457-2023</t>
        </is>
      </c>
      <c r="B619" s="1" t="n">
        <v>45131</v>
      </c>
      <c r="C619" s="1" t="n">
        <v>46010</v>
      </c>
      <c r="D619" t="inlineStr">
        <is>
          <t>ÖREBRO LÄN</t>
        </is>
      </c>
      <c r="E619" t="inlineStr">
        <is>
          <t>ÖREBRO</t>
        </is>
      </c>
      <c r="G619" t="n">
        <v>0.5</v>
      </c>
      <c r="H619" t="n">
        <v>0</v>
      </c>
      <c r="I619" t="n">
        <v>0</v>
      </c>
      <c r="J619" t="n">
        <v>0</v>
      </c>
      <c r="K619" t="n">
        <v>0</v>
      </c>
      <c r="L619" t="n">
        <v>0</v>
      </c>
      <c r="M619" t="n">
        <v>0</v>
      </c>
      <c r="N619" t="n">
        <v>0</v>
      </c>
      <c r="O619" t="n">
        <v>0</v>
      </c>
      <c r="P619" t="n">
        <v>0</v>
      </c>
      <c r="Q619" t="n">
        <v>0</v>
      </c>
      <c r="R619" s="2" t="inlineStr"/>
    </row>
    <row r="620" ht="15" customHeight="1">
      <c r="A620" t="inlineStr">
        <is>
          <t>A 7141-2025</t>
        </is>
      </c>
      <c r="B620" s="1" t="n">
        <v>45702</v>
      </c>
      <c r="C620" s="1" t="n">
        <v>46010</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22677-2022</t>
        </is>
      </c>
      <c r="B621" s="1" t="n">
        <v>44714</v>
      </c>
      <c r="C621" s="1" t="n">
        <v>46010</v>
      </c>
      <c r="D621" t="inlineStr">
        <is>
          <t>ÖREBRO LÄN</t>
        </is>
      </c>
      <c r="E621" t="inlineStr">
        <is>
          <t>ÖREBRO</t>
        </is>
      </c>
      <c r="G621" t="n">
        <v>2.3</v>
      </c>
      <c r="H621" t="n">
        <v>0</v>
      </c>
      <c r="I621" t="n">
        <v>0</v>
      </c>
      <c r="J621" t="n">
        <v>0</v>
      </c>
      <c r="K621" t="n">
        <v>0</v>
      </c>
      <c r="L621" t="n">
        <v>0</v>
      </c>
      <c r="M621" t="n">
        <v>0</v>
      </c>
      <c r="N621" t="n">
        <v>0</v>
      </c>
      <c r="O621" t="n">
        <v>0</v>
      </c>
      <c r="P621" t="n">
        <v>0</v>
      </c>
      <c r="Q621" t="n">
        <v>0</v>
      </c>
      <c r="R621" s="2" t="inlineStr"/>
    </row>
    <row r="622" ht="15" customHeight="1">
      <c r="A622" t="inlineStr">
        <is>
          <t>A 13169-2024</t>
        </is>
      </c>
      <c r="B622" s="1" t="n">
        <v>45386.40489583334</v>
      </c>
      <c r="C622" s="1" t="n">
        <v>46010</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23710-2022</t>
        </is>
      </c>
      <c r="B623" s="1" t="n">
        <v>44722</v>
      </c>
      <c r="C623" s="1" t="n">
        <v>46010</v>
      </c>
      <c r="D623" t="inlineStr">
        <is>
          <t>ÖREBRO LÄN</t>
        </is>
      </c>
      <c r="E623" t="inlineStr">
        <is>
          <t>ÖREBRO</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4757-2024</t>
        </is>
      </c>
      <c r="B624" s="1" t="n">
        <v>45328</v>
      </c>
      <c r="C624" s="1" t="n">
        <v>46010</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30903-2024</t>
        </is>
      </c>
      <c r="B625" s="1" t="n">
        <v>45498.49946759259</v>
      </c>
      <c r="C625" s="1" t="n">
        <v>46010</v>
      </c>
      <c r="D625" t="inlineStr">
        <is>
          <t>ÖREBRO LÄN</t>
        </is>
      </c>
      <c r="E625" t="inlineStr">
        <is>
          <t>ÖREBRO</t>
        </is>
      </c>
      <c r="G625" t="n">
        <v>1.1</v>
      </c>
      <c r="H625" t="n">
        <v>0</v>
      </c>
      <c r="I625" t="n">
        <v>0</v>
      </c>
      <c r="J625" t="n">
        <v>0</v>
      </c>
      <c r="K625" t="n">
        <v>0</v>
      </c>
      <c r="L625" t="n">
        <v>0</v>
      </c>
      <c r="M625" t="n">
        <v>0</v>
      </c>
      <c r="N625" t="n">
        <v>0</v>
      </c>
      <c r="O625" t="n">
        <v>0</v>
      </c>
      <c r="P625" t="n">
        <v>0</v>
      </c>
      <c r="Q625" t="n">
        <v>0</v>
      </c>
      <c r="R625" s="2" t="inlineStr"/>
    </row>
    <row r="626" ht="15" customHeight="1">
      <c r="A626" t="inlineStr">
        <is>
          <t>A 47193-2023</t>
        </is>
      </c>
      <c r="B626" s="1" t="n">
        <v>45202.3074537037</v>
      </c>
      <c r="C626" s="1" t="n">
        <v>46010</v>
      </c>
      <c r="D626" t="inlineStr">
        <is>
          <t>ÖREBRO LÄN</t>
        </is>
      </c>
      <c r="E626" t="inlineStr">
        <is>
          <t>ÖREBRO</t>
        </is>
      </c>
      <c r="G626" t="n">
        <v>2.4</v>
      </c>
      <c r="H626" t="n">
        <v>0</v>
      </c>
      <c r="I626" t="n">
        <v>0</v>
      </c>
      <c r="J626" t="n">
        <v>0</v>
      </c>
      <c r="K626" t="n">
        <v>0</v>
      </c>
      <c r="L626" t="n">
        <v>0</v>
      </c>
      <c r="M626" t="n">
        <v>0</v>
      </c>
      <c r="N626" t="n">
        <v>0</v>
      </c>
      <c r="O626" t="n">
        <v>0</v>
      </c>
      <c r="P626" t="n">
        <v>0</v>
      </c>
      <c r="Q626" t="n">
        <v>0</v>
      </c>
      <c r="R626" s="2" t="inlineStr"/>
    </row>
    <row r="627" ht="15" customHeight="1">
      <c r="A627" t="inlineStr">
        <is>
          <t>A 59026-2024</t>
        </is>
      </c>
      <c r="B627" s="1" t="n">
        <v>45636.6875</v>
      </c>
      <c r="C627" s="1" t="n">
        <v>46010</v>
      </c>
      <c r="D627" t="inlineStr">
        <is>
          <t>ÖREBRO LÄN</t>
        </is>
      </c>
      <c r="E627" t="inlineStr">
        <is>
          <t>ÖREBRO</t>
        </is>
      </c>
      <c r="G627" t="n">
        <v>0.9</v>
      </c>
      <c r="H627" t="n">
        <v>0</v>
      </c>
      <c r="I627" t="n">
        <v>0</v>
      </c>
      <c r="J627" t="n">
        <v>0</v>
      </c>
      <c r="K627" t="n">
        <v>0</v>
      </c>
      <c r="L627" t="n">
        <v>0</v>
      </c>
      <c r="M627" t="n">
        <v>0</v>
      </c>
      <c r="N627" t="n">
        <v>0</v>
      </c>
      <c r="O627" t="n">
        <v>0</v>
      </c>
      <c r="P627" t="n">
        <v>0</v>
      </c>
      <c r="Q627" t="n">
        <v>0</v>
      </c>
      <c r="R627" s="2" t="inlineStr"/>
    </row>
    <row r="628" ht="15" customHeight="1">
      <c r="A628" t="inlineStr">
        <is>
          <t>A 17465-2023</t>
        </is>
      </c>
      <c r="B628" s="1" t="n">
        <v>45036</v>
      </c>
      <c r="C628" s="1" t="n">
        <v>46010</v>
      </c>
      <c r="D628" t="inlineStr">
        <is>
          <t>ÖREBRO LÄN</t>
        </is>
      </c>
      <c r="E628" t="inlineStr">
        <is>
          <t>ÖREBRO</t>
        </is>
      </c>
      <c r="G628" t="n">
        <v>0.8</v>
      </c>
      <c r="H628" t="n">
        <v>0</v>
      </c>
      <c r="I628" t="n">
        <v>0</v>
      </c>
      <c r="J628" t="n">
        <v>0</v>
      </c>
      <c r="K628" t="n">
        <v>0</v>
      </c>
      <c r="L628" t="n">
        <v>0</v>
      </c>
      <c r="M628" t="n">
        <v>0</v>
      </c>
      <c r="N628" t="n">
        <v>0</v>
      </c>
      <c r="O628" t="n">
        <v>0</v>
      </c>
      <c r="P628" t="n">
        <v>0</v>
      </c>
      <c r="Q628" t="n">
        <v>0</v>
      </c>
      <c r="R628" s="2" t="inlineStr"/>
    </row>
    <row r="629" ht="15" customHeight="1">
      <c r="A629" t="inlineStr">
        <is>
          <t>A 36635-2023</t>
        </is>
      </c>
      <c r="B629" s="1" t="n">
        <v>45153</v>
      </c>
      <c r="C629" s="1" t="n">
        <v>46010</v>
      </c>
      <c r="D629" t="inlineStr">
        <is>
          <t>ÖREBRO LÄN</t>
        </is>
      </c>
      <c r="E629" t="inlineStr">
        <is>
          <t>ÖREBRO</t>
        </is>
      </c>
      <c r="G629" t="n">
        <v>1.9</v>
      </c>
      <c r="H629" t="n">
        <v>0</v>
      </c>
      <c r="I629" t="n">
        <v>0</v>
      </c>
      <c r="J629" t="n">
        <v>0</v>
      </c>
      <c r="K629" t="n">
        <v>0</v>
      </c>
      <c r="L629" t="n">
        <v>0</v>
      </c>
      <c r="M629" t="n">
        <v>0</v>
      </c>
      <c r="N629" t="n">
        <v>0</v>
      </c>
      <c r="O629" t="n">
        <v>0</v>
      </c>
      <c r="P629" t="n">
        <v>0</v>
      </c>
      <c r="Q629" t="n">
        <v>0</v>
      </c>
      <c r="R629" s="2" t="inlineStr"/>
    </row>
    <row r="630" ht="15" customHeight="1">
      <c r="A630" t="inlineStr">
        <is>
          <t>A 681-2024</t>
        </is>
      </c>
      <c r="B630" s="1" t="n">
        <v>45300</v>
      </c>
      <c r="C630" s="1" t="n">
        <v>46010</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21097-2025</t>
        </is>
      </c>
      <c r="B631" s="1" t="n">
        <v>45777.63863425926</v>
      </c>
      <c r="C631" s="1" t="n">
        <v>46010</v>
      </c>
      <c r="D631" t="inlineStr">
        <is>
          <t>ÖREBRO LÄN</t>
        </is>
      </c>
      <c r="E631" t="inlineStr">
        <is>
          <t>ÖREBRO</t>
        </is>
      </c>
      <c r="G631" t="n">
        <v>2.1</v>
      </c>
      <c r="H631" t="n">
        <v>0</v>
      </c>
      <c r="I631" t="n">
        <v>0</v>
      </c>
      <c r="J631" t="n">
        <v>0</v>
      </c>
      <c r="K631" t="n">
        <v>0</v>
      </c>
      <c r="L631" t="n">
        <v>0</v>
      </c>
      <c r="M631" t="n">
        <v>0</v>
      </c>
      <c r="N631" t="n">
        <v>0</v>
      </c>
      <c r="O631" t="n">
        <v>0</v>
      </c>
      <c r="P631" t="n">
        <v>0</v>
      </c>
      <c r="Q631" t="n">
        <v>0</v>
      </c>
      <c r="R631" s="2" t="inlineStr"/>
    </row>
    <row r="632" ht="15" customHeight="1">
      <c r="A632" t="inlineStr">
        <is>
          <t>A 35819-2024</t>
        </is>
      </c>
      <c r="B632" s="1" t="n">
        <v>45532</v>
      </c>
      <c r="C632" s="1" t="n">
        <v>46010</v>
      </c>
      <c r="D632" t="inlineStr">
        <is>
          <t>ÖREBRO LÄN</t>
        </is>
      </c>
      <c r="E632" t="inlineStr">
        <is>
          <t>ÖREBRO</t>
        </is>
      </c>
      <c r="G632" t="n">
        <v>6.4</v>
      </c>
      <c r="H632" t="n">
        <v>0</v>
      </c>
      <c r="I632" t="n">
        <v>0</v>
      </c>
      <c r="J632" t="n">
        <v>0</v>
      </c>
      <c r="K632" t="n">
        <v>0</v>
      </c>
      <c r="L632" t="n">
        <v>0</v>
      </c>
      <c r="M632" t="n">
        <v>0</v>
      </c>
      <c r="N632" t="n">
        <v>0</v>
      </c>
      <c r="O632" t="n">
        <v>0</v>
      </c>
      <c r="P632" t="n">
        <v>0</v>
      </c>
      <c r="Q632" t="n">
        <v>0</v>
      </c>
      <c r="R632" s="2" t="inlineStr"/>
    </row>
    <row r="633" ht="15" customHeight="1">
      <c r="A633" t="inlineStr">
        <is>
          <t>A 32076-2023</t>
        </is>
      </c>
      <c r="B633" s="1" t="n">
        <v>45119.58324074074</v>
      </c>
      <c r="C633" s="1" t="n">
        <v>46010</v>
      </c>
      <c r="D633" t="inlineStr">
        <is>
          <t>ÖREBRO LÄN</t>
        </is>
      </c>
      <c r="E633" t="inlineStr">
        <is>
          <t>ÖREBRO</t>
        </is>
      </c>
      <c r="G633" t="n">
        <v>1.1</v>
      </c>
      <c r="H633" t="n">
        <v>0</v>
      </c>
      <c r="I633" t="n">
        <v>0</v>
      </c>
      <c r="J633" t="n">
        <v>0</v>
      </c>
      <c r="K633" t="n">
        <v>0</v>
      </c>
      <c r="L633" t="n">
        <v>0</v>
      </c>
      <c r="M633" t="n">
        <v>0</v>
      </c>
      <c r="N633" t="n">
        <v>0</v>
      </c>
      <c r="O633" t="n">
        <v>0</v>
      </c>
      <c r="P633" t="n">
        <v>0</v>
      </c>
      <c r="Q633" t="n">
        <v>0</v>
      </c>
      <c r="R633" s="2" t="inlineStr"/>
    </row>
    <row r="634" ht="15" customHeight="1">
      <c r="A634" t="inlineStr">
        <is>
          <t>A 21338-2025</t>
        </is>
      </c>
      <c r="B634" s="1" t="n">
        <v>45780</v>
      </c>
      <c r="C634" s="1" t="n">
        <v>46010</v>
      </c>
      <c r="D634" t="inlineStr">
        <is>
          <t>ÖREBRO LÄN</t>
        </is>
      </c>
      <c r="E634" t="inlineStr">
        <is>
          <t>ÖREBRO</t>
        </is>
      </c>
      <c r="G634" t="n">
        <v>3.2</v>
      </c>
      <c r="H634" t="n">
        <v>0</v>
      </c>
      <c r="I634" t="n">
        <v>0</v>
      </c>
      <c r="J634" t="n">
        <v>0</v>
      </c>
      <c r="K634" t="n">
        <v>0</v>
      </c>
      <c r="L634" t="n">
        <v>0</v>
      </c>
      <c r="M634" t="n">
        <v>0</v>
      </c>
      <c r="N634" t="n">
        <v>0</v>
      </c>
      <c r="O634" t="n">
        <v>0</v>
      </c>
      <c r="P634" t="n">
        <v>0</v>
      </c>
      <c r="Q634" t="n">
        <v>0</v>
      </c>
      <c r="R634" s="2" t="inlineStr"/>
    </row>
    <row r="635" ht="15" customHeight="1">
      <c r="A635" t="inlineStr">
        <is>
          <t>A 58644-2023</t>
        </is>
      </c>
      <c r="B635" s="1" t="n">
        <v>45251.58716435185</v>
      </c>
      <c r="C635" s="1" t="n">
        <v>46010</v>
      </c>
      <c r="D635" t="inlineStr">
        <is>
          <t>ÖREBRO LÄN</t>
        </is>
      </c>
      <c r="E635" t="inlineStr">
        <is>
          <t>ÖREBRO</t>
        </is>
      </c>
      <c r="F635" t="inlineStr">
        <is>
          <t>Övriga Aktiebolag</t>
        </is>
      </c>
      <c r="G635" t="n">
        <v>1.9</v>
      </c>
      <c r="H635" t="n">
        <v>0</v>
      </c>
      <c r="I635" t="n">
        <v>0</v>
      </c>
      <c r="J635" t="n">
        <v>0</v>
      </c>
      <c r="K635" t="n">
        <v>0</v>
      </c>
      <c r="L635" t="n">
        <v>0</v>
      </c>
      <c r="M635" t="n">
        <v>0</v>
      </c>
      <c r="N635" t="n">
        <v>0</v>
      </c>
      <c r="O635" t="n">
        <v>0</v>
      </c>
      <c r="P635" t="n">
        <v>0</v>
      </c>
      <c r="Q635" t="n">
        <v>0</v>
      </c>
      <c r="R635" s="2" t="inlineStr"/>
    </row>
    <row r="636" ht="15" customHeight="1">
      <c r="A636" t="inlineStr">
        <is>
          <t>A 22719-2025</t>
        </is>
      </c>
      <c r="B636" s="1" t="n">
        <v>45789</v>
      </c>
      <c r="C636" s="1" t="n">
        <v>46010</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764-2024</t>
        </is>
      </c>
      <c r="B637" s="1" t="n">
        <v>45300.51512731481</v>
      </c>
      <c r="C637" s="1" t="n">
        <v>46010</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c r="A638" t="inlineStr">
        <is>
          <t>A 22755-2025</t>
        </is>
      </c>
      <c r="B638" s="1" t="n">
        <v>45789.61872685186</v>
      </c>
      <c r="C638" s="1" t="n">
        <v>46010</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2025-12-19T10:36:05Z</dcterms:created>
  <dcterms:modified xmlns:dcterms="http://purl.org/dc/terms/" xmlns:xsi="http://www.w3.org/2001/XMLSchema-instance" xsi:type="dcterms:W3CDTF">2025-12-19T10:36:05Z</dcterms:modified>
</cp:coreProperties>
</file>