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45645</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45645</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45645</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45645</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45645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45645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45645</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45645</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45645</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45645</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45645</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45645</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45645</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45645</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45645</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45645</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45645</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45645</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45645</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45645</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45645</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45645</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45645</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45645</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45645</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45645</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45645</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45645</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45645</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45645</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45311-2019</t>
        </is>
      </c>
      <c r="B39" s="1" t="n">
        <v>43710</v>
      </c>
      <c r="C39" s="1" t="n">
        <v>45645</v>
      </c>
      <c r="D39" t="inlineStr">
        <is>
          <t>ÖREBRO LÄN</t>
        </is>
      </c>
      <c r="E39" t="inlineStr">
        <is>
          <t>ÖREBRO</t>
        </is>
      </c>
      <c r="F39" t="inlineStr">
        <is>
          <t>Kommuner</t>
        </is>
      </c>
      <c r="G39" t="n">
        <v>0.5</v>
      </c>
      <c r="H39" t="n">
        <v>2</v>
      </c>
      <c r="I39" t="n">
        <v>0</v>
      </c>
      <c r="J39" t="n">
        <v>0</v>
      </c>
      <c r="K39" t="n">
        <v>0</v>
      </c>
      <c r="L39" t="n">
        <v>0</v>
      </c>
      <c r="M39" t="n">
        <v>0</v>
      </c>
      <c r="N39" t="n">
        <v>0</v>
      </c>
      <c r="O39" t="n">
        <v>0</v>
      </c>
      <c r="P39" t="n">
        <v>0</v>
      </c>
      <c r="Q39" t="n">
        <v>2</v>
      </c>
      <c r="R39" s="2" t="inlineStr">
        <is>
          <t>Mindre vattensalamander
Vanlig padda</t>
        </is>
      </c>
      <c r="S39">
        <f>HYPERLINK("https://klasma.github.io/Logging_1880/artfynd/A 45311-2019 artfynd.xlsx", "A 45311-2019")</f>
        <v/>
      </c>
      <c r="T39">
        <f>HYPERLINK("https://klasma.github.io/Logging_1880/kartor/A 45311-2019 karta.png", "A 45311-2019")</f>
        <v/>
      </c>
      <c r="V39">
        <f>HYPERLINK("https://klasma.github.io/Logging_1880/klagomål/A 45311-2019 FSC-klagomål.docx", "A 45311-2019")</f>
        <v/>
      </c>
      <c r="W39">
        <f>HYPERLINK("https://klasma.github.io/Logging_1880/klagomålsmail/A 45311-2019 FSC-klagomål mail.docx", "A 45311-2019")</f>
        <v/>
      </c>
      <c r="X39">
        <f>HYPERLINK("https://klasma.github.io/Logging_1880/tillsyn/A 45311-2019 tillsynsbegäran.docx", "A 45311-2019")</f>
        <v/>
      </c>
      <c r="Y39">
        <f>HYPERLINK("https://klasma.github.io/Logging_1880/tillsynsmail/A 45311-2019 tillsynsbegäran mail.docx", "A 45311-2019")</f>
        <v/>
      </c>
    </row>
    <row r="40" ht="15" customHeight="1">
      <c r="A40" t="inlineStr">
        <is>
          <t>A 46798-2019</t>
        </is>
      </c>
      <c r="B40" s="1" t="n">
        <v>43719</v>
      </c>
      <c r="C40" s="1" t="n">
        <v>45645</v>
      </c>
      <c r="D40" t="inlineStr">
        <is>
          <t>ÖREBRO LÄN</t>
        </is>
      </c>
      <c r="E40" t="inlineStr">
        <is>
          <t>ÖREBRO</t>
        </is>
      </c>
      <c r="F40" t="inlineStr">
        <is>
          <t>Kommuner</t>
        </is>
      </c>
      <c r="G40" t="n">
        <v>9.4</v>
      </c>
      <c r="H40" t="n">
        <v>0</v>
      </c>
      <c r="I40" t="n">
        <v>0</v>
      </c>
      <c r="J40" t="n">
        <v>1</v>
      </c>
      <c r="K40" t="n">
        <v>1</v>
      </c>
      <c r="L40" t="n">
        <v>0</v>
      </c>
      <c r="M40" t="n">
        <v>0</v>
      </c>
      <c r="N40" t="n">
        <v>0</v>
      </c>
      <c r="O40" t="n">
        <v>2</v>
      </c>
      <c r="P40" t="n">
        <v>1</v>
      </c>
      <c r="Q40" t="n">
        <v>2</v>
      </c>
      <c r="R40" s="2" t="inlineStr">
        <is>
          <t>Rynkskinn
Ullticka</t>
        </is>
      </c>
      <c r="S40">
        <f>HYPERLINK("https://klasma.github.io/Logging_1880/artfynd/A 46798-2019 artfynd.xlsx", "A 46798-2019")</f>
        <v/>
      </c>
      <c r="T40">
        <f>HYPERLINK("https://klasma.github.io/Logging_1880/kartor/A 46798-2019 karta.png", "A 46798-2019")</f>
        <v/>
      </c>
      <c r="V40">
        <f>HYPERLINK("https://klasma.github.io/Logging_1880/klagomål/A 46798-2019 FSC-klagomål.docx", "A 46798-2019")</f>
        <v/>
      </c>
      <c r="W40">
        <f>HYPERLINK("https://klasma.github.io/Logging_1880/klagomålsmail/A 46798-2019 FSC-klagomål mail.docx", "A 46798-2019")</f>
        <v/>
      </c>
      <c r="X40">
        <f>HYPERLINK("https://klasma.github.io/Logging_1880/tillsyn/A 46798-2019 tillsynsbegäran.docx", "A 46798-2019")</f>
        <v/>
      </c>
      <c r="Y40">
        <f>HYPERLINK("https://klasma.github.io/Logging_1880/tillsynsmail/A 46798-2019 tillsynsbegäran mail.docx", "A 46798-2019")</f>
        <v/>
      </c>
    </row>
    <row r="41" ht="15" customHeight="1">
      <c r="A41" t="inlineStr">
        <is>
          <t>A 2586-2021</t>
        </is>
      </c>
      <c r="B41" s="1" t="n">
        <v>44214</v>
      </c>
      <c r="C41" s="1" t="n">
        <v>45645</v>
      </c>
      <c r="D41" t="inlineStr">
        <is>
          <t>ÖREBRO LÄN</t>
        </is>
      </c>
      <c r="E41" t="inlineStr">
        <is>
          <t>ÖREBRO</t>
        </is>
      </c>
      <c r="G41" t="n">
        <v>8</v>
      </c>
      <c r="H41" t="n">
        <v>1</v>
      </c>
      <c r="I41" t="n">
        <v>0</v>
      </c>
      <c r="J41" t="n">
        <v>1</v>
      </c>
      <c r="K41" t="n">
        <v>0</v>
      </c>
      <c r="L41" t="n">
        <v>0</v>
      </c>
      <c r="M41" t="n">
        <v>0</v>
      </c>
      <c r="N41" t="n">
        <v>0</v>
      </c>
      <c r="O41" t="n">
        <v>1</v>
      </c>
      <c r="P41" t="n">
        <v>0</v>
      </c>
      <c r="Q41" t="n">
        <v>2</v>
      </c>
      <c r="R41" s="2" t="inlineStr">
        <is>
          <t>Tallticka
Fläcknycklar</t>
        </is>
      </c>
      <c r="S41">
        <f>HYPERLINK("https://klasma.github.io/Logging_1880/artfynd/A 2586-2021 artfynd.xlsx", "A 2586-2021")</f>
        <v/>
      </c>
      <c r="T41">
        <f>HYPERLINK("https://klasma.github.io/Logging_1880/kartor/A 2586-2021 karta.png", "A 2586-2021")</f>
        <v/>
      </c>
      <c r="V41">
        <f>HYPERLINK("https://klasma.github.io/Logging_1880/klagomål/A 2586-2021 FSC-klagomål.docx", "A 2586-2021")</f>
        <v/>
      </c>
      <c r="W41">
        <f>HYPERLINK("https://klasma.github.io/Logging_1880/klagomålsmail/A 2586-2021 FSC-klagomål mail.docx", "A 2586-2021")</f>
        <v/>
      </c>
      <c r="X41">
        <f>HYPERLINK("https://klasma.github.io/Logging_1880/tillsyn/A 2586-2021 tillsynsbegäran.docx", "A 2586-2021")</f>
        <v/>
      </c>
      <c r="Y41">
        <f>HYPERLINK("https://klasma.github.io/Logging_1880/tillsynsmail/A 2586-2021 tillsynsbegäran mail.docx", "A 2586-2021")</f>
        <v/>
      </c>
    </row>
    <row r="42" ht="15" customHeight="1">
      <c r="A42" t="inlineStr">
        <is>
          <t>A 8267-2021</t>
        </is>
      </c>
      <c r="B42" s="1" t="n">
        <v>44244</v>
      </c>
      <c r="C42" s="1" t="n">
        <v>45645</v>
      </c>
      <c r="D42" t="inlineStr">
        <is>
          <t>ÖREBRO LÄN</t>
        </is>
      </c>
      <c r="E42" t="inlineStr">
        <is>
          <t>ÖREBRO</t>
        </is>
      </c>
      <c r="G42" t="n">
        <v>2.5</v>
      </c>
      <c r="H42" t="n">
        <v>1</v>
      </c>
      <c r="I42" t="n">
        <v>1</v>
      </c>
      <c r="J42" t="n">
        <v>0</v>
      </c>
      <c r="K42" t="n">
        <v>0</v>
      </c>
      <c r="L42" t="n">
        <v>0</v>
      </c>
      <c r="M42" t="n">
        <v>0</v>
      </c>
      <c r="N42" t="n">
        <v>0</v>
      </c>
      <c r="O42" t="n">
        <v>0</v>
      </c>
      <c r="P42" t="n">
        <v>0</v>
      </c>
      <c r="Q42" t="n">
        <v>2</v>
      </c>
      <c r="R42" s="2" t="inlineStr">
        <is>
          <t>Svart trolldruva
Blåsippa</t>
        </is>
      </c>
      <c r="S42">
        <f>HYPERLINK("https://klasma.github.io/Logging_1880/artfynd/A 8267-2021 artfynd.xlsx", "A 8267-2021")</f>
        <v/>
      </c>
      <c r="T42">
        <f>HYPERLINK("https://klasma.github.io/Logging_1880/kartor/A 8267-2021 karta.png", "A 8267-2021")</f>
        <v/>
      </c>
      <c r="V42">
        <f>HYPERLINK("https://klasma.github.io/Logging_1880/klagomål/A 8267-2021 FSC-klagomål.docx", "A 8267-2021")</f>
        <v/>
      </c>
      <c r="W42">
        <f>HYPERLINK("https://klasma.github.io/Logging_1880/klagomålsmail/A 8267-2021 FSC-klagomål mail.docx", "A 8267-2021")</f>
        <v/>
      </c>
      <c r="X42">
        <f>HYPERLINK("https://klasma.github.io/Logging_1880/tillsyn/A 8267-2021 tillsynsbegäran.docx", "A 8267-2021")</f>
        <v/>
      </c>
      <c r="Y42">
        <f>HYPERLINK("https://klasma.github.io/Logging_1880/tillsynsmail/A 8267-2021 tillsynsbegäran mail.docx", "A 8267-2021")</f>
        <v/>
      </c>
    </row>
    <row r="43" ht="15" customHeight="1">
      <c r="A43" t="inlineStr">
        <is>
          <t>A 9390-2022</t>
        </is>
      </c>
      <c r="B43" s="1" t="n">
        <v>44616</v>
      </c>
      <c r="C43" s="1" t="n">
        <v>45645</v>
      </c>
      <c r="D43" t="inlineStr">
        <is>
          <t>ÖREBRO LÄN</t>
        </is>
      </c>
      <c r="E43" t="inlineStr">
        <is>
          <t>ÖREBRO</t>
        </is>
      </c>
      <c r="G43" t="n">
        <v>5.7</v>
      </c>
      <c r="H43" t="n">
        <v>0</v>
      </c>
      <c r="I43" t="n">
        <v>1</v>
      </c>
      <c r="J43" t="n">
        <v>0</v>
      </c>
      <c r="K43" t="n">
        <v>1</v>
      </c>
      <c r="L43" t="n">
        <v>0</v>
      </c>
      <c r="M43" t="n">
        <v>0</v>
      </c>
      <c r="N43" t="n">
        <v>0</v>
      </c>
      <c r="O43" t="n">
        <v>1</v>
      </c>
      <c r="P43" t="n">
        <v>1</v>
      </c>
      <c r="Q43" t="n">
        <v>2</v>
      </c>
      <c r="R43" s="2" t="inlineStr">
        <is>
          <t>Vågticka
Tibast</t>
        </is>
      </c>
      <c r="S43">
        <f>HYPERLINK("https://klasma.github.io/Logging_1880/artfynd/A 9390-2022 artfynd.xlsx", "A 9390-2022")</f>
        <v/>
      </c>
      <c r="T43">
        <f>HYPERLINK("https://klasma.github.io/Logging_1880/kartor/A 9390-2022 karta.png", "A 9390-2022")</f>
        <v/>
      </c>
      <c r="V43">
        <f>HYPERLINK("https://klasma.github.io/Logging_1880/klagomål/A 9390-2022 FSC-klagomål.docx", "A 9390-2022")</f>
        <v/>
      </c>
      <c r="W43">
        <f>HYPERLINK("https://klasma.github.io/Logging_1880/klagomålsmail/A 9390-2022 FSC-klagomål mail.docx", "A 9390-2022")</f>
        <v/>
      </c>
      <c r="X43">
        <f>HYPERLINK("https://klasma.github.io/Logging_1880/tillsyn/A 9390-2022 tillsynsbegäran.docx", "A 9390-2022")</f>
        <v/>
      </c>
      <c r="Y43">
        <f>HYPERLINK("https://klasma.github.io/Logging_1880/tillsynsmail/A 9390-2022 tillsynsbegäran mail.docx", "A 9390-2022")</f>
        <v/>
      </c>
    </row>
    <row r="44" ht="15" customHeight="1">
      <c r="A44" t="inlineStr">
        <is>
          <t>A 12974-2022</t>
        </is>
      </c>
      <c r="B44" s="1" t="n">
        <v>44643</v>
      </c>
      <c r="C44" s="1" t="n">
        <v>45645</v>
      </c>
      <c r="D44" t="inlineStr">
        <is>
          <t>ÖREBRO LÄN</t>
        </is>
      </c>
      <c r="E44" t="inlineStr">
        <is>
          <t>ÖREBRO</t>
        </is>
      </c>
      <c r="G44" t="n">
        <v>3.3</v>
      </c>
      <c r="H44" t="n">
        <v>2</v>
      </c>
      <c r="I44" t="n">
        <v>0</v>
      </c>
      <c r="J44" t="n">
        <v>1</v>
      </c>
      <c r="K44" t="n">
        <v>0</v>
      </c>
      <c r="L44" t="n">
        <v>0</v>
      </c>
      <c r="M44" t="n">
        <v>0</v>
      </c>
      <c r="N44" t="n">
        <v>0</v>
      </c>
      <c r="O44" t="n">
        <v>1</v>
      </c>
      <c r="P44" t="n">
        <v>0</v>
      </c>
      <c r="Q44" t="n">
        <v>2</v>
      </c>
      <c r="R44" s="2" t="inlineStr">
        <is>
          <t>Duvhök
Kungsfågel</t>
        </is>
      </c>
      <c r="S44">
        <f>HYPERLINK("https://klasma.github.io/Logging_1880/artfynd/A 12974-2022 artfynd.xlsx", "A 12974-2022")</f>
        <v/>
      </c>
      <c r="T44">
        <f>HYPERLINK("https://klasma.github.io/Logging_1880/kartor/A 12974-2022 karta.png", "A 12974-2022")</f>
        <v/>
      </c>
      <c r="V44">
        <f>HYPERLINK("https://klasma.github.io/Logging_1880/klagomål/A 12974-2022 FSC-klagomål.docx", "A 12974-2022")</f>
        <v/>
      </c>
      <c r="W44">
        <f>HYPERLINK("https://klasma.github.io/Logging_1880/klagomålsmail/A 12974-2022 FSC-klagomål mail.docx", "A 12974-2022")</f>
        <v/>
      </c>
      <c r="X44">
        <f>HYPERLINK("https://klasma.github.io/Logging_1880/tillsyn/A 12974-2022 tillsynsbegäran.docx", "A 12974-2022")</f>
        <v/>
      </c>
      <c r="Y44">
        <f>HYPERLINK("https://klasma.github.io/Logging_1880/tillsynsmail/A 12974-2022 tillsynsbegäran mail.docx", "A 12974-2022")</f>
        <v/>
      </c>
      <c r="Z44">
        <f>HYPERLINK("https://klasma.github.io/Logging_1880/fåglar/A 12974-2022 prioriterade fågelarter.docx", "A 12974-2022")</f>
        <v/>
      </c>
    </row>
    <row r="45" ht="15" customHeight="1">
      <c r="A45" t="inlineStr">
        <is>
          <t>A 29478-2022</t>
        </is>
      </c>
      <c r="B45" s="1" t="n">
        <v>44753</v>
      </c>
      <c r="C45" s="1" t="n">
        <v>45645</v>
      </c>
      <c r="D45" t="inlineStr">
        <is>
          <t>ÖREBRO LÄN</t>
        </is>
      </c>
      <c r="E45" t="inlineStr">
        <is>
          <t>ÖREBRO</t>
        </is>
      </c>
      <c r="F45" t="inlineStr">
        <is>
          <t>Kommuner</t>
        </is>
      </c>
      <c r="G45" t="n">
        <v>0.5</v>
      </c>
      <c r="H45" t="n">
        <v>0</v>
      </c>
      <c r="I45" t="n">
        <v>2</v>
      </c>
      <c r="J45" t="n">
        <v>0</v>
      </c>
      <c r="K45" t="n">
        <v>0</v>
      </c>
      <c r="L45" t="n">
        <v>0</v>
      </c>
      <c r="M45" t="n">
        <v>0</v>
      </c>
      <c r="N45" t="n">
        <v>0</v>
      </c>
      <c r="O45" t="n">
        <v>0</v>
      </c>
      <c r="P45" t="n">
        <v>0</v>
      </c>
      <c r="Q45" t="n">
        <v>2</v>
      </c>
      <c r="R45" s="2" t="inlineStr">
        <is>
          <t>Fjällig taggsvamp s.str.
Svavelriska</t>
        </is>
      </c>
      <c r="S45">
        <f>HYPERLINK("https://klasma.github.io/Logging_1880/artfynd/A 29478-2022 artfynd.xlsx", "A 29478-2022")</f>
        <v/>
      </c>
      <c r="T45">
        <f>HYPERLINK("https://klasma.github.io/Logging_1880/kartor/A 29478-2022 karta.png", "A 29478-2022")</f>
        <v/>
      </c>
      <c r="V45">
        <f>HYPERLINK("https://klasma.github.io/Logging_1880/klagomål/A 29478-2022 FSC-klagomål.docx", "A 29478-2022")</f>
        <v/>
      </c>
      <c r="W45">
        <f>HYPERLINK("https://klasma.github.io/Logging_1880/klagomålsmail/A 29478-2022 FSC-klagomål mail.docx", "A 29478-2022")</f>
        <v/>
      </c>
      <c r="X45">
        <f>HYPERLINK("https://klasma.github.io/Logging_1880/tillsyn/A 29478-2022 tillsynsbegäran.docx", "A 29478-2022")</f>
        <v/>
      </c>
      <c r="Y45">
        <f>HYPERLINK("https://klasma.github.io/Logging_1880/tillsynsmail/A 29478-2022 tillsynsbegäran mail.docx", "A 29478-2022")</f>
        <v/>
      </c>
    </row>
    <row r="46" ht="15" customHeight="1">
      <c r="A46" t="inlineStr">
        <is>
          <t>A 34578-2022</t>
        </is>
      </c>
      <c r="B46" s="1" t="n">
        <v>44795</v>
      </c>
      <c r="C46" s="1" t="n">
        <v>45645</v>
      </c>
      <c r="D46" t="inlineStr">
        <is>
          <t>ÖREBRO LÄN</t>
        </is>
      </c>
      <c r="E46" t="inlineStr">
        <is>
          <t>ÖREBRO</t>
        </is>
      </c>
      <c r="G46" t="n">
        <v>1.3</v>
      </c>
      <c r="H46" t="n">
        <v>2</v>
      </c>
      <c r="I46" t="n">
        <v>0</v>
      </c>
      <c r="J46" t="n">
        <v>1</v>
      </c>
      <c r="K46" t="n">
        <v>0</v>
      </c>
      <c r="L46" t="n">
        <v>0</v>
      </c>
      <c r="M46" t="n">
        <v>0</v>
      </c>
      <c r="N46" t="n">
        <v>0</v>
      </c>
      <c r="O46" t="n">
        <v>1</v>
      </c>
      <c r="P46" t="n">
        <v>0</v>
      </c>
      <c r="Q46" t="n">
        <v>2</v>
      </c>
      <c r="R46" s="2" t="inlineStr">
        <is>
          <t>Svartvit flugsnappare
Enkelbeckasin</t>
        </is>
      </c>
      <c r="S46">
        <f>HYPERLINK("https://klasma.github.io/Logging_1880/artfynd/A 34578-2022 artfynd.xlsx", "A 34578-2022")</f>
        <v/>
      </c>
      <c r="T46">
        <f>HYPERLINK("https://klasma.github.io/Logging_1880/kartor/A 34578-2022 karta.png", "A 34578-2022")</f>
        <v/>
      </c>
      <c r="V46">
        <f>HYPERLINK("https://klasma.github.io/Logging_1880/klagomål/A 34578-2022 FSC-klagomål.docx", "A 34578-2022")</f>
        <v/>
      </c>
      <c r="W46">
        <f>HYPERLINK("https://klasma.github.io/Logging_1880/klagomålsmail/A 34578-2022 FSC-klagomål mail.docx", "A 34578-2022")</f>
        <v/>
      </c>
      <c r="X46">
        <f>HYPERLINK("https://klasma.github.io/Logging_1880/tillsyn/A 34578-2022 tillsynsbegäran.docx", "A 34578-2022")</f>
        <v/>
      </c>
      <c r="Y46">
        <f>HYPERLINK("https://klasma.github.io/Logging_1880/tillsynsmail/A 34578-2022 tillsynsbegäran mail.docx", "A 34578-2022")</f>
        <v/>
      </c>
      <c r="Z46">
        <f>HYPERLINK("https://klasma.github.io/Logging_1880/fåglar/A 34578-2022 prioriterade fågelarter.docx", "A 34578-2022")</f>
        <v/>
      </c>
    </row>
    <row r="47" ht="15" customHeight="1">
      <c r="A47" t="inlineStr">
        <is>
          <t>A 49552-2022</t>
        </is>
      </c>
      <c r="B47" s="1" t="n">
        <v>44862</v>
      </c>
      <c r="C47" s="1" t="n">
        <v>45645</v>
      </c>
      <c r="D47" t="inlineStr">
        <is>
          <t>ÖREBRO LÄN</t>
        </is>
      </c>
      <c r="E47" t="inlineStr">
        <is>
          <t>ÖREBRO</t>
        </is>
      </c>
      <c r="G47" t="n">
        <v>2.1</v>
      </c>
      <c r="H47" t="n">
        <v>0</v>
      </c>
      <c r="I47" t="n">
        <v>0</v>
      </c>
      <c r="J47" t="n">
        <v>1</v>
      </c>
      <c r="K47" t="n">
        <v>1</v>
      </c>
      <c r="L47" t="n">
        <v>0</v>
      </c>
      <c r="M47" t="n">
        <v>0</v>
      </c>
      <c r="N47" t="n">
        <v>0</v>
      </c>
      <c r="O47" t="n">
        <v>2</v>
      </c>
      <c r="P47" t="n">
        <v>1</v>
      </c>
      <c r="Q47" t="n">
        <v>2</v>
      </c>
      <c r="R47" s="2" t="inlineStr">
        <is>
          <t>Ulltickeporing
Ullticka</t>
        </is>
      </c>
      <c r="S47">
        <f>HYPERLINK("https://klasma.github.io/Logging_1880/artfynd/A 49552-2022 artfynd.xlsx", "A 49552-2022")</f>
        <v/>
      </c>
      <c r="T47">
        <f>HYPERLINK("https://klasma.github.io/Logging_1880/kartor/A 49552-2022 karta.png", "A 49552-2022")</f>
        <v/>
      </c>
      <c r="V47">
        <f>HYPERLINK("https://klasma.github.io/Logging_1880/klagomål/A 49552-2022 FSC-klagomål.docx", "A 49552-2022")</f>
        <v/>
      </c>
      <c r="W47">
        <f>HYPERLINK("https://klasma.github.io/Logging_1880/klagomålsmail/A 49552-2022 FSC-klagomål mail.docx", "A 49552-2022")</f>
        <v/>
      </c>
      <c r="X47">
        <f>HYPERLINK("https://klasma.github.io/Logging_1880/tillsyn/A 49552-2022 tillsynsbegäran.docx", "A 49552-2022")</f>
        <v/>
      </c>
      <c r="Y47">
        <f>HYPERLINK("https://klasma.github.io/Logging_1880/tillsynsmail/A 49552-2022 tillsynsbegäran mail.docx", "A 49552-2022")</f>
        <v/>
      </c>
    </row>
    <row r="48" ht="15" customHeight="1">
      <c r="A48" t="inlineStr">
        <is>
          <t>A 31234-2023</t>
        </is>
      </c>
      <c r="B48" s="1" t="n">
        <v>45114</v>
      </c>
      <c r="C48" s="1" t="n">
        <v>45645</v>
      </c>
      <c r="D48" t="inlineStr">
        <is>
          <t>ÖREBRO LÄN</t>
        </is>
      </c>
      <c r="E48" t="inlineStr">
        <is>
          <t>ÖREBRO</t>
        </is>
      </c>
      <c r="F48" t="inlineStr">
        <is>
          <t>Allmännings- och besparingsskogar</t>
        </is>
      </c>
      <c r="G48" t="n">
        <v>30.5</v>
      </c>
      <c r="H48" t="n">
        <v>2</v>
      </c>
      <c r="I48" t="n">
        <v>0</v>
      </c>
      <c r="J48" t="n">
        <v>2</v>
      </c>
      <c r="K48" t="n">
        <v>0</v>
      </c>
      <c r="L48" t="n">
        <v>0</v>
      </c>
      <c r="M48" t="n">
        <v>0</v>
      </c>
      <c r="N48" t="n">
        <v>0</v>
      </c>
      <c r="O48" t="n">
        <v>2</v>
      </c>
      <c r="P48" t="n">
        <v>0</v>
      </c>
      <c r="Q48" t="n">
        <v>2</v>
      </c>
      <c r="R48" s="2" t="inlineStr">
        <is>
          <t>Havsörn
Spillkråka</t>
        </is>
      </c>
      <c r="S48">
        <f>HYPERLINK("https://klasma.github.io/Logging_1880/artfynd/A 31234-2023 artfynd.xlsx", "A 31234-2023")</f>
        <v/>
      </c>
      <c r="T48">
        <f>HYPERLINK("https://klasma.github.io/Logging_1880/kartor/A 31234-2023 karta.png", "A 31234-2023")</f>
        <v/>
      </c>
      <c r="V48">
        <f>HYPERLINK("https://klasma.github.io/Logging_1880/klagomål/A 31234-2023 FSC-klagomål.docx", "A 31234-2023")</f>
        <v/>
      </c>
      <c r="W48">
        <f>HYPERLINK("https://klasma.github.io/Logging_1880/klagomålsmail/A 31234-2023 FSC-klagomål mail.docx", "A 31234-2023")</f>
        <v/>
      </c>
      <c r="X48">
        <f>HYPERLINK("https://klasma.github.io/Logging_1880/tillsyn/A 31234-2023 tillsynsbegäran.docx", "A 31234-2023")</f>
        <v/>
      </c>
      <c r="Y48">
        <f>HYPERLINK("https://klasma.github.io/Logging_1880/tillsynsmail/A 31234-2023 tillsynsbegäran mail.docx", "A 31234-2023")</f>
        <v/>
      </c>
      <c r="Z48">
        <f>HYPERLINK("https://klasma.github.io/Logging_1880/fåglar/A 31234-2023 prioriterade fågelarter.docx", "A 31234-2023")</f>
        <v/>
      </c>
    </row>
    <row r="49" ht="15" customHeight="1">
      <c r="A49" t="inlineStr">
        <is>
          <t>A 587-2024</t>
        </is>
      </c>
      <c r="B49" s="1" t="n">
        <v>45299</v>
      </c>
      <c r="C49" s="1" t="n">
        <v>45645</v>
      </c>
      <c r="D49" t="inlineStr">
        <is>
          <t>ÖREBRO LÄN</t>
        </is>
      </c>
      <c r="E49" t="inlineStr">
        <is>
          <t>ÖREBRO</t>
        </is>
      </c>
      <c r="F49" t="inlineStr">
        <is>
          <t>Övriga Aktiebolag</t>
        </is>
      </c>
      <c r="G49" t="n">
        <v>6.4</v>
      </c>
      <c r="H49" t="n">
        <v>2</v>
      </c>
      <c r="I49" t="n">
        <v>0</v>
      </c>
      <c r="J49" t="n">
        <v>2</v>
      </c>
      <c r="K49" t="n">
        <v>0</v>
      </c>
      <c r="L49" t="n">
        <v>0</v>
      </c>
      <c r="M49" t="n">
        <v>0</v>
      </c>
      <c r="N49" t="n">
        <v>0</v>
      </c>
      <c r="O49" t="n">
        <v>2</v>
      </c>
      <c r="P49" t="n">
        <v>0</v>
      </c>
      <c r="Q49" t="n">
        <v>2</v>
      </c>
      <c r="R49" s="2" t="inlineStr">
        <is>
          <t>Rödvingetrast
Spillkråka</t>
        </is>
      </c>
      <c r="S49">
        <f>HYPERLINK("https://klasma.github.io/Logging_1880/artfynd/A 587-2024 artfynd.xlsx", "A 587-2024")</f>
        <v/>
      </c>
      <c r="T49">
        <f>HYPERLINK("https://klasma.github.io/Logging_1880/kartor/A 587-2024 karta.png", "A 587-2024")</f>
        <v/>
      </c>
      <c r="V49">
        <f>HYPERLINK("https://klasma.github.io/Logging_1880/klagomål/A 587-2024 FSC-klagomål.docx", "A 587-2024")</f>
        <v/>
      </c>
      <c r="W49">
        <f>HYPERLINK("https://klasma.github.io/Logging_1880/klagomålsmail/A 587-2024 FSC-klagomål mail.docx", "A 587-2024")</f>
        <v/>
      </c>
      <c r="X49">
        <f>HYPERLINK("https://klasma.github.io/Logging_1880/tillsyn/A 587-2024 tillsynsbegäran.docx", "A 587-2024")</f>
        <v/>
      </c>
      <c r="Y49">
        <f>HYPERLINK("https://klasma.github.io/Logging_1880/tillsynsmail/A 587-2024 tillsynsbegäran mail.docx", "A 587-2024")</f>
        <v/>
      </c>
      <c r="Z49">
        <f>HYPERLINK("https://klasma.github.io/Logging_1880/fåglar/A 587-2024 prioriterade fågelarter.docx", "A 587-2024")</f>
        <v/>
      </c>
    </row>
    <row r="50" ht="15" customHeight="1">
      <c r="A50" t="inlineStr">
        <is>
          <t>A 7608-2024</t>
        </is>
      </c>
      <c r="B50" s="1" t="n">
        <v>45348</v>
      </c>
      <c r="C50" s="1" t="n">
        <v>45645</v>
      </c>
      <c r="D50" t="inlineStr">
        <is>
          <t>ÖREBRO LÄN</t>
        </is>
      </c>
      <c r="E50" t="inlineStr">
        <is>
          <t>ÖREBRO</t>
        </is>
      </c>
      <c r="G50" t="n">
        <v>4.3</v>
      </c>
      <c r="H50" t="n">
        <v>2</v>
      </c>
      <c r="I50" t="n">
        <v>0</v>
      </c>
      <c r="J50" t="n">
        <v>1</v>
      </c>
      <c r="K50" t="n">
        <v>1</v>
      </c>
      <c r="L50" t="n">
        <v>0</v>
      </c>
      <c r="M50" t="n">
        <v>0</v>
      </c>
      <c r="N50" t="n">
        <v>0</v>
      </c>
      <c r="O50" t="n">
        <v>2</v>
      </c>
      <c r="P50" t="n">
        <v>1</v>
      </c>
      <c r="Q50" t="n">
        <v>2</v>
      </c>
      <c r="R50" s="2" t="inlineStr">
        <is>
          <t>Knärot
Spillkråka</t>
        </is>
      </c>
      <c r="S50">
        <f>HYPERLINK("https://klasma.github.io/Logging_1880/artfynd/A 7608-2024 artfynd.xlsx", "A 7608-2024")</f>
        <v/>
      </c>
      <c r="T50">
        <f>HYPERLINK("https://klasma.github.io/Logging_1880/kartor/A 7608-2024 karta.png", "A 7608-2024")</f>
        <v/>
      </c>
      <c r="U50">
        <f>HYPERLINK("https://klasma.github.io/Logging_1880/knärot/A 7608-2024 karta knärot.png", "A 7608-2024")</f>
        <v/>
      </c>
      <c r="V50">
        <f>HYPERLINK("https://klasma.github.io/Logging_1880/klagomål/A 7608-2024 FSC-klagomål.docx", "A 7608-2024")</f>
        <v/>
      </c>
      <c r="W50">
        <f>HYPERLINK("https://klasma.github.io/Logging_1880/klagomålsmail/A 7608-2024 FSC-klagomål mail.docx", "A 7608-2024")</f>
        <v/>
      </c>
      <c r="X50">
        <f>HYPERLINK("https://klasma.github.io/Logging_1880/tillsyn/A 7608-2024 tillsynsbegäran.docx", "A 7608-2024")</f>
        <v/>
      </c>
      <c r="Y50">
        <f>HYPERLINK("https://klasma.github.io/Logging_1880/tillsynsmail/A 7608-2024 tillsynsbegäran mail.docx", "A 7608-2024")</f>
        <v/>
      </c>
      <c r="Z50">
        <f>HYPERLINK("https://klasma.github.io/Logging_1880/fåglar/A 7608-2024 prioriterade fågelarter.docx", "A 7608-2024")</f>
        <v/>
      </c>
    </row>
    <row r="51" ht="15" customHeight="1">
      <c r="A51" t="inlineStr">
        <is>
          <t>A 22577-2024</t>
        </is>
      </c>
      <c r="B51" s="1" t="n">
        <v>45447</v>
      </c>
      <c r="C51" s="1" t="n">
        <v>45645</v>
      </c>
      <c r="D51" t="inlineStr">
        <is>
          <t>ÖREBRO LÄN</t>
        </is>
      </c>
      <c r="E51" t="inlineStr">
        <is>
          <t>ÖREBRO</t>
        </is>
      </c>
      <c r="G51" t="n">
        <v>1.8</v>
      </c>
      <c r="H51" t="n">
        <v>1</v>
      </c>
      <c r="I51" t="n">
        <v>0</v>
      </c>
      <c r="J51" t="n">
        <v>2</v>
      </c>
      <c r="K51" t="n">
        <v>0</v>
      </c>
      <c r="L51" t="n">
        <v>0</v>
      </c>
      <c r="M51" t="n">
        <v>0</v>
      </c>
      <c r="N51" t="n">
        <v>0</v>
      </c>
      <c r="O51" t="n">
        <v>2</v>
      </c>
      <c r="P51" t="n">
        <v>0</v>
      </c>
      <c r="Q51" t="n">
        <v>2</v>
      </c>
      <c r="R51" s="2" t="inlineStr">
        <is>
          <t>Spillkråka
Ullticka</t>
        </is>
      </c>
      <c r="S51">
        <f>HYPERLINK("https://klasma.github.io/Logging_1880/artfynd/A 22577-2024 artfynd.xlsx", "A 22577-2024")</f>
        <v/>
      </c>
      <c r="T51">
        <f>HYPERLINK("https://klasma.github.io/Logging_1880/kartor/A 22577-2024 karta.png", "A 22577-2024")</f>
        <v/>
      </c>
      <c r="V51">
        <f>HYPERLINK("https://klasma.github.io/Logging_1880/klagomål/A 22577-2024 FSC-klagomål.docx", "A 22577-2024")</f>
        <v/>
      </c>
      <c r="W51">
        <f>HYPERLINK("https://klasma.github.io/Logging_1880/klagomålsmail/A 22577-2024 FSC-klagomål mail.docx", "A 22577-2024")</f>
        <v/>
      </c>
      <c r="X51">
        <f>HYPERLINK("https://klasma.github.io/Logging_1880/tillsyn/A 22577-2024 tillsynsbegäran.docx", "A 22577-2024")</f>
        <v/>
      </c>
      <c r="Y51">
        <f>HYPERLINK("https://klasma.github.io/Logging_1880/tillsynsmail/A 22577-2024 tillsynsbegäran mail.docx", "A 22577-2024")</f>
        <v/>
      </c>
      <c r="Z51">
        <f>HYPERLINK("https://klasma.github.io/Logging_1880/fåglar/A 22577-2024 prioriterade fågelarter.docx", "A 22577-2024")</f>
        <v/>
      </c>
    </row>
    <row r="52" ht="15" customHeight="1">
      <c r="A52" t="inlineStr">
        <is>
          <t>A 52400-2024</t>
        </is>
      </c>
      <c r="B52" s="1" t="n">
        <v>45609</v>
      </c>
      <c r="C52" s="1" t="n">
        <v>45645</v>
      </c>
      <c r="D52" t="inlineStr">
        <is>
          <t>ÖREBRO LÄN</t>
        </is>
      </c>
      <c r="E52" t="inlineStr">
        <is>
          <t>ÖREBRO</t>
        </is>
      </c>
      <c r="F52" t="inlineStr">
        <is>
          <t>Sveaskog</t>
        </is>
      </c>
      <c r="G52" t="n">
        <v>7</v>
      </c>
      <c r="H52" t="n">
        <v>2</v>
      </c>
      <c r="I52" t="n">
        <v>0</v>
      </c>
      <c r="J52" t="n">
        <v>0</v>
      </c>
      <c r="K52" t="n">
        <v>1</v>
      </c>
      <c r="L52" t="n">
        <v>0</v>
      </c>
      <c r="M52" t="n">
        <v>0</v>
      </c>
      <c r="N52" t="n">
        <v>0</v>
      </c>
      <c r="O52" t="n">
        <v>1</v>
      </c>
      <c r="P52" t="n">
        <v>1</v>
      </c>
      <c r="Q52" t="n">
        <v>2</v>
      </c>
      <c r="R52" s="2" t="inlineStr">
        <is>
          <t>Väddnätfjäril
Grönvit nattviol</t>
        </is>
      </c>
      <c r="S52">
        <f>HYPERLINK("https://klasma.github.io/Logging_1880/artfynd/A 52400-2024 artfynd.xlsx", "A 52400-2024")</f>
        <v/>
      </c>
      <c r="T52">
        <f>HYPERLINK("https://klasma.github.io/Logging_1880/kartor/A 52400-2024 karta.png", "A 52400-2024")</f>
        <v/>
      </c>
      <c r="V52">
        <f>HYPERLINK("https://klasma.github.io/Logging_1880/klagomål/A 52400-2024 FSC-klagomål.docx", "A 52400-2024")</f>
        <v/>
      </c>
      <c r="W52">
        <f>HYPERLINK("https://klasma.github.io/Logging_1880/klagomålsmail/A 52400-2024 FSC-klagomål mail.docx", "A 52400-2024")</f>
        <v/>
      </c>
      <c r="X52">
        <f>HYPERLINK("https://klasma.github.io/Logging_1880/tillsyn/A 52400-2024 tillsynsbegäran.docx", "A 52400-2024")</f>
        <v/>
      </c>
      <c r="Y52">
        <f>HYPERLINK("https://klasma.github.io/Logging_1880/tillsynsmail/A 52400-2024 tillsynsbegäran mail.docx", "A 52400-2024")</f>
        <v/>
      </c>
    </row>
    <row r="53" ht="15" customHeight="1">
      <c r="A53" t="inlineStr">
        <is>
          <t>A 32410-2019</t>
        </is>
      </c>
      <c r="B53" s="1" t="n">
        <v>43644</v>
      </c>
      <c r="C53" s="1" t="n">
        <v>45645</v>
      </c>
      <c r="D53" t="inlineStr">
        <is>
          <t>ÖREBRO LÄN</t>
        </is>
      </c>
      <c r="E53" t="inlineStr">
        <is>
          <t>ÖREBRO</t>
        </is>
      </c>
      <c r="G53" t="n">
        <v>1.1</v>
      </c>
      <c r="H53" t="n">
        <v>1</v>
      </c>
      <c r="I53" t="n">
        <v>0</v>
      </c>
      <c r="J53" t="n">
        <v>0</v>
      </c>
      <c r="K53" t="n">
        <v>0</v>
      </c>
      <c r="L53" t="n">
        <v>0</v>
      </c>
      <c r="M53" t="n">
        <v>0</v>
      </c>
      <c r="N53" t="n">
        <v>0</v>
      </c>
      <c r="O53" t="n">
        <v>0</v>
      </c>
      <c r="P53" t="n">
        <v>0</v>
      </c>
      <c r="Q53" t="n">
        <v>1</v>
      </c>
      <c r="R53" s="2" t="inlineStr">
        <is>
          <t>Grönsiska</t>
        </is>
      </c>
      <c r="S53">
        <f>HYPERLINK("https://klasma.github.io/Logging_1880/artfynd/A 32410-2019 artfynd.xlsx", "A 32410-2019")</f>
        <v/>
      </c>
      <c r="T53">
        <f>HYPERLINK("https://klasma.github.io/Logging_1880/kartor/A 32410-2019 karta.png", "A 32410-2019")</f>
        <v/>
      </c>
      <c r="V53">
        <f>HYPERLINK("https://klasma.github.io/Logging_1880/klagomål/A 32410-2019 FSC-klagomål.docx", "A 32410-2019")</f>
        <v/>
      </c>
      <c r="W53">
        <f>HYPERLINK("https://klasma.github.io/Logging_1880/klagomålsmail/A 32410-2019 FSC-klagomål mail.docx", "A 32410-2019")</f>
        <v/>
      </c>
      <c r="X53">
        <f>HYPERLINK("https://klasma.github.io/Logging_1880/tillsyn/A 32410-2019 tillsynsbegäran.docx", "A 32410-2019")</f>
        <v/>
      </c>
      <c r="Y53">
        <f>HYPERLINK("https://klasma.github.io/Logging_1880/tillsynsmail/A 32410-2019 tillsynsbegäran mail.docx", "A 32410-2019")</f>
        <v/>
      </c>
      <c r="Z53">
        <f>HYPERLINK("https://klasma.github.io/Logging_1880/fåglar/A 32410-2019 prioriterade fågelarter.docx", "A 32410-2019")</f>
        <v/>
      </c>
    </row>
    <row r="54" ht="15" customHeight="1">
      <c r="A54" t="inlineStr">
        <is>
          <t>A 33605-2019</t>
        </is>
      </c>
      <c r="B54" s="1" t="n">
        <v>43644</v>
      </c>
      <c r="C54" s="1" t="n">
        <v>45645</v>
      </c>
      <c r="D54" t="inlineStr">
        <is>
          <t>ÖREBRO LÄN</t>
        </is>
      </c>
      <c r="E54" t="inlineStr">
        <is>
          <t>ÖREBRO</t>
        </is>
      </c>
      <c r="F54" t="inlineStr">
        <is>
          <t>Kommuner</t>
        </is>
      </c>
      <c r="G54" t="n">
        <v>1.5</v>
      </c>
      <c r="H54" t="n">
        <v>0</v>
      </c>
      <c r="I54" t="n">
        <v>0</v>
      </c>
      <c r="J54" t="n">
        <v>1</v>
      </c>
      <c r="K54" t="n">
        <v>0</v>
      </c>
      <c r="L54" t="n">
        <v>0</v>
      </c>
      <c r="M54" t="n">
        <v>0</v>
      </c>
      <c r="N54" t="n">
        <v>0</v>
      </c>
      <c r="O54" t="n">
        <v>1</v>
      </c>
      <c r="P54" t="n">
        <v>0</v>
      </c>
      <c r="Q54" t="n">
        <v>1</v>
      </c>
      <c r="R54" s="2" t="inlineStr">
        <is>
          <t>Tallticka</t>
        </is>
      </c>
      <c r="S54">
        <f>HYPERLINK("https://klasma.github.io/Logging_1880/artfynd/A 33605-2019 artfynd.xlsx", "A 33605-2019")</f>
        <v/>
      </c>
      <c r="T54">
        <f>HYPERLINK("https://klasma.github.io/Logging_1880/kartor/A 33605-2019 karta.png", "A 33605-2019")</f>
        <v/>
      </c>
      <c r="V54">
        <f>HYPERLINK("https://klasma.github.io/Logging_1880/klagomål/A 33605-2019 FSC-klagomål.docx", "A 33605-2019")</f>
        <v/>
      </c>
      <c r="W54">
        <f>HYPERLINK("https://klasma.github.io/Logging_1880/klagomålsmail/A 33605-2019 FSC-klagomål mail.docx", "A 33605-2019")</f>
        <v/>
      </c>
      <c r="X54">
        <f>HYPERLINK("https://klasma.github.io/Logging_1880/tillsyn/A 33605-2019 tillsynsbegäran.docx", "A 33605-2019")</f>
        <v/>
      </c>
      <c r="Y54">
        <f>HYPERLINK("https://klasma.github.io/Logging_1880/tillsynsmail/A 33605-2019 tillsynsbegäran mail.docx", "A 33605-2019")</f>
        <v/>
      </c>
    </row>
    <row r="55" ht="15" customHeight="1">
      <c r="A55" t="inlineStr">
        <is>
          <t>A 41505-2019</t>
        </is>
      </c>
      <c r="B55" s="1" t="n">
        <v>43696</v>
      </c>
      <c r="C55" s="1" t="n">
        <v>45645</v>
      </c>
      <c r="D55" t="inlineStr">
        <is>
          <t>ÖREBRO LÄN</t>
        </is>
      </c>
      <c r="E55" t="inlineStr">
        <is>
          <t>ÖREBRO</t>
        </is>
      </c>
      <c r="F55" t="inlineStr">
        <is>
          <t>Kommuner</t>
        </is>
      </c>
      <c r="G55" t="n">
        <v>2.9</v>
      </c>
      <c r="H55" t="n">
        <v>0</v>
      </c>
      <c r="I55" t="n">
        <v>0</v>
      </c>
      <c r="J55" t="n">
        <v>1</v>
      </c>
      <c r="K55" t="n">
        <v>0</v>
      </c>
      <c r="L55" t="n">
        <v>0</v>
      </c>
      <c r="M55" t="n">
        <v>0</v>
      </c>
      <c r="N55" t="n">
        <v>0</v>
      </c>
      <c r="O55" t="n">
        <v>1</v>
      </c>
      <c r="P55" t="n">
        <v>0</v>
      </c>
      <c r="Q55" t="n">
        <v>1</v>
      </c>
      <c r="R55" s="2" t="inlineStr">
        <is>
          <t>Tallticka</t>
        </is>
      </c>
      <c r="S55">
        <f>HYPERLINK("https://klasma.github.io/Logging_1880/artfynd/A 41505-2019 artfynd.xlsx", "A 41505-2019")</f>
        <v/>
      </c>
      <c r="T55">
        <f>HYPERLINK("https://klasma.github.io/Logging_1880/kartor/A 41505-2019 karta.png", "A 41505-2019")</f>
        <v/>
      </c>
      <c r="V55">
        <f>HYPERLINK("https://klasma.github.io/Logging_1880/klagomål/A 41505-2019 FSC-klagomål.docx", "A 41505-2019")</f>
        <v/>
      </c>
      <c r="W55">
        <f>HYPERLINK("https://klasma.github.io/Logging_1880/klagomålsmail/A 41505-2019 FSC-klagomål mail.docx", "A 41505-2019")</f>
        <v/>
      </c>
      <c r="X55">
        <f>HYPERLINK("https://klasma.github.io/Logging_1880/tillsyn/A 41505-2019 tillsynsbegäran.docx", "A 41505-2019")</f>
        <v/>
      </c>
      <c r="Y55">
        <f>HYPERLINK("https://klasma.github.io/Logging_1880/tillsynsmail/A 41505-2019 tillsynsbegäran mail.docx", "A 41505-2019")</f>
        <v/>
      </c>
    </row>
    <row r="56" ht="15" customHeight="1">
      <c r="A56" t="inlineStr">
        <is>
          <t>A 48989-2019</t>
        </is>
      </c>
      <c r="B56" s="1" t="n">
        <v>43729</v>
      </c>
      <c r="C56" s="1" t="n">
        <v>45645</v>
      </c>
      <c r="D56" t="inlineStr">
        <is>
          <t>ÖREBRO LÄN</t>
        </is>
      </c>
      <c r="E56" t="inlineStr">
        <is>
          <t>ÖREBRO</t>
        </is>
      </c>
      <c r="G56" t="n">
        <v>3.8</v>
      </c>
      <c r="H56" t="n">
        <v>1</v>
      </c>
      <c r="I56" t="n">
        <v>0</v>
      </c>
      <c r="J56" t="n">
        <v>1</v>
      </c>
      <c r="K56" t="n">
        <v>0</v>
      </c>
      <c r="L56" t="n">
        <v>0</v>
      </c>
      <c r="M56" t="n">
        <v>0</v>
      </c>
      <c r="N56" t="n">
        <v>0</v>
      </c>
      <c r="O56" t="n">
        <v>1</v>
      </c>
      <c r="P56" t="n">
        <v>0</v>
      </c>
      <c r="Q56" t="n">
        <v>1</v>
      </c>
      <c r="R56" s="2" t="inlineStr">
        <is>
          <t>Havsörn</t>
        </is>
      </c>
      <c r="S56">
        <f>HYPERLINK("https://klasma.github.io/Logging_1880/artfynd/A 48989-2019 artfynd.xlsx", "A 48989-2019")</f>
        <v/>
      </c>
      <c r="T56">
        <f>HYPERLINK("https://klasma.github.io/Logging_1880/kartor/A 48989-2019 karta.png", "A 48989-2019")</f>
        <v/>
      </c>
      <c r="V56">
        <f>HYPERLINK("https://klasma.github.io/Logging_1880/klagomål/A 48989-2019 FSC-klagomål.docx", "A 48989-2019")</f>
        <v/>
      </c>
      <c r="W56">
        <f>HYPERLINK("https://klasma.github.io/Logging_1880/klagomålsmail/A 48989-2019 FSC-klagomål mail.docx", "A 48989-2019")</f>
        <v/>
      </c>
      <c r="X56">
        <f>HYPERLINK("https://klasma.github.io/Logging_1880/tillsyn/A 48989-2019 tillsynsbegäran.docx", "A 48989-2019")</f>
        <v/>
      </c>
      <c r="Y56">
        <f>HYPERLINK("https://klasma.github.io/Logging_1880/tillsynsmail/A 48989-2019 tillsynsbegäran mail.docx", "A 48989-2019")</f>
        <v/>
      </c>
      <c r="Z56">
        <f>HYPERLINK("https://klasma.github.io/Logging_1880/fåglar/A 48989-2019 prioriterade fågelarter.docx", "A 48989-2019")</f>
        <v/>
      </c>
    </row>
    <row r="57" ht="15" customHeight="1">
      <c r="A57" t="inlineStr">
        <is>
          <t>A 1512-2020</t>
        </is>
      </c>
      <c r="B57" s="1" t="n">
        <v>43826</v>
      </c>
      <c r="C57" s="1" t="n">
        <v>45645</v>
      </c>
      <c r="D57" t="inlineStr">
        <is>
          <t>ÖREBRO LÄN</t>
        </is>
      </c>
      <c r="E57" t="inlineStr">
        <is>
          <t>ÖREBRO</t>
        </is>
      </c>
      <c r="G57" t="n">
        <v>6</v>
      </c>
      <c r="H57" t="n">
        <v>1</v>
      </c>
      <c r="I57" t="n">
        <v>0</v>
      </c>
      <c r="J57" t="n">
        <v>0</v>
      </c>
      <c r="K57" t="n">
        <v>0</v>
      </c>
      <c r="L57" t="n">
        <v>0</v>
      </c>
      <c r="M57" t="n">
        <v>0</v>
      </c>
      <c r="N57" t="n">
        <v>0</v>
      </c>
      <c r="O57" t="n">
        <v>0</v>
      </c>
      <c r="P57" t="n">
        <v>0</v>
      </c>
      <c r="Q57" t="n">
        <v>1</v>
      </c>
      <c r="R57" s="2" t="inlineStr">
        <is>
          <t>Revlummer</t>
        </is>
      </c>
      <c r="S57">
        <f>HYPERLINK("https://klasma.github.io/Logging_1880/artfynd/A 1512-2020 artfynd.xlsx", "A 1512-2020")</f>
        <v/>
      </c>
      <c r="T57">
        <f>HYPERLINK("https://klasma.github.io/Logging_1880/kartor/A 1512-2020 karta.png", "A 1512-2020")</f>
        <v/>
      </c>
      <c r="V57">
        <f>HYPERLINK("https://klasma.github.io/Logging_1880/klagomål/A 1512-2020 FSC-klagomål.docx", "A 1512-2020")</f>
        <v/>
      </c>
      <c r="W57">
        <f>HYPERLINK("https://klasma.github.io/Logging_1880/klagomålsmail/A 1512-2020 FSC-klagomål mail.docx", "A 1512-2020")</f>
        <v/>
      </c>
      <c r="X57">
        <f>HYPERLINK("https://klasma.github.io/Logging_1880/tillsyn/A 1512-2020 tillsynsbegäran.docx", "A 1512-2020")</f>
        <v/>
      </c>
      <c r="Y57">
        <f>HYPERLINK("https://klasma.github.io/Logging_1880/tillsynsmail/A 1512-2020 tillsynsbegäran mail.docx", "A 1512-2020")</f>
        <v/>
      </c>
    </row>
    <row r="58" ht="15" customHeight="1">
      <c r="A58" t="inlineStr">
        <is>
          <t>A 2697-2020</t>
        </is>
      </c>
      <c r="B58" s="1" t="n">
        <v>43843</v>
      </c>
      <c r="C58" s="1" t="n">
        <v>45645</v>
      </c>
      <c r="D58" t="inlineStr">
        <is>
          <t>ÖREBRO LÄN</t>
        </is>
      </c>
      <c r="E58" t="inlineStr">
        <is>
          <t>ÖREBRO</t>
        </is>
      </c>
      <c r="G58" t="n">
        <v>5</v>
      </c>
      <c r="H58" t="n">
        <v>0</v>
      </c>
      <c r="I58" t="n">
        <v>1</v>
      </c>
      <c r="J58" t="n">
        <v>0</v>
      </c>
      <c r="K58" t="n">
        <v>0</v>
      </c>
      <c r="L58" t="n">
        <v>0</v>
      </c>
      <c r="M58" t="n">
        <v>0</v>
      </c>
      <c r="N58" t="n">
        <v>0</v>
      </c>
      <c r="O58" t="n">
        <v>0</v>
      </c>
      <c r="P58" t="n">
        <v>0</v>
      </c>
      <c r="Q58" t="n">
        <v>1</v>
      </c>
      <c r="R58" s="2" t="inlineStr">
        <is>
          <t>Springkorn</t>
        </is>
      </c>
      <c r="S58">
        <f>HYPERLINK("https://klasma.github.io/Logging_1880/artfynd/A 2697-2020 artfynd.xlsx", "A 2697-2020")</f>
        <v/>
      </c>
      <c r="T58">
        <f>HYPERLINK("https://klasma.github.io/Logging_1880/kartor/A 2697-2020 karta.png", "A 2697-2020")</f>
        <v/>
      </c>
      <c r="V58">
        <f>HYPERLINK("https://klasma.github.io/Logging_1880/klagomål/A 2697-2020 FSC-klagomål.docx", "A 2697-2020")</f>
        <v/>
      </c>
      <c r="W58">
        <f>HYPERLINK("https://klasma.github.io/Logging_1880/klagomålsmail/A 2697-2020 FSC-klagomål mail.docx", "A 2697-2020")</f>
        <v/>
      </c>
      <c r="X58">
        <f>HYPERLINK("https://klasma.github.io/Logging_1880/tillsyn/A 2697-2020 tillsynsbegäran.docx", "A 2697-2020")</f>
        <v/>
      </c>
      <c r="Y58">
        <f>HYPERLINK("https://klasma.github.io/Logging_1880/tillsynsmail/A 2697-2020 tillsynsbegäran mail.docx", "A 2697-2020")</f>
        <v/>
      </c>
    </row>
    <row r="59" ht="15" customHeight="1">
      <c r="A59" t="inlineStr">
        <is>
          <t>A 1571-2020</t>
        </is>
      </c>
      <c r="B59" s="1" t="n">
        <v>43844</v>
      </c>
      <c r="C59" s="1" t="n">
        <v>45645</v>
      </c>
      <c r="D59" t="inlineStr">
        <is>
          <t>ÖREBRO LÄN</t>
        </is>
      </c>
      <c r="E59" t="inlineStr">
        <is>
          <t>ÖREBRO</t>
        </is>
      </c>
      <c r="G59" t="n">
        <v>2</v>
      </c>
      <c r="H59" t="n">
        <v>0</v>
      </c>
      <c r="I59" t="n">
        <v>0</v>
      </c>
      <c r="J59" t="n">
        <v>1</v>
      </c>
      <c r="K59" t="n">
        <v>0</v>
      </c>
      <c r="L59" t="n">
        <v>0</v>
      </c>
      <c r="M59" t="n">
        <v>0</v>
      </c>
      <c r="N59" t="n">
        <v>0</v>
      </c>
      <c r="O59" t="n">
        <v>1</v>
      </c>
      <c r="P59" t="n">
        <v>0</v>
      </c>
      <c r="Q59" t="n">
        <v>1</v>
      </c>
      <c r="R59" s="2" t="inlineStr">
        <is>
          <t>Ullticka</t>
        </is>
      </c>
      <c r="S59">
        <f>HYPERLINK("https://klasma.github.io/Logging_1880/artfynd/A 1571-2020 artfynd.xlsx", "A 1571-2020")</f>
        <v/>
      </c>
      <c r="T59">
        <f>HYPERLINK("https://klasma.github.io/Logging_1880/kartor/A 1571-2020 karta.png", "A 1571-2020")</f>
        <v/>
      </c>
      <c r="V59">
        <f>HYPERLINK("https://klasma.github.io/Logging_1880/klagomål/A 1571-2020 FSC-klagomål.docx", "A 1571-2020")</f>
        <v/>
      </c>
      <c r="W59">
        <f>HYPERLINK("https://klasma.github.io/Logging_1880/klagomålsmail/A 1571-2020 FSC-klagomål mail.docx", "A 1571-2020")</f>
        <v/>
      </c>
      <c r="X59">
        <f>HYPERLINK("https://klasma.github.io/Logging_1880/tillsyn/A 1571-2020 tillsynsbegäran.docx", "A 1571-2020")</f>
        <v/>
      </c>
      <c r="Y59">
        <f>HYPERLINK("https://klasma.github.io/Logging_1880/tillsynsmail/A 1571-2020 tillsynsbegäran mail.docx", "A 1571-2020")</f>
        <v/>
      </c>
    </row>
    <row r="60" ht="15" customHeight="1">
      <c r="A60" t="inlineStr">
        <is>
          <t>A 13831-2020</t>
        </is>
      </c>
      <c r="B60" s="1" t="n">
        <v>43905</v>
      </c>
      <c r="C60" s="1" t="n">
        <v>45645</v>
      </c>
      <c r="D60" t="inlineStr">
        <is>
          <t>ÖREBRO LÄN</t>
        </is>
      </c>
      <c r="E60" t="inlineStr">
        <is>
          <t>ÖREBRO</t>
        </is>
      </c>
      <c r="G60" t="n">
        <v>7.5</v>
      </c>
      <c r="H60" t="n">
        <v>0</v>
      </c>
      <c r="I60" t="n">
        <v>1</v>
      </c>
      <c r="J60" t="n">
        <v>0</v>
      </c>
      <c r="K60" t="n">
        <v>0</v>
      </c>
      <c r="L60" t="n">
        <v>0</v>
      </c>
      <c r="M60" t="n">
        <v>0</v>
      </c>
      <c r="N60" t="n">
        <v>0</v>
      </c>
      <c r="O60" t="n">
        <v>0</v>
      </c>
      <c r="P60" t="n">
        <v>0</v>
      </c>
      <c r="Q60" t="n">
        <v>1</v>
      </c>
      <c r="R60" s="2" t="inlineStr">
        <is>
          <t>Vätteros</t>
        </is>
      </c>
      <c r="S60">
        <f>HYPERLINK("https://klasma.github.io/Logging_1880/artfynd/A 13831-2020 artfynd.xlsx", "A 13831-2020")</f>
        <v/>
      </c>
      <c r="T60">
        <f>HYPERLINK("https://klasma.github.io/Logging_1880/kartor/A 13831-2020 karta.png", "A 13831-2020")</f>
        <v/>
      </c>
      <c r="V60">
        <f>HYPERLINK("https://klasma.github.io/Logging_1880/klagomål/A 13831-2020 FSC-klagomål.docx", "A 13831-2020")</f>
        <v/>
      </c>
      <c r="W60">
        <f>HYPERLINK("https://klasma.github.io/Logging_1880/klagomålsmail/A 13831-2020 FSC-klagomål mail.docx", "A 13831-2020")</f>
        <v/>
      </c>
      <c r="X60">
        <f>HYPERLINK("https://klasma.github.io/Logging_1880/tillsyn/A 13831-2020 tillsynsbegäran.docx", "A 13831-2020")</f>
        <v/>
      </c>
      <c r="Y60">
        <f>HYPERLINK("https://klasma.github.io/Logging_1880/tillsynsmail/A 13831-2020 tillsynsbegäran mail.docx", "A 13831-2020")</f>
        <v/>
      </c>
    </row>
    <row r="61" ht="15" customHeight="1">
      <c r="A61" t="inlineStr">
        <is>
          <t>A 25192-2020</t>
        </is>
      </c>
      <c r="B61" s="1" t="n">
        <v>43980</v>
      </c>
      <c r="C61" s="1" t="n">
        <v>45645</v>
      </c>
      <c r="D61" t="inlineStr">
        <is>
          <t>ÖREBRO LÄN</t>
        </is>
      </c>
      <c r="E61" t="inlineStr">
        <is>
          <t>ÖREBRO</t>
        </is>
      </c>
      <c r="F61" t="inlineStr">
        <is>
          <t>Övriga Aktiebolag</t>
        </is>
      </c>
      <c r="G61" t="n">
        <v>1.5</v>
      </c>
      <c r="H61" t="n">
        <v>1</v>
      </c>
      <c r="I61" t="n">
        <v>1</v>
      </c>
      <c r="J61" t="n">
        <v>0</v>
      </c>
      <c r="K61" t="n">
        <v>0</v>
      </c>
      <c r="L61" t="n">
        <v>0</v>
      </c>
      <c r="M61" t="n">
        <v>0</v>
      </c>
      <c r="N61" t="n">
        <v>0</v>
      </c>
      <c r="O61" t="n">
        <v>0</v>
      </c>
      <c r="P61" t="n">
        <v>0</v>
      </c>
      <c r="Q61" t="n">
        <v>1</v>
      </c>
      <c r="R61" s="2" t="inlineStr">
        <is>
          <t>Spindelblomster</t>
        </is>
      </c>
      <c r="S61">
        <f>HYPERLINK("https://klasma.github.io/Logging_1880/artfynd/A 25192-2020 artfynd.xlsx", "A 25192-2020")</f>
        <v/>
      </c>
      <c r="T61">
        <f>HYPERLINK("https://klasma.github.io/Logging_1880/kartor/A 25192-2020 karta.png", "A 25192-2020")</f>
        <v/>
      </c>
      <c r="V61">
        <f>HYPERLINK("https://klasma.github.io/Logging_1880/klagomål/A 25192-2020 FSC-klagomål.docx", "A 25192-2020")</f>
        <v/>
      </c>
      <c r="W61">
        <f>HYPERLINK("https://klasma.github.io/Logging_1880/klagomålsmail/A 25192-2020 FSC-klagomål mail.docx", "A 25192-2020")</f>
        <v/>
      </c>
      <c r="X61">
        <f>HYPERLINK("https://klasma.github.io/Logging_1880/tillsyn/A 25192-2020 tillsynsbegäran.docx", "A 25192-2020")</f>
        <v/>
      </c>
      <c r="Y61">
        <f>HYPERLINK("https://klasma.github.io/Logging_1880/tillsynsmail/A 25192-2020 tillsynsbegäran mail.docx", "A 25192-2020")</f>
        <v/>
      </c>
    </row>
    <row r="62" ht="15" customHeight="1">
      <c r="A62" t="inlineStr">
        <is>
          <t>A 26426-2020</t>
        </is>
      </c>
      <c r="B62" s="1" t="n">
        <v>43986</v>
      </c>
      <c r="C62" s="1" t="n">
        <v>45645</v>
      </c>
      <c r="D62" t="inlineStr">
        <is>
          <t>ÖREBRO LÄN</t>
        </is>
      </c>
      <c r="E62" t="inlineStr">
        <is>
          <t>ÖREBRO</t>
        </is>
      </c>
      <c r="G62" t="n">
        <v>1</v>
      </c>
      <c r="H62" t="n">
        <v>0</v>
      </c>
      <c r="I62" t="n">
        <v>0</v>
      </c>
      <c r="J62" t="n">
        <v>0</v>
      </c>
      <c r="K62" t="n">
        <v>1</v>
      </c>
      <c r="L62" t="n">
        <v>0</v>
      </c>
      <c r="M62" t="n">
        <v>0</v>
      </c>
      <c r="N62" t="n">
        <v>0</v>
      </c>
      <c r="O62" t="n">
        <v>1</v>
      </c>
      <c r="P62" t="n">
        <v>1</v>
      </c>
      <c r="Q62" t="n">
        <v>1</v>
      </c>
      <c r="R62" s="2" t="inlineStr">
        <is>
          <t>Slöjröksvamp</t>
        </is>
      </c>
      <c r="S62">
        <f>HYPERLINK("https://klasma.github.io/Logging_1880/artfynd/A 26426-2020 artfynd.xlsx", "A 26426-2020")</f>
        <v/>
      </c>
      <c r="T62">
        <f>HYPERLINK("https://klasma.github.io/Logging_1880/kartor/A 26426-2020 karta.png", "A 26426-2020")</f>
        <v/>
      </c>
      <c r="V62">
        <f>HYPERLINK("https://klasma.github.io/Logging_1880/klagomål/A 26426-2020 FSC-klagomål.docx", "A 26426-2020")</f>
        <v/>
      </c>
      <c r="W62">
        <f>HYPERLINK("https://klasma.github.io/Logging_1880/klagomålsmail/A 26426-2020 FSC-klagomål mail.docx", "A 26426-2020")</f>
        <v/>
      </c>
      <c r="X62">
        <f>HYPERLINK("https://klasma.github.io/Logging_1880/tillsyn/A 26426-2020 tillsynsbegäran.docx", "A 26426-2020")</f>
        <v/>
      </c>
      <c r="Y62">
        <f>HYPERLINK("https://klasma.github.io/Logging_1880/tillsynsmail/A 26426-2020 tillsynsbegäran mail.docx", "A 26426-2020")</f>
        <v/>
      </c>
    </row>
    <row r="63" ht="15" customHeight="1">
      <c r="A63" t="inlineStr">
        <is>
          <t>A 28103-2020</t>
        </is>
      </c>
      <c r="B63" s="1" t="n">
        <v>43997</v>
      </c>
      <c r="C63" s="1" t="n">
        <v>45645</v>
      </c>
      <c r="D63" t="inlineStr">
        <is>
          <t>ÖREBRO LÄN</t>
        </is>
      </c>
      <c r="E63" t="inlineStr">
        <is>
          <t>ÖREBRO</t>
        </is>
      </c>
      <c r="G63" t="n">
        <v>1.6</v>
      </c>
      <c r="H63" t="n">
        <v>1</v>
      </c>
      <c r="I63" t="n">
        <v>0</v>
      </c>
      <c r="J63" t="n">
        <v>0</v>
      </c>
      <c r="K63" t="n">
        <v>1</v>
      </c>
      <c r="L63" t="n">
        <v>0</v>
      </c>
      <c r="M63" t="n">
        <v>0</v>
      </c>
      <c r="N63" t="n">
        <v>0</v>
      </c>
      <c r="O63" t="n">
        <v>1</v>
      </c>
      <c r="P63" t="n">
        <v>1</v>
      </c>
      <c r="Q63" t="n">
        <v>1</v>
      </c>
      <c r="R63" s="2" t="inlineStr">
        <is>
          <t>Knärot</t>
        </is>
      </c>
      <c r="S63">
        <f>HYPERLINK("https://klasma.github.io/Logging_1880/artfynd/A 28103-2020 artfynd.xlsx", "A 28103-2020")</f>
        <v/>
      </c>
      <c r="T63">
        <f>HYPERLINK("https://klasma.github.io/Logging_1880/kartor/A 28103-2020 karta.png", "A 28103-2020")</f>
        <v/>
      </c>
      <c r="U63">
        <f>HYPERLINK("https://klasma.github.io/Logging_1880/knärot/A 28103-2020 karta knärot.png", "A 28103-2020")</f>
        <v/>
      </c>
      <c r="V63">
        <f>HYPERLINK("https://klasma.github.io/Logging_1880/klagomål/A 28103-2020 FSC-klagomål.docx", "A 28103-2020")</f>
        <v/>
      </c>
      <c r="W63">
        <f>HYPERLINK("https://klasma.github.io/Logging_1880/klagomålsmail/A 28103-2020 FSC-klagomål mail.docx", "A 28103-2020")</f>
        <v/>
      </c>
      <c r="X63">
        <f>HYPERLINK("https://klasma.github.io/Logging_1880/tillsyn/A 28103-2020 tillsynsbegäran.docx", "A 28103-2020")</f>
        <v/>
      </c>
      <c r="Y63">
        <f>HYPERLINK("https://klasma.github.io/Logging_1880/tillsynsmail/A 28103-2020 tillsynsbegäran mail.docx", "A 28103-2020")</f>
        <v/>
      </c>
    </row>
    <row r="64" ht="15" customHeight="1">
      <c r="A64" t="inlineStr">
        <is>
          <t>A 28710-2020</t>
        </is>
      </c>
      <c r="B64" s="1" t="n">
        <v>43998</v>
      </c>
      <c r="C64" s="1" t="n">
        <v>45645</v>
      </c>
      <c r="D64" t="inlineStr">
        <is>
          <t>ÖREBRO LÄN</t>
        </is>
      </c>
      <c r="E64" t="inlineStr">
        <is>
          <t>ÖREBRO</t>
        </is>
      </c>
      <c r="F64" t="inlineStr">
        <is>
          <t>Kommuner</t>
        </is>
      </c>
      <c r="G64" t="n">
        <v>1</v>
      </c>
      <c r="H64" t="n">
        <v>0</v>
      </c>
      <c r="I64" t="n">
        <v>0</v>
      </c>
      <c r="J64" t="n">
        <v>1</v>
      </c>
      <c r="K64" t="n">
        <v>0</v>
      </c>
      <c r="L64" t="n">
        <v>0</v>
      </c>
      <c r="M64" t="n">
        <v>0</v>
      </c>
      <c r="N64" t="n">
        <v>0</v>
      </c>
      <c r="O64" t="n">
        <v>1</v>
      </c>
      <c r="P64" t="n">
        <v>0</v>
      </c>
      <c r="Q64" t="n">
        <v>1</v>
      </c>
      <c r="R64" s="2" t="inlineStr">
        <is>
          <t>Ullticka</t>
        </is>
      </c>
      <c r="S64">
        <f>HYPERLINK("https://klasma.github.io/Logging_1880/artfynd/A 28710-2020 artfynd.xlsx", "A 28710-2020")</f>
        <v/>
      </c>
      <c r="T64">
        <f>HYPERLINK("https://klasma.github.io/Logging_1880/kartor/A 28710-2020 karta.png", "A 28710-2020")</f>
        <v/>
      </c>
      <c r="V64">
        <f>HYPERLINK("https://klasma.github.io/Logging_1880/klagomål/A 28710-2020 FSC-klagomål.docx", "A 28710-2020")</f>
        <v/>
      </c>
      <c r="W64">
        <f>HYPERLINK("https://klasma.github.io/Logging_1880/klagomålsmail/A 28710-2020 FSC-klagomål mail.docx", "A 28710-2020")</f>
        <v/>
      </c>
      <c r="X64">
        <f>HYPERLINK("https://klasma.github.io/Logging_1880/tillsyn/A 28710-2020 tillsynsbegäran.docx", "A 28710-2020")</f>
        <v/>
      </c>
      <c r="Y64">
        <f>HYPERLINK("https://klasma.github.io/Logging_1880/tillsynsmail/A 28710-2020 tillsynsbegäran mail.docx", "A 28710-2020")</f>
        <v/>
      </c>
    </row>
    <row r="65" ht="15" customHeight="1">
      <c r="A65" t="inlineStr">
        <is>
          <t>A 29454-2020</t>
        </is>
      </c>
      <c r="B65" s="1" t="n">
        <v>44004</v>
      </c>
      <c r="C65" s="1" t="n">
        <v>45645</v>
      </c>
      <c r="D65" t="inlineStr">
        <is>
          <t>ÖREBRO LÄN</t>
        </is>
      </c>
      <c r="E65" t="inlineStr">
        <is>
          <t>ÖREBRO</t>
        </is>
      </c>
      <c r="G65" t="n">
        <v>5</v>
      </c>
      <c r="H65" t="n">
        <v>0</v>
      </c>
      <c r="I65" t="n">
        <v>0</v>
      </c>
      <c r="J65" t="n">
        <v>1</v>
      </c>
      <c r="K65" t="n">
        <v>0</v>
      </c>
      <c r="L65" t="n">
        <v>0</v>
      </c>
      <c r="M65" t="n">
        <v>0</v>
      </c>
      <c r="N65" t="n">
        <v>0</v>
      </c>
      <c r="O65" t="n">
        <v>1</v>
      </c>
      <c r="P65" t="n">
        <v>0</v>
      </c>
      <c r="Q65" t="n">
        <v>1</v>
      </c>
      <c r="R65" s="2" t="inlineStr">
        <is>
          <t>Stornopping</t>
        </is>
      </c>
      <c r="S65">
        <f>HYPERLINK("https://klasma.github.io/Logging_1880/artfynd/A 29454-2020 artfynd.xlsx", "A 29454-2020")</f>
        <v/>
      </c>
      <c r="T65">
        <f>HYPERLINK("https://klasma.github.io/Logging_1880/kartor/A 29454-2020 karta.png", "A 29454-2020")</f>
        <v/>
      </c>
      <c r="V65">
        <f>HYPERLINK("https://klasma.github.io/Logging_1880/klagomål/A 29454-2020 FSC-klagomål.docx", "A 29454-2020")</f>
        <v/>
      </c>
      <c r="W65">
        <f>HYPERLINK("https://klasma.github.io/Logging_1880/klagomålsmail/A 29454-2020 FSC-klagomål mail.docx", "A 29454-2020")</f>
        <v/>
      </c>
      <c r="X65">
        <f>HYPERLINK("https://klasma.github.io/Logging_1880/tillsyn/A 29454-2020 tillsynsbegäran.docx", "A 29454-2020")</f>
        <v/>
      </c>
      <c r="Y65">
        <f>HYPERLINK("https://klasma.github.io/Logging_1880/tillsynsmail/A 29454-2020 tillsynsbegäran mail.docx", "A 29454-2020")</f>
        <v/>
      </c>
    </row>
    <row r="66" ht="15" customHeight="1">
      <c r="A66" t="inlineStr">
        <is>
          <t>A 58966-2020</t>
        </is>
      </c>
      <c r="B66" s="1" t="n">
        <v>44146</v>
      </c>
      <c r="C66" s="1" t="n">
        <v>45645</v>
      </c>
      <c r="D66" t="inlineStr">
        <is>
          <t>ÖREBRO LÄN</t>
        </is>
      </c>
      <c r="E66" t="inlineStr">
        <is>
          <t>ÖREBRO</t>
        </is>
      </c>
      <c r="F66" t="inlineStr">
        <is>
          <t>Övriga Aktiebolag</t>
        </is>
      </c>
      <c r="G66" t="n">
        <v>1.2</v>
      </c>
      <c r="H66" t="n">
        <v>1</v>
      </c>
      <c r="I66" t="n">
        <v>0</v>
      </c>
      <c r="J66" t="n">
        <v>1</v>
      </c>
      <c r="K66" t="n">
        <v>0</v>
      </c>
      <c r="L66" t="n">
        <v>0</v>
      </c>
      <c r="M66" t="n">
        <v>0</v>
      </c>
      <c r="N66" t="n">
        <v>0</v>
      </c>
      <c r="O66" t="n">
        <v>1</v>
      </c>
      <c r="P66" t="n">
        <v>0</v>
      </c>
      <c r="Q66" t="n">
        <v>1</v>
      </c>
      <c r="R66" s="2" t="inlineStr">
        <is>
          <t>Kråka</t>
        </is>
      </c>
      <c r="S66">
        <f>HYPERLINK("https://klasma.github.io/Logging_1880/artfynd/A 58966-2020 artfynd.xlsx", "A 58966-2020")</f>
        <v/>
      </c>
      <c r="T66">
        <f>HYPERLINK("https://klasma.github.io/Logging_1880/kartor/A 58966-2020 karta.png", "A 58966-2020")</f>
        <v/>
      </c>
      <c r="V66">
        <f>HYPERLINK("https://klasma.github.io/Logging_1880/klagomål/A 58966-2020 FSC-klagomål.docx", "A 58966-2020")</f>
        <v/>
      </c>
      <c r="W66">
        <f>HYPERLINK("https://klasma.github.io/Logging_1880/klagomålsmail/A 58966-2020 FSC-klagomål mail.docx", "A 58966-2020")</f>
        <v/>
      </c>
      <c r="X66">
        <f>HYPERLINK("https://klasma.github.io/Logging_1880/tillsyn/A 58966-2020 tillsynsbegäran.docx", "A 58966-2020")</f>
        <v/>
      </c>
      <c r="Y66">
        <f>HYPERLINK("https://klasma.github.io/Logging_1880/tillsynsmail/A 58966-2020 tillsynsbegäran mail.docx", "A 58966-2020")</f>
        <v/>
      </c>
      <c r="Z66">
        <f>HYPERLINK("https://klasma.github.io/Logging_1880/fåglar/A 58966-2020 prioriterade fågelarter.docx", "A 58966-2020")</f>
        <v/>
      </c>
    </row>
    <row r="67" ht="15" customHeight="1">
      <c r="A67" t="inlineStr">
        <is>
          <t>A 4014-2021</t>
        </is>
      </c>
      <c r="B67" s="1" t="n">
        <v>44218</v>
      </c>
      <c r="C67" s="1" t="n">
        <v>45645</v>
      </c>
      <c r="D67" t="inlineStr">
        <is>
          <t>ÖREBRO LÄN</t>
        </is>
      </c>
      <c r="E67" t="inlineStr">
        <is>
          <t>ÖREBRO</t>
        </is>
      </c>
      <c r="G67" t="n">
        <v>10.5</v>
      </c>
      <c r="H67" t="n">
        <v>0</v>
      </c>
      <c r="I67" t="n">
        <v>1</v>
      </c>
      <c r="J67" t="n">
        <v>0</v>
      </c>
      <c r="K67" t="n">
        <v>0</v>
      </c>
      <c r="L67" t="n">
        <v>0</v>
      </c>
      <c r="M67" t="n">
        <v>0</v>
      </c>
      <c r="N67" t="n">
        <v>0</v>
      </c>
      <c r="O67" t="n">
        <v>0</v>
      </c>
      <c r="P67" t="n">
        <v>0</v>
      </c>
      <c r="Q67" t="n">
        <v>1</v>
      </c>
      <c r="R67" s="2" t="inlineStr">
        <is>
          <t>Springkorn</t>
        </is>
      </c>
      <c r="S67">
        <f>HYPERLINK("https://klasma.github.io/Logging_1880/artfynd/A 4014-2021 artfynd.xlsx", "A 4014-2021")</f>
        <v/>
      </c>
      <c r="T67">
        <f>HYPERLINK("https://klasma.github.io/Logging_1880/kartor/A 4014-2021 karta.png", "A 4014-2021")</f>
        <v/>
      </c>
      <c r="V67">
        <f>HYPERLINK("https://klasma.github.io/Logging_1880/klagomål/A 4014-2021 FSC-klagomål.docx", "A 4014-2021")</f>
        <v/>
      </c>
      <c r="W67">
        <f>HYPERLINK("https://klasma.github.io/Logging_1880/klagomålsmail/A 4014-2021 FSC-klagomål mail.docx", "A 4014-2021")</f>
        <v/>
      </c>
      <c r="X67">
        <f>HYPERLINK("https://klasma.github.io/Logging_1880/tillsyn/A 4014-2021 tillsynsbegäran.docx", "A 4014-2021")</f>
        <v/>
      </c>
      <c r="Y67">
        <f>HYPERLINK("https://klasma.github.io/Logging_1880/tillsynsmail/A 4014-2021 tillsynsbegäran mail.docx", "A 4014-2021")</f>
        <v/>
      </c>
    </row>
    <row r="68" ht="15" customHeight="1">
      <c r="A68" t="inlineStr">
        <is>
          <t>A 6926-2021</t>
        </is>
      </c>
      <c r="B68" s="1" t="n">
        <v>44237</v>
      </c>
      <c r="C68" s="1" t="n">
        <v>45645</v>
      </c>
      <c r="D68" t="inlineStr">
        <is>
          <t>ÖREBRO LÄN</t>
        </is>
      </c>
      <c r="E68" t="inlineStr">
        <is>
          <t>ÖREBRO</t>
        </is>
      </c>
      <c r="G68" t="n">
        <v>0.9</v>
      </c>
      <c r="H68" t="n">
        <v>1</v>
      </c>
      <c r="I68" t="n">
        <v>1</v>
      </c>
      <c r="J68" t="n">
        <v>0</v>
      </c>
      <c r="K68" t="n">
        <v>0</v>
      </c>
      <c r="L68" t="n">
        <v>0</v>
      </c>
      <c r="M68" t="n">
        <v>0</v>
      </c>
      <c r="N68" t="n">
        <v>0</v>
      </c>
      <c r="O68" t="n">
        <v>0</v>
      </c>
      <c r="P68" t="n">
        <v>0</v>
      </c>
      <c r="Q68" t="n">
        <v>1</v>
      </c>
      <c r="R68" s="2" t="inlineStr">
        <is>
          <t>Skogsknipprot</t>
        </is>
      </c>
      <c r="S68">
        <f>HYPERLINK("https://klasma.github.io/Logging_1880/artfynd/A 6926-2021 artfynd.xlsx", "A 6926-2021")</f>
        <v/>
      </c>
      <c r="T68">
        <f>HYPERLINK("https://klasma.github.io/Logging_1880/kartor/A 6926-2021 karta.png", "A 6926-2021")</f>
        <v/>
      </c>
      <c r="V68">
        <f>HYPERLINK("https://klasma.github.io/Logging_1880/klagomål/A 6926-2021 FSC-klagomål.docx", "A 6926-2021")</f>
        <v/>
      </c>
      <c r="W68">
        <f>HYPERLINK("https://klasma.github.io/Logging_1880/klagomålsmail/A 6926-2021 FSC-klagomål mail.docx", "A 6926-2021")</f>
        <v/>
      </c>
      <c r="X68">
        <f>HYPERLINK("https://klasma.github.io/Logging_1880/tillsyn/A 6926-2021 tillsynsbegäran.docx", "A 6926-2021")</f>
        <v/>
      </c>
      <c r="Y68">
        <f>HYPERLINK("https://klasma.github.io/Logging_1880/tillsynsmail/A 6926-2021 tillsynsbegäran mail.docx", "A 6926-2021")</f>
        <v/>
      </c>
    </row>
    <row r="69" ht="15" customHeight="1">
      <c r="A69" t="inlineStr">
        <is>
          <t>A 8256-2021</t>
        </is>
      </c>
      <c r="B69" s="1" t="n">
        <v>44244</v>
      </c>
      <c r="C69" s="1" t="n">
        <v>45645</v>
      </c>
      <c r="D69" t="inlineStr">
        <is>
          <t>ÖREBRO LÄN</t>
        </is>
      </c>
      <c r="E69" t="inlineStr">
        <is>
          <t>ÖREBRO</t>
        </is>
      </c>
      <c r="G69" t="n">
        <v>1</v>
      </c>
      <c r="H69" t="n">
        <v>0</v>
      </c>
      <c r="I69" t="n">
        <v>1</v>
      </c>
      <c r="J69" t="n">
        <v>0</v>
      </c>
      <c r="K69" t="n">
        <v>0</v>
      </c>
      <c r="L69" t="n">
        <v>0</v>
      </c>
      <c r="M69" t="n">
        <v>0</v>
      </c>
      <c r="N69" t="n">
        <v>0</v>
      </c>
      <c r="O69" t="n">
        <v>0</v>
      </c>
      <c r="P69" t="n">
        <v>0</v>
      </c>
      <c r="Q69" t="n">
        <v>1</v>
      </c>
      <c r="R69" s="2" t="inlineStr">
        <is>
          <t>Svart trolldruva</t>
        </is>
      </c>
      <c r="S69">
        <f>HYPERLINK("https://klasma.github.io/Logging_1880/artfynd/A 8256-2021 artfynd.xlsx", "A 8256-2021")</f>
        <v/>
      </c>
      <c r="T69">
        <f>HYPERLINK("https://klasma.github.io/Logging_1880/kartor/A 8256-2021 karta.png", "A 8256-2021")</f>
        <v/>
      </c>
      <c r="V69">
        <f>HYPERLINK("https://klasma.github.io/Logging_1880/klagomål/A 8256-2021 FSC-klagomål.docx", "A 8256-2021")</f>
        <v/>
      </c>
      <c r="W69">
        <f>HYPERLINK("https://klasma.github.io/Logging_1880/klagomålsmail/A 8256-2021 FSC-klagomål mail.docx", "A 8256-2021")</f>
        <v/>
      </c>
      <c r="X69">
        <f>HYPERLINK("https://klasma.github.io/Logging_1880/tillsyn/A 8256-2021 tillsynsbegäran.docx", "A 8256-2021")</f>
        <v/>
      </c>
      <c r="Y69">
        <f>HYPERLINK("https://klasma.github.io/Logging_1880/tillsynsmail/A 8256-2021 tillsynsbegäran mail.docx", "A 8256-2021")</f>
        <v/>
      </c>
    </row>
    <row r="70" ht="15" customHeight="1">
      <c r="A70" t="inlineStr">
        <is>
          <t>A 8577-2021</t>
        </is>
      </c>
      <c r="B70" s="1" t="n">
        <v>44245</v>
      </c>
      <c r="C70" s="1" t="n">
        <v>45645</v>
      </c>
      <c r="D70" t="inlineStr">
        <is>
          <t>ÖREBRO LÄN</t>
        </is>
      </c>
      <c r="E70" t="inlineStr">
        <is>
          <t>ÖREBRO</t>
        </is>
      </c>
      <c r="G70" t="n">
        <v>6.5</v>
      </c>
      <c r="H70" t="n">
        <v>0</v>
      </c>
      <c r="I70" t="n">
        <v>1</v>
      </c>
      <c r="J70" t="n">
        <v>0</v>
      </c>
      <c r="K70" t="n">
        <v>0</v>
      </c>
      <c r="L70" t="n">
        <v>0</v>
      </c>
      <c r="M70" t="n">
        <v>0</v>
      </c>
      <c r="N70" t="n">
        <v>0</v>
      </c>
      <c r="O70" t="n">
        <v>0</v>
      </c>
      <c r="P70" t="n">
        <v>0</v>
      </c>
      <c r="Q70" t="n">
        <v>1</v>
      </c>
      <c r="R70" s="2" t="inlineStr">
        <is>
          <t>Spädstarr</t>
        </is>
      </c>
      <c r="S70">
        <f>HYPERLINK("https://klasma.github.io/Logging_1880/artfynd/A 8577-2021 artfynd.xlsx", "A 8577-2021")</f>
        <v/>
      </c>
      <c r="T70">
        <f>HYPERLINK("https://klasma.github.io/Logging_1880/kartor/A 8577-2021 karta.png", "A 8577-2021")</f>
        <v/>
      </c>
      <c r="V70">
        <f>HYPERLINK("https://klasma.github.io/Logging_1880/klagomål/A 8577-2021 FSC-klagomål.docx", "A 8577-2021")</f>
        <v/>
      </c>
      <c r="W70">
        <f>HYPERLINK("https://klasma.github.io/Logging_1880/klagomålsmail/A 8577-2021 FSC-klagomål mail.docx", "A 8577-2021")</f>
        <v/>
      </c>
      <c r="X70">
        <f>HYPERLINK("https://klasma.github.io/Logging_1880/tillsyn/A 8577-2021 tillsynsbegäran.docx", "A 8577-2021")</f>
        <v/>
      </c>
      <c r="Y70">
        <f>HYPERLINK("https://klasma.github.io/Logging_1880/tillsynsmail/A 8577-2021 tillsynsbegäran mail.docx", "A 8577-2021")</f>
        <v/>
      </c>
    </row>
    <row r="71" ht="15" customHeight="1">
      <c r="A71" t="inlineStr">
        <is>
          <t>A 15621-2021</t>
        </is>
      </c>
      <c r="B71" s="1" t="n">
        <v>44285</v>
      </c>
      <c r="C71" s="1" t="n">
        <v>45645</v>
      </c>
      <c r="D71" t="inlineStr">
        <is>
          <t>ÖREBRO LÄN</t>
        </is>
      </c>
      <c r="E71" t="inlineStr">
        <is>
          <t>ÖREBRO</t>
        </is>
      </c>
      <c r="G71" t="n">
        <v>2.8</v>
      </c>
      <c r="H71" t="n">
        <v>1</v>
      </c>
      <c r="I71" t="n">
        <v>0</v>
      </c>
      <c r="J71" t="n">
        <v>0</v>
      </c>
      <c r="K71" t="n">
        <v>0</v>
      </c>
      <c r="L71" t="n">
        <v>0</v>
      </c>
      <c r="M71" t="n">
        <v>0</v>
      </c>
      <c r="N71" t="n">
        <v>0</v>
      </c>
      <c r="O71" t="n">
        <v>0</v>
      </c>
      <c r="P71" t="n">
        <v>0</v>
      </c>
      <c r="Q71" t="n">
        <v>1</v>
      </c>
      <c r="R71" s="2" t="inlineStr">
        <is>
          <t>Fläcknycklar</t>
        </is>
      </c>
      <c r="S71">
        <f>HYPERLINK("https://klasma.github.io/Logging_1880/artfynd/A 15621-2021 artfynd.xlsx", "A 15621-2021")</f>
        <v/>
      </c>
      <c r="T71">
        <f>HYPERLINK("https://klasma.github.io/Logging_1880/kartor/A 15621-2021 karta.png", "A 15621-2021")</f>
        <v/>
      </c>
      <c r="V71">
        <f>HYPERLINK("https://klasma.github.io/Logging_1880/klagomål/A 15621-2021 FSC-klagomål.docx", "A 15621-2021")</f>
        <v/>
      </c>
      <c r="W71">
        <f>HYPERLINK("https://klasma.github.io/Logging_1880/klagomålsmail/A 15621-2021 FSC-klagomål mail.docx", "A 15621-2021")</f>
        <v/>
      </c>
      <c r="X71">
        <f>HYPERLINK("https://klasma.github.io/Logging_1880/tillsyn/A 15621-2021 tillsynsbegäran.docx", "A 15621-2021")</f>
        <v/>
      </c>
      <c r="Y71">
        <f>HYPERLINK("https://klasma.github.io/Logging_1880/tillsynsmail/A 15621-2021 tillsynsbegäran mail.docx", "A 15621-2021")</f>
        <v/>
      </c>
    </row>
    <row r="72" ht="15" customHeight="1">
      <c r="A72" t="inlineStr">
        <is>
          <t>A 32595-2021</t>
        </is>
      </c>
      <c r="B72" s="1" t="n">
        <v>44375</v>
      </c>
      <c r="C72" s="1" t="n">
        <v>45645</v>
      </c>
      <c r="D72" t="inlineStr">
        <is>
          <t>ÖREBRO LÄN</t>
        </is>
      </c>
      <c r="E72" t="inlineStr">
        <is>
          <t>ÖREBRO</t>
        </is>
      </c>
      <c r="F72" t="inlineStr">
        <is>
          <t>Kommuner</t>
        </is>
      </c>
      <c r="G72" t="n">
        <v>2.7</v>
      </c>
      <c r="H72" t="n">
        <v>1</v>
      </c>
      <c r="I72" t="n">
        <v>1</v>
      </c>
      <c r="J72" t="n">
        <v>0</v>
      </c>
      <c r="K72" t="n">
        <v>0</v>
      </c>
      <c r="L72" t="n">
        <v>0</v>
      </c>
      <c r="M72" t="n">
        <v>0</v>
      </c>
      <c r="N72" t="n">
        <v>0</v>
      </c>
      <c r="O72" t="n">
        <v>0</v>
      </c>
      <c r="P72" t="n">
        <v>0</v>
      </c>
      <c r="Q72" t="n">
        <v>1</v>
      </c>
      <c r="R72" s="2" t="inlineStr">
        <is>
          <t>Purpurknipprot</t>
        </is>
      </c>
      <c r="S72">
        <f>HYPERLINK("https://klasma.github.io/Logging_1880/artfynd/A 32595-2021 artfynd.xlsx", "A 32595-2021")</f>
        <v/>
      </c>
      <c r="T72">
        <f>HYPERLINK("https://klasma.github.io/Logging_1880/kartor/A 32595-2021 karta.png", "A 32595-2021")</f>
        <v/>
      </c>
      <c r="V72">
        <f>HYPERLINK("https://klasma.github.io/Logging_1880/klagomål/A 32595-2021 FSC-klagomål.docx", "A 32595-2021")</f>
        <v/>
      </c>
      <c r="W72">
        <f>HYPERLINK("https://klasma.github.io/Logging_1880/klagomålsmail/A 32595-2021 FSC-klagomål mail.docx", "A 32595-2021")</f>
        <v/>
      </c>
      <c r="X72">
        <f>HYPERLINK("https://klasma.github.io/Logging_1880/tillsyn/A 32595-2021 tillsynsbegäran.docx", "A 32595-2021")</f>
        <v/>
      </c>
      <c r="Y72">
        <f>HYPERLINK("https://klasma.github.io/Logging_1880/tillsynsmail/A 32595-2021 tillsynsbegäran mail.docx", "A 32595-2021")</f>
        <v/>
      </c>
    </row>
    <row r="73" ht="15" customHeight="1">
      <c r="A73" t="inlineStr">
        <is>
          <t>A 44052-2021</t>
        </is>
      </c>
      <c r="B73" s="1" t="n">
        <v>44434</v>
      </c>
      <c r="C73" s="1" t="n">
        <v>45645</v>
      </c>
      <c r="D73" t="inlineStr">
        <is>
          <t>ÖREBRO LÄN</t>
        </is>
      </c>
      <c r="E73" t="inlineStr">
        <is>
          <t>ÖREBRO</t>
        </is>
      </c>
      <c r="G73" t="n">
        <v>2.5</v>
      </c>
      <c r="H73" t="n">
        <v>1</v>
      </c>
      <c r="I73" t="n">
        <v>0</v>
      </c>
      <c r="J73" t="n">
        <v>1</v>
      </c>
      <c r="K73" t="n">
        <v>0</v>
      </c>
      <c r="L73" t="n">
        <v>0</v>
      </c>
      <c r="M73" t="n">
        <v>0</v>
      </c>
      <c r="N73" t="n">
        <v>0</v>
      </c>
      <c r="O73" t="n">
        <v>1</v>
      </c>
      <c r="P73" t="n">
        <v>0</v>
      </c>
      <c r="Q73" t="n">
        <v>1</v>
      </c>
      <c r="R73" s="2" t="inlineStr">
        <is>
          <t>Spillkråka</t>
        </is>
      </c>
      <c r="S73">
        <f>HYPERLINK("https://klasma.github.io/Logging_1880/artfynd/A 44052-2021 artfynd.xlsx", "A 44052-2021")</f>
        <v/>
      </c>
      <c r="T73">
        <f>HYPERLINK("https://klasma.github.io/Logging_1880/kartor/A 44052-2021 karta.png", "A 44052-2021")</f>
        <v/>
      </c>
      <c r="V73">
        <f>HYPERLINK("https://klasma.github.io/Logging_1880/klagomål/A 44052-2021 FSC-klagomål.docx", "A 44052-2021")</f>
        <v/>
      </c>
      <c r="W73">
        <f>HYPERLINK("https://klasma.github.io/Logging_1880/klagomålsmail/A 44052-2021 FSC-klagomål mail.docx", "A 44052-2021")</f>
        <v/>
      </c>
      <c r="X73">
        <f>HYPERLINK("https://klasma.github.io/Logging_1880/tillsyn/A 44052-2021 tillsynsbegäran.docx", "A 44052-2021")</f>
        <v/>
      </c>
      <c r="Y73">
        <f>HYPERLINK("https://klasma.github.io/Logging_1880/tillsynsmail/A 44052-2021 tillsynsbegäran mail.docx", "A 44052-2021")</f>
        <v/>
      </c>
      <c r="Z73">
        <f>HYPERLINK("https://klasma.github.io/Logging_1880/fåglar/A 44052-2021 prioriterade fågelarter.docx", "A 44052-2021")</f>
        <v/>
      </c>
    </row>
    <row r="74" ht="15" customHeight="1">
      <c r="A74" t="inlineStr">
        <is>
          <t>A 44389-2021</t>
        </is>
      </c>
      <c r="B74" s="1" t="n">
        <v>44435</v>
      </c>
      <c r="C74" s="1" t="n">
        <v>45645</v>
      </c>
      <c r="D74" t="inlineStr">
        <is>
          <t>ÖREBRO LÄN</t>
        </is>
      </c>
      <c r="E74" t="inlineStr">
        <is>
          <t>ÖREBRO</t>
        </is>
      </c>
      <c r="G74" t="n">
        <v>2.2</v>
      </c>
      <c r="H74" t="n">
        <v>1</v>
      </c>
      <c r="I74" t="n">
        <v>0</v>
      </c>
      <c r="J74" t="n">
        <v>0</v>
      </c>
      <c r="K74" t="n">
        <v>1</v>
      </c>
      <c r="L74" t="n">
        <v>0</v>
      </c>
      <c r="M74" t="n">
        <v>0</v>
      </c>
      <c r="N74" t="n">
        <v>0</v>
      </c>
      <c r="O74" t="n">
        <v>1</v>
      </c>
      <c r="P74" t="n">
        <v>1</v>
      </c>
      <c r="Q74" t="n">
        <v>1</v>
      </c>
      <c r="R74" s="2" t="inlineStr">
        <is>
          <t>Knärot</t>
        </is>
      </c>
      <c r="S74">
        <f>HYPERLINK("https://klasma.github.io/Logging_1880/artfynd/A 44389-2021 artfynd.xlsx", "A 44389-2021")</f>
        <v/>
      </c>
      <c r="T74">
        <f>HYPERLINK("https://klasma.github.io/Logging_1880/kartor/A 44389-2021 karta.png", "A 44389-2021")</f>
        <v/>
      </c>
      <c r="U74">
        <f>HYPERLINK("https://klasma.github.io/Logging_1880/knärot/A 44389-2021 karta knärot.png", "A 44389-2021")</f>
        <v/>
      </c>
      <c r="V74">
        <f>HYPERLINK("https://klasma.github.io/Logging_1880/klagomål/A 44389-2021 FSC-klagomål.docx", "A 44389-2021")</f>
        <v/>
      </c>
      <c r="W74">
        <f>HYPERLINK("https://klasma.github.io/Logging_1880/klagomålsmail/A 44389-2021 FSC-klagomål mail.docx", "A 44389-2021")</f>
        <v/>
      </c>
      <c r="X74">
        <f>HYPERLINK("https://klasma.github.io/Logging_1880/tillsyn/A 44389-2021 tillsynsbegäran.docx", "A 44389-2021")</f>
        <v/>
      </c>
      <c r="Y74">
        <f>HYPERLINK("https://klasma.github.io/Logging_1880/tillsynsmail/A 44389-2021 tillsynsbegäran mail.docx", "A 44389-2021")</f>
        <v/>
      </c>
    </row>
    <row r="75" ht="15" customHeight="1">
      <c r="A75" t="inlineStr">
        <is>
          <t>A 57108-2021</t>
        </is>
      </c>
      <c r="B75" s="1" t="n">
        <v>44482</v>
      </c>
      <c r="C75" s="1" t="n">
        <v>45645</v>
      </c>
      <c r="D75" t="inlineStr">
        <is>
          <t>ÖREBRO LÄN</t>
        </is>
      </c>
      <c r="E75" t="inlineStr">
        <is>
          <t>ÖREBRO</t>
        </is>
      </c>
      <c r="F75" t="inlineStr">
        <is>
          <t>Sveaskog</t>
        </is>
      </c>
      <c r="G75" t="n">
        <v>0.6</v>
      </c>
      <c r="H75" t="n">
        <v>1</v>
      </c>
      <c r="I75" t="n">
        <v>0</v>
      </c>
      <c r="J75" t="n">
        <v>0</v>
      </c>
      <c r="K75" t="n">
        <v>0</v>
      </c>
      <c r="L75" t="n">
        <v>0</v>
      </c>
      <c r="M75" t="n">
        <v>0</v>
      </c>
      <c r="N75" t="n">
        <v>0</v>
      </c>
      <c r="O75" t="n">
        <v>0</v>
      </c>
      <c r="P75" t="n">
        <v>0</v>
      </c>
      <c r="Q75" t="n">
        <v>1</v>
      </c>
      <c r="R75" s="2" t="inlineStr">
        <is>
          <t>Huggorm</t>
        </is>
      </c>
      <c r="S75">
        <f>HYPERLINK("https://klasma.github.io/Logging_1880/artfynd/A 57108-2021 artfynd.xlsx", "A 57108-2021")</f>
        <v/>
      </c>
      <c r="T75">
        <f>HYPERLINK("https://klasma.github.io/Logging_1880/kartor/A 57108-2021 karta.png", "A 57108-2021")</f>
        <v/>
      </c>
      <c r="V75">
        <f>HYPERLINK("https://klasma.github.io/Logging_1880/klagomål/A 57108-2021 FSC-klagomål.docx", "A 57108-2021")</f>
        <v/>
      </c>
      <c r="W75">
        <f>HYPERLINK("https://klasma.github.io/Logging_1880/klagomålsmail/A 57108-2021 FSC-klagomål mail.docx", "A 57108-2021")</f>
        <v/>
      </c>
      <c r="X75">
        <f>HYPERLINK("https://klasma.github.io/Logging_1880/tillsyn/A 57108-2021 tillsynsbegäran.docx", "A 57108-2021")</f>
        <v/>
      </c>
      <c r="Y75">
        <f>HYPERLINK("https://klasma.github.io/Logging_1880/tillsynsmail/A 57108-2021 tillsynsbegäran mail.docx", "A 57108-2021")</f>
        <v/>
      </c>
    </row>
    <row r="76" ht="15" customHeight="1">
      <c r="A76" t="inlineStr">
        <is>
          <t>A 4943-2022</t>
        </is>
      </c>
      <c r="B76" s="1" t="n">
        <v>44593</v>
      </c>
      <c r="C76" s="1" t="n">
        <v>45645</v>
      </c>
      <c r="D76" t="inlineStr">
        <is>
          <t>ÖREBRO LÄN</t>
        </is>
      </c>
      <c r="E76" t="inlineStr">
        <is>
          <t>ÖREBRO</t>
        </is>
      </c>
      <c r="G76" t="n">
        <v>1.1</v>
      </c>
      <c r="H76" t="n">
        <v>0</v>
      </c>
      <c r="I76" t="n">
        <v>0</v>
      </c>
      <c r="J76" t="n">
        <v>1</v>
      </c>
      <c r="K76" t="n">
        <v>0</v>
      </c>
      <c r="L76" t="n">
        <v>0</v>
      </c>
      <c r="M76" t="n">
        <v>0</v>
      </c>
      <c r="N76" t="n">
        <v>0</v>
      </c>
      <c r="O76" t="n">
        <v>1</v>
      </c>
      <c r="P76" t="n">
        <v>0</v>
      </c>
      <c r="Q76" t="n">
        <v>1</v>
      </c>
      <c r="R76" s="2" t="inlineStr">
        <is>
          <t>Skinntagging</t>
        </is>
      </c>
      <c r="S76">
        <f>HYPERLINK("https://klasma.github.io/Logging_1880/artfynd/A 4943-2022 artfynd.xlsx", "A 4943-2022")</f>
        <v/>
      </c>
      <c r="T76">
        <f>HYPERLINK("https://klasma.github.io/Logging_1880/kartor/A 4943-2022 karta.png", "A 4943-2022")</f>
        <v/>
      </c>
      <c r="V76">
        <f>HYPERLINK("https://klasma.github.io/Logging_1880/klagomål/A 4943-2022 FSC-klagomål.docx", "A 4943-2022")</f>
        <v/>
      </c>
      <c r="W76">
        <f>HYPERLINK("https://klasma.github.io/Logging_1880/klagomålsmail/A 4943-2022 FSC-klagomål mail.docx", "A 4943-2022")</f>
        <v/>
      </c>
      <c r="X76">
        <f>HYPERLINK("https://klasma.github.io/Logging_1880/tillsyn/A 4943-2022 tillsynsbegäran.docx", "A 4943-2022")</f>
        <v/>
      </c>
      <c r="Y76">
        <f>HYPERLINK("https://klasma.github.io/Logging_1880/tillsynsmail/A 4943-2022 tillsynsbegäran mail.docx", "A 4943-2022")</f>
        <v/>
      </c>
    </row>
    <row r="77" ht="15" customHeight="1">
      <c r="A77" t="inlineStr">
        <is>
          <t>A 26890-2022</t>
        </is>
      </c>
      <c r="B77" s="1" t="n">
        <v>44740</v>
      </c>
      <c r="C77" s="1" t="n">
        <v>45645</v>
      </c>
      <c r="D77" t="inlineStr">
        <is>
          <t>ÖREBRO LÄN</t>
        </is>
      </c>
      <c r="E77" t="inlineStr">
        <is>
          <t>ÖREBRO</t>
        </is>
      </c>
      <c r="G77" t="n">
        <v>4.2</v>
      </c>
      <c r="H77" t="n">
        <v>1</v>
      </c>
      <c r="I77" t="n">
        <v>0</v>
      </c>
      <c r="J77" t="n">
        <v>0</v>
      </c>
      <c r="K77" t="n">
        <v>1</v>
      </c>
      <c r="L77" t="n">
        <v>0</v>
      </c>
      <c r="M77" t="n">
        <v>0</v>
      </c>
      <c r="N77" t="n">
        <v>0</v>
      </c>
      <c r="O77" t="n">
        <v>1</v>
      </c>
      <c r="P77" t="n">
        <v>1</v>
      </c>
      <c r="Q77" t="n">
        <v>1</v>
      </c>
      <c r="R77" s="2" t="inlineStr">
        <is>
          <t>Hällebräcka</t>
        </is>
      </c>
      <c r="S77">
        <f>HYPERLINK("https://klasma.github.io/Logging_1880/artfynd/A 26890-2022 artfynd.xlsx", "A 26890-2022")</f>
        <v/>
      </c>
      <c r="T77">
        <f>HYPERLINK("https://klasma.github.io/Logging_1880/kartor/A 26890-2022 karta.png", "A 26890-2022")</f>
        <v/>
      </c>
      <c r="V77">
        <f>HYPERLINK("https://klasma.github.io/Logging_1880/klagomål/A 26890-2022 FSC-klagomål.docx", "A 26890-2022")</f>
        <v/>
      </c>
      <c r="W77">
        <f>HYPERLINK("https://klasma.github.io/Logging_1880/klagomålsmail/A 26890-2022 FSC-klagomål mail.docx", "A 26890-2022")</f>
        <v/>
      </c>
      <c r="X77">
        <f>HYPERLINK("https://klasma.github.io/Logging_1880/tillsyn/A 26890-2022 tillsynsbegäran.docx", "A 26890-2022")</f>
        <v/>
      </c>
      <c r="Y77">
        <f>HYPERLINK("https://klasma.github.io/Logging_1880/tillsynsmail/A 26890-2022 tillsynsbegäran mail.docx", "A 26890-2022")</f>
        <v/>
      </c>
    </row>
    <row r="78" ht="15" customHeight="1">
      <c r="A78" t="inlineStr">
        <is>
          <t>A 29704-2022</t>
        </is>
      </c>
      <c r="B78" s="1" t="n">
        <v>44755</v>
      </c>
      <c r="C78" s="1" t="n">
        <v>45645</v>
      </c>
      <c r="D78" t="inlineStr">
        <is>
          <t>ÖREBRO LÄN</t>
        </is>
      </c>
      <c r="E78" t="inlineStr">
        <is>
          <t>ÖREBRO</t>
        </is>
      </c>
      <c r="F78" t="inlineStr">
        <is>
          <t>Kommuner</t>
        </is>
      </c>
      <c r="G78" t="n">
        <v>1.1</v>
      </c>
      <c r="H78" t="n">
        <v>0</v>
      </c>
      <c r="I78" t="n">
        <v>0</v>
      </c>
      <c r="J78" t="n">
        <v>1</v>
      </c>
      <c r="K78" t="n">
        <v>0</v>
      </c>
      <c r="L78" t="n">
        <v>0</v>
      </c>
      <c r="M78" t="n">
        <v>0</v>
      </c>
      <c r="N78" t="n">
        <v>0</v>
      </c>
      <c r="O78" t="n">
        <v>1</v>
      </c>
      <c r="P78" t="n">
        <v>0</v>
      </c>
      <c r="Q78" t="n">
        <v>1</v>
      </c>
      <c r="R78" s="2" t="inlineStr">
        <is>
          <t>Motaggsvamp</t>
        </is>
      </c>
      <c r="S78">
        <f>HYPERLINK("https://klasma.github.io/Logging_1880/artfynd/A 29704-2022 artfynd.xlsx", "A 29704-2022")</f>
        <v/>
      </c>
      <c r="T78">
        <f>HYPERLINK("https://klasma.github.io/Logging_1880/kartor/A 29704-2022 karta.png", "A 29704-2022")</f>
        <v/>
      </c>
      <c r="V78">
        <f>HYPERLINK("https://klasma.github.io/Logging_1880/klagomål/A 29704-2022 FSC-klagomål.docx", "A 29704-2022")</f>
        <v/>
      </c>
      <c r="W78">
        <f>HYPERLINK("https://klasma.github.io/Logging_1880/klagomålsmail/A 29704-2022 FSC-klagomål mail.docx", "A 29704-2022")</f>
        <v/>
      </c>
      <c r="X78">
        <f>HYPERLINK("https://klasma.github.io/Logging_1880/tillsyn/A 29704-2022 tillsynsbegäran.docx", "A 29704-2022")</f>
        <v/>
      </c>
      <c r="Y78">
        <f>HYPERLINK("https://klasma.github.io/Logging_1880/tillsynsmail/A 29704-2022 tillsynsbegäran mail.docx", "A 29704-2022")</f>
        <v/>
      </c>
    </row>
    <row r="79" ht="15" customHeight="1">
      <c r="A79" t="inlineStr">
        <is>
          <t>A 44361-2022</t>
        </is>
      </c>
      <c r="B79" s="1" t="n">
        <v>44839</v>
      </c>
      <c r="C79" s="1" t="n">
        <v>45645</v>
      </c>
      <c r="D79" t="inlineStr">
        <is>
          <t>ÖREBRO LÄN</t>
        </is>
      </c>
      <c r="E79" t="inlineStr">
        <is>
          <t>ÖREBRO</t>
        </is>
      </c>
      <c r="G79" t="n">
        <v>1.5</v>
      </c>
      <c r="H79" t="n">
        <v>1</v>
      </c>
      <c r="I79" t="n">
        <v>0</v>
      </c>
      <c r="J79" t="n">
        <v>0</v>
      </c>
      <c r="K79" t="n">
        <v>0</v>
      </c>
      <c r="L79" t="n">
        <v>0</v>
      </c>
      <c r="M79" t="n">
        <v>0</v>
      </c>
      <c r="N79" t="n">
        <v>0</v>
      </c>
      <c r="O79" t="n">
        <v>0</v>
      </c>
      <c r="P79" t="n">
        <v>0</v>
      </c>
      <c r="Q79" t="n">
        <v>1</v>
      </c>
      <c r="R79" s="2" t="inlineStr">
        <is>
          <t>Blåsippa</t>
        </is>
      </c>
      <c r="S79">
        <f>HYPERLINK("https://klasma.github.io/Logging_1880/artfynd/A 44361-2022 artfynd.xlsx", "A 44361-2022")</f>
        <v/>
      </c>
      <c r="T79">
        <f>HYPERLINK("https://klasma.github.io/Logging_1880/kartor/A 44361-2022 karta.png", "A 44361-2022")</f>
        <v/>
      </c>
      <c r="V79">
        <f>HYPERLINK("https://klasma.github.io/Logging_1880/klagomål/A 44361-2022 FSC-klagomål.docx", "A 44361-2022")</f>
        <v/>
      </c>
      <c r="W79">
        <f>HYPERLINK("https://klasma.github.io/Logging_1880/klagomålsmail/A 44361-2022 FSC-klagomål mail.docx", "A 44361-2022")</f>
        <v/>
      </c>
      <c r="X79">
        <f>HYPERLINK("https://klasma.github.io/Logging_1880/tillsyn/A 44361-2022 tillsynsbegäran.docx", "A 44361-2022")</f>
        <v/>
      </c>
      <c r="Y79">
        <f>HYPERLINK("https://klasma.github.io/Logging_1880/tillsynsmail/A 44361-2022 tillsynsbegäran mail.docx", "A 44361-2022")</f>
        <v/>
      </c>
    </row>
    <row r="80" ht="15" customHeight="1">
      <c r="A80" t="inlineStr">
        <is>
          <t>A 5097-2023</t>
        </is>
      </c>
      <c r="B80" s="1" t="n">
        <v>44958</v>
      </c>
      <c r="C80" s="1" t="n">
        <v>45645</v>
      </c>
      <c r="D80" t="inlineStr">
        <is>
          <t>ÖREBRO LÄN</t>
        </is>
      </c>
      <c r="E80" t="inlineStr">
        <is>
          <t>ÖREBRO</t>
        </is>
      </c>
      <c r="G80" t="n">
        <v>3.6</v>
      </c>
      <c r="H80" t="n">
        <v>1</v>
      </c>
      <c r="I80" t="n">
        <v>0</v>
      </c>
      <c r="J80" t="n">
        <v>0</v>
      </c>
      <c r="K80" t="n">
        <v>0</v>
      </c>
      <c r="L80" t="n">
        <v>0</v>
      </c>
      <c r="M80" t="n">
        <v>0</v>
      </c>
      <c r="N80" t="n">
        <v>0</v>
      </c>
      <c r="O80" t="n">
        <v>0</v>
      </c>
      <c r="P80" t="n">
        <v>0</v>
      </c>
      <c r="Q80" t="n">
        <v>1</v>
      </c>
      <c r="R80" s="2" t="inlineStr">
        <is>
          <t>Grönvit nattviol</t>
        </is>
      </c>
      <c r="S80">
        <f>HYPERLINK("https://klasma.github.io/Logging_1880/artfynd/A 5097-2023 artfynd.xlsx", "A 5097-2023")</f>
        <v/>
      </c>
      <c r="T80">
        <f>HYPERLINK("https://klasma.github.io/Logging_1880/kartor/A 5097-2023 karta.png", "A 5097-2023")</f>
        <v/>
      </c>
      <c r="V80">
        <f>HYPERLINK("https://klasma.github.io/Logging_1880/klagomål/A 5097-2023 FSC-klagomål.docx", "A 5097-2023")</f>
        <v/>
      </c>
      <c r="W80">
        <f>HYPERLINK("https://klasma.github.io/Logging_1880/klagomålsmail/A 5097-2023 FSC-klagomål mail.docx", "A 5097-2023")</f>
        <v/>
      </c>
      <c r="X80">
        <f>HYPERLINK("https://klasma.github.io/Logging_1880/tillsyn/A 5097-2023 tillsynsbegäran.docx", "A 5097-2023")</f>
        <v/>
      </c>
      <c r="Y80">
        <f>HYPERLINK("https://klasma.github.io/Logging_1880/tillsynsmail/A 5097-2023 tillsynsbegäran mail.docx", "A 5097-2023")</f>
        <v/>
      </c>
    </row>
    <row r="81" ht="15" customHeight="1">
      <c r="A81" t="inlineStr">
        <is>
          <t>A 19939-2023</t>
        </is>
      </c>
      <c r="B81" s="1" t="n">
        <v>45054</v>
      </c>
      <c r="C81" s="1" t="n">
        <v>45645</v>
      </c>
      <c r="D81" t="inlineStr">
        <is>
          <t>ÖREBRO LÄN</t>
        </is>
      </c>
      <c r="E81" t="inlineStr">
        <is>
          <t>ÖREBRO</t>
        </is>
      </c>
      <c r="G81" t="n">
        <v>5.4</v>
      </c>
      <c r="H81" t="n">
        <v>0</v>
      </c>
      <c r="I81" t="n">
        <v>1</v>
      </c>
      <c r="J81" t="n">
        <v>0</v>
      </c>
      <c r="K81" t="n">
        <v>0</v>
      </c>
      <c r="L81" t="n">
        <v>0</v>
      </c>
      <c r="M81" t="n">
        <v>0</v>
      </c>
      <c r="N81" t="n">
        <v>0</v>
      </c>
      <c r="O81" t="n">
        <v>0</v>
      </c>
      <c r="P81" t="n">
        <v>0</v>
      </c>
      <c r="Q81" t="n">
        <v>1</v>
      </c>
      <c r="R81" s="2" t="inlineStr">
        <is>
          <t>Kambräken</t>
        </is>
      </c>
      <c r="S81">
        <f>HYPERLINK("https://klasma.github.io/Logging_1880/artfynd/A 19939-2023 artfynd.xlsx", "A 19939-2023")</f>
        <v/>
      </c>
      <c r="T81">
        <f>HYPERLINK("https://klasma.github.io/Logging_1880/kartor/A 19939-2023 karta.png", "A 19939-2023")</f>
        <v/>
      </c>
      <c r="V81">
        <f>HYPERLINK("https://klasma.github.io/Logging_1880/klagomål/A 19939-2023 FSC-klagomål.docx", "A 19939-2023")</f>
        <v/>
      </c>
      <c r="W81">
        <f>HYPERLINK("https://klasma.github.io/Logging_1880/klagomålsmail/A 19939-2023 FSC-klagomål mail.docx", "A 19939-2023")</f>
        <v/>
      </c>
      <c r="X81">
        <f>HYPERLINK("https://klasma.github.io/Logging_1880/tillsyn/A 19939-2023 tillsynsbegäran.docx", "A 19939-2023")</f>
        <v/>
      </c>
      <c r="Y81">
        <f>HYPERLINK("https://klasma.github.io/Logging_1880/tillsynsmail/A 19939-2023 tillsynsbegäran mail.docx", "A 19939-2023")</f>
        <v/>
      </c>
    </row>
    <row r="82" ht="15" customHeight="1">
      <c r="A82" t="inlineStr">
        <is>
          <t>A 20247-2023</t>
        </is>
      </c>
      <c r="B82" s="1" t="n">
        <v>45055</v>
      </c>
      <c r="C82" s="1" t="n">
        <v>45645</v>
      </c>
      <c r="D82" t="inlineStr">
        <is>
          <t>ÖREBRO LÄN</t>
        </is>
      </c>
      <c r="E82" t="inlineStr">
        <is>
          <t>ÖREBRO</t>
        </is>
      </c>
      <c r="G82" t="n">
        <v>3</v>
      </c>
      <c r="H82" t="n">
        <v>1</v>
      </c>
      <c r="I82" t="n">
        <v>0</v>
      </c>
      <c r="J82" t="n">
        <v>0</v>
      </c>
      <c r="K82" t="n">
        <v>0</v>
      </c>
      <c r="L82" t="n">
        <v>0</v>
      </c>
      <c r="M82" t="n">
        <v>0</v>
      </c>
      <c r="N82" t="n">
        <v>0</v>
      </c>
      <c r="O82" t="n">
        <v>0</v>
      </c>
      <c r="P82" t="n">
        <v>0</v>
      </c>
      <c r="Q82" t="n">
        <v>1</v>
      </c>
      <c r="R82" s="2" t="inlineStr">
        <is>
          <t>Större vattensalamander</t>
        </is>
      </c>
      <c r="S82">
        <f>HYPERLINK("https://klasma.github.io/Logging_1880/artfynd/A 20247-2023 artfynd.xlsx", "A 20247-2023")</f>
        <v/>
      </c>
      <c r="T82">
        <f>HYPERLINK("https://klasma.github.io/Logging_1880/kartor/A 20247-2023 karta.png", "A 20247-2023")</f>
        <v/>
      </c>
      <c r="V82">
        <f>HYPERLINK("https://klasma.github.io/Logging_1880/klagomål/A 20247-2023 FSC-klagomål.docx", "A 20247-2023")</f>
        <v/>
      </c>
      <c r="W82">
        <f>HYPERLINK("https://klasma.github.io/Logging_1880/klagomålsmail/A 20247-2023 FSC-klagomål mail.docx", "A 20247-2023")</f>
        <v/>
      </c>
      <c r="X82">
        <f>HYPERLINK("https://klasma.github.io/Logging_1880/tillsyn/A 20247-2023 tillsynsbegäran.docx", "A 20247-2023")</f>
        <v/>
      </c>
      <c r="Y82">
        <f>HYPERLINK("https://klasma.github.io/Logging_1880/tillsynsmail/A 20247-2023 tillsynsbegäran mail.docx", "A 20247-2023")</f>
        <v/>
      </c>
    </row>
    <row r="83" ht="15" customHeight="1">
      <c r="A83" t="inlineStr">
        <is>
          <t>A 22848-2023</t>
        </is>
      </c>
      <c r="B83" s="1" t="n">
        <v>45072</v>
      </c>
      <c r="C83" s="1" t="n">
        <v>45645</v>
      </c>
      <c r="D83" t="inlineStr">
        <is>
          <t>ÖREBRO LÄN</t>
        </is>
      </c>
      <c r="E83" t="inlineStr">
        <is>
          <t>ÖREBRO</t>
        </is>
      </c>
      <c r="G83" t="n">
        <v>3.6</v>
      </c>
      <c r="H83" t="n">
        <v>0</v>
      </c>
      <c r="I83" t="n">
        <v>1</v>
      </c>
      <c r="J83" t="n">
        <v>0</v>
      </c>
      <c r="K83" t="n">
        <v>0</v>
      </c>
      <c r="L83" t="n">
        <v>0</v>
      </c>
      <c r="M83" t="n">
        <v>0</v>
      </c>
      <c r="N83" t="n">
        <v>0</v>
      </c>
      <c r="O83" t="n">
        <v>0</v>
      </c>
      <c r="P83" t="n">
        <v>0</v>
      </c>
      <c r="Q83" t="n">
        <v>1</v>
      </c>
      <c r="R83" s="2" t="inlineStr">
        <is>
          <t>Blomkålssvamp</t>
        </is>
      </c>
      <c r="S83">
        <f>HYPERLINK("https://klasma.github.io/Logging_1880/artfynd/A 22848-2023 artfynd.xlsx", "A 22848-2023")</f>
        <v/>
      </c>
      <c r="T83">
        <f>HYPERLINK("https://klasma.github.io/Logging_1880/kartor/A 22848-2023 karta.png", "A 22848-2023")</f>
        <v/>
      </c>
      <c r="V83">
        <f>HYPERLINK("https://klasma.github.io/Logging_1880/klagomål/A 22848-2023 FSC-klagomål.docx", "A 22848-2023")</f>
        <v/>
      </c>
      <c r="W83">
        <f>HYPERLINK("https://klasma.github.io/Logging_1880/klagomålsmail/A 22848-2023 FSC-klagomål mail.docx", "A 22848-2023")</f>
        <v/>
      </c>
      <c r="X83">
        <f>HYPERLINK("https://klasma.github.io/Logging_1880/tillsyn/A 22848-2023 tillsynsbegäran.docx", "A 22848-2023")</f>
        <v/>
      </c>
      <c r="Y83">
        <f>HYPERLINK("https://klasma.github.io/Logging_1880/tillsynsmail/A 22848-2023 tillsynsbegäran mail.docx", "A 22848-2023")</f>
        <v/>
      </c>
    </row>
    <row r="84" ht="15" customHeight="1">
      <c r="A84" t="inlineStr">
        <is>
          <t>A 23608-2023</t>
        </is>
      </c>
      <c r="B84" s="1" t="n">
        <v>45077</v>
      </c>
      <c r="C84" s="1" t="n">
        <v>45645</v>
      </c>
      <c r="D84" t="inlineStr">
        <is>
          <t>ÖREBRO LÄN</t>
        </is>
      </c>
      <c r="E84" t="inlineStr">
        <is>
          <t>ÖREBRO</t>
        </is>
      </c>
      <c r="G84" t="n">
        <v>5.8</v>
      </c>
      <c r="H84" t="n">
        <v>1</v>
      </c>
      <c r="I84" t="n">
        <v>0</v>
      </c>
      <c r="J84" t="n">
        <v>1</v>
      </c>
      <c r="K84" t="n">
        <v>0</v>
      </c>
      <c r="L84" t="n">
        <v>0</v>
      </c>
      <c r="M84" t="n">
        <v>0</v>
      </c>
      <c r="N84" t="n">
        <v>0</v>
      </c>
      <c r="O84" t="n">
        <v>1</v>
      </c>
      <c r="P84" t="n">
        <v>0</v>
      </c>
      <c r="Q84" t="n">
        <v>1</v>
      </c>
      <c r="R84" s="2" t="inlineStr">
        <is>
          <t>Havsörn</t>
        </is>
      </c>
      <c r="S84">
        <f>HYPERLINK("https://klasma.github.io/Logging_1880/artfynd/A 23608-2023 artfynd.xlsx", "A 23608-2023")</f>
        <v/>
      </c>
      <c r="T84">
        <f>HYPERLINK("https://klasma.github.io/Logging_1880/kartor/A 23608-2023 karta.png", "A 23608-2023")</f>
        <v/>
      </c>
      <c r="V84">
        <f>HYPERLINK("https://klasma.github.io/Logging_1880/klagomål/A 23608-2023 FSC-klagomål.docx", "A 23608-2023")</f>
        <v/>
      </c>
      <c r="W84">
        <f>HYPERLINK("https://klasma.github.io/Logging_1880/klagomålsmail/A 23608-2023 FSC-klagomål mail.docx", "A 23608-2023")</f>
        <v/>
      </c>
      <c r="X84">
        <f>HYPERLINK("https://klasma.github.io/Logging_1880/tillsyn/A 23608-2023 tillsynsbegäran.docx", "A 23608-2023")</f>
        <v/>
      </c>
      <c r="Y84">
        <f>HYPERLINK("https://klasma.github.io/Logging_1880/tillsynsmail/A 23608-2023 tillsynsbegäran mail.docx", "A 23608-2023")</f>
        <v/>
      </c>
      <c r="Z84">
        <f>HYPERLINK("https://klasma.github.io/Logging_1880/fåglar/A 23608-2023 prioriterade fågelarter.docx", "A 23608-2023")</f>
        <v/>
      </c>
    </row>
    <row r="85" ht="15" customHeight="1">
      <c r="A85" t="inlineStr">
        <is>
          <t>A 32105-2023</t>
        </is>
      </c>
      <c r="B85" s="1" t="n">
        <v>45119</v>
      </c>
      <c r="C85" s="1" t="n">
        <v>45645</v>
      </c>
      <c r="D85" t="inlineStr">
        <is>
          <t>ÖREBRO LÄN</t>
        </is>
      </c>
      <c r="E85" t="inlineStr">
        <is>
          <t>ÖREBRO</t>
        </is>
      </c>
      <c r="G85" t="n">
        <v>1.3</v>
      </c>
      <c r="H85" t="n">
        <v>1</v>
      </c>
      <c r="I85" t="n">
        <v>0</v>
      </c>
      <c r="J85" t="n">
        <v>1</v>
      </c>
      <c r="K85" t="n">
        <v>0</v>
      </c>
      <c r="L85" t="n">
        <v>0</v>
      </c>
      <c r="M85" t="n">
        <v>0</v>
      </c>
      <c r="N85" t="n">
        <v>0</v>
      </c>
      <c r="O85" t="n">
        <v>1</v>
      </c>
      <c r="P85" t="n">
        <v>0</v>
      </c>
      <c r="Q85" t="n">
        <v>1</v>
      </c>
      <c r="R85" s="2" t="inlineStr">
        <is>
          <t>Rödvingetrast</t>
        </is>
      </c>
      <c r="S85">
        <f>HYPERLINK("https://klasma.github.io/Logging_1880/artfynd/A 32105-2023 artfynd.xlsx", "A 32105-2023")</f>
        <v/>
      </c>
      <c r="T85">
        <f>HYPERLINK("https://klasma.github.io/Logging_1880/kartor/A 32105-2023 karta.png", "A 32105-2023")</f>
        <v/>
      </c>
      <c r="V85">
        <f>HYPERLINK("https://klasma.github.io/Logging_1880/klagomål/A 32105-2023 FSC-klagomål.docx", "A 32105-2023")</f>
        <v/>
      </c>
      <c r="W85">
        <f>HYPERLINK("https://klasma.github.io/Logging_1880/klagomålsmail/A 32105-2023 FSC-klagomål mail.docx", "A 32105-2023")</f>
        <v/>
      </c>
      <c r="X85">
        <f>HYPERLINK("https://klasma.github.io/Logging_1880/tillsyn/A 32105-2023 tillsynsbegäran.docx", "A 32105-2023")</f>
        <v/>
      </c>
      <c r="Y85">
        <f>HYPERLINK("https://klasma.github.io/Logging_1880/tillsynsmail/A 32105-2023 tillsynsbegäran mail.docx", "A 32105-2023")</f>
        <v/>
      </c>
      <c r="Z85">
        <f>HYPERLINK("https://klasma.github.io/Logging_1880/fåglar/A 32105-2023 prioriterade fågelarter.docx", "A 32105-2023")</f>
        <v/>
      </c>
    </row>
    <row r="86" ht="15" customHeight="1">
      <c r="A86" t="inlineStr">
        <is>
          <t>A 60352-2023</t>
        </is>
      </c>
      <c r="B86" s="1" t="n">
        <v>45258</v>
      </c>
      <c r="C86" s="1" t="n">
        <v>45645</v>
      </c>
      <c r="D86" t="inlineStr">
        <is>
          <t>ÖREBRO LÄN</t>
        </is>
      </c>
      <c r="E86" t="inlineStr">
        <is>
          <t>ÖREBRO</t>
        </is>
      </c>
      <c r="G86" t="n">
        <v>13.7</v>
      </c>
      <c r="H86" t="n">
        <v>0</v>
      </c>
      <c r="I86" t="n">
        <v>1</v>
      </c>
      <c r="J86" t="n">
        <v>0</v>
      </c>
      <c r="K86" t="n">
        <v>0</v>
      </c>
      <c r="L86" t="n">
        <v>0</v>
      </c>
      <c r="M86" t="n">
        <v>0</v>
      </c>
      <c r="N86" t="n">
        <v>0</v>
      </c>
      <c r="O86" t="n">
        <v>0</v>
      </c>
      <c r="P86" t="n">
        <v>0</v>
      </c>
      <c r="Q86" t="n">
        <v>1</v>
      </c>
      <c r="R86" s="2" t="inlineStr">
        <is>
          <t>Blomkålssvamp</t>
        </is>
      </c>
      <c r="S86">
        <f>HYPERLINK("https://klasma.github.io/Logging_1880/artfynd/A 60352-2023 artfynd.xlsx", "A 60352-2023")</f>
        <v/>
      </c>
      <c r="T86">
        <f>HYPERLINK("https://klasma.github.io/Logging_1880/kartor/A 60352-2023 karta.png", "A 60352-2023")</f>
        <v/>
      </c>
      <c r="V86">
        <f>HYPERLINK("https://klasma.github.io/Logging_1880/klagomål/A 60352-2023 FSC-klagomål.docx", "A 60352-2023")</f>
        <v/>
      </c>
      <c r="W86">
        <f>HYPERLINK("https://klasma.github.io/Logging_1880/klagomålsmail/A 60352-2023 FSC-klagomål mail.docx", "A 60352-2023")</f>
        <v/>
      </c>
      <c r="X86">
        <f>HYPERLINK("https://klasma.github.io/Logging_1880/tillsyn/A 60352-2023 tillsynsbegäran.docx", "A 60352-2023")</f>
        <v/>
      </c>
      <c r="Y86">
        <f>HYPERLINK("https://klasma.github.io/Logging_1880/tillsynsmail/A 60352-2023 tillsynsbegäran mail.docx", "A 60352-2023")</f>
        <v/>
      </c>
    </row>
    <row r="87" ht="15" customHeight="1">
      <c r="A87" t="inlineStr">
        <is>
          <t>A 3866-2024</t>
        </is>
      </c>
      <c r="B87" s="1" t="n">
        <v>45322</v>
      </c>
      <c r="C87" s="1" t="n">
        <v>45645</v>
      </c>
      <c r="D87" t="inlineStr">
        <is>
          <t>ÖREBRO LÄN</t>
        </is>
      </c>
      <c r="E87" t="inlineStr">
        <is>
          <t>ÖREBRO</t>
        </is>
      </c>
      <c r="F87" t="inlineStr">
        <is>
          <t>Övriga Aktiebolag</t>
        </is>
      </c>
      <c r="G87" t="n">
        <v>4.7</v>
      </c>
      <c r="H87" t="n">
        <v>1</v>
      </c>
      <c r="I87" t="n">
        <v>0</v>
      </c>
      <c r="J87" t="n">
        <v>0</v>
      </c>
      <c r="K87" t="n">
        <v>0</v>
      </c>
      <c r="L87" t="n">
        <v>1</v>
      </c>
      <c r="M87" t="n">
        <v>0</v>
      </c>
      <c r="N87" t="n">
        <v>0</v>
      </c>
      <c r="O87" t="n">
        <v>1</v>
      </c>
      <c r="P87" t="n">
        <v>1</v>
      </c>
      <c r="Q87" t="n">
        <v>1</v>
      </c>
      <c r="R87" s="2" t="inlineStr">
        <is>
          <t>Bredgentiana</t>
        </is>
      </c>
      <c r="S87">
        <f>HYPERLINK("https://klasma.github.io/Logging_1880/artfynd/A 3866-2024 artfynd.xlsx", "A 3866-2024")</f>
        <v/>
      </c>
      <c r="T87">
        <f>HYPERLINK("https://klasma.github.io/Logging_1880/kartor/A 3866-2024 karta.png", "A 3866-2024")</f>
        <v/>
      </c>
      <c r="V87">
        <f>HYPERLINK("https://klasma.github.io/Logging_1880/klagomål/A 3866-2024 FSC-klagomål.docx", "A 3866-2024")</f>
        <v/>
      </c>
      <c r="W87">
        <f>HYPERLINK("https://klasma.github.io/Logging_1880/klagomålsmail/A 3866-2024 FSC-klagomål mail.docx", "A 3866-2024")</f>
        <v/>
      </c>
      <c r="X87">
        <f>HYPERLINK("https://klasma.github.io/Logging_1880/tillsyn/A 3866-2024 tillsynsbegäran.docx", "A 3866-2024")</f>
        <v/>
      </c>
      <c r="Y87">
        <f>HYPERLINK("https://klasma.github.io/Logging_1880/tillsynsmail/A 3866-2024 tillsynsbegäran mail.docx", "A 3866-2024")</f>
        <v/>
      </c>
    </row>
    <row r="88" ht="15" customHeight="1">
      <c r="A88" t="inlineStr">
        <is>
          <t>A 5123-2024</t>
        </is>
      </c>
      <c r="B88" s="1" t="n">
        <v>45330</v>
      </c>
      <c r="C88" s="1" t="n">
        <v>45645</v>
      </c>
      <c r="D88" t="inlineStr">
        <is>
          <t>ÖREBRO LÄN</t>
        </is>
      </c>
      <c r="E88" t="inlineStr">
        <is>
          <t>ÖREBRO</t>
        </is>
      </c>
      <c r="G88" t="n">
        <v>1</v>
      </c>
      <c r="H88" t="n">
        <v>0</v>
      </c>
      <c r="I88" t="n">
        <v>1</v>
      </c>
      <c r="J88" t="n">
        <v>0</v>
      </c>
      <c r="K88" t="n">
        <v>0</v>
      </c>
      <c r="L88" t="n">
        <v>0</v>
      </c>
      <c r="M88" t="n">
        <v>0</v>
      </c>
      <c r="N88" t="n">
        <v>0</v>
      </c>
      <c r="O88" t="n">
        <v>0</v>
      </c>
      <c r="P88" t="n">
        <v>0</v>
      </c>
      <c r="Q88" t="n">
        <v>1</v>
      </c>
      <c r="R88" s="2" t="inlineStr">
        <is>
          <t>Svart trolldruva</t>
        </is>
      </c>
      <c r="S88">
        <f>HYPERLINK("https://klasma.github.io/Logging_1880/artfynd/A 5123-2024 artfynd.xlsx", "A 5123-2024")</f>
        <v/>
      </c>
      <c r="T88">
        <f>HYPERLINK("https://klasma.github.io/Logging_1880/kartor/A 5123-2024 karta.png", "A 5123-2024")</f>
        <v/>
      </c>
      <c r="V88">
        <f>HYPERLINK("https://klasma.github.io/Logging_1880/klagomål/A 5123-2024 FSC-klagomål.docx", "A 5123-2024")</f>
        <v/>
      </c>
      <c r="W88">
        <f>HYPERLINK("https://klasma.github.io/Logging_1880/klagomålsmail/A 5123-2024 FSC-klagomål mail.docx", "A 5123-2024")</f>
        <v/>
      </c>
      <c r="X88">
        <f>HYPERLINK("https://klasma.github.io/Logging_1880/tillsyn/A 5123-2024 tillsynsbegäran.docx", "A 5123-2024")</f>
        <v/>
      </c>
      <c r="Y88">
        <f>HYPERLINK("https://klasma.github.io/Logging_1880/tillsynsmail/A 5123-2024 tillsynsbegäran mail.docx", "A 5123-2024")</f>
        <v/>
      </c>
    </row>
    <row r="89" ht="15" customHeight="1">
      <c r="A89" t="inlineStr">
        <is>
          <t>A 8795-2024</t>
        </is>
      </c>
      <c r="B89" s="1" t="n">
        <v>45356</v>
      </c>
      <c r="C89" s="1" t="n">
        <v>45645</v>
      </c>
      <c r="D89" t="inlineStr">
        <is>
          <t>ÖREBRO LÄN</t>
        </is>
      </c>
      <c r="E89" t="inlineStr">
        <is>
          <t>ÖREBRO</t>
        </is>
      </c>
      <c r="G89" t="n">
        <v>3.1</v>
      </c>
      <c r="H89" t="n">
        <v>0</v>
      </c>
      <c r="I89" t="n">
        <v>0</v>
      </c>
      <c r="J89" t="n">
        <v>0</v>
      </c>
      <c r="K89" t="n">
        <v>1</v>
      </c>
      <c r="L89" t="n">
        <v>0</v>
      </c>
      <c r="M89" t="n">
        <v>0</v>
      </c>
      <c r="N89" t="n">
        <v>0</v>
      </c>
      <c r="O89" t="n">
        <v>1</v>
      </c>
      <c r="P89" t="n">
        <v>1</v>
      </c>
      <c r="Q89" t="n">
        <v>1</v>
      </c>
      <c r="R89" s="2" t="inlineStr">
        <is>
          <t>Violgubbe</t>
        </is>
      </c>
      <c r="S89">
        <f>HYPERLINK("https://klasma.github.io/Logging_1880/artfynd/A 8795-2024 artfynd.xlsx", "A 8795-2024")</f>
        <v/>
      </c>
      <c r="T89">
        <f>HYPERLINK("https://klasma.github.io/Logging_1880/kartor/A 8795-2024 karta.png", "A 8795-2024")</f>
        <v/>
      </c>
      <c r="V89">
        <f>HYPERLINK("https://klasma.github.io/Logging_1880/klagomål/A 8795-2024 FSC-klagomål.docx", "A 8795-2024")</f>
        <v/>
      </c>
      <c r="W89">
        <f>HYPERLINK("https://klasma.github.io/Logging_1880/klagomålsmail/A 8795-2024 FSC-klagomål mail.docx", "A 8795-2024")</f>
        <v/>
      </c>
      <c r="X89">
        <f>HYPERLINK("https://klasma.github.io/Logging_1880/tillsyn/A 8795-2024 tillsynsbegäran.docx", "A 8795-2024")</f>
        <v/>
      </c>
      <c r="Y89">
        <f>HYPERLINK("https://klasma.github.io/Logging_1880/tillsynsmail/A 8795-2024 tillsynsbegäran mail.docx", "A 8795-2024")</f>
        <v/>
      </c>
    </row>
    <row r="90" ht="15" customHeight="1">
      <c r="A90" t="inlineStr">
        <is>
          <t>A 13484-2024</t>
        </is>
      </c>
      <c r="B90" s="1" t="n">
        <v>45387</v>
      </c>
      <c r="C90" s="1" t="n">
        <v>45645</v>
      </c>
      <c r="D90" t="inlineStr">
        <is>
          <t>ÖREBRO LÄN</t>
        </is>
      </c>
      <c r="E90" t="inlineStr">
        <is>
          <t>ÖREBRO</t>
        </is>
      </c>
      <c r="G90" t="n">
        <v>9.1</v>
      </c>
      <c r="H90" t="n">
        <v>1</v>
      </c>
      <c r="I90" t="n">
        <v>0</v>
      </c>
      <c r="J90" t="n">
        <v>1</v>
      </c>
      <c r="K90" t="n">
        <v>0</v>
      </c>
      <c r="L90" t="n">
        <v>0</v>
      </c>
      <c r="M90" t="n">
        <v>0</v>
      </c>
      <c r="N90" t="n">
        <v>0</v>
      </c>
      <c r="O90" t="n">
        <v>1</v>
      </c>
      <c r="P90" t="n">
        <v>0</v>
      </c>
      <c r="Q90" t="n">
        <v>1</v>
      </c>
      <c r="R90" s="2" t="inlineStr">
        <is>
          <t>Spillkråka</t>
        </is>
      </c>
      <c r="S90">
        <f>HYPERLINK("https://klasma.github.io/Logging_1880/artfynd/A 13484-2024 artfynd.xlsx", "A 13484-2024")</f>
        <v/>
      </c>
      <c r="T90">
        <f>HYPERLINK("https://klasma.github.io/Logging_1880/kartor/A 13484-2024 karta.png", "A 13484-2024")</f>
        <v/>
      </c>
      <c r="V90">
        <f>HYPERLINK("https://klasma.github.io/Logging_1880/klagomål/A 13484-2024 FSC-klagomål.docx", "A 13484-2024")</f>
        <v/>
      </c>
      <c r="W90">
        <f>HYPERLINK("https://klasma.github.io/Logging_1880/klagomålsmail/A 13484-2024 FSC-klagomål mail.docx", "A 13484-2024")</f>
        <v/>
      </c>
      <c r="X90">
        <f>HYPERLINK("https://klasma.github.io/Logging_1880/tillsyn/A 13484-2024 tillsynsbegäran.docx", "A 13484-2024")</f>
        <v/>
      </c>
      <c r="Y90">
        <f>HYPERLINK("https://klasma.github.io/Logging_1880/tillsynsmail/A 13484-2024 tillsynsbegäran mail.docx", "A 13484-2024")</f>
        <v/>
      </c>
      <c r="Z90">
        <f>HYPERLINK("https://klasma.github.io/Logging_1880/fåglar/A 13484-2024 prioriterade fågelarter.docx", "A 13484-2024")</f>
        <v/>
      </c>
    </row>
    <row r="91" ht="15" customHeight="1">
      <c r="A91" t="inlineStr">
        <is>
          <t>A 22604-2024</t>
        </is>
      </c>
      <c r="B91" s="1" t="n">
        <v>45447</v>
      </c>
      <c r="C91" s="1" t="n">
        <v>45645</v>
      </c>
      <c r="D91" t="inlineStr">
        <is>
          <t>ÖREBRO LÄN</t>
        </is>
      </c>
      <c r="E91" t="inlineStr">
        <is>
          <t>ÖREBRO</t>
        </is>
      </c>
      <c r="G91" t="n">
        <v>4.4</v>
      </c>
      <c r="H91" t="n">
        <v>0</v>
      </c>
      <c r="I91" t="n">
        <v>0</v>
      </c>
      <c r="J91" t="n">
        <v>1</v>
      </c>
      <c r="K91" t="n">
        <v>0</v>
      </c>
      <c r="L91" t="n">
        <v>0</v>
      </c>
      <c r="M91" t="n">
        <v>0</v>
      </c>
      <c r="N91" t="n">
        <v>0</v>
      </c>
      <c r="O91" t="n">
        <v>1</v>
      </c>
      <c r="P91" t="n">
        <v>0</v>
      </c>
      <c r="Q91" t="n">
        <v>1</v>
      </c>
      <c r="R91" s="2" t="inlineStr">
        <is>
          <t>Månlåsbräken</t>
        </is>
      </c>
      <c r="S91">
        <f>HYPERLINK("https://klasma.github.io/Logging_1880/artfynd/A 22604-2024 artfynd.xlsx", "A 22604-2024")</f>
        <v/>
      </c>
      <c r="T91">
        <f>HYPERLINK("https://klasma.github.io/Logging_1880/kartor/A 22604-2024 karta.png", "A 22604-2024")</f>
        <v/>
      </c>
      <c r="V91">
        <f>HYPERLINK("https://klasma.github.io/Logging_1880/klagomål/A 22604-2024 FSC-klagomål.docx", "A 22604-2024")</f>
        <v/>
      </c>
      <c r="W91">
        <f>HYPERLINK("https://klasma.github.io/Logging_1880/klagomålsmail/A 22604-2024 FSC-klagomål mail.docx", "A 22604-2024")</f>
        <v/>
      </c>
      <c r="X91">
        <f>HYPERLINK("https://klasma.github.io/Logging_1880/tillsyn/A 22604-2024 tillsynsbegäran.docx", "A 22604-2024")</f>
        <v/>
      </c>
      <c r="Y91">
        <f>HYPERLINK("https://klasma.github.io/Logging_1880/tillsynsmail/A 22604-2024 tillsynsbegäran mail.docx", "A 22604-2024")</f>
        <v/>
      </c>
    </row>
    <row r="92" ht="15" customHeight="1">
      <c r="A92" t="inlineStr">
        <is>
          <t>A 31695-2024</t>
        </is>
      </c>
      <c r="B92" s="1" t="n">
        <v>45508</v>
      </c>
      <c r="C92" s="1" t="n">
        <v>45645</v>
      </c>
      <c r="D92" t="inlineStr">
        <is>
          <t>ÖREBRO LÄN</t>
        </is>
      </c>
      <c r="E92" t="inlineStr">
        <is>
          <t>ÖREBRO</t>
        </is>
      </c>
      <c r="G92" t="n">
        <v>1.3</v>
      </c>
      <c r="H92" t="n">
        <v>1</v>
      </c>
      <c r="I92" t="n">
        <v>1</v>
      </c>
      <c r="J92" t="n">
        <v>0</v>
      </c>
      <c r="K92" t="n">
        <v>0</v>
      </c>
      <c r="L92" t="n">
        <v>0</v>
      </c>
      <c r="M92" t="n">
        <v>0</v>
      </c>
      <c r="N92" t="n">
        <v>0</v>
      </c>
      <c r="O92" t="n">
        <v>0</v>
      </c>
      <c r="P92" t="n">
        <v>0</v>
      </c>
      <c r="Q92" t="n">
        <v>1</v>
      </c>
      <c r="R92" s="2" t="inlineStr">
        <is>
          <t>Skogsknipprot</t>
        </is>
      </c>
      <c r="S92">
        <f>HYPERLINK("https://klasma.github.io/Logging_1880/artfynd/A 31695-2024 artfynd.xlsx", "A 31695-2024")</f>
        <v/>
      </c>
      <c r="T92">
        <f>HYPERLINK("https://klasma.github.io/Logging_1880/kartor/A 31695-2024 karta.png", "A 31695-2024")</f>
        <v/>
      </c>
      <c r="V92">
        <f>HYPERLINK("https://klasma.github.io/Logging_1880/klagomål/A 31695-2024 FSC-klagomål.docx", "A 31695-2024")</f>
        <v/>
      </c>
      <c r="W92">
        <f>HYPERLINK("https://klasma.github.io/Logging_1880/klagomålsmail/A 31695-2024 FSC-klagomål mail.docx", "A 31695-2024")</f>
        <v/>
      </c>
      <c r="X92">
        <f>HYPERLINK("https://klasma.github.io/Logging_1880/tillsyn/A 31695-2024 tillsynsbegäran.docx", "A 31695-2024")</f>
        <v/>
      </c>
      <c r="Y92">
        <f>HYPERLINK("https://klasma.github.io/Logging_1880/tillsynsmail/A 31695-2024 tillsynsbegäran mail.docx", "A 31695-2024")</f>
        <v/>
      </c>
    </row>
    <row r="93" ht="15" customHeight="1">
      <c r="A93" t="inlineStr">
        <is>
          <t>A 37019-2024</t>
        </is>
      </c>
      <c r="B93" s="1" t="n">
        <v>45539</v>
      </c>
      <c r="C93" s="1" t="n">
        <v>45645</v>
      </c>
      <c r="D93" t="inlineStr">
        <is>
          <t>ÖREBRO LÄN</t>
        </is>
      </c>
      <c r="E93" t="inlineStr">
        <is>
          <t>ÖREBRO</t>
        </is>
      </c>
      <c r="F93" t="inlineStr">
        <is>
          <t>Sveaskog</t>
        </is>
      </c>
      <c r="G93" t="n">
        <v>1.9</v>
      </c>
      <c r="H93" t="n">
        <v>0</v>
      </c>
      <c r="I93" t="n">
        <v>1</v>
      </c>
      <c r="J93" t="n">
        <v>0</v>
      </c>
      <c r="K93" t="n">
        <v>0</v>
      </c>
      <c r="L93" t="n">
        <v>0</v>
      </c>
      <c r="M93" t="n">
        <v>0</v>
      </c>
      <c r="N93" t="n">
        <v>0</v>
      </c>
      <c r="O93" t="n">
        <v>0</v>
      </c>
      <c r="P93" t="n">
        <v>0</v>
      </c>
      <c r="Q93" t="n">
        <v>1</v>
      </c>
      <c r="R93" s="2" t="inlineStr">
        <is>
          <t>Tibast</t>
        </is>
      </c>
      <c r="S93">
        <f>HYPERLINK("https://klasma.github.io/Logging_1880/artfynd/A 37019-2024 artfynd.xlsx", "A 37019-2024")</f>
        <v/>
      </c>
      <c r="T93">
        <f>HYPERLINK("https://klasma.github.io/Logging_1880/kartor/A 37019-2024 karta.png", "A 37019-2024")</f>
        <v/>
      </c>
      <c r="V93">
        <f>HYPERLINK("https://klasma.github.io/Logging_1880/klagomål/A 37019-2024 FSC-klagomål.docx", "A 37019-2024")</f>
        <v/>
      </c>
      <c r="W93">
        <f>HYPERLINK("https://klasma.github.io/Logging_1880/klagomålsmail/A 37019-2024 FSC-klagomål mail.docx", "A 37019-2024")</f>
        <v/>
      </c>
      <c r="X93">
        <f>HYPERLINK("https://klasma.github.io/Logging_1880/tillsyn/A 37019-2024 tillsynsbegäran.docx", "A 37019-2024")</f>
        <v/>
      </c>
      <c r="Y93">
        <f>HYPERLINK("https://klasma.github.io/Logging_1880/tillsynsmail/A 37019-2024 tillsynsbegäran mail.docx", "A 37019-2024")</f>
        <v/>
      </c>
    </row>
    <row r="94" ht="15" customHeight="1">
      <c r="A94" t="inlineStr">
        <is>
          <t>A 44744-2024</t>
        </is>
      </c>
      <c r="B94" s="1" t="n">
        <v>45574</v>
      </c>
      <c r="C94" s="1" t="n">
        <v>45645</v>
      </c>
      <c r="D94" t="inlineStr">
        <is>
          <t>ÖREBRO LÄN</t>
        </is>
      </c>
      <c r="E94" t="inlineStr">
        <is>
          <t>ÖREBRO</t>
        </is>
      </c>
      <c r="G94" t="n">
        <v>11.6</v>
      </c>
      <c r="H94" t="n">
        <v>1</v>
      </c>
      <c r="I94" t="n">
        <v>0</v>
      </c>
      <c r="J94" t="n">
        <v>0</v>
      </c>
      <c r="K94" t="n">
        <v>0</v>
      </c>
      <c r="L94" t="n">
        <v>0</v>
      </c>
      <c r="M94" t="n">
        <v>0</v>
      </c>
      <c r="N94" t="n">
        <v>0</v>
      </c>
      <c r="O94" t="n">
        <v>0</v>
      </c>
      <c r="P94" t="n">
        <v>0</v>
      </c>
      <c r="Q94" t="n">
        <v>1</v>
      </c>
      <c r="R94" s="2" t="inlineStr">
        <is>
          <t>Revlummer</t>
        </is>
      </c>
      <c r="S94">
        <f>HYPERLINK("https://klasma.github.io/Logging_1880/artfynd/A 44744-2024 artfynd.xlsx", "A 44744-2024")</f>
        <v/>
      </c>
      <c r="T94">
        <f>HYPERLINK("https://klasma.github.io/Logging_1880/kartor/A 44744-2024 karta.png", "A 44744-2024")</f>
        <v/>
      </c>
      <c r="V94">
        <f>HYPERLINK("https://klasma.github.io/Logging_1880/klagomål/A 44744-2024 FSC-klagomål.docx", "A 44744-2024")</f>
        <v/>
      </c>
      <c r="W94">
        <f>HYPERLINK("https://klasma.github.io/Logging_1880/klagomålsmail/A 44744-2024 FSC-klagomål mail.docx", "A 44744-2024")</f>
        <v/>
      </c>
      <c r="X94">
        <f>HYPERLINK("https://klasma.github.io/Logging_1880/tillsyn/A 44744-2024 tillsynsbegäran.docx", "A 44744-2024")</f>
        <v/>
      </c>
      <c r="Y94">
        <f>HYPERLINK("https://klasma.github.io/Logging_1880/tillsynsmail/A 44744-2024 tillsynsbegäran mail.docx", "A 44744-2024")</f>
        <v/>
      </c>
    </row>
    <row r="95" ht="15" customHeight="1">
      <c r="A95" t="inlineStr">
        <is>
          <t>A 46582-2024</t>
        </is>
      </c>
      <c r="B95" s="1" t="n">
        <v>45582</v>
      </c>
      <c r="C95" s="1" t="n">
        <v>45645</v>
      </c>
      <c r="D95" t="inlineStr">
        <is>
          <t>ÖREBRO LÄN</t>
        </is>
      </c>
      <c r="E95" t="inlineStr">
        <is>
          <t>ÖREBRO</t>
        </is>
      </c>
      <c r="G95" t="n">
        <v>4</v>
      </c>
      <c r="H95" t="n">
        <v>1</v>
      </c>
      <c r="I95" t="n">
        <v>0</v>
      </c>
      <c r="J95" t="n">
        <v>1</v>
      </c>
      <c r="K95" t="n">
        <v>0</v>
      </c>
      <c r="L95" t="n">
        <v>0</v>
      </c>
      <c r="M95" t="n">
        <v>0</v>
      </c>
      <c r="N95" t="n">
        <v>0</v>
      </c>
      <c r="O95" t="n">
        <v>1</v>
      </c>
      <c r="P95" t="n">
        <v>0</v>
      </c>
      <c r="Q95" t="n">
        <v>1</v>
      </c>
      <c r="R95" s="2" t="inlineStr">
        <is>
          <t>Spillkråka</t>
        </is>
      </c>
      <c r="S95">
        <f>HYPERLINK("https://klasma.github.io/Logging_1880/artfynd/A 46582-2024 artfynd.xlsx", "A 46582-2024")</f>
        <v/>
      </c>
      <c r="T95">
        <f>HYPERLINK("https://klasma.github.io/Logging_1880/kartor/A 46582-2024 karta.png", "A 46582-2024")</f>
        <v/>
      </c>
      <c r="V95">
        <f>HYPERLINK("https://klasma.github.io/Logging_1880/klagomål/A 46582-2024 FSC-klagomål.docx", "A 46582-2024")</f>
        <v/>
      </c>
      <c r="W95">
        <f>HYPERLINK("https://klasma.github.io/Logging_1880/klagomålsmail/A 46582-2024 FSC-klagomål mail.docx", "A 46582-2024")</f>
        <v/>
      </c>
      <c r="X95">
        <f>HYPERLINK("https://klasma.github.io/Logging_1880/tillsyn/A 46582-2024 tillsynsbegäran.docx", "A 46582-2024")</f>
        <v/>
      </c>
      <c r="Y95">
        <f>HYPERLINK("https://klasma.github.io/Logging_1880/tillsynsmail/A 46582-2024 tillsynsbegäran mail.docx", "A 46582-2024")</f>
        <v/>
      </c>
      <c r="Z95">
        <f>HYPERLINK("https://klasma.github.io/Logging_1880/fåglar/A 46582-2024 prioriterade fågelarter.docx", "A 46582-2024")</f>
        <v/>
      </c>
    </row>
    <row r="96" ht="15" customHeight="1">
      <c r="A96" t="inlineStr">
        <is>
          <t>A 55805-2024</t>
        </is>
      </c>
      <c r="B96" s="1" t="n">
        <v>45623</v>
      </c>
      <c r="C96" s="1" t="n">
        <v>45645</v>
      </c>
      <c r="D96" t="inlineStr">
        <is>
          <t>ÖREBRO LÄN</t>
        </is>
      </c>
      <c r="E96" t="inlineStr">
        <is>
          <t>ÖREBRO</t>
        </is>
      </c>
      <c r="G96" t="n">
        <v>1.8</v>
      </c>
      <c r="H96" t="n">
        <v>1</v>
      </c>
      <c r="I96" t="n">
        <v>0</v>
      </c>
      <c r="J96" t="n">
        <v>0</v>
      </c>
      <c r="K96" t="n">
        <v>0</v>
      </c>
      <c r="L96" t="n">
        <v>0</v>
      </c>
      <c r="M96" t="n">
        <v>0</v>
      </c>
      <c r="N96" t="n">
        <v>0</v>
      </c>
      <c r="O96" t="n">
        <v>0</v>
      </c>
      <c r="P96" t="n">
        <v>0</v>
      </c>
      <c r="Q96" t="n">
        <v>1</v>
      </c>
      <c r="R96" s="2" t="inlineStr">
        <is>
          <t>Kungsfågel</t>
        </is>
      </c>
      <c r="S96">
        <f>HYPERLINK("https://klasma.github.io/Logging_1880/artfynd/A 55805-2024 artfynd.xlsx", "A 55805-2024")</f>
        <v/>
      </c>
      <c r="T96">
        <f>HYPERLINK("https://klasma.github.io/Logging_1880/kartor/A 55805-2024 karta.png", "A 55805-2024")</f>
        <v/>
      </c>
      <c r="V96">
        <f>HYPERLINK("https://klasma.github.io/Logging_1880/klagomål/A 55805-2024 FSC-klagomål.docx", "A 55805-2024")</f>
        <v/>
      </c>
      <c r="W96">
        <f>HYPERLINK("https://klasma.github.io/Logging_1880/klagomålsmail/A 55805-2024 FSC-klagomål mail.docx", "A 55805-2024")</f>
        <v/>
      </c>
      <c r="X96">
        <f>HYPERLINK("https://klasma.github.io/Logging_1880/tillsyn/A 55805-2024 tillsynsbegäran.docx", "A 55805-2024")</f>
        <v/>
      </c>
      <c r="Y96">
        <f>HYPERLINK("https://klasma.github.io/Logging_1880/tillsynsmail/A 55805-2024 tillsynsbegäran mail.docx", "A 55805-2024")</f>
        <v/>
      </c>
      <c r="Z96">
        <f>HYPERLINK("https://klasma.github.io/Logging_1880/fåglar/A 55805-2024 prioriterade fågelarter.docx", "A 55805-2024")</f>
        <v/>
      </c>
    </row>
    <row r="97" ht="15" customHeight="1">
      <c r="A97" t="inlineStr">
        <is>
          <t>A 18034-2019</t>
        </is>
      </c>
      <c r="B97" s="1" t="n">
        <v>43557</v>
      </c>
      <c r="C97" s="1" t="n">
        <v>45645</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19042-2019</t>
        </is>
      </c>
      <c r="B98" s="1" t="n">
        <v>43563</v>
      </c>
      <c r="C98" s="1" t="n">
        <v>45645</v>
      </c>
      <c r="D98" t="inlineStr">
        <is>
          <t>ÖREBRO LÄN</t>
        </is>
      </c>
      <c r="E98" t="inlineStr">
        <is>
          <t>ÖREBRO</t>
        </is>
      </c>
      <c r="G98" t="n">
        <v>2.8</v>
      </c>
      <c r="H98" t="n">
        <v>0</v>
      </c>
      <c r="I98" t="n">
        <v>0</v>
      </c>
      <c r="J98" t="n">
        <v>0</v>
      </c>
      <c r="K98" t="n">
        <v>0</v>
      </c>
      <c r="L98" t="n">
        <v>0</v>
      </c>
      <c r="M98" t="n">
        <v>0</v>
      </c>
      <c r="N98" t="n">
        <v>0</v>
      </c>
      <c r="O98" t="n">
        <v>0</v>
      </c>
      <c r="P98" t="n">
        <v>0</v>
      </c>
      <c r="Q98" t="n">
        <v>0</v>
      </c>
      <c r="R98" s="2" t="inlineStr"/>
    </row>
    <row r="99" ht="15" customHeight="1">
      <c r="A99" t="inlineStr">
        <is>
          <t>A 19047-2019</t>
        </is>
      </c>
      <c r="B99" s="1" t="n">
        <v>43563</v>
      </c>
      <c r="C99" s="1" t="n">
        <v>45645</v>
      </c>
      <c r="D99" t="inlineStr">
        <is>
          <t>ÖREBRO LÄN</t>
        </is>
      </c>
      <c r="E99" t="inlineStr">
        <is>
          <t>ÖREBRO</t>
        </is>
      </c>
      <c r="G99" t="n">
        <v>1.3</v>
      </c>
      <c r="H99" t="n">
        <v>0</v>
      </c>
      <c r="I99" t="n">
        <v>0</v>
      </c>
      <c r="J99" t="n">
        <v>0</v>
      </c>
      <c r="K99" t="n">
        <v>0</v>
      </c>
      <c r="L99" t="n">
        <v>0</v>
      </c>
      <c r="M99" t="n">
        <v>0</v>
      </c>
      <c r="N99" t="n">
        <v>0</v>
      </c>
      <c r="O99" t="n">
        <v>0</v>
      </c>
      <c r="P99" t="n">
        <v>0</v>
      </c>
      <c r="Q99" t="n">
        <v>0</v>
      </c>
      <c r="R99" s="2" t="inlineStr"/>
    </row>
    <row r="100" ht="15" customHeight="1">
      <c r="A100" t="inlineStr">
        <is>
          <t>A 19049-2019</t>
        </is>
      </c>
      <c r="B100" s="1" t="n">
        <v>43563</v>
      </c>
      <c r="C100" s="1" t="n">
        <v>45645</v>
      </c>
      <c r="D100" t="inlineStr">
        <is>
          <t>ÖREBRO LÄN</t>
        </is>
      </c>
      <c r="E100" t="inlineStr">
        <is>
          <t>ÖREBRO</t>
        </is>
      </c>
      <c r="G100" t="n">
        <v>2.1</v>
      </c>
      <c r="H100" t="n">
        <v>0</v>
      </c>
      <c r="I100" t="n">
        <v>0</v>
      </c>
      <c r="J100" t="n">
        <v>0</v>
      </c>
      <c r="K100" t="n">
        <v>0</v>
      </c>
      <c r="L100" t="n">
        <v>0</v>
      </c>
      <c r="M100" t="n">
        <v>0</v>
      </c>
      <c r="N100" t="n">
        <v>0</v>
      </c>
      <c r="O100" t="n">
        <v>0</v>
      </c>
      <c r="P100" t="n">
        <v>0</v>
      </c>
      <c r="Q100" t="n">
        <v>0</v>
      </c>
      <c r="R100" s="2" t="inlineStr"/>
    </row>
    <row r="101" ht="15" customHeight="1">
      <c r="A101" t="inlineStr">
        <is>
          <t>A 19044-2019</t>
        </is>
      </c>
      <c r="B101" s="1" t="n">
        <v>43563</v>
      </c>
      <c r="C101" s="1" t="n">
        <v>45645</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19048-2019</t>
        </is>
      </c>
      <c r="B102" s="1" t="n">
        <v>43563</v>
      </c>
      <c r="C102" s="1" t="n">
        <v>45645</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19045-2019</t>
        </is>
      </c>
      <c r="B103" s="1" t="n">
        <v>43563</v>
      </c>
      <c r="C103" s="1" t="n">
        <v>45645</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19046-2019</t>
        </is>
      </c>
      <c r="B104" s="1" t="n">
        <v>43563</v>
      </c>
      <c r="C104" s="1" t="n">
        <v>45645</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20232-2019</t>
        </is>
      </c>
      <c r="B105" s="1" t="n">
        <v>43571</v>
      </c>
      <c r="C105" s="1" t="n">
        <v>45645</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20609-2019</t>
        </is>
      </c>
      <c r="B106" s="1" t="n">
        <v>43572</v>
      </c>
      <c r="C106" s="1" t="n">
        <v>45645</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21722-2019</t>
        </is>
      </c>
      <c r="B107" s="1" t="n">
        <v>43581</v>
      </c>
      <c r="C107" s="1" t="n">
        <v>45645</v>
      </c>
      <c r="D107" t="inlineStr">
        <is>
          <t>ÖREBRO LÄN</t>
        </is>
      </c>
      <c r="E107" t="inlineStr">
        <is>
          <t>ÖREBRO</t>
        </is>
      </c>
      <c r="G107" t="n">
        <v>11.3</v>
      </c>
      <c r="H107" t="n">
        <v>0</v>
      </c>
      <c r="I107" t="n">
        <v>0</v>
      </c>
      <c r="J107" t="n">
        <v>0</v>
      </c>
      <c r="K107" t="n">
        <v>0</v>
      </c>
      <c r="L107" t="n">
        <v>0</v>
      </c>
      <c r="M107" t="n">
        <v>0</v>
      </c>
      <c r="N107" t="n">
        <v>0</v>
      </c>
      <c r="O107" t="n">
        <v>0</v>
      </c>
      <c r="P107" t="n">
        <v>0</v>
      </c>
      <c r="Q107" t="n">
        <v>0</v>
      </c>
      <c r="R107" s="2" t="inlineStr"/>
    </row>
    <row r="108" ht="15" customHeight="1">
      <c r="A108" t="inlineStr">
        <is>
          <t>A 21830-2019</t>
        </is>
      </c>
      <c r="B108" s="1" t="n">
        <v>43584</v>
      </c>
      <c r="C108" s="1" t="n">
        <v>45645</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21835-2019</t>
        </is>
      </c>
      <c r="B109" s="1" t="n">
        <v>43584</v>
      </c>
      <c r="C109" s="1" t="n">
        <v>45645</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22243-2019</t>
        </is>
      </c>
      <c r="B110" s="1" t="n">
        <v>43585</v>
      </c>
      <c r="C110" s="1" t="n">
        <v>45645</v>
      </c>
      <c r="D110" t="inlineStr">
        <is>
          <t>ÖREBRO LÄN</t>
        </is>
      </c>
      <c r="E110" t="inlineStr">
        <is>
          <t>ÖREBRO</t>
        </is>
      </c>
      <c r="G110" t="n">
        <v>2.8</v>
      </c>
      <c r="H110" t="n">
        <v>0</v>
      </c>
      <c r="I110" t="n">
        <v>0</v>
      </c>
      <c r="J110" t="n">
        <v>0</v>
      </c>
      <c r="K110" t="n">
        <v>0</v>
      </c>
      <c r="L110" t="n">
        <v>0</v>
      </c>
      <c r="M110" t="n">
        <v>0</v>
      </c>
      <c r="N110" t="n">
        <v>0</v>
      </c>
      <c r="O110" t="n">
        <v>0</v>
      </c>
      <c r="P110" t="n">
        <v>0</v>
      </c>
      <c r="Q110" t="n">
        <v>0</v>
      </c>
      <c r="R110" s="2" t="inlineStr"/>
    </row>
    <row r="111" ht="15" customHeight="1">
      <c r="A111" t="inlineStr">
        <is>
          <t>A 23667-2019</t>
        </is>
      </c>
      <c r="B111" s="1" t="n">
        <v>43594</v>
      </c>
      <c r="C111" s="1" t="n">
        <v>45645</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24092-2019</t>
        </is>
      </c>
      <c r="B112" s="1" t="n">
        <v>43598</v>
      </c>
      <c r="C112" s="1" t="n">
        <v>45645</v>
      </c>
      <c r="D112" t="inlineStr">
        <is>
          <t>ÖREBRO LÄN</t>
        </is>
      </c>
      <c r="E112" t="inlineStr">
        <is>
          <t>ÖREBRO</t>
        </is>
      </c>
      <c r="G112" t="n">
        <v>3.9</v>
      </c>
      <c r="H112" t="n">
        <v>0</v>
      </c>
      <c r="I112" t="n">
        <v>0</v>
      </c>
      <c r="J112" t="n">
        <v>0</v>
      </c>
      <c r="K112" t="n">
        <v>0</v>
      </c>
      <c r="L112" t="n">
        <v>0</v>
      </c>
      <c r="M112" t="n">
        <v>0</v>
      </c>
      <c r="N112" t="n">
        <v>0</v>
      </c>
      <c r="O112" t="n">
        <v>0</v>
      </c>
      <c r="P112" t="n">
        <v>0</v>
      </c>
      <c r="Q112" t="n">
        <v>0</v>
      </c>
      <c r="R112" s="2" t="inlineStr"/>
    </row>
    <row r="113" ht="15" customHeight="1">
      <c r="A113" t="inlineStr">
        <is>
          <t>A 25186-2019</t>
        </is>
      </c>
      <c r="B113" s="1" t="n">
        <v>43605</v>
      </c>
      <c r="C113" s="1" t="n">
        <v>45645</v>
      </c>
      <c r="D113" t="inlineStr">
        <is>
          <t>ÖREBRO LÄN</t>
        </is>
      </c>
      <c r="E113" t="inlineStr">
        <is>
          <t>ÖREBRO</t>
        </is>
      </c>
      <c r="G113" t="n">
        <v>2.3</v>
      </c>
      <c r="H113" t="n">
        <v>0</v>
      </c>
      <c r="I113" t="n">
        <v>0</v>
      </c>
      <c r="J113" t="n">
        <v>0</v>
      </c>
      <c r="K113" t="n">
        <v>0</v>
      </c>
      <c r="L113" t="n">
        <v>0</v>
      </c>
      <c r="M113" t="n">
        <v>0</v>
      </c>
      <c r="N113" t="n">
        <v>0</v>
      </c>
      <c r="O113" t="n">
        <v>0</v>
      </c>
      <c r="P113" t="n">
        <v>0</v>
      </c>
      <c r="Q113" t="n">
        <v>0</v>
      </c>
      <c r="R113" s="2" t="inlineStr"/>
      <c r="U113">
        <f>HYPERLINK("https://klasma.github.io/Logging_1880/knärot/A 25186-2019 karta knärot.png", "A 25186-2019")</f>
        <v/>
      </c>
      <c r="V113">
        <f>HYPERLINK("https://klasma.github.io/Logging_1880/klagomål/A 25186-2019 FSC-klagomål.docx", "A 25186-2019")</f>
        <v/>
      </c>
      <c r="W113">
        <f>HYPERLINK("https://klasma.github.io/Logging_1880/klagomålsmail/A 25186-2019 FSC-klagomål mail.docx", "A 25186-2019")</f>
        <v/>
      </c>
      <c r="X113">
        <f>HYPERLINK("https://klasma.github.io/Logging_1880/tillsyn/A 25186-2019 tillsynsbegäran.docx", "A 25186-2019")</f>
        <v/>
      </c>
      <c r="Y113">
        <f>HYPERLINK("https://klasma.github.io/Logging_1880/tillsynsmail/A 25186-2019 tillsynsbegäran mail.docx", "A 25186-2019")</f>
        <v/>
      </c>
    </row>
    <row r="114" ht="15" customHeight="1">
      <c r="A114" t="inlineStr">
        <is>
          <t>A 26306-2019</t>
        </is>
      </c>
      <c r="B114" s="1" t="n">
        <v>43612</v>
      </c>
      <c r="C114" s="1" t="n">
        <v>45645</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28925-2019</t>
        </is>
      </c>
      <c r="B115" s="1" t="n">
        <v>43619</v>
      </c>
      <c r="C115" s="1" t="n">
        <v>45645</v>
      </c>
      <c r="D115" t="inlineStr">
        <is>
          <t>ÖREBRO LÄN</t>
        </is>
      </c>
      <c r="E115" t="inlineStr">
        <is>
          <t>ÖREBRO</t>
        </is>
      </c>
      <c r="F115" t="inlineStr">
        <is>
          <t>Övriga Aktiebolag</t>
        </is>
      </c>
      <c r="G115" t="n">
        <v>17.9</v>
      </c>
      <c r="H115" t="n">
        <v>0</v>
      </c>
      <c r="I115" t="n">
        <v>0</v>
      </c>
      <c r="J115" t="n">
        <v>0</v>
      </c>
      <c r="K115" t="n">
        <v>0</v>
      </c>
      <c r="L115" t="n">
        <v>0</v>
      </c>
      <c r="M115" t="n">
        <v>0</v>
      </c>
      <c r="N115" t="n">
        <v>0</v>
      </c>
      <c r="O115" t="n">
        <v>0</v>
      </c>
      <c r="P115" t="n">
        <v>0</v>
      </c>
      <c r="Q115" t="n">
        <v>0</v>
      </c>
      <c r="R115" s="2" t="inlineStr"/>
    </row>
    <row r="116" ht="15" customHeight="1">
      <c r="A116" t="inlineStr">
        <is>
          <t>A 28660-2019</t>
        </is>
      </c>
      <c r="B116" s="1" t="n">
        <v>43627</v>
      </c>
      <c r="C116" s="1" t="n">
        <v>45645</v>
      </c>
      <c r="D116" t="inlineStr">
        <is>
          <t>ÖREBRO LÄN</t>
        </is>
      </c>
      <c r="E116" t="inlineStr">
        <is>
          <t>ÖREBRO</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31300-2019</t>
        </is>
      </c>
      <c r="B117" s="1" t="n">
        <v>43641</v>
      </c>
      <c r="C117" s="1" t="n">
        <v>45645</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31982-2019</t>
        </is>
      </c>
      <c r="B118" s="1" t="n">
        <v>43642</v>
      </c>
      <c r="C118" s="1" t="n">
        <v>45645</v>
      </c>
      <c r="D118" t="inlineStr">
        <is>
          <t>ÖREBRO LÄN</t>
        </is>
      </c>
      <c r="E118" t="inlineStr">
        <is>
          <t>ÖREBRO</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32701-2019</t>
        </is>
      </c>
      <c r="B119" s="1" t="n">
        <v>43647</v>
      </c>
      <c r="C119" s="1" t="n">
        <v>45645</v>
      </c>
      <c r="D119" t="inlineStr">
        <is>
          <t>ÖREBRO LÄN</t>
        </is>
      </c>
      <c r="E119" t="inlineStr">
        <is>
          <t>ÖREBRO</t>
        </is>
      </c>
      <c r="F119" t="inlineStr">
        <is>
          <t>Övriga Aktiebolag</t>
        </is>
      </c>
      <c r="G119" t="n">
        <v>6.4</v>
      </c>
      <c r="H119" t="n">
        <v>0</v>
      </c>
      <c r="I119" t="n">
        <v>0</v>
      </c>
      <c r="J119" t="n">
        <v>0</v>
      </c>
      <c r="K119" t="n">
        <v>0</v>
      </c>
      <c r="L119" t="n">
        <v>0</v>
      </c>
      <c r="M119" t="n">
        <v>0</v>
      </c>
      <c r="N119" t="n">
        <v>0</v>
      </c>
      <c r="O119" t="n">
        <v>0</v>
      </c>
      <c r="P119" t="n">
        <v>0</v>
      </c>
      <c r="Q119" t="n">
        <v>0</v>
      </c>
      <c r="R119" s="2" t="inlineStr"/>
    </row>
    <row r="120" ht="15" customHeight="1">
      <c r="A120" t="inlineStr">
        <is>
          <t>A 32861-2019</t>
        </is>
      </c>
      <c r="B120" s="1" t="n">
        <v>43648</v>
      </c>
      <c r="C120" s="1" t="n">
        <v>45645</v>
      </c>
      <c r="D120" t="inlineStr">
        <is>
          <t>ÖREBRO LÄN</t>
        </is>
      </c>
      <c r="E120" t="inlineStr">
        <is>
          <t>ÖREBRO</t>
        </is>
      </c>
      <c r="G120" t="n">
        <v>0.9</v>
      </c>
      <c r="H120" t="n">
        <v>0</v>
      </c>
      <c r="I120" t="n">
        <v>0</v>
      </c>
      <c r="J120" t="n">
        <v>0</v>
      </c>
      <c r="K120" t="n">
        <v>0</v>
      </c>
      <c r="L120" t="n">
        <v>0</v>
      </c>
      <c r="M120" t="n">
        <v>0</v>
      </c>
      <c r="N120" t="n">
        <v>0</v>
      </c>
      <c r="O120" t="n">
        <v>0</v>
      </c>
      <c r="P120" t="n">
        <v>0</v>
      </c>
      <c r="Q120" t="n">
        <v>0</v>
      </c>
      <c r="R120" s="2" t="inlineStr"/>
    </row>
    <row r="121" ht="15" customHeight="1">
      <c r="A121" t="inlineStr">
        <is>
          <t>A 33314-2019</t>
        </is>
      </c>
      <c r="B121" s="1" t="n">
        <v>43650</v>
      </c>
      <c r="C121" s="1" t="n">
        <v>45645</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35557-2019</t>
        </is>
      </c>
      <c r="B122" s="1" t="n">
        <v>43654</v>
      </c>
      <c r="C122" s="1" t="n">
        <v>45645</v>
      </c>
      <c r="D122" t="inlineStr">
        <is>
          <t>ÖREBRO LÄN</t>
        </is>
      </c>
      <c r="E122" t="inlineStr">
        <is>
          <t>ÖREBRO</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35625-2019</t>
        </is>
      </c>
      <c r="B123" s="1" t="n">
        <v>43655</v>
      </c>
      <c r="C123" s="1" t="n">
        <v>45645</v>
      </c>
      <c r="D123" t="inlineStr">
        <is>
          <t>ÖREBRO LÄN</t>
        </is>
      </c>
      <c r="E123" t="inlineStr">
        <is>
          <t>ÖREBRO</t>
        </is>
      </c>
      <c r="G123" t="n">
        <v>10.2</v>
      </c>
      <c r="H123" t="n">
        <v>0</v>
      </c>
      <c r="I123" t="n">
        <v>0</v>
      </c>
      <c r="J123" t="n">
        <v>0</v>
      </c>
      <c r="K123" t="n">
        <v>0</v>
      </c>
      <c r="L123" t="n">
        <v>0</v>
      </c>
      <c r="M123" t="n">
        <v>0</v>
      </c>
      <c r="N123" t="n">
        <v>0</v>
      </c>
      <c r="O123" t="n">
        <v>0</v>
      </c>
      <c r="P123" t="n">
        <v>0</v>
      </c>
      <c r="Q123" t="n">
        <v>0</v>
      </c>
      <c r="R123" s="2" t="inlineStr"/>
    </row>
    <row r="124" ht="15" customHeight="1">
      <c r="A124" t="inlineStr">
        <is>
          <t>A 35588-2019</t>
        </is>
      </c>
      <c r="B124" s="1" t="n">
        <v>43655</v>
      </c>
      <c r="C124" s="1" t="n">
        <v>45645</v>
      </c>
      <c r="D124" t="inlineStr">
        <is>
          <t>ÖREBRO LÄN</t>
        </is>
      </c>
      <c r="E124" t="inlineStr">
        <is>
          <t>ÖREBRO</t>
        </is>
      </c>
      <c r="G124" t="n">
        <v>4.6</v>
      </c>
      <c r="H124" t="n">
        <v>0</v>
      </c>
      <c r="I124" t="n">
        <v>0</v>
      </c>
      <c r="J124" t="n">
        <v>0</v>
      </c>
      <c r="K124" t="n">
        <v>0</v>
      </c>
      <c r="L124" t="n">
        <v>0</v>
      </c>
      <c r="M124" t="n">
        <v>0</v>
      </c>
      <c r="N124" t="n">
        <v>0</v>
      </c>
      <c r="O124" t="n">
        <v>0</v>
      </c>
      <c r="P124" t="n">
        <v>0</v>
      </c>
      <c r="Q124" t="n">
        <v>0</v>
      </c>
      <c r="R124" s="2" t="inlineStr"/>
    </row>
    <row r="125" ht="15" customHeight="1">
      <c r="A125" t="inlineStr">
        <is>
          <t>A 34895-2019</t>
        </is>
      </c>
      <c r="B125" s="1" t="n">
        <v>43658</v>
      </c>
      <c r="C125" s="1" t="n">
        <v>45645</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34965-2019</t>
        </is>
      </c>
      <c r="B126" s="1" t="n">
        <v>43658</v>
      </c>
      <c r="C126" s="1" t="n">
        <v>45645</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35846-2019</t>
        </is>
      </c>
      <c r="B127" s="1" t="n">
        <v>43665</v>
      </c>
      <c r="C127" s="1" t="n">
        <v>45645</v>
      </c>
      <c r="D127" t="inlineStr">
        <is>
          <t>ÖREBRO LÄN</t>
        </is>
      </c>
      <c r="E127" t="inlineStr">
        <is>
          <t>ÖREBRO</t>
        </is>
      </c>
      <c r="G127" t="n">
        <v>5</v>
      </c>
      <c r="H127" t="n">
        <v>0</v>
      </c>
      <c r="I127" t="n">
        <v>0</v>
      </c>
      <c r="J127" t="n">
        <v>0</v>
      </c>
      <c r="K127" t="n">
        <v>0</v>
      </c>
      <c r="L127" t="n">
        <v>0</v>
      </c>
      <c r="M127" t="n">
        <v>0</v>
      </c>
      <c r="N127" t="n">
        <v>0</v>
      </c>
      <c r="O127" t="n">
        <v>0</v>
      </c>
      <c r="P127" t="n">
        <v>0</v>
      </c>
      <c r="Q127" t="n">
        <v>0</v>
      </c>
      <c r="R127" s="2" t="inlineStr"/>
    </row>
    <row r="128" ht="15" customHeight="1">
      <c r="A128" t="inlineStr">
        <is>
          <t>A 36124-2019</t>
        </is>
      </c>
      <c r="B128" s="1" t="n">
        <v>43665</v>
      </c>
      <c r="C128" s="1" t="n">
        <v>45645</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36282-2019</t>
        </is>
      </c>
      <c r="B129" s="1" t="n">
        <v>43669</v>
      </c>
      <c r="C129" s="1" t="n">
        <v>45645</v>
      </c>
      <c r="D129" t="inlineStr">
        <is>
          <t>ÖREBRO LÄN</t>
        </is>
      </c>
      <c r="E129" t="inlineStr">
        <is>
          <t>ÖREBRO</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36283-2019</t>
        </is>
      </c>
      <c r="B130" s="1" t="n">
        <v>43669</v>
      </c>
      <c r="C130" s="1" t="n">
        <v>45645</v>
      </c>
      <c r="D130" t="inlineStr">
        <is>
          <t>ÖREBRO LÄN</t>
        </is>
      </c>
      <c r="E130" t="inlineStr">
        <is>
          <t>ÖREBRO</t>
        </is>
      </c>
      <c r="G130" t="n">
        <v>3.2</v>
      </c>
      <c r="H130" t="n">
        <v>0</v>
      </c>
      <c r="I130" t="n">
        <v>0</v>
      </c>
      <c r="J130" t="n">
        <v>0</v>
      </c>
      <c r="K130" t="n">
        <v>0</v>
      </c>
      <c r="L130" t="n">
        <v>0</v>
      </c>
      <c r="M130" t="n">
        <v>0</v>
      </c>
      <c r="N130" t="n">
        <v>0</v>
      </c>
      <c r="O130" t="n">
        <v>0</v>
      </c>
      <c r="P130" t="n">
        <v>0</v>
      </c>
      <c r="Q130" t="n">
        <v>0</v>
      </c>
      <c r="R130" s="2" t="inlineStr"/>
    </row>
    <row r="131" ht="15" customHeight="1">
      <c r="A131" t="inlineStr">
        <is>
          <t>A 36284-2019</t>
        </is>
      </c>
      <c r="B131" s="1" t="n">
        <v>43669</v>
      </c>
      <c r="C131" s="1" t="n">
        <v>45645</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36990-2019</t>
        </is>
      </c>
      <c r="B132" s="1" t="n">
        <v>43676</v>
      </c>
      <c r="C132" s="1" t="n">
        <v>45645</v>
      </c>
      <c r="D132" t="inlineStr">
        <is>
          <t>ÖREBRO LÄN</t>
        </is>
      </c>
      <c r="E132" t="inlineStr">
        <is>
          <t>ÖREBRO</t>
        </is>
      </c>
      <c r="G132" t="n">
        <v>5.1</v>
      </c>
      <c r="H132" t="n">
        <v>0</v>
      </c>
      <c r="I132" t="n">
        <v>0</v>
      </c>
      <c r="J132" t="n">
        <v>0</v>
      </c>
      <c r="K132" t="n">
        <v>0</v>
      </c>
      <c r="L132" t="n">
        <v>0</v>
      </c>
      <c r="M132" t="n">
        <v>0</v>
      </c>
      <c r="N132" t="n">
        <v>0</v>
      </c>
      <c r="O132" t="n">
        <v>0</v>
      </c>
      <c r="P132" t="n">
        <v>0</v>
      </c>
      <c r="Q132" t="n">
        <v>0</v>
      </c>
      <c r="R132" s="2" t="inlineStr"/>
    </row>
    <row r="133" ht="15" customHeight="1">
      <c r="A133" t="inlineStr">
        <is>
          <t>A 37254-2019</t>
        </is>
      </c>
      <c r="B133" s="1" t="n">
        <v>43677</v>
      </c>
      <c r="C133" s="1" t="n">
        <v>45645</v>
      </c>
      <c r="D133" t="inlineStr">
        <is>
          <t>ÖREBRO LÄN</t>
        </is>
      </c>
      <c r="E133" t="inlineStr">
        <is>
          <t>ÖREBRO</t>
        </is>
      </c>
      <c r="G133" t="n">
        <v>10.3</v>
      </c>
      <c r="H133" t="n">
        <v>0</v>
      </c>
      <c r="I133" t="n">
        <v>0</v>
      </c>
      <c r="J133" t="n">
        <v>0</v>
      </c>
      <c r="K133" t="n">
        <v>0</v>
      </c>
      <c r="L133" t="n">
        <v>0</v>
      </c>
      <c r="M133" t="n">
        <v>0</v>
      </c>
      <c r="N133" t="n">
        <v>0</v>
      </c>
      <c r="O133" t="n">
        <v>0</v>
      </c>
      <c r="P133" t="n">
        <v>0</v>
      </c>
      <c r="Q133" t="n">
        <v>0</v>
      </c>
      <c r="R133" s="2" t="inlineStr"/>
    </row>
    <row r="134" ht="15" customHeight="1">
      <c r="A134" t="inlineStr">
        <is>
          <t>A 37258-2019</t>
        </is>
      </c>
      <c r="B134" s="1" t="n">
        <v>43677</v>
      </c>
      <c r="C134" s="1" t="n">
        <v>45645</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37278-2019</t>
        </is>
      </c>
      <c r="B135" s="1" t="n">
        <v>43677</v>
      </c>
      <c r="C135" s="1" t="n">
        <v>45645</v>
      </c>
      <c r="D135" t="inlineStr">
        <is>
          <t>ÖREBRO LÄN</t>
        </is>
      </c>
      <c r="E135" t="inlineStr">
        <is>
          <t>ÖREBRO</t>
        </is>
      </c>
      <c r="G135" t="n">
        <v>7.9</v>
      </c>
      <c r="H135" t="n">
        <v>0</v>
      </c>
      <c r="I135" t="n">
        <v>0</v>
      </c>
      <c r="J135" t="n">
        <v>0</v>
      </c>
      <c r="K135" t="n">
        <v>0</v>
      </c>
      <c r="L135" t="n">
        <v>0</v>
      </c>
      <c r="M135" t="n">
        <v>0</v>
      </c>
      <c r="N135" t="n">
        <v>0</v>
      </c>
      <c r="O135" t="n">
        <v>0</v>
      </c>
      <c r="P135" t="n">
        <v>0</v>
      </c>
      <c r="Q135" t="n">
        <v>0</v>
      </c>
      <c r="R135" s="2" t="inlineStr"/>
    </row>
    <row r="136" ht="15" customHeight="1">
      <c r="A136" t="inlineStr">
        <is>
          <t>A 37930-2019</t>
        </is>
      </c>
      <c r="B136" s="1" t="n">
        <v>43683</v>
      </c>
      <c r="C136" s="1" t="n">
        <v>45645</v>
      </c>
      <c r="D136" t="inlineStr">
        <is>
          <t>ÖREBRO LÄN</t>
        </is>
      </c>
      <c r="E136" t="inlineStr">
        <is>
          <t>ÖREBRO</t>
        </is>
      </c>
      <c r="G136" t="n">
        <v>4.8</v>
      </c>
      <c r="H136" t="n">
        <v>0</v>
      </c>
      <c r="I136" t="n">
        <v>0</v>
      </c>
      <c r="J136" t="n">
        <v>0</v>
      </c>
      <c r="K136" t="n">
        <v>0</v>
      </c>
      <c r="L136" t="n">
        <v>0</v>
      </c>
      <c r="M136" t="n">
        <v>0</v>
      </c>
      <c r="N136" t="n">
        <v>0</v>
      </c>
      <c r="O136" t="n">
        <v>0</v>
      </c>
      <c r="P136" t="n">
        <v>0</v>
      </c>
      <c r="Q136" t="n">
        <v>0</v>
      </c>
      <c r="R136" s="2" t="inlineStr"/>
    </row>
    <row r="137" ht="15" customHeight="1">
      <c r="A137" t="inlineStr">
        <is>
          <t>A 38372-2019</t>
        </is>
      </c>
      <c r="B137" s="1" t="n">
        <v>43683</v>
      </c>
      <c r="C137" s="1" t="n">
        <v>45645</v>
      </c>
      <c r="D137" t="inlineStr">
        <is>
          <t>ÖREBRO LÄN</t>
        </is>
      </c>
      <c r="E137" t="inlineStr">
        <is>
          <t>ÖREBRO</t>
        </is>
      </c>
      <c r="G137" t="n">
        <v>9.800000000000001</v>
      </c>
      <c r="H137" t="n">
        <v>0</v>
      </c>
      <c r="I137" t="n">
        <v>0</v>
      </c>
      <c r="J137" t="n">
        <v>0</v>
      </c>
      <c r="K137" t="n">
        <v>0</v>
      </c>
      <c r="L137" t="n">
        <v>0</v>
      </c>
      <c r="M137" t="n">
        <v>0</v>
      </c>
      <c r="N137" t="n">
        <v>0</v>
      </c>
      <c r="O137" t="n">
        <v>0</v>
      </c>
      <c r="P137" t="n">
        <v>0</v>
      </c>
      <c r="Q137" t="n">
        <v>0</v>
      </c>
      <c r="R137" s="2" t="inlineStr"/>
    </row>
    <row r="138" ht="15" customHeight="1">
      <c r="A138" t="inlineStr">
        <is>
          <t>A 38389-2019</t>
        </is>
      </c>
      <c r="B138" s="1" t="n">
        <v>43685</v>
      </c>
      <c r="C138" s="1" t="n">
        <v>45645</v>
      </c>
      <c r="D138" t="inlineStr">
        <is>
          <t>ÖREBRO LÄN</t>
        </is>
      </c>
      <c r="E138" t="inlineStr">
        <is>
          <t>ÖREBRO</t>
        </is>
      </c>
      <c r="G138" t="n">
        <v>3.7</v>
      </c>
      <c r="H138" t="n">
        <v>0</v>
      </c>
      <c r="I138" t="n">
        <v>0</v>
      </c>
      <c r="J138" t="n">
        <v>0</v>
      </c>
      <c r="K138" t="n">
        <v>0</v>
      </c>
      <c r="L138" t="n">
        <v>0</v>
      </c>
      <c r="M138" t="n">
        <v>0</v>
      </c>
      <c r="N138" t="n">
        <v>0</v>
      </c>
      <c r="O138" t="n">
        <v>0</v>
      </c>
      <c r="P138" t="n">
        <v>0</v>
      </c>
      <c r="Q138" t="n">
        <v>0</v>
      </c>
      <c r="R138" s="2" t="inlineStr"/>
    </row>
    <row r="139" ht="15" customHeight="1">
      <c r="A139" t="inlineStr">
        <is>
          <t>A 38885-2019</t>
        </is>
      </c>
      <c r="B139" s="1" t="n">
        <v>43686</v>
      </c>
      <c r="C139" s="1" t="n">
        <v>45645</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38923-2019</t>
        </is>
      </c>
      <c r="B140" s="1" t="n">
        <v>43689</v>
      </c>
      <c r="C140" s="1" t="n">
        <v>45645</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38846-2019</t>
        </is>
      </c>
      <c r="B141" s="1" t="n">
        <v>43689</v>
      </c>
      <c r="C141" s="1" t="n">
        <v>45645</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39303-2019</t>
        </is>
      </c>
      <c r="B142" s="1" t="n">
        <v>43690</v>
      </c>
      <c r="C142" s="1" t="n">
        <v>45645</v>
      </c>
      <c r="D142" t="inlineStr">
        <is>
          <t>ÖREBRO LÄN</t>
        </is>
      </c>
      <c r="E142" t="inlineStr">
        <is>
          <t>ÖREBRO</t>
        </is>
      </c>
      <c r="G142" t="n">
        <v>1.9</v>
      </c>
      <c r="H142" t="n">
        <v>0</v>
      </c>
      <c r="I142" t="n">
        <v>0</v>
      </c>
      <c r="J142" t="n">
        <v>0</v>
      </c>
      <c r="K142" t="n">
        <v>0</v>
      </c>
      <c r="L142" t="n">
        <v>0</v>
      </c>
      <c r="M142" t="n">
        <v>0</v>
      </c>
      <c r="N142" t="n">
        <v>0</v>
      </c>
      <c r="O142" t="n">
        <v>0</v>
      </c>
      <c r="P142" t="n">
        <v>0</v>
      </c>
      <c r="Q142" t="n">
        <v>0</v>
      </c>
      <c r="R142" s="2" t="inlineStr"/>
    </row>
    <row r="143" ht="15" customHeight="1">
      <c r="A143" t="inlineStr">
        <is>
          <t>A 39576-2019</t>
        </is>
      </c>
      <c r="B143" s="1" t="n">
        <v>43691</v>
      </c>
      <c r="C143" s="1" t="n">
        <v>45645</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39714-2019</t>
        </is>
      </c>
      <c r="B144" s="1" t="n">
        <v>43691</v>
      </c>
      <c r="C144" s="1" t="n">
        <v>45645</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40694-2019</t>
        </is>
      </c>
      <c r="B145" s="1" t="n">
        <v>43691</v>
      </c>
      <c r="C145" s="1" t="n">
        <v>45645</v>
      </c>
      <c r="D145" t="inlineStr">
        <is>
          <t>ÖREBRO LÄN</t>
        </is>
      </c>
      <c r="E145" t="inlineStr">
        <is>
          <t>ÖREBRO</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40556-2019</t>
        </is>
      </c>
      <c r="B146" s="1" t="n">
        <v>43691</v>
      </c>
      <c r="C146" s="1" t="n">
        <v>45645</v>
      </c>
      <c r="D146" t="inlineStr">
        <is>
          <t>ÖREBRO LÄN</t>
        </is>
      </c>
      <c r="E146" t="inlineStr">
        <is>
          <t>ÖREBRO</t>
        </is>
      </c>
      <c r="G146" t="n">
        <v>6.5</v>
      </c>
      <c r="H146" t="n">
        <v>0</v>
      </c>
      <c r="I146" t="n">
        <v>0</v>
      </c>
      <c r="J146" t="n">
        <v>0</v>
      </c>
      <c r="K146" t="n">
        <v>0</v>
      </c>
      <c r="L146" t="n">
        <v>0</v>
      </c>
      <c r="M146" t="n">
        <v>0</v>
      </c>
      <c r="N146" t="n">
        <v>0</v>
      </c>
      <c r="O146" t="n">
        <v>0</v>
      </c>
      <c r="P146" t="n">
        <v>0</v>
      </c>
      <c r="Q146" t="n">
        <v>0</v>
      </c>
      <c r="R146" s="2" t="inlineStr"/>
    </row>
    <row r="147" ht="15" customHeight="1">
      <c r="A147" t="inlineStr">
        <is>
          <t>A 41063-2019</t>
        </is>
      </c>
      <c r="B147" s="1" t="n">
        <v>43698</v>
      </c>
      <c r="C147" s="1" t="n">
        <v>45645</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44039-2019</t>
        </is>
      </c>
      <c r="B148" s="1" t="n">
        <v>43704</v>
      </c>
      <c r="C148" s="1" t="n">
        <v>45645</v>
      </c>
      <c r="D148" t="inlineStr">
        <is>
          <t>ÖREBRO LÄN</t>
        </is>
      </c>
      <c r="E148" t="inlineStr">
        <is>
          <t>ÖREBRO</t>
        </is>
      </c>
      <c r="F148" t="inlineStr">
        <is>
          <t>Kommuner</t>
        </is>
      </c>
      <c r="G148" t="n">
        <v>0.5</v>
      </c>
      <c r="H148" t="n">
        <v>0</v>
      </c>
      <c r="I148" t="n">
        <v>0</v>
      </c>
      <c r="J148" t="n">
        <v>0</v>
      </c>
      <c r="K148" t="n">
        <v>0</v>
      </c>
      <c r="L148" t="n">
        <v>0</v>
      </c>
      <c r="M148" t="n">
        <v>0</v>
      </c>
      <c r="N148" t="n">
        <v>0</v>
      </c>
      <c r="O148" t="n">
        <v>0</v>
      </c>
      <c r="P148" t="n">
        <v>0</v>
      </c>
      <c r="Q148" t="n">
        <v>0</v>
      </c>
      <c r="R148" s="2" t="inlineStr"/>
    </row>
    <row r="149" ht="15" customHeight="1">
      <c r="A149" t="inlineStr">
        <is>
          <t>A 43692-2019</t>
        </is>
      </c>
      <c r="B149" s="1" t="n">
        <v>43704</v>
      </c>
      <c r="C149" s="1" t="n">
        <v>45645</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44034-2019</t>
        </is>
      </c>
      <c r="B150" s="1" t="n">
        <v>43704</v>
      </c>
      <c r="C150" s="1" t="n">
        <v>45645</v>
      </c>
      <c r="D150" t="inlineStr">
        <is>
          <t>ÖREBRO LÄN</t>
        </is>
      </c>
      <c r="E150" t="inlineStr">
        <is>
          <t>ÖREBRO</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44152-2019</t>
        </is>
      </c>
      <c r="B151" s="1" t="n">
        <v>43704</v>
      </c>
      <c r="C151" s="1" t="n">
        <v>45645</v>
      </c>
      <c r="D151" t="inlineStr">
        <is>
          <t>ÖREBRO LÄN</t>
        </is>
      </c>
      <c r="E151" t="inlineStr">
        <is>
          <t>ÖREBRO</t>
        </is>
      </c>
      <c r="F151" t="inlineStr">
        <is>
          <t>Kommuner</t>
        </is>
      </c>
      <c r="G151" t="n">
        <v>0.6</v>
      </c>
      <c r="H151" t="n">
        <v>0</v>
      </c>
      <c r="I151" t="n">
        <v>0</v>
      </c>
      <c r="J151" t="n">
        <v>0</v>
      </c>
      <c r="K151" t="n">
        <v>0</v>
      </c>
      <c r="L151" t="n">
        <v>0</v>
      </c>
      <c r="M151" t="n">
        <v>0</v>
      </c>
      <c r="N151" t="n">
        <v>0</v>
      </c>
      <c r="O151" t="n">
        <v>0</v>
      </c>
      <c r="P151" t="n">
        <v>0</v>
      </c>
      <c r="Q151" t="n">
        <v>0</v>
      </c>
      <c r="R151" s="2" t="inlineStr"/>
    </row>
    <row r="152" ht="15" customHeight="1">
      <c r="A152" t="inlineStr">
        <is>
          <t>A 43632-2019</t>
        </is>
      </c>
      <c r="B152" s="1" t="n">
        <v>43704</v>
      </c>
      <c r="C152" s="1" t="n">
        <v>45645</v>
      </c>
      <c r="D152" t="inlineStr">
        <is>
          <t>ÖREBRO LÄN</t>
        </is>
      </c>
      <c r="E152" t="inlineStr">
        <is>
          <t>ÖREBRO</t>
        </is>
      </c>
      <c r="G152" t="n">
        <v>4.7</v>
      </c>
      <c r="H152" t="n">
        <v>0</v>
      </c>
      <c r="I152" t="n">
        <v>0</v>
      </c>
      <c r="J152" t="n">
        <v>0</v>
      </c>
      <c r="K152" t="n">
        <v>0</v>
      </c>
      <c r="L152" t="n">
        <v>0</v>
      </c>
      <c r="M152" t="n">
        <v>0</v>
      </c>
      <c r="N152" t="n">
        <v>0</v>
      </c>
      <c r="O152" t="n">
        <v>0</v>
      </c>
      <c r="P152" t="n">
        <v>0</v>
      </c>
      <c r="Q152" t="n">
        <v>0</v>
      </c>
      <c r="R152" s="2" t="inlineStr"/>
    </row>
    <row r="153" ht="15" customHeight="1">
      <c r="A153" t="inlineStr">
        <is>
          <t>A 43007-2019</t>
        </is>
      </c>
      <c r="B153" s="1" t="n">
        <v>43705</v>
      </c>
      <c r="C153" s="1" t="n">
        <v>45645</v>
      </c>
      <c r="D153" t="inlineStr">
        <is>
          <t>ÖREBRO LÄN</t>
        </is>
      </c>
      <c r="E153" t="inlineStr">
        <is>
          <t>ÖREBRO</t>
        </is>
      </c>
      <c r="G153" t="n">
        <v>7.5</v>
      </c>
      <c r="H153" t="n">
        <v>0</v>
      </c>
      <c r="I153" t="n">
        <v>0</v>
      </c>
      <c r="J153" t="n">
        <v>0</v>
      </c>
      <c r="K153" t="n">
        <v>0</v>
      </c>
      <c r="L153" t="n">
        <v>0</v>
      </c>
      <c r="M153" t="n">
        <v>0</v>
      </c>
      <c r="N153" t="n">
        <v>0</v>
      </c>
      <c r="O153" t="n">
        <v>0</v>
      </c>
      <c r="P153" t="n">
        <v>0</v>
      </c>
      <c r="Q153" t="n">
        <v>0</v>
      </c>
      <c r="R153" s="2" t="inlineStr"/>
    </row>
    <row r="154" ht="15" customHeight="1">
      <c r="A154" t="inlineStr">
        <is>
          <t>A 44153-2019</t>
        </is>
      </c>
      <c r="B154" s="1" t="n">
        <v>43710</v>
      </c>
      <c r="C154" s="1" t="n">
        <v>45645</v>
      </c>
      <c r="D154" t="inlineStr">
        <is>
          <t>ÖREBRO LÄN</t>
        </is>
      </c>
      <c r="E154" t="inlineStr">
        <is>
          <t>ÖREBRO</t>
        </is>
      </c>
      <c r="G154" t="n">
        <v>5.5</v>
      </c>
      <c r="H154" t="n">
        <v>0</v>
      </c>
      <c r="I154" t="n">
        <v>0</v>
      </c>
      <c r="J154" t="n">
        <v>0</v>
      </c>
      <c r="K154" t="n">
        <v>0</v>
      </c>
      <c r="L154" t="n">
        <v>0</v>
      </c>
      <c r="M154" t="n">
        <v>0</v>
      </c>
      <c r="N154" t="n">
        <v>0</v>
      </c>
      <c r="O154" t="n">
        <v>0</v>
      </c>
      <c r="P154" t="n">
        <v>0</v>
      </c>
      <c r="Q154" t="n">
        <v>0</v>
      </c>
      <c r="R154" s="2" t="inlineStr"/>
    </row>
    <row r="155" ht="15" customHeight="1">
      <c r="A155" t="inlineStr">
        <is>
          <t>A 44280-2019</t>
        </is>
      </c>
      <c r="B155" s="1" t="n">
        <v>43710</v>
      </c>
      <c r="C155" s="1" t="n">
        <v>45645</v>
      </c>
      <c r="D155" t="inlineStr">
        <is>
          <t>ÖREBRO LÄN</t>
        </is>
      </c>
      <c r="E155" t="inlineStr">
        <is>
          <t>ÖREBRO</t>
        </is>
      </c>
      <c r="G155" t="n">
        <v>0.8</v>
      </c>
      <c r="H155" t="n">
        <v>0</v>
      </c>
      <c r="I155" t="n">
        <v>0</v>
      </c>
      <c r="J155" t="n">
        <v>0</v>
      </c>
      <c r="K155" t="n">
        <v>0</v>
      </c>
      <c r="L155" t="n">
        <v>0</v>
      </c>
      <c r="M155" t="n">
        <v>0</v>
      </c>
      <c r="N155" t="n">
        <v>0</v>
      </c>
      <c r="O155" t="n">
        <v>0</v>
      </c>
      <c r="P155" t="n">
        <v>0</v>
      </c>
      <c r="Q155" t="n">
        <v>0</v>
      </c>
      <c r="R155" s="2" t="inlineStr"/>
    </row>
    <row r="156" ht="15" customHeight="1">
      <c r="A156" t="inlineStr">
        <is>
          <t>A 44277-2019</t>
        </is>
      </c>
      <c r="B156" s="1" t="n">
        <v>43710</v>
      </c>
      <c r="C156" s="1" t="n">
        <v>45645</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45309-2019</t>
        </is>
      </c>
      <c r="B157" s="1" t="n">
        <v>43710</v>
      </c>
      <c r="C157" s="1" t="n">
        <v>45645</v>
      </c>
      <c r="D157" t="inlineStr">
        <is>
          <t>ÖREBRO LÄN</t>
        </is>
      </c>
      <c r="E157" t="inlineStr">
        <is>
          <t>ÖREBRO</t>
        </is>
      </c>
      <c r="F157" t="inlineStr">
        <is>
          <t>Kommuner</t>
        </is>
      </c>
      <c r="G157" t="n">
        <v>1.5</v>
      </c>
      <c r="H157" t="n">
        <v>0</v>
      </c>
      <c r="I157" t="n">
        <v>0</v>
      </c>
      <c r="J157" t="n">
        <v>0</v>
      </c>
      <c r="K157" t="n">
        <v>0</v>
      </c>
      <c r="L157" t="n">
        <v>0</v>
      </c>
      <c r="M157" t="n">
        <v>0</v>
      </c>
      <c r="N157" t="n">
        <v>0</v>
      </c>
      <c r="O157" t="n">
        <v>0</v>
      </c>
      <c r="P157" t="n">
        <v>0</v>
      </c>
      <c r="Q157" t="n">
        <v>0</v>
      </c>
      <c r="R157" s="2" t="inlineStr"/>
    </row>
    <row r="158" ht="15" customHeight="1">
      <c r="A158" t="inlineStr">
        <is>
          <t>A 44278-2019</t>
        </is>
      </c>
      <c r="B158" s="1" t="n">
        <v>43710</v>
      </c>
      <c r="C158" s="1" t="n">
        <v>45645</v>
      </c>
      <c r="D158" t="inlineStr">
        <is>
          <t>ÖREBRO LÄN</t>
        </is>
      </c>
      <c r="E158" t="inlineStr">
        <is>
          <t>ÖREBRO</t>
        </is>
      </c>
      <c r="G158" t="n">
        <v>3.6</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45645</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45645</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45645</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45645</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45645</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45645</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45645</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45645</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45645</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45645</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45645</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45645</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45645</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45645</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45645</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45645</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45645</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45645</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45645</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45645</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45645</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45645</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45645</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45645</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45645</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45645</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45645</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45645</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45645</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45645</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45645</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45645</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45645</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45645</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45645</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45645</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45645</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45645</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45645</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45645</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45645</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45645</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45645</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45645</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45645</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45645</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45645</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45645</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45645</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45645</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45645</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45645</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45645</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45645</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45645</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45645</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45645</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45645</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45645</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45645</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45645</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45645</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45645</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45645</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45645</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45645</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45645</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45645</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45645</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45645</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45645</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45645</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45645</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45645</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45645</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45645</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45645</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45645</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45645</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45645</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45645</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45645</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45645</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45645</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45645</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45645</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45645</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45645</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45645</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45645</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45645</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45645</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45645</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45645</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45645</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45645</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45645</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45645</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45645</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45645</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45645</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45645</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45645</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45645</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45645</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45645</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45645</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45645</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45645</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45645</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45645</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45645</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45645</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45645</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45645</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45645</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45645</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45645</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45645</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45645</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45645</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45645</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45645</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45645</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45645</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45645</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45645</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45645</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45645</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45645</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45645</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45645</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45645</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45645</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45645</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45645</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45645</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45645</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45645</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45645</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45645</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45645</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45645</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45645</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45645</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45645</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45645</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45645</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45645</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45645</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45645</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45645</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45645</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45645</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45645</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45645</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45645</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45645</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45645</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45645</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45645</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45645</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45645</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45645</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45645</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45645</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45645</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45645</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45645</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45645</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45645</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45645</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45645</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45645</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45645</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45645</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45645</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45645</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45645</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45645</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45645</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45645</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45645</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45645</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45645</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45645</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45645</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45645</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45645</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45645</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45645</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45645</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45645</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45645</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45645</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45645</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45645</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45645</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45645</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45645</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45645</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45645</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45645</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45645</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45645</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45645</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45645</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45645</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45645</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45645</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45645</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45645</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45645</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45645</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45645</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45645</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45645</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45645</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45645</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45645</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45645</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45645</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45645</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45645</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45645</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45645</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45645</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45645</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45645</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45645</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45645</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45645</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45645</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45645</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45645</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45645</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45645</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45645</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45645</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45645</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45645</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45645</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45645</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45645</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45645</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45645</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45645</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45645</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45645</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45645</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45645</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45645</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45645</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45645</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45645</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45645</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45645</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45645</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45645</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45645</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45645</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45645</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45645</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45645</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45645</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45645</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45645</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45645</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45645</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45645</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45645</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45645</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45645</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45645</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45645</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45645</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45645</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45645</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45645</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45645</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45645</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45645</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45645</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45645</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45645</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45645</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45645</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45645</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45645</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45645</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45645</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45645</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45645</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45645</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45645</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45645</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45645</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45645</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45645</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45645</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45645</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45645</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45645</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45645</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45645</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45645</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45645</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45645</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45645</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45645</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45645</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45645</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45645</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45645</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45645</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45645</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45645</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45645</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45645</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45645</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45645</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45645</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45645</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45645</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45645</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45645</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45645</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45645</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45645</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45645</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45645</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45645</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45645</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45645</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45645</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45645</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45645</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45645</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45645</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45645</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45645</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45645</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45645</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45645</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45645</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45645</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45645</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45645</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45645</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45645</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45645</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45645</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45645</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45645</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45645</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45645</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45645</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45645</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45645</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45645</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45645</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45645</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45645</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45645</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45645</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45645</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45645</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45645</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45645</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45645</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45645</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45645</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45645</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45645</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45645</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45645</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45645</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45645</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45645</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45645</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45645</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45645</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45645</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45645</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45645</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45645</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45645</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45645</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45645</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45645</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45645</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45645</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45645</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45645</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45645</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45645</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45645</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45645</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45645</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45645</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45645</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45645</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45645</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45645</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45645</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45645</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45645</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45645</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45645</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45645</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45645</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45645</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45645</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45645</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45645</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45645</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45645</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45645</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45645</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45645</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45645</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45645</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45645</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45645</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45645</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45645</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45645</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45645</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45645</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45645</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45645</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45645</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45645</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45645</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45645</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45645</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45645</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45645</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45645</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45645</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45645</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45645</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45645</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45645</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45645</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45645</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45645</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45645</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45645</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45645</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45645</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45645</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45645</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45645</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45645</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45645</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45645</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45645</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45645</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45645</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45645</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45645</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45645</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45645</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45645</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45645</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45645</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45645</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45645</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45645</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45645</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45645</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45645</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45645</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45645</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45645</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45645</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45645</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45645</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45645</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45645</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45645</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45645</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45645</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45645</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45645</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45645</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45645</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45645</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45645</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45645</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45645</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45645</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45645</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45645</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45645</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45645</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45645</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45645</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45645</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45645</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45645</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45645</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45645</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45645</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45645</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45645</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45645</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45645</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45645</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45645</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45645</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45645</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45645</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45645</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45645</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45645</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45645</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45645</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45645</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45645</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45645</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45645</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45645</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45645</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45645</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45645</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45645</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45645</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45645</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45645</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45645</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45645</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45645</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45645</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45645</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45645</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45645</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45645</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45645</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45645</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45645</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45645</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45645</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45645</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45645</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45645</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45645</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45645</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45645</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45645</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45645</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45645</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45645</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45645</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45645</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45645</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45645</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45645</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45645</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45645</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45645</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45645</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45645</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45645</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45645</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45645</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45645</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45645</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45645</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45645</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45645</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45645</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45645</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45645</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45645</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45645</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45645</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45645</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45645</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45645</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45645</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45645</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45645</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45645</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45645</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45645</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45645</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45645</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45645</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45645</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45645</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45645</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45645</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45645</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45645</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45645</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45645</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45645</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45645</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45645</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45645</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45645</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45645</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45645</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45645</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45645</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45645</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45645</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45645</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45645</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45645</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45645</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45645</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45645</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45645</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45645</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45645</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45645</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45645</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45645</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45645</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45645</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45645</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45645</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45645</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45645</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45645</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45645</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45645</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45645</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45645</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45645</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45645</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45645</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45645</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45645</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45645</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45645</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45645</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45645</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45645</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45645</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45645</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45645</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45645</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45645</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45645</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45645</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45645</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45645</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45645</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45645</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45645</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45645</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45645</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45645</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45645</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45645</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45645</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45645</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45645</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45645</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45645</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45645</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45645</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45645</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45645</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45645</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45645</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45645</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45645</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45645</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45645</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45645</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45645</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45645</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45645</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45645</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45645</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45645</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45645</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45645</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45645</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45645</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45645</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45645</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45645</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45645</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45645</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45645</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45645</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45645</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45645</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45645</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45645</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45645</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45645</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45645</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45645</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45645</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45645</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45645</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45645</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45645</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45645</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45645</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45645</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45645</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45645</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45645</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45645</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45645</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45645</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45645</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45645</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45645</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45645</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45645</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45645</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45645</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45645</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45645</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45645</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45645</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45645</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45645</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45645</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45645</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45645</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45645</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45645</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45645</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45645</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45645</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45645</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45645</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45645</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45645</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45645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45645</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45645</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45645</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45645</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45645</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45645</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45645</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45645</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45645</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45645</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45645</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45645</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45645</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45645</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45645</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45645</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45645</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45645</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45645</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45645</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45645</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45645</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45645</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45645</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45645</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45645</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45645</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45645</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45645</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45645</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45645</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45645</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45645</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45645</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45645</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45645</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45645</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45645</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45645</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45645</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45645</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45645</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45645</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45645</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45645</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45645</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45645</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45645</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45645</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45645</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45645</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45645</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45645</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45645</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45645</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45645</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45645</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45645</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45645</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45645</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45645</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45645</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45645</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45645</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45645</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45645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45645</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45645</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45645</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45645</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45645</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45645</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45645</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45645</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45645</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45645</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45645</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45645</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45645</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45645</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45645</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45645</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45645</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45645</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45645</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45645</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45645</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45645</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45645</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45645</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45645</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45645</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45645</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45645</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45645</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45645</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45645</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45645</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45645</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45645</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45645</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45645</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45645</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45645</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45645</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45645</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45645</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45645</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45645</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45645</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45645</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45645</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45645</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45645</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45645</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45645</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45645</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45645</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45645</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45645</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45645</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45645</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45645</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45645</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45645</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45645</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45645</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45645</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45645</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45645</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45645</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45645</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45645</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45645</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45645</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45645</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45645</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45645</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45645</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45645</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45645</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45645</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45645</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45645</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45645</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45645</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45645</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45645</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45645</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45645</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45645</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45645</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45645</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45645</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45645</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45645</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45645</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45645</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45645</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45645</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45645</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45645</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45645</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55846-2024</t>
        </is>
      </c>
      <c r="B1062" s="1" t="n">
        <v>45623</v>
      </c>
      <c r="C1062" s="1" t="n">
        <v>45645</v>
      </c>
      <c r="D1062" t="inlineStr">
        <is>
          <t>ÖREBRO LÄN</t>
        </is>
      </c>
      <c r="E1062" t="inlineStr">
        <is>
          <t>ÖREBRO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45645</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45645</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45645</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45645</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45645</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45645</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45645</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57869-2024</t>
        </is>
      </c>
      <c r="B1070" s="1" t="n">
        <v>45631</v>
      </c>
      <c r="C1070" s="1" t="n">
        <v>45645</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57882-2024</t>
        </is>
      </c>
      <c r="B1071" s="1" t="n">
        <v>45631</v>
      </c>
      <c r="C1071" s="1" t="n">
        <v>45645</v>
      </c>
      <c r="D1071" t="inlineStr">
        <is>
          <t>ÖREBRO LÄN</t>
        </is>
      </c>
      <c r="E1071" t="inlineStr">
        <is>
          <t>ÖREBRO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57837-2024</t>
        </is>
      </c>
      <c r="B1072" s="1" t="n">
        <v>45631</v>
      </c>
      <c r="C1072" s="1" t="n">
        <v>45645</v>
      </c>
      <c r="D1072" t="inlineStr">
        <is>
          <t>ÖREBRO LÄN</t>
        </is>
      </c>
      <c r="E1072" t="inlineStr">
        <is>
          <t>ÖREBRO</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57920-2024</t>
        </is>
      </c>
      <c r="B1073" s="1" t="n">
        <v>45631</v>
      </c>
      <c r="C1073" s="1" t="n">
        <v>45645</v>
      </c>
      <c r="D1073" t="inlineStr">
        <is>
          <t>ÖREBRO LÄN</t>
        </is>
      </c>
      <c r="E1073" t="inlineStr">
        <is>
          <t>ÖREBRO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45645</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45645</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45645</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45645</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45645</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45645</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45645</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58513-2024</t>
        </is>
      </c>
      <c r="B1081" s="1" t="n">
        <v>45635</v>
      </c>
      <c r="C1081" s="1" t="n">
        <v>45645</v>
      </c>
      <c r="D1081" t="inlineStr">
        <is>
          <t>ÖREBRO LÄN</t>
        </is>
      </c>
      <c r="E1081" t="inlineStr">
        <is>
          <t>ÖREBRO</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58532-2024</t>
        </is>
      </c>
      <c r="B1082" s="1" t="n">
        <v>45635</v>
      </c>
      <c r="C1082" s="1" t="n">
        <v>45645</v>
      </c>
      <c r="D1082" t="inlineStr">
        <is>
          <t>ÖREBRO LÄN</t>
        </is>
      </c>
      <c r="E1082" t="inlineStr">
        <is>
          <t>ÖREBRO</t>
        </is>
      </c>
      <c r="F1082" t="inlineStr">
        <is>
          <t>Sveaskog</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58611-2024</t>
        </is>
      </c>
      <c r="B1083" s="1" t="n">
        <v>45635</v>
      </c>
      <c r="C1083" s="1" t="n">
        <v>45645</v>
      </c>
      <c r="D1083" t="inlineStr">
        <is>
          <t>ÖREBRO LÄN</t>
        </is>
      </c>
      <c r="E1083" t="inlineStr">
        <is>
          <t>ÖREBRO</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58615-2024</t>
        </is>
      </c>
      <c r="B1084" s="1" t="n">
        <v>45635</v>
      </c>
      <c r="C1084" s="1" t="n">
        <v>45645</v>
      </c>
      <c r="D1084" t="inlineStr">
        <is>
          <t>ÖREBRO LÄN</t>
        </is>
      </c>
      <c r="E1084" t="inlineStr">
        <is>
          <t>ÖREBRO</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58620-2024</t>
        </is>
      </c>
      <c r="B1085" s="1" t="n">
        <v>45635</v>
      </c>
      <c r="C1085" s="1" t="n">
        <v>45645</v>
      </c>
      <c r="D1085" t="inlineStr">
        <is>
          <t>ÖREBRO LÄN</t>
        </is>
      </c>
      <c r="E1085" t="inlineStr">
        <is>
          <t>ÖREBRO</t>
        </is>
      </c>
      <c r="F1085" t="inlineStr">
        <is>
          <t>Sveaskog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58608-2024</t>
        </is>
      </c>
      <c r="B1086" s="1" t="n">
        <v>45635</v>
      </c>
      <c r="C1086" s="1" t="n">
        <v>45645</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58621-2024</t>
        </is>
      </c>
      <c r="B1087" s="1" t="n">
        <v>45635</v>
      </c>
      <c r="C1087" s="1" t="n">
        <v>45645</v>
      </c>
      <c r="D1087" t="inlineStr">
        <is>
          <t>ÖREBRO LÄN</t>
        </is>
      </c>
      <c r="E1087" t="inlineStr">
        <is>
          <t>ÖREBRO</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58527-2024</t>
        </is>
      </c>
      <c r="B1088" s="1" t="n">
        <v>45635</v>
      </c>
      <c r="C1088" s="1" t="n">
        <v>45645</v>
      </c>
      <c r="D1088" t="inlineStr">
        <is>
          <t>ÖREBRO LÄN</t>
        </is>
      </c>
      <c r="E1088" t="inlineStr">
        <is>
          <t>ÖREBRO</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58539-2024</t>
        </is>
      </c>
      <c r="B1089" s="1" t="n">
        <v>45635</v>
      </c>
      <c r="C1089" s="1" t="n">
        <v>45645</v>
      </c>
      <c r="D1089" t="inlineStr">
        <is>
          <t>ÖREBRO LÄN</t>
        </is>
      </c>
      <c r="E1089" t="inlineStr">
        <is>
          <t>ÖREBRO</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58606-2024</t>
        </is>
      </c>
      <c r="B1090" s="1" t="n">
        <v>45635</v>
      </c>
      <c r="C1090" s="1" t="n">
        <v>45645</v>
      </c>
      <c r="D1090" t="inlineStr">
        <is>
          <t>ÖREBRO LÄN</t>
        </is>
      </c>
      <c r="E1090" t="inlineStr">
        <is>
          <t>ÖREBRO</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45645</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45645</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45645</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45645</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60506-2024</t>
        </is>
      </c>
      <c r="B1095" s="1" t="n">
        <v>45643</v>
      </c>
      <c r="C1095" s="1" t="n">
        <v>45645</v>
      </c>
      <c r="D1095" t="inlineStr">
        <is>
          <t>ÖREBRO LÄN</t>
        </is>
      </c>
      <c r="E1095" t="inlineStr">
        <is>
          <t>ÖREBRO</t>
        </is>
      </c>
      <c r="G1095" t="n">
        <v>5.8</v>
      </c>
      <c r="H1095" t="n">
        <v>0</v>
      </c>
      <c r="I1095" t="n">
        <v>0</v>
      </c>
      <c r="J1095" t="n">
        <v>0</v>
      </c>
      <c r="K1095" t="n">
        <v>0</v>
      </c>
      <c r="L1095" t="n">
        <v>0</v>
      </c>
      <c r="M1095" t="n">
        <v>0</v>
      </c>
      <c r="N1095" t="n">
        <v>0</v>
      </c>
      <c r="O1095" t="n">
        <v>0</v>
      </c>
      <c r="P1095" t="n">
        <v>0</v>
      </c>
      <c r="Q1095" t="n">
        <v>0</v>
      </c>
      <c r="R1095" s="2" t="inlineStr"/>
    </row>
    <row r="1096">
      <c r="A1096" t="inlineStr">
        <is>
          <t>A 60406-2024</t>
        </is>
      </c>
      <c r="B1096" s="1" t="n">
        <v>45643</v>
      </c>
      <c r="C1096" s="1" t="n">
        <v>45645</v>
      </c>
      <c r="D1096" t="inlineStr">
        <is>
          <t>ÖREBRO LÄN</t>
        </is>
      </c>
      <c r="E1096" t="inlineStr">
        <is>
          <t>ÖREBRO</t>
        </is>
      </c>
      <c r="G1096" t="n">
        <v>1.3</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2024-12-19T14:46:15Z</dcterms:created>
  <dcterms:modified xmlns:dcterms="http://purl.org/dc/terms/" xmlns:xsi="http://www.w3.org/2001/XMLSchema-instance" xsi:type="dcterms:W3CDTF">2024-12-19T14:46:16Z</dcterms:modified>
</cp:coreProperties>
</file>