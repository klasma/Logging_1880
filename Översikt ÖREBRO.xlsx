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45661</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45661</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45661</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45661</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45661</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45661</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45661</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45661</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45661</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45661</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45661</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45661</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45661</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45661</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45661</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45661</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45661</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45661</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45661</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45661</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45661</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45661</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45661</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45661</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45661</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45661</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45661</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45661</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45661</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45661</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32782-2022</t>
        </is>
      </c>
      <c r="B32" s="1" t="n">
        <v>44783</v>
      </c>
      <c r="C32" s="1" t="n">
        <v>45661</v>
      </c>
      <c r="D32" t="inlineStr">
        <is>
          <t>ÖREBRO LÄN</t>
        </is>
      </c>
      <c r="E32" t="inlineStr">
        <is>
          <t>ÖREBRO</t>
        </is>
      </c>
      <c r="G32" t="n">
        <v>2.8</v>
      </c>
      <c r="H32" t="n">
        <v>2</v>
      </c>
      <c r="I32" t="n">
        <v>0</v>
      </c>
      <c r="J32" t="n">
        <v>1</v>
      </c>
      <c r="K32" t="n">
        <v>0</v>
      </c>
      <c r="L32" t="n">
        <v>0</v>
      </c>
      <c r="M32" t="n">
        <v>0</v>
      </c>
      <c r="N32" t="n">
        <v>0</v>
      </c>
      <c r="O32" t="n">
        <v>1</v>
      </c>
      <c r="P32" t="n">
        <v>0</v>
      </c>
      <c r="Q32" t="n">
        <v>3</v>
      </c>
      <c r="R32" s="2" t="inlineStr">
        <is>
          <t>Loppstarr
Blåsippa
Lopplummer</t>
        </is>
      </c>
      <c r="S32">
        <f>HYPERLINK("https://klasma.github.io/Logging_1880/artfynd/A 32782-2022 artfynd.xlsx", "A 32782-2022")</f>
        <v/>
      </c>
      <c r="T32">
        <f>HYPERLINK("https://klasma.github.io/Logging_1880/kartor/A 32782-2022 karta.png", "A 32782-2022")</f>
        <v/>
      </c>
      <c r="V32">
        <f>HYPERLINK("https://klasma.github.io/Logging_1880/klagomål/A 32782-2022 FSC-klagomål.docx", "A 32782-2022")</f>
        <v/>
      </c>
      <c r="W32">
        <f>HYPERLINK("https://klasma.github.io/Logging_1880/klagomålsmail/A 32782-2022 FSC-klagomål mail.docx", "A 32782-2022")</f>
        <v/>
      </c>
      <c r="X32">
        <f>HYPERLINK("https://klasma.github.io/Logging_1880/tillsyn/A 32782-2022 tillsynsbegäran.docx", "A 32782-2022")</f>
        <v/>
      </c>
      <c r="Y32">
        <f>HYPERLINK("https://klasma.github.io/Logging_1880/tillsynsmail/A 32782-2022 tillsynsbegäran mail.docx", "A 32782-2022")</f>
        <v/>
      </c>
    </row>
    <row r="33" ht="15" customHeight="1">
      <c r="A33" t="inlineStr">
        <is>
          <t>A 3758-2023</t>
        </is>
      </c>
      <c r="B33" s="1" t="n">
        <v>44951</v>
      </c>
      <c r="C33" s="1" t="n">
        <v>45661</v>
      </c>
      <c r="D33" t="inlineStr">
        <is>
          <t>ÖREBRO LÄN</t>
        </is>
      </c>
      <c r="E33" t="inlineStr">
        <is>
          <t>ÖREBRO</t>
        </is>
      </c>
      <c r="G33" t="n">
        <v>6.5</v>
      </c>
      <c r="H33" t="n">
        <v>0</v>
      </c>
      <c r="I33" t="n">
        <v>2</v>
      </c>
      <c r="J33" t="n">
        <v>1</v>
      </c>
      <c r="K33" t="n">
        <v>0</v>
      </c>
      <c r="L33" t="n">
        <v>0</v>
      </c>
      <c r="M33" t="n">
        <v>0</v>
      </c>
      <c r="N33" t="n">
        <v>0</v>
      </c>
      <c r="O33" t="n">
        <v>1</v>
      </c>
      <c r="P33" t="n">
        <v>0</v>
      </c>
      <c r="Q33" t="n">
        <v>3</v>
      </c>
      <c r="R33" s="2" t="inlineStr">
        <is>
          <t>Hapalopilus aurantiacus
Granbarkgnagare
Kattfotslav</t>
        </is>
      </c>
      <c r="S33">
        <f>HYPERLINK("https://klasma.github.io/Logging_1880/artfynd/A 3758-2023 artfynd.xlsx", "A 3758-2023")</f>
        <v/>
      </c>
      <c r="T33">
        <f>HYPERLINK("https://klasma.github.io/Logging_1880/kartor/A 3758-2023 karta.png", "A 3758-2023")</f>
        <v/>
      </c>
      <c r="V33">
        <f>HYPERLINK("https://klasma.github.io/Logging_1880/klagomål/A 3758-2023 FSC-klagomål.docx", "A 3758-2023")</f>
        <v/>
      </c>
      <c r="W33">
        <f>HYPERLINK("https://klasma.github.io/Logging_1880/klagomålsmail/A 3758-2023 FSC-klagomål mail.docx", "A 3758-2023")</f>
        <v/>
      </c>
      <c r="X33">
        <f>HYPERLINK("https://klasma.github.io/Logging_1880/tillsyn/A 3758-2023 tillsynsbegäran.docx", "A 3758-2023")</f>
        <v/>
      </c>
      <c r="Y33">
        <f>HYPERLINK("https://klasma.github.io/Logging_1880/tillsynsmail/A 3758-2023 tillsynsbegäran mail.docx", "A 3758-2023")</f>
        <v/>
      </c>
    </row>
    <row r="34" ht="15" customHeight="1">
      <c r="A34" t="inlineStr">
        <is>
          <t>A 14408-2023</t>
        </is>
      </c>
      <c r="B34" s="1" t="n">
        <v>45012</v>
      </c>
      <c r="C34" s="1" t="n">
        <v>45661</v>
      </c>
      <c r="D34" t="inlineStr">
        <is>
          <t>ÖREBRO LÄN</t>
        </is>
      </c>
      <c r="E34" t="inlineStr">
        <is>
          <t>ÖREBRO</t>
        </is>
      </c>
      <c r="G34" t="n">
        <v>3.7</v>
      </c>
      <c r="H34" t="n">
        <v>1</v>
      </c>
      <c r="I34" t="n">
        <v>2</v>
      </c>
      <c r="J34" t="n">
        <v>1</v>
      </c>
      <c r="K34" t="n">
        <v>0</v>
      </c>
      <c r="L34" t="n">
        <v>0</v>
      </c>
      <c r="M34" t="n">
        <v>0</v>
      </c>
      <c r="N34" t="n">
        <v>0</v>
      </c>
      <c r="O34" t="n">
        <v>1</v>
      </c>
      <c r="P34" t="n">
        <v>0</v>
      </c>
      <c r="Q34" t="n">
        <v>3</v>
      </c>
      <c r="R34" s="2" t="inlineStr">
        <is>
          <t>Tretåig hackspett
Dropptaggsvamp
Vedticka</t>
        </is>
      </c>
      <c r="S34">
        <f>HYPERLINK("https://klasma.github.io/Logging_1880/artfynd/A 14408-2023 artfynd.xlsx", "A 14408-2023")</f>
        <v/>
      </c>
      <c r="T34">
        <f>HYPERLINK("https://klasma.github.io/Logging_1880/kartor/A 14408-2023 karta.png", "A 14408-2023")</f>
        <v/>
      </c>
      <c r="V34">
        <f>HYPERLINK("https://klasma.github.io/Logging_1880/klagomål/A 14408-2023 FSC-klagomål.docx", "A 14408-2023")</f>
        <v/>
      </c>
      <c r="W34">
        <f>HYPERLINK("https://klasma.github.io/Logging_1880/klagomålsmail/A 14408-2023 FSC-klagomål mail.docx", "A 14408-2023")</f>
        <v/>
      </c>
      <c r="X34">
        <f>HYPERLINK("https://klasma.github.io/Logging_1880/tillsyn/A 14408-2023 tillsynsbegäran.docx", "A 14408-2023")</f>
        <v/>
      </c>
      <c r="Y34">
        <f>HYPERLINK("https://klasma.github.io/Logging_1880/tillsynsmail/A 14408-2023 tillsynsbegäran mail.docx", "A 14408-2023")</f>
        <v/>
      </c>
      <c r="Z34">
        <f>HYPERLINK("https://klasma.github.io/Logging_1880/fåglar/A 14408-2023 prioriterade fågelarter.docx", "A 14408-2023")</f>
        <v/>
      </c>
    </row>
    <row r="35" ht="15" customHeight="1">
      <c r="A35" t="inlineStr">
        <is>
          <t>A 50096-2023</t>
        </is>
      </c>
      <c r="B35" s="1" t="n">
        <v>45215</v>
      </c>
      <c r="C35" s="1" t="n">
        <v>45661</v>
      </c>
      <c r="D35" t="inlineStr">
        <is>
          <t>ÖREBRO LÄN</t>
        </is>
      </c>
      <c r="E35" t="inlineStr">
        <is>
          <t>ÖREBRO</t>
        </is>
      </c>
      <c r="F35" t="inlineStr">
        <is>
          <t>Övriga Aktiebolag</t>
        </is>
      </c>
      <c r="G35" t="n">
        <v>2.3</v>
      </c>
      <c r="H35" t="n">
        <v>3</v>
      </c>
      <c r="I35" t="n">
        <v>0</v>
      </c>
      <c r="J35" t="n">
        <v>2</v>
      </c>
      <c r="K35" t="n">
        <v>0</v>
      </c>
      <c r="L35" t="n">
        <v>0</v>
      </c>
      <c r="M35" t="n">
        <v>0</v>
      </c>
      <c r="N35" t="n">
        <v>0</v>
      </c>
      <c r="O35" t="n">
        <v>2</v>
      </c>
      <c r="P35" t="n">
        <v>0</v>
      </c>
      <c r="Q35" t="n">
        <v>3</v>
      </c>
      <c r="R35" s="2" t="inlineStr">
        <is>
          <t>Fiskmås
Skrattmås
Sångsvan</t>
        </is>
      </c>
      <c r="S35">
        <f>HYPERLINK("https://klasma.github.io/Logging_1880/artfynd/A 50096-2023 artfynd.xlsx", "A 50096-2023")</f>
        <v/>
      </c>
      <c r="T35">
        <f>HYPERLINK("https://klasma.github.io/Logging_1880/kartor/A 50096-2023 karta.png", "A 50096-2023")</f>
        <v/>
      </c>
      <c r="V35">
        <f>HYPERLINK("https://klasma.github.io/Logging_1880/klagomål/A 50096-2023 FSC-klagomål.docx", "A 50096-2023")</f>
        <v/>
      </c>
      <c r="W35">
        <f>HYPERLINK("https://klasma.github.io/Logging_1880/klagomålsmail/A 50096-2023 FSC-klagomål mail.docx", "A 50096-2023")</f>
        <v/>
      </c>
      <c r="X35">
        <f>HYPERLINK("https://klasma.github.io/Logging_1880/tillsyn/A 50096-2023 tillsynsbegäran.docx", "A 50096-2023")</f>
        <v/>
      </c>
      <c r="Y35">
        <f>HYPERLINK("https://klasma.github.io/Logging_1880/tillsynsmail/A 50096-2023 tillsynsbegäran mail.docx", "A 50096-2023")</f>
        <v/>
      </c>
      <c r="Z35">
        <f>HYPERLINK("https://klasma.github.io/Logging_1880/fåglar/A 50096-2023 prioriterade fågelarter.docx", "A 50096-2023")</f>
        <v/>
      </c>
    </row>
    <row r="36" ht="15" customHeight="1">
      <c r="A36" t="inlineStr">
        <is>
          <t>A 575-2024</t>
        </is>
      </c>
      <c r="B36" s="1" t="n">
        <v>45299</v>
      </c>
      <c r="C36" s="1" t="n">
        <v>45661</v>
      </c>
      <c r="D36" t="inlineStr">
        <is>
          <t>ÖREBRO LÄN</t>
        </is>
      </c>
      <c r="E36" t="inlineStr">
        <is>
          <t>ÖREBRO</t>
        </is>
      </c>
      <c r="F36" t="inlineStr">
        <is>
          <t>Övriga Aktiebolag</t>
        </is>
      </c>
      <c r="G36" t="n">
        <v>1.1</v>
      </c>
      <c r="H36" t="n">
        <v>3</v>
      </c>
      <c r="I36" t="n">
        <v>0</v>
      </c>
      <c r="J36" t="n">
        <v>2</v>
      </c>
      <c r="K36" t="n">
        <v>0</v>
      </c>
      <c r="L36" t="n">
        <v>0</v>
      </c>
      <c r="M36" t="n">
        <v>0</v>
      </c>
      <c r="N36" t="n">
        <v>0</v>
      </c>
      <c r="O36" t="n">
        <v>2</v>
      </c>
      <c r="P36" t="n">
        <v>0</v>
      </c>
      <c r="Q36" t="n">
        <v>3</v>
      </c>
      <c r="R36" s="2" t="inlineStr">
        <is>
          <t>Grönsångare
Rödvingetrast
Kungsfågel</t>
        </is>
      </c>
      <c r="S36">
        <f>HYPERLINK("https://klasma.github.io/Logging_1880/artfynd/A 575-2024 artfynd.xlsx", "A 575-2024")</f>
        <v/>
      </c>
      <c r="T36">
        <f>HYPERLINK("https://klasma.github.io/Logging_1880/kartor/A 575-2024 karta.png", "A 575-2024")</f>
        <v/>
      </c>
      <c r="V36">
        <f>HYPERLINK("https://klasma.github.io/Logging_1880/klagomål/A 575-2024 FSC-klagomål.docx", "A 575-2024")</f>
        <v/>
      </c>
      <c r="W36">
        <f>HYPERLINK("https://klasma.github.io/Logging_1880/klagomålsmail/A 575-2024 FSC-klagomål mail.docx", "A 575-2024")</f>
        <v/>
      </c>
      <c r="X36">
        <f>HYPERLINK("https://klasma.github.io/Logging_1880/tillsyn/A 575-2024 tillsynsbegäran.docx", "A 575-2024")</f>
        <v/>
      </c>
      <c r="Y36">
        <f>HYPERLINK("https://klasma.github.io/Logging_1880/tillsynsmail/A 575-2024 tillsynsbegäran mail.docx", "A 575-2024")</f>
        <v/>
      </c>
      <c r="Z36">
        <f>HYPERLINK("https://klasma.github.io/Logging_1880/fåglar/A 575-2024 prioriterade fågelarter.docx", "A 575-2024")</f>
        <v/>
      </c>
    </row>
    <row r="37" ht="15" customHeight="1">
      <c r="A37" t="inlineStr">
        <is>
          <t>A 17074-2024</t>
        </is>
      </c>
      <c r="B37" s="1" t="n">
        <v>45412</v>
      </c>
      <c r="C37" s="1" t="n">
        <v>45661</v>
      </c>
      <c r="D37" t="inlineStr">
        <is>
          <t>ÖREBRO LÄN</t>
        </is>
      </c>
      <c r="E37" t="inlineStr">
        <is>
          <t>ÖREBRO</t>
        </is>
      </c>
      <c r="F37" t="inlineStr">
        <is>
          <t>Sveaskog</t>
        </is>
      </c>
      <c r="G37" t="n">
        <v>7.2</v>
      </c>
      <c r="H37" t="n">
        <v>1</v>
      </c>
      <c r="I37" t="n">
        <v>2</v>
      </c>
      <c r="J37" t="n">
        <v>0</v>
      </c>
      <c r="K37" t="n">
        <v>0</v>
      </c>
      <c r="L37" t="n">
        <v>1</v>
      </c>
      <c r="M37" t="n">
        <v>0</v>
      </c>
      <c r="N37" t="n">
        <v>0</v>
      </c>
      <c r="O37" t="n">
        <v>1</v>
      </c>
      <c r="P37" t="n">
        <v>1</v>
      </c>
      <c r="Q37" t="n">
        <v>3</v>
      </c>
      <c r="R37" s="2" t="inlineStr">
        <is>
          <t>Ask
Hässleklocka
Skogsknipprot</t>
        </is>
      </c>
      <c r="S37">
        <f>HYPERLINK("https://klasma.github.io/Logging_1880/artfynd/A 17074-2024 artfynd.xlsx", "A 17074-2024")</f>
        <v/>
      </c>
      <c r="T37">
        <f>HYPERLINK("https://klasma.github.io/Logging_1880/kartor/A 17074-2024 karta.png", "A 17074-2024")</f>
        <v/>
      </c>
      <c r="V37">
        <f>HYPERLINK("https://klasma.github.io/Logging_1880/klagomål/A 17074-2024 FSC-klagomål.docx", "A 17074-2024")</f>
        <v/>
      </c>
      <c r="W37">
        <f>HYPERLINK("https://klasma.github.io/Logging_1880/klagomålsmail/A 17074-2024 FSC-klagomål mail.docx", "A 17074-2024")</f>
        <v/>
      </c>
      <c r="X37">
        <f>HYPERLINK("https://klasma.github.io/Logging_1880/tillsyn/A 17074-2024 tillsynsbegäran.docx", "A 17074-2024")</f>
        <v/>
      </c>
      <c r="Y37">
        <f>HYPERLINK("https://klasma.github.io/Logging_1880/tillsynsmail/A 17074-2024 tillsynsbegäran mail.docx", "A 17074-2024")</f>
        <v/>
      </c>
    </row>
    <row r="38" ht="15" customHeight="1">
      <c r="A38" t="inlineStr">
        <is>
          <t>A 31991-2024</t>
        </is>
      </c>
      <c r="B38" s="1" t="n">
        <v>45510</v>
      </c>
      <c r="C38" s="1" t="n">
        <v>45661</v>
      </c>
      <c r="D38" t="inlineStr">
        <is>
          <t>ÖREBRO LÄN</t>
        </is>
      </c>
      <c r="E38" t="inlineStr">
        <is>
          <t>ÖREBRO</t>
        </is>
      </c>
      <c r="G38" t="n">
        <v>1.9</v>
      </c>
      <c r="H38" t="n">
        <v>0</v>
      </c>
      <c r="I38" t="n">
        <v>3</v>
      </c>
      <c r="J38" t="n">
        <v>0</v>
      </c>
      <c r="K38" t="n">
        <v>0</v>
      </c>
      <c r="L38" t="n">
        <v>0</v>
      </c>
      <c r="M38" t="n">
        <v>0</v>
      </c>
      <c r="N38" t="n">
        <v>0</v>
      </c>
      <c r="O38" t="n">
        <v>0</v>
      </c>
      <c r="P38" t="n">
        <v>0</v>
      </c>
      <c r="Q38" t="n">
        <v>3</v>
      </c>
      <c r="R38" s="2" t="inlineStr">
        <is>
          <t>Dvärgtufs
Fransig jordstjärna
Tibast</t>
        </is>
      </c>
      <c r="S38">
        <f>HYPERLINK("https://klasma.github.io/Logging_1880/artfynd/A 31991-2024 artfynd.xlsx", "A 31991-2024")</f>
        <v/>
      </c>
      <c r="T38">
        <f>HYPERLINK("https://klasma.github.io/Logging_1880/kartor/A 31991-2024 karta.png", "A 31991-2024")</f>
        <v/>
      </c>
      <c r="V38">
        <f>HYPERLINK("https://klasma.github.io/Logging_1880/klagomål/A 31991-2024 FSC-klagomål.docx", "A 31991-2024")</f>
        <v/>
      </c>
      <c r="W38">
        <f>HYPERLINK("https://klasma.github.io/Logging_1880/klagomålsmail/A 31991-2024 FSC-klagomål mail.docx", "A 31991-2024")</f>
        <v/>
      </c>
      <c r="X38">
        <f>HYPERLINK("https://klasma.github.io/Logging_1880/tillsyn/A 31991-2024 tillsynsbegäran.docx", "A 31991-2024")</f>
        <v/>
      </c>
      <c r="Y38">
        <f>HYPERLINK("https://klasma.github.io/Logging_1880/tillsynsmail/A 31991-2024 tillsynsbegäran mail.docx", "A 31991-2024")</f>
        <v/>
      </c>
    </row>
    <row r="39" ht="15" customHeight="1">
      <c r="A39" t="inlineStr">
        <is>
          <t>A 51530-2024</t>
        </is>
      </c>
      <c r="B39" s="1" t="n">
        <v>45604</v>
      </c>
      <c r="C39" s="1" t="n">
        <v>45661</v>
      </c>
      <c r="D39" t="inlineStr">
        <is>
          <t>ÖREBRO LÄN</t>
        </is>
      </c>
      <c r="E39" t="inlineStr">
        <is>
          <t>ÖREBRO</t>
        </is>
      </c>
      <c r="F39" t="inlineStr">
        <is>
          <t>Kommuner</t>
        </is>
      </c>
      <c r="G39" t="n">
        <v>15.4</v>
      </c>
      <c r="H39" t="n">
        <v>0</v>
      </c>
      <c r="I39" t="n">
        <v>0</v>
      </c>
      <c r="J39" t="n">
        <v>3</v>
      </c>
      <c r="K39" t="n">
        <v>0</v>
      </c>
      <c r="L39" t="n">
        <v>0</v>
      </c>
      <c r="M39" t="n">
        <v>0</v>
      </c>
      <c r="N39" t="n">
        <v>0</v>
      </c>
      <c r="O39" t="n">
        <v>3</v>
      </c>
      <c r="P39" t="n">
        <v>0</v>
      </c>
      <c r="Q39" t="n">
        <v>3</v>
      </c>
      <c r="R39" s="2" t="inlineStr">
        <is>
          <t>Leptoporus mollis
Tallticka
Ullticka</t>
        </is>
      </c>
      <c r="S39">
        <f>HYPERLINK("https://klasma.github.io/Logging_1880/artfynd/A 51530-2024 artfynd.xlsx", "A 51530-2024")</f>
        <v/>
      </c>
      <c r="T39">
        <f>HYPERLINK("https://klasma.github.io/Logging_1880/kartor/A 51530-2024 karta.png", "A 51530-2024")</f>
        <v/>
      </c>
      <c r="V39">
        <f>HYPERLINK("https://klasma.github.io/Logging_1880/klagomål/A 51530-2024 FSC-klagomål.docx", "A 51530-2024")</f>
        <v/>
      </c>
      <c r="W39">
        <f>HYPERLINK("https://klasma.github.io/Logging_1880/klagomålsmail/A 51530-2024 FSC-klagomål mail.docx", "A 51530-2024")</f>
        <v/>
      </c>
      <c r="X39">
        <f>HYPERLINK("https://klasma.github.io/Logging_1880/tillsyn/A 51530-2024 tillsynsbegäran.docx", "A 51530-2024")</f>
        <v/>
      </c>
      <c r="Y39">
        <f>HYPERLINK("https://klasma.github.io/Logging_1880/tillsynsmail/A 51530-2024 tillsynsbegäran mail.docx", "A 51530-2024")</f>
        <v/>
      </c>
    </row>
    <row r="40" ht="15" customHeight="1">
      <c r="A40" t="inlineStr">
        <is>
          <t>A 20603-2019</t>
        </is>
      </c>
      <c r="B40" s="1" t="n">
        <v>43572</v>
      </c>
      <c r="C40" s="1" t="n">
        <v>45661</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45661</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45661</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45661</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45661</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45661</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45661</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45661</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34578-2022</t>
        </is>
      </c>
      <c r="B48" s="1" t="n">
        <v>44795</v>
      </c>
      <c r="C48" s="1" t="n">
        <v>45661</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45661</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45661</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45661</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45661</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45661</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45661</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45661</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45661</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45661</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45661</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45661</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45661</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45661</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45661</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45661</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45661</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45661</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45661</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45661</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45661</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45661</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45661</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45661</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45661</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45661</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45661</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45661</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45661</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45661</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45661</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45661</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45661</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45661</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45661</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45661</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45661</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45661</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45661</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45661</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45661</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45661</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45661</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45661</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45661</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45661</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45661</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45661</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45661</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45661</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45661</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45661</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45661</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45661</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45661</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45661</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45661</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45661</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45661</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45661</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45661</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45661</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45661</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45661</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45661</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45661</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45661</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45661</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45661</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45661</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45661</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45661</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45661</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45661</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45661</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45661</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45661</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45661</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45661</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45661</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45661</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45661</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45661</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45661</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45661</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45661</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45661</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45661</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45661</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45661</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45661</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45661</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45661</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45661</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45661</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45661</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45661</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45661</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45661</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45661</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45661</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45661</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45661</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45661</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45661</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45661</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45661</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45661</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45661</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45661</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45661</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45661</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45661</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45661</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45661</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45661</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45661</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45661</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45661</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45661</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45661</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45661</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45661</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45661</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45661</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45661</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45661</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45661</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45661</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45661</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45661</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45661</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45661</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45661</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45661</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45661</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45661</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45661</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45661</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45661</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45661</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45661</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45661</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45661</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45661</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45661</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45661</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45661</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45661</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45661</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45661</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45661</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45661</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45661</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45661</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45661</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45661</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45661</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45661</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45661</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45661</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45661</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45661</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45661</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45661</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45661</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45661</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45661</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45661</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45661</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45661</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45661</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45661</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45661</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45661</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45661</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45661</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45661</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45661</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45661</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45661</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45661</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45661</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45661</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45661</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45661</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45661</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45661</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45661</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45661</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45661</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45661</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45661</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45661</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45661</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45661</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45661</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45661</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45661</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45661</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45661</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45661</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45661</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45661</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45661</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45661</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45661</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45661</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45661</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45661</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45661</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45661</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45661</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45661</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45661</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45661</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45661</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45661</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45661</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45661</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45661</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45661</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45661</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45661</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45661</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45661</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45661</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45661</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45661</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45661</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45661</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45661</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45661</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45661</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45661</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45661</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45661</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45661</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45661</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45661</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45661</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45661</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45661</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45661</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45661</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45661</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45661</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45661</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45661</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45661</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45661</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45661</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45661</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45661</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45661</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45661</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45661</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45661</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45661</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45661</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45661</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45661</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45661</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45661</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45661</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45661</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45661</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45661</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45661</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45661</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45661</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45661</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45661</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45661</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45661</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45661</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45661</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45661</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45661</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45661</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45661</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45661</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45661</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45661</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45661</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45661</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45661</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45661</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45661</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45661</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45661</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45661</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45661</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45661</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45661</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45661</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45661</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45661</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45661</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45661</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45661</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45661</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45661</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45661</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45661</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45661</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45661</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45661</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45661</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45661</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45661</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45661</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45661</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45661</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45661</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45661</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45661</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45661</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45661</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45661</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45661</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45661</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45661</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45661</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45661</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45661</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45661</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45661</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45661</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45661</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45661</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45661</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45661</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45661</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45661</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45661</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45661</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45661</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45661</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45661</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45661</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45661</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45661</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45661</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45661</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45661</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45661</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45661</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45661</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45661</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45661</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45661</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45661</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45661</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45661</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45661</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45661</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45661</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45661</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45661</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45661</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45661</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45661</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45661</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45661</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45661</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45661</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45661</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45661</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45661</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45661</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45661</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45661</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45661</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45661</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45661</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45661</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45661</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45661</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45661</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45661</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45661</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45661</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45661</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45661</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45661</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45661</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45661</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45661</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45661</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45661</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45661</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45661</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45661</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45661</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45661</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45661</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45661</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45661</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45661</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45661</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45661</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45661</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45661</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45661</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45661</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45661</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45661</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45661</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45661</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45661</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45661</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45661</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45661</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45661</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45661</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45661</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45661</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45661</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45661</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45661</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45661</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45661</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45661</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45661</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45661</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45661</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45661</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45661</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45661</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45661</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45661</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45661</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45661</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45661</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45661</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45661</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45661</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45661</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45661</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45661</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45661</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45661</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45661</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45661</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45661</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45661</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45661</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45661</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45661</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45661</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45661</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45661</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45661</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45661</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45661</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45661</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45661</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45661</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45661</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45661</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45661</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45661</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45661</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45661</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45661</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45661</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45661</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45661</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45661</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45661</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45661</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45661</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45661</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45661</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45661</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45661</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45661</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45661</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45661</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45661</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45661</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45661</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45661</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45661</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45661</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45661</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45661</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45661</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45661</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45661</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45661</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45661</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45661</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45661</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45661</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45661</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45661</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45661</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45661</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45661</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45661</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45661</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45661</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45661</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45661</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45661</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45661</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45661</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45661</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45661</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45661</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45661</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45661</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45661</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45661</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45661</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45661</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45661</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45661</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45661</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45661</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45661</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45661</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45661</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45661</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45661</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45661</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45661</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45661</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45661</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45661</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45661</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45661</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45661</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45661</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45661</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45661</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45661</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45661</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45661</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45661</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45661</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45661</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45661</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45661</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45661</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45661</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45661</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45661</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45661</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45661</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45661</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45661</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45661</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45661</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45661</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45661</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45661</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45661</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45661</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45661</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45661</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45661</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45661</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45661</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45661</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45661</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45661</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45661</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45661</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45661</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45661</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45661</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45661</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45661</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45661</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45661</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45661</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45661</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45661</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45661</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45661</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45661</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45661</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45661</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45661</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45661</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45661</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45661</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45661</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45661</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45661</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45661</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45661</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45661</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45661</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45661</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45661</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45661</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45661</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45661</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45661</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45661</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45661</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45661</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45661</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45661</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45661</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45661</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45661</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45661</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45661</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45661</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45661</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45661</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45661</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45661</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45661</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45661</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45661</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45661</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45661</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45661</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45661</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45661</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45661</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45661</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45661</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45661</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45661</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45661</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45661</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45661</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45661</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45661</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45661</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45661</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45661</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45661</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45661</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45661</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45661</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45661</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45661</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45661</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45661</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45661</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45661</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45661</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45661</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45661</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45661</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45661</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45661</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45661</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45661</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45661</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45661</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45661</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45661</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45661</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45661</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45661</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45661</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45661</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45661</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45661</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45661</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45661</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45661</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45661</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45661</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45661</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45661</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45661</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45661</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45661</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45661</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45661</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45661</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45661</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45661</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45661</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45661</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45661</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45661</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45661</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45661</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45661</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45661</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45661</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45661</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45661</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45661</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45661</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45661</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45661</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45661</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45661</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45661</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45661</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45661</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45661</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45661</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45661</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45661</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45661</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45661</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45661</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45661</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45661</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45661</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45661</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45661</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45661</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45661</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45661</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45661</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45661</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45661</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45661</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45661</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45661</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45661</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45661</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45661</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45661</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45661</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45661</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45661</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45661</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45661</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45661</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45661</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45661</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45661</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45661</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45661</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45661</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45661</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45661</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45661</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45661</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45661</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45661</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45661</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45661</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45661</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45661</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45661</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45661</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45661</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45661</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45661</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45661</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45661</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45661</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45661</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45661</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45661</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45661</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45661</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45661</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45661</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45661</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45661</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45661</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45661</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45661</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45661</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45661</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45661</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45661</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45661</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45661</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45661</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45661</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45661</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45661</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45661</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45661</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45661</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45661</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45661</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45661</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45661</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45661</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45661</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45661</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45661</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45661</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45661</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45661</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45661</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45661</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45661</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45661</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45661</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45661</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45661</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45661</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45661</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45661</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45661</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45661</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45661</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45661</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45661</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45661</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45661</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45661</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45661</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45661</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45661</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45661</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45661</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45661</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45661</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45661</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45661</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45661</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45661</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45661</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45661</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45661</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45661</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45661</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45661</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45661</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45661</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45661</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45661</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45661</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45661</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45661</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45661</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45661</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45661</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45661</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45661</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45661</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45661</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45661</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45661</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45661</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45661</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45661</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45661</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45661</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45661</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45661</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45661</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45661</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45661</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45661</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45661</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45661</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45661</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45661</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45661</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45661</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45661</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45661</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45661</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45661</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45661</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45661</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45661</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45661</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45661</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45661</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45661</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45661</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45661</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45661</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45661</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45661</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45661</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45661</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45661</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45661</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45661</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45661</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45661</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45661</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45661</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45661</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45661</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45661</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45661</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45661</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45661</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45661</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45661</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45661</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45661</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45661</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45661</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45661</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45661</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45661</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45661</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45661</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45661</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45661</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45661</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45661</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45661</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45661</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45661</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45661</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45661</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45661</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45661</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45661</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45661</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45661</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45661</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45661</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45661</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45661</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45661</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45661</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45661</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45661</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45661</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45661</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45661</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45661</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45661</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45661</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45661</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45661</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45661</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45661</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45661</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45661</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45661</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45661</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45661</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45661</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45661</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45661</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45661</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45661</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45661</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45661</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45661</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45661</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45661</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45661</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45661</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45661</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45661</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45661</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45661</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45661</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45661</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45661</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45661</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45661</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45661</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45661</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45661</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45661</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45661</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45661</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45661</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45661</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45661</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45661</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45661</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45661</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45661</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45661</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45661</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45661</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45661</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45661</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45661</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45661</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45661</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45661</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45661</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45661</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45661</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45661</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45661</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45661</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45661</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45661</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45661</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45661</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45661</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45661</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45661</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45661</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45661</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45661</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45661</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45661</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45661</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45661</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45661</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45661</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45661</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45661</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45661</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45661</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45661</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45661</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45661</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45661</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45661</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45661</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45661</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45661</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45661</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45661</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45661</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45661</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45661</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45661</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45661</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45661</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45661</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45661</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58145-2024</t>
        </is>
      </c>
      <c r="B1076" s="1" t="n">
        <v>45632</v>
      </c>
      <c r="C1076" s="1" t="n">
        <v>45661</v>
      </c>
      <c r="D1076" t="inlineStr">
        <is>
          <t>ÖREBRO LÄN</t>
        </is>
      </c>
      <c r="E1076" t="inlineStr">
        <is>
          <t>ÖREBRO</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58208-2024</t>
        </is>
      </c>
      <c r="B1077" s="1" t="n">
        <v>45632</v>
      </c>
      <c r="C1077" s="1" t="n">
        <v>45661</v>
      </c>
      <c r="D1077" t="inlineStr">
        <is>
          <t>ÖREBRO LÄN</t>
        </is>
      </c>
      <c r="E1077" t="inlineStr">
        <is>
          <t>ÖREBRO</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58216-2024</t>
        </is>
      </c>
      <c r="B1078" s="1" t="n">
        <v>45632</v>
      </c>
      <c r="C1078" s="1" t="n">
        <v>45661</v>
      </c>
      <c r="D1078" t="inlineStr">
        <is>
          <t>ÖREBRO LÄN</t>
        </is>
      </c>
      <c r="E1078" t="inlineStr">
        <is>
          <t>ÖREBRO</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58219-2024</t>
        </is>
      </c>
      <c r="B1079" s="1" t="n">
        <v>45632</v>
      </c>
      <c r="C1079" s="1" t="n">
        <v>45661</v>
      </c>
      <c r="D1079" t="inlineStr">
        <is>
          <t>ÖREBRO LÄN</t>
        </is>
      </c>
      <c r="E1079" t="inlineStr">
        <is>
          <t>ÖREBRO</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45661</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58486-2024</t>
        </is>
      </c>
      <c r="B1081" s="1" t="n">
        <v>45635</v>
      </c>
      <c r="C1081" s="1" t="n">
        <v>45661</v>
      </c>
      <c r="D1081" t="inlineStr">
        <is>
          <t>ÖREBRO LÄN</t>
        </is>
      </c>
      <c r="E1081" t="inlineStr">
        <is>
          <t>ÖREBRO</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58532-2024</t>
        </is>
      </c>
      <c r="B1082" s="1" t="n">
        <v>45635</v>
      </c>
      <c r="C1082" s="1" t="n">
        <v>45661</v>
      </c>
      <c r="D1082" t="inlineStr">
        <is>
          <t>ÖREBRO LÄN</t>
        </is>
      </c>
      <c r="E1082" t="inlineStr">
        <is>
          <t>ÖREBRO</t>
        </is>
      </c>
      <c r="F1082" t="inlineStr">
        <is>
          <t>Sveaskog</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58608-2024</t>
        </is>
      </c>
      <c r="B1083" s="1" t="n">
        <v>45635</v>
      </c>
      <c r="C1083" s="1" t="n">
        <v>45661</v>
      </c>
      <c r="D1083" t="inlineStr">
        <is>
          <t>ÖREBRO LÄN</t>
        </is>
      </c>
      <c r="E1083" t="inlineStr">
        <is>
          <t>ÖREBRO</t>
        </is>
      </c>
      <c r="F1083" t="inlineStr">
        <is>
          <t>Sveaskog</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58621-2024</t>
        </is>
      </c>
      <c r="B1084" s="1" t="n">
        <v>45635</v>
      </c>
      <c r="C1084" s="1" t="n">
        <v>45661</v>
      </c>
      <c r="D1084" t="inlineStr">
        <is>
          <t>ÖREBRO LÄN</t>
        </is>
      </c>
      <c r="E1084" t="inlineStr">
        <is>
          <t>ÖREBRO</t>
        </is>
      </c>
      <c r="F1084" t="inlineStr">
        <is>
          <t>Sveaskog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58527-2024</t>
        </is>
      </c>
      <c r="B1085" s="1" t="n">
        <v>45635</v>
      </c>
      <c r="C1085" s="1" t="n">
        <v>45661</v>
      </c>
      <c r="D1085" t="inlineStr">
        <is>
          <t>ÖREBRO LÄN</t>
        </is>
      </c>
      <c r="E1085" t="inlineStr">
        <is>
          <t>ÖREBRO</t>
        </is>
      </c>
      <c r="F1085" t="inlineStr">
        <is>
          <t>Sveaskog</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58539-2024</t>
        </is>
      </c>
      <c r="B1086" s="1" t="n">
        <v>45635</v>
      </c>
      <c r="C1086" s="1" t="n">
        <v>45661</v>
      </c>
      <c r="D1086" t="inlineStr">
        <is>
          <t>ÖREBRO LÄN</t>
        </is>
      </c>
      <c r="E1086" t="inlineStr">
        <is>
          <t>ÖREBRO</t>
        </is>
      </c>
      <c r="F1086" t="inlineStr">
        <is>
          <t>Sveaskog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58606-2024</t>
        </is>
      </c>
      <c r="B1087" s="1" t="n">
        <v>45635</v>
      </c>
      <c r="C1087" s="1" t="n">
        <v>45661</v>
      </c>
      <c r="D1087" t="inlineStr">
        <is>
          <t>ÖREBRO LÄN</t>
        </is>
      </c>
      <c r="E1087" t="inlineStr">
        <is>
          <t>ÖREBRO</t>
        </is>
      </c>
      <c r="F1087" t="inlineStr">
        <is>
          <t>Sveaskog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45661</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45661</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58513-2024</t>
        </is>
      </c>
      <c r="B1090" s="1" t="n">
        <v>45635</v>
      </c>
      <c r="C1090" s="1" t="n">
        <v>45661</v>
      </c>
      <c r="D1090" t="inlineStr">
        <is>
          <t>ÖREBRO LÄN</t>
        </is>
      </c>
      <c r="E1090" t="inlineStr">
        <is>
          <t>ÖREBRO</t>
        </is>
      </c>
      <c r="F1090" t="inlineStr">
        <is>
          <t>Sveaskog</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58620-2024</t>
        </is>
      </c>
      <c r="B1091" s="1" t="n">
        <v>45635</v>
      </c>
      <c r="C1091" s="1" t="n">
        <v>45661</v>
      </c>
      <c r="D1091" t="inlineStr">
        <is>
          <t>ÖREBRO LÄN</t>
        </is>
      </c>
      <c r="E1091" t="inlineStr">
        <is>
          <t>ÖREBRO</t>
        </is>
      </c>
      <c r="F1091" t="inlineStr">
        <is>
          <t>Sveaskog</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45661</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45661</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45661</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45661</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45661</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45661</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60406-2024</t>
        </is>
      </c>
      <c r="B1098" s="1" t="n">
        <v>45643</v>
      </c>
      <c r="C1098" s="1" t="n">
        <v>45661</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60506-2024</t>
        </is>
      </c>
      <c r="B1099" s="1" t="n">
        <v>45643</v>
      </c>
      <c r="C1099" s="1" t="n">
        <v>45661</v>
      </c>
      <c r="D1099" t="inlineStr">
        <is>
          <t>ÖREBRO LÄN</t>
        </is>
      </c>
      <c r="E1099" t="inlineStr">
        <is>
          <t>ÖREBRO</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45661</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45661</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45661</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45661</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45661</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c r="A1105" t="inlineStr">
        <is>
          <t>A 281-2025</t>
        </is>
      </c>
      <c r="B1105" s="1" t="n">
        <v>45660</v>
      </c>
      <c r="C1105" s="1" t="n">
        <v>45661</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2025-01-04T15:57:14Z</dcterms:created>
  <dcterms:modified xmlns:dcterms="http://purl.org/dc/terms/" xmlns:xsi="http://www.w3.org/2001/XMLSchema-instance" xsi:type="dcterms:W3CDTF">2025-01-04T15:57:15Z</dcterms:modified>
</cp:coreProperties>
</file>