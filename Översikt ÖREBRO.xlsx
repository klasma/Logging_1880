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45992</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45992</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45992</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45992</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45992</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45989.65600694445</v>
      </c>
      <c r="C10" s="1" t="n">
        <v>45992</v>
      </c>
      <c r="D10" t="inlineStr">
        <is>
          <t>ÖREBRO LÄN</t>
        </is>
      </c>
      <c r="E10" t="inlineStr">
        <is>
          <t>ÖREBRO</t>
        </is>
      </c>
      <c r="F10" t="inlineStr">
        <is>
          <t>Sveaskog</t>
        </is>
      </c>
      <c r="G10" t="n">
        <v>1.7</v>
      </c>
      <c r="H10" t="n">
        <v>1</v>
      </c>
      <c r="I10" t="n">
        <v>3</v>
      </c>
      <c r="J10" t="n">
        <v>1</v>
      </c>
      <c r="K10" t="n">
        <v>0</v>
      </c>
      <c r="L10" t="n">
        <v>0</v>
      </c>
      <c r="M10" t="n">
        <v>0</v>
      </c>
      <c r="N10" t="n">
        <v>0</v>
      </c>
      <c r="O10" t="n">
        <v>1</v>
      </c>
      <c r="P10" t="n">
        <v>0</v>
      </c>
      <c r="Q10" t="n">
        <v>5</v>
      </c>
      <c r="R10" s="2" t="inlineStr">
        <is>
          <t>Dofttaggsvamp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45992</v>
      </c>
      <c r="D11" t="inlineStr">
        <is>
          <t>ÖREBRO LÄN</t>
        </is>
      </c>
      <c r="E11" t="inlineStr">
        <is>
          <t>ÖREBRO</t>
        </is>
      </c>
      <c r="G11" t="n">
        <v>2.6</v>
      </c>
      <c r="H11" t="n">
        <v>2</v>
      </c>
      <c r="I11" t="n">
        <v>2</v>
      </c>
      <c r="J11" t="n">
        <v>2</v>
      </c>
      <c r="K11" t="n">
        <v>1</v>
      </c>
      <c r="L11" t="n">
        <v>0</v>
      </c>
      <c r="M11" t="n">
        <v>0</v>
      </c>
      <c r="N11" t="n">
        <v>0</v>
      </c>
      <c r="O11" t="n">
        <v>3</v>
      </c>
      <c r="P11" t="n">
        <v>1</v>
      </c>
      <c r="Q11" t="n">
        <v>5</v>
      </c>
      <c r="R11" s="2" t="inlineStr">
        <is>
          <t>Knärot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33069-2025</t>
        </is>
      </c>
      <c r="B12" s="1" t="n">
        <v>45840</v>
      </c>
      <c r="C12" s="1" t="n">
        <v>45992</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5354-2024</t>
        </is>
      </c>
      <c r="B13" s="1" t="n">
        <v>45331</v>
      </c>
      <c r="C13" s="1" t="n">
        <v>45992</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8564-2021</t>
        </is>
      </c>
      <c r="B14" s="1" t="n">
        <v>44245</v>
      </c>
      <c r="C14" s="1" t="n">
        <v>45992</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45992</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57553-2023</t>
        </is>
      </c>
      <c r="B16" s="1" t="n">
        <v>45246</v>
      </c>
      <c r="C16" s="1" t="n">
        <v>45992</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12974-2022</t>
        </is>
      </c>
      <c r="B17" s="1" t="n">
        <v>44643.38490740741</v>
      </c>
      <c r="C17" s="1" t="n">
        <v>45992</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29487-2022</t>
        </is>
      </c>
      <c r="B18" s="1" t="n">
        <v>44753</v>
      </c>
      <c r="C18" s="1" t="n">
        <v>45992</v>
      </c>
      <c r="D18" t="inlineStr">
        <is>
          <t>ÖREBRO LÄN</t>
        </is>
      </c>
      <c r="E18" t="inlineStr">
        <is>
          <t>ÖREBRO</t>
        </is>
      </c>
      <c r="F18" t="inlineStr">
        <is>
          <t>Kommuner</t>
        </is>
      </c>
      <c r="G18" t="n">
        <v>0.7</v>
      </c>
      <c r="H18" t="n">
        <v>0</v>
      </c>
      <c r="I18" t="n">
        <v>2</v>
      </c>
      <c r="J18" t="n">
        <v>1</v>
      </c>
      <c r="K18" t="n">
        <v>0</v>
      </c>
      <c r="L18" t="n">
        <v>0</v>
      </c>
      <c r="M18" t="n">
        <v>0</v>
      </c>
      <c r="N18" t="n">
        <v>0</v>
      </c>
      <c r="O18" t="n">
        <v>1</v>
      </c>
      <c r="P18" t="n">
        <v>0</v>
      </c>
      <c r="Q18" t="n">
        <v>3</v>
      </c>
      <c r="R18" s="2" t="inlineStr">
        <is>
          <t>Svartvit taggsvamp
Fjällig taggsvamp s.str.
Rödgul trumpetsvamp</t>
        </is>
      </c>
      <c r="S18">
        <f>HYPERLINK("https://klasma.github.io/Logging_1880/artfynd/A 29487-2022 artfynd.xlsx", "A 29487-2022")</f>
        <v/>
      </c>
      <c r="T18">
        <f>HYPERLINK("https://klasma.github.io/Logging_1880/kartor/A 29487-2022 karta.png", "A 29487-2022")</f>
        <v/>
      </c>
      <c r="V18">
        <f>HYPERLINK("https://klasma.github.io/Logging_1880/klagomål/A 29487-2022 FSC-klagomål.docx", "A 29487-2022")</f>
        <v/>
      </c>
      <c r="W18">
        <f>HYPERLINK("https://klasma.github.io/Logging_1880/klagomålsmail/A 29487-2022 FSC-klagomål mail.docx", "A 29487-2022")</f>
        <v/>
      </c>
      <c r="X18">
        <f>HYPERLINK("https://klasma.github.io/Logging_1880/tillsyn/A 29487-2022 tillsynsbegäran.docx", "A 29487-2022")</f>
        <v/>
      </c>
      <c r="Y18">
        <f>HYPERLINK("https://klasma.github.io/Logging_1880/tillsynsmail/A 29487-2022 tillsynsbegäran mail.docx", "A 29487-2022")</f>
        <v/>
      </c>
    </row>
    <row r="19" ht="15" customHeight="1">
      <c r="A19" t="inlineStr">
        <is>
          <t>A 20838-2021</t>
        </is>
      </c>
      <c r="B19" s="1" t="n">
        <v>44319</v>
      </c>
      <c r="C19" s="1" t="n">
        <v>45992</v>
      </c>
      <c r="D19" t="inlineStr">
        <is>
          <t>ÖREBRO LÄN</t>
        </is>
      </c>
      <c r="E19" t="inlineStr">
        <is>
          <t>ÖREBRO</t>
        </is>
      </c>
      <c r="G19" t="n">
        <v>1.9</v>
      </c>
      <c r="H19" t="n">
        <v>0</v>
      </c>
      <c r="I19" t="n">
        <v>3</v>
      </c>
      <c r="J19" t="n">
        <v>0</v>
      </c>
      <c r="K19" t="n">
        <v>0</v>
      </c>
      <c r="L19" t="n">
        <v>0</v>
      </c>
      <c r="M19" t="n">
        <v>0</v>
      </c>
      <c r="N19" t="n">
        <v>0</v>
      </c>
      <c r="O19" t="n">
        <v>0</v>
      </c>
      <c r="P19" t="n">
        <v>0</v>
      </c>
      <c r="Q19" t="n">
        <v>3</v>
      </c>
      <c r="R19" s="2" t="inlineStr">
        <is>
          <t>Fjällig taggsvamp s.str.
Rödgul trumpetsvamp
Toppvaxing</t>
        </is>
      </c>
      <c r="S19">
        <f>HYPERLINK("https://klasma.github.io/Logging_1880/artfynd/A 20838-2021 artfynd.xlsx", "A 20838-2021")</f>
        <v/>
      </c>
      <c r="T19">
        <f>HYPERLINK("https://klasma.github.io/Logging_1880/kartor/A 20838-2021 karta.png", "A 20838-2021")</f>
        <v/>
      </c>
      <c r="V19">
        <f>HYPERLINK("https://klasma.github.io/Logging_1880/klagomål/A 20838-2021 FSC-klagomål.docx", "A 20838-2021")</f>
        <v/>
      </c>
      <c r="W19">
        <f>HYPERLINK("https://klasma.github.io/Logging_1880/klagomålsmail/A 20838-2021 FSC-klagomål mail.docx", "A 20838-2021")</f>
        <v/>
      </c>
      <c r="X19">
        <f>HYPERLINK("https://klasma.github.io/Logging_1880/tillsyn/A 20838-2021 tillsynsbegäran.docx", "A 20838-2021")</f>
        <v/>
      </c>
      <c r="Y19">
        <f>HYPERLINK("https://klasma.github.io/Logging_1880/tillsynsmail/A 20838-2021 tillsynsbegäran mail.docx", "A 20838-2021")</f>
        <v/>
      </c>
    </row>
    <row r="20" ht="15" customHeight="1">
      <c r="A20" t="inlineStr">
        <is>
          <t>A 575-2024</t>
        </is>
      </c>
      <c r="B20" s="1" t="n">
        <v>45299</v>
      </c>
      <c r="C20" s="1" t="n">
        <v>45992</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17074-2024</t>
        </is>
      </c>
      <c r="B21" s="1" t="n">
        <v>45412</v>
      </c>
      <c r="C21" s="1" t="n">
        <v>45992</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13627-2025</t>
        </is>
      </c>
      <c r="B22" s="1" t="n">
        <v>45736</v>
      </c>
      <c r="C22" s="1" t="n">
        <v>45992</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45992</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59517-2025</t>
        </is>
      </c>
      <c r="B24" s="1" t="n">
        <v>45989.65462962963</v>
      </c>
      <c r="C24" s="1" t="n">
        <v>45992</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50096-2023</t>
        </is>
      </c>
      <c r="B25" s="1" t="n">
        <v>45215</v>
      </c>
      <c r="C25" s="1" t="n">
        <v>45992</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29478-2022</t>
        </is>
      </c>
      <c r="B26" s="1" t="n">
        <v>44753</v>
      </c>
      <c r="C26" s="1" t="n">
        <v>45992</v>
      </c>
      <c r="D26" t="inlineStr">
        <is>
          <t>ÖREBRO LÄN</t>
        </is>
      </c>
      <c r="E26" t="inlineStr">
        <is>
          <t>ÖREBRO</t>
        </is>
      </c>
      <c r="F26" t="inlineStr">
        <is>
          <t>Kommuner</t>
        </is>
      </c>
      <c r="G26" t="n">
        <v>0.5</v>
      </c>
      <c r="H26" t="n">
        <v>0</v>
      </c>
      <c r="I26" t="n">
        <v>2</v>
      </c>
      <c r="J26" t="n">
        <v>0</v>
      </c>
      <c r="K26" t="n">
        <v>0</v>
      </c>
      <c r="L26" t="n">
        <v>0</v>
      </c>
      <c r="M26" t="n">
        <v>0</v>
      </c>
      <c r="N26" t="n">
        <v>0</v>
      </c>
      <c r="O26" t="n">
        <v>0</v>
      </c>
      <c r="P26" t="n">
        <v>0</v>
      </c>
      <c r="Q26" t="n">
        <v>2</v>
      </c>
      <c r="R26" s="2" t="inlineStr">
        <is>
          <t>Fjällig taggsvamp s.str.
Svavelriska</t>
        </is>
      </c>
      <c r="S26">
        <f>HYPERLINK("https://klasma.github.io/Logging_1880/artfynd/A 29478-2022 artfynd.xlsx", "A 29478-2022")</f>
        <v/>
      </c>
      <c r="T26">
        <f>HYPERLINK("https://klasma.github.io/Logging_1880/kartor/A 29478-2022 karta.png", "A 29478-2022")</f>
        <v/>
      </c>
      <c r="V26">
        <f>HYPERLINK("https://klasma.github.io/Logging_1880/klagomål/A 29478-2022 FSC-klagomål.docx", "A 29478-2022")</f>
        <v/>
      </c>
      <c r="W26">
        <f>HYPERLINK("https://klasma.github.io/Logging_1880/klagomålsmail/A 29478-2022 FSC-klagomål mail.docx", "A 29478-2022")</f>
        <v/>
      </c>
      <c r="X26">
        <f>HYPERLINK("https://klasma.github.io/Logging_1880/tillsyn/A 29478-2022 tillsynsbegäran.docx", "A 29478-2022")</f>
        <v/>
      </c>
      <c r="Y26">
        <f>HYPERLINK("https://klasma.github.io/Logging_1880/tillsynsmail/A 29478-2022 tillsynsbegäran mail.docx", "A 29478-2022")</f>
        <v/>
      </c>
    </row>
    <row r="27" ht="15" customHeight="1">
      <c r="A27" t="inlineStr">
        <is>
          <t>A 32782-2022</t>
        </is>
      </c>
      <c r="B27" s="1" t="n">
        <v>44783</v>
      </c>
      <c r="C27" s="1" t="n">
        <v>45992</v>
      </c>
      <c r="D27" t="inlineStr">
        <is>
          <t>ÖREBRO LÄN</t>
        </is>
      </c>
      <c r="E27" t="inlineStr">
        <is>
          <t>ÖREBRO</t>
        </is>
      </c>
      <c r="G27" t="n">
        <v>2.8</v>
      </c>
      <c r="H27" t="n">
        <v>1</v>
      </c>
      <c r="I27" t="n">
        <v>0</v>
      </c>
      <c r="J27" t="n">
        <v>1</v>
      </c>
      <c r="K27" t="n">
        <v>0</v>
      </c>
      <c r="L27" t="n">
        <v>0</v>
      </c>
      <c r="M27" t="n">
        <v>0</v>
      </c>
      <c r="N27" t="n">
        <v>0</v>
      </c>
      <c r="O27" t="n">
        <v>1</v>
      </c>
      <c r="P27" t="n">
        <v>0</v>
      </c>
      <c r="Q27" t="n">
        <v>2</v>
      </c>
      <c r="R27" s="2" t="inlineStr">
        <is>
          <t>Loppstarr
Blåsippa</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49552-2022</t>
        </is>
      </c>
      <c r="B28" s="1" t="n">
        <v>44862.31013888889</v>
      </c>
      <c r="C28" s="1" t="n">
        <v>45992</v>
      </c>
      <c r="D28" t="inlineStr">
        <is>
          <t>ÖREBRO LÄN</t>
        </is>
      </c>
      <c r="E28" t="inlineStr">
        <is>
          <t>ÖREBRO</t>
        </is>
      </c>
      <c r="G28" t="n">
        <v>2.1</v>
      </c>
      <c r="H28" t="n">
        <v>0</v>
      </c>
      <c r="I28" t="n">
        <v>0</v>
      </c>
      <c r="J28" t="n">
        <v>1</v>
      </c>
      <c r="K28" t="n">
        <v>1</v>
      </c>
      <c r="L28" t="n">
        <v>0</v>
      </c>
      <c r="M28" t="n">
        <v>0</v>
      </c>
      <c r="N28" t="n">
        <v>0</v>
      </c>
      <c r="O28" t="n">
        <v>2</v>
      </c>
      <c r="P28" t="n">
        <v>1</v>
      </c>
      <c r="Q28" t="n">
        <v>2</v>
      </c>
      <c r="R28" s="2" t="inlineStr">
        <is>
          <t>Ulltickeporing
Ullticka</t>
        </is>
      </c>
      <c r="S28">
        <f>HYPERLINK("https://klasma.github.io/Logging_1880/artfynd/A 49552-2022 artfynd.xlsx", "A 49552-2022")</f>
        <v/>
      </c>
      <c r="T28">
        <f>HYPERLINK("https://klasma.github.io/Logging_1880/kartor/A 49552-2022 karta.png", "A 49552-2022")</f>
        <v/>
      </c>
      <c r="V28">
        <f>HYPERLINK("https://klasma.github.io/Logging_1880/klagomål/A 49552-2022 FSC-klagomål.docx", "A 49552-2022")</f>
        <v/>
      </c>
      <c r="W28">
        <f>HYPERLINK("https://klasma.github.io/Logging_1880/klagomålsmail/A 49552-2022 FSC-klagomål mail.docx", "A 49552-2022")</f>
        <v/>
      </c>
      <c r="X28">
        <f>HYPERLINK("https://klasma.github.io/Logging_1880/tillsyn/A 49552-2022 tillsynsbegäran.docx", "A 49552-2022")</f>
        <v/>
      </c>
      <c r="Y28">
        <f>HYPERLINK("https://klasma.github.io/Logging_1880/tillsynsmail/A 49552-2022 tillsynsbegäran mail.docx", "A 49552-2022")</f>
        <v/>
      </c>
    </row>
    <row r="29" ht="15" customHeight="1">
      <c r="A29" t="inlineStr">
        <is>
          <t>A 2586-2021</t>
        </is>
      </c>
      <c r="B29" s="1" t="n">
        <v>44214</v>
      </c>
      <c r="C29" s="1" t="n">
        <v>45992</v>
      </c>
      <c r="D29" t="inlineStr">
        <is>
          <t>ÖREBRO LÄN</t>
        </is>
      </c>
      <c r="E29" t="inlineStr">
        <is>
          <t>ÖREBRO</t>
        </is>
      </c>
      <c r="G29" t="n">
        <v>8</v>
      </c>
      <c r="H29" t="n">
        <v>1</v>
      </c>
      <c r="I29" t="n">
        <v>0</v>
      </c>
      <c r="J29" t="n">
        <v>1</v>
      </c>
      <c r="K29" t="n">
        <v>0</v>
      </c>
      <c r="L29" t="n">
        <v>0</v>
      </c>
      <c r="M29" t="n">
        <v>0</v>
      </c>
      <c r="N29" t="n">
        <v>0</v>
      </c>
      <c r="O29" t="n">
        <v>1</v>
      </c>
      <c r="P29" t="n">
        <v>0</v>
      </c>
      <c r="Q29" t="n">
        <v>2</v>
      </c>
      <c r="R29" s="2" t="inlineStr">
        <is>
          <t>Tallticka
Fläcknycklar</t>
        </is>
      </c>
      <c r="S29">
        <f>HYPERLINK("https://klasma.github.io/Logging_1880/artfynd/A 2586-2021 artfynd.xlsx", "A 2586-2021")</f>
        <v/>
      </c>
      <c r="T29">
        <f>HYPERLINK("https://klasma.github.io/Logging_1880/kartor/A 2586-2021 karta.png", "A 2586-2021")</f>
        <v/>
      </c>
      <c r="V29">
        <f>HYPERLINK("https://klasma.github.io/Logging_1880/klagomål/A 2586-2021 FSC-klagomål.docx", "A 2586-2021")</f>
        <v/>
      </c>
      <c r="W29">
        <f>HYPERLINK("https://klasma.github.io/Logging_1880/klagomålsmail/A 2586-2021 FSC-klagomål mail.docx", "A 2586-2021")</f>
        <v/>
      </c>
      <c r="X29">
        <f>HYPERLINK("https://klasma.github.io/Logging_1880/tillsyn/A 2586-2021 tillsynsbegäran.docx", "A 2586-2021")</f>
        <v/>
      </c>
      <c r="Y29">
        <f>HYPERLINK("https://klasma.github.io/Logging_1880/tillsynsmail/A 2586-2021 tillsynsbegäran mail.docx", "A 2586-2021")</f>
        <v/>
      </c>
    </row>
    <row r="30" ht="15" customHeight="1">
      <c r="A30" t="inlineStr">
        <is>
          <t>A 30409-2025</t>
        </is>
      </c>
      <c r="B30" s="1" t="n">
        <v>45827.59738425926</v>
      </c>
      <c r="C30" s="1" t="n">
        <v>45992</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51550-2025</t>
        </is>
      </c>
      <c r="B31" s="1" t="n">
        <v>45950.83359953704</v>
      </c>
      <c r="C31" s="1" t="n">
        <v>45992</v>
      </c>
      <c r="D31" t="inlineStr">
        <is>
          <t>ÖREBRO LÄN</t>
        </is>
      </c>
      <c r="E31" t="inlineStr">
        <is>
          <t>ÖREBRO</t>
        </is>
      </c>
      <c r="F31" t="inlineStr">
        <is>
          <t>Övriga Aktiebolag</t>
        </is>
      </c>
      <c r="G31" t="n">
        <v>5.5</v>
      </c>
      <c r="H31" t="n">
        <v>0</v>
      </c>
      <c r="I31" t="n">
        <v>1</v>
      </c>
      <c r="J31" t="n">
        <v>1</v>
      </c>
      <c r="K31" t="n">
        <v>0</v>
      </c>
      <c r="L31" t="n">
        <v>0</v>
      </c>
      <c r="M31" t="n">
        <v>0</v>
      </c>
      <c r="N31" t="n">
        <v>0</v>
      </c>
      <c r="O31" t="n">
        <v>1</v>
      </c>
      <c r="P31" t="n">
        <v>0</v>
      </c>
      <c r="Q31" t="n">
        <v>2</v>
      </c>
      <c r="R31" s="2" t="inlineStr">
        <is>
          <t>Bryngökbi
Tibast</t>
        </is>
      </c>
      <c r="S31">
        <f>HYPERLINK("https://klasma.github.io/Logging_1880/artfynd/A 51550-2025 artfynd.xlsx", "A 51550-2025")</f>
        <v/>
      </c>
      <c r="T31">
        <f>HYPERLINK("https://klasma.github.io/Logging_1880/kartor/A 51550-2025 karta.png", "A 51550-2025")</f>
        <v/>
      </c>
      <c r="V31">
        <f>HYPERLINK("https://klasma.github.io/Logging_1880/klagomål/A 51550-2025 FSC-klagomål.docx", "A 51550-2025")</f>
        <v/>
      </c>
      <c r="W31">
        <f>HYPERLINK("https://klasma.github.io/Logging_1880/klagomålsmail/A 51550-2025 FSC-klagomål mail.docx", "A 51550-2025")</f>
        <v/>
      </c>
      <c r="X31">
        <f>HYPERLINK("https://klasma.github.io/Logging_1880/tillsyn/A 51550-2025 tillsynsbegäran.docx", "A 51550-2025")</f>
        <v/>
      </c>
      <c r="Y31">
        <f>HYPERLINK("https://klasma.github.io/Logging_1880/tillsynsmail/A 51550-2025 tillsynsbegäran mail.docx", "A 51550-2025")</f>
        <v/>
      </c>
    </row>
    <row r="32" ht="15" customHeight="1">
      <c r="A32" t="inlineStr">
        <is>
          <t>A 14956-2025</t>
        </is>
      </c>
      <c r="B32" s="1" t="n">
        <v>45743.58409722222</v>
      </c>
      <c r="C32" s="1" t="n">
        <v>45992</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52400-2024</t>
        </is>
      </c>
      <c r="B33" s="1" t="n">
        <v>45609.44461805555</v>
      </c>
      <c r="C33" s="1" t="n">
        <v>45992</v>
      </c>
      <c r="D33" t="inlineStr">
        <is>
          <t>ÖREBRO LÄN</t>
        </is>
      </c>
      <c r="E33" t="inlineStr">
        <is>
          <t>ÖREBRO</t>
        </is>
      </c>
      <c r="F33" t="inlineStr">
        <is>
          <t>Sveaskog</t>
        </is>
      </c>
      <c r="G33" t="n">
        <v>7</v>
      </c>
      <c r="H33" t="n">
        <v>2</v>
      </c>
      <c r="I33" t="n">
        <v>0</v>
      </c>
      <c r="J33" t="n">
        <v>0</v>
      </c>
      <c r="K33" t="n">
        <v>1</v>
      </c>
      <c r="L33" t="n">
        <v>0</v>
      </c>
      <c r="M33" t="n">
        <v>0</v>
      </c>
      <c r="N33" t="n">
        <v>0</v>
      </c>
      <c r="O33" t="n">
        <v>1</v>
      </c>
      <c r="P33" t="n">
        <v>1</v>
      </c>
      <c r="Q33" t="n">
        <v>2</v>
      </c>
      <c r="R33" s="2" t="inlineStr">
        <is>
          <t>Väddnätfjäril
Grönvit nattviol</t>
        </is>
      </c>
      <c r="S33">
        <f>HYPERLINK("https://klasma.github.io/Logging_1880/artfynd/A 52400-2024 artfynd.xlsx", "A 52400-2024")</f>
        <v/>
      </c>
      <c r="T33">
        <f>HYPERLINK("https://klasma.github.io/Logging_1880/kartor/A 52400-2024 karta.png", "A 52400-2024")</f>
        <v/>
      </c>
      <c r="V33">
        <f>HYPERLINK("https://klasma.github.io/Logging_1880/klagomål/A 52400-2024 FSC-klagomål.docx", "A 52400-2024")</f>
        <v/>
      </c>
      <c r="W33">
        <f>HYPERLINK("https://klasma.github.io/Logging_1880/klagomålsmail/A 52400-2024 FSC-klagomål mail.docx", "A 52400-2024")</f>
        <v/>
      </c>
      <c r="X33">
        <f>HYPERLINK("https://klasma.github.io/Logging_1880/tillsyn/A 52400-2024 tillsynsbegäran.docx", "A 52400-2024")</f>
        <v/>
      </c>
      <c r="Y33">
        <f>HYPERLINK("https://klasma.github.io/Logging_1880/tillsynsmail/A 52400-2024 tillsynsbegäran mail.docx", "A 52400-2024")</f>
        <v/>
      </c>
    </row>
    <row r="34" ht="15" customHeight="1">
      <c r="A34" t="inlineStr">
        <is>
          <t>A 37019-2024</t>
        </is>
      </c>
      <c r="B34" s="1" t="n">
        <v>45539.37905092593</v>
      </c>
      <c r="C34" s="1" t="n">
        <v>45992</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59519-2025</t>
        </is>
      </c>
      <c r="B35" s="1" t="n">
        <v>45989.65541666667</v>
      </c>
      <c r="C35" s="1" t="n">
        <v>45992</v>
      </c>
      <c r="D35" t="inlineStr">
        <is>
          <t>ÖREBRO LÄN</t>
        </is>
      </c>
      <c r="E35" t="inlineStr">
        <is>
          <t>ÖREBRO</t>
        </is>
      </c>
      <c r="F35" t="inlineStr">
        <is>
          <t>Sveaskog</t>
        </is>
      </c>
      <c r="G35" t="n">
        <v>2.5</v>
      </c>
      <c r="H35" t="n">
        <v>2</v>
      </c>
      <c r="I35" t="n">
        <v>0</v>
      </c>
      <c r="J35" t="n">
        <v>0</v>
      </c>
      <c r="K35" t="n">
        <v>0</v>
      </c>
      <c r="L35" t="n">
        <v>0</v>
      </c>
      <c r="M35" t="n">
        <v>0</v>
      </c>
      <c r="N35" t="n">
        <v>0</v>
      </c>
      <c r="O35" t="n">
        <v>0</v>
      </c>
      <c r="P35" t="n">
        <v>0</v>
      </c>
      <c r="Q35" t="n">
        <v>2</v>
      </c>
      <c r="R35" s="2" t="inlineStr">
        <is>
          <t>Hasselmus
Blåsippa</t>
        </is>
      </c>
      <c r="S35">
        <f>HYPERLINK("https://klasma.github.io/Logging_1880/artfynd/A 59519-2025 artfynd.xlsx", "A 59519-2025")</f>
        <v/>
      </c>
      <c r="T35">
        <f>HYPERLINK("https://klasma.github.io/Logging_1880/kartor/A 59519-2025 karta.png", "A 59519-2025")</f>
        <v/>
      </c>
      <c r="V35">
        <f>HYPERLINK("https://klasma.github.io/Logging_1880/klagomål/A 59519-2025 FSC-klagomål.docx", "A 59519-2025")</f>
        <v/>
      </c>
      <c r="W35">
        <f>HYPERLINK("https://klasma.github.io/Logging_1880/klagomålsmail/A 59519-2025 FSC-klagomål mail.docx", "A 59519-2025")</f>
        <v/>
      </c>
      <c r="X35">
        <f>HYPERLINK("https://klasma.github.io/Logging_1880/tillsyn/A 59519-2025 tillsynsbegäran.docx", "A 59519-2025")</f>
        <v/>
      </c>
      <c r="Y35">
        <f>HYPERLINK("https://klasma.github.io/Logging_1880/tillsynsmail/A 59519-2025 tillsynsbegäran mail.docx", "A 59519-2025")</f>
        <v/>
      </c>
    </row>
    <row r="36" ht="15" customHeight="1">
      <c r="A36" t="inlineStr">
        <is>
          <t>A 8267-2021</t>
        </is>
      </c>
      <c r="B36" s="1" t="n">
        <v>44244</v>
      </c>
      <c r="C36" s="1" t="n">
        <v>45992</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13395-2024</t>
        </is>
      </c>
      <c r="B37" s="1" t="n">
        <v>45387.42296296296</v>
      </c>
      <c r="C37" s="1" t="n">
        <v>45992</v>
      </c>
      <c r="D37" t="inlineStr">
        <is>
          <t>ÖREBRO LÄN</t>
        </is>
      </c>
      <c r="E37" t="inlineStr">
        <is>
          <t>ÖREBRO</t>
        </is>
      </c>
      <c r="G37" t="n">
        <v>1.9</v>
      </c>
      <c r="H37" t="n">
        <v>2</v>
      </c>
      <c r="I37" t="n">
        <v>0</v>
      </c>
      <c r="J37" t="n">
        <v>0</v>
      </c>
      <c r="K37" t="n">
        <v>0</v>
      </c>
      <c r="L37" t="n">
        <v>0</v>
      </c>
      <c r="M37" t="n">
        <v>0</v>
      </c>
      <c r="N37" t="n">
        <v>0</v>
      </c>
      <c r="O37" t="n">
        <v>0</v>
      </c>
      <c r="P37" t="n">
        <v>0</v>
      </c>
      <c r="Q37" t="n">
        <v>2</v>
      </c>
      <c r="R37" s="2" t="inlineStr">
        <is>
          <t>Järnsparv
Kungsfågel</t>
        </is>
      </c>
      <c r="S37">
        <f>HYPERLINK("https://klasma.github.io/Logging_1880/artfynd/A 13395-2024 artfynd.xlsx", "A 13395-2024")</f>
        <v/>
      </c>
      <c r="T37">
        <f>HYPERLINK("https://klasma.github.io/Logging_1880/kartor/A 13395-2024 karta.png", "A 13395-2024")</f>
        <v/>
      </c>
      <c r="V37">
        <f>HYPERLINK("https://klasma.github.io/Logging_1880/klagomål/A 13395-2024 FSC-klagomål.docx", "A 13395-2024")</f>
        <v/>
      </c>
      <c r="W37">
        <f>HYPERLINK("https://klasma.github.io/Logging_1880/klagomålsmail/A 13395-2024 FSC-klagomål mail.docx", "A 13395-2024")</f>
        <v/>
      </c>
      <c r="X37">
        <f>HYPERLINK("https://klasma.github.io/Logging_1880/tillsyn/A 13395-2024 tillsynsbegäran.docx", "A 13395-2024")</f>
        <v/>
      </c>
      <c r="Y37">
        <f>HYPERLINK("https://klasma.github.io/Logging_1880/tillsynsmail/A 13395-2024 tillsynsbegäran mail.docx", "A 13395-2024")</f>
        <v/>
      </c>
      <c r="Z37">
        <f>HYPERLINK("https://klasma.github.io/Logging_1880/fåglar/A 13395-2024 prioriterade fågelarter.docx", "A 13395-2024")</f>
        <v/>
      </c>
    </row>
    <row r="38" ht="15" customHeight="1">
      <c r="A38" t="inlineStr">
        <is>
          <t>A 13458-2024</t>
        </is>
      </c>
      <c r="B38" s="1" t="n">
        <v>45387.54642361111</v>
      </c>
      <c r="C38" s="1" t="n">
        <v>45992</v>
      </c>
      <c r="D38" t="inlineStr">
        <is>
          <t>ÖREBRO LÄN</t>
        </is>
      </c>
      <c r="E38" t="inlineStr">
        <is>
          <t>ÖREBRO</t>
        </is>
      </c>
      <c r="G38" t="n">
        <v>1.8</v>
      </c>
      <c r="H38" t="n">
        <v>2</v>
      </c>
      <c r="I38" t="n">
        <v>0</v>
      </c>
      <c r="J38" t="n">
        <v>1</v>
      </c>
      <c r="K38" t="n">
        <v>0</v>
      </c>
      <c r="L38" t="n">
        <v>0</v>
      </c>
      <c r="M38" t="n">
        <v>0</v>
      </c>
      <c r="N38" t="n">
        <v>0</v>
      </c>
      <c r="O38" t="n">
        <v>1</v>
      </c>
      <c r="P38" t="n">
        <v>0</v>
      </c>
      <c r="Q38" t="n">
        <v>2</v>
      </c>
      <c r="R38" s="2" t="inlineStr">
        <is>
          <t>Havsörn
Göktyta</t>
        </is>
      </c>
      <c r="S38">
        <f>HYPERLINK("https://klasma.github.io/Logging_1880/artfynd/A 13458-2024 artfynd.xlsx", "A 13458-2024")</f>
        <v/>
      </c>
      <c r="T38">
        <f>HYPERLINK("https://klasma.github.io/Logging_1880/kartor/A 13458-2024 karta.png", "A 13458-2024")</f>
        <v/>
      </c>
      <c r="V38">
        <f>HYPERLINK("https://klasma.github.io/Logging_1880/klagomål/A 13458-2024 FSC-klagomål.docx", "A 13458-2024")</f>
        <v/>
      </c>
      <c r="W38">
        <f>HYPERLINK("https://klasma.github.io/Logging_1880/klagomålsmail/A 13458-2024 FSC-klagomål mail.docx", "A 13458-2024")</f>
        <v/>
      </c>
      <c r="X38">
        <f>HYPERLINK("https://klasma.github.io/Logging_1880/tillsyn/A 13458-2024 tillsynsbegäran.docx", "A 13458-2024")</f>
        <v/>
      </c>
      <c r="Y38">
        <f>HYPERLINK("https://klasma.github.io/Logging_1880/tillsynsmail/A 13458-2024 tillsynsbegäran mail.docx", "A 13458-2024")</f>
        <v/>
      </c>
      <c r="Z38">
        <f>HYPERLINK("https://klasma.github.io/Logging_1880/fåglar/A 13458-2024 prioriterade fågelarter.docx", "A 13458-2024")</f>
        <v/>
      </c>
    </row>
    <row r="39" ht="15" customHeight="1">
      <c r="A39" t="inlineStr">
        <is>
          <t>A 7608-2024</t>
        </is>
      </c>
      <c r="B39" s="1" t="n">
        <v>45348</v>
      </c>
      <c r="C39" s="1" t="n">
        <v>45992</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22577-2024</t>
        </is>
      </c>
      <c r="B40" s="1" t="n">
        <v>45447</v>
      </c>
      <c r="C40" s="1" t="n">
        <v>45992</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29704-2022</t>
        </is>
      </c>
      <c r="B41" s="1" t="n">
        <v>44755</v>
      </c>
      <c r="C41" s="1" t="n">
        <v>45992</v>
      </c>
      <c r="D41" t="inlineStr">
        <is>
          <t>ÖREBRO LÄN</t>
        </is>
      </c>
      <c r="E41" t="inlineStr">
        <is>
          <t>ÖREBRO</t>
        </is>
      </c>
      <c r="F41" t="inlineStr">
        <is>
          <t>Kommuner</t>
        </is>
      </c>
      <c r="G41" t="n">
        <v>1.1</v>
      </c>
      <c r="H41" t="n">
        <v>0</v>
      </c>
      <c r="I41" t="n">
        <v>0</v>
      </c>
      <c r="J41" t="n">
        <v>1</v>
      </c>
      <c r="K41" t="n">
        <v>0</v>
      </c>
      <c r="L41" t="n">
        <v>0</v>
      </c>
      <c r="M41" t="n">
        <v>0</v>
      </c>
      <c r="N41" t="n">
        <v>0</v>
      </c>
      <c r="O41" t="n">
        <v>1</v>
      </c>
      <c r="P41" t="n">
        <v>0</v>
      </c>
      <c r="Q41" t="n">
        <v>1</v>
      </c>
      <c r="R41" s="2" t="inlineStr">
        <is>
          <t>Motaggsvamp</t>
        </is>
      </c>
      <c r="S41">
        <f>HYPERLINK("https://klasma.github.io/Logging_1880/artfynd/A 29704-2022 artfynd.xlsx", "A 29704-2022")</f>
        <v/>
      </c>
      <c r="T41">
        <f>HYPERLINK("https://klasma.github.io/Logging_1880/kartor/A 29704-2022 karta.png", "A 29704-2022")</f>
        <v/>
      </c>
      <c r="V41">
        <f>HYPERLINK("https://klasma.github.io/Logging_1880/klagomål/A 29704-2022 FSC-klagomål.docx", "A 29704-2022")</f>
        <v/>
      </c>
      <c r="W41">
        <f>HYPERLINK("https://klasma.github.io/Logging_1880/klagomålsmail/A 29704-2022 FSC-klagomål mail.docx", "A 29704-2022")</f>
        <v/>
      </c>
      <c r="X41">
        <f>HYPERLINK("https://klasma.github.io/Logging_1880/tillsyn/A 29704-2022 tillsynsbegäran.docx", "A 29704-2022")</f>
        <v/>
      </c>
      <c r="Y41">
        <f>HYPERLINK("https://klasma.github.io/Logging_1880/tillsynsmail/A 29704-2022 tillsynsbegäran mail.docx", "A 29704-2022")</f>
        <v/>
      </c>
    </row>
    <row r="42" ht="15" customHeight="1">
      <c r="A42" t="inlineStr">
        <is>
          <t>A 4943-2022</t>
        </is>
      </c>
      <c r="B42" s="1" t="n">
        <v>44593</v>
      </c>
      <c r="C42" s="1" t="n">
        <v>45992</v>
      </c>
      <c r="D42" t="inlineStr">
        <is>
          <t>ÖREBRO LÄN</t>
        </is>
      </c>
      <c r="E42" t="inlineStr">
        <is>
          <t>ÖREBRO</t>
        </is>
      </c>
      <c r="G42" t="n">
        <v>1.1</v>
      </c>
      <c r="H42" t="n">
        <v>0</v>
      </c>
      <c r="I42" t="n">
        <v>0</v>
      </c>
      <c r="J42" t="n">
        <v>1</v>
      </c>
      <c r="K42" t="n">
        <v>0</v>
      </c>
      <c r="L42" t="n">
        <v>0</v>
      </c>
      <c r="M42" t="n">
        <v>0</v>
      </c>
      <c r="N42" t="n">
        <v>0</v>
      </c>
      <c r="O42" t="n">
        <v>1</v>
      </c>
      <c r="P42" t="n">
        <v>0</v>
      </c>
      <c r="Q42" t="n">
        <v>1</v>
      </c>
      <c r="R42" s="2" t="inlineStr">
        <is>
          <t>Skinntagging</t>
        </is>
      </c>
      <c r="S42">
        <f>HYPERLINK("https://klasma.github.io/Logging_1880/artfynd/A 4943-2022 artfynd.xlsx", "A 4943-2022")</f>
        <v/>
      </c>
      <c r="T42">
        <f>HYPERLINK("https://klasma.github.io/Logging_1880/kartor/A 4943-2022 karta.png", "A 4943-2022")</f>
        <v/>
      </c>
      <c r="V42">
        <f>HYPERLINK("https://klasma.github.io/Logging_1880/klagomål/A 4943-2022 FSC-klagomål.docx", "A 4943-2022")</f>
        <v/>
      </c>
      <c r="W42">
        <f>HYPERLINK("https://klasma.github.io/Logging_1880/klagomålsmail/A 4943-2022 FSC-klagomål mail.docx", "A 4943-2022")</f>
        <v/>
      </c>
      <c r="X42">
        <f>HYPERLINK("https://klasma.github.io/Logging_1880/tillsyn/A 4943-2022 tillsynsbegäran.docx", "A 4943-2022")</f>
        <v/>
      </c>
      <c r="Y42">
        <f>HYPERLINK("https://klasma.github.io/Logging_1880/tillsynsmail/A 4943-2022 tillsynsbegäran mail.docx", "A 4943-2022")</f>
        <v/>
      </c>
    </row>
    <row r="43" ht="15" customHeight="1">
      <c r="A43" t="inlineStr">
        <is>
          <t>A 6926-2021</t>
        </is>
      </c>
      <c r="B43" s="1" t="n">
        <v>44237</v>
      </c>
      <c r="C43" s="1" t="n">
        <v>45992</v>
      </c>
      <c r="D43" t="inlineStr">
        <is>
          <t>ÖREBRO LÄN</t>
        </is>
      </c>
      <c r="E43" t="inlineStr">
        <is>
          <t>ÖREBRO</t>
        </is>
      </c>
      <c r="G43" t="n">
        <v>0.9</v>
      </c>
      <c r="H43" t="n">
        <v>1</v>
      </c>
      <c r="I43" t="n">
        <v>1</v>
      </c>
      <c r="J43" t="n">
        <v>0</v>
      </c>
      <c r="K43" t="n">
        <v>0</v>
      </c>
      <c r="L43" t="n">
        <v>0</v>
      </c>
      <c r="M43" t="n">
        <v>0</v>
      </c>
      <c r="N43" t="n">
        <v>0</v>
      </c>
      <c r="O43" t="n">
        <v>0</v>
      </c>
      <c r="P43" t="n">
        <v>0</v>
      </c>
      <c r="Q43" t="n">
        <v>1</v>
      </c>
      <c r="R43" s="2" t="inlineStr">
        <is>
          <t>Skogsknipprot</t>
        </is>
      </c>
      <c r="S43">
        <f>HYPERLINK("https://klasma.github.io/Logging_1880/artfynd/A 6926-2021 artfynd.xlsx", "A 6926-2021")</f>
        <v/>
      </c>
      <c r="T43">
        <f>HYPERLINK("https://klasma.github.io/Logging_1880/kartor/A 6926-2021 karta.png", "A 6926-2021")</f>
        <v/>
      </c>
      <c r="V43">
        <f>HYPERLINK("https://klasma.github.io/Logging_1880/klagomål/A 6926-2021 FSC-klagomål.docx", "A 6926-2021")</f>
        <v/>
      </c>
      <c r="W43">
        <f>HYPERLINK("https://klasma.github.io/Logging_1880/klagomålsmail/A 6926-2021 FSC-klagomål mail.docx", "A 6926-2021")</f>
        <v/>
      </c>
      <c r="X43">
        <f>HYPERLINK("https://klasma.github.io/Logging_1880/tillsyn/A 6926-2021 tillsynsbegäran.docx", "A 6926-2021")</f>
        <v/>
      </c>
      <c r="Y43">
        <f>HYPERLINK("https://klasma.github.io/Logging_1880/tillsynsmail/A 6926-2021 tillsynsbegäran mail.docx", "A 6926-2021")</f>
        <v/>
      </c>
    </row>
    <row r="44" ht="15" customHeight="1">
      <c r="A44" t="inlineStr">
        <is>
          <t>A 20032-2023</t>
        </is>
      </c>
      <c r="B44" s="1" t="n">
        <v>45054</v>
      </c>
      <c r="C44" s="1" t="n">
        <v>45992</v>
      </c>
      <c r="D44" t="inlineStr">
        <is>
          <t>ÖREBRO LÄN</t>
        </is>
      </c>
      <c r="E44" t="inlineStr">
        <is>
          <t>ÖREBRO</t>
        </is>
      </c>
      <c r="G44" t="n">
        <v>2.6</v>
      </c>
      <c r="H44" t="n">
        <v>1</v>
      </c>
      <c r="I44" t="n">
        <v>0</v>
      </c>
      <c r="J44" t="n">
        <v>0</v>
      </c>
      <c r="K44" t="n">
        <v>0</v>
      </c>
      <c r="L44" t="n">
        <v>0</v>
      </c>
      <c r="M44" t="n">
        <v>0</v>
      </c>
      <c r="N44" t="n">
        <v>0</v>
      </c>
      <c r="O44" t="n">
        <v>0</v>
      </c>
      <c r="P44" t="n">
        <v>0</v>
      </c>
      <c r="Q44" t="n">
        <v>1</v>
      </c>
      <c r="R44" s="2" t="inlineStr">
        <is>
          <t>Fiskgjuse</t>
        </is>
      </c>
      <c r="S44">
        <f>HYPERLINK("https://klasma.github.io/Logging_1880/artfynd/A 20032-2023 artfynd.xlsx", "A 20032-2023")</f>
        <v/>
      </c>
      <c r="T44">
        <f>HYPERLINK("https://klasma.github.io/Logging_1880/kartor/A 20032-2023 karta.png", "A 20032-2023")</f>
        <v/>
      </c>
      <c r="V44">
        <f>HYPERLINK("https://klasma.github.io/Logging_1880/klagomål/A 20032-2023 FSC-klagomål.docx", "A 20032-2023")</f>
        <v/>
      </c>
      <c r="W44">
        <f>HYPERLINK("https://klasma.github.io/Logging_1880/klagomålsmail/A 20032-2023 FSC-klagomål mail.docx", "A 20032-2023")</f>
        <v/>
      </c>
      <c r="X44">
        <f>HYPERLINK("https://klasma.github.io/Logging_1880/tillsyn/A 20032-2023 tillsynsbegäran.docx", "A 20032-2023")</f>
        <v/>
      </c>
      <c r="Y44">
        <f>HYPERLINK("https://klasma.github.io/Logging_1880/tillsynsmail/A 20032-2023 tillsynsbegäran mail.docx", "A 20032-2023")</f>
        <v/>
      </c>
      <c r="Z44">
        <f>HYPERLINK("https://klasma.github.io/Logging_1880/fåglar/A 20032-2023 prioriterade fågelarter.docx", "A 20032-2023")</f>
        <v/>
      </c>
    </row>
    <row r="45" ht="15" customHeight="1">
      <c r="A45" t="inlineStr">
        <is>
          <t>A 15621-2021</t>
        </is>
      </c>
      <c r="B45" s="1" t="n">
        <v>44285</v>
      </c>
      <c r="C45" s="1" t="n">
        <v>45992</v>
      </c>
      <c r="D45" t="inlineStr">
        <is>
          <t>ÖREBRO LÄN</t>
        </is>
      </c>
      <c r="E45" t="inlineStr">
        <is>
          <t>ÖREBRO</t>
        </is>
      </c>
      <c r="G45" t="n">
        <v>2.8</v>
      </c>
      <c r="H45" t="n">
        <v>1</v>
      </c>
      <c r="I45" t="n">
        <v>0</v>
      </c>
      <c r="J45" t="n">
        <v>0</v>
      </c>
      <c r="K45" t="n">
        <v>0</v>
      </c>
      <c r="L45" t="n">
        <v>0</v>
      </c>
      <c r="M45" t="n">
        <v>0</v>
      </c>
      <c r="N45" t="n">
        <v>0</v>
      </c>
      <c r="O45" t="n">
        <v>0</v>
      </c>
      <c r="P45" t="n">
        <v>0</v>
      </c>
      <c r="Q45" t="n">
        <v>1</v>
      </c>
      <c r="R45" s="2" t="inlineStr">
        <is>
          <t>Fläcknycklar</t>
        </is>
      </c>
      <c r="S45">
        <f>HYPERLINK("https://klasma.github.io/Logging_1880/artfynd/A 15621-2021 artfynd.xlsx", "A 15621-2021")</f>
        <v/>
      </c>
      <c r="T45">
        <f>HYPERLINK("https://klasma.github.io/Logging_1880/kartor/A 15621-2021 karta.png", "A 15621-2021")</f>
        <v/>
      </c>
      <c r="V45">
        <f>HYPERLINK("https://klasma.github.io/Logging_1880/klagomål/A 15621-2021 FSC-klagomål.docx", "A 15621-2021")</f>
        <v/>
      </c>
      <c r="W45">
        <f>HYPERLINK("https://klasma.github.io/Logging_1880/klagomålsmail/A 15621-2021 FSC-klagomål mail.docx", "A 15621-2021")</f>
        <v/>
      </c>
      <c r="X45">
        <f>HYPERLINK("https://klasma.github.io/Logging_1880/tillsyn/A 15621-2021 tillsynsbegäran.docx", "A 15621-2021")</f>
        <v/>
      </c>
      <c r="Y45">
        <f>HYPERLINK("https://klasma.github.io/Logging_1880/tillsynsmail/A 15621-2021 tillsynsbegäran mail.docx", "A 15621-2021")</f>
        <v/>
      </c>
    </row>
    <row r="46" ht="15" customHeight="1">
      <c r="A46" t="inlineStr">
        <is>
          <t>A 4014-2021</t>
        </is>
      </c>
      <c r="B46" s="1" t="n">
        <v>44218</v>
      </c>
      <c r="C46" s="1" t="n">
        <v>45992</v>
      </c>
      <c r="D46" t="inlineStr">
        <is>
          <t>ÖREBRO LÄN</t>
        </is>
      </c>
      <c r="E46" t="inlineStr">
        <is>
          <t>ÖREBRO</t>
        </is>
      </c>
      <c r="G46" t="n">
        <v>10.5</v>
      </c>
      <c r="H46" t="n">
        <v>0</v>
      </c>
      <c r="I46" t="n">
        <v>1</v>
      </c>
      <c r="J46" t="n">
        <v>0</v>
      </c>
      <c r="K46" t="n">
        <v>0</v>
      </c>
      <c r="L46" t="n">
        <v>0</v>
      </c>
      <c r="M46" t="n">
        <v>0</v>
      </c>
      <c r="N46" t="n">
        <v>0</v>
      </c>
      <c r="O46" t="n">
        <v>0</v>
      </c>
      <c r="P46" t="n">
        <v>0</v>
      </c>
      <c r="Q46" t="n">
        <v>1</v>
      </c>
      <c r="R46" s="2" t="inlineStr">
        <is>
          <t>Springkorn</t>
        </is>
      </c>
      <c r="S46">
        <f>HYPERLINK("https://klasma.github.io/Logging_1880/artfynd/A 4014-2021 artfynd.xlsx", "A 4014-2021")</f>
        <v/>
      </c>
      <c r="T46">
        <f>HYPERLINK("https://klasma.github.io/Logging_1880/kartor/A 4014-2021 karta.png", "A 4014-2021")</f>
        <v/>
      </c>
      <c r="V46">
        <f>HYPERLINK("https://klasma.github.io/Logging_1880/klagomål/A 4014-2021 FSC-klagomål.docx", "A 4014-2021")</f>
        <v/>
      </c>
      <c r="W46">
        <f>HYPERLINK("https://klasma.github.io/Logging_1880/klagomålsmail/A 4014-2021 FSC-klagomål mail.docx", "A 4014-2021")</f>
        <v/>
      </c>
      <c r="X46">
        <f>HYPERLINK("https://klasma.github.io/Logging_1880/tillsyn/A 4014-2021 tillsynsbegäran.docx", "A 4014-2021")</f>
        <v/>
      </c>
      <c r="Y46">
        <f>HYPERLINK("https://klasma.github.io/Logging_1880/tillsynsmail/A 4014-2021 tillsynsbegäran mail.docx", "A 4014-2021")</f>
        <v/>
      </c>
    </row>
    <row r="47" ht="15" customHeight="1">
      <c r="A47" t="inlineStr">
        <is>
          <t>A 44744-2024</t>
        </is>
      </c>
      <c r="B47" s="1" t="n">
        <v>45574.59789351852</v>
      </c>
      <c r="C47" s="1" t="n">
        <v>45992</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23998-2025</t>
        </is>
      </c>
      <c r="B48" s="1" t="n">
        <v>45796.42209490741</v>
      </c>
      <c r="C48" s="1" t="n">
        <v>45992</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28936-2025</t>
        </is>
      </c>
      <c r="B49" s="1" t="n">
        <v>45820.69287037037</v>
      </c>
      <c r="C49" s="1" t="n">
        <v>45992</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32204-2025</t>
        </is>
      </c>
      <c r="B50" s="1" t="n">
        <v>45835.58074074074</v>
      </c>
      <c r="C50" s="1" t="n">
        <v>45992</v>
      </c>
      <c r="D50" t="inlineStr">
        <is>
          <t>ÖREBRO LÄN</t>
        </is>
      </c>
      <c r="E50" t="inlineStr">
        <is>
          <t>ÖREBRO</t>
        </is>
      </c>
      <c r="G50" t="n">
        <v>3.4</v>
      </c>
      <c r="H50" t="n">
        <v>1</v>
      </c>
      <c r="I50" t="n">
        <v>0</v>
      </c>
      <c r="J50" t="n">
        <v>0</v>
      </c>
      <c r="K50" t="n">
        <v>0</v>
      </c>
      <c r="L50" t="n">
        <v>0</v>
      </c>
      <c r="M50" t="n">
        <v>0</v>
      </c>
      <c r="N50" t="n">
        <v>0</v>
      </c>
      <c r="O50" t="n">
        <v>0</v>
      </c>
      <c r="P50" t="n">
        <v>0</v>
      </c>
      <c r="Q50" t="n">
        <v>1</v>
      </c>
      <c r="R50" s="2" t="inlineStr">
        <is>
          <t>Tjäder</t>
        </is>
      </c>
      <c r="S50">
        <f>HYPERLINK("https://klasma.github.io/Logging_1880/artfynd/A 32204-2025 artfynd.xlsx", "A 32204-2025")</f>
        <v/>
      </c>
      <c r="T50">
        <f>HYPERLINK("https://klasma.github.io/Logging_1880/kartor/A 32204-2025 karta.png", "A 32204-2025")</f>
        <v/>
      </c>
      <c r="V50">
        <f>HYPERLINK("https://klasma.github.io/Logging_1880/klagomål/A 32204-2025 FSC-klagomål.docx", "A 32204-2025")</f>
        <v/>
      </c>
      <c r="W50">
        <f>HYPERLINK("https://klasma.github.io/Logging_1880/klagomålsmail/A 32204-2025 FSC-klagomål mail.docx", "A 32204-2025")</f>
        <v/>
      </c>
      <c r="X50">
        <f>HYPERLINK("https://klasma.github.io/Logging_1880/tillsyn/A 32204-2025 tillsynsbegäran.docx", "A 32204-2025")</f>
        <v/>
      </c>
      <c r="Y50">
        <f>HYPERLINK("https://klasma.github.io/Logging_1880/tillsynsmail/A 32204-2025 tillsynsbegäran mail.docx", "A 32204-2025")</f>
        <v/>
      </c>
      <c r="Z50">
        <f>HYPERLINK("https://klasma.github.io/Logging_1880/fåglar/A 32204-2025 prioriterade fågelarter.docx", "A 32204-2025")</f>
        <v/>
      </c>
    </row>
    <row r="51" ht="15" customHeight="1">
      <c r="A51" t="inlineStr">
        <is>
          <t>A 32226-2025</t>
        </is>
      </c>
      <c r="B51" s="1" t="n">
        <v>45835.59478009259</v>
      </c>
      <c r="C51" s="1" t="n">
        <v>45992</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26890-2022</t>
        </is>
      </c>
      <c r="B52" s="1" t="n">
        <v>44740</v>
      </c>
      <c r="C52" s="1" t="n">
        <v>45992</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43332-2022</t>
        </is>
      </c>
      <c r="B53" s="1" t="n">
        <v>44834</v>
      </c>
      <c r="C53" s="1" t="n">
        <v>45992</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44389-2021</t>
        </is>
      </c>
      <c r="B54" s="1" t="n">
        <v>44435</v>
      </c>
      <c r="C54" s="1" t="n">
        <v>45992</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50499-2025</t>
        </is>
      </c>
      <c r="B55" s="1" t="n">
        <v>45945.41712962963</v>
      </c>
      <c r="C55" s="1" t="n">
        <v>45992</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58832-2025</t>
        </is>
      </c>
      <c r="B56" s="1" t="n">
        <v>45987.35384259259</v>
      </c>
      <c r="C56" s="1" t="n">
        <v>45992</v>
      </c>
      <c r="D56" t="inlineStr">
        <is>
          <t>ÖREBRO LÄN</t>
        </is>
      </c>
      <c r="E56" t="inlineStr">
        <is>
          <t>ÖREBRO</t>
        </is>
      </c>
      <c r="G56" t="n">
        <v>0.9</v>
      </c>
      <c r="H56" t="n">
        <v>1</v>
      </c>
      <c r="I56" t="n">
        <v>0</v>
      </c>
      <c r="J56" t="n">
        <v>0</v>
      </c>
      <c r="K56" t="n">
        <v>0</v>
      </c>
      <c r="L56" t="n">
        <v>1</v>
      </c>
      <c r="M56" t="n">
        <v>0</v>
      </c>
      <c r="N56" t="n">
        <v>0</v>
      </c>
      <c r="O56" t="n">
        <v>1</v>
      </c>
      <c r="P56" t="n">
        <v>1</v>
      </c>
      <c r="Q56" t="n">
        <v>1</v>
      </c>
      <c r="R56" s="2" t="inlineStr">
        <is>
          <t>Mosippa</t>
        </is>
      </c>
      <c r="S56">
        <f>HYPERLINK("https://klasma.github.io/Logging_1880/artfynd/A 58832-2025 artfynd.xlsx", "A 58832-2025")</f>
        <v/>
      </c>
      <c r="T56">
        <f>HYPERLINK("https://klasma.github.io/Logging_1880/kartor/A 58832-2025 karta.png", "A 58832-2025")</f>
        <v/>
      </c>
      <c r="V56">
        <f>HYPERLINK("https://klasma.github.io/Logging_1880/klagomål/A 58832-2025 FSC-klagomål.docx", "A 58832-2025")</f>
        <v/>
      </c>
      <c r="W56">
        <f>HYPERLINK("https://klasma.github.io/Logging_1880/klagomålsmail/A 58832-2025 FSC-klagomål mail.docx", "A 58832-2025")</f>
        <v/>
      </c>
      <c r="X56">
        <f>HYPERLINK("https://klasma.github.io/Logging_1880/tillsyn/A 58832-2025 tillsynsbegäran.docx", "A 58832-2025")</f>
        <v/>
      </c>
      <c r="Y56">
        <f>HYPERLINK("https://klasma.github.io/Logging_1880/tillsynsmail/A 58832-2025 tillsynsbegäran mail.docx", "A 58832-2025")</f>
        <v/>
      </c>
    </row>
    <row r="57" ht="15" customHeight="1">
      <c r="A57" t="inlineStr">
        <is>
          <t>A 58837-2025</t>
        </is>
      </c>
      <c r="B57" s="1" t="n">
        <v>45987.35875</v>
      </c>
      <c r="C57" s="1" t="n">
        <v>45992</v>
      </c>
      <c r="D57" t="inlineStr">
        <is>
          <t>ÖREBRO LÄN</t>
        </is>
      </c>
      <c r="E57" t="inlineStr">
        <is>
          <t>ÖREBRO</t>
        </is>
      </c>
      <c r="G57" t="n">
        <v>3.8</v>
      </c>
      <c r="H57" t="n">
        <v>0</v>
      </c>
      <c r="I57" t="n">
        <v>0</v>
      </c>
      <c r="J57" t="n">
        <v>1</v>
      </c>
      <c r="K57" t="n">
        <v>0</v>
      </c>
      <c r="L57" t="n">
        <v>0</v>
      </c>
      <c r="M57" t="n">
        <v>0</v>
      </c>
      <c r="N57" t="n">
        <v>0</v>
      </c>
      <c r="O57" t="n">
        <v>1</v>
      </c>
      <c r="P57" t="n">
        <v>0</v>
      </c>
      <c r="Q57" t="n">
        <v>1</v>
      </c>
      <c r="R57" s="2" t="inlineStr">
        <is>
          <t>Svartöra</t>
        </is>
      </c>
      <c r="S57">
        <f>HYPERLINK("https://klasma.github.io/Logging_1880/artfynd/A 58837-2025 artfynd.xlsx", "A 58837-2025")</f>
        <v/>
      </c>
      <c r="T57">
        <f>HYPERLINK("https://klasma.github.io/Logging_1880/kartor/A 58837-2025 karta.png", "A 58837-2025")</f>
        <v/>
      </c>
      <c r="V57">
        <f>HYPERLINK("https://klasma.github.io/Logging_1880/klagomål/A 58837-2025 FSC-klagomål.docx", "A 58837-2025")</f>
        <v/>
      </c>
      <c r="W57">
        <f>HYPERLINK("https://klasma.github.io/Logging_1880/klagomålsmail/A 58837-2025 FSC-klagomål mail.docx", "A 58837-2025")</f>
        <v/>
      </c>
      <c r="X57">
        <f>HYPERLINK("https://klasma.github.io/Logging_1880/tillsyn/A 58837-2025 tillsynsbegäran.docx", "A 58837-2025")</f>
        <v/>
      </c>
      <c r="Y57">
        <f>HYPERLINK("https://klasma.github.io/Logging_1880/tillsynsmail/A 58837-2025 tillsynsbegäran mail.docx", "A 58837-2025")</f>
        <v/>
      </c>
    </row>
    <row r="58" ht="15" customHeight="1">
      <c r="A58" t="inlineStr">
        <is>
          <t>A 59516-2025</t>
        </is>
      </c>
      <c r="B58" s="1" t="n">
        <v>45989.65396990741</v>
      </c>
      <c r="C58" s="1" t="n">
        <v>45992</v>
      </c>
      <c r="D58" t="inlineStr">
        <is>
          <t>ÖREBRO LÄN</t>
        </is>
      </c>
      <c r="E58" t="inlineStr">
        <is>
          <t>ÖREBRO</t>
        </is>
      </c>
      <c r="F58" t="inlineStr">
        <is>
          <t>Sveaskog</t>
        </is>
      </c>
      <c r="G58" t="n">
        <v>1.9</v>
      </c>
      <c r="H58" t="n">
        <v>0</v>
      </c>
      <c r="I58" t="n">
        <v>1</v>
      </c>
      <c r="J58" t="n">
        <v>0</v>
      </c>
      <c r="K58" t="n">
        <v>0</v>
      </c>
      <c r="L58" t="n">
        <v>0</v>
      </c>
      <c r="M58" t="n">
        <v>0</v>
      </c>
      <c r="N58" t="n">
        <v>0</v>
      </c>
      <c r="O58" t="n">
        <v>0</v>
      </c>
      <c r="P58" t="n">
        <v>0</v>
      </c>
      <c r="Q58" t="n">
        <v>1</v>
      </c>
      <c r="R58" s="2" t="inlineStr">
        <is>
          <t>Tibast</t>
        </is>
      </c>
      <c r="S58">
        <f>HYPERLINK("https://klasma.github.io/Logging_1880/artfynd/A 59516-2025 artfynd.xlsx", "A 59516-2025")</f>
        <v/>
      </c>
      <c r="T58">
        <f>HYPERLINK("https://klasma.github.io/Logging_1880/kartor/A 59516-2025 karta.png", "A 59516-2025")</f>
        <v/>
      </c>
      <c r="V58">
        <f>HYPERLINK("https://klasma.github.io/Logging_1880/klagomål/A 59516-2025 FSC-klagomål.docx", "A 59516-2025")</f>
        <v/>
      </c>
      <c r="W58">
        <f>HYPERLINK("https://klasma.github.io/Logging_1880/klagomålsmail/A 59516-2025 FSC-klagomål mail.docx", "A 59516-2025")</f>
        <v/>
      </c>
      <c r="X58">
        <f>HYPERLINK("https://klasma.github.io/Logging_1880/tillsyn/A 59516-2025 tillsynsbegäran.docx", "A 59516-2025")</f>
        <v/>
      </c>
      <c r="Y58">
        <f>HYPERLINK("https://klasma.github.io/Logging_1880/tillsynsmail/A 59516-2025 tillsynsbegäran mail.docx", "A 59516-2025")</f>
        <v/>
      </c>
    </row>
    <row r="59" ht="15" customHeight="1">
      <c r="A59" t="inlineStr">
        <is>
          <t>A 2077-2023</t>
        </is>
      </c>
      <c r="B59" s="1" t="n">
        <v>44939</v>
      </c>
      <c r="C59" s="1" t="n">
        <v>45992</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30725-2023</t>
        </is>
      </c>
      <c r="B60" s="1" t="n">
        <v>45112.61451388889</v>
      </c>
      <c r="C60" s="1" t="n">
        <v>45992</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31695-2024</t>
        </is>
      </c>
      <c r="B61" s="1" t="n">
        <v>45508</v>
      </c>
      <c r="C61" s="1" t="n">
        <v>45992</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5097-2023</t>
        </is>
      </c>
      <c r="B62" s="1" t="n">
        <v>44958</v>
      </c>
      <c r="C62" s="1" t="n">
        <v>45992</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32105-2023</t>
        </is>
      </c>
      <c r="B63" s="1" t="n">
        <v>45119</v>
      </c>
      <c r="C63" s="1" t="n">
        <v>45992</v>
      </c>
      <c r="D63" t="inlineStr">
        <is>
          <t>ÖREBRO LÄN</t>
        </is>
      </c>
      <c r="E63" t="inlineStr">
        <is>
          <t>ÖREBRO</t>
        </is>
      </c>
      <c r="G63" t="n">
        <v>1.3</v>
      </c>
      <c r="H63" t="n">
        <v>1</v>
      </c>
      <c r="I63" t="n">
        <v>0</v>
      </c>
      <c r="J63" t="n">
        <v>1</v>
      </c>
      <c r="K63" t="n">
        <v>0</v>
      </c>
      <c r="L63" t="n">
        <v>0</v>
      </c>
      <c r="M63" t="n">
        <v>0</v>
      </c>
      <c r="N63" t="n">
        <v>0</v>
      </c>
      <c r="O63" t="n">
        <v>1</v>
      </c>
      <c r="P63" t="n">
        <v>0</v>
      </c>
      <c r="Q63" t="n">
        <v>1</v>
      </c>
      <c r="R63" s="2" t="inlineStr">
        <is>
          <t>Rödvingetrast</t>
        </is>
      </c>
      <c r="S63">
        <f>HYPERLINK("https://klasma.github.io/Logging_1880/artfynd/A 32105-2023 artfynd.xlsx", "A 32105-2023")</f>
        <v/>
      </c>
      <c r="T63">
        <f>HYPERLINK("https://klasma.github.io/Logging_1880/kartor/A 32105-2023 karta.png", "A 32105-2023")</f>
        <v/>
      </c>
      <c r="V63">
        <f>HYPERLINK("https://klasma.github.io/Logging_1880/klagomål/A 32105-2023 FSC-klagomål.docx", "A 32105-2023")</f>
        <v/>
      </c>
      <c r="W63">
        <f>HYPERLINK("https://klasma.github.io/Logging_1880/klagomålsmail/A 32105-2023 FSC-klagomål mail.docx", "A 32105-2023")</f>
        <v/>
      </c>
      <c r="X63">
        <f>HYPERLINK("https://klasma.github.io/Logging_1880/tillsyn/A 32105-2023 tillsynsbegäran.docx", "A 32105-2023")</f>
        <v/>
      </c>
      <c r="Y63">
        <f>HYPERLINK("https://klasma.github.io/Logging_1880/tillsynsmail/A 32105-2023 tillsynsbegäran mail.docx", "A 32105-2023")</f>
        <v/>
      </c>
      <c r="Z63">
        <f>HYPERLINK("https://klasma.github.io/Logging_1880/fåglar/A 32105-2023 prioriterade fågelarter.docx", "A 32105-2023")</f>
        <v/>
      </c>
    </row>
    <row r="64" ht="15" customHeight="1">
      <c r="A64" t="inlineStr">
        <is>
          <t>A 20247-2023</t>
        </is>
      </c>
      <c r="B64" s="1" t="n">
        <v>45055</v>
      </c>
      <c r="C64" s="1" t="n">
        <v>45992</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22604-2024</t>
        </is>
      </c>
      <c r="B65" s="1" t="n">
        <v>45447</v>
      </c>
      <c r="C65" s="1" t="n">
        <v>45992</v>
      </c>
      <c r="D65" t="inlineStr">
        <is>
          <t>ÖREBRO LÄN</t>
        </is>
      </c>
      <c r="E65" t="inlineStr">
        <is>
          <t>ÖREBRO</t>
        </is>
      </c>
      <c r="G65" t="n">
        <v>4.4</v>
      </c>
      <c r="H65" t="n">
        <v>0</v>
      </c>
      <c r="I65" t="n">
        <v>0</v>
      </c>
      <c r="J65" t="n">
        <v>1</v>
      </c>
      <c r="K65" t="n">
        <v>0</v>
      </c>
      <c r="L65" t="n">
        <v>0</v>
      </c>
      <c r="M65" t="n">
        <v>0</v>
      </c>
      <c r="N65" t="n">
        <v>0</v>
      </c>
      <c r="O65" t="n">
        <v>1</v>
      </c>
      <c r="P65" t="n">
        <v>0</v>
      </c>
      <c r="Q65" t="n">
        <v>1</v>
      </c>
      <c r="R65" s="2" t="inlineStr">
        <is>
          <t>Månlåsbräken</t>
        </is>
      </c>
      <c r="S65">
        <f>HYPERLINK("https://klasma.github.io/Logging_1880/artfynd/A 22604-2024 artfynd.xlsx", "A 22604-2024")</f>
        <v/>
      </c>
      <c r="T65">
        <f>HYPERLINK("https://klasma.github.io/Logging_1880/kartor/A 22604-2024 karta.png", "A 22604-2024")</f>
        <v/>
      </c>
      <c r="V65">
        <f>HYPERLINK("https://klasma.github.io/Logging_1880/klagomål/A 22604-2024 FSC-klagomål.docx", "A 22604-2024")</f>
        <v/>
      </c>
      <c r="W65">
        <f>HYPERLINK("https://klasma.github.io/Logging_1880/klagomålsmail/A 22604-2024 FSC-klagomål mail.docx", "A 22604-2024")</f>
        <v/>
      </c>
      <c r="X65">
        <f>HYPERLINK("https://klasma.github.io/Logging_1880/tillsyn/A 22604-2024 tillsynsbegäran.docx", "A 22604-2024")</f>
        <v/>
      </c>
      <c r="Y65">
        <f>HYPERLINK("https://klasma.github.io/Logging_1880/tillsynsmail/A 22604-2024 tillsynsbegäran mail.docx", "A 22604-2024")</f>
        <v/>
      </c>
    </row>
    <row r="66" ht="15" customHeight="1">
      <c r="A66" t="inlineStr">
        <is>
          <t>A 11501-2025</t>
        </is>
      </c>
      <c r="B66" s="1" t="n">
        <v>45726</v>
      </c>
      <c r="C66" s="1" t="n">
        <v>45992</v>
      </c>
      <c r="D66" t="inlineStr">
        <is>
          <t>ÖREBRO LÄN</t>
        </is>
      </c>
      <c r="E66" t="inlineStr">
        <is>
          <t>ÖREBRO</t>
        </is>
      </c>
      <c r="G66" t="n">
        <v>0.8</v>
      </c>
      <c r="H66" t="n">
        <v>1</v>
      </c>
      <c r="I66" t="n">
        <v>0</v>
      </c>
      <c r="J66" t="n">
        <v>0</v>
      </c>
      <c r="K66" t="n">
        <v>0</v>
      </c>
      <c r="L66" t="n">
        <v>0</v>
      </c>
      <c r="M66" t="n">
        <v>0</v>
      </c>
      <c r="N66" t="n">
        <v>0</v>
      </c>
      <c r="O66" t="n">
        <v>0</v>
      </c>
      <c r="P66" t="n">
        <v>0</v>
      </c>
      <c r="Q66" t="n">
        <v>1</v>
      </c>
      <c r="R66" s="2" t="inlineStr">
        <is>
          <t>Kopparödla</t>
        </is>
      </c>
      <c r="S66">
        <f>HYPERLINK("https://klasma.github.io/Logging_1880/artfynd/A 11501-2025 artfynd.xlsx", "A 11501-2025")</f>
        <v/>
      </c>
      <c r="T66">
        <f>HYPERLINK("https://klasma.github.io/Logging_1880/kartor/A 11501-2025 karta.png", "A 11501-2025")</f>
        <v/>
      </c>
      <c r="V66">
        <f>HYPERLINK("https://klasma.github.io/Logging_1880/klagomål/A 11501-2025 FSC-klagomål.docx", "A 11501-2025")</f>
        <v/>
      </c>
      <c r="W66">
        <f>HYPERLINK("https://klasma.github.io/Logging_1880/klagomålsmail/A 11501-2025 FSC-klagomål mail.docx", "A 11501-2025")</f>
        <v/>
      </c>
      <c r="X66">
        <f>HYPERLINK("https://klasma.github.io/Logging_1880/tillsyn/A 11501-2025 tillsynsbegäran.docx", "A 11501-2025")</f>
        <v/>
      </c>
      <c r="Y66">
        <f>HYPERLINK("https://klasma.github.io/Logging_1880/tillsynsmail/A 11501-2025 tillsynsbegäran mail.docx", "A 11501-2025")</f>
        <v/>
      </c>
    </row>
    <row r="67" ht="15" customHeight="1">
      <c r="A67" t="inlineStr">
        <is>
          <t>A 57920-2024</t>
        </is>
      </c>
      <c r="B67" s="1" t="n">
        <v>45631.50894675926</v>
      </c>
      <c r="C67" s="1" t="n">
        <v>45992</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42636-2023</t>
        </is>
      </c>
      <c r="B68" s="1" t="n">
        <v>45181.49559027778</v>
      </c>
      <c r="C68" s="1" t="n">
        <v>45992</v>
      </c>
      <c r="D68" t="inlineStr">
        <is>
          <t>ÖREBRO LÄN</t>
        </is>
      </c>
      <c r="E68" t="inlineStr">
        <is>
          <t>ÖREBRO</t>
        </is>
      </c>
      <c r="G68" t="n">
        <v>1.7</v>
      </c>
      <c r="H68" t="n">
        <v>0</v>
      </c>
      <c r="I68" t="n">
        <v>0</v>
      </c>
      <c r="J68" t="n">
        <v>1</v>
      </c>
      <c r="K68" t="n">
        <v>0</v>
      </c>
      <c r="L68" t="n">
        <v>0</v>
      </c>
      <c r="M68" t="n">
        <v>0</v>
      </c>
      <c r="N68" t="n">
        <v>0</v>
      </c>
      <c r="O68" t="n">
        <v>1</v>
      </c>
      <c r="P68" t="n">
        <v>0</v>
      </c>
      <c r="Q68" t="n">
        <v>1</v>
      </c>
      <c r="R68" s="2" t="inlineStr">
        <is>
          <t>Igelkott</t>
        </is>
      </c>
      <c r="S68">
        <f>HYPERLINK("https://klasma.github.io/Logging_1880/artfynd/A 42636-2023 artfynd.xlsx", "A 42636-2023")</f>
        <v/>
      </c>
      <c r="T68">
        <f>HYPERLINK("https://klasma.github.io/Logging_1880/kartor/A 42636-2023 karta.png", "A 42636-2023")</f>
        <v/>
      </c>
      <c r="V68">
        <f>HYPERLINK("https://klasma.github.io/Logging_1880/klagomål/A 42636-2023 FSC-klagomål.docx", "A 42636-2023")</f>
        <v/>
      </c>
      <c r="W68">
        <f>HYPERLINK("https://klasma.github.io/Logging_1880/klagomålsmail/A 42636-2023 FSC-klagomål mail.docx", "A 42636-2023")</f>
        <v/>
      </c>
      <c r="X68">
        <f>HYPERLINK("https://klasma.github.io/Logging_1880/tillsyn/A 42636-2023 tillsynsbegäran.docx", "A 42636-2023")</f>
        <v/>
      </c>
      <c r="Y68">
        <f>HYPERLINK("https://klasma.github.io/Logging_1880/tillsynsmail/A 42636-2023 tillsynsbegäran mail.docx", "A 42636-2023")</f>
        <v/>
      </c>
    </row>
    <row r="69" ht="15" customHeight="1">
      <c r="A69" t="inlineStr">
        <is>
          <t>A 55904-2024</t>
        </is>
      </c>
      <c r="B69" s="1" t="n">
        <v>45623.58190972222</v>
      </c>
      <c r="C69" s="1" t="n">
        <v>45992</v>
      </c>
      <c r="D69" t="inlineStr">
        <is>
          <t>ÖREBRO LÄN</t>
        </is>
      </c>
      <c r="E69" t="inlineStr">
        <is>
          <t>ÖREBRO</t>
        </is>
      </c>
      <c r="G69" t="n">
        <v>1.2</v>
      </c>
      <c r="H69" t="n">
        <v>1</v>
      </c>
      <c r="I69" t="n">
        <v>0</v>
      </c>
      <c r="J69" t="n">
        <v>0</v>
      </c>
      <c r="K69" t="n">
        <v>0</v>
      </c>
      <c r="L69" t="n">
        <v>0</v>
      </c>
      <c r="M69" t="n">
        <v>0</v>
      </c>
      <c r="N69" t="n">
        <v>0</v>
      </c>
      <c r="O69" t="n">
        <v>0</v>
      </c>
      <c r="P69" t="n">
        <v>0</v>
      </c>
      <c r="Q69" t="n">
        <v>1</v>
      </c>
      <c r="R69" s="2" t="inlineStr">
        <is>
          <t>Trana</t>
        </is>
      </c>
      <c r="S69">
        <f>HYPERLINK("https://klasma.github.io/Logging_1880/artfynd/A 55904-2024 artfynd.xlsx", "A 55904-2024")</f>
        <v/>
      </c>
      <c r="T69">
        <f>HYPERLINK("https://klasma.github.io/Logging_1880/kartor/A 55904-2024 karta.png", "A 55904-2024")</f>
        <v/>
      </c>
      <c r="V69">
        <f>HYPERLINK("https://klasma.github.io/Logging_1880/klagomål/A 55904-2024 FSC-klagomål.docx", "A 55904-2024")</f>
        <v/>
      </c>
      <c r="W69">
        <f>HYPERLINK("https://klasma.github.io/Logging_1880/klagomålsmail/A 55904-2024 FSC-klagomål mail.docx", "A 55904-2024")</f>
        <v/>
      </c>
      <c r="X69">
        <f>HYPERLINK("https://klasma.github.io/Logging_1880/tillsyn/A 55904-2024 tillsynsbegäran.docx", "A 55904-2024")</f>
        <v/>
      </c>
      <c r="Y69">
        <f>HYPERLINK("https://klasma.github.io/Logging_1880/tillsynsmail/A 55904-2024 tillsynsbegäran mail.docx", "A 55904-2024")</f>
        <v/>
      </c>
      <c r="Z69">
        <f>HYPERLINK("https://klasma.github.io/Logging_1880/fåglar/A 55904-2024 prioriterade fågelarter.docx", "A 55904-2024")</f>
        <v/>
      </c>
    </row>
    <row r="70" ht="15" customHeight="1">
      <c r="A70" t="inlineStr">
        <is>
          <t>A 9406-2021</t>
        </is>
      </c>
      <c r="B70" s="1" t="n">
        <v>44251</v>
      </c>
      <c r="C70" s="1" t="n">
        <v>45992</v>
      </c>
      <c r="D70" t="inlineStr">
        <is>
          <t>ÖREBRO LÄN</t>
        </is>
      </c>
      <c r="E70" t="inlineStr">
        <is>
          <t>ÖREBRO</t>
        </is>
      </c>
      <c r="G70" t="n">
        <v>6.1</v>
      </c>
      <c r="H70" t="n">
        <v>0</v>
      </c>
      <c r="I70" t="n">
        <v>0</v>
      </c>
      <c r="J70" t="n">
        <v>0</v>
      </c>
      <c r="K70" t="n">
        <v>0</v>
      </c>
      <c r="L70" t="n">
        <v>0</v>
      </c>
      <c r="M70" t="n">
        <v>0</v>
      </c>
      <c r="N70" t="n">
        <v>0</v>
      </c>
      <c r="O70" t="n">
        <v>0</v>
      </c>
      <c r="P70" t="n">
        <v>0</v>
      </c>
      <c r="Q70" t="n">
        <v>0</v>
      </c>
      <c r="R70" s="2" t="inlineStr"/>
    </row>
    <row r="71" ht="15" customHeight="1">
      <c r="A71" t="inlineStr">
        <is>
          <t>A 23606-2021</t>
        </is>
      </c>
      <c r="B71" s="1" t="n">
        <v>44334</v>
      </c>
      <c r="C71" s="1" t="n">
        <v>45992</v>
      </c>
      <c r="D71" t="inlineStr">
        <is>
          <t>ÖREBRO LÄN</t>
        </is>
      </c>
      <c r="E71" t="inlineStr">
        <is>
          <t>ÖREBRO</t>
        </is>
      </c>
      <c r="G71" t="n">
        <v>2.4</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45992</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16785-2021</t>
        </is>
      </c>
      <c r="B73" s="1" t="n">
        <v>44295</v>
      </c>
      <c r="C73" s="1" t="n">
        <v>45992</v>
      </c>
      <c r="D73" t="inlineStr">
        <is>
          <t>ÖREBRO LÄN</t>
        </is>
      </c>
      <c r="E73" t="inlineStr">
        <is>
          <t>ÖREBRO</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45992</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3081-2021</t>
        </is>
      </c>
      <c r="B75" s="1" t="n">
        <v>44216</v>
      </c>
      <c r="C75" s="1" t="n">
        <v>45992</v>
      </c>
      <c r="D75" t="inlineStr">
        <is>
          <t>ÖREBRO LÄN</t>
        </is>
      </c>
      <c r="E75" t="inlineStr">
        <is>
          <t>ÖREBRO</t>
        </is>
      </c>
      <c r="G75" t="n">
        <v>4.2</v>
      </c>
      <c r="H75" t="n">
        <v>0</v>
      </c>
      <c r="I75" t="n">
        <v>0</v>
      </c>
      <c r="J75" t="n">
        <v>0</v>
      </c>
      <c r="K75" t="n">
        <v>0</v>
      </c>
      <c r="L75" t="n">
        <v>0</v>
      </c>
      <c r="M75" t="n">
        <v>0</v>
      </c>
      <c r="N75" t="n">
        <v>0</v>
      </c>
      <c r="O75" t="n">
        <v>0</v>
      </c>
      <c r="P75" t="n">
        <v>0</v>
      </c>
      <c r="Q75" t="n">
        <v>0</v>
      </c>
      <c r="R75" s="2" t="inlineStr"/>
    </row>
    <row r="76" ht="15" customHeight="1">
      <c r="A76" t="inlineStr">
        <is>
          <t>A 12232-2021</t>
        </is>
      </c>
      <c r="B76" s="1" t="n">
        <v>44266.70232638889</v>
      </c>
      <c r="C76" s="1" t="n">
        <v>45992</v>
      </c>
      <c r="D76" t="inlineStr">
        <is>
          <t>ÖREBRO LÄN</t>
        </is>
      </c>
      <c r="E76" t="inlineStr">
        <is>
          <t>ÖREBRO</t>
        </is>
      </c>
      <c r="G76" t="n">
        <v>1.5</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45992</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45992</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45992</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45992</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45992</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45992</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45992</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45992</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45992</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45992</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45992</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45992</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45992</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45992</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45992</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45992</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45992</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45992</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45992</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45992</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45992</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45992</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45992</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45992</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45992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3078-2021</t>
        </is>
      </c>
      <c r="B102" s="1" t="n">
        <v>44216</v>
      </c>
      <c r="C102" s="1" t="n">
        <v>45992</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3085-2021</t>
        </is>
      </c>
      <c r="B103" s="1" t="n">
        <v>44216</v>
      </c>
      <c r="C103" s="1" t="n">
        <v>45992</v>
      </c>
      <c r="D103" t="inlineStr">
        <is>
          <t>ÖREBRO LÄN</t>
        </is>
      </c>
      <c r="E103" t="inlineStr">
        <is>
          <t>ÖREBRO</t>
        </is>
      </c>
      <c r="G103" t="n">
        <v>2.9</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45992</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45992</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45992</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45992</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45992</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45992</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45992</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45992</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45992</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45992</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35836-2021</t>
        </is>
      </c>
      <c r="B114" s="1" t="n">
        <v>44386</v>
      </c>
      <c r="C114" s="1" t="n">
        <v>45992</v>
      </c>
      <c r="D114" t="inlineStr">
        <is>
          <t>ÖREBRO LÄN</t>
        </is>
      </c>
      <c r="E114" t="inlineStr">
        <is>
          <t>ÖREBRO</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45992</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45992</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45992</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45992</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44146-2021</t>
        </is>
      </c>
      <c r="B119" s="1" t="n">
        <v>44434</v>
      </c>
      <c r="C119" s="1" t="n">
        <v>45992</v>
      </c>
      <c r="D119" t="inlineStr">
        <is>
          <t>ÖREBRO LÄN</t>
        </is>
      </c>
      <c r="E119" t="inlineStr">
        <is>
          <t>ÖREBRO</t>
        </is>
      </c>
      <c r="G119" t="n">
        <v>1.7</v>
      </c>
      <c r="H119" t="n">
        <v>0</v>
      </c>
      <c r="I119" t="n">
        <v>0</v>
      </c>
      <c r="J119" t="n">
        <v>0</v>
      </c>
      <c r="K119" t="n">
        <v>0</v>
      </c>
      <c r="L119" t="n">
        <v>0</v>
      </c>
      <c r="M119" t="n">
        <v>0</v>
      </c>
      <c r="N119" t="n">
        <v>0</v>
      </c>
      <c r="O119" t="n">
        <v>0</v>
      </c>
      <c r="P119" t="n">
        <v>0</v>
      </c>
      <c r="Q119" t="n">
        <v>0</v>
      </c>
      <c r="R119" s="2" t="inlineStr"/>
    </row>
    <row r="120" ht="15" customHeight="1">
      <c r="A120" t="inlineStr">
        <is>
          <t>A 21567-2022</t>
        </is>
      </c>
      <c r="B120" s="1" t="n">
        <v>44706</v>
      </c>
      <c r="C120" s="1" t="n">
        <v>45992</v>
      </c>
      <c r="D120" t="inlineStr">
        <is>
          <t>ÖREBRO LÄN</t>
        </is>
      </c>
      <c r="E120" t="inlineStr">
        <is>
          <t>ÖREBRO</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58138-2021</t>
        </is>
      </c>
      <c r="B121" s="1" t="n">
        <v>44487</v>
      </c>
      <c r="C121" s="1" t="n">
        <v>45992</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16258-2022</t>
        </is>
      </c>
      <c r="B122" s="1" t="n">
        <v>44670</v>
      </c>
      <c r="C122" s="1" t="n">
        <v>45992</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7117-2021</t>
        </is>
      </c>
      <c r="B123" s="1" t="n">
        <v>44238</v>
      </c>
      <c r="C123" s="1" t="n">
        <v>45992</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63247-2021</t>
        </is>
      </c>
      <c r="B124" s="1" t="n">
        <v>44505</v>
      </c>
      <c r="C124" s="1" t="n">
        <v>45992</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6638-2022</t>
        </is>
      </c>
      <c r="B125" s="1" t="n">
        <v>44601</v>
      </c>
      <c r="C125" s="1" t="n">
        <v>45992</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30760-2022</t>
        </is>
      </c>
      <c r="B126" s="1" t="n">
        <v>44764.51827546296</v>
      </c>
      <c r="C126" s="1" t="n">
        <v>45992</v>
      </c>
      <c r="D126" t="inlineStr">
        <is>
          <t>ÖREBRO LÄN</t>
        </is>
      </c>
      <c r="E126" t="inlineStr">
        <is>
          <t>ÖREBRO</t>
        </is>
      </c>
      <c r="G126" t="n">
        <v>4</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45992</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37395-2021</t>
        </is>
      </c>
      <c r="B128" s="1" t="n">
        <v>44398</v>
      </c>
      <c r="C128" s="1" t="n">
        <v>45992</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66936-2021</t>
        </is>
      </c>
      <c r="B129" s="1" t="n">
        <v>44522.56349537037</v>
      </c>
      <c r="C129" s="1" t="n">
        <v>45992</v>
      </c>
      <c r="D129" t="inlineStr">
        <is>
          <t>ÖREBRO LÄN</t>
        </is>
      </c>
      <c r="E129" t="inlineStr">
        <is>
          <t>ÖREBRO</t>
        </is>
      </c>
      <c r="G129" t="n">
        <v>6.8</v>
      </c>
      <c r="H129" t="n">
        <v>0</v>
      </c>
      <c r="I129" t="n">
        <v>0</v>
      </c>
      <c r="J129" t="n">
        <v>0</v>
      </c>
      <c r="K129" t="n">
        <v>0</v>
      </c>
      <c r="L129" t="n">
        <v>0</v>
      </c>
      <c r="M129" t="n">
        <v>0</v>
      </c>
      <c r="N129" t="n">
        <v>0</v>
      </c>
      <c r="O129" t="n">
        <v>0</v>
      </c>
      <c r="P129" t="n">
        <v>0</v>
      </c>
      <c r="Q129" t="n">
        <v>0</v>
      </c>
      <c r="R129" s="2" t="inlineStr"/>
    </row>
    <row r="130" ht="15" customHeight="1">
      <c r="A130" t="inlineStr">
        <is>
          <t>A 44131-2022</t>
        </is>
      </c>
      <c r="B130" s="1" t="n">
        <v>44839</v>
      </c>
      <c r="C130" s="1" t="n">
        <v>45992</v>
      </c>
      <c r="D130" t="inlineStr">
        <is>
          <t>ÖREBRO LÄN</t>
        </is>
      </c>
      <c r="E130" t="inlineStr">
        <is>
          <t>ÖREBRO</t>
        </is>
      </c>
      <c r="G130" t="n">
        <v>1.3</v>
      </c>
      <c r="H130" t="n">
        <v>0</v>
      </c>
      <c r="I130" t="n">
        <v>0</v>
      </c>
      <c r="J130" t="n">
        <v>0</v>
      </c>
      <c r="K130" t="n">
        <v>0</v>
      </c>
      <c r="L130" t="n">
        <v>0</v>
      </c>
      <c r="M130" t="n">
        <v>0</v>
      </c>
      <c r="N130" t="n">
        <v>0</v>
      </c>
      <c r="O130" t="n">
        <v>0</v>
      </c>
      <c r="P130" t="n">
        <v>0</v>
      </c>
      <c r="Q130" t="n">
        <v>0</v>
      </c>
      <c r="R130" s="2" t="inlineStr"/>
    </row>
    <row r="131" ht="15" customHeight="1">
      <c r="A131" t="inlineStr">
        <is>
          <t>A 18321-2022</t>
        </is>
      </c>
      <c r="B131" s="1" t="n">
        <v>44685</v>
      </c>
      <c r="C131" s="1" t="n">
        <v>45992</v>
      </c>
      <c r="D131" t="inlineStr">
        <is>
          <t>ÖREBRO LÄN</t>
        </is>
      </c>
      <c r="E131" t="inlineStr">
        <is>
          <t>ÖREBRO</t>
        </is>
      </c>
      <c r="G131" t="n">
        <v>2.1</v>
      </c>
      <c r="H131" t="n">
        <v>0</v>
      </c>
      <c r="I131" t="n">
        <v>0</v>
      </c>
      <c r="J131" t="n">
        <v>0</v>
      </c>
      <c r="K131" t="n">
        <v>0</v>
      </c>
      <c r="L131" t="n">
        <v>0</v>
      </c>
      <c r="M131" t="n">
        <v>0</v>
      </c>
      <c r="N131" t="n">
        <v>0</v>
      </c>
      <c r="O131" t="n">
        <v>0</v>
      </c>
      <c r="P131" t="n">
        <v>0</v>
      </c>
      <c r="Q131" t="n">
        <v>0</v>
      </c>
      <c r="R131" s="2" t="inlineStr"/>
    </row>
    <row r="132" ht="15" customHeight="1">
      <c r="A132" t="inlineStr">
        <is>
          <t>A 3087-2021</t>
        </is>
      </c>
      <c r="B132" s="1" t="n">
        <v>44216</v>
      </c>
      <c r="C132" s="1" t="n">
        <v>45992</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32231-2022</t>
        </is>
      </c>
      <c r="B133" s="1" t="n">
        <v>44781</v>
      </c>
      <c r="C133" s="1" t="n">
        <v>45992</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32247-2022</t>
        </is>
      </c>
      <c r="B134" s="1" t="n">
        <v>44781</v>
      </c>
      <c r="C134" s="1" t="n">
        <v>45992</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41553-2022</t>
        </is>
      </c>
      <c r="B135" s="1" t="n">
        <v>44827.3940625</v>
      </c>
      <c r="C135" s="1" t="n">
        <v>45992</v>
      </c>
      <c r="D135" t="inlineStr">
        <is>
          <t>ÖREBRO LÄN</t>
        </is>
      </c>
      <c r="E135" t="inlineStr">
        <is>
          <t>ÖREBRO</t>
        </is>
      </c>
      <c r="G135" t="n">
        <v>3.7</v>
      </c>
      <c r="H135" t="n">
        <v>0</v>
      </c>
      <c r="I135" t="n">
        <v>0</v>
      </c>
      <c r="J135" t="n">
        <v>0</v>
      </c>
      <c r="K135" t="n">
        <v>0</v>
      </c>
      <c r="L135" t="n">
        <v>0</v>
      </c>
      <c r="M135" t="n">
        <v>0</v>
      </c>
      <c r="N135" t="n">
        <v>0</v>
      </c>
      <c r="O135" t="n">
        <v>0</v>
      </c>
      <c r="P135" t="n">
        <v>0</v>
      </c>
      <c r="Q135" t="n">
        <v>0</v>
      </c>
      <c r="R135" s="2" t="inlineStr"/>
    </row>
    <row r="136" ht="15" customHeight="1">
      <c r="A136" t="inlineStr">
        <is>
          <t>A 14562-2022</t>
        </is>
      </c>
      <c r="B136" s="1" t="n">
        <v>44655</v>
      </c>
      <c r="C136" s="1" t="n">
        <v>45992</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45992</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45992</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45992</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57343-2021</t>
        </is>
      </c>
      <c r="B140" s="1" t="n">
        <v>44482</v>
      </c>
      <c r="C140" s="1" t="n">
        <v>45992</v>
      </c>
      <c r="D140" t="inlineStr">
        <is>
          <t>ÖREBRO LÄN</t>
        </is>
      </c>
      <c r="E140" t="inlineStr">
        <is>
          <t>ÖREBRO</t>
        </is>
      </c>
      <c r="G140" t="n">
        <v>3.3</v>
      </c>
      <c r="H140" t="n">
        <v>0</v>
      </c>
      <c r="I140" t="n">
        <v>0</v>
      </c>
      <c r="J140" t="n">
        <v>0</v>
      </c>
      <c r="K140" t="n">
        <v>0</v>
      </c>
      <c r="L140" t="n">
        <v>0</v>
      </c>
      <c r="M140" t="n">
        <v>0</v>
      </c>
      <c r="N140" t="n">
        <v>0</v>
      </c>
      <c r="O140" t="n">
        <v>0</v>
      </c>
      <c r="P140" t="n">
        <v>0</v>
      </c>
      <c r="Q140" t="n">
        <v>0</v>
      </c>
      <c r="R140" s="2" t="inlineStr"/>
    </row>
    <row r="141" ht="15" customHeight="1">
      <c r="A141" t="inlineStr">
        <is>
          <t>A 26118-2021</t>
        </is>
      </c>
      <c r="B141" s="1" t="n">
        <v>44345</v>
      </c>
      <c r="C141" s="1" t="n">
        <v>45992</v>
      </c>
      <c r="D141" t="inlineStr">
        <is>
          <t>ÖREBRO LÄN</t>
        </is>
      </c>
      <c r="E141" t="inlineStr">
        <is>
          <t>ÖREBRO</t>
        </is>
      </c>
      <c r="G141" t="n">
        <v>2.2</v>
      </c>
      <c r="H141" t="n">
        <v>0</v>
      </c>
      <c r="I141" t="n">
        <v>0</v>
      </c>
      <c r="J141" t="n">
        <v>0</v>
      </c>
      <c r="K141" t="n">
        <v>0</v>
      </c>
      <c r="L141" t="n">
        <v>0</v>
      </c>
      <c r="M141" t="n">
        <v>0</v>
      </c>
      <c r="N141" t="n">
        <v>0</v>
      </c>
      <c r="O141" t="n">
        <v>0</v>
      </c>
      <c r="P141" t="n">
        <v>0</v>
      </c>
      <c r="Q141" t="n">
        <v>0</v>
      </c>
      <c r="R141" s="2" t="inlineStr"/>
    </row>
    <row r="142" ht="15" customHeight="1">
      <c r="A142" t="inlineStr">
        <is>
          <t>A 26119-2021</t>
        </is>
      </c>
      <c r="B142" s="1" t="n">
        <v>44345.33282407407</v>
      </c>
      <c r="C142" s="1" t="n">
        <v>45992</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69613-2020</t>
        </is>
      </c>
      <c r="B143" s="1" t="n">
        <v>44195</v>
      </c>
      <c r="C143" s="1" t="n">
        <v>45992</v>
      </c>
      <c r="D143" t="inlineStr">
        <is>
          <t>ÖREBRO LÄN</t>
        </is>
      </c>
      <c r="E143" t="inlineStr">
        <is>
          <t>ÖREBRO</t>
        </is>
      </c>
      <c r="G143" t="n">
        <v>4.7</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45992</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9362-2022</t>
        </is>
      </c>
      <c r="B145" s="1" t="n">
        <v>44616.59946759259</v>
      </c>
      <c r="C145" s="1" t="n">
        <v>45992</v>
      </c>
      <c r="D145" t="inlineStr">
        <is>
          <t>ÖREBRO LÄN</t>
        </is>
      </c>
      <c r="E145" t="inlineStr">
        <is>
          <t>ÖREBRO</t>
        </is>
      </c>
      <c r="G145" t="n">
        <v>1.3</v>
      </c>
      <c r="H145" t="n">
        <v>0</v>
      </c>
      <c r="I145" t="n">
        <v>0</v>
      </c>
      <c r="J145" t="n">
        <v>0</v>
      </c>
      <c r="K145" t="n">
        <v>0</v>
      </c>
      <c r="L145" t="n">
        <v>0</v>
      </c>
      <c r="M145" t="n">
        <v>0</v>
      </c>
      <c r="N145" t="n">
        <v>0</v>
      </c>
      <c r="O145" t="n">
        <v>0</v>
      </c>
      <c r="P145" t="n">
        <v>0</v>
      </c>
      <c r="Q145" t="n">
        <v>0</v>
      </c>
      <c r="R145" s="2" t="inlineStr"/>
    </row>
    <row r="146" ht="15" customHeight="1">
      <c r="A146" t="inlineStr">
        <is>
          <t>A 44165-2022</t>
        </is>
      </c>
      <c r="B146" s="1" t="n">
        <v>44839</v>
      </c>
      <c r="C146" s="1" t="n">
        <v>45992</v>
      </c>
      <c r="D146" t="inlineStr">
        <is>
          <t>ÖREBRO LÄN</t>
        </is>
      </c>
      <c r="E146" t="inlineStr">
        <is>
          <t>ÖREBRO</t>
        </is>
      </c>
      <c r="G146" t="n">
        <v>0.5</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45992</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61232-2021</t>
        </is>
      </c>
      <c r="B148" s="1" t="n">
        <v>44498</v>
      </c>
      <c r="C148" s="1" t="n">
        <v>45992</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57498-2021</t>
        </is>
      </c>
      <c r="B149" s="1" t="n">
        <v>44483</v>
      </c>
      <c r="C149" s="1" t="n">
        <v>45992</v>
      </c>
      <c r="D149" t="inlineStr">
        <is>
          <t>ÖREBRO LÄN</t>
        </is>
      </c>
      <c r="E149" t="inlineStr">
        <is>
          <t>ÖREBRO</t>
        </is>
      </c>
      <c r="F149" t="inlineStr">
        <is>
          <t>Övriga Aktiebolag</t>
        </is>
      </c>
      <c r="G149" t="n">
        <v>2.7</v>
      </c>
      <c r="H149" t="n">
        <v>0</v>
      </c>
      <c r="I149" t="n">
        <v>0</v>
      </c>
      <c r="J149" t="n">
        <v>0</v>
      </c>
      <c r="K149" t="n">
        <v>0</v>
      </c>
      <c r="L149" t="n">
        <v>0</v>
      </c>
      <c r="M149" t="n">
        <v>0</v>
      </c>
      <c r="N149" t="n">
        <v>0</v>
      </c>
      <c r="O149" t="n">
        <v>0</v>
      </c>
      <c r="P149" t="n">
        <v>0</v>
      </c>
      <c r="Q149" t="n">
        <v>0</v>
      </c>
      <c r="R149" s="2" t="inlineStr"/>
    </row>
    <row r="150" ht="15" customHeight="1">
      <c r="A150" t="inlineStr">
        <is>
          <t>A 51268-2022</t>
        </is>
      </c>
      <c r="B150" s="1" t="n">
        <v>44868</v>
      </c>
      <c r="C150" s="1" t="n">
        <v>45992</v>
      </c>
      <c r="D150" t="inlineStr">
        <is>
          <t>ÖREBRO LÄN</t>
        </is>
      </c>
      <c r="E150" t="inlineStr">
        <is>
          <t>ÖREBRO</t>
        </is>
      </c>
      <c r="G150" t="n">
        <v>3.8</v>
      </c>
      <c r="H150" t="n">
        <v>0</v>
      </c>
      <c r="I150" t="n">
        <v>0</v>
      </c>
      <c r="J150" t="n">
        <v>0</v>
      </c>
      <c r="K150" t="n">
        <v>0</v>
      </c>
      <c r="L150" t="n">
        <v>0</v>
      </c>
      <c r="M150" t="n">
        <v>0</v>
      </c>
      <c r="N150" t="n">
        <v>0</v>
      </c>
      <c r="O150" t="n">
        <v>0</v>
      </c>
      <c r="P150" t="n">
        <v>0</v>
      </c>
      <c r="Q150" t="n">
        <v>0</v>
      </c>
      <c r="R150" s="2" t="inlineStr"/>
    </row>
    <row r="151" ht="15" customHeight="1">
      <c r="A151" t="inlineStr">
        <is>
          <t>A 18047-2022</t>
        </is>
      </c>
      <c r="B151" s="1" t="n">
        <v>44684</v>
      </c>
      <c r="C151" s="1" t="n">
        <v>45992</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26509-2021</t>
        </is>
      </c>
      <c r="B152" s="1" t="n">
        <v>44348.45107638889</v>
      </c>
      <c r="C152" s="1" t="n">
        <v>45992</v>
      </c>
      <c r="D152" t="inlineStr">
        <is>
          <t>ÖREBRO LÄN</t>
        </is>
      </c>
      <c r="E152" t="inlineStr">
        <is>
          <t>ÖREBRO</t>
        </is>
      </c>
      <c r="G152" t="n">
        <v>2.5</v>
      </c>
      <c r="H152" t="n">
        <v>0</v>
      </c>
      <c r="I152" t="n">
        <v>0</v>
      </c>
      <c r="J152" t="n">
        <v>0</v>
      </c>
      <c r="K152" t="n">
        <v>0</v>
      </c>
      <c r="L152" t="n">
        <v>0</v>
      </c>
      <c r="M152" t="n">
        <v>0</v>
      </c>
      <c r="N152" t="n">
        <v>0</v>
      </c>
      <c r="O152" t="n">
        <v>0</v>
      </c>
      <c r="P152" t="n">
        <v>0</v>
      </c>
      <c r="Q152" t="n">
        <v>0</v>
      </c>
      <c r="R152" s="2" t="inlineStr"/>
    </row>
    <row r="153" ht="15" customHeight="1">
      <c r="A153" t="inlineStr">
        <is>
          <t>A 4766-2022</t>
        </is>
      </c>
      <c r="B153" s="1" t="n">
        <v>44592</v>
      </c>
      <c r="C153" s="1" t="n">
        <v>45992</v>
      </c>
      <c r="D153" t="inlineStr">
        <is>
          <t>ÖREBRO LÄN</t>
        </is>
      </c>
      <c r="E153" t="inlineStr">
        <is>
          <t>ÖREBRO</t>
        </is>
      </c>
      <c r="G153" t="n">
        <v>2.9</v>
      </c>
      <c r="H153" t="n">
        <v>0</v>
      </c>
      <c r="I153" t="n">
        <v>0</v>
      </c>
      <c r="J153" t="n">
        <v>0</v>
      </c>
      <c r="K153" t="n">
        <v>0</v>
      </c>
      <c r="L153" t="n">
        <v>0</v>
      </c>
      <c r="M153" t="n">
        <v>0</v>
      </c>
      <c r="N153" t="n">
        <v>0</v>
      </c>
      <c r="O153" t="n">
        <v>0</v>
      </c>
      <c r="P153" t="n">
        <v>0</v>
      </c>
      <c r="Q153" t="n">
        <v>0</v>
      </c>
      <c r="R153" s="2" t="inlineStr"/>
    </row>
    <row r="154" ht="15" customHeight="1">
      <c r="A154" t="inlineStr">
        <is>
          <t>A 40312-2021</t>
        </is>
      </c>
      <c r="B154" s="1" t="n">
        <v>44419</v>
      </c>
      <c r="C154" s="1" t="n">
        <v>45992</v>
      </c>
      <c r="D154" t="inlineStr">
        <is>
          <t>ÖREBRO LÄN</t>
        </is>
      </c>
      <c r="E154" t="inlineStr">
        <is>
          <t>ÖREBRO</t>
        </is>
      </c>
      <c r="F154" t="inlineStr">
        <is>
          <t>Övriga Aktiebolag</t>
        </is>
      </c>
      <c r="G154" t="n">
        <v>2.6</v>
      </c>
      <c r="H154" t="n">
        <v>0</v>
      </c>
      <c r="I154" t="n">
        <v>0</v>
      </c>
      <c r="J154" t="n">
        <v>0</v>
      </c>
      <c r="K154" t="n">
        <v>0</v>
      </c>
      <c r="L154" t="n">
        <v>0</v>
      </c>
      <c r="M154" t="n">
        <v>0</v>
      </c>
      <c r="N154" t="n">
        <v>0</v>
      </c>
      <c r="O154" t="n">
        <v>0</v>
      </c>
      <c r="P154" t="n">
        <v>0</v>
      </c>
      <c r="Q154" t="n">
        <v>0</v>
      </c>
      <c r="R154" s="2" t="inlineStr"/>
    </row>
    <row r="155" ht="15" customHeight="1">
      <c r="A155" t="inlineStr">
        <is>
          <t>A 12478-2022</t>
        </is>
      </c>
      <c r="B155" s="1" t="n">
        <v>44638</v>
      </c>
      <c r="C155" s="1" t="n">
        <v>45992</v>
      </c>
      <c r="D155" t="inlineStr">
        <is>
          <t>ÖREBRO LÄN</t>
        </is>
      </c>
      <c r="E155" t="inlineStr">
        <is>
          <t>ÖREBRO</t>
        </is>
      </c>
      <c r="F155" t="inlineStr">
        <is>
          <t>Kyrkan</t>
        </is>
      </c>
      <c r="G155" t="n">
        <v>1.4</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45992</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46757-2021</t>
        </is>
      </c>
      <c r="B157" s="1" t="n">
        <v>44445</v>
      </c>
      <c r="C157" s="1" t="n">
        <v>45992</v>
      </c>
      <c r="D157" t="inlineStr">
        <is>
          <t>ÖREBRO LÄN</t>
        </is>
      </c>
      <c r="E157" t="inlineStr">
        <is>
          <t>ÖREBRO</t>
        </is>
      </c>
      <c r="G157" t="n">
        <v>5.6</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45992</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9609-2023</t>
        </is>
      </c>
      <c r="B159" s="1" t="n">
        <v>44983.93344907407</v>
      </c>
      <c r="C159" s="1" t="n">
        <v>45992</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14053-2025</t>
        </is>
      </c>
      <c r="B160" s="1" t="n">
        <v>45739</v>
      </c>
      <c r="C160" s="1" t="n">
        <v>45992</v>
      </c>
      <c r="D160" t="inlineStr">
        <is>
          <t>ÖREBRO LÄN</t>
        </is>
      </c>
      <c r="E160" t="inlineStr">
        <is>
          <t>ÖREBRO</t>
        </is>
      </c>
      <c r="G160" t="n">
        <v>3.5</v>
      </c>
      <c r="H160" t="n">
        <v>0</v>
      </c>
      <c r="I160" t="n">
        <v>0</v>
      </c>
      <c r="J160" t="n">
        <v>0</v>
      </c>
      <c r="K160" t="n">
        <v>0</v>
      </c>
      <c r="L160" t="n">
        <v>0</v>
      </c>
      <c r="M160" t="n">
        <v>0</v>
      </c>
      <c r="N160" t="n">
        <v>0</v>
      </c>
      <c r="O160" t="n">
        <v>0</v>
      </c>
      <c r="P160" t="n">
        <v>0</v>
      </c>
      <c r="Q160" t="n">
        <v>0</v>
      </c>
      <c r="R160" s="2" t="inlineStr"/>
    </row>
    <row r="161" ht="15" customHeight="1">
      <c r="A161" t="inlineStr">
        <is>
          <t>A 10799-2024</t>
        </is>
      </c>
      <c r="B161" s="1" t="n">
        <v>45369</v>
      </c>
      <c r="C161" s="1" t="n">
        <v>45992</v>
      </c>
      <c r="D161" t="inlineStr">
        <is>
          <t>ÖREBRO LÄN</t>
        </is>
      </c>
      <c r="E161" t="inlineStr">
        <is>
          <t>ÖREBRO</t>
        </is>
      </c>
      <c r="G161" t="n">
        <v>5.8</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45992</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10829-2023</t>
        </is>
      </c>
      <c r="B163" s="1" t="n">
        <v>44990.88512731482</v>
      </c>
      <c r="C163" s="1" t="n">
        <v>45992</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10831-2023</t>
        </is>
      </c>
      <c r="B164" s="1" t="n">
        <v>44990.90357638889</v>
      </c>
      <c r="C164" s="1" t="n">
        <v>45992</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59736-2023</t>
        </is>
      </c>
      <c r="B165" s="1" t="n">
        <v>45257.374375</v>
      </c>
      <c r="C165" s="1" t="n">
        <v>45992</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58539-2024</t>
        </is>
      </c>
      <c r="B166" s="1" t="n">
        <v>45635.45157407408</v>
      </c>
      <c r="C166" s="1" t="n">
        <v>45992</v>
      </c>
      <c r="D166" t="inlineStr">
        <is>
          <t>ÖREBRO LÄN</t>
        </is>
      </c>
      <c r="E166" t="inlineStr">
        <is>
          <t>ÖREBRO</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2153-2023</t>
        </is>
      </c>
      <c r="B167" s="1" t="n">
        <v>44941</v>
      </c>
      <c r="C167" s="1" t="n">
        <v>45992</v>
      </c>
      <c r="D167" t="inlineStr">
        <is>
          <t>ÖREBRO LÄN</t>
        </is>
      </c>
      <c r="E167" t="inlineStr">
        <is>
          <t>ÖREBRO</t>
        </is>
      </c>
      <c r="G167" t="n">
        <v>6.3</v>
      </c>
      <c r="H167" t="n">
        <v>0</v>
      </c>
      <c r="I167" t="n">
        <v>0</v>
      </c>
      <c r="J167" t="n">
        <v>0</v>
      </c>
      <c r="K167" t="n">
        <v>0</v>
      </c>
      <c r="L167" t="n">
        <v>0</v>
      </c>
      <c r="M167" t="n">
        <v>0</v>
      </c>
      <c r="N167" t="n">
        <v>0</v>
      </c>
      <c r="O167" t="n">
        <v>0</v>
      </c>
      <c r="P167" t="n">
        <v>0</v>
      </c>
      <c r="Q167" t="n">
        <v>0</v>
      </c>
      <c r="R167" s="2" t="inlineStr"/>
    </row>
    <row r="168" ht="15" customHeight="1">
      <c r="A168" t="inlineStr">
        <is>
          <t>A 58532-2024</t>
        </is>
      </c>
      <c r="B168" s="1" t="n">
        <v>45635.44899305556</v>
      </c>
      <c r="C168" s="1" t="n">
        <v>45992</v>
      </c>
      <c r="D168" t="inlineStr">
        <is>
          <t>ÖREBRO LÄN</t>
        </is>
      </c>
      <c r="E168" t="inlineStr">
        <is>
          <t>ÖREBRO</t>
        </is>
      </c>
      <c r="F168" t="inlineStr">
        <is>
          <t>Sveaskog</t>
        </is>
      </c>
      <c r="G168" t="n">
        <v>5.2</v>
      </c>
      <c r="H168" t="n">
        <v>0</v>
      </c>
      <c r="I168" t="n">
        <v>0</v>
      </c>
      <c r="J168" t="n">
        <v>0</v>
      </c>
      <c r="K168" t="n">
        <v>0</v>
      </c>
      <c r="L168" t="n">
        <v>0</v>
      </c>
      <c r="M168" t="n">
        <v>0</v>
      </c>
      <c r="N168" t="n">
        <v>0</v>
      </c>
      <c r="O168" t="n">
        <v>0</v>
      </c>
      <c r="P168" t="n">
        <v>0</v>
      </c>
      <c r="Q168" t="n">
        <v>0</v>
      </c>
      <c r="R168" s="2" t="inlineStr"/>
    </row>
    <row r="169" ht="15" customHeight="1">
      <c r="A169" t="inlineStr">
        <is>
          <t>A 10470-2025</t>
        </is>
      </c>
      <c r="B169" s="1" t="n">
        <v>45720</v>
      </c>
      <c r="C169" s="1" t="n">
        <v>45992</v>
      </c>
      <c r="D169" t="inlineStr">
        <is>
          <t>ÖREBRO LÄN</t>
        </is>
      </c>
      <c r="E169" t="inlineStr">
        <is>
          <t>ÖREBRO</t>
        </is>
      </c>
      <c r="G169" t="n">
        <v>11.5</v>
      </c>
      <c r="H169" t="n">
        <v>0</v>
      </c>
      <c r="I169" t="n">
        <v>0</v>
      </c>
      <c r="J169" t="n">
        <v>0</v>
      </c>
      <c r="K169" t="n">
        <v>0</v>
      </c>
      <c r="L169" t="n">
        <v>0</v>
      </c>
      <c r="M169" t="n">
        <v>0</v>
      </c>
      <c r="N169" t="n">
        <v>0</v>
      </c>
      <c r="O169" t="n">
        <v>0</v>
      </c>
      <c r="P169" t="n">
        <v>0</v>
      </c>
      <c r="Q169" t="n">
        <v>0</v>
      </c>
      <c r="R169" s="2" t="inlineStr"/>
    </row>
    <row r="170" ht="15" customHeight="1">
      <c r="A170" t="inlineStr">
        <is>
          <t>A 52623-2024</t>
        </is>
      </c>
      <c r="B170" s="1" t="n">
        <v>45609</v>
      </c>
      <c r="C170" s="1" t="n">
        <v>45992</v>
      </c>
      <c r="D170" t="inlineStr">
        <is>
          <t>ÖREBRO LÄN</t>
        </is>
      </c>
      <c r="E170" t="inlineStr">
        <is>
          <t>ÖREBRO</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187-2024</t>
        </is>
      </c>
      <c r="B171" s="1" t="n">
        <v>45294</v>
      </c>
      <c r="C171" s="1" t="n">
        <v>45992</v>
      </c>
      <c r="D171" t="inlineStr">
        <is>
          <t>ÖREBRO LÄN</t>
        </is>
      </c>
      <c r="E171" t="inlineStr">
        <is>
          <t>ÖREBRO</t>
        </is>
      </c>
      <c r="G171" t="n">
        <v>5.9</v>
      </c>
      <c r="H171" t="n">
        <v>0</v>
      </c>
      <c r="I171" t="n">
        <v>0</v>
      </c>
      <c r="J171" t="n">
        <v>0</v>
      </c>
      <c r="K171" t="n">
        <v>0</v>
      </c>
      <c r="L171" t="n">
        <v>0</v>
      </c>
      <c r="M171" t="n">
        <v>0</v>
      </c>
      <c r="N171" t="n">
        <v>0</v>
      </c>
      <c r="O171" t="n">
        <v>0</v>
      </c>
      <c r="P171" t="n">
        <v>0</v>
      </c>
      <c r="Q171" t="n">
        <v>0</v>
      </c>
      <c r="R171" s="2" t="inlineStr"/>
    </row>
    <row r="172" ht="15" customHeight="1">
      <c r="A172" t="inlineStr">
        <is>
          <t>A 13762-2023</t>
        </is>
      </c>
      <c r="B172" s="1" t="n">
        <v>45007.43729166667</v>
      </c>
      <c r="C172" s="1" t="n">
        <v>45992</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60022-2024</t>
        </is>
      </c>
      <c r="B173" s="1" t="n">
        <v>45642</v>
      </c>
      <c r="C173" s="1" t="n">
        <v>45992</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50026-2024</t>
        </is>
      </c>
      <c r="B174" s="1" t="n">
        <v>45599.60541666667</v>
      </c>
      <c r="C174" s="1" t="n">
        <v>45992</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62794-2021</t>
        </is>
      </c>
      <c r="B175" s="1" t="n">
        <v>44504</v>
      </c>
      <c r="C175" s="1" t="n">
        <v>45992</v>
      </c>
      <c r="D175" t="inlineStr">
        <is>
          <t>ÖREBRO LÄN</t>
        </is>
      </c>
      <c r="E175" t="inlineStr">
        <is>
          <t>ÖREBRO</t>
        </is>
      </c>
      <c r="G175" t="n">
        <v>3.3</v>
      </c>
      <c r="H175" t="n">
        <v>0</v>
      </c>
      <c r="I175" t="n">
        <v>0</v>
      </c>
      <c r="J175" t="n">
        <v>0</v>
      </c>
      <c r="K175" t="n">
        <v>0</v>
      </c>
      <c r="L175" t="n">
        <v>0</v>
      </c>
      <c r="M175" t="n">
        <v>0</v>
      </c>
      <c r="N175" t="n">
        <v>0</v>
      </c>
      <c r="O175" t="n">
        <v>0</v>
      </c>
      <c r="P175" t="n">
        <v>0</v>
      </c>
      <c r="Q175" t="n">
        <v>0</v>
      </c>
      <c r="R175" s="2" t="inlineStr"/>
    </row>
    <row r="176" ht="15" customHeight="1">
      <c r="A176" t="inlineStr">
        <is>
          <t>A 19180-2025</t>
        </is>
      </c>
      <c r="B176" s="1" t="n">
        <v>45769.40133101852</v>
      </c>
      <c r="C176" s="1" t="n">
        <v>45992</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58684-2023</t>
        </is>
      </c>
      <c r="B177" s="1" t="n">
        <v>45251</v>
      </c>
      <c r="C177" s="1" t="n">
        <v>45992</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37771-2024</t>
        </is>
      </c>
      <c r="B178" s="1" t="n">
        <v>45542.31359953704</v>
      </c>
      <c r="C178" s="1" t="n">
        <v>45992</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45237-2023</t>
        </is>
      </c>
      <c r="B179" s="1" t="n">
        <v>45191</v>
      </c>
      <c r="C179" s="1" t="n">
        <v>45992</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71288-2021</t>
        </is>
      </c>
      <c r="B180" s="1" t="n">
        <v>44539.62481481482</v>
      </c>
      <c r="C180" s="1" t="n">
        <v>45992</v>
      </c>
      <c r="D180" t="inlineStr">
        <is>
          <t>ÖREBRO LÄN</t>
        </is>
      </c>
      <c r="E180" t="inlineStr">
        <is>
          <t>ÖREBRO</t>
        </is>
      </c>
      <c r="G180" t="n">
        <v>3.9</v>
      </c>
      <c r="H180" t="n">
        <v>0</v>
      </c>
      <c r="I180" t="n">
        <v>0</v>
      </c>
      <c r="J180" t="n">
        <v>0</v>
      </c>
      <c r="K180" t="n">
        <v>0</v>
      </c>
      <c r="L180" t="n">
        <v>0</v>
      </c>
      <c r="M180" t="n">
        <v>0</v>
      </c>
      <c r="N180" t="n">
        <v>0</v>
      </c>
      <c r="O180" t="n">
        <v>0</v>
      </c>
      <c r="P180" t="n">
        <v>0</v>
      </c>
      <c r="Q180" t="n">
        <v>0</v>
      </c>
      <c r="R180" s="2" t="inlineStr"/>
    </row>
    <row r="181" ht="15" customHeight="1">
      <c r="A181" t="inlineStr">
        <is>
          <t>A 16739-2023</t>
        </is>
      </c>
      <c r="B181" s="1" t="n">
        <v>45030.72627314815</v>
      </c>
      <c r="C181" s="1" t="n">
        <v>45992</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37022-2024</t>
        </is>
      </c>
      <c r="B182" s="1" t="n">
        <v>45539.3822337963</v>
      </c>
      <c r="C182" s="1" t="n">
        <v>45992</v>
      </c>
      <c r="D182" t="inlineStr">
        <is>
          <t>ÖREBRO LÄN</t>
        </is>
      </c>
      <c r="E182" t="inlineStr">
        <is>
          <t>ÖREBRO</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37024-2024</t>
        </is>
      </c>
      <c r="B183" s="1" t="n">
        <v>45539.38329861111</v>
      </c>
      <c r="C183" s="1" t="n">
        <v>45992</v>
      </c>
      <c r="D183" t="inlineStr">
        <is>
          <t>ÖREBRO LÄN</t>
        </is>
      </c>
      <c r="E183" t="inlineStr">
        <is>
          <t>ÖREBRO</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45992</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45992</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38842-2022</t>
        </is>
      </c>
      <c r="B186" s="1" t="n">
        <v>44814</v>
      </c>
      <c r="C186" s="1" t="n">
        <v>45992</v>
      </c>
      <c r="D186" t="inlineStr">
        <is>
          <t>ÖREBRO LÄN</t>
        </is>
      </c>
      <c r="E186" t="inlineStr">
        <is>
          <t>ÖREBRO</t>
        </is>
      </c>
      <c r="G186" t="n">
        <v>5</v>
      </c>
      <c r="H186" t="n">
        <v>0</v>
      </c>
      <c r="I186" t="n">
        <v>0</v>
      </c>
      <c r="J186" t="n">
        <v>0</v>
      </c>
      <c r="K186" t="n">
        <v>0</v>
      </c>
      <c r="L186" t="n">
        <v>0</v>
      </c>
      <c r="M186" t="n">
        <v>0</v>
      </c>
      <c r="N186" t="n">
        <v>0</v>
      </c>
      <c r="O186" t="n">
        <v>0</v>
      </c>
      <c r="P186" t="n">
        <v>0</v>
      </c>
      <c r="Q186" t="n">
        <v>0</v>
      </c>
      <c r="R186" s="2" t="inlineStr"/>
    </row>
    <row r="187" ht="15" customHeight="1">
      <c r="A187" t="inlineStr">
        <is>
          <t>A 58598-2022</t>
        </is>
      </c>
      <c r="B187" s="1" t="n">
        <v>44902</v>
      </c>
      <c r="C187" s="1" t="n">
        <v>45992</v>
      </c>
      <c r="D187" t="inlineStr">
        <is>
          <t>ÖREBRO LÄN</t>
        </is>
      </c>
      <c r="E187" t="inlineStr">
        <is>
          <t>ÖREBRO</t>
        </is>
      </c>
      <c r="G187" t="n">
        <v>0.4</v>
      </c>
      <c r="H187" t="n">
        <v>0</v>
      </c>
      <c r="I187" t="n">
        <v>0</v>
      </c>
      <c r="J187" t="n">
        <v>0</v>
      </c>
      <c r="K187" t="n">
        <v>0</v>
      </c>
      <c r="L187" t="n">
        <v>0</v>
      </c>
      <c r="M187" t="n">
        <v>0</v>
      </c>
      <c r="N187" t="n">
        <v>0</v>
      </c>
      <c r="O187" t="n">
        <v>0</v>
      </c>
      <c r="P187" t="n">
        <v>0</v>
      </c>
      <c r="Q187" t="n">
        <v>0</v>
      </c>
      <c r="R187" s="2" t="inlineStr"/>
    </row>
    <row r="188" ht="15" customHeight="1">
      <c r="A188" t="inlineStr">
        <is>
          <t>A 51331-2023</t>
        </is>
      </c>
      <c r="B188" s="1" t="n">
        <v>45219</v>
      </c>
      <c r="C188" s="1" t="n">
        <v>45992</v>
      </c>
      <c r="D188" t="inlineStr">
        <is>
          <t>ÖREBRO LÄN</t>
        </is>
      </c>
      <c r="E188" t="inlineStr">
        <is>
          <t>ÖREBRO</t>
        </is>
      </c>
      <c r="F188" t="inlineStr">
        <is>
          <t>Kommuner</t>
        </is>
      </c>
      <c r="G188" t="n">
        <v>1.3</v>
      </c>
      <c r="H188" t="n">
        <v>0</v>
      </c>
      <c r="I188" t="n">
        <v>0</v>
      </c>
      <c r="J188" t="n">
        <v>0</v>
      </c>
      <c r="K188" t="n">
        <v>0</v>
      </c>
      <c r="L188" t="n">
        <v>0</v>
      </c>
      <c r="M188" t="n">
        <v>0</v>
      </c>
      <c r="N188" t="n">
        <v>0</v>
      </c>
      <c r="O188" t="n">
        <v>0</v>
      </c>
      <c r="P188" t="n">
        <v>0</v>
      </c>
      <c r="Q188" t="n">
        <v>0</v>
      </c>
      <c r="R188" s="2" t="inlineStr"/>
    </row>
    <row r="189" ht="15" customHeight="1">
      <c r="A189" t="inlineStr">
        <is>
          <t>A 13158-2024</t>
        </is>
      </c>
      <c r="B189" s="1" t="n">
        <v>45386.38728009259</v>
      </c>
      <c r="C189" s="1" t="n">
        <v>45992</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852-2025</t>
        </is>
      </c>
      <c r="B190" s="1" t="n">
        <v>45665.60148148148</v>
      </c>
      <c r="C190" s="1" t="n">
        <v>45992</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22348-2024</t>
        </is>
      </c>
      <c r="B191" s="1" t="n">
        <v>45446.61256944444</v>
      </c>
      <c r="C191" s="1" t="n">
        <v>45992</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34874-2022</t>
        </is>
      </c>
      <c r="B192" s="1" t="n">
        <v>44796</v>
      </c>
      <c r="C192" s="1" t="n">
        <v>45992</v>
      </c>
      <c r="D192" t="inlineStr">
        <is>
          <t>ÖREBRO LÄN</t>
        </is>
      </c>
      <c r="E192" t="inlineStr">
        <is>
          <t>ÖREBRO</t>
        </is>
      </c>
      <c r="F192" t="inlineStr">
        <is>
          <t>Övriga Aktiebolag</t>
        </is>
      </c>
      <c r="G192" t="n">
        <v>2.3</v>
      </c>
      <c r="H192" t="n">
        <v>0</v>
      </c>
      <c r="I192" t="n">
        <v>0</v>
      </c>
      <c r="J192" t="n">
        <v>0</v>
      </c>
      <c r="K192" t="n">
        <v>0</v>
      </c>
      <c r="L192" t="n">
        <v>0</v>
      </c>
      <c r="M192" t="n">
        <v>0</v>
      </c>
      <c r="N192" t="n">
        <v>0</v>
      </c>
      <c r="O192" t="n">
        <v>0</v>
      </c>
      <c r="P192" t="n">
        <v>0</v>
      </c>
      <c r="Q192" t="n">
        <v>0</v>
      </c>
      <c r="R192" s="2" t="inlineStr"/>
    </row>
    <row r="193" ht="15" customHeight="1">
      <c r="A193" t="inlineStr">
        <is>
          <t>A 15695-2024</t>
        </is>
      </c>
      <c r="B193" s="1" t="n">
        <v>45404.45487268519</v>
      </c>
      <c r="C193" s="1" t="n">
        <v>45992</v>
      </c>
      <c r="D193" t="inlineStr">
        <is>
          <t>ÖREBRO LÄN</t>
        </is>
      </c>
      <c r="E193" t="inlineStr">
        <is>
          <t>ÖREBRO</t>
        </is>
      </c>
      <c r="G193" t="n">
        <v>2.7</v>
      </c>
      <c r="H193" t="n">
        <v>0</v>
      </c>
      <c r="I193" t="n">
        <v>0</v>
      </c>
      <c r="J193" t="n">
        <v>0</v>
      </c>
      <c r="K193" t="n">
        <v>0</v>
      </c>
      <c r="L193" t="n">
        <v>0</v>
      </c>
      <c r="M193" t="n">
        <v>0</v>
      </c>
      <c r="N193" t="n">
        <v>0</v>
      </c>
      <c r="O193" t="n">
        <v>0</v>
      </c>
      <c r="P193" t="n">
        <v>0</v>
      </c>
      <c r="Q193" t="n">
        <v>0</v>
      </c>
      <c r="R193" s="2" t="inlineStr"/>
    </row>
    <row r="194" ht="15" customHeight="1">
      <c r="A194" t="inlineStr">
        <is>
          <t>A 30089-2024</t>
        </is>
      </c>
      <c r="B194" s="1" t="n">
        <v>45485</v>
      </c>
      <c r="C194" s="1" t="n">
        <v>45992</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5643-2025</t>
        </is>
      </c>
      <c r="B195" s="1" t="n">
        <v>45693</v>
      </c>
      <c r="C195" s="1" t="n">
        <v>45992</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41678-2024</t>
        </is>
      </c>
      <c r="B196" s="1" t="n">
        <v>45560</v>
      </c>
      <c r="C196" s="1" t="n">
        <v>45992</v>
      </c>
      <c r="D196" t="inlineStr">
        <is>
          <t>ÖREBRO LÄN</t>
        </is>
      </c>
      <c r="E196" t="inlineStr">
        <is>
          <t>ÖREBRO</t>
        </is>
      </c>
      <c r="G196" t="n">
        <v>11.3</v>
      </c>
      <c r="H196" t="n">
        <v>0</v>
      </c>
      <c r="I196" t="n">
        <v>0</v>
      </c>
      <c r="J196" t="n">
        <v>0</v>
      </c>
      <c r="K196" t="n">
        <v>0</v>
      </c>
      <c r="L196" t="n">
        <v>0</v>
      </c>
      <c r="M196" t="n">
        <v>0</v>
      </c>
      <c r="N196" t="n">
        <v>0</v>
      </c>
      <c r="O196" t="n">
        <v>0</v>
      </c>
      <c r="P196" t="n">
        <v>0</v>
      </c>
      <c r="Q196" t="n">
        <v>0</v>
      </c>
      <c r="R196" s="2" t="inlineStr"/>
    </row>
    <row r="197" ht="15" customHeight="1">
      <c r="A197" t="inlineStr">
        <is>
          <t>A 46030-2024</t>
        </is>
      </c>
      <c r="B197" s="1" t="n">
        <v>45580.70377314815</v>
      </c>
      <c r="C197" s="1" t="n">
        <v>45992</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13418-2024</t>
        </is>
      </c>
      <c r="B198" s="1" t="n">
        <v>45387.46482638889</v>
      </c>
      <c r="C198" s="1" t="n">
        <v>45992</v>
      </c>
      <c r="D198" t="inlineStr">
        <is>
          <t>ÖREBRO LÄN</t>
        </is>
      </c>
      <c r="E198" t="inlineStr">
        <is>
          <t>ÖREBRO</t>
        </is>
      </c>
      <c r="G198" t="n">
        <v>4.2</v>
      </c>
      <c r="H198" t="n">
        <v>0</v>
      </c>
      <c r="I198" t="n">
        <v>0</v>
      </c>
      <c r="J198" t="n">
        <v>0</v>
      </c>
      <c r="K198" t="n">
        <v>0</v>
      </c>
      <c r="L198" t="n">
        <v>0</v>
      </c>
      <c r="M198" t="n">
        <v>0</v>
      </c>
      <c r="N198" t="n">
        <v>0</v>
      </c>
      <c r="O198" t="n">
        <v>0</v>
      </c>
      <c r="P198" t="n">
        <v>0</v>
      </c>
      <c r="Q198" t="n">
        <v>0</v>
      </c>
      <c r="R198" s="2" t="inlineStr"/>
    </row>
    <row r="199" ht="15" customHeight="1">
      <c r="A199" t="inlineStr">
        <is>
          <t>A 38583-2023</t>
        </is>
      </c>
      <c r="B199" s="1" t="n">
        <v>45162.62861111111</v>
      </c>
      <c r="C199" s="1" t="n">
        <v>45992</v>
      </c>
      <c r="D199" t="inlineStr">
        <is>
          <t>ÖREBRO LÄN</t>
        </is>
      </c>
      <c r="E199" t="inlineStr">
        <is>
          <t>ÖREBRO</t>
        </is>
      </c>
      <c r="G199" t="n">
        <v>5.7</v>
      </c>
      <c r="H199" t="n">
        <v>0</v>
      </c>
      <c r="I199" t="n">
        <v>0</v>
      </c>
      <c r="J199" t="n">
        <v>0</v>
      </c>
      <c r="K199" t="n">
        <v>0</v>
      </c>
      <c r="L199" t="n">
        <v>0</v>
      </c>
      <c r="M199" t="n">
        <v>0</v>
      </c>
      <c r="N199" t="n">
        <v>0</v>
      </c>
      <c r="O199" t="n">
        <v>0</v>
      </c>
      <c r="P199" t="n">
        <v>0</v>
      </c>
      <c r="Q199" t="n">
        <v>0</v>
      </c>
      <c r="R199" s="2" t="inlineStr"/>
    </row>
    <row r="200" ht="15" customHeight="1">
      <c r="A200" t="inlineStr">
        <is>
          <t>A 5342-2024</t>
        </is>
      </c>
      <c r="B200" s="1" t="n">
        <v>45331.44145833333</v>
      </c>
      <c r="C200" s="1" t="n">
        <v>45992</v>
      </c>
      <c r="D200" t="inlineStr">
        <is>
          <t>ÖREBRO LÄN</t>
        </is>
      </c>
      <c r="E200" t="inlineStr">
        <is>
          <t>ÖREBRO</t>
        </is>
      </c>
      <c r="G200" t="n">
        <v>2.5</v>
      </c>
      <c r="H200" t="n">
        <v>0</v>
      </c>
      <c r="I200" t="n">
        <v>0</v>
      </c>
      <c r="J200" t="n">
        <v>0</v>
      </c>
      <c r="K200" t="n">
        <v>0</v>
      </c>
      <c r="L200" t="n">
        <v>0</v>
      </c>
      <c r="M200" t="n">
        <v>0</v>
      </c>
      <c r="N200" t="n">
        <v>0</v>
      </c>
      <c r="O200" t="n">
        <v>0</v>
      </c>
      <c r="P200" t="n">
        <v>0</v>
      </c>
      <c r="Q200" t="n">
        <v>0</v>
      </c>
      <c r="R200" s="2" t="inlineStr"/>
    </row>
    <row r="201" ht="15" customHeight="1">
      <c r="A201" t="inlineStr">
        <is>
          <t>A 71295-2021</t>
        </is>
      </c>
      <c r="B201" s="1" t="n">
        <v>44539.63009259259</v>
      </c>
      <c r="C201" s="1" t="n">
        <v>45992</v>
      </c>
      <c r="D201" t="inlineStr">
        <is>
          <t>ÖREBRO LÄN</t>
        </is>
      </c>
      <c r="E201" t="inlineStr">
        <is>
          <t>ÖREBRO</t>
        </is>
      </c>
      <c r="G201" t="n">
        <v>2.3</v>
      </c>
      <c r="H201" t="n">
        <v>0</v>
      </c>
      <c r="I201" t="n">
        <v>0</v>
      </c>
      <c r="J201" t="n">
        <v>0</v>
      </c>
      <c r="K201" t="n">
        <v>0</v>
      </c>
      <c r="L201" t="n">
        <v>0</v>
      </c>
      <c r="M201" t="n">
        <v>0</v>
      </c>
      <c r="N201" t="n">
        <v>0</v>
      </c>
      <c r="O201" t="n">
        <v>0</v>
      </c>
      <c r="P201" t="n">
        <v>0</v>
      </c>
      <c r="Q201" t="n">
        <v>0</v>
      </c>
      <c r="R201" s="2" t="inlineStr"/>
    </row>
    <row r="202" ht="15" customHeight="1">
      <c r="A202" t="inlineStr">
        <is>
          <t>A 55745-2023</t>
        </is>
      </c>
      <c r="B202" s="1" t="n">
        <v>45239.44811342593</v>
      </c>
      <c r="C202" s="1" t="n">
        <v>45992</v>
      </c>
      <c r="D202" t="inlineStr">
        <is>
          <t>ÖREBRO LÄN</t>
        </is>
      </c>
      <c r="E202" t="inlineStr">
        <is>
          <t>ÖREBRO</t>
        </is>
      </c>
      <c r="G202" t="n">
        <v>13.3</v>
      </c>
      <c r="H202" t="n">
        <v>0</v>
      </c>
      <c r="I202" t="n">
        <v>0</v>
      </c>
      <c r="J202" t="n">
        <v>0</v>
      </c>
      <c r="K202" t="n">
        <v>0</v>
      </c>
      <c r="L202" t="n">
        <v>0</v>
      </c>
      <c r="M202" t="n">
        <v>0</v>
      </c>
      <c r="N202" t="n">
        <v>0</v>
      </c>
      <c r="O202" t="n">
        <v>0</v>
      </c>
      <c r="P202" t="n">
        <v>0</v>
      </c>
      <c r="Q202" t="n">
        <v>0</v>
      </c>
      <c r="R202" s="2" t="inlineStr"/>
    </row>
    <row r="203" ht="15" customHeight="1">
      <c r="A203" t="inlineStr">
        <is>
          <t>A 11516-2024</t>
        </is>
      </c>
      <c r="B203" s="1" t="n">
        <v>45372</v>
      </c>
      <c r="C203" s="1" t="n">
        <v>45992</v>
      </c>
      <c r="D203" t="inlineStr">
        <is>
          <t>ÖREBRO LÄN</t>
        </is>
      </c>
      <c r="E203" t="inlineStr">
        <is>
          <t>ÖREBRO</t>
        </is>
      </c>
      <c r="G203" t="n">
        <v>10.7</v>
      </c>
      <c r="H203" t="n">
        <v>0</v>
      </c>
      <c r="I203" t="n">
        <v>0</v>
      </c>
      <c r="J203" t="n">
        <v>0</v>
      </c>
      <c r="K203" t="n">
        <v>0</v>
      </c>
      <c r="L203" t="n">
        <v>0</v>
      </c>
      <c r="M203" t="n">
        <v>0</v>
      </c>
      <c r="N203" t="n">
        <v>0</v>
      </c>
      <c r="O203" t="n">
        <v>0</v>
      </c>
      <c r="P203" t="n">
        <v>0</v>
      </c>
      <c r="Q203" t="n">
        <v>0</v>
      </c>
      <c r="R203" s="2" t="inlineStr"/>
    </row>
    <row r="204" ht="15" customHeight="1">
      <c r="A204" t="inlineStr">
        <is>
          <t>A 38573-2023</t>
        </is>
      </c>
      <c r="B204" s="1" t="n">
        <v>45162.61837962963</v>
      </c>
      <c r="C204" s="1" t="n">
        <v>45992</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13856-2022</t>
        </is>
      </c>
      <c r="B205" s="1" t="n">
        <v>44649.6965162037</v>
      </c>
      <c r="C205" s="1" t="n">
        <v>45992</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25578-2025</t>
        </is>
      </c>
      <c r="B206" s="1" t="n">
        <v>45803.47803240741</v>
      </c>
      <c r="C206" s="1" t="n">
        <v>45992</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52256-2023</t>
        </is>
      </c>
      <c r="B207" s="1" t="n">
        <v>45224.51471064815</v>
      </c>
      <c r="C207" s="1" t="n">
        <v>45992</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25519-2025</t>
        </is>
      </c>
      <c r="B208" s="1" t="n">
        <v>45803.38447916666</v>
      </c>
      <c r="C208" s="1" t="n">
        <v>45992</v>
      </c>
      <c r="D208" t="inlineStr">
        <is>
          <t>ÖREBRO LÄN</t>
        </is>
      </c>
      <c r="E208" t="inlineStr">
        <is>
          <t>ÖREBRO</t>
        </is>
      </c>
      <c r="G208" t="n">
        <v>7.4</v>
      </c>
      <c r="H208" t="n">
        <v>0</v>
      </c>
      <c r="I208" t="n">
        <v>0</v>
      </c>
      <c r="J208" t="n">
        <v>0</v>
      </c>
      <c r="K208" t="n">
        <v>0</v>
      </c>
      <c r="L208" t="n">
        <v>0</v>
      </c>
      <c r="M208" t="n">
        <v>0</v>
      </c>
      <c r="N208" t="n">
        <v>0</v>
      </c>
      <c r="O208" t="n">
        <v>0</v>
      </c>
      <c r="P208" t="n">
        <v>0</v>
      </c>
      <c r="Q208" t="n">
        <v>0</v>
      </c>
      <c r="R208" s="2" t="inlineStr"/>
    </row>
    <row r="209" ht="15" customHeight="1">
      <c r="A209" t="inlineStr">
        <is>
          <t>A 60289-2023</t>
        </is>
      </c>
      <c r="B209" s="1" t="n">
        <v>45257</v>
      </c>
      <c r="C209" s="1" t="n">
        <v>45992</v>
      </c>
      <c r="D209" t="inlineStr">
        <is>
          <t>ÖREBRO LÄN</t>
        </is>
      </c>
      <c r="E209" t="inlineStr">
        <is>
          <t>ÖREBRO</t>
        </is>
      </c>
      <c r="G209" t="n">
        <v>10.9</v>
      </c>
      <c r="H209" t="n">
        <v>0</v>
      </c>
      <c r="I209" t="n">
        <v>0</v>
      </c>
      <c r="J209" t="n">
        <v>0</v>
      </c>
      <c r="K209" t="n">
        <v>0</v>
      </c>
      <c r="L209" t="n">
        <v>0</v>
      </c>
      <c r="M209" t="n">
        <v>0</v>
      </c>
      <c r="N209" t="n">
        <v>0</v>
      </c>
      <c r="O209" t="n">
        <v>0</v>
      </c>
      <c r="P209" t="n">
        <v>0</v>
      </c>
      <c r="Q209" t="n">
        <v>0</v>
      </c>
      <c r="R209" s="2" t="inlineStr"/>
    </row>
    <row r="210" ht="15" customHeight="1">
      <c r="A210" t="inlineStr">
        <is>
          <t>A 12017-2024</t>
        </is>
      </c>
      <c r="B210" s="1" t="n">
        <v>45377</v>
      </c>
      <c r="C210" s="1" t="n">
        <v>45992</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54678-2023</t>
        </is>
      </c>
      <c r="B211" s="1" t="n">
        <v>45235</v>
      </c>
      <c r="C211" s="1" t="n">
        <v>45992</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190-2024</t>
        </is>
      </c>
      <c r="B212" s="1" t="n">
        <v>45294.61858796296</v>
      </c>
      <c r="C212" s="1" t="n">
        <v>45992</v>
      </c>
      <c r="D212" t="inlineStr">
        <is>
          <t>ÖREBRO LÄN</t>
        </is>
      </c>
      <c r="E212" t="inlineStr">
        <is>
          <t>ÖREBRO</t>
        </is>
      </c>
      <c r="G212" t="n">
        <v>2.4</v>
      </c>
      <c r="H212" t="n">
        <v>0</v>
      </c>
      <c r="I212" t="n">
        <v>0</v>
      </c>
      <c r="J212" t="n">
        <v>0</v>
      </c>
      <c r="K212" t="n">
        <v>0</v>
      </c>
      <c r="L212" t="n">
        <v>0</v>
      </c>
      <c r="M212" t="n">
        <v>0</v>
      </c>
      <c r="N212" t="n">
        <v>0</v>
      </c>
      <c r="O212" t="n">
        <v>0</v>
      </c>
      <c r="P212" t="n">
        <v>0</v>
      </c>
      <c r="Q212" t="n">
        <v>0</v>
      </c>
      <c r="R212" s="2" t="inlineStr"/>
    </row>
    <row r="213" ht="15" customHeight="1">
      <c r="A213" t="inlineStr">
        <is>
          <t>A 44511-2023</t>
        </is>
      </c>
      <c r="B213" s="1" t="n">
        <v>45189</v>
      </c>
      <c r="C213" s="1" t="n">
        <v>45992</v>
      </c>
      <c r="D213" t="inlineStr">
        <is>
          <t>ÖREBRO LÄN</t>
        </is>
      </c>
      <c r="E213" t="inlineStr">
        <is>
          <t>ÖREBRO</t>
        </is>
      </c>
      <c r="F213" t="inlineStr">
        <is>
          <t>Allmännings- och besparingsskogar</t>
        </is>
      </c>
      <c r="G213" t="n">
        <v>2.7</v>
      </c>
      <c r="H213" t="n">
        <v>0</v>
      </c>
      <c r="I213" t="n">
        <v>0</v>
      </c>
      <c r="J213" t="n">
        <v>0</v>
      </c>
      <c r="K213" t="n">
        <v>0</v>
      </c>
      <c r="L213" t="n">
        <v>0</v>
      </c>
      <c r="M213" t="n">
        <v>0</v>
      </c>
      <c r="N213" t="n">
        <v>0</v>
      </c>
      <c r="O213" t="n">
        <v>0</v>
      </c>
      <c r="P213" t="n">
        <v>0</v>
      </c>
      <c r="Q213" t="n">
        <v>0</v>
      </c>
      <c r="R213" s="2" t="inlineStr"/>
    </row>
    <row r="214" ht="15" customHeight="1">
      <c r="A214" t="inlineStr">
        <is>
          <t>A 39003-2025</t>
        </is>
      </c>
      <c r="B214" s="1" t="n">
        <v>45888.34467592592</v>
      </c>
      <c r="C214" s="1" t="n">
        <v>45992</v>
      </c>
      <c r="D214" t="inlineStr">
        <is>
          <t>ÖREBRO LÄN</t>
        </is>
      </c>
      <c r="E214" t="inlineStr">
        <is>
          <t>ÖREBRO</t>
        </is>
      </c>
      <c r="G214" t="n">
        <v>3.7</v>
      </c>
      <c r="H214" t="n">
        <v>0</v>
      </c>
      <c r="I214" t="n">
        <v>0</v>
      </c>
      <c r="J214" t="n">
        <v>0</v>
      </c>
      <c r="K214" t="n">
        <v>0</v>
      </c>
      <c r="L214" t="n">
        <v>0</v>
      </c>
      <c r="M214" t="n">
        <v>0</v>
      </c>
      <c r="N214" t="n">
        <v>0</v>
      </c>
      <c r="O214" t="n">
        <v>0</v>
      </c>
      <c r="P214" t="n">
        <v>0</v>
      </c>
      <c r="Q214" t="n">
        <v>0</v>
      </c>
      <c r="R214" s="2" t="inlineStr"/>
    </row>
    <row r="215" ht="15" customHeight="1">
      <c r="A215" t="inlineStr">
        <is>
          <t>A 15422-2022</t>
        </is>
      </c>
      <c r="B215" s="1" t="n">
        <v>44659.63753472222</v>
      </c>
      <c r="C215" s="1" t="n">
        <v>45992</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45992</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52447-2024</t>
        </is>
      </c>
      <c r="B217" s="1" t="n">
        <v>45609.49157407408</v>
      </c>
      <c r="C217" s="1" t="n">
        <v>45992</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43803-2023</t>
        </is>
      </c>
      <c r="B218" s="1" t="n">
        <v>45187</v>
      </c>
      <c r="C218" s="1" t="n">
        <v>45992</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46323-2024</t>
        </is>
      </c>
      <c r="B219" s="1" t="n">
        <v>45581.84538194445</v>
      </c>
      <c r="C219" s="1" t="n">
        <v>45992</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55943-2024</t>
        </is>
      </c>
      <c r="B220" s="1" t="n">
        <v>45623.61278935185</v>
      </c>
      <c r="C220" s="1" t="n">
        <v>45992</v>
      </c>
      <c r="D220" t="inlineStr">
        <is>
          <t>ÖREBRO LÄN</t>
        </is>
      </c>
      <c r="E220" t="inlineStr">
        <is>
          <t>ÖREBRO</t>
        </is>
      </c>
      <c r="G220" t="n">
        <v>4.8</v>
      </c>
      <c r="H220" t="n">
        <v>0</v>
      </c>
      <c r="I220" t="n">
        <v>0</v>
      </c>
      <c r="J220" t="n">
        <v>0</v>
      </c>
      <c r="K220" t="n">
        <v>0</v>
      </c>
      <c r="L220" t="n">
        <v>0</v>
      </c>
      <c r="M220" t="n">
        <v>0</v>
      </c>
      <c r="N220" t="n">
        <v>0</v>
      </c>
      <c r="O220" t="n">
        <v>0</v>
      </c>
      <c r="P220" t="n">
        <v>0</v>
      </c>
      <c r="Q220" t="n">
        <v>0</v>
      </c>
      <c r="R220" s="2" t="inlineStr"/>
    </row>
    <row r="221" ht="15" customHeight="1">
      <c r="A221" t="inlineStr">
        <is>
          <t>A 60028-2024</t>
        </is>
      </c>
      <c r="B221" s="1" t="n">
        <v>45642</v>
      </c>
      <c r="C221" s="1" t="n">
        <v>45992</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39479-2025</t>
        </is>
      </c>
      <c r="B222" s="1" t="n">
        <v>45890.34752314815</v>
      </c>
      <c r="C222" s="1" t="n">
        <v>45992</v>
      </c>
      <c r="D222" t="inlineStr">
        <is>
          <t>ÖREBRO LÄN</t>
        </is>
      </c>
      <c r="E222" t="inlineStr">
        <is>
          <t>ÖREBRO</t>
        </is>
      </c>
      <c r="G222" t="n">
        <v>0.7</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45992</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45992</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6794-2025</t>
        </is>
      </c>
      <c r="B225" s="1" t="n">
        <v>45700.66429398148</v>
      </c>
      <c r="C225" s="1" t="n">
        <v>45992</v>
      </c>
      <c r="D225" t="inlineStr">
        <is>
          <t>ÖREBRO LÄN</t>
        </is>
      </c>
      <c r="E225" t="inlineStr">
        <is>
          <t>ÖREBRO</t>
        </is>
      </c>
      <c r="G225" t="n">
        <v>1</v>
      </c>
      <c r="H225" t="n">
        <v>0</v>
      </c>
      <c r="I225" t="n">
        <v>0</v>
      </c>
      <c r="J225" t="n">
        <v>0</v>
      </c>
      <c r="K225" t="n">
        <v>0</v>
      </c>
      <c r="L225" t="n">
        <v>0</v>
      </c>
      <c r="M225" t="n">
        <v>0</v>
      </c>
      <c r="N225" t="n">
        <v>0</v>
      </c>
      <c r="O225" t="n">
        <v>0</v>
      </c>
      <c r="P225" t="n">
        <v>0</v>
      </c>
      <c r="Q225" t="n">
        <v>0</v>
      </c>
      <c r="R225" s="2" t="inlineStr"/>
    </row>
    <row r="226" ht="15" customHeight="1">
      <c r="A226" t="inlineStr">
        <is>
          <t>A 48644-2024</t>
        </is>
      </c>
      <c r="B226" s="1" t="n">
        <v>45593.47466435185</v>
      </c>
      <c r="C226" s="1" t="n">
        <v>45992</v>
      </c>
      <c r="D226" t="inlineStr">
        <is>
          <t>ÖREBRO LÄN</t>
        </is>
      </c>
      <c r="E226" t="inlineStr">
        <is>
          <t>ÖREBRO</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2596-2022</t>
        </is>
      </c>
      <c r="B227" s="1" t="n">
        <v>44580</v>
      </c>
      <c r="C227" s="1" t="n">
        <v>45992</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13857-2022</t>
        </is>
      </c>
      <c r="B228" s="1" t="n">
        <v>44649</v>
      </c>
      <c r="C228" s="1" t="n">
        <v>45992</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55692-2023</t>
        </is>
      </c>
      <c r="B229" s="1" t="n">
        <v>45239</v>
      </c>
      <c r="C229" s="1" t="n">
        <v>45992</v>
      </c>
      <c r="D229" t="inlineStr">
        <is>
          <t>ÖREBRO LÄN</t>
        </is>
      </c>
      <c r="E229" t="inlineStr">
        <is>
          <t>ÖREBRO</t>
        </is>
      </c>
      <c r="F229" t="inlineStr">
        <is>
          <t>Övriga Aktiebolag</t>
        </is>
      </c>
      <c r="G229" t="n">
        <v>0.4</v>
      </c>
      <c r="H229" t="n">
        <v>0</v>
      </c>
      <c r="I229" t="n">
        <v>0</v>
      </c>
      <c r="J229" t="n">
        <v>0</v>
      </c>
      <c r="K229" t="n">
        <v>0</v>
      </c>
      <c r="L229" t="n">
        <v>0</v>
      </c>
      <c r="M229" t="n">
        <v>0</v>
      </c>
      <c r="N229" t="n">
        <v>0</v>
      </c>
      <c r="O229" t="n">
        <v>0</v>
      </c>
      <c r="P229" t="n">
        <v>0</v>
      </c>
      <c r="Q229" t="n">
        <v>0</v>
      </c>
      <c r="R229" s="2" t="inlineStr"/>
    </row>
    <row r="230" ht="15" customHeight="1">
      <c r="A230" t="inlineStr">
        <is>
          <t>A 27180-2025</t>
        </is>
      </c>
      <c r="B230" s="1" t="n">
        <v>45812.35736111111</v>
      </c>
      <c r="C230" s="1" t="n">
        <v>45992</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27215-2025</t>
        </is>
      </c>
      <c r="B231" s="1" t="n">
        <v>45812.41869212963</v>
      </c>
      <c r="C231" s="1" t="n">
        <v>45992</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27225-2025</t>
        </is>
      </c>
      <c r="B232" s="1" t="n">
        <v>45812.42856481481</v>
      </c>
      <c r="C232" s="1" t="n">
        <v>45992</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27220-2025</t>
        </is>
      </c>
      <c r="B233" s="1" t="n">
        <v>45812.42293981482</v>
      </c>
      <c r="C233" s="1" t="n">
        <v>45992</v>
      </c>
      <c r="D233" t="inlineStr">
        <is>
          <t>ÖREBRO LÄN</t>
        </is>
      </c>
      <c r="E233" t="inlineStr">
        <is>
          <t>ÖREBRO</t>
        </is>
      </c>
      <c r="G233" t="n">
        <v>0.6</v>
      </c>
      <c r="H233" t="n">
        <v>0</v>
      </c>
      <c r="I233" t="n">
        <v>0</v>
      </c>
      <c r="J233" t="n">
        <v>0</v>
      </c>
      <c r="K233" t="n">
        <v>0</v>
      </c>
      <c r="L233" t="n">
        <v>0</v>
      </c>
      <c r="M233" t="n">
        <v>0</v>
      </c>
      <c r="N233" t="n">
        <v>0</v>
      </c>
      <c r="O233" t="n">
        <v>0</v>
      </c>
      <c r="P233" t="n">
        <v>0</v>
      </c>
      <c r="Q233" t="n">
        <v>0</v>
      </c>
      <c r="R233" s="2" t="inlineStr"/>
    </row>
    <row r="234" ht="15" customHeight="1">
      <c r="A234" t="inlineStr">
        <is>
          <t>A 15866-2022</t>
        </is>
      </c>
      <c r="B234" s="1" t="n">
        <v>44664</v>
      </c>
      <c r="C234" s="1" t="n">
        <v>45992</v>
      </c>
      <c r="D234" t="inlineStr">
        <is>
          <t>ÖREBRO LÄN</t>
        </is>
      </c>
      <c r="E234" t="inlineStr">
        <is>
          <t>ÖREBRO</t>
        </is>
      </c>
      <c r="G234" t="n">
        <v>4</v>
      </c>
      <c r="H234" t="n">
        <v>0</v>
      </c>
      <c r="I234" t="n">
        <v>0</v>
      </c>
      <c r="J234" t="n">
        <v>0</v>
      </c>
      <c r="K234" t="n">
        <v>0</v>
      </c>
      <c r="L234" t="n">
        <v>0</v>
      </c>
      <c r="M234" t="n">
        <v>0</v>
      </c>
      <c r="N234" t="n">
        <v>0</v>
      </c>
      <c r="O234" t="n">
        <v>0</v>
      </c>
      <c r="P234" t="n">
        <v>0</v>
      </c>
      <c r="Q234" t="n">
        <v>0</v>
      </c>
      <c r="R234" s="2" t="inlineStr"/>
    </row>
    <row r="235" ht="15" customHeight="1">
      <c r="A235" t="inlineStr">
        <is>
          <t>A 28120-2025</t>
        </is>
      </c>
      <c r="B235" s="1" t="n">
        <v>45818.30459490741</v>
      </c>
      <c r="C235" s="1" t="n">
        <v>45992</v>
      </c>
      <c r="D235" t="inlineStr">
        <is>
          <t>ÖREBRO LÄN</t>
        </is>
      </c>
      <c r="E235" t="inlineStr">
        <is>
          <t>ÖREBRO</t>
        </is>
      </c>
      <c r="G235" t="n">
        <v>1.5</v>
      </c>
      <c r="H235" t="n">
        <v>0</v>
      </c>
      <c r="I235" t="n">
        <v>0</v>
      </c>
      <c r="J235" t="n">
        <v>0</v>
      </c>
      <c r="K235" t="n">
        <v>0</v>
      </c>
      <c r="L235" t="n">
        <v>0</v>
      </c>
      <c r="M235" t="n">
        <v>0</v>
      </c>
      <c r="N235" t="n">
        <v>0</v>
      </c>
      <c r="O235" t="n">
        <v>0</v>
      </c>
      <c r="P235" t="n">
        <v>0</v>
      </c>
      <c r="Q235" t="n">
        <v>0</v>
      </c>
      <c r="R235" s="2" t="inlineStr"/>
    </row>
    <row r="236" ht="15" customHeight="1">
      <c r="A236" t="inlineStr">
        <is>
          <t>A 28054-2022</t>
        </is>
      </c>
      <c r="B236" s="1" t="n">
        <v>44746.41938657407</v>
      </c>
      <c r="C236" s="1" t="n">
        <v>45992</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41412-2025</t>
        </is>
      </c>
      <c r="B237" s="1" t="n">
        <v>45901.3549537037</v>
      </c>
      <c r="C237" s="1" t="n">
        <v>45992</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541-2025</t>
        </is>
      </c>
      <c r="B238" s="1" t="n">
        <v>45664.52034722222</v>
      </c>
      <c r="C238" s="1" t="n">
        <v>45992</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53143-2023</t>
        </is>
      </c>
      <c r="B239" s="1" t="n">
        <v>45229</v>
      </c>
      <c r="C239" s="1" t="n">
        <v>45992</v>
      </c>
      <c r="D239" t="inlineStr">
        <is>
          <t>ÖREBRO LÄN</t>
        </is>
      </c>
      <c r="E239" t="inlineStr">
        <is>
          <t>ÖREBRO</t>
        </is>
      </c>
      <c r="G239" t="n">
        <v>3.3</v>
      </c>
      <c r="H239" t="n">
        <v>0</v>
      </c>
      <c r="I239" t="n">
        <v>0</v>
      </c>
      <c r="J239" t="n">
        <v>0</v>
      </c>
      <c r="K239" t="n">
        <v>0</v>
      </c>
      <c r="L239" t="n">
        <v>0</v>
      </c>
      <c r="M239" t="n">
        <v>0</v>
      </c>
      <c r="N239" t="n">
        <v>0</v>
      </c>
      <c r="O239" t="n">
        <v>0</v>
      </c>
      <c r="P239" t="n">
        <v>0</v>
      </c>
      <c r="Q239" t="n">
        <v>0</v>
      </c>
      <c r="R239" s="2" t="inlineStr"/>
    </row>
    <row r="240" ht="15" customHeight="1">
      <c r="A240" t="inlineStr">
        <is>
          <t>A 28938-2025</t>
        </is>
      </c>
      <c r="B240" s="1" t="n">
        <v>45820.70626157407</v>
      </c>
      <c r="C240" s="1" t="n">
        <v>45992</v>
      </c>
      <c r="D240" t="inlineStr">
        <is>
          <t>ÖREBRO LÄN</t>
        </is>
      </c>
      <c r="E240" t="inlineStr">
        <is>
          <t>ÖREBRO</t>
        </is>
      </c>
      <c r="G240" t="n">
        <v>1.9</v>
      </c>
      <c r="H240" t="n">
        <v>0</v>
      </c>
      <c r="I240" t="n">
        <v>0</v>
      </c>
      <c r="J240" t="n">
        <v>0</v>
      </c>
      <c r="K240" t="n">
        <v>0</v>
      </c>
      <c r="L240" t="n">
        <v>0</v>
      </c>
      <c r="M240" t="n">
        <v>0</v>
      </c>
      <c r="N240" t="n">
        <v>0</v>
      </c>
      <c r="O240" t="n">
        <v>0</v>
      </c>
      <c r="P240" t="n">
        <v>0</v>
      </c>
      <c r="Q240" t="n">
        <v>0</v>
      </c>
      <c r="R240" s="2" t="inlineStr"/>
    </row>
    <row r="241" ht="15" customHeight="1">
      <c r="A241" t="inlineStr">
        <is>
          <t>A 25407-2021</t>
        </is>
      </c>
      <c r="B241" s="1" t="n">
        <v>44342</v>
      </c>
      <c r="C241" s="1" t="n">
        <v>45992</v>
      </c>
      <c r="D241" t="inlineStr">
        <is>
          <t>ÖREBRO LÄN</t>
        </is>
      </c>
      <c r="E241" t="inlineStr">
        <is>
          <t>ÖREBRO</t>
        </is>
      </c>
      <c r="F241" t="inlineStr">
        <is>
          <t>Kommuner</t>
        </is>
      </c>
      <c r="G241" t="n">
        <v>7.2</v>
      </c>
      <c r="H241" t="n">
        <v>0</v>
      </c>
      <c r="I241" t="n">
        <v>0</v>
      </c>
      <c r="J241" t="n">
        <v>0</v>
      </c>
      <c r="K241" t="n">
        <v>0</v>
      </c>
      <c r="L241" t="n">
        <v>0</v>
      </c>
      <c r="M241" t="n">
        <v>0</v>
      </c>
      <c r="N241" t="n">
        <v>0</v>
      </c>
      <c r="O241" t="n">
        <v>0</v>
      </c>
      <c r="P241" t="n">
        <v>0</v>
      </c>
      <c r="Q241" t="n">
        <v>0</v>
      </c>
      <c r="R241" s="2" t="inlineStr"/>
    </row>
    <row r="242" ht="15" customHeight="1">
      <c r="A242" t="inlineStr">
        <is>
          <t>A 41669-2025</t>
        </is>
      </c>
      <c r="B242" s="1" t="n">
        <v>45902.36149305556</v>
      </c>
      <c r="C242" s="1" t="n">
        <v>45992</v>
      </c>
      <c r="D242" t="inlineStr">
        <is>
          <t>ÖREBRO LÄN</t>
        </is>
      </c>
      <c r="E242" t="inlineStr">
        <is>
          <t>ÖREBRO</t>
        </is>
      </c>
      <c r="G242" t="n">
        <v>2.8</v>
      </c>
      <c r="H242" t="n">
        <v>0</v>
      </c>
      <c r="I242" t="n">
        <v>0</v>
      </c>
      <c r="J242" t="n">
        <v>0</v>
      </c>
      <c r="K242" t="n">
        <v>0</v>
      </c>
      <c r="L242" t="n">
        <v>0</v>
      </c>
      <c r="M242" t="n">
        <v>0</v>
      </c>
      <c r="N242" t="n">
        <v>0</v>
      </c>
      <c r="O242" t="n">
        <v>0</v>
      </c>
      <c r="P242" t="n">
        <v>0</v>
      </c>
      <c r="Q242" t="n">
        <v>0</v>
      </c>
      <c r="R242" s="2" t="inlineStr"/>
    </row>
    <row r="243" ht="15" customHeight="1">
      <c r="A243" t="inlineStr">
        <is>
          <t>A 28920-2025</t>
        </is>
      </c>
      <c r="B243" s="1" t="n">
        <v>45820.66532407407</v>
      </c>
      <c r="C243" s="1" t="n">
        <v>45992</v>
      </c>
      <c r="D243" t="inlineStr">
        <is>
          <t>ÖREBRO LÄN</t>
        </is>
      </c>
      <c r="E243" t="inlineStr">
        <is>
          <t>ÖREBRO</t>
        </is>
      </c>
      <c r="G243" t="n">
        <v>3</v>
      </c>
      <c r="H243" t="n">
        <v>0</v>
      </c>
      <c r="I243" t="n">
        <v>0</v>
      </c>
      <c r="J243" t="n">
        <v>0</v>
      </c>
      <c r="K243" t="n">
        <v>0</v>
      </c>
      <c r="L243" t="n">
        <v>0</v>
      </c>
      <c r="M243" t="n">
        <v>0</v>
      </c>
      <c r="N243" t="n">
        <v>0</v>
      </c>
      <c r="O243" t="n">
        <v>0</v>
      </c>
      <c r="P243" t="n">
        <v>0</v>
      </c>
      <c r="Q243" t="n">
        <v>0</v>
      </c>
      <c r="R243" s="2" t="inlineStr"/>
    </row>
    <row r="244" ht="15" customHeight="1">
      <c r="A244" t="inlineStr">
        <is>
          <t>A 29339-2025</t>
        </is>
      </c>
      <c r="B244" s="1" t="n">
        <v>45824.5044212963</v>
      </c>
      <c r="C244" s="1" t="n">
        <v>45992</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60059-2023</t>
        </is>
      </c>
      <c r="B245" s="1" t="n">
        <v>45258.38157407408</v>
      </c>
      <c r="C245" s="1" t="n">
        <v>45992</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26858-2024</t>
        </is>
      </c>
      <c r="B246" s="1" t="n">
        <v>45470</v>
      </c>
      <c r="C246" s="1" t="n">
        <v>45992</v>
      </c>
      <c r="D246" t="inlineStr">
        <is>
          <t>ÖREBRO LÄN</t>
        </is>
      </c>
      <c r="E246" t="inlineStr">
        <is>
          <t>ÖREBRO</t>
        </is>
      </c>
      <c r="G246" t="n">
        <v>2.3</v>
      </c>
      <c r="H246" t="n">
        <v>0</v>
      </c>
      <c r="I246" t="n">
        <v>0</v>
      </c>
      <c r="J246" t="n">
        <v>0</v>
      </c>
      <c r="K246" t="n">
        <v>0</v>
      </c>
      <c r="L246" t="n">
        <v>0</v>
      </c>
      <c r="M246" t="n">
        <v>0</v>
      </c>
      <c r="N246" t="n">
        <v>0</v>
      </c>
      <c r="O246" t="n">
        <v>0</v>
      </c>
      <c r="P246" t="n">
        <v>0</v>
      </c>
      <c r="Q246" t="n">
        <v>0</v>
      </c>
      <c r="R246" s="2" t="inlineStr"/>
    </row>
    <row r="247" ht="15" customHeight="1">
      <c r="A247" t="inlineStr">
        <is>
          <t>A 29701-2025</t>
        </is>
      </c>
      <c r="B247" s="1" t="n">
        <v>45825.55261574074</v>
      </c>
      <c r="C247" s="1" t="n">
        <v>45992</v>
      </c>
      <c r="D247" t="inlineStr">
        <is>
          <t>ÖREBRO LÄN</t>
        </is>
      </c>
      <c r="E247" t="inlineStr">
        <is>
          <t>ÖREBRO</t>
        </is>
      </c>
      <c r="G247" t="n">
        <v>5.8</v>
      </c>
      <c r="H247" t="n">
        <v>0</v>
      </c>
      <c r="I247" t="n">
        <v>0</v>
      </c>
      <c r="J247" t="n">
        <v>0</v>
      </c>
      <c r="K247" t="n">
        <v>0</v>
      </c>
      <c r="L247" t="n">
        <v>0</v>
      </c>
      <c r="M247" t="n">
        <v>0</v>
      </c>
      <c r="N247" t="n">
        <v>0</v>
      </c>
      <c r="O247" t="n">
        <v>0</v>
      </c>
      <c r="P247" t="n">
        <v>0</v>
      </c>
      <c r="Q247" t="n">
        <v>0</v>
      </c>
      <c r="R247" s="2" t="inlineStr"/>
    </row>
    <row r="248" ht="15" customHeight="1">
      <c r="A248" t="inlineStr">
        <is>
          <t>A 45027-2024</t>
        </is>
      </c>
      <c r="B248" s="1" t="n">
        <v>45575</v>
      </c>
      <c r="C248" s="1" t="n">
        <v>45992</v>
      </c>
      <c r="D248" t="inlineStr">
        <is>
          <t>ÖREBRO LÄN</t>
        </is>
      </c>
      <c r="E248" t="inlineStr">
        <is>
          <t>ÖREBRO</t>
        </is>
      </c>
      <c r="G248" t="n">
        <v>6.3</v>
      </c>
      <c r="H248" t="n">
        <v>0</v>
      </c>
      <c r="I248" t="n">
        <v>0</v>
      </c>
      <c r="J248" t="n">
        <v>0</v>
      </c>
      <c r="K248" t="n">
        <v>0</v>
      </c>
      <c r="L248" t="n">
        <v>0</v>
      </c>
      <c r="M248" t="n">
        <v>0</v>
      </c>
      <c r="N248" t="n">
        <v>0</v>
      </c>
      <c r="O248" t="n">
        <v>0</v>
      </c>
      <c r="P248" t="n">
        <v>0</v>
      </c>
      <c r="Q248" t="n">
        <v>0</v>
      </c>
      <c r="R248" s="2" t="inlineStr"/>
    </row>
    <row r="249" ht="15" customHeight="1">
      <c r="A249" t="inlineStr">
        <is>
          <t>A 29286-2025</t>
        </is>
      </c>
      <c r="B249" s="1" t="n">
        <v>45824.43502314815</v>
      </c>
      <c r="C249" s="1" t="n">
        <v>45992</v>
      </c>
      <c r="D249" t="inlineStr">
        <is>
          <t>ÖREBRO LÄN</t>
        </is>
      </c>
      <c r="E249" t="inlineStr">
        <is>
          <t>ÖREBRO</t>
        </is>
      </c>
      <c r="G249" t="n">
        <v>1.2</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45992</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52391-2024</t>
        </is>
      </c>
      <c r="B251" s="1" t="n">
        <v>45609.43180555556</v>
      </c>
      <c r="C251" s="1" t="n">
        <v>45992</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52401-2024</t>
        </is>
      </c>
      <c r="B252" s="1" t="n">
        <v>45609.44553240741</v>
      </c>
      <c r="C252" s="1" t="n">
        <v>45992</v>
      </c>
      <c r="D252" t="inlineStr">
        <is>
          <t>ÖREBRO LÄN</t>
        </is>
      </c>
      <c r="E252" t="inlineStr">
        <is>
          <t>ÖREBRO</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26338-2021</t>
        </is>
      </c>
      <c r="B253" s="1" t="n">
        <v>44347</v>
      </c>
      <c r="C253" s="1" t="n">
        <v>45992</v>
      </c>
      <c r="D253" t="inlineStr">
        <is>
          <t>ÖREBRO LÄN</t>
        </is>
      </c>
      <c r="E253" t="inlineStr">
        <is>
          <t>ÖREBRO</t>
        </is>
      </c>
      <c r="G253" t="n">
        <v>0.5</v>
      </c>
      <c r="H253" t="n">
        <v>0</v>
      </c>
      <c r="I253" t="n">
        <v>0</v>
      </c>
      <c r="J253" t="n">
        <v>0</v>
      </c>
      <c r="K253" t="n">
        <v>0</v>
      </c>
      <c r="L253" t="n">
        <v>0</v>
      </c>
      <c r="M253" t="n">
        <v>0</v>
      </c>
      <c r="N253" t="n">
        <v>0</v>
      </c>
      <c r="O253" t="n">
        <v>0</v>
      </c>
      <c r="P253" t="n">
        <v>0</v>
      </c>
      <c r="Q253" t="n">
        <v>0</v>
      </c>
      <c r="R253" s="2" t="inlineStr"/>
    </row>
    <row r="254" ht="15" customHeight="1">
      <c r="A254" t="inlineStr">
        <is>
          <t>A 30550-2025</t>
        </is>
      </c>
      <c r="B254" s="1" t="n">
        <v>45831.38224537037</v>
      </c>
      <c r="C254" s="1" t="n">
        <v>45992</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30731-2025</t>
        </is>
      </c>
      <c r="B255" s="1" t="n">
        <v>45831.57280092593</v>
      </c>
      <c r="C255" s="1" t="n">
        <v>45992</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53234-2023</t>
        </is>
      </c>
      <c r="B256" s="1" t="n">
        <v>45229</v>
      </c>
      <c r="C256" s="1" t="n">
        <v>45992</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59757-2023</t>
        </is>
      </c>
      <c r="B257" s="1" t="n">
        <v>45257.40833333333</v>
      </c>
      <c r="C257" s="1" t="n">
        <v>45992</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51249-2025</t>
        </is>
      </c>
      <c r="B258" s="1" t="n">
        <v>45948.45704861111</v>
      </c>
      <c r="C258" s="1" t="n">
        <v>45992</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11067-2025</t>
        </is>
      </c>
      <c r="B259" s="1" t="n">
        <v>45723</v>
      </c>
      <c r="C259" s="1" t="n">
        <v>45992</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51248-2025</t>
        </is>
      </c>
      <c r="B260" s="1" t="n">
        <v>45948.450625</v>
      </c>
      <c r="C260" s="1" t="n">
        <v>45992</v>
      </c>
      <c r="D260" t="inlineStr">
        <is>
          <t>ÖREBRO LÄN</t>
        </is>
      </c>
      <c r="E260" t="inlineStr">
        <is>
          <t>ÖREBRO</t>
        </is>
      </c>
      <c r="G260" t="n">
        <v>4.4</v>
      </c>
      <c r="H260" t="n">
        <v>0</v>
      </c>
      <c r="I260" t="n">
        <v>0</v>
      </c>
      <c r="J260" t="n">
        <v>0</v>
      </c>
      <c r="K260" t="n">
        <v>0</v>
      </c>
      <c r="L260" t="n">
        <v>0</v>
      </c>
      <c r="M260" t="n">
        <v>0</v>
      </c>
      <c r="N260" t="n">
        <v>0</v>
      </c>
      <c r="O260" t="n">
        <v>0</v>
      </c>
      <c r="P260" t="n">
        <v>0</v>
      </c>
      <c r="Q260" t="n">
        <v>0</v>
      </c>
      <c r="R260" s="2" t="inlineStr"/>
    </row>
    <row r="261" ht="15" customHeight="1">
      <c r="A261" t="inlineStr">
        <is>
          <t>A 31232-2025</t>
        </is>
      </c>
      <c r="B261" s="1" t="n">
        <v>45832.8252199074</v>
      </c>
      <c r="C261" s="1" t="n">
        <v>45992</v>
      </c>
      <c r="D261" t="inlineStr">
        <is>
          <t>ÖREBRO LÄN</t>
        </is>
      </c>
      <c r="E261" t="inlineStr">
        <is>
          <t>ÖREBRO</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30951-2025</t>
        </is>
      </c>
      <c r="B262" s="1" t="n">
        <v>45832.43225694444</v>
      </c>
      <c r="C262" s="1" t="n">
        <v>45992</v>
      </c>
      <c r="D262" t="inlineStr">
        <is>
          <t>ÖREBRO LÄN</t>
        </is>
      </c>
      <c r="E262" t="inlineStr">
        <is>
          <t>ÖREBRO</t>
        </is>
      </c>
      <c r="F262" t="inlineStr">
        <is>
          <t>Övriga Aktiebolag</t>
        </is>
      </c>
      <c r="G262" t="n">
        <v>2.3</v>
      </c>
      <c r="H262" t="n">
        <v>0</v>
      </c>
      <c r="I262" t="n">
        <v>0</v>
      </c>
      <c r="J262" t="n">
        <v>0</v>
      </c>
      <c r="K262" t="n">
        <v>0</v>
      </c>
      <c r="L262" t="n">
        <v>0</v>
      </c>
      <c r="M262" t="n">
        <v>0</v>
      </c>
      <c r="N262" t="n">
        <v>0</v>
      </c>
      <c r="O262" t="n">
        <v>0</v>
      </c>
      <c r="P262" t="n">
        <v>0</v>
      </c>
      <c r="Q262" t="n">
        <v>0</v>
      </c>
      <c r="R262" s="2" t="inlineStr"/>
    </row>
    <row r="263" ht="15" customHeight="1">
      <c r="A263" t="inlineStr">
        <is>
          <t>A 3659-2025</t>
        </is>
      </c>
      <c r="B263" s="1" t="n">
        <v>45681</v>
      </c>
      <c r="C263" s="1" t="n">
        <v>45992</v>
      </c>
      <c r="D263" t="inlineStr">
        <is>
          <t>ÖREBRO LÄN</t>
        </is>
      </c>
      <c r="E263" t="inlineStr">
        <is>
          <t>ÖREBRO</t>
        </is>
      </c>
      <c r="G263" t="n">
        <v>15.8</v>
      </c>
      <c r="H263" t="n">
        <v>0</v>
      </c>
      <c r="I263" t="n">
        <v>0</v>
      </c>
      <c r="J263" t="n">
        <v>0</v>
      </c>
      <c r="K263" t="n">
        <v>0</v>
      </c>
      <c r="L263" t="n">
        <v>0</v>
      </c>
      <c r="M263" t="n">
        <v>0</v>
      </c>
      <c r="N263" t="n">
        <v>0</v>
      </c>
      <c r="O263" t="n">
        <v>0</v>
      </c>
      <c r="P263" t="n">
        <v>0</v>
      </c>
      <c r="Q263" t="n">
        <v>0</v>
      </c>
      <c r="R263" s="2" t="inlineStr"/>
    </row>
    <row r="264" ht="15" customHeight="1">
      <c r="A264" t="inlineStr">
        <is>
          <t>A 31233-2025</t>
        </is>
      </c>
      <c r="B264" s="1" t="n">
        <v>45832.83341435185</v>
      </c>
      <c r="C264" s="1" t="n">
        <v>45992</v>
      </c>
      <c r="D264" t="inlineStr">
        <is>
          <t>ÖREBRO LÄN</t>
        </is>
      </c>
      <c r="E264" t="inlineStr">
        <is>
          <t>ÖREBRO</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13347-2023</t>
        </is>
      </c>
      <c r="B265" s="1" t="n">
        <v>45004</v>
      </c>
      <c r="C265" s="1" t="n">
        <v>45992</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31237-2025</t>
        </is>
      </c>
      <c r="B266" s="1" t="n">
        <v>45832.84313657408</v>
      </c>
      <c r="C266" s="1" t="n">
        <v>45992</v>
      </c>
      <c r="D266" t="inlineStr">
        <is>
          <t>ÖREBRO LÄN</t>
        </is>
      </c>
      <c r="E266" t="inlineStr">
        <is>
          <t>ÖREBRO</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6752-2022</t>
        </is>
      </c>
      <c r="B267" s="1" t="n">
        <v>44602.48082175926</v>
      </c>
      <c r="C267" s="1" t="n">
        <v>45992</v>
      </c>
      <c r="D267" t="inlineStr">
        <is>
          <t>ÖREBRO LÄN</t>
        </is>
      </c>
      <c r="E267" t="inlineStr">
        <is>
          <t>ÖREBRO</t>
        </is>
      </c>
      <c r="G267" t="n">
        <v>3.1</v>
      </c>
      <c r="H267" t="n">
        <v>0</v>
      </c>
      <c r="I267" t="n">
        <v>0</v>
      </c>
      <c r="J267" t="n">
        <v>0</v>
      </c>
      <c r="K267" t="n">
        <v>0</v>
      </c>
      <c r="L267" t="n">
        <v>0</v>
      </c>
      <c r="M267" t="n">
        <v>0</v>
      </c>
      <c r="N267" t="n">
        <v>0</v>
      </c>
      <c r="O267" t="n">
        <v>0</v>
      </c>
      <c r="P267" t="n">
        <v>0</v>
      </c>
      <c r="Q267" t="n">
        <v>0</v>
      </c>
      <c r="R267" s="2" t="inlineStr"/>
    </row>
    <row r="268" ht="15" customHeight="1">
      <c r="A268" t="inlineStr">
        <is>
          <t>A 31066-2025</t>
        </is>
      </c>
      <c r="B268" s="1" t="n">
        <v>45832</v>
      </c>
      <c r="C268" s="1" t="n">
        <v>45992</v>
      </c>
      <c r="D268" t="inlineStr">
        <is>
          <t>ÖREBRO LÄN</t>
        </is>
      </c>
      <c r="E268" t="inlineStr">
        <is>
          <t>ÖREBRO</t>
        </is>
      </c>
      <c r="G268" t="n">
        <v>11.1</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45992</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52135-2025</t>
        </is>
      </c>
      <c r="B270" s="1" t="n">
        <v>45952.84231481481</v>
      </c>
      <c r="C270" s="1" t="n">
        <v>45992</v>
      </c>
      <c r="D270" t="inlineStr">
        <is>
          <t>ÖREBRO LÄN</t>
        </is>
      </c>
      <c r="E270" t="inlineStr">
        <is>
          <t>ÖREBRO</t>
        </is>
      </c>
      <c r="G270" t="n">
        <v>4</v>
      </c>
      <c r="H270" t="n">
        <v>0</v>
      </c>
      <c r="I270" t="n">
        <v>0</v>
      </c>
      <c r="J270" t="n">
        <v>0</v>
      </c>
      <c r="K270" t="n">
        <v>0</v>
      </c>
      <c r="L270" t="n">
        <v>0</v>
      </c>
      <c r="M270" t="n">
        <v>0</v>
      </c>
      <c r="N270" t="n">
        <v>0</v>
      </c>
      <c r="O270" t="n">
        <v>0</v>
      </c>
      <c r="P270" t="n">
        <v>0</v>
      </c>
      <c r="Q270" t="n">
        <v>0</v>
      </c>
      <c r="R270" s="2" t="inlineStr"/>
    </row>
    <row r="271" ht="15" customHeight="1">
      <c r="A271" t="inlineStr">
        <is>
          <t>A 13355-2023</t>
        </is>
      </c>
      <c r="B271" s="1" t="n">
        <v>45004</v>
      </c>
      <c r="C271" s="1" t="n">
        <v>45992</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14544-2023</t>
        </is>
      </c>
      <c r="B272" s="1" t="n">
        <v>45013</v>
      </c>
      <c r="C272" s="1" t="n">
        <v>45992</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71272-2021</t>
        </is>
      </c>
      <c r="B273" s="1" t="n">
        <v>44539.61571759259</v>
      </c>
      <c r="C273" s="1" t="n">
        <v>45992</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32188-2025</t>
        </is>
      </c>
      <c r="B274" s="1" t="n">
        <v>45835.56965277778</v>
      </c>
      <c r="C274" s="1" t="n">
        <v>45992</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32195-2025</t>
        </is>
      </c>
      <c r="B275" s="1" t="n">
        <v>45835.57407407407</v>
      </c>
      <c r="C275" s="1" t="n">
        <v>45992</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51937-2025</t>
        </is>
      </c>
      <c r="B276" s="1" t="n">
        <v>45952.51270833334</v>
      </c>
      <c r="C276" s="1" t="n">
        <v>45992</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32218-2025</t>
        </is>
      </c>
      <c r="B277" s="1" t="n">
        <v>45835.58880787037</v>
      </c>
      <c r="C277" s="1" t="n">
        <v>45992</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32904-2025</t>
        </is>
      </c>
      <c r="B278" s="1" t="n">
        <v>45839</v>
      </c>
      <c r="C278" s="1" t="n">
        <v>45992</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3120-2022</t>
        </is>
      </c>
      <c r="B279" s="1" t="n">
        <v>44582</v>
      </c>
      <c r="C279" s="1" t="n">
        <v>45992</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19388-2024</t>
        </is>
      </c>
      <c r="B280" s="1" t="n">
        <v>45429.37775462963</v>
      </c>
      <c r="C280" s="1" t="n">
        <v>45992</v>
      </c>
      <c r="D280" t="inlineStr">
        <is>
          <t>ÖREBRO LÄN</t>
        </is>
      </c>
      <c r="E280" t="inlineStr">
        <is>
          <t>ÖREBRO</t>
        </is>
      </c>
      <c r="G280" t="n">
        <v>4.3</v>
      </c>
      <c r="H280" t="n">
        <v>0</v>
      </c>
      <c r="I280" t="n">
        <v>0</v>
      </c>
      <c r="J280" t="n">
        <v>0</v>
      </c>
      <c r="K280" t="n">
        <v>0</v>
      </c>
      <c r="L280" t="n">
        <v>0</v>
      </c>
      <c r="M280" t="n">
        <v>0</v>
      </c>
      <c r="N280" t="n">
        <v>0</v>
      </c>
      <c r="O280" t="n">
        <v>0</v>
      </c>
      <c r="P280" t="n">
        <v>0</v>
      </c>
      <c r="Q280" t="n">
        <v>0</v>
      </c>
      <c r="R280" s="2" t="inlineStr"/>
    </row>
    <row r="281" ht="15" customHeight="1">
      <c r="A281" t="inlineStr">
        <is>
          <t>A 32426-2025</t>
        </is>
      </c>
      <c r="B281" s="1" t="n">
        <v>45838.36179398148</v>
      </c>
      <c r="C281" s="1" t="n">
        <v>45992</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51923-2025</t>
        </is>
      </c>
      <c r="B282" s="1" t="n">
        <v>45952.49300925926</v>
      </c>
      <c r="C282" s="1" t="n">
        <v>45992</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51925-2025</t>
        </is>
      </c>
      <c r="B283" s="1" t="n">
        <v>45952.49476851852</v>
      </c>
      <c r="C283" s="1" t="n">
        <v>45992</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40597-2021</t>
        </is>
      </c>
      <c r="B284" s="1" t="n">
        <v>44420</v>
      </c>
      <c r="C284" s="1" t="n">
        <v>45992</v>
      </c>
      <c r="D284" t="inlineStr">
        <is>
          <t>ÖREBRO LÄN</t>
        </is>
      </c>
      <c r="E284" t="inlineStr">
        <is>
          <t>ÖREBRO</t>
        </is>
      </c>
      <c r="G284" t="n">
        <v>2.1</v>
      </c>
      <c r="H284" t="n">
        <v>0</v>
      </c>
      <c r="I284" t="n">
        <v>0</v>
      </c>
      <c r="J284" t="n">
        <v>0</v>
      </c>
      <c r="K284" t="n">
        <v>0</v>
      </c>
      <c r="L284" t="n">
        <v>0</v>
      </c>
      <c r="M284" t="n">
        <v>0</v>
      </c>
      <c r="N284" t="n">
        <v>0</v>
      </c>
      <c r="O284" t="n">
        <v>0</v>
      </c>
      <c r="P284" t="n">
        <v>0</v>
      </c>
      <c r="Q284" t="n">
        <v>0</v>
      </c>
      <c r="R284" s="2" t="inlineStr"/>
    </row>
    <row r="285" ht="15" customHeight="1">
      <c r="A285" t="inlineStr">
        <is>
          <t>A 33191-2025</t>
        </is>
      </c>
      <c r="B285" s="1" t="n">
        <v>45840.6003587963</v>
      </c>
      <c r="C285" s="1" t="n">
        <v>45992</v>
      </c>
      <c r="D285" t="inlineStr">
        <is>
          <t>ÖREBRO LÄN</t>
        </is>
      </c>
      <c r="E285" t="inlineStr">
        <is>
          <t>ÖREBRO</t>
        </is>
      </c>
      <c r="G285" t="n">
        <v>2.6</v>
      </c>
      <c r="H285" t="n">
        <v>0</v>
      </c>
      <c r="I285" t="n">
        <v>0</v>
      </c>
      <c r="J285" t="n">
        <v>0</v>
      </c>
      <c r="K285" t="n">
        <v>0</v>
      </c>
      <c r="L285" t="n">
        <v>0</v>
      </c>
      <c r="M285" t="n">
        <v>0</v>
      </c>
      <c r="N285" t="n">
        <v>0</v>
      </c>
      <c r="O285" t="n">
        <v>0</v>
      </c>
      <c r="P285" t="n">
        <v>0</v>
      </c>
      <c r="Q285" t="n">
        <v>0</v>
      </c>
      <c r="R285" s="2" t="inlineStr"/>
    </row>
    <row r="286" ht="15" customHeight="1">
      <c r="A286" t="inlineStr">
        <is>
          <t>A 2318-2023</t>
        </is>
      </c>
      <c r="B286" s="1" t="n">
        <v>44942</v>
      </c>
      <c r="C286" s="1" t="n">
        <v>45992</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52382-2025</t>
        </is>
      </c>
      <c r="B287" s="1" t="n">
        <v>45953.9559837963</v>
      </c>
      <c r="C287" s="1" t="n">
        <v>45992</v>
      </c>
      <c r="D287" t="inlineStr">
        <is>
          <t>ÖREBRO LÄN</t>
        </is>
      </c>
      <c r="E287" t="inlineStr">
        <is>
          <t>ÖREBRO</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20121-2024</t>
        </is>
      </c>
      <c r="B288" s="1" t="n">
        <v>45434</v>
      </c>
      <c r="C288" s="1" t="n">
        <v>45992</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20150-2024</t>
        </is>
      </c>
      <c r="B289" s="1" t="n">
        <v>45434.57969907407</v>
      </c>
      <c r="C289" s="1" t="n">
        <v>45992</v>
      </c>
      <c r="D289" t="inlineStr">
        <is>
          <t>ÖREBRO LÄN</t>
        </is>
      </c>
      <c r="E289" t="inlineStr">
        <is>
          <t>ÖREBRO</t>
        </is>
      </c>
      <c r="G289" t="n">
        <v>0.5</v>
      </c>
      <c r="H289" t="n">
        <v>0</v>
      </c>
      <c r="I289" t="n">
        <v>0</v>
      </c>
      <c r="J289" t="n">
        <v>0</v>
      </c>
      <c r="K289" t="n">
        <v>0</v>
      </c>
      <c r="L289" t="n">
        <v>0</v>
      </c>
      <c r="M289" t="n">
        <v>0</v>
      </c>
      <c r="N289" t="n">
        <v>0</v>
      </c>
      <c r="O289" t="n">
        <v>0</v>
      </c>
      <c r="P289" t="n">
        <v>0</v>
      </c>
      <c r="Q289" t="n">
        <v>0</v>
      </c>
      <c r="R289" s="2" t="inlineStr"/>
    </row>
    <row r="290" ht="15" customHeight="1">
      <c r="A290" t="inlineStr">
        <is>
          <t>A 30743-2025</t>
        </is>
      </c>
      <c r="B290" s="1" t="n">
        <v>45831</v>
      </c>
      <c r="C290" s="1" t="n">
        <v>45992</v>
      </c>
      <c r="D290" t="inlineStr">
        <is>
          <t>ÖREBRO LÄN</t>
        </is>
      </c>
      <c r="E290" t="inlineStr">
        <is>
          <t>ÖREBRO</t>
        </is>
      </c>
      <c r="G290" t="n">
        <v>2.9</v>
      </c>
      <c r="H290" t="n">
        <v>0</v>
      </c>
      <c r="I290" t="n">
        <v>0</v>
      </c>
      <c r="J290" t="n">
        <v>0</v>
      </c>
      <c r="K290" t="n">
        <v>0</v>
      </c>
      <c r="L290" t="n">
        <v>0</v>
      </c>
      <c r="M290" t="n">
        <v>0</v>
      </c>
      <c r="N290" t="n">
        <v>0</v>
      </c>
      <c r="O290" t="n">
        <v>0</v>
      </c>
      <c r="P290" t="n">
        <v>0</v>
      </c>
      <c r="Q290" t="n">
        <v>0</v>
      </c>
      <c r="R290" s="2" t="inlineStr"/>
    </row>
    <row r="291" ht="15" customHeight="1">
      <c r="A291" t="inlineStr">
        <is>
          <t>A 767-2024</t>
        </is>
      </c>
      <c r="B291" s="1" t="n">
        <v>45300.51892361111</v>
      </c>
      <c r="C291" s="1" t="n">
        <v>45992</v>
      </c>
      <c r="D291" t="inlineStr">
        <is>
          <t>ÖREBRO LÄN</t>
        </is>
      </c>
      <c r="E291" t="inlineStr">
        <is>
          <t>ÖREBRO</t>
        </is>
      </c>
      <c r="G291" t="n">
        <v>2</v>
      </c>
      <c r="H291" t="n">
        <v>0</v>
      </c>
      <c r="I291" t="n">
        <v>0</v>
      </c>
      <c r="J291" t="n">
        <v>0</v>
      </c>
      <c r="K291" t="n">
        <v>0</v>
      </c>
      <c r="L291" t="n">
        <v>0</v>
      </c>
      <c r="M291" t="n">
        <v>0</v>
      </c>
      <c r="N291" t="n">
        <v>0</v>
      </c>
      <c r="O291" t="n">
        <v>0</v>
      </c>
      <c r="P291" t="n">
        <v>0</v>
      </c>
      <c r="Q291" t="n">
        <v>0</v>
      </c>
      <c r="R291" s="2" t="inlineStr"/>
    </row>
    <row r="292" ht="15" customHeight="1">
      <c r="A292" t="inlineStr">
        <is>
          <t>A 52441-2024</t>
        </is>
      </c>
      <c r="B292" s="1" t="n">
        <v>45609.48451388889</v>
      </c>
      <c r="C292" s="1" t="n">
        <v>45992</v>
      </c>
      <c r="D292" t="inlineStr">
        <is>
          <t>ÖREBRO LÄN</t>
        </is>
      </c>
      <c r="E292" t="inlineStr">
        <is>
          <t>ÖREBRO</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58611-2024</t>
        </is>
      </c>
      <c r="B293" s="1" t="n">
        <v>45635.55555555555</v>
      </c>
      <c r="C293" s="1" t="n">
        <v>45992</v>
      </c>
      <c r="D293" t="inlineStr">
        <is>
          <t>ÖREBRO LÄN</t>
        </is>
      </c>
      <c r="E293" t="inlineStr">
        <is>
          <t>ÖREBRO</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38075-2022</t>
        </is>
      </c>
      <c r="B294" s="1" t="n">
        <v>44811</v>
      </c>
      <c r="C294" s="1" t="n">
        <v>45992</v>
      </c>
      <c r="D294" t="inlineStr">
        <is>
          <t>ÖREBRO LÄN</t>
        </is>
      </c>
      <c r="E294" t="inlineStr">
        <is>
          <t>ÖREBRO</t>
        </is>
      </c>
      <c r="G294" t="n">
        <v>0.2</v>
      </c>
      <c r="H294" t="n">
        <v>0</v>
      </c>
      <c r="I294" t="n">
        <v>0</v>
      </c>
      <c r="J294" t="n">
        <v>0</v>
      </c>
      <c r="K294" t="n">
        <v>0</v>
      </c>
      <c r="L294" t="n">
        <v>0</v>
      </c>
      <c r="M294" t="n">
        <v>0</v>
      </c>
      <c r="N294" t="n">
        <v>0</v>
      </c>
      <c r="O294" t="n">
        <v>0</v>
      </c>
      <c r="P294" t="n">
        <v>0</v>
      </c>
      <c r="Q294" t="n">
        <v>0</v>
      </c>
      <c r="R294" s="2" t="inlineStr"/>
    </row>
    <row r="295" ht="15" customHeight="1">
      <c r="A295" t="inlineStr">
        <is>
          <t>A 19831-2021</t>
        </is>
      </c>
      <c r="B295" s="1" t="n">
        <v>44313</v>
      </c>
      <c r="C295" s="1" t="n">
        <v>45992</v>
      </c>
      <c r="D295" t="inlineStr">
        <is>
          <t>ÖREBRO LÄN</t>
        </is>
      </c>
      <c r="E295" t="inlineStr">
        <is>
          <t>ÖREBRO</t>
        </is>
      </c>
      <c r="G295" t="n">
        <v>3.2</v>
      </c>
      <c r="H295" t="n">
        <v>0</v>
      </c>
      <c r="I295" t="n">
        <v>0</v>
      </c>
      <c r="J295" t="n">
        <v>0</v>
      </c>
      <c r="K295" t="n">
        <v>0</v>
      </c>
      <c r="L295" t="n">
        <v>0</v>
      </c>
      <c r="M295" t="n">
        <v>0</v>
      </c>
      <c r="N295" t="n">
        <v>0</v>
      </c>
      <c r="O295" t="n">
        <v>0</v>
      </c>
      <c r="P295" t="n">
        <v>0</v>
      </c>
      <c r="Q295" t="n">
        <v>0</v>
      </c>
      <c r="R295" s="2" t="inlineStr"/>
    </row>
    <row r="296" ht="15" customHeight="1">
      <c r="A296" t="inlineStr">
        <is>
          <t>A 5133-2024</t>
        </is>
      </c>
      <c r="B296" s="1" t="n">
        <v>45330</v>
      </c>
      <c r="C296" s="1" t="n">
        <v>45992</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58219-2024</t>
        </is>
      </c>
      <c r="B297" s="1" t="n">
        <v>45632</v>
      </c>
      <c r="C297" s="1" t="n">
        <v>45992</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53342-2025</t>
        </is>
      </c>
      <c r="B298" s="1" t="n">
        <v>45959.41769675926</v>
      </c>
      <c r="C298" s="1" t="n">
        <v>45992</v>
      </c>
      <c r="D298" t="inlineStr">
        <is>
          <t>ÖREBRO LÄN</t>
        </is>
      </c>
      <c r="E298" t="inlineStr">
        <is>
          <t>ÖREBRO</t>
        </is>
      </c>
      <c r="G298" t="n">
        <v>4.1</v>
      </c>
      <c r="H298" t="n">
        <v>0</v>
      </c>
      <c r="I298" t="n">
        <v>0</v>
      </c>
      <c r="J298" t="n">
        <v>0</v>
      </c>
      <c r="K298" t="n">
        <v>0</v>
      </c>
      <c r="L298" t="n">
        <v>0</v>
      </c>
      <c r="M298" t="n">
        <v>0</v>
      </c>
      <c r="N298" t="n">
        <v>0</v>
      </c>
      <c r="O298" t="n">
        <v>0</v>
      </c>
      <c r="P298" t="n">
        <v>0</v>
      </c>
      <c r="Q298" t="n">
        <v>0</v>
      </c>
      <c r="R298" s="2" t="inlineStr"/>
    </row>
    <row r="299" ht="15" customHeight="1">
      <c r="A299" t="inlineStr">
        <is>
          <t>A 53350-2025</t>
        </is>
      </c>
      <c r="B299" s="1" t="n">
        <v>45959.43827546296</v>
      </c>
      <c r="C299" s="1" t="n">
        <v>45992</v>
      </c>
      <c r="D299" t="inlineStr">
        <is>
          <t>ÖREBRO LÄN</t>
        </is>
      </c>
      <c r="E299" t="inlineStr">
        <is>
          <t>ÖREBRO</t>
        </is>
      </c>
      <c r="G299" t="n">
        <v>4.1</v>
      </c>
      <c r="H299" t="n">
        <v>0</v>
      </c>
      <c r="I299" t="n">
        <v>0</v>
      </c>
      <c r="J299" t="n">
        <v>0</v>
      </c>
      <c r="K299" t="n">
        <v>0</v>
      </c>
      <c r="L299" t="n">
        <v>0</v>
      </c>
      <c r="M299" t="n">
        <v>0</v>
      </c>
      <c r="N299" t="n">
        <v>0</v>
      </c>
      <c r="O299" t="n">
        <v>0</v>
      </c>
      <c r="P299" t="n">
        <v>0</v>
      </c>
      <c r="Q299" t="n">
        <v>0</v>
      </c>
      <c r="R299" s="2" t="inlineStr"/>
    </row>
    <row r="300" ht="15" customHeight="1">
      <c r="A300" t="inlineStr">
        <is>
          <t>A 48687-2024</t>
        </is>
      </c>
      <c r="B300" s="1" t="n">
        <v>45593.49899305555</v>
      </c>
      <c r="C300" s="1" t="n">
        <v>45992</v>
      </c>
      <c r="D300" t="inlineStr">
        <is>
          <t>ÖREBRO LÄN</t>
        </is>
      </c>
      <c r="E300" t="inlineStr">
        <is>
          <t>ÖREBRO</t>
        </is>
      </c>
      <c r="F300" t="inlineStr">
        <is>
          <t>Övriga Aktiebolag</t>
        </is>
      </c>
      <c r="G300" t="n">
        <v>3.8</v>
      </c>
      <c r="H300" t="n">
        <v>0</v>
      </c>
      <c r="I300" t="n">
        <v>0</v>
      </c>
      <c r="J300" t="n">
        <v>0</v>
      </c>
      <c r="K300" t="n">
        <v>0</v>
      </c>
      <c r="L300" t="n">
        <v>0</v>
      </c>
      <c r="M300" t="n">
        <v>0</v>
      </c>
      <c r="N300" t="n">
        <v>0</v>
      </c>
      <c r="O300" t="n">
        <v>0</v>
      </c>
      <c r="P300" t="n">
        <v>0</v>
      </c>
      <c r="Q300" t="n">
        <v>0</v>
      </c>
      <c r="R300" s="2" t="inlineStr"/>
    </row>
    <row r="301" ht="15" customHeight="1">
      <c r="A301" t="inlineStr">
        <is>
          <t>A 53437-2025</t>
        </is>
      </c>
      <c r="B301" s="1" t="n">
        <v>45959.63440972222</v>
      </c>
      <c r="C301" s="1" t="n">
        <v>45992</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52477-2024</t>
        </is>
      </c>
      <c r="B302" s="1" t="n">
        <v>45609</v>
      </c>
      <c r="C302" s="1" t="n">
        <v>45992</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53343-2025</t>
        </is>
      </c>
      <c r="B303" s="1" t="n">
        <v>45959.42025462963</v>
      </c>
      <c r="C303" s="1" t="n">
        <v>45992</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10368-2021</t>
        </is>
      </c>
      <c r="B304" s="1" t="n">
        <v>44257</v>
      </c>
      <c r="C304" s="1" t="n">
        <v>45992</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53443-2025</t>
        </is>
      </c>
      <c r="B305" s="1" t="n">
        <v>45959.6444675926</v>
      </c>
      <c r="C305" s="1" t="n">
        <v>45992</v>
      </c>
      <c r="D305" t="inlineStr">
        <is>
          <t>ÖREBRO LÄN</t>
        </is>
      </c>
      <c r="E305" t="inlineStr">
        <is>
          <t>ÖREBRO</t>
        </is>
      </c>
      <c r="G305" t="n">
        <v>2.8</v>
      </c>
      <c r="H305" t="n">
        <v>0</v>
      </c>
      <c r="I305" t="n">
        <v>0</v>
      </c>
      <c r="J305" t="n">
        <v>0</v>
      </c>
      <c r="K305" t="n">
        <v>0</v>
      </c>
      <c r="L305" t="n">
        <v>0</v>
      </c>
      <c r="M305" t="n">
        <v>0</v>
      </c>
      <c r="N305" t="n">
        <v>0</v>
      </c>
      <c r="O305" t="n">
        <v>0</v>
      </c>
      <c r="P305" t="n">
        <v>0</v>
      </c>
      <c r="Q305" t="n">
        <v>0</v>
      </c>
      <c r="R305" s="2" t="inlineStr"/>
    </row>
    <row r="306" ht="15" customHeight="1">
      <c r="A306" t="inlineStr">
        <is>
          <t>A 4284-2025</t>
        </is>
      </c>
      <c r="B306" s="1" t="n">
        <v>45685</v>
      </c>
      <c r="C306" s="1" t="n">
        <v>45992</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2771-2023</t>
        </is>
      </c>
      <c r="B307" s="1" t="n">
        <v>44944.64704861111</v>
      </c>
      <c r="C307" s="1" t="n">
        <v>45992</v>
      </c>
      <c r="D307" t="inlineStr">
        <is>
          <t>ÖREBRO LÄN</t>
        </is>
      </c>
      <c r="E307" t="inlineStr">
        <is>
          <t>ÖREBRO</t>
        </is>
      </c>
      <c r="G307" t="n">
        <v>15.4</v>
      </c>
      <c r="H307" t="n">
        <v>0</v>
      </c>
      <c r="I307" t="n">
        <v>0</v>
      </c>
      <c r="J307" t="n">
        <v>0</v>
      </c>
      <c r="K307" t="n">
        <v>0</v>
      </c>
      <c r="L307" t="n">
        <v>0</v>
      </c>
      <c r="M307" t="n">
        <v>0</v>
      </c>
      <c r="N307" t="n">
        <v>0</v>
      </c>
      <c r="O307" t="n">
        <v>0</v>
      </c>
      <c r="P307" t="n">
        <v>0</v>
      </c>
      <c r="Q307" t="n">
        <v>0</v>
      </c>
      <c r="R307" s="2" t="inlineStr"/>
    </row>
    <row r="308" ht="15" customHeight="1">
      <c r="A308" t="inlineStr">
        <is>
          <t>A 2076-2025</t>
        </is>
      </c>
      <c r="B308" s="1" t="n">
        <v>45672</v>
      </c>
      <c r="C308" s="1" t="n">
        <v>45992</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35062-2025</t>
        </is>
      </c>
      <c r="B309" s="1" t="n">
        <v>45852</v>
      </c>
      <c r="C309" s="1" t="n">
        <v>45992</v>
      </c>
      <c r="D309" t="inlineStr">
        <is>
          <t>ÖREBRO LÄN</t>
        </is>
      </c>
      <c r="E309" t="inlineStr">
        <is>
          <t>ÖREBRO</t>
        </is>
      </c>
      <c r="G309" t="n">
        <v>2.8</v>
      </c>
      <c r="H309" t="n">
        <v>0</v>
      </c>
      <c r="I309" t="n">
        <v>0</v>
      </c>
      <c r="J309" t="n">
        <v>0</v>
      </c>
      <c r="K309" t="n">
        <v>0</v>
      </c>
      <c r="L309" t="n">
        <v>0</v>
      </c>
      <c r="M309" t="n">
        <v>0</v>
      </c>
      <c r="N309" t="n">
        <v>0</v>
      </c>
      <c r="O309" t="n">
        <v>0</v>
      </c>
      <c r="P309" t="n">
        <v>0</v>
      </c>
      <c r="Q309" t="n">
        <v>0</v>
      </c>
      <c r="R309" s="2" t="inlineStr"/>
    </row>
    <row r="310" ht="15" customHeight="1">
      <c r="A310" t="inlineStr">
        <is>
          <t>A 53719-2025</t>
        </is>
      </c>
      <c r="B310" s="1" t="n">
        <v>45960.62042824074</v>
      </c>
      <c r="C310" s="1" t="n">
        <v>45992</v>
      </c>
      <c r="D310" t="inlineStr">
        <is>
          <t>ÖREBRO LÄN</t>
        </is>
      </c>
      <c r="E310" t="inlineStr">
        <is>
          <t>ÖREBRO</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44960-2025</t>
        </is>
      </c>
      <c r="B311" s="1" t="n">
        <v>45918.61577546296</v>
      </c>
      <c r="C311" s="1" t="n">
        <v>45992</v>
      </c>
      <c r="D311" t="inlineStr">
        <is>
          <t>ÖREBRO LÄN</t>
        </is>
      </c>
      <c r="E311" t="inlineStr">
        <is>
          <t>ÖREBRO</t>
        </is>
      </c>
      <c r="G311" t="n">
        <v>1.5</v>
      </c>
      <c r="H311" t="n">
        <v>0</v>
      </c>
      <c r="I311" t="n">
        <v>0</v>
      </c>
      <c r="J311" t="n">
        <v>0</v>
      </c>
      <c r="K311" t="n">
        <v>0</v>
      </c>
      <c r="L311" t="n">
        <v>0</v>
      </c>
      <c r="M311" t="n">
        <v>0</v>
      </c>
      <c r="N311" t="n">
        <v>0</v>
      </c>
      <c r="O311" t="n">
        <v>0</v>
      </c>
      <c r="P311" t="n">
        <v>0</v>
      </c>
      <c r="Q311" t="n">
        <v>0</v>
      </c>
      <c r="R311" s="2" t="inlineStr"/>
    </row>
    <row r="312" ht="15" customHeight="1">
      <c r="A312" t="inlineStr">
        <is>
          <t>A 58216-2024</t>
        </is>
      </c>
      <c r="B312" s="1" t="n">
        <v>45632</v>
      </c>
      <c r="C312" s="1" t="n">
        <v>45992</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3763-2025</t>
        </is>
      </c>
      <c r="B313" s="1" t="n">
        <v>45681</v>
      </c>
      <c r="C313" s="1" t="n">
        <v>45992</v>
      </c>
      <c r="D313" t="inlineStr">
        <is>
          <t>ÖREBRO LÄN</t>
        </is>
      </c>
      <c r="E313" t="inlineStr">
        <is>
          <t>ÖREBRO</t>
        </is>
      </c>
      <c r="G313" t="n">
        <v>10.1</v>
      </c>
      <c r="H313" t="n">
        <v>0</v>
      </c>
      <c r="I313" t="n">
        <v>0</v>
      </c>
      <c r="J313" t="n">
        <v>0</v>
      </c>
      <c r="K313" t="n">
        <v>0</v>
      </c>
      <c r="L313" t="n">
        <v>0</v>
      </c>
      <c r="M313" t="n">
        <v>0</v>
      </c>
      <c r="N313" t="n">
        <v>0</v>
      </c>
      <c r="O313" t="n">
        <v>0</v>
      </c>
      <c r="P313" t="n">
        <v>0</v>
      </c>
      <c r="Q313" t="n">
        <v>0</v>
      </c>
      <c r="R313" s="2" t="inlineStr"/>
    </row>
    <row r="314" ht="15" customHeight="1">
      <c r="A314" t="inlineStr">
        <is>
          <t>A 5324-2024</t>
        </is>
      </c>
      <c r="B314" s="1" t="n">
        <v>45331</v>
      </c>
      <c r="C314" s="1" t="n">
        <v>45992</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28821-2025</t>
        </is>
      </c>
      <c r="B315" s="1" t="n">
        <v>45820</v>
      </c>
      <c r="C315" s="1" t="n">
        <v>45992</v>
      </c>
      <c r="D315" t="inlineStr">
        <is>
          <t>ÖREBRO LÄN</t>
        </is>
      </c>
      <c r="E315" t="inlineStr">
        <is>
          <t>ÖREBRO</t>
        </is>
      </c>
      <c r="G315" t="n">
        <v>12.6</v>
      </c>
      <c r="H315" t="n">
        <v>0</v>
      </c>
      <c r="I315" t="n">
        <v>0</v>
      </c>
      <c r="J315" t="n">
        <v>0</v>
      </c>
      <c r="K315" t="n">
        <v>0</v>
      </c>
      <c r="L315" t="n">
        <v>0</v>
      </c>
      <c r="M315" t="n">
        <v>0</v>
      </c>
      <c r="N315" t="n">
        <v>0</v>
      </c>
      <c r="O315" t="n">
        <v>0</v>
      </c>
      <c r="P315" t="n">
        <v>0</v>
      </c>
      <c r="Q315" t="n">
        <v>0</v>
      </c>
      <c r="R315" s="2" t="inlineStr"/>
    </row>
    <row r="316" ht="15" customHeight="1">
      <c r="A316" t="inlineStr">
        <is>
          <t>A 44875-2025</t>
        </is>
      </c>
      <c r="B316" s="1" t="n">
        <v>45918.47043981482</v>
      </c>
      <c r="C316" s="1" t="n">
        <v>45992</v>
      </c>
      <c r="D316" t="inlineStr">
        <is>
          <t>ÖREBRO LÄN</t>
        </is>
      </c>
      <c r="E316" t="inlineStr">
        <is>
          <t>ÖREBRO</t>
        </is>
      </c>
      <c r="G316" t="n">
        <v>1.4</v>
      </c>
      <c r="H316" t="n">
        <v>0</v>
      </c>
      <c r="I316" t="n">
        <v>0</v>
      </c>
      <c r="J316" t="n">
        <v>0</v>
      </c>
      <c r="K316" t="n">
        <v>0</v>
      </c>
      <c r="L316" t="n">
        <v>0</v>
      </c>
      <c r="M316" t="n">
        <v>0</v>
      </c>
      <c r="N316" t="n">
        <v>0</v>
      </c>
      <c r="O316" t="n">
        <v>0</v>
      </c>
      <c r="P316" t="n">
        <v>0</v>
      </c>
      <c r="Q316" t="n">
        <v>0</v>
      </c>
      <c r="R316" s="2" t="inlineStr"/>
    </row>
    <row r="317" ht="15" customHeight="1">
      <c r="A317" t="inlineStr">
        <is>
          <t>A 35637-2025</t>
        </is>
      </c>
      <c r="B317" s="1" t="n">
        <v>45859.46859953704</v>
      </c>
      <c r="C317" s="1" t="n">
        <v>45992</v>
      </c>
      <c r="D317" t="inlineStr">
        <is>
          <t>ÖREBRO LÄN</t>
        </is>
      </c>
      <c r="E317" t="inlineStr">
        <is>
          <t>ÖREBRO</t>
        </is>
      </c>
      <c r="G317" t="n">
        <v>2.1</v>
      </c>
      <c r="H317" t="n">
        <v>0</v>
      </c>
      <c r="I317" t="n">
        <v>0</v>
      </c>
      <c r="J317" t="n">
        <v>0</v>
      </c>
      <c r="K317" t="n">
        <v>0</v>
      </c>
      <c r="L317" t="n">
        <v>0</v>
      </c>
      <c r="M317" t="n">
        <v>0</v>
      </c>
      <c r="N317" t="n">
        <v>0</v>
      </c>
      <c r="O317" t="n">
        <v>0</v>
      </c>
      <c r="P317" t="n">
        <v>0</v>
      </c>
      <c r="Q317" t="n">
        <v>0</v>
      </c>
      <c r="R317" s="2" t="inlineStr"/>
    </row>
    <row r="318" ht="15" customHeight="1">
      <c r="A318" t="inlineStr">
        <is>
          <t>A 18360-2024</t>
        </is>
      </c>
      <c r="B318" s="1" t="n">
        <v>45422</v>
      </c>
      <c r="C318" s="1" t="n">
        <v>45992</v>
      </c>
      <c r="D318" t="inlineStr">
        <is>
          <t>ÖREBRO LÄN</t>
        </is>
      </c>
      <c r="E318" t="inlineStr">
        <is>
          <t>ÖREBRO</t>
        </is>
      </c>
      <c r="G318" t="n">
        <v>0.7</v>
      </c>
      <c r="H318" t="n">
        <v>0</v>
      </c>
      <c r="I318" t="n">
        <v>0</v>
      </c>
      <c r="J318" t="n">
        <v>0</v>
      </c>
      <c r="K318" t="n">
        <v>0</v>
      </c>
      <c r="L318" t="n">
        <v>0</v>
      </c>
      <c r="M318" t="n">
        <v>0</v>
      </c>
      <c r="N318" t="n">
        <v>0</v>
      </c>
      <c r="O318" t="n">
        <v>0</v>
      </c>
      <c r="P318" t="n">
        <v>0</v>
      </c>
      <c r="Q318" t="n">
        <v>0</v>
      </c>
      <c r="R318" s="2" t="inlineStr"/>
    </row>
    <row r="319" ht="15" customHeight="1">
      <c r="A319" t="inlineStr">
        <is>
          <t>A 16676-2025</t>
        </is>
      </c>
      <c r="B319" s="1" t="n">
        <v>45754.44658564815</v>
      </c>
      <c r="C319" s="1" t="n">
        <v>45992</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53715-2025</t>
        </is>
      </c>
      <c r="B320" s="1" t="n">
        <v>45960.61763888889</v>
      </c>
      <c r="C320" s="1" t="n">
        <v>45992</v>
      </c>
      <c r="D320" t="inlineStr">
        <is>
          <t>ÖREBRO LÄN</t>
        </is>
      </c>
      <c r="E320" t="inlineStr">
        <is>
          <t>ÖREBRO</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5357-2024</t>
        </is>
      </c>
      <c r="B321" s="1" t="n">
        <v>45331</v>
      </c>
      <c r="C321" s="1" t="n">
        <v>45992</v>
      </c>
      <c r="D321" t="inlineStr">
        <is>
          <t>ÖREBRO LÄN</t>
        </is>
      </c>
      <c r="E321" t="inlineStr">
        <is>
          <t>ÖREBRO</t>
        </is>
      </c>
      <c r="G321" t="n">
        <v>0.7</v>
      </c>
      <c r="H321" t="n">
        <v>0</v>
      </c>
      <c r="I321" t="n">
        <v>0</v>
      </c>
      <c r="J321" t="n">
        <v>0</v>
      </c>
      <c r="K321" t="n">
        <v>0</v>
      </c>
      <c r="L321" t="n">
        <v>0</v>
      </c>
      <c r="M321" t="n">
        <v>0</v>
      </c>
      <c r="N321" t="n">
        <v>0</v>
      </c>
      <c r="O321" t="n">
        <v>0</v>
      </c>
      <c r="P321" t="n">
        <v>0</v>
      </c>
      <c r="Q321" t="n">
        <v>0</v>
      </c>
      <c r="R321" s="2" t="inlineStr"/>
    </row>
    <row r="322" ht="15" customHeight="1">
      <c r="A322" t="inlineStr">
        <is>
          <t>A 57243-2022</t>
        </is>
      </c>
      <c r="B322" s="1" t="n">
        <v>44895.71835648148</v>
      </c>
      <c r="C322" s="1" t="n">
        <v>45992</v>
      </c>
      <c r="D322" t="inlineStr">
        <is>
          <t>ÖREBRO LÄN</t>
        </is>
      </c>
      <c r="E322" t="inlineStr">
        <is>
          <t>ÖREBRO</t>
        </is>
      </c>
      <c r="G322" t="n">
        <v>6</v>
      </c>
      <c r="H322" t="n">
        <v>0</v>
      </c>
      <c r="I322" t="n">
        <v>0</v>
      </c>
      <c r="J322" t="n">
        <v>0</v>
      </c>
      <c r="K322" t="n">
        <v>0</v>
      </c>
      <c r="L322" t="n">
        <v>0</v>
      </c>
      <c r="M322" t="n">
        <v>0</v>
      </c>
      <c r="N322" t="n">
        <v>0</v>
      </c>
      <c r="O322" t="n">
        <v>0</v>
      </c>
      <c r="P322" t="n">
        <v>0</v>
      </c>
      <c r="Q322" t="n">
        <v>0</v>
      </c>
      <c r="R322" s="2" t="inlineStr"/>
    </row>
    <row r="323" ht="15" customHeight="1">
      <c r="A323" t="inlineStr">
        <is>
          <t>A 35928-2025</t>
        </is>
      </c>
      <c r="B323" s="1" t="n">
        <v>45862</v>
      </c>
      <c r="C323" s="1" t="n">
        <v>45992</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40051-2024</t>
        </is>
      </c>
      <c r="B324" s="1" t="n">
        <v>45553</v>
      </c>
      <c r="C324" s="1" t="n">
        <v>45992</v>
      </c>
      <c r="D324" t="inlineStr">
        <is>
          <t>ÖREBRO LÄN</t>
        </is>
      </c>
      <c r="E324" t="inlineStr">
        <is>
          <t>ÖREBRO</t>
        </is>
      </c>
      <c r="G324" t="n">
        <v>3.5</v>
      </c>
      <c r="H324" t="n">
        <v>0</v>
      </c>
      <c r="I324" t="n">
        <v>0</v>
      </c>
      <c r="J324" t="n">
        <v>0</v>
      </c>
      <c r="K324" t="n">
        <v>0</v>
      </c>
      <c r="L324" t="n">
        <v>0</v>
      </c>
      <c r="M324" t="n">
        <v>0</v>
      </c>
      <c r="N324" t="n">
        <v>0</v>
      </c>
      <c r="O324" t="n">
        <v>0</v>
      </c>
      <c r="P324" t="n">
        <v>0</v>
      </c>
      <c r="Q324" t="n">
        <v>0</v>
      </c>
      <c r="R324" s="2" t="inlineStr"/>
    </row>
    <row r="325" ht="15" customHeight="1">
      <c r="A325" t="inlineStr">
        <is>
          <t>A 32025-2024</t>
        </is>
      </c>
      <c r="B325" s="1" t="n">
        <v>45510.65754629629</v>
      </c>
      <c r="C325" s="1" t="n">
        <v>45992</v>
      </c>
      <c r="D325" t="inlineStr">
        <is>
          <t>ÖREBRO LÄN</t>
        </is>
      </c>
      <c r="E325" t="inlineStr">
        <is>
          <t>ÖREBRO</t>
        </is>
      </c>
      <c r="G325" t="n">
        <v>4</v>
      </c>
      <c r="H325" t="n">
        <v>0</v>
      </c>
      <c r="I325" t="n">
        <v>0</v>
      </c>
      <c r="J325" t="n">
        <v>0</v>
      </c>
      <c r="K325" t="n">
        <v>0</v>
      </c>
      <c r="L325" t="n">
        <v>0</v>
      </c>
      <c r="M325" t="n">
        <v>0</v>
      </c>
      <c r="N325" t="n">
        <v>0</v>
      </c>
      <c r="O325" t="n">
        <v>0</v>
      </c>
      <c r="P325" t="n">
        <v>0</v>
      </c>
      <c r="Q325" t="n">
        <v>0</v>
      </c>
      <c r="R325" s="2" t="inlineStr"/>
    </row>
    <row r="326" ht="15" customHeight="1">
      <c r="A326" t="inlineStr">
        <is>
          <t>A 50446-2023</t>
        </is>
      </c>
      <c r="B326" s="1" t="n">
        <v>45216</v>
      </c>
      <c r="C326" s="1" t="n">
        <v>45992</v>
      </c>
      <c r="D326" t="inlineStr">
        <is>
          <t>ÖREBRO LÄN</t>
        </is>
      </c>
      <c r="E326" t="inlineStr">
        <is>
          <t>ÖREBRO</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50450-2023</t>
        </is>
      </c>
      <c r="B327" s="1" t="n">
        <v>45216.73533564815</v>
      </c>
      <c r="C327" s="1" t="n">
        <v>45992</v>
      </c>
      <c r="D327" t="inlineStr">
        <is>
          <t>ÖREBRO LÄN</t>
        </is>
      </c>
      <c r="E327" t="inlineStr">
        <is>
          <t>ÖREBRO</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54485-2025</t>
        </is>
      </c>
      <c r="B328" s="1" t="n">
        <v>45965.59295138889</v>
      </c>
      <c r="C328" s="1" t="n">
        <v>45992</v>
      </c>
      <c r="D328" t="inlineStr">
        <is>
          <t>ÖREBRO LÄN</t>
        </is>
      </c>
      <c r="E328" t="inlineStr">
        <is>
          <t>ÖREBRO</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26117-2021</t>
        </is>
      </c>
      <c r="B329" s="1" t="n">
        <v>44345</v>
      </c>
      <c r="C329" s="1" t="n">
        <v>45992</v>
      </c>
      <c r="D329" t="inlineStr">
        <is>
          <t>ÖREBRO LÄN</t>
        </is>
      </c>
      <c r="E329" t="inlineStr">
        <is>
          <t>ÖREBRO</t>
        </is>
      </c>
      <c r="G329" t="n">
        <v>8.1</v>
      </c>
      <c r="H329" t="n">
        <v>0</v>
      </c>
      <c r="I329" t="n">
        <v>0</v>
      </c>
      <c r="J329" t="n">
        <v>0</v>
      </c>
      <c r="K329" t="n">
        <v>0</v>
      </c>
      <c r="L329" t="n">
        <v>0</v>
      </c>
      <c r="M329" t="n">
        <v>0</v>
      </c>
      <c r="N329" t="n">
        <v>0</v>
      </c>
      <c r="O329" t="n">
        <v>0</v>
      </c>
      <c r="P329" t="n">
        <v>0</v>
      </c>
      <c r="Q329" t="n">
        <v>0</v>
      </c>
      <c r="R329" s="2" t="inlineStr"/>
    </row>
    <row r="330" ht="15" customHeight="1">
      <c r="A330" t="inlineStr">
        <is>
          <t>A 55453-2024</t>
        </is>
      </c>
      <c r="B330" s="1" t="n">
        <v>45622.42097222222</v>
      </c>
      <c r="C330" s="1" t="n">
        <v>45992</v>
      </c>
      <c r="D330" t="inlineStr">
        <is>
          <t>ÖREBRO LÄN</t>
        </is>
      </c>
      <c r="E330" t="inlineStr">
        <is>
          <t>ÖREBRO</t>
        </is>
      </c>
      <c r="G330" t="n">
        <v>8.5</v>
      </c>
      <c r="H330" t="n">
        <v>0</v>
      </c>
      <c r="I330" t="n">
        <v>0</v>
      </c>
      <c r="J330" t="n">
        <v>0</v>
      </c>
      <c r="K330" t="n">
        <v>0</v>
      </c>
      <c r="L330" t="n">
        <v>0</v>
      </c>
      <c r="M330" t="n">
        <v>0</v>
      </c>
      <c r="N330" t="n">
        <v>0</v>
      </c>
      <c r="O330" t="n">
        <v>0</v>
      </c>
      <c r="P330" t="n">
        <v>0</v>
      </c>
      <c r="Q330" t="n">
        <v>0</v>
      </c>
      <c r="R330" s="2" t="inlineStr"/>
    </row>
    <row r="331" ht="15" customHeight="1">
      <c r="A331" t="inlineStr">
        <is>
          <t>A 36448-2025</t>
        </is>
      </c>
      <c r="B331" s="1" t="n">
        <v>45869.41929398148</v>
      </c>
      <c r="C331" s="1" t="n">
        <v>45992</v>
      </c>
      <c r="D331" t="inlineStr">
        <is>
          <t>ÖREBRO LÄN</t>
        </is>
      </c>
      <c r="E331" t="inlineStr">
        <is>
          <t>ÖREBRO</t>
        </is>
      </c>
      <c r="F331" t="inlineStr">
        <is>
          <t>Övriga Aktiebolag</t>
        </is>
      </c>
      <c r="G331" t="n">
        <v>4.3</v>
      </c>
      <c r="H331" t="n">
        <v>0</v>
      </c>
      <c r="I331" t="n">
        <v>0</v>
      </c>
      <c r="J331" t="n">
        <v>0</v>
      </c>
      <c r="K331" t="n">
        <v>0</v>
      </c>
      <c r="L331" t="n">
        <v>0</v>
      </c>
      <c r="M331" t="n">
        <v>0</v>
      </c>
      <c r="N331" t="n">
        <v>0</v>
      </c>
      <c r="O331" t="n">
        <v>0</v>
      </c>
      <c r="P331" t="n">
        <v>0</v>
      </c>
      <c r="Q331" t="n">
        <v>0</v>
      </c>
      <c r="R331" s="2" t="inlineStr"/>
    </row>
    <row r="332" ht="15" customHeight="1">
      <c r="A332" t="inlineStr">
        <is>
          <t>A 36447-2025</t>
        </is>
      </c>
      <c r="B332" s="1" t="n">
        <v>45869.41387731482</v>
      </c>
      <c r="C332" s="1" t="n">
        <v>45992</v>
      </c>
      <c r="D332" t="inlineStr">
        <is>
          <t>ÖREBRO LÄN</t>
        </is>
      </c>
      <c r="E332" t="inlineStr">
        <is>
          <t>ÖREBRO</t>
        </is>
      </c>
      <c r="F332" t="inlineStr">
        <is>
          <t>Övriga Aktiebolag</t>
        </is>
      </c>
      <c r="G332" t="n">
        <v>12.6</v>
      </c>
      <c r="H332" t="n">
        <v>0</v>
      </c>
      <c r="I332" t="n">
        <v>0</v>
      </c>
      <c r="J332" t="n">
        <v>0</v>
      </c>
      <c r="K332" t="n">
        <v>0</v>
      </c>
      <c r="L332" t="n">
        <v>0</v>
      </c>
      <c r="M332" t="n">
        <v>0</v>
      </c>
      <c r="N332" t="n">
        <v>0</v>
      </c>
      <c r="O332" t="n">
        <v>0</v>
      </c>
      <c r="P332" t="n">
        <v>0</v>
      </c>
      <c r="Q332" t="n">
        <v>0</v>
      </c>
      <c r="R332" s="2" t="inlineStr"/>
    </row>
    <row r="333" ht="15" customHeight="1">
      <c r="A333" t="inlineStr">
        <is>
          <t>A 6879-2024</t>
        </is>
      </c>
      <c r="B333" s="1" t="n">
        <v>45342.85280092592</v>
      </c>
      <c r="C333" s="1" t="n">
        <v>45992</v>
      </c>
      <c r="D333" t="inlineStr">
        <is>
          <t>ÖREBRO LÄN</t>
        </is>
      </c>
      <c r="E333" t="inlineStr">
        <is>
          <t>ÖREBRO</t>
        </is>
      </c>
      <c r="G333" t="n">
        <v>1.6</v>
      </c>
      <c r="H333" t="n">
        <v>0</v>
      </c>
      <c r="I333" t="n">
        <v>0</v>
      </c>
      <c r="J333" t="n">
        <v>0</v>
      </c>
      <c r="K333" t="n">
        <v>0</v>
      </c>
      <c r="L333" t="n">
        <v>0</v>
      </c>
      <c r="M333" t="n">
        <v>0</v>
      </c>
      <c r="N333" t="n">
        <v>0</v>
      </c>
      <c r="O333" t="n">
        <v>0</v>
      </c>
      <c r="P333" t="n">
        <v>0</v>
      </c>
      <c r="Q333" t="n">
        <v>0</v>
      </c>
      <c r="R333" s="2" t="inlineStr"/>
    </row>
    <row r="334" ht="15" customHeight="1">
      <c r="A334" t="inlineStr">
        <is>
          <t>A 58032-2023</t>
        </is>
      </c>
      <c r="B334" s="1" t="n">
        <v>45247</v>
      </c>
      <c r="C334" s="1" t="n">
        <v>45992</v>
      </c>
      <c r="D334" t="inlineStr">
        <is>
          <t>ÖREBRO LÄN</t>
        </is>
      </c>
      <c r="E334" t="inlineStr">
        <is>
          <t>ÖREBRO</t>
        </is>
      </c>
      <c r="G334" t="n">
        <v>1.1</v>
      </c>
      <c r="H334" t="n">
        <v>0</v>
      </c>
      <c r="I334" t="n">
        <v>0</v>
      </c>
      <c r="J334" t="n">
        <v>0</v>
      </c>
      <c r="K334" t="n">
        <v>0</v>
      </c>
      <c r="L334" t="n">
        <v>0</v>
      </c>
      <c r="M334" t="n">
        <v>0</v>
      </c>
      <c r="N334" t="n">
        <v>0</v>
      </c>
      <c r="O334" t="n">
        <v>0</v>
      </c>
      <c r="P334" t="n">
        <v>0</v>
      </c>
      <c r="Q334" t="n">
        <v>0</v>
      </c>
      <c r="R334" s="2" t="inlineStr"/>
    </row>
    <row r="335" ht="15" customHeight="1">
      <c r="A335" t="inlineStr">
        <is>
          <t>A 58035-2023</t>
        </is>
      </c>
      <c r="B335" s="1" t="n">
        <v>45247</v>
      </c>
      <c r="C335" s="1" t="n">
        <v>45992</v>
      </c>
      <c r="D335" t="inlineStr">
        <is>
          <t>ÖREBRO LÄN</t>
        </is>
      </c>
      <c r="E335" t="inlineStr">
        <is>
          <t>ÖREBRO</t>
        </is>
      </c>
      <c r="G335" t="n">
        <v>1.4</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45992</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54205-2025</t>
        </is>
      </c>
      <c r="B337" s="1" t="n">
        <v>45964.58512731481</v>
      </c>
      <c r="C337" s="1" t="n">
        <v>45992</v>
      </c>
      <c r="D337" t="inlineStr">
        <is>
          <t>ÖREBRO LÄN</t>
        </is>
      </c>
      <c r="E337" t="inlineStr">
        <is>
          <t>ÖREBRO</t>
        </is>
      </c>
      <c r="G337" t="n">
        <v>24.3</v>
      </c>
      <c r="H337" t="n">
        <v>0</v>
      </c>
      <c r="I337" t="n">
        <v>0</v>
      </c>
      <c r="J337" t="n">
        <v>0</v>
      </c>
      <c r="K337" t="n">
        <v>0</v>
      </c>
      <c r="L337" t="n">
        <v>0</v>
      </c>
      <c r="M337" t="n">
        <v>0</v>
      </c>
      <c r="N337" t="n">
        <v>0</v>
      </c>
      <c r="O337" t="n">
        <v>0</v>
      </c>
      <c r="P337" t="n">
        <v>0</v>
      </c>
      <c r="Q337" t="n">
        <v>0</v>
      </c>
      <c r="R337" s="2" t="inlineStr"/>
    </row>
    <row r="338" ht="15" customHeight="1">
      <c r="A338" t="inlineStr">
        <is>
          <t>A 7506-2025</t>
        </is>
      </c>
      <c r="B338" s="1" t="n">
        <v>45705</v>
      </c>
      <c r="C338" s="1" t="n">
        <v>45992</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31240-2023</t>
        </is>
      </c>
      <c r="B339" s="1" t="n">
        <v>45114</v>
      </c>
      <c r="C339" s="1" t="n">
        <v>45992</v>
      </c>
      <c r="D339" t="inlineStr">
        <is>
          <t>ÖREBRO LÄN</t>
        </is>
      </c>
      <c r="E339" t="inlineStr">
        <is>
          <t>ÖREBRO</t>
        </is>
      </c>
      <c r="F339" t="inlineStr">
        <is>
          <t>Allmännings- och besparingsskogar</t>
        </is>
      </c>
      <c r="G339" t="n">
        <v>6.2</v>
      </c>
      <c r="H339" t="n">
        <v>0</v>
      </c>
      <c r="I339" t="n">
        <v>0</v>
      </c>
      <c r="J339" t="n">
        <v>0</v>
      </c>
      <c r="K339" t="n">
        <v>0</v>
      </c>
      <c r="L339" t="n">
        <v>0</v>
      </c>
      <c r="M339" t="n">
        <v>0</v>
      </c>
      <c r="N339" t="n">
        <v>0</v>
      </c>
      <c r="O339" t="n">
        <v>0</v>
      </c>
      <c r="P339" t="n">
        <v>0</v>
      </c>
      <c r="Q339" t="n">
        <v>0</v>
      </c>
      <c r="R339" s="2" t="inlineStr"/>
    </row>
    <row r="340" ht="15" customHeight="1">
      <c r="A340" t="inlineStr">
        <is>
          <t>A 14717-2024</t>
        </is>
      </c>
      <c r="B340" s="1" t="n">
        <v>45397.55104166667</v>
      </c>
      <c r="C340" s="1" t="n">
        <v>45992</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55003-2025</t>
        </is>
      </c>
      <c r="B341" s="1" t="n">
        <v>45967</v>
      </c>
      <c r="C341" s="1" t="n">
        <v>45992</v>
      </c>
      <c r="D341" t="inlineStr">
        <is>
          <t>ÖREBRO LÄN</t>
        </is>
      </c>
      <c r="E341" t="inlineStr">
        <is>
          <t>ÖREBRO</t>
        </is>
      </c>
      <c r="F341" t="inlineStr">
        <is>
          <t>Övriga Aktiebolag</t>
        </is>
      </c>
      <c r="G341" t="n">
        <v>1.9</v>
      </c>
      <c r="H341" t="n">
        <v>0</v>
      </c>
      <c r="I341" t="n">
        <v>0</v>
      </c>
      <c r="J341" t="n">
        <v>0</v>
      </c>
      <c r="K341" t="n">
        <v>0</v>
      </c>
      <c r="L341" t="n">
        <v>0</v>
      </c>
      <c r="M341" t="n">
        <v>0</v>
      </c>
      <c r="N341" t="n">
        <v>0</v>
      </c>
      <c r="O341" t="n">
        <v>0</v>
      </c>
      <c r="P341" t="n">
        <v>0</v>
      </c>
      <c r="Q341" t="n">
        <v>0</v>
      </c>
      <c r="R341" s="2" t="inlineStr"/>
    </row>
    <row r="342" ht="15" customHeight="1">
      <c r="A342" t="inlineStr">
        <is>
          <t>A 29554-2025</t>
        </is>
      </c>
      <c r="B342" s="1" t="n">
        <v>45825</v>
      </c>
      <c r="C342" s="1" t="n">
        <v>45992</v>
      </c>
      <c r="D342" t="inlineStr">
        <is>
          <t>ÖREBRO LÄN</t>
        </is>
      </c>
      <c r="E342" t="inlineStr">
        <is>
          <t>ÖREBRO</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37968-2024</t>
        </is>
      </c>
      <c r="B343" s="1" t="n">
        <v>45544</v>
      </c>
      <c r="C343" s="1" t="n">
        <v>45992</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25443-2021</t>
        </is>
      </c>
      <c r="B344" s="1" t="n">
        <v>44342</v>
      </c>
      <c r="C344" s="1" t="n">
        <v>45992</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13700-2024</t>
        </is>
      </c>
      <c r="B345" s="1" t="n">
        <v>45390.59277777778</v>
      </c>
      <c r="C345" s="1" t="n">
        <v>45992</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6213-2021</t>
        </is>
      </c>
      <c r="B346" s="1" t="n">
        <v>44232</v>
      </c>
      <c r="C346" s="1" t="n">
        <v>45992</v>
      </c>
      <c r="D346" t="inlineStr">
        <is>
          <t>ÖREBRO LÄN</t>
        </is>
      </c>
      <c r="E346" t="inlineStr">
        <is>
          <t>ÖREBRO</t>
        </is>
      </c>
      <c r="G346" t="n">
        <v>4</v>
      </c>
      <c r="H346" t="n">
        <v>0</v>
      </c>
      <c r="I346" t="n">
        <v>0</v>
      </c>
      <c r="J346" t="n">
        <v>0</v>
      </c>
      <c r="K346" t="n">
        <v>0</v>
      </c>
      <c r="L346" t="n">
        <v>0</v>
      </c>
      <c r="M346" t="n">
        <v>0</v>
      </c>
      <c r="N346" t="n">
        <v>0</v>
      </c>
      <c r="O346" t="n">
        <v>0</v>
      </c>
      <c r="P346" t="n">
        <v>0</v>
      </c>
      <c r="Q346" t="n">
        <v>0</v>
      </c>
      <c r="R346" s="2" t="inlineStr"/>
    </row>
    <row r="347" ht="15" customHeight="1">
      <c r="A347" t="inlineStr">
        <is>
          <t>A 5398-2022</t>
        </is>
      </c>
      <c r="B347" s="1" t="n">
        <v>44595.3353587963</v>
      </c>
      <c r="C347" s="1" t="n">
        <v>45992</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38415-2023</t>
        </is>
      </c>
      <c r="B348" s="1" t="n">
        <v>45162.35502314815</v>
      </c>
      <c r="C348" s="1" t="n">
        <v>45992</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38057-2025</t>
        </is>
      </c>
      <c r="B349" s="1" t="n">
        <v>45882.42570601852</v>
      </c>
      <c r="C349" s="1" t="n">
        <v>45992</v>
      </c>
      <c r="D349" t="inlineStr">
        <is>
          <t>ÖREBRO LÄN</t>
        </is>
      </c>
      <c r="E349" t="inlineStr">
        <is>
          <t>ÖREBRO</t>
        </is>
      </c>
      <c r="G349" t="n">
        <v>3</v>
      </c>
      <c r="H349" t="n">
        <v>0</v>
      </c>
      <c r="I349" t="n">
        <v>0</v>
      </c>
      <c r="J349" t="n">
        <v>0</v>
      </c>
      <c r="K349" t="n">
        <v>0</v>
      </c>
      <c r="L349" t="n">
        <v>0</v>
      </c>
      <c r="M349" t="n">
        <v>0</v>
      </c>
      <c r="N349" t="n">
        <v>0</v>
      </c>
      <c r="O349" t="n">
        <v>0</v>
      </c>
      <c r="P349" t="n">
        <v>0</v>
      </c>
      <c r="Q349" t="n">
        <v>0</v>
      </c>
      <c r="R349" s="2" t="inlineStr"/>
    </row>
    <row r="350" ht="15" customHeight="1">
      <c r="A350" t="inlineStr">
        <is>
          <t>A 60128-2023</t>
        </is>
      </c>
      <c r="B350" s="1" t="n">
        <v>45258</v>
      </c>
      <c r="C350" s="1" t="n">
        <v>45992</v>
      </c>
      <c r="D350" t="inlineStr">
        <is>
          <t>ÖREBRO LÄN</t>
        </is>
      </c>
      <c r="E350" t="inlineStr">
        <is>
          <t>ÖREBRO</t>
        </is>
      </c>
      <c r="G350" t="n">
        <v>0.6</v>
      </c>
      <c r="H350" t="n">
        <v>0</v>
      </c>
      <c r="I350" t="n">
        <v>0</v>
      </c>
      <c r="J350" t="n">
        <v>0</v>
      </c>
      <c r="K350" t="n">
        <v>0</v>
      </c>
      <c r="L350" t="n">
        <v>0</v>
      </c>
      <c r="M350" t="n">
        <v>0</v>
      </c>
      <c r="N350" t="n">
        <v>0</v>
      </c>
      <c r="O350" t="n">
        <v>0</v>
      </c>
      <c r="P350" t="n">
        <v>0</v>
      </c>
      <c r="Q350" t="n">
        <v>0</v>
      </c>
      <c r="R350" s="2" t="inlineStr"/>
    </row>
    <row r="351" ht="15" customHeight="1">
      <c r="A351" t="inlineStr">
        <is>
          <t>A 18047-2023</t>
        </is>
      </c>
      <c r="B351" s="1" t="n">
        <v>45040</v>
      </c>
      <c r="C351" s="1" t="n">
        <v>45992</v>
      </c>
      <c r="D351" t="inlineStr">
        <is>
          <t>ÖREBRO LÄN</t>
        </is>
      </c>
      <c r="E351" t="inlineStr">
        <is>
          <t>ÖREBRO</t>
        </is>
      </c>
      <c r="G351" t="n">
        <v>3.9</v>
      </c>
      <c r="H351" t="n">
        <v>0</v>
      </c>
      <c r="I351" t="n">
        <v>0</v>
      </c>
      <c r="J351" t="n">
        <v>0</v>
      </c>
      <c r="K351" t="n">
        <v>0</v>
      </c>
      <c r="L351" t="n">
        <v>0</v>
      </c>
      <c r="M351" t="n">
        <v>0</v>
      </c>
      <c r="N351" t="n">
        <v>0</v>
      </c>
      <c r="O351" t="n">
        <v>0</v>
      </c>
      <c r="P351" t="n">
        <v>0</v>
      </c>
      <c r="Q351" t="n">
        <v>0</v>
      </c>
      <c r="R351" s="2" t="inlineStr"/>
    </row>
    <row r="352" ht="15" customHeight="1">
      <c r="A352" t="inlineStr">
        <is>
          <t>A 49797-2024</t>
        </is>
      </c>
      <c r="B352" s="1" t="n">
        <v>45597.37265046296</v>
      </c>
      <c r="C352" s="1" t="n">
        <v>45992</v>
      </c>
      <c r="D352" t="inlineStr">
        <is>
          <t>ÖREBRO LÄN</t>
        </is>
      </c>
      <c r="E352" t="inlineStr">
        <is>
          <t>ÖREBRO</t>
        </is>
      </c>
      <c r="G352" t="n">
        <v>11.6</v>
      </c>
      <c r="H352" t="n">
        <v>0</v>
      </c>
      <c r="I352" t="n">
        <v>0</v>
      </c>
      <c r="J352" t="n">
        <v>0</v>
      </c>
      <c r="K352" t="n">
        <v>0</v>
      </c>
      <c r="L352" t="n">
        <v>0</v>
      </c>
      <c r="M352" t="n">
        <v>0</v>
      </c>
      <c r="N352" t="n">
        <v>0</v>
      </c>
      <c r="O352" t="n">
        <v>0</v>
      </c>
      <c r="P352" t="n">
        <v>0</v>
      </c>
      <c r="Q352" t="n">
        <v>0</v>
      </c>
      <c r="R352" s="2" t="inlineStr"/>
    </row>
    <row r="353" ht="15" customHeight="1">
      <c r="A353" t="inlineStr">
        <is>
          <t>A 55748-2025</t>
        </is>
      </c>
      <c r="B353" s="1" t="n">
        <v>45972.57893518519</v>
      </c>
      <c r="C353" s="1" t="n">
        <v>45992</v>
      </c>
      <c r="D353" t="inlineStr">
        <is>
          <t>ÖREBRO LÄN</t>
        </is>
      </c>
      <c r="E353" t="inlineStr">
        <is>
          <t>ÖREBRO</t>
        </is>
      </c>
      <c r="G353" t="n">
        <v>1.5</v>
      </c>
      <c r="H353" t="n">
        <v>0</v>
      </c>
      <c r="I353" t="n">
        <v>0</v>
      </c>
      <c r="J353" t="n">
        <v>0</v>
      </c>
      <c r="K353" t="n">
        <v>0</v>
      </c>
      <c r="L353" t="n">
        <v>0</v>
      </c>
      <c r="M353" t="n">
        <v>0</v>
      </c>
      <c r="N353" t="n">
        <v>0</v>
      </c>
      <c r="O353" t="n">
        <v>0</v>
      </c>
      <c r="P353" t="n">
        <v>0</v>
      </c>
      <c r="Q353" t="n">
        <v>0</v>
      </c>
      <c r="R353" s="2" t="inlineStr"/>
    </row>
    <row r="354" ht="15" customHeight="1">
      <c r="A354" t="inlineStr">
        <is>
          <t>A 55888-2025</t>
        </is>
      </c>
      <c r="B354" s="1" t="n">
        <v>45973.37163194444</v>
      </c>
      <c r="C354" s="1" t="n">
        <v>45992</v>
      </c>
      <c r="D354" t="inlineStr">
        <is>
          <t>ÖREBRO LÄN</t>
        </is>
      </c>
      <c r="E354" t="inlineStr">
        <is>
          <t>ÖREBRO</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55879-2025</t>
        </is>
      </c>
      <c r="B355" s="1" t="n">
        <v>45973.36508101852</v>
      </c>
      <c r="C355" s="1" t="n">
        <v>45992</v>
      </c>
      <c r="D355" t="inlineStr">
        <is>
          <t>ÖREBRO LÄN</t>
        </is>
      </c>
      <c r="E355" t="inlineStr">
        <is>
          <t>ÖREBRO</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8022-2022</t>
        </is>
      </c>
      <c r="B356" s="1" t="n">
        <v>44609</v>
      </c>
      <c r="C356" s="1" t="n">
        <v>45992</v>
      </c>
      <c r="D356" t="inlineStr">
        <is>
          <t>ÖREBRO LÄN</t>
        </is>
      </c>
      <c r="E356" t="inlineStr">
        <is>
          <t>ÖREBRO</t>
        </is>
      </c>
      <c r="G356" t="n">
        <v>5.6</v>
      </c>
      <c r="H356" t="n">
        <v>0</v>
      </c>
      <c r="I356" t="n">
        <v>0</v>
      </c>
      <c r="J356" t="n">
        <v>0</v>
      </c>
      <c r="K356" t="n">
        <v>0</v>
      </c>
      <c r="L356" t="n">
        <v>0</v>
      </c>
      <c r="M356" t="n">
        <v>0</v>
      </c>
      <c r="N356" t="n">
        <v>0</v>
      </c>
      <c r="O356" t="n">
        <v>0</v>
      </c>
      <c r="P356" t="n">
        <v>0</v>
      </c>
      <c r="Q356" t="n">
        <v>0</v>
      </c>
      <c r="R356" s="2" t="inlineStr"/>
    </row>
    <row r="357" ht="15" customHeight="1">
      <c r="A357" t="inlineStr">
        <is>
          <t>A 55750-2025</t>
        </is>
      </c>
      <c r="B357" s="1" t="n">
        <v>45972.58171296296</v>
      </c>
      <c r="C357" s="1" t="n">
        <v>45992</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66799-2020</t>
        </is>
      </c>
      <c r="B358" s="1" t="n">
        <v>44179</v>
      </c>
      <c r="C358" s="1" t="n">
        <v>45992</v>
      </c>
      <c r="D358" t="inlineStr">
        <is>
          <t>ÖREBRO LÄN</t>
        </is>
      </c>
      <c r="E358" t="inlineStr">
        <is>
          <t>ÖREBRO</t>
        </is>
      </c>
      <c r="G358" t="n">
        <v>5.2</v>
      </c>
      <c r="H358" t="n">
        <v>0</v>
      </c>
      <c r="I358" t="n">
        <v>0</v>
      </c>
      <c r="J358" t="n">
        <v>0</v>
      </c>
      <c r="K358" t="n">
        <v>0</v>
      </c>
      <c r="L358" t="n">
        <v>0</v>
      </c>
      <c r="M358" t="n">
        <v>0</v>
      </c>
      <c r="N358" t="n">
        <v>0</v>
      </c>
      <c r="O358" t="n">
        <v>0</v>
      </c>
      <c r="P358" t="n">
        <v>0</v>
      </c>
      <c r="Q358" t="n">
        <v>0</v>
      </c>
      <c r="R358" s="2" t="inlineStr"/>
    </row>
    <row r="359" ht="15" customHeight="1">
      <c r="A359" t="inlineStr">
        <is>
          <t>A 29978-2024</t>
        </is>
      </c>
      <c r="B359" s="1" t="n">
        <v>45488.48340277778</v>
      </c>
      <c r="C359" s="1" t="n">
        <v>45992</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19978-2025</t>
        </is>
      </c>
      <c r="B360" s="1" t="n">
        <v>45771.7062037037</v>
      </c>
      <c r="C360" s="1" t="n">
        <v>45992</v>
      </c>
      <c r="D360" t="inlineStr">
        <is>
          <t>ÖREBRO LÄN</t>
        </is>
      </c>
      <c r="E360" t="inlineStr">
        <is>
          <t>ÖREBRO</t>
        </is>
      </c>
      <c r="G360" t="n">
        <v>2</v>
      </c>
      <c r="H360" t="n">
        <v>0</v>
      </c>
      <c r="I360" t="n">
        <v>0</v>
      </c>
      <c r="J360" t="n">
        <v>0</v>
      </c>
      <c r="K360" t="n">
        <v>0</v>
      </c>
      <c r="L360" t="n">
        <v>0</v>
      </c>
      <c r="M360" t="n">
        <v>0</v>
      </c>
      <c r="N360" t="n">
        <v>0</v>
      </c>
      <c r="O360" t="n">
        <v>0</v>
      </c>
      <c r="P360" t="n">
        <v>0</v>
      </c>
      <c r="Q360" t="n">
        <v>0</v>
      </c>
      <c r="R360" s="2" t="inlineStr"/>
    </row>
    <row r="361" ht="15" customHeight="1">
      <c r="A361" t="inlineStr">
        <is>
          <t>A 7134-2025</t>
        </is>
      </c>
      <c r="B361" s="1" t="n">
        <v>45702</v>
      </c>
      <c r="C361" s="1" t="n">
        <v>45992</v>
      </c>
      <c r="D361" t="inlineStr">
        <is>
          <t>ÖREBRO LÄN</t>
        </is>
      </c>
      <c r="E361" t="inlineStr">
        <is>
          <t>ÖREBRO</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18550-2025</t>
        </is>
      </c>
      <c r="B362" s="1" t="n">
        <v>45763.43422453704</v>
      </c>
      <c r="C362" s="1" t="n">
        <v>45992</v>
      </c>
      <c r="D362" t="inlineStr">
        <is>
          <t>ÖREBRO LÄN</t>
        </is>
      </c>
      <c r="E362" t="inlineStr">
        <is>
          <t>ÖREBRO</t>
        </is>
      </c>
      <c r="G362" t="n">
        <v>11.5</v>
      </c>
      <c r="H362" t="n">
        <v>0</v>
      </c>
      <c r="I362" t="n">
        <v>0</v>
      </c>
      <c r="J362" t="n">
        <v>0</v>
      </c>
      <c r="K362" t="n">
        <v>0</v>
      </c>
      <c r="L362" t="n">
        <v>0</v>
      </c>
      <c r="M362" t="n">
        <v>0</v>
      </c>
      <c r="N362" t="n">
        <v>0</v>
      </c>
      <c r="O362" t="n">
        <v>0</v>
      </c>
      <c r="P362" t="n">
        <v>0</v>
      </c>
      <c r="Q362" t="n">
        <v>0</v>
      </c>
      <c r="R362" s="2" t="inlineStr"/>
    </row>
    <row r="363" ht="15" customHeight="1">
      <c r="A363" t="inlineStr">
        <is>
          <t>A 16374-2022</t>
        </is>
      </c>
      <c r="B363" s="1" t="n">
        <v>44671</v>
      </c>
      <c r="C363" s="1" t="n">
        <v>45992</v>
      </c>
      <c r="D363" t="inlineStr">
        <is>
          <t>ÖREBRO LÄN</t>
        </is>
      </c>
      <c r="E363" t="inlineStr">
        <is>
          <t>ÖREBRO</t>
        </is>
      </c>
      <c r="F363" t="inlineStr">
        <is>
          <t>Övriga Aktiebolag</t>
        </is>
      </c>
      <c r="G363" t="n">
        <v>30.3</v>
      </c>
      <c r="H363" t="n">
        <v>0</v>
      </c>
      <c r="I363" t="n">
        <v>0</v>
      </c>
      <c r="J363" t="n">
        <v>0</v>
      </c>
      <c r="K363" t="n">
        <v>0</v>
      </c>
      <c r="L363" t="n">
        <v>0</v>
      </c>
      <c r="M363" t="n">
        <v>0</v>
      </c>
      <c r="N363" t="n">
        <v>0</v>
      </c>
      <c r="O363" t="n">
        <v>0</v>
      </c>
      <c r="P363" t="n">
        <v>0</v>
      </c>
      <c r="Q363" t="n">
        <v>0</v>
      </c>
      <c r="R363" s="2" t="inlineStr"/>
    </row>
    <row r="364" ht="15" customHeight="1">
      <c r="A364" t="inlineStr">
        <is>
          <t>A 27956-2023</t>
        </is>
      </c>
      <c r="B364" s="1" t="n">
        <v>45098</v>
      </c>
      <c r="C364" s="1" t="n">
        <v>45992</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13321-2024</t>
        </is>
      </c>
      <c r="B365" s="1" t="n">
        <v>45386.83142361111</v>
      </c>
      <c r="C365" s="1" t="n">
        <v>45992</v>
      </c>
      <c r="D365" t="inlineStr">
        <is>
          <t>ÖREBRO LÄN</t>
        </is>
      </c>
      <c r="E365" t="inlineStr">
        <is>
          <t>ÖREBRO</t>
        </is>
      </c>
      <c r="G365" t="n">
        <v>13.1</v>
      </c>
      <c r="H365" t="n">
        <v>0</v>
      </c>
      <c r="I365" t="n">
        <v>0</v>
      </c>
      <c r="J365" t="n">
        <v>0</v>
      </c>
      <c r="K365" t="n">
        <v>0</v>
      </c>
      <c r="L365" t="n">
        <v>0</v>
      </c>
      <c r="M365" t="n">
        <v>0</v>
      </c>
      <c r="N365" t="n">
        <v>0</v>
      </c>
      <c r="O365" t="n">
        <v>0</v>
      </c>
      <c r="P365" t="n">
        <v>0</v>
      </c>
      <c r="Q365" t="n">
        <v>0</v>
      </c>
      <c r="R365" s="2" t="inlineStr"/>
    </row>
    <row r="366" ht="15" customHeight="1">
      <c r="A366" t="inlineStr">
        <is>
          <t>A 15652-2025</t>
        </is>
      </c>
      <c r="B366" s="1" t="n">
        <v>45748</v>
      </c>
      <c r="C366" s="1" t="n">
        <v>45992</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16737-2023</t>
        </is>
      </c>
      <c r="B367" s="1" t="n">
        <v>45030.72472222222</v>
      </c>
      <c r="C367" s="1" t="n">
        <v>45992</v>
      </c>
      <c r="D367" t="inlineStr">
        <is>
          <t>ÖREBRO LÄN</t>
        </is>
      </c>
      <c r="E367" t="inlineStr">
        <is>
          <t>ÖREBRO</t>
        </is>
      </c>
      <c r="G367" t="n">
        <v>1.2</v>
      </c>
      <c r="H367" t="n">
        <v>0</v>
      </c>
      <c r="I367" t="n">
        <v>0</v>
      </c>
      <c r="J367" t="n">
        <v>0</v>
      </c>
      <c r="K367" t="n">
        <v>0</v>
      </c>
      <c r="L367" t="n">
        <v>0</v>
      </c>
      <c r="M367" t="n">
        <v>0</v>
      </c>
      <c r="N367" t="n">
        <v>0</v>
      </c>
      <c r="O367" t="n">
        <v>0</v>
      </c>
      <c r="P367" t="n">
        <v>0</v>
      </c>
      <c r="Q367" t="n">
        <v>0</v>
      </c>
      <c r="R367" s="2" t="inlineStr"/>
    </row>
    <row r="368" ht="15" customHeight="1">
      <c r="A368" t="inlineStr">
        <is>
          <t>A 5762-2025</t>
        </is>
      </c>
      <c r="B368" s="1" t="n">
        <v>45694.57181712963</v>
      </c>
      <c r="C368" s="1" t="n">
        <v>45992</v>
      </c>
      <c r="D368" t="inlineStr">
        <is>
          <t>ÖREBRO LÄN</t>
        </is>
      </c>
      <c r="E368" t="inlineStr">
        <is>
          <t>ÖREBRO</t>
        </is>
      </c>
      <c r="F368" t="inlineStr">
        <is>
          <t>Övriga Aktiebolag</t>
        </is>
      </c>
      <c r="G368" t="n">
        <v>1.5</v>
      </c>
      <c r="H368" t="n">
        <v>0</v>
      </c>
      <c r="I368" t="n">
        <v>0</v>
      </c>
      <c r="J368" t="n">
        <v>0</v>
      </c>
      <c r="K368" t="n">
        <v>0</v>
      </c>
      <c r="L368" t="n">
        <v>0</v>
      </c>
      <c r="M368" t="n">
        <v>0</v>
      </c>
      <c r="N368" t="n">
        <v>0</v>
      </c>
      <c r="O368" t="n">
        <v>0</v>
      </c>
      <c r="P368" t="n">
        <v>0</v>
      </c>
      <c r="Q368" t="n">
        <v>0</v>
      </c>
      <c r="R368" s="2" t="inlineStr"/>
    </row>
    <row r="369" ht="15" customHeight="1">
      <c r="A369" t="inlineStr">
        <is>
          <t>A 51180-2023</t>
        </is>
      </c>
      <c r="B369" s="1" t="n">
        <v>45219</v>
      </c>
      <c r="C369" s="1" t="n">
        <v>45992</v>
      </c>
      <c r="D369" t="inlineStr">
        <is>
          <t>ÖREBRO LÄN</t>
        </is>
      </c>
      <c r="E369" t="inlineStr">
        <is>
          <t>ÖREBRO</t>
        </is>
      </c>
      <c r="G369" t="n">
        <v>6.5</v>
      </c>
      <c r="H369" t="n">
        <v>0</v>
      </c>
      <c r="I369" t="n">
        <v>0</v>
      </c>
      <c r="J369" t="n">
        <v>0</v>
      </c>
      <c r="K369" t="n">
        <v>0</v>
      </c>
      <c r="L369" t="n">
        <v>0</v>
      </c>
      <c r="M369" t="n">
        <v>0</v>
      </c>
      <c r="N369" t="n">
        <v>0</v>
      </c>
      <c r="O369" t="n">
        <v>0</v>
      </c>
      <c r="P369" t="n">
        <v>0</v>
      </c>
      <c r="Q369" t="n">
        <v>0</v>
      </c>
      <c r="R369" s="2" t="inlineStr"/>
    </row>
    <row r="370" ht="15" customHeight="1">
      <c r="A370" t="inlineStr">
        <is>
          <t>A 58621-2024</t>
        </is>
      </c>
      <c r="B370" s="1" t="n">
        <v>45635.56321759259</v>
      </c>
      <c r="C370" s="1" t="n">
        <v>45992</v>
      </c>
      <c r="D370" t="inlineStr">
        <is>
          <t>ÖREBRO LÄN</t>
        </is>
      </c>
      <c r="E370" t="inlineStr">
        <is>
          <t>ÖREBRO</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5578-2024</t>
        </is>
      </c>
      <c r="B371" s="1" t="n">
        <v>45334.49104166667</v>
      </c>
      <c r="C371" s="1" t="n">
        <v>45992</v>
      </c>
      <c r="D371" t="inlineStr">
        <is>
          <t>ÖREBRO LÄN</t>
        </is>
      </c>
      <c r="E371" t="inlineStr">
        <is>
          <t>ÖREBRO</t>
        </is>
      </c>
      <c r="G371" t="n">
        <v>2.4</v>
      </c>
      <c r="H371" t="n">
        <v>0</v>
      </c>
      <c r="I371" t="n">
        <v>0</v>
      </c>
      <c r="J371" t="n">
        <v>0</v>
      </c>
      <c r="K371" t="n">
        <v>0</v>
      </c>
      <c r="L371" t="n">
        <v>0</v>
      </c>
      <c r="M371" t="n">
        <v>0</v>
      </c>
      <c r="N371" t="n">
        <v>0</v>
      </c>
      <c r="O371" t="n">
        <v>0</v>
      </c>
      <c r="P371" t="n">
        <v>0</v>
      </c>
      <c r="Q371" t="n">
        <v>0</v>
      </c>
      <c r="R371" s="2" t="inlineStr"/>
    </row>
    <row r="372" ht="15" customHeight="1">
      <c r="A372" t="inlineStr">
        <is>
          <t>A 11663-2024</t>
        </is>
      </c>
      <c r="B372" s="1" t="n">
        <v>45373</v>
      </c>
      <c r="C372" s="1" t="n">
        <v>45992</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32086-2023</t>
        </is>
      </c>
      <c r="B373" s="1" t="n">
        <v>45119.59789351852</v>
      </c>
      <c r="C373" s="1" t="n">
        <v>45992</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22079-2023</t>
        </is>
      </c>
      <c r="B374" s="1" t="n">
        <v>45069</v>
      </c>
      <c r="C374" s="1" t="n">
        <v>45992</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48454-2025</t>
        </is>
      </c>
      <c r="B375" s="1" t="n">
        <v>45935.80164351852</v>
      </c>
      <c r="C375" s="1" t="n">
        <v>45992</v>
      </c>
      <c r="D375" t="inlineStr">
        <is>
          <t>ÖREBRO LÄN</t>
        </is>
      </c>
      <c r="E375" t="inlineStr">
        <is>
          <t>ÖREBRO</t>
        </is>
      </c>
      <c r="F375" t="inlineStr">
        <is>
          <t>Övriga Aktiebolag</t>
        </is>
      </c>
      <c r="G375" t="n">
        <v>18.1</v>
      </c>
      <c r="H375" t="n">
        <v>0</v>
      </c>
      <c r="I375" t="n">
        <v>0</v>
      </c>
      <c r="J375" t="n">
        <v>0</v>
      </c>
      <c r="K375" t="n">
        <v>0</v>
      </c>
      <c r="L375" t="n">
        <v>0</v>
      </c>
      <c r="M375" t="n">
        <v>0</v>
      </c>
      <c r="N375" t="n">
        <v>0</v>
      </c>
      <c r="O375" t="n">
        <v>0</v>
      </c>
      <c r="P375" t="n">
        <v>0</v>
      </c>
      <c r="Q375" t="n">
        <v>0</v>
      </c>
      <c r="R375" s="2" t="inlineStr"/>
    </row>
    <row r="376" ht="15" customHeight="1">
      <c r="A376" t="inlineStr">
        <is>
          <t>A 2630-2023</t>
        </is>
      </c>
      <c r="B376" s="1" t="n">
        <v>44944.39105324074</v>
      </c>
      <c r="C376" s="1" t="n">
        <v>45992</v>
      </c>
      <c r="D376" t="inlineStr">
        <is>
          <t>ÖREBRO LÄN</t>
        </is>
      </c>
      <c r="E376" t="inlineStr">
        <is>
          <t>ÖREBRO</t>
        </is>
      </c>
      <c r="G376" t="n">
        <v>6.1</v>
      </c>
      <c r="H376" t="n">
        <v>0</v>
      </c>
      <c r="I376" t="n">
        <v>0</v>
      </c>
      <c r="J376" t="n">
        <v>0</v>
      </c>
      <c r="K376" t="n">
        <v>0</v>
      </c>
      <c r="L376" t="n">
        <v>0</v>
      </c>
      <c r="M376" t="n">
        <v>0</v>
      </c>
      <c r="N376" t="n">
        <v>0</v>
      </c>
      <c r="O376" t="n">
        <v>0</v>
      </c>
      <c r="P376" t="n">
        <v>0</v>
      </c>
      <c r="Q376" t="n">
        <v>0</v>
      </c>
      <c r="R376" s="2" t="inlineStr"/>
    </row>
    <row r="377" ht="15" customHeight="1">
      <c r="A377" t="inlineStr">
        <is>
          <t>A 5330-2024</t>
        </is>
      </c>
      <c r="B377" s="1" t="n">
        <v>45331.4187962963</v>
      </c>
      <c r="C377" s="1" t="n">
        <v>45992</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54925-2023</t>
        </is>
      </c>
      <c r="B378" s="1" t="n">
        <v>45229</v>
      </c>
      <c r="C378" s="1" t="n">
        <v>45992</v>
      </c>
      <c r="D378" t="inlineStr">
        <is>
          <t>ÖREBRO LÄN</t>
        </is>
      </c>
      <c r="E378" t="inlineStr">
        <is>
          <t>ÖREBRO</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10830-2023</t>
        </is>
      </c>
      <c r="B379" s="1" t="n">
        <v>44990.89752314815</v>
      </c>
      <c r="C379" s="1" t="n">
        <v>45992</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9585-2025</t>
        </is>
      </c>
      <c r="B380" s="1" t="n">
        <v>45715.63409722222</v>
      </c>
      <c r="C380" s="1" t="n">
        <v>45992</v>
      </c>
      <c r="D380" t="inlineStr">
        <is>
          <t>ÖREBRO LÄN</t>
        </is>
      </c>
      <c r="E380" t="inlineStr">
        <is>
          <t>ÖREBRO</t>
        </is>
      </c>
      <c r="G380" t="n">
        <v>3.4</v>
      </c>
      <c r="H380" t="n">
        <v>0</v>
      </c>
      <c r="I380" t="n">
        <v>0</v>
      </c>
      <c r="J380" t="n">
        <v>0</v>
      </c>
      <c r="K380" t="n">
        <v>0</v>
      </c>
      <c r="L380" t="n">
        <v>0</v>
      </c>
      <c r="M380" t="n">
        <v>0</v>
      </c>
      <c r="N380" t="n">
        <v>0</v>
      </c>
      <c r="O380" t="n">
        <v>0</v>
      </c>
      <c r="P380" t="n">
        <v>0</v>
      </c>
      <c r="Q380" t="n">
        <v>0</v>
      </c>
      <c r="R380" s="2" t="inlineStr"/>
    </row>
    <row r="381" ht="15" customHeight="1">
      <c r="A381" t="inlineStr">
        <is>
          <t>A 57537-2025</t>
        </is>
      </c>
      <c r="B381" s="1" t="n">
        <v>45980.6446875</v>
      </c>
      <c r="C381" s="1" t="n">
        <v>45992</v>
      </c>
      <c r="D381" t="inlineStr">
        <is>
          <t>ÖREBRO LÄN</t>
        </is>
      </c>
      <c r="E381" t="inlineStr">
        <is>
          <t>ÖREBRO</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5125-2024</t>
        </is>
      </c>
      <c r="B382" s="1" t="n">
        <v>45330</v>
      </c>
      <c r="C382" s="1" t="n">
        <v>45992</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42138-2024</t>
        </is>
      </c>
      <c r="B383" s="1" t="n">
        <v>45562.41854166667</v>
      </c>
      <c r="C383" s="1" t="n">
        <v>45992</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26101-2022</t>
        </is>
      </c>
      <c r="B384" s="1" t="n">
        <v>44734</v>
      </c>
      <c r="C384" s="1" t="n">
        <v>45992</v>
      </c>
      <c r="D384" t="inlineStr">
        <is>
          <t>ÖREBRO LÄN</t>
        </is>
      </c>
      <c r="E384" t="inlineStr">
        <is>
          <t>ÖREBRO</t>
        </is>
      </c>
      <c r="G384" t="n">
        <v>15.8</v>
      </c>
      <c r="H384" t="n">
        <v>0</v>
      </c>
      <c r="I384" t="n">
        <v>0</v>
      </c>
      <c r="J384" t="n">
        <v>0</v>
      </c>
      <c r="K384" t="n">
        <v>0</v>
      </c>
      <c r="L384" t="n">
        <v>0</v>
      </c>
      <c r="M384" t="n">
        <v>0</v>
      </c>
      <c r="N384" t="n">
        <v>0</v>
      </c>
      <c r="O384" t="n">
        <v>0</v>
      </c>
      <c r="P384" t="n">
        <v>0</v>
      </c>
      <c r="Q384" t="n">
        <v>0</v>
      </c>
      <c r="R384" s="2" t="inlineStr"/>
    </row>
    <row r="385" ht="15" customHeight="1">
      <c r="A385" t="inlineStr">
        <is>
          <t>A 2095-2025</t>
        </is>
      </c>
      <c r="B385" s="1" t="n">
        <v>45672</v>
      </c>
      <c r="C385" s="1" t="n">
        <v>45992</v>
      </c>
      <c r="D385" t="inlineStr">
        <is>
          <t>ÖREBRO LÄN</t>
        </is>
      </c>
      <c r="E385" t="inlineStr">
        <is>
          <t>ÖREBRO</t>
        </is>
      </c>
      <c r="G385" t="n">
        <v>1.2</v>
      </c>
      <c r="H385" t="n">
        <v>0</v>
      </c>
      <c r="I385" t="n">
        <v>0</v>
      </c>
      <c r="J385" t="n">
        <v>0</v>
      </c>
      <c r="K385" t="n">
        <v>0</v>
      </c>
      <c r="L385" t="n">
        <v>0</v>
      </c>
      <c r="M385" t="n">
        <v>0</v>
      </c>
      <c r="N385" t="n">
        <v>0</v>
      </c>
      <c r="O385" t="n">
        <v>0</v>
      </c>
      <c r="P385" t="n">
        <v>0</v>
      </c>
      <c r="Q385" t="n">
        <v>0</v>
      </c>
      <c r="R385" s="2" t="inlineStr"/>
    </row>
    <row r="386" ht="15" customHeight="1">
      <c r="A386" t="inlineStr">
        <is>
          <t>A 71206-2021</t>
        </is>
      </c>
      <c r="B386" s="1" t="n">
        <v>44539</v>
      </c>
      <c r="C386" s="1" t="n">
        <v>45992</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48140-2024</t>
        </is>
      </c>
      <c r="B387" s="1" t="n">
        <v>45589.66474537037</v>
      </c>
      <c r="C387" s="1" t="n">
        <v>45992</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41703-2024</t>
        </is>
      </c>
      <c r="B388" s="1" t="n">
        <v>45560</v>
      </c>
      <c r="C388" s="1" t="n">
        <v>45992</v>
      </c>
      <c r="D388" t="inlineStr">
        <is>
          <t>ÖREBRO LÄN</t>
        </is>
      </c>
      <c r="E388" t="inlineStr">
        <is>
          <t>ÖREBRO</t>
        </is>
      </c>
      <c r="G388" t="n">
        <v>6.4</v>
      </c>
      <c r="H388" t="n">
        <v>0</v>
      </c>
      <c r="I388" t="n">
        <v>0</v>
      </c>
      <c r="J388" t="n">
        <v>0</v>
      </c>
      <c r="K388" t="n">
        <v>0</v>
      </c>
      <c r="L388" t="n">
        <v>0</v>
      </c>
      <c r="M388" t="n">
        <v>0</v>
      </c>
      <c r="N388" t="n">
        <v>0</v>
      </c>
      <c r="O388" t="n">
        <v>0</v>
      </c>
      <c r="P388" t="n">
        <v>0</v>
      </c>
      <c r="Q388" t="n">
        <v>0</v>
      </c>
      <c r="R388" s="2" t="inlineStr"/>
    </row>
    <row r="389" ht="15" customHeight="1">
      <c r="A389" t="inlineStr">
        <is>
          <t>A 58230-2025</t>
        </is>
      </c>
      <c r="B389" s="1" t="n">
        <v>45985.38037037037</v>
      </c>
      <c r="C389" s="1" t="n">
        <v>45992</v>
      </c>
      <c r="D389" t="inlineStr">
        <is>
          <t>ÖREBRO LÄN</t>
        </is>
      </c>
      <c r="E389" t="inlineStr">
        <is>
          <t>ÖREBRO</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33577-2023</t>
        </is>
      </c>
      <c r="B390" s="1" t="n">
        <v>45131</v>
      </c>
      <c r="C390" s="1" t="n">
        <v>45992</v>
      </c>
      <c r="D390" t="inlineStr">
        <is>
          <t>ÖREBRO LÄN</t>
        </is>
      </c>
      <c r="E390" t="inlineStr">
        <is>
          <t>ÖREBRO</t>
        </is>
      </c>
      <c r="G390" t="n">
        <v>2</v>
      </c>
      <c r="H390" t="n">
        <v>0</v>
      </c>
      <c r="I390" t="n">
        <v>0</v>
      </c>
      <c r="J390" t="n">
        <v>0</v>
      </c>
      <c r="K390" t="n">
        <v>0</v>
      </c>
      <c r="L390" t="n">
        <v>0</v>
      </c>
      <c r="M390" t="n">
        <v>0</v>
      </c>
      <c r="N390" t="n">
        <v>0</v>
      </c>
      <c r="O390" t="n">
        <v>0</v>
      </c>
      <c r="P390" t="n">
        <v>0</v>
      </c>
      <c r="Q390" t="n">
        <v>0</v>
      </c>
      <c r="R390" s="2" t="inlineStr"/>
    </row>
    <row r="391" ht="15" customHeight="1">
      <c r="A391" t="inlineStr">
        <is>
          <t>A 38489-2023</t>
        </is>
      </c>
      <c r="B391" s="1" t="n">
        <v>45162</v>
      </c>
      <c r="C391" s="1" t="n">
        <v>45992</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19763-2024</t>
        </is>
      </c>
      <c r="B392" s="1" t="n">
        <v>45432</v>
      </c>
      <c r="C392" s="1" t="n">
        <v>45992</v>
      </c>
      <c r="D392" t="inlineStr">
        <is>
          <t>ÖREBRO LÄN</t>
        </is>
      </c>
      <c r="E392" t="inlineStr">
        <is>
          <t>ÖREBRO</t>
        </is>
      </c>
      <c r="G392" t="n">
        <v>1.9</v>
      </c>
      <c r="H392" t="n">
        <v>0</v>
      </c>
      <c r="I392" t="n">
        <v>0</v>
      </c>
      <c r="J392" t="n">
        <v>0</v>
      </c>
      <c r="K392" t="n">
        <v>0</v>
      </c>
      <c r="L392" t="n">
        <v>0</v>
      </c>
      <c r="M392" t="n">
        <v>0</v>
      </c>
      <c r="N392" t="n">
        <v>0</v>
      </c>
      <c r="O392" t="n">
        <v>0</v>
      </c>
      <c r="P392" t="n">
        <v>0</v>
      </c>
      <c r="Q392" t="n">
        <v>0</v>
      </c>
      <c r="R392" s="2" t="inlineStr"/>
    </row>
    <row r="393" ht="15" customHeight="1">
      <c r="A393" t="inlineStr">
        <is>
          <t>A 14545-2023</t>
        </is>
      </c>
      <c r="B393" s="1" t="n">
        <v>45013.34895833334</v>
      </c>
      <c r="C393" s="1" t="n">
        <v>45992</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54917-2023</t>
        </is>
      </c>
      <c r="B394" s="1" t="n">
        <v>45229</v>
      </c>
      <c r="C394" s="1" t="n">
        <v>45992</v>
      </c>
      <c r="D394" t="inlineStr">
        <is>
          <t>ÖREBRO LÄN</t>
        </is>
      </c>
      <c r="E394" t="inlineStr">
        <is>
          <t>ÖREBRO</t>
        </is>
      </c>
      <c r="G394" t="n">
        <v>3.1</v>
      </c>
      <c r="H394" t="n">
        <v>0</v>
      </c>
      <c r="I394" t="n">
        <v>0</v>
      </c>
      <c r="J394" t="n">
        <v>0</v>
      </c>
      <c r="K394" t="n">
        <v>0</v>
      </c>
      <c r="L394" t="n">
        <v>0</v>
      </c>
      <c r="M394" t="n">
        <v>0</v>
      </c>
      <c r="N394" t="n">
        <v>0</v>
      </c>
      <c r="O394" t="n">
        <v>0</v>
      </c>
      <c r="P394" t="n">
        <v>0</v>
      </c>
      <c r="Q394" t="n">
        <v>0</v>
      </c>
      <c r="R394" s="2" t="inlineStr"/>
    </row>
    <row r="395" ht="15" customHeight="1">
      <c r="A395" t="inlineStr">
        <is>
          <t>A 14432-2023</t>
        </is>
      </c>
      <c r="B395" s="1" t="n">
        <v>45012</v>
      </c>
      <c r="C395" s="1" t="n">
        <v>45992</v>
      </c>
      <c r="D395" t="inlineStr">
        <is>
          <t>ÖREBRO LÄN</t>
        </is>
      </c>
      <c r="E395" t="inlineStr">
        <is>
          <t>ÖREBRO</t>
        </is>
      </c>
      <c r="G395" t="n">
        <v>3.3</v>
      </c>
      <c r="H395" t="n">
        <v>0</v>
      </c>
      <c r="I395" t="n">
        <v>0</v>
      </c>
      <c r="J395" t="n">
        <v>0</v>
      </c>
      <c r="K395" t="n">
        <v>0</v>
      </c>
      <c r="L395" t="n">
        <v>0</v>
      </c>
      <c r="M395" t="n">
        <v>0</v>
      </c>
      <c r="N395" t="n">
        <v>0</v>
      </c>
      <c r="O395" t="n">
        <v>0</v>
      </c>
      <c r="P395" t="n">
        <v>0</v>
      </c>
      <c r="Q395" t="n">
        <v>0</v>
      </c>
      <c r="R395" s="2" t="inlineStr"/>
    </row>
    <row r="396" ht="15" customHeight="1">
      <c r="A396" t="inlineStr">
        <is>
          <t>A 3652-2022</t>
        </is>
      </c>
      <c r="B396" s="1" t="n">
        <v>44586.46921296296</v>
      </c>
      <c r="C396" s="1" t="n">
        <v>45992</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37021-2024</t>
        </is>
      </c>
      <c r="B397" s="1" t="n">
        <v>45539.38146990741</v>
      </c>
      <c r="C397" s="1" t="n">
        <v>45992</v>
      </c>
      <c r="D397" t="inlineStr">
        <is>
          <t>ÖREBRO LÄN</t>
        </is>
      </c>
      <c r="E397" t="inlineStr">
        <is>
          <t>ÖREBRO</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52499-2024</t>
        </is>
      </c>
      <c r="B398" s="1" t="n">
        <v>45609.58422453704</v>
      </c>
      <c r="C398" s="1" t="n">
        <v>45992</v>
      </c>
      <c r="D398" t="inlineStr">
        <is>
          <t>ÖREBRO LÄN</t>
        </is>
      </c>
      <c r="E398" t="inlineStr">
        <is>
          <t>ÖREBRO</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8374-2021</t>
        </is>
      </c>
      <c r="B399" s="1" t="n">
        <v>44244</v>
      </c>
      <c r="C399" s="1" t="n">
        <v>45992</v>
      </c>
      <c r="D399" t="inlineStr">
        <is>
          <t>ÖREBRO LÄN</t>
        </is>
      </c>
      <c r="E399" t="inlineStr">
        <is>
          <t>ÖREBRO</t>
        </is>
      </c>
      <c r="G399" t="n">
        <v>0.6</v>
      </c>
      <c r="H399" t="n">
        <v>0</v>
      </c>
      <c r="I399" t="n">
        <v>0</v>
      </c>
      <c r="J399" t="n">
        <v>0</v>
      </c>
      <c r="K399" t="n">
        <v>0</v>
      </c>
      <c r="L399" t="n">
        <v>0</v>
      </c>
      <c r="M399" t="n">
        <v>0</v>
      </c>
      <c r="N399" t="n">
        <v>0</v>
      </c>
      <c r="O399" t="n">
        <v>0</v>
      </c>
      <c r="P399" t="n">
        <v>0</v>
      </c>
      <c r="Q399" t="n">
        <v>0</v>
      </c>
      <c r="R399" s="2" t="inlineStr"/>
    </row>
    <row r="400" ht="15" customHeight="1">
      <c r="A400" t="inlineStr">
        <is>
          <t>A 58835-2025</t>
        </is>
      </c>
      <c r="B400" s="1" t="n">
        <v>45987.35519675926</v>
      </c>
      <c r="C400" s="1" t="n">
        <v>45992</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14960-2025</t>
        </is>
      </c>
      <c r="B401" s="1" t="n">
        <v>45743.5853125</v>
      </c>
      <c r="C401" s="1" t="n">
        <v>45992</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13623-2024</t>
        </is>
      </c>
      <c r="B402" s="1" t="n">
        <v>45390.38626157407</v>
      </c>
      <c r="C402" s="1" t="n">
        <v>45992</v>
      </c>
      <c r="D402" t="inlineStr">
        <is>
          <t>ÖREBRO LÄN</t>
        </is>
      </c>
      <c r="E402" t="inlineStr">
        <is>
          <t>ÖREBRO</t>
        </is>
      </c>
      <c r="G402" t="n">
        <v>1.1</v>
      </c>
      <c r="H402" t="n">
        <v>0</v>
      </c>
      <c r="I402" t="n">
        <v>0</v>
      </c>
      <c r="J402" t="n">
        <v>0</v>
      </c>
      <c r="K402" t="n">
        <v>0</v>
      </c>
      <c r="L402" t="n">
        <v>0</v>
      </c>
      <c r="M402" t="n">
        <v>0</v>
      </c>
      <c r="N402" t="n">
        <v>0</v>
      </c>
      <c r="O402" t="n">
        <v>0</v>
      </c>
      <c r="P402" t="n">
        <v>0</v>
      </c>
      <c r="Q402" t="n">
        <v>0</v>
      </c>
      <c r="R402" s="2" t="inlineStr"/>
    </row>
    <row r="403" ht="15" customHeight="1">
      <c r="A403" t="inlineStr">
        <is>
          <t>A 50311-2025</t>
        </is>
      </c>
      <c r="B403" s="1" t="n">
        <v>45944</v>
      </c>
      <c r="C403" s="1" t="n">
        <v>45992</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5619-2023</t>
        </is>
      </c>
      <c r="B404" s="1" t="n">
        <v>44958</v>
      </c>
      <c r="C404" s="1" t="n">
        <v>45992</v>
      </c>
      <c r="D404" t="inlineStr">
        <is>
          <t>ÖREBRO LÄN</t>
        </is>
      </c>
      <c r="E404" t="inlineStr">
        <is>
          <t>ÖREBRO</t>
        </is>
      </c>
      <c r="G404" t="n">
        <v>27</v>
      </c>
      <c r="H404" t="n">
        <v>0</v>
      </c>
      <c r="I404" t="n">
        <v>0</v>
      </c>
      <c r="J404" t="n">
        <v>0</v>
      </c>
      <c r="K404" t="n">
        <v>0</v>
      </c>
      <c r="L404" t="n">
        <v>0</v>
      </c>
      <c r="M404" t="n">
        <v>0</v>
      </c>
      <c r="N404" t="n">
        <v>0</v>
      </c>
      <c r="O404" t="n">
        <v>0</v>
      </c>
      <c r="P404" t="n">
        <v>0</v>
      </c>
      <c r="Q404" t="n">
        <v>0</v>
      </c>
      <c r="R404" s="2" t="inlineStr"/>
    </row>
    <row r="405" ht="15" customHeight="1">
      <c r="A405" t="inlineStr">
        <is>
          <t>A 37277-2022</t>
        </is>
      </c>
      <c r="B405" s="1" t="n">
        <v>44807.49150462963</v>
      </c>
      <c r="C405" s="1" t="n">
        <v>45992</v>
      </c>
      <c r="D405" t="inlineStr">
        <is>
          <t>ÖREBRO LÄN</t>
        </is>
      </c>
      <c r="E405" t="inlineStr">
        <is>
          <t>ÖREBRO</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58838-2025</t>
        </is>
      </c>
      <c r="B406" s="1" t="n">
        <v>45987.35973379629</v>
      </c>
      <c r="C406" s="1" t="n">
        <v>45992</v>
      </c>
      <c r="D406" t="inlineStr">
        <is>
          <t>ÖREBRO LÄN</t>
        </is>
      </c>
      <c r="E406" t="inlineStr">
        <is>
          <t>ÖREBRO</t>
        </is>
      </c>
      <c r="G406" t="n">
        <v>1.7</v>
      </c>
      <c r="H406" t="n">
        <v>0</v>
      </c>
      <c r="I406" t="n">
        <v>0</v>
      </c>
      <c r="J406" t="n">
        <v>0</v>
      </c>
      <c r="K406" t="n">
        <v>0</v>
      </c>
      <c r="L406" t="n">
        <v>0</v>
      </c>
      <c r="M406" t="n">
        <v>0</v>
      </c>
      <c r="N406" t="n">
        <v>0</v>
      </c>
      <c r="O406" t="n">
        <v>0</v>
      </c>
      <c r="P406" t="n">
        <v>0</v>
      </c>
      <c r="Q406" t="n">
        <v>0</v>
      </c>
      <c r="R406" s="2" t="inlineStr"/>
    </row>
    <row r="407" ht="15" customHeight="1">
      <c r="A407" t="inlineStr">
        <is>
          <t>A 23573-2023</t>
        </is>
      </c>
      <c r="B407" s="1" t="n">
        <v>45077.41672453703</v>
      </c>
      <c r="C407" s="1" t="n">
        <v>45992</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58587-2025</t>
        </is>
      </c>
      <c r="B408" s="1" t="n">
        <v>45986.40208333333</v>
      </c>
      <c r="C408" s="1" t="n">
        <v>45992</v>
      </c>
      <c r="D408" t="inlineStr">
        <is>
          <t>ÖREBRO LÄN</t>
        </is>
      </c>
      <c r="E408" t="inlineStr">
        <is>
          <t>ÖREBRO</t>
        </is>
      </c>
      <c r="G408" t="n">
        <v>1.6</v>
      </c>
      <c r="H408" t="n">
        <v>0</v>
      </c>
      <c r="I408" t="n">
        <v>0</v>
      </c>
      <c r="J408" t="n">
        <v>0</v>
      </c>
      <c r="K408" t="n">
        <v>0</v>
      </c>
      <c r="L408" t="n">
        <v>0</v>
      </c>
      <c r="M408" t="n">
        <v>0</v>
      </c>
      <c r="N408" t="n">
        <v>0</v>
      </c>
      <c r="O408" t="n">
        <v>0</v>
      </c>
      <c r="P408" t="n">
        <v>0</v>
      </c>
      <c r="Q408" t="n">
        <v>0</v>
      </c>
      <c r="R408" s="2" t="inlineStr"/>
    </row>
    <row r="409" ht="15" customHeight="1">
      <c r="A409" t="inlineStr">
        <is>
          <t>A 61593-2023</t>
        </is>
      </c>
      <c r="B409" s="1" t="n">
        <v>45265</v>
      </c>
      <c r="C409" s="1" t="n">
        <v>45992</v>
      </c>
      <c r="D409" t="inlineStr">
        <is>
          <t>ÖREBRO LÄN</t>
        </is>
      </c>
      <c r="E409" t="inlineStr">
        <is>
          <t>ÖREBRO</t>
        </is>
      </c>
      <c r="G409" t="n">
        <v>2.5</v>
      </c>
      <c r="H409" t="n">
        <v>0</v>
      </c>
      <c r="I409" t="n">
        <v>0</v>
      </c>
      <c r="J409" t="n">
        <v>0</v>
      </c>
      <c r="K409" t="n">
        <v>0</v>
      </c>
      <c r="L409" t="n">
        <v>0</v>
      </c>
      <c r="M409" t="n">
        <v>0</v>
      </c>
      <c r="N409" t="n">
        <v>0</v>
      </c>
      <c r="O409" t="n">
        <v>0</v>
      </c>
      <c r="P409" t="n">
        <v>0</v>
      </c>
      <c r="Q409" t="n">
        <v>0</v>
      </c>
      <c r="R409" s="2" t="inlineStr"/>
    </row>
    <row r="410" ht="15" customHeight="1">
      <c r="A410" t="inlineStr">
        <is>
          <t>A 59024-2024</t>
        </is>
      </c>
      <c r="B410" s="1" t="n">
        <v>45636.68505787037</v>
      </c>
      <c r="C410" s="1" t="n">
        <v>45992</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59145-2025</t>
        </is>
      </c>
      <c r="B411" s="1" t="n">
        <v>45988.52015046297</v>
      </c>
      <c r="C411" s="1" t="n">
        <v>45992</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10339-2023</t>
        </is>
      </c>
      <c r="B412" s="1" t="n">
        <v>44987</v>
      </c>
      <c r="C412" s="1" t="n">
        <v>45992</v>
      </c>
      <c r="D412" t="inlineStr">
        <is>
          <t>ÖREBRO LÄN</t>
        </is>
      </c>
      <c r="E412" t="inlineStr">
        <is>
          <t>ÖREBRO</t>
        </is>
      </c>
      <c r="G412" t="n">
        <v>1</v>
      </c>
      <c r="H412" t="n">
        <v>0</v>
      </c>
      <c r="I412" t="n">
        <v>0</v>
      </c>
      <c r="J412" t="n">
        <v>0</v>
      </c>
      <c r="K412" t="n">
        <v>0</v>
      </c>
      <c r="L412" t="n">
        <v>0</v>
      </c>
      <c r="M412" t="n">
        <v>0</v>
      </c>
      <c r="N412" t="n">
        <v>0</v>
      </c>
      <c r="O412" t="n">
        <v>0</v>
      </c>
      <c r="P412" t="n">
        <v>0</v>
      </c>
      <c r="Q412" t="n">
        <v>0</v>
      </c>
      <c r="R412" s="2" t="inlineStr"/>
    </row>
    <row r="413" ht="15" customHeight="1">
      <c r="A413" t="inlineStr">
        <is>
          <t>A 31247-2023</t>
        </is>
      </c>
      <c r="B413" s="1" t="n">
        <v>45114</v>
      </c>
      <c r="C413" s="1" t="n">
        <v>45992</v>
      </c>
      <c r="D413" t="inlineStr">
        <is>
          <t>ÖREBRO LÄN</t>
        </is>
      </c>
      <c r="E413" t="inlineStr">
        <is>
          <t>ÖREBRO</t>
        </is>
      </c>
      <c r="F413" t="inlineStr">
        <is>
          <t>Allmännings- och besparingsskogar</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16165-2023</t>
        </is>
      </c>
      <c r="B414" s="1" t="n">
        <v>45027</v>
      </c>
      <c r="C414" s="1" t="n">
        <v>45992</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39130-2023</t>
        </is>
      </c>
      <c r="B415" s="1" t="n">
        <v>45165</v>
      </c>
      <c r="C415" s="1" t="n">
        <v>45992</v>
      </c>
      <c r="D415" t="inlineStr">
        <is>
          <t>ÖREBRO LÄN</t>
        </is>
      </c>
      <c r="E415" t="inlineStr">
        <is>
          <t>ÖREBRO</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50398-2022</t>
        </is>
      </c>
      <c r="B416" s="1" t="n">
        <v>44861</v>
      </c>
      <c r="C416" s="1" t="n">
        <v>45992</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9379-2024</t>
        </is>
      </c>
      <c r="B417" s="1" t="n">
        <v>45359.37298611111</v>
      </c>
      <c r="C417" s="1" t="n">
        <v>45992</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59515-2025</t>
        </is>
      </c>
      <c r="B418" s="1" t="n">
        <v>45989.65238425926</v>
      </c>
      <c r="C418" s="1" t="n">
        <v>45992</v>
      </c>
      <c r="D418" t="inlineStr">
        <is>
          <t>ÖREBRO LÄN</t>
        </is>
      </c>
      <c r="E418" t="inlineStr">
        <is>
          <t>ÖREBRO</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59312-2025</t>
        </is>
      </c>
      <c r="B419" s="1" t="n">
        <v>45989.30467592592</v>
      </c>
      <c r="C419" s="1" t="n">
        <v>45992</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35345-2024</t>
        </is>
      </c>
      <c r="B420" s="1" t="n">
        <v>45530</v>
      </c>
      <c r="C420" s="1" t="n">
        <v>45992</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8568-2021</t>
        </is>
      </c>
      <c r="B421" s="1" t="n">
        <v>44245</v>
      </c>
      <c r="C421" s="1" t="n">
        <v>45992</v>
      </c>
      <c r="D421" t="inlineStr">
        <is>
          <t>ÖREBRO LÄN</t>
        </is>
      </c>
      <c r="E421" t="inlineStr">
        <is>
          <t>ÖREBRO</t>
        </is>
      </c>
      <c r="G421" t="n">
        <v>4.8</v>
      </c>
      <c r="H421" t="n">
        <v>0</v>
      </c>
      <c r="I421" t="n">
        <v>0</v>
      </c>
      <c r="J421" t="n">
        <v>0</v>
      </c>
      <c r="K421" t="n">
        <v>0</v>
      </c>
      <c r="L421" t="n">
        <v>0</v>
      </c>
      <c r="M421" t="n">
        <v>0</v>
      </c>
      <c r="N421" t="n">
        <v>0</v>
      </c>
      <c r="O421" t="n">
        <v>0</v>
      </c>
      <c r="P421" t="n">
        <v>0</v>
      </c>
      <c r="Q421" t="n">
        <v>0</v>
      </c>
      <c r="R421" s="2" t="inlineStr"/>
    </row>
    <row r="422" ht="15" customHeight="1">
      <c r="A422" t="inlineStr">
        <is>
          <t>A 59313-2025</t>
        </is>
      </c>
      <c r="B422" s="1" t="n">
        <v>45989.30920138889</v>
      </c>
      <c r="C422" s="1" t="n">
        <v>45992</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45517-2023</t>
        </is>
      </c>
      <c r="B423" s="1" t="n">
        <v>45194.49594907407</v>
      </c>
      <c r="C423" s="1" t="n">
        <v>45992</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32321-2023</t>
        </is>
      </c>
      <c r="B424" s="1" t="n">
        <v>45120</v>
      </c>
      <c r="C424" s="1" t="n">
        <v>45992</v>
      </c>
      <c r="D424" t="inlineStr">
        <is>
          <t>ÖREBRO LÄN</t>
        </is>
      </c>
      <c r="E424" t="inlineStr">
        <is>
          <t>ÖREBRO</t>
        </is>
      </c>
      <c r="G424" t="n">
        <v>3.4</v>
      </c>
      <c r="H424" t="n">
        <v>0</v>
      </c>
      <c r="I424" t="n">
        <v>0</v>
      </c>
      <c r="J424" t="n">
        <v>0</v>
      </c>
      <c r="K424" t="n">
        <v>0</v>
      </c>
      <c r="L424" t="n">
        <v>0</v>
      </c>
      <c r="M424" t="n">
        <v>0</v>
      </c>
      <c r="N424" t="n">
        <v>0</v>
      </c>
      <c r="O424" t="n">
        <v>0</v>
      </c>
      <c r="P424" t="n">
        <v>0</v>
      </c>
      <c r="Q424" t="n">
        <v>0</v>
      </c>
      <c r="R424" s="2" t="inlineStr"/>
    </row>
    <row r="425" ht="15" customHeight="1">
      <c r="A425" t="inlineStr">
        <is>
          <t>A 29138-2022</t>
        </is>
      </c>
      <c r="B425" s="1" t="n">
        <v>44750</v>
      </c>
      <c r="C425" s="1" t="n">
        <v>45992</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29143-2022</t>
        </is>
      </c>
      <c r="B426" s="1" t="n">
        <v>44750</v>
      </c>
      <c r="C426" s="1" t="n">
        <v>45992</v>
      </c>
      <c r="D426" t="inlineStr">
        <is>
          <t>ÖREBRO LÄN</t>
        </is>
      </c>
      <c r="E426" t="inlineStr">
        <is>
          <t>ÖREBRO</t>
        </is>
      </c>
      <c r="G426" t="n">
        <v>5.6</v>
      </c>
      <c r="H426" t="n">
        <v>0</v>
      </c>
      <c r="I426" t="n">
        <v>0</v>
      </c>
      <c r="J426" t="n">
        <v>0</v>
      </c>
      <c r="K426" t="n">
        <v>0</v>
      </c>
      <c r="L426" t="n">
        <v>0</v>
      </c>
      <c r="M426" t="n">
        <v>0</v>
      </c>
      <c r="N426" t="n">
        <v>0</v>
      </c>
      <c r="O426" t="n">
        <v>0</v>
      </c>
      <c r="P426" t="n">
        <v>0</v>
      </c>
      <c r="Q426" t="n">
        <v>0</v>
      </c>
      <c r="R426" s="2" t="inlineStr"/>
    </row>
    <row r="427" ht="15" customHeight="1">
      <c r="A427" t="inlineStr">
        <is>
          <t>A 14234-2024</t>
        </is>
      </c>
      <c r="B427" s="1" t="n">
        <v>45393.46980324074</v>
      </c>
      <c r="C427" s="1" t="n">
        <v>45992</v>
      </c>
      <c r="D427" t="inlineStr">
        <is>
          <t>ÖREBRO LÄN</t>
        </is>
      </c>
      <c r="E427" t="inlineStr">
        <is>
          <t>ÖREBRO</t>
        </is>
      </c>
      <c r="G427" t="n">
        <v>1.6</v>
      </c>
      <c r="H427" t="n">
        <v>0</v>
      </c>
      <c r="I427" t="n">
        <v>0</v>
      </c>
      <c r="J427" t="n">
        <v>0</v>
      </c>
      <c r="K427" t="n">
        <v>0</v>
      </c>
      <c r="L427" t="n">
        <v>0</v>
      </c>
      <c r="M427" t="n">
        <v>0</v>
      </c>
      <c r="N427" t="n">
        <v>0</v>
      </c>
      <c r="O427" t="n">
        <v>0</v>
      </c>
      <c r="P427" t="n">
        <v>0</v>
      </c>
      <c r="Q427" t="n">
        <v>0</v>
      </c>
      <c r="R427" s="2" t="inlineStr"/>
    </row>
    <row r="428" ht="15" customHeight="1">
      <c r="A428" t="inlineStr">
        <is>
          <t>A 4557-2023</t>
        </is>
      </c>
      <c r="B428" s="1" t="n">
        <v>44956.6655787037</v>
      </c>
      <c r="C428" s="1" t="n">
        <v>45992</v>
      </c>
      <c r="D428" t="inlineStr">
        <is>
          <t>ÖREBRO LÄN</t>
        </is>
      </c>
      <c r="E428" t="inlineStr">
        <is>
          <t>ÖREBRO</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53558-2023</t>
        </is>
      </c>
      <c r="B429" s="1" t="n">
        <v>45230.47266203703</v>
      </c>
      <c r="C429" s="1" t="n">
        <v>45992</v>
      </c>
      <c r="D429" t="inlineStr">
        <is>
          <t>ÖREBRO LÄN</t>
        </is>
      </c>
      <c r="E429" t="inlineStr">
        <is>
          <t>ÖREBRO</t>
        </is>
      </c>
      <c r="F429" t="inlineStr">
        <is>
          <t>Övriga Aktiebolag</t>
        </is>
      </c>
      <c r="G429" t="n">
        <v>4.7</v>
      </c>
      <c r="H429" t="n">
        <v>0</v>
      </c>
      <c r="I429" t="n">
        <v>0</v>
      </c>
      <c r="J429" t="n">
        <v>0</v>
      </c>
      <c r="K429" t="n">
        <v>0</v>
      </c>
      <c r="L429" t="n">
        <v>0</v>
      </c>
      <c r="M429" t="n">
        <v>0</v>
      </c>
      <c r="N429" t="n">
        <v>0</v>
      </c>
      <c r="O429" t="n">
        <v>0</v>
      </c>
      <c r="P429" t="n">
        <v>0</v>
      </c>
      <c r="Q429" t="n">
        <v>0</v>
      </c>
      <c r="R429" s="2" t="inlineStr"/>
    </row>
    <row r="430" ht="15" customHeight="1">
      <c r="A430" t="inlineStr">
        <is>
          <t>A 46518-2023</t>
        </is>
      </c>
      <c r="B430" s="1" t="n">
        <v>45197.72777777778</v>
      </c>
      <c r="C430" s="1" t="n">
        <v>45992</v>
      </c>
      <c r="D430" t="inlineStr">
        <is>
          <t>ÖREBRO LÄN</t>
        </is>
      </c>
      <c r="E430" t="inlineStr">
        <is>
          <t>ÖREBRO</t>
        </is>
      </c>
      <c r="G430" t="n">
        <v>2.2</v>
      </c>
      <c r="H430" t="n">
        <v>0</v>
      </c>
      <c r="I430" t="n">
        <v>0</v>
      </c>
      <c r="J430" t="n">
        <v>0</v>
      </c>
      <c r="K430" t="n">
        <v>0</v>
      </c>
      <c r="L430" t="n">
        <v>0</v>
      </c>
      <c r="M430" t="n">
        <v>0</v>
      </c>
      <c r="N430" t="n">
        <v>0</v>
      </c>
      <c r="O430" t="n">
        <v>0</v>
      </c>
      <c r="P430" t="n">
        <v>0</v>
      </c>
      <c r="Q430" t="n">
        <v>0</v>
      </c>
      <c r="R430" s="2" t="inlineStr"/>
    </row>
    <row r="431" ht="15" customHeight="1">
      <c r="A431" t="inlineStr">
        <is>
          <t>A 7692-2023</t>
        </is>
      </c>
      <c r="B431" s="1" t="n">
        <v>44972.7762962963</v>
      </c>
      <c r="C431" s="1" t="n">
        <v>45992</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46056-2024</t>
        </is>
      </c>
      <c r="B432" s="1" t="n">
        <v>45580.91502314815</v>
      </c>
      <c r="C432" s="1" t="n">
        <v>45992</v>
      </c>
      <c r="D432" t="inlineStr">
        <is>
          <t>ÖREBRO LÄN</t>
        </is>
      </c>
      <c r="E432" t="inlineStr">
        <is>
          <t>ÖREBRO</t>
        </is>
      </c>
      <c r="F432" t="inlineStr">
        <is>
          <t>Övriga Aktiebolag</t>
        </is>
      </c>
      <c r="G432" t="n">
        <v>4.5</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45992</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8274-2025</t>
        </is>
      </c>
      <c r="B434" s="1" t="n">
        <v>45708</v>
      </c>
      <c r="C434" s="1" t="n">
        <v>45992</v>
      </c>
      <c r="D434" t="inlineStr">
        <is>
          <t>ÖREBRO LÄN</t>
        </is>
      </c>
      <c r="E434" t="inlineStr">
        <is>
          <t>ÖREBRO</t>
        </is>
      </c>
      <c r="G434" t="n">
        <v>5.8</v>
      </c>
      <c r="H434" t="n">
        <v>0</v>
      </c>
      <c r="I434" t="n">
        <v>0</v>
      </c>
      <c r="J434" t="n">
        <v>0</v>
      </c>
      <c r="K434" t="n">
        <v>0</v>
      </c>
      <c r="L434" t="n">
        <v>0</v>
      </c>
      <c r="M434" t="n">
        <v>0</v>
      </c>
      <c r="N434" t="n">
        <v>0</v>
      </c>
      <c r="O434" t="n">
        <v>0</v>
      </c>
      <c r="P434" t="n">
        <v>0</v>
      </c>
      <c r="Q434" t="n">
        <v>0</v>
      </c>
      <c r="R434" s="2" t="inlineStr"/>
    </row>
    <row r="435" ht="15" customHeight="1">
      <c r="A435" t="inlineStr">
        <is>
          <t>A 7634-2024</t>
        </is>
      </c>
      <c r="B435" s="1" t="n">
        <v>45348</v>
      </c>
      <c r="C435" s="1" t="n">
        <v>45992</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58208-2024</t>
        </is>
      </c>
      <c r="B436" s="1" t="n">
        <v>45632</v>
      </c>
      <c r="C436" s="1" t="n">
        <v>45992</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45992</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71267-2021</t>
        </is>
      </c>
      <c r="B438" s="1" t="n">
        <v>44539</v>
      </c>
      <c r="C438" s="1" t="n">
        <v>45992</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45992</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21983-2021</t>
        </is>
      </c>
      <c r="B440" s="1" t="n">
        <v>44323</v>
      </c>
      <c r="C440" s="1" t="n">
        <v>45992</v>
      </c>
      <c r="D440" t="inlineStr">
        <is>
          <t>ÖREBRO LÄN</t>
        </is>
      </c>
      <c r="E440" t="inlineStr">
        <is>
          <t>ÖREBRO</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62497-2023</t>
        </is>
      </c>
      <c r="B441" s="1" t="n">
        <v>45268.59935185185</v>
      </c>
      <c r="C441" s="1" t="n">
        <v>45992</v>
      </c>
      <c r="D441" t="inlineStr">
        <is>
          <t>ÖREBRO LÄN</t>
        </is>
      </c>
      <c r="E441" t="inlineStr">
        <is>
          <t>ÖREBRO</t>
        </is>
      </c>
      <c r="F441" t="inlineStr">
        <is>
          <t>Övriga Aktiebolag</t>
        </is>
      </c>
      <c r="G441" t="n">
        <v>3.2</v>
      </c>
      <c r="H441" t="n">
        <v>0</v>
      </c>
      <c r="I441" t="n">
        <v>0</v>
      </c>
      <c r="J441" t="n">
        <v>0</v>
      </c>
      <c r="K441" t="n">
        <v>0</v>
      </c>
      <c r="L441" t="n">
        <v>0</v>
      </c>
      <c r="M441" t="n">
        <v>0</v>
      </c>
      <c r="N441" t="n">
        <v>0</v>
      </c>
      <c r="O441" t="n">
        <v>0</v>
      </c>
      <c r="P441" t="n">
        <v>0</v>
      </c>
      <c r="Q441" t="n">
        <v>0</v>
      </c>
      <c r="R441" s="2" t="inlineStr"/>
    </row>
    <row r="442" ht="15" customHeight="1">
      <c r="A442" t="inlineStr">
        <is>
          <t>A 33294-2023</t>
        </is>
      </c>
      <c r="B442" s="1" t="n">
        <v>45127</v>
      </c>
      <c r="C442" s="1" t="n">
        <v>45992</v>
      </c>
      <c r="D442" t="inlineStr">
        <is>
          <t>ÖREBRO LÄN</t>
        </is>
      </c>
      <c r="E442" t="inlineStr">
        <is>
          <t>ÖREBRO</t>
        </is>
      </c>
      <c r="F442" t="inlineStr">
        <is>
          <t>Övriga Aktiebolag</t>
        </is>
      </c>
      <c r="G442" t="n">
        <v>6.7</v>
      </c>
      <c r="H442" t="n">
        <v>0</v>
      </c>
      <c r="I442" t="n">
        <v>0</v>
      </c>
      <c r="J442" t="n">
        <v>0</v>
      </c>
      <c r="K442" t="n">
        <v>0</v>
      </c>
      <c r="L442" t="n">
        <v>0</v>
      </c>
      <c r="M442" t="n">
        <v>0</v>
      </c>
      <c r="N442" t="n">
        <v>0</v>
      </c>
      <c r="O442" t="n">
        <v>0</v>
      </c>
      <c r="P442" t="n">
        <v>0</v>
      </c>
      <c r="Q442" t="n">
        <v>0</v>
      </c>
      <c r="R442" s="2" t="inlineStr"/>
    </row>
    <row r="443" ht="15" customHeight="1">
      <c r="A443" t="inlineStr">
        <is>
          <t>A 46052-2024</t>
        </is>
      </c>
      <c r="B443" s="1" t="n">
        <v>45580.89116898148</v>
      </c>
      <c r="C443" s="1" t="n">
        <v>45992</v>
      </c>
      <c r="D443" t="inlineStr">
        <is>
          <t>ÖREBRO LÄN</t>
        </is>
      </c>
      <c r="E443" t="inlineStr">
        <is>
          <t>ÖREBRO</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54149-2024</t>
        </is>
      </c>
      <c r="B444" s="1" t="n">
        <v>45616</v>
      </c>
      <c r="C444" s="1" t="n">
        <v>45992</v>
      </c>
      <c r="D444" t="inlineStr">
        <is>
          <t>ÖREBRO LÄN</t>
        </is>
      </c>
      <c r="E444" t="inlineStr">
        <is>
          <t>ÖREBRO</t>
        </is>
      </c>
      <c r="G444" t="n">
        <v>2.7</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44271.42121527778</v>
      </c>
      <c r="C445" s="1" t="n">
        <v>45992</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15424-2022</t>
        </is>
      </c>
      <c r="B446" s="1" t="n">
        <v>44659</v>
      </c>
      <c r="C446" s="1" t="n">
        <v>45992</v>
      </c>
      <c r="D446" t="inlineStr">
        <is>
          <t>ÖREBRO LÄN</t>
        </is>
      </c>
      <c r="E446" t="inlineStr">
        <is>
          <t>ÖREBRO</t>
        </is>
      </c>
      <c r="G446" t="n">
        <v>2.2</v>
      </c>
      <c r="H446" t="n">
        <v>0</v>
      </c>
      <c r="I446" t="n">
        <v>0</v>
      </c>
      <c r="J446" t="n">
        <v>0</v>
      </c>
      <c r="K446" t="n">
        <v>0</v>
      </c>
      <c r="L446" t="n">
        <v>0</v>
      </c>
      <c r="M446" t="n">
        <v>0</v>
      </c>
      <c r="N446" t="n">
        <v>0</v>
      </c>
      <c r="O446" t="n">
        <v>0</v>
      </c>
      <c r="P446" t="n">
        <v>0</v>
      </c>
      <c r="Q446" t="n">
        <v>0</v>
      </c>
      <c r="R446" s="2" t="inlineStr"/>
    </row>
    <row r="447" ht="15" customHeight="1">
      <c r="A447" t="inlineStr">
        <is>
          <t>A 15682-2023</t>
        </is>
      </c>
      <c r="B447" s="1" t="n">
        <v>45021</v>
      </c>
      <c r="C447" s="1" t="n">
        <v>45992</v>
      </c>
      <c r="D447" t="inlineStr">
        <is>
          <t>ÖREBRO LÄN</t>
        </is>
      </c>
      <c r="E447" t="inlineStr">
        <is>
          <t>ÖREBRO</t>
        </is>
      </c>
      <c r="G447" t="n">
        <v>1.3</v>
      </c>
      <c r="H447" t="n">
        <v>0</v>
      </c>
      <c r="I447" t="n">
        <v>0</v>
      </c>
      <c r="J447" t="n">
        <v>0</v>
      </c>
      <c r="K447" t="n">
        <v>0</v>
      </c>
      <c r="L447" t="n">
        <v>0</v>
      </c>
      <c r="M447" t="n">
        <v>0</v>
      </c>
      <c r="N447" t="n">
        <v>0</v>
      </c>
      <c r="O447" t="n">
        <v>0</v>
      </c>
      <c r="P447" t="n">
        <v>0</v>
      </c>
      <c r="Q447" t="n">
        <v>0</v>
      </c>
      <c r="R447" s="2" t="inlineStr"/>
    </row>
    <row r="448" ht="15" customHeight="1">
      <c r="A448" t="inlineStr">
        <is>
          <t>A 12682-2023</t>
        </is>
      </c>
      <c r="B448" s="1" t="n">
        <v>45000.6115625</v>
      </c>
      <c r="C448" s="1" t="n">
        <v>45992</v>
      </c>
      <c r="D448" t="inlineStr">
        <is>
          <t>ÖREBRO LÄN</t>
        </is>
      </c>
      <c r="E448" t="inlineStr">
        <is>
          <t>ÖREBRO</t>
        </is>
      </c>
      <c r="F448" t="inlineStr">
        <is>
          <t>Övriga Aktiebolag</t>
        </is>
      </c>
      <c r="G448" t="n">
        <v>4.4</v>
      </c>
      <c r="H448" t="n">
        <v>0</v>
      </c>
      <c r="I448" t="n">
        <v>0</v>
      </c>
      <c r="J448" t="n">
        <v>0</v>
      </c>
      <c r="K448" t="n">
        <v>0</v>
      </c>
      <c r="L448" t="n">
        <v>0</v>
      </c>
      <c r="M448" t="n">
        <v>0</v>
      </c>
      <c r="N448" t="n">
        <v>0</v>
      </c>
      <c r="O448" t="n">
        <v>0</v>
      </c>
      <c r="P448" t="n">
        <v>0</v>
      </c>
      <c r="Q448" t="n">
        <v>0</v>
      </c>
      <c r="R448" s="2" t="inlineStr"/>
    </row>
    <row r="449" ht="15" customHeight="1">
      <c r="A449" t="inlineStr">
        <is>
          <t>A 57247-2022</t>
        </is>
      </c>
      <c r="B449" s="1" t="n">
        <v>44895.73065972222</v>
      </c>
      <c r="C449" s="1" t="n">
        <v>45992</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58606-2024</t>
        </is>
      </c>
      <c r="B450" s="1" t="n">
        <v>45635.54747685185</v>
      </c>
      <c r="C450" s="1" t="n">
        <v>45992</v>
      </c>
      <c r="D450" t="inlineStr">
        <is>
          <t>ÖREBRO LÄN</t>
        </is>
      </c>
      <c r="E450" t="inlineStr">
        <is>
          <t>ÖREBRO</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123-2025</t>
        </is>
      </c>
      <c r="B451" s="1" t="n">
        <v>45659.54851851852</v>
      </c>
      <c r="C451" s="1" t="n">
        <v>45992</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37012-2024</t>
        </is>
      </c>
      <c r="B452" s="1" t="n">
        <v>45539</v>
      </c>
      <c r="C452" s="1" t="n">
        <v>45992</v>
      </c>
      <c r="D452" t="inlineStr">
        <is>
          <t>ÖREBRO LÄN</t>
        </is>
      </c>
      <c r="E452" t="inlineStr">
        <is>
          <t>ÖREBRO</t>
        </is>
      </c>
      <c r="G452" t="n">
        <v>4.1</v>
      </c>
      <c r="H452" t="n">
        <v>0</v>
      </c>
      <c r="I452" t="n">
        <v>0</v>
      </c>
      <c r="J452" t="n">
        <v>0</v>
      </c>
      <c r="K452" t="n">
        <v>0</v>
      </c>
      <c r="L452" t="n">
        <v>0</v>
      </c>
      <c r="M452" t="n">
        <v>0</v>
      </c>
      <c r="N452" t="n">
        <v>0</v>
      </c>
      <c r="O452" t="n">
        <v>0</v>
      </c>
      <c r="P452" t="n">
        <v>0</v>
      </c>
      <c r="Q452" t="n">
        <v>0</v>
      </c>
      <c r="R452" s="2" t="inlineStr"/>
    </row>
    <row r="453" ht="15" customHeight="1">
      <c r="A453" t="inlineStr">
        <is>
          <t>A 37020-2024</t>
        </is>
      </c>
      <c r="B453" s="1" t="n">
        <v>45539.38059027777</v>
      </c>
      <c r="C453" s="1" t="n">
        <v>45992</v>
      </c>
      <c r="D453" t="inlineStr">
        <is>
          <t>ÖREBRO LÄN</t>
        </is>
      </c>
      <c r="E453" t="inlineStr">
        <is>
          <t>ÖREBRO</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16958-2022</t>
        </is>
      </c>
      <c r="B454" s="1" t="n">
        <v>44676.50481481481</v>
      </c>
      <c r="C454" s="1" t="n">
        <v>45992</v>
      </c>
      <c r="D454" t="inlineStr">
        <is>
          <t>ÖREBRO LÄN</t>
        </is>
      </c>
      <c r="E454" t="inlineStr">
        <is>
          <t>ÖREBRO</t>
        </is>
      </c>
      <c r="G454" t="n">
        <v>3.1</v>
      </c>
      <c r="H454" t="n">
        <v>0</v>
      </c>
      <c r="I454" t="n">
        <v>0</v>
      </c>
      <c r="J454" t="n">
        <v>0</v>
      </c>
      <c r="K454" t="n">
        <v>0</v>
      </c>
      <c r="L454" t="n">
        <v>0</v>
      </c>
      <c r="M454" t="n">
        <v>0</v>
      </c>
      <c r="N454" t="n">
        <v>0</v>
      </c>
      <c r="O454" t="n">
        <v>0</v>
      </c>
      <c r="P454" t="n">
        <v>0</v>
      </c>
      <c r="Q454" t="n">
        <v>0</v>
      </c>
      <c r="R454" s="2" t="inlineStr"/>
    </row>
    <row r="455" ht="15" customHeight="1">
      <c r="A455" t="inlineStr">
        <is>
          <t>A 5338-2024</t>
        </is>
      </c>
      <c r="B455" s="1" t="n">
        <v>45331</v>
      </c>
      <c r="C455" s="1" t="n">
        <v>45992</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44593.51175925926</v>
      </c>
      <c r="C456" s="1" t="n">
        <v>45992</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13657-2025</t>
        </is>
      </c>
      <c r="B457" s="1" t="n">
        <v>45736.7427662037</v>
      </c>
      <c r="C457" s="1" t="n">
        <v>45992</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9314-2023</t>
        </is>
      </c>
      <c r="B458" s="1" t="n">
        <v>44980.67747685185</v>
      </c>
      <c r="C458" s="1" t="n">
        <v>45992</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6522-2023</t>
        </is>
      </c>
      <c r="B459" s="1" t="n">
        <v>44966</v>
      </c>
      <c r="C459" s="1" t="n">
        <v>45992</v>
      </c>
      <c r="D459" t="inlineStr">
        <is>
          <t>ÖREBRO LÄN</t>
        </is>
      </c>
      <c r="E459" t="inlineStr">
        <is>
          <t>ÖREBRO</t>
        </is>
      </c>
      <c r="G459" t="n">
        <v>4.4</v>
      </c>
      <c r="H459" t="n">
        <v>0</v>
      </c>
      <c r="I459" t="n">
        <v>0</v>
      </c>
      <c r="J459" t="n">
        <v>0</v>
      </c>
      <c r="K459" t="n">
        <v>0</v>
      </c>
      <c r="L459" t="n">
        <v>0</v>
      </c>
      <c r="M459" t="n">
        <v>0</v>
      </c>
      <c r="N459" t="n">
        <v>0</v>
      </c>
      <c r="O459" t="n">
        <v>0</v>
      </c>
      <c r="P459" t="n">
        <v>0</v>
      </c>
      <c r="Q459" t="n">
        <v>0</v>
      </c>
      <c r="R459" s="2" t="inlineStr"/>
    </row>
    <row r="460" ht="15" customHeight="1">
      <c r="A460" t="inlineStr">
        <is>
          <t>A 18449-2023</t>
        </is>
      </c>
      <c r="B460" s="1" t="n">
        <v>45042.5203125</v>
      </c>
      <c r="C460" s="1" t="n">
        <v>45992</v>
      </c>
      <c r="D460" t="inlineStr">
        <is>
          <t>ÖREBRO LÄN</t>
        </is>
      </c>
      <c r="E460" t="inlineStr">
        <is>
          <t>ÖREBRO</t>
        </is>
      </c>
      <c r="G460" t="n">
        <v>1.5</v>
      </c>
      <c r="H460" t="n">
        <v>0</v>
      </c>
      <c r="I460" t="n">
        <v>0</v>
      </c>
      <c r="J460" t="n">
        <v>0</v>
      </c>
      <c r="K460" t="n">
        <v>0</v>
      </c>
      <c r="L460" t="n">
        <v>0</v>
      </c>
      <c r="M460" t="n">
        <v>0</v>
      </c>
      <c r="N460" t="n">
        <v>0</v>
      </c>
      <c r="O460" t="n">
        <v>0</v>
      </c>
      <c r="P460" t="n">
        <v>0</v>
      </c>
      <c r="Q460" t="n">
        <v>0</v>
      </c>
      <c r="R460" s="2" t="inlineStr"/>
    </row>
    <row r="461" ht="15" customHeight="1">
      <c r="A461" t="inlineStr">
        <is>
          <t>A 16736-2023</t>
        </is>
      </c>
      <c r="B461" s="1" t="n">
        <v>45030.72328703704</v>
      </c>
      <c r="C461" s="1" t="n">
        <v>45992</v>
      </c>
      <c r="D461" t="inlineStr">
        <is>
          <t>ÖREBRO LÄN</t>
        </is>
      </c>
      <c r="E461" t="inlineStr">
        <is>
          <t>ÖREBRO</t>
        </is>
      </c>
      <c r="G461" t="n">
        <v>4</v>
      </c>
      <c r="H461" t="n">
        <v>0</v>
      </c>
      <c r="I461" t="n">
        <v>0</v>
      </c>
      <c r="J461" t="n">
        <v>0</v>
      </c>
      <c r="K461" t="n">
        <v>0</v>
      </c>
      <c r="L461" t="n">
        <v>0</v>
      </c>
      <c r="M461" t="n">
        <v>0</v>
      </c>
      <c r="N461" t="n">
        <v>0</v>
      </c>
      <c r="O461" t="n">
        <v>0</v>
      </c>
      <c r="P461" t="n">
        <v>0</v>
      </c>
      <c r="Q461" t="n">
        <v>0</v>
      </c>
      <c r="R461" s="2" t="inlineStr"/>
    </row>
    <row r="462" ht="15" customHeight="1">
      <c r="A462" t="inlineStr">
        <is>
          <t>A 50375-2024</t>
        </is>
      </c>
      <c r="B462" s="1" t="n">
        <v>45601.29311342593</v>
      </c>
      <c r="C462" s="1" t="n">
        <v>45992</v>
      </c>
      <c r="D462" t="inlineStr">
        <is>
          <t>ÖREBRO LÄN</t>
        </is>
      </c>
      <c r="E462" t="inlineStr">
        <is>
          <t>ÖREBRO</t>
        </is>
      </c>
      <c r="G462" t="n">
        <v>5</v>
      </c>
      <c r="H462" t="n">
        <v>0</v>
      </c>
      <c r="I462" t="n">
        <v>0</v>
      </c>
      <c r="J462" t="n">
        <v>0</v>
      </c>
      <c r="K462" t="n">
        <v>0</v>
      </c>
      <c r="L462" t="n">
        <v>0</v>
      </c>
      <c r="M462" t="n">
        <v>0</v>
      </c>
      <c r="N462" t="n">
        <v>0</v>
      </c>
      <c r="O462" t="n">
        <v>0</v>
      </c>
      <c r="P462" t="n">
        <v>0</v>
      </c>
      <c r="Q462" t="n">
        <v>0</v>
      </c>
      <c r="R462" s="2" t="inlineStr"/>
    </row>
    <row r="463" ht="15" customHeight="1">
      <c r="A463" t="inlineStr">
        <is>
          <t>A 22045-2024</t>
        </is>
      </c>
      <c r="B463" s="1" t="n">
        <v>45443.61171296296</v>
      </c>
      <c r="C463" s="1" t="n">
        <v>45992</v>
      </c>
      <c r="D463" t="inlineStr">
        <is>
          <t>ÖREBRO LÄN</t>
        </is>
      </c>
      <c r="E463" t="inlineStr">
        <is>
          <t>ÖREBRO</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3-2024</t>
        </is>
      </c>
      <c r="B464" s="1" t="n">
        <v>45292</v>
      </c>
      <c r="C464" s="1" t="n">
        <v>45992</v>
      </c>
      <c r="D464" t="inlineStr">
        <is>
          <t>ÖREBRO LÄN</t>
        </is>
      </c>
      <c r="E464" t="inlineStr">
        <is>
          <t>ÖREBRO</t>
        </is>
      </c>
      <c r="G464" t="n">
        <v>2.7</v>
      </c>
      <c r="H464" t="n">
        <v>0</v>
      </c>
      <c r="I464" t="n">
        <v>0</v>
      </c>
      <c r="J464" t="n">
        <v>0</v>
      </c>
      <c r="K464" t="n">
        <v>0</v>
      </c>
      <c r="L464" t="n">
        <v>0</v>
      </c>
      <c r="M464" t="n">
        <v>0</v>
      </c>
      <c r="N464" t="n">
        <v>0</v>
      </c>
      <c r="O464" t="n">
        <v>0</v>
      </c>
      <c r="P464" t="n">
        <v>0</v>
      </c>
      <c r="Q464" t="n">
        <v>0</v>
      </c>
      <c r="R464" s="2" t="inlineStr"/>
    </row>
    <row r="465" ht="15" customHeight="1">
      <c r="A465" t="inlineStr">
        <is>
          <t>A 21306-2024</t>
        </is>
      </c>
      <c r="B465" s="1" t="n">
        <v>45440.67883101852</v>
      </c>
      <c r="C465" s="1" t="n">
        <v>45992</v>
      </c>
      <c r="D465" t="inlineStr">
        <is>
          <t>ÖREBRO LÄN</t>
        </is>
      </c>
      <c r="E465" t="inlineStr">
        <is>
          <t>ÖREBRO</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1257-2022</t>
        </is>
      </c>
      <c r="B466" s="1" t="n">
        <v>44572</v>
      </c>
      <c r="C466" s="1" t="n">
        <v>45992</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64730-2023</t>
        </is>
      </c>
      <c r="B467" s="1" t="n">
        <v>45281</v>
      </c>
      <c r="C467" s="1" t="n">
        <v>45992</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6869-2025</t>
        </is>
      </c>
      <c r="B468" s="1" t="n">
        <v>45700</v>
      </c>
      <c r="C468" s="1" t="n">
        <v>45992</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4416-2023</t>
        </is>
      </c>
      <c r="B469" s="1" t="n">
        <v>44956</v>
      </c>
      <c r="C469" s="1" t="n">
        <v>45992</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16961-2022</t>
        </is>
      </c>
      <c r="B470" s="1" t="n">
        <v>44676</v>
      </c>
      <c r="C470" s="1" t="n">
        <v>45992</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17983-2025</t>
        </is>
      </c>
      <c r="B471" s="1" t="n">
        <v>45761.38829861111</v>
      </c>
      <c r="C471" s="1" t="n">
        <v>45992</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23594-2023</t>
        </is>
      </c>
      <c r="B472" s="1" t="n">
        <v>45077</v>
      </c>
      <c r="C472" s="1" t="n">
        <v>45992</v>
      </c>
      <c r="D472" t="inlineStr">
        <is>
          <t>ÖREBRO LÄN</t>
        </is>
      </c>
      <c r="E472" t="inlineStr">
        <is>
          <t>ÖREBRO</t>
        </is>
      </c>
      <c r="G472" t="n">
        <v>9.9</v>
      </c>
      <c r="H472" t="n">
        <v>0</v>
      </c>
      <c r="I472" t="n">
        <v>0</v>
      </c>
      <c r="J472" t="n">
        <v>0</v>
      </c>
      <c r="K472" t="n">
        <v>0</v>
      </c>
      <c r="L472" t="n">
        <v>0</v>
      </c>
      <c r="M472" t="n">
        <v>0</v>
      </c>
      <c r="N472" t="n">
        <v>0</v>
      </c>
      <c r="O472" t="n">
        <v>0</v>
      </c>
      <c r="P472" t="n">
        <v>0</v>
      </c>
      <c r="Q472" t="n">
        <v>0</v>
      </c>
      <c r="R472" s="2" t="inlineStr"/>
    </row>
    <row r="473" ht="15" customHeight="1">
      <c r="A473" t="inlineStr">
        <is>
          <t>A 52444-2024</t>
        </is>
      </c>
      <c r="B473" s="1" t="n">
        <v>45609.48894675926</v>
      </c>
      <c r="C473" s="1" t="n">
        <v>45992</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41995-2024</t>
        </is>
      </c>
      <c r="B474" s="1" t="n">
        <v>45561.6475462963</v>
      </c>
      <c r="C474" s="1" t="n">
        <v>45992</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25996-2024</t>
        </is>
      </c>
      <c r="B475" s="1" t="n">
        <v>45467.89081018518</v>
      </c>
      <c r="C475" s="1" t="n">
        <v>45992</v>
      </c>
      <c r="D475" t="inlineStr">
        <is>
          <t>ÖREBRO LÄN</t>
        </is>
      </c>
      <c r="E475" t="inlineStr">
        <is>
          <t>ÖREBRO</t>
        </is>
      </c>
      <c r="G475" t="n">
        <v>4.7</v>
      </c>
      <c r="H475" t="n">
        <v>0</v>
      </c>
      <c r="I475" t="n">
        <v>0</v>
      </c>
      <c r="J475" t="n">
        <v>0</v>
      </c>
      <c r="K475" t="n">
        <v>0</v>
      </c>
      <c r="L475" t="n">
        <v>0</v>
      </c>
      <c r="M475" t="n">
        <v>0</v>
      </c>
      <c r="N475" t="n">
        <v>0</v>
      </c>
      <c r="O475" t="n">
        <v>0</v>
      </c>
      <c r="P475" t="n">
        <v>0</v>
      </c>
      <c r="Q475" t="n">
        <v>0</v>
      </c>
      <c r="R475" s="2" t="inlineStr"/>
    </row>
    <row r="476" ht="15" customHeight="1">
      <c r="A476" t="inlineStr">
        <is>
          <t>A 8571-2021</t>
        </is>
      </c>
      <c r="B476" s="1" t="n">
        <v>44245</v>
      </c>
      <c r="C476" s="1" t="n">
        <v>45992</v>
      </c>
      <c r="D476" t="inlineStr">
        <is>
          <t>ÖREBRO LÄN</t>
        </is>
      </c>
      <c r="E476" t="inlineStr">
        <is>
          <t>ÖREBRO</t>
        </is>
      </c>
      <c r="G476" t="n">
        <v>0.9</v>
      </c>
      <c r="H476" t="n">
        <v>0</v>
      </c>
      <c r="I476" t="n">
        <v>0</v>
      </c>
      <c r="J476" t="n">
        <v>0</v>
      </c>
      <c r="K476" t="n">
        <v>0</v>
      </c>
      <c r="L476" t="n">
        <v>0</v>
      </c>
      <c r="M476" t="n">
        <v>0</v>
      </c>
      <c r="N476" t="n">
        <v>0</v>
      </c>
      <c r="O476" t="n">
        <v>0</v>
      </c>
      <c r="P476" t="n">
        <v>0</v>
      </c>
      <c r="Q476" t="n">
        <v>0</v>
      </c>
      <c r="R476" s="2" t="inlineStr"/>
    </row>
    <row r="477" ht="15" customHeight="1">
      <c r="A477" t="inlineStr">
        <is>
          <t>A 7611-2024</t>
        </is>
      </c>
      <c r="B477" s="1" t="n">
        <v>45348.58864583333</v>
      </c>
      <c r="C477" s="1" t="n">
        <v>45992</v>
      </c>
      <c r="D477" t="inlineStr">
        <is>
          <t>ÖREBRO LÄN</t>
        </is>
      </c>
      <c r="E477" t="inlineStr">
        <is>
          <t>ÖREBRO</t>
        </is>
      </c>
      <c r="G477" t="n">
        <v>4.2</v>
      </c>
      <c r="H477" t="n">
        <v>0</v>
      </c>
      <c r="I477" t="n">
        <v>0</v>
      </c>
      <c r="J477" t="n">
        <v>0</v>
      </c>
      <c r="K477" t="n">
        <v>0</v>
      </c>
      <c r="L477" t="n">
        <v>0</v>
      </c>
      <c r="M477" t="n">
        <v>0</v>
      </c>
      <c r="N477" t="n">
        <v>0</v>
      </c>
      <c r="O477" t="n">
        <v>0</v>
      </c>
      <c r="P477" t="n">
        <v>0</v>
      </c>
      <c r="Q477" t="n">
        <v>0</v>
      </c>
      <c r="R477" s="2" t="inlineStr"/>
    </row>
    <row r="478" ht="15" customHeight="1">
      <c r="A478" t="inlineStr">
        <is>
          <t>A 15789-2023</t>
        </is>
      </c>
      <c r="B478" s="1" t="n">
        <v>45021.71539351852</v>
      </c>
      <c r="C478" s="1" t="n">
        <v>45992</v>
      </c>
      <c r="D478" t="inlineStr">
        <is>
          <t>ÖREBRO LÄN</t>
        </is>
      </c>
      <c r="E478" t="inlineStr">
        <is>
          <t>ÖREBRO</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52612-2024</t>
        </is>
      </c>
      <c r="B479" s="1" t="n">
        <v>45609</v>
      </c>
      <c r="C479" s="1" t="n">
        <v>45992</v>
      </c>
      <c r="D479" t="inlineStr">
        <is>
          <t>ÖREBRO LÄN</t>
        </is>
      </c>
      <c r="E479" t="inlineStr">
        <is>
          <t>ÖREBRO</t>
        </is>
      </c>
      <c r="F479" t="inlineStr">
        <is>
          <t>Kommuner</t>
        </is>
      </c>
      <c r="G479" t="n">
        <v>5.5</v>
      </c>
      <c r="H479" t="n">
        <v>0</v>
      </c>
      <c r="I479" t="n">
        <v>0</v>
      </c>
      <c r="J479" t="n">
        <v>0</v>
      </c>
      <c r="K479" t="n">
        <v>0</v>
      </c>
      <c r="L479" t="n">
        <v>0</v>
      </c>
      <c r="M479" t="n">
        <v>0</v>
      </c>
      <c r="N479" t="n">
        <v>0</v>
      </c>
      <c r="O479" t="n">
        <v>0</v>
      </c>
      <c r="P479" t="n">
        <v>0</v>
      </c>
      <c r="Q479" t="n">
        <v>0</v>
      </c>
      <c r="R479" s="2" t="inlineStr"/>
    </row>
    <row r="480" ht="15" customHeight="1">
      <c r="A480" t="inlineStr">
        <is>
          <t>A 37786-2024</t>
        </is>
      </c>
      <c r="B480" s="1" t="n">
        <v>45542.82987268519</v>
      </c>
      <c r="C480" s="1" t="n">
        <v>45992</v>
      </c>
      <c r="D480" t="inlineStr">
        <is>
          <t>ÖREBRO LÄN</t>
        </is>
      </c>
      <c r="E480" t="inlineStr">
        <is>
          <t>ÖREBRO</t>
        </is>
      </c>
      <c r="G480" t="n">
        <v>3.1</v>
      </c>
      <c r="H480" t="n">
        <v>0</v>
      </c>
      <c r="I480" t="n">
        <v>0</v>
      </c>
      <c r="J480" t="n">
        <v>0</v>
      </c>
      <c r="K480" t="n">
        <v>0</v>
      </c>
      <c r="L480" t="n">
        <v>0</v>
      </c>
      <c r="M480" t="n">
        <v>0</v>
      </c>
      <c r="N480" t="n">
        <v>0</v>
      </c>
      <c r="O480" t="n">
        <v>0</v>
      </c>
      <c r="P480" t="n">
        <v>0</v>
      </c>
      <c r="Q480" t="n">
        <v>0</v>
      </c>
      <c r="R480" s="2" t="inlineStr"/>
    </row>
    <row r="481" ht="15" customHeight="1">
      <c r="A481" t="inlineStr">
        <is>
          <t>A 55875-2024</t>
        </is>
      </c>
      <c r="B481" s="1" t="n">
        <v>45623.55375</v>
      </c>
      <c r="C481" s="1" t="n">
        <v>45992</v>
      </c>
      <c r="D481" t="inlineStr">
        <is>
          <t>ÖREBRO LÄN</t>
        </is>
      </c>
      <c r="E481" t="inlineStr">
        <is>
          <t>ÖREBRO</t>
        </is>
      </c>
      <c r="G481" t="n">
        <v>3.5</v>
      </c>
      <c r="H481" t="n">
        <v>0</v>
      </c>
      <c r="I481" t="n">
        <v>0</v>
      </c>
      <c r="J481" t="n">
        <v>0</v>
      </c>
      <c r="K481" t="n">
        <v>0</v>
      </c>
      <c r="L481" t="n">
        <v>0</v>
      </c>
      <c r="M481" t="n">
        <v>0</v>
      </c>
      <c r="N481" t="n">
        <v>0</v>
      </c>
      <c r="O481" t="n">
        <v>0</v>
      </c>
      <c r="P481" t="n">
        <v>0</v>
      </c>
      <c r="Q481" t="n">
        <v>0</v>
      </c>
      <c r="R481" s="2" t="inlineStr"/>
    </row>
    <row r="482" ht="15" customHeight="1">
      <c r="A482" t="inlineStr">
        <is>
          <t>A 3841-2023</t>
        </is>
      </c>
      <c r="B482" s="1" t="n">
        <v>44951</v>
      </c>
      <c r="C482" s="1" t="n">
        <v>45992</v>
      </c>
      <c r="D482" t="inlineStr">
        <is>
          <t>ÖREBRO LÄN</t>
        </is>
      </c>
      <c r="E482" t="inlineStr">
        <is>
          <t>ÖREBRO</t>
        </is>
      </c>
      <c r="G482" t="n">
        <v>4.3</v>
      </c>
      <c r="H482" t="n">
        <v>0</v>
      </c>
      <c r="I482" t="n">
        <v>0</v>
      </c>
      <c r="J482" t="n">
        <v>0</v>
      </c>
      <c r="K482" t="n">
        <v>0</v>
      </c>
      <c r="L482" t="n">
        <v>0</v>
      </c>
      <c r="M482" t="n">
        <v>0</v>
      </c>
      <c r="N482" t="n">
        <v>0</v>
      </c>
      <c r="O482" t="n">
        <v>0</v>
      </c>
      <c r="P482" t="n">
        <v>0</v>
      </c>
      <c r="Q482" t="n">
        <v>0</v>
      </c>
      <c r="R482" s="2" t="inlineStr"/>
    </row>
    <row r="483" ht="15" customHeight="1">
      <c r="A483" t="inlineStr">
        <is>
          <t>A 49215-2023</t>
        </is>
      </c>
      <c r="B483" s="1" t="n">
        <v>45210.61050925926</v>
      </c>
      <c r="C483" s="1" t="n">
        <v>45992</v>
      </c>
      <c r="D483" t="inlineStr">
        <is>
          <t>ÖREBRO LÄN</t>
        </is>
      </c>
      <c r="E483" t="inlineStr">
        <is>
          <t>ÖREBRO</t>
        </is>
      </c>
      <c r="F483" t="inlineStr">
        <is>
          <t>Övriga Aktiebolag</t>
        </is>
      </c>
      <c r="G483" t="n">
        <v>4.2</v>
      </c>
      <c r="H483" t="n">
        <v>0</v>
      </c>
      <c r="I483" t="n">
        <v>0</v>
      </c>
      <c r="J483" t="n">
        <v>0</v>
      </c>
      <c r="K483" t="n">
        <v>0</v>
      </c>
      <c r="L483" t="n">
        <v>0</v>
      </c>
      <c r="M483" t="n">
        <v>0</v>
      </c>
      <c r="N483" t="n">
        <v>0</v>
      </c>
      <c r="O483" t="n">
        <v>0</v>
      </c>
      <c r="P483" t="n">
        <v>0</v>
      </c>
      <c r="Q483" t="n">
        <v>0</v>
      </c>
      <c r="R483" s="2" t="inlineStr"/>
    </row>
    <row r="484" ht="15" customHeight="1">
      <c r="A484" t="inlineStr">
        <is>
          <t>A 43399-2022</t>
        </is>
      </c>
      <c r="B484" s="1" t="n">
        <v>44834</v>
      </c>
      <c r="C484" s="1" t="n">
        <v>45992</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19553-2023</t>
        </is>
      </c>
      <c r="B485" s="1" t="n">
        <v>45050</v>
      </c>
      <c r="C485" s="1" t="n">
        <v>45992</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14291-2023</t>
        </is>
      </c>
      <c r="B486" s="1" t="n">
        <v>45010</v>
      </c>
      <c r="C486" s="1" t="n">
        <v>45992</v>
      </c>
      <c r="D486" t="inlineStr">
        <is>
          <t>ÖREBRO LÄN</t>
        </is>
      </c>
      <c r="E486" t="inlineStr">
        <is>
          <t>ÖREBRO</t>
        </is>
      </c>
      <c r="G486" t="n">
        <v>0.8</v>
      </c>
      <c r="H486" t="n">
        <v>0</v>
      </c>
      <c r="I486" t="n">
        <v>0</v>
      </c>
      <c r="J486" t="n">
        <v>0</v>
      </c>
      <c r="K486" t="n">
        <v>0</v>
      </c>
      <c r="L486" t="n">
        <v>0</v>
      </c>
      <c r="M486" t="n">
        <v>0</v>
      </c>
      <c r="N486" t="n">
        <v>0</v>
      </c>
      <c r="O486" t="n">
        <v>0</v>
      </c>
      <c r="P486" t="n">
        <v>0</v>
      </c>
      <c r="Q486" t="n">
        <v>0</v>
      </c>
      <c r="R486" s="2" t="inlineStr"/>
    </row>
    <row r="487" ht="15" customHeight="1">
      <c r="A487" t="inlineStr">
        <is>
          <t>A 58527-2024</t>
        </is>
      </c>
      <c r="B487" s="1" t="n">
        <v>45635.44388888889</v>
      </c>
      <c r="C487" s="1" t="n">
        <v>45992</v>
      </c>
      <c r="D487" t="inlineStr">
        <is>
          <t>ÖREBRO LÄN</t>
        </is>
      </c>
      <c r="E487" t="inlineStr">
        <is>
          <t>ÖREBRO</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55593-2022</t>
        </is>
      </c>
      <c r="B488" s="1" t="n">
        <v>44888</v>
      </c>
      <c r="C488" s="1" t="n">
        <v>45992</v>
      </c>
      <c r="D488" t="inlineStr">
        <is>
          <t>ÖREBRO LÄN</t>
        </is>
      </c>
      <c r="E488" t="inlineStr">
        <is>
          <t>ÖREBRO</t>
        </is>
      </c>
      <c r="G488" t="n">
        <v>3.6</v>
      </c>
      <c r="H488" t="n">
        <v>0</v>
      </c>
      <c r="I488" t="n">
        <v>0</v>
      </c>
      <c r="J488" t="n">
        <v>0</v>
      </c>
      <c r="K488" t="n">
        <v>0</v>
      </c>
      <c r="L488" t="n">
        <v>0</v>
      </c>
      <c r="M488" t="n">
        <v>0</v>
      </c>
      <c r="N488" t="n">
        <v>0</v>
      </c>
      <c r="O488" t="n">
        <v>0</v>
      </c>
      <c r="P488" t="n">
        <v>0</v>
      </c>
      <c r="Q488" t="n">
        <v>0</v>
      </c>
      <c r="R488" s="2" t="inlineStr"/>
    </row>
    <row r="489" ht="15" customHeight="1">
      <c r="A489" t="inlineStr">
        <is>
          <t>A 63142-2023</t>
        </is>
      </c>
      <c r="B489" s="1" t="n">
        <v>45273</v>
      </c>
      <c r="C489" s="1" t="n">
        <v>45992</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23741-2022</t>
        </is>
      </c>
      <c r="B490" s="1" t="n">
        <v>44722</v>
      </c>
      <c r="C490" s="1" t="n">
        <v>45992</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59121-2024</t>
        </is>
      </c>
      <c r="B491" s="1" t="n">
        <v>45637.37755787037</v>
      </c>
      <c r="C491" s="1" t="n">
        <v>45992</v>
      </c>
      <c r="D491" t="inlineStr">
        <is>
          <t>ÖREBRO LÄN</t>
        </is>
      </c>
      <c r="E491" t="inlineStr">
        <is>
          <t>ÖREBRO</t>
        </is>
      </c>
      <c r="G491" t="n">
        <v>1</v>
      </c>
      <c r="H491" t="n">
        <v>0</v>
      </c>
      <c r="I491" t="n">
        <v>0</v>
      </c>
      <c r="J491" t="n">
        <v>0</v>
      </c>
      <c r="K491" t="n">
        <v>0</v>
      </c>
      <c r="L491" t="n">
        <v>0</v>
      </c>
      <c r="M491" t="n">
        <v>0</v>
      </c>
      <c r="N491" t="n">
        <v>0</v>
      </c>
      <c r="O491" t="n">
        <v>0</v>
      </c>
      <c r="P491" t="n">
        <v>0</v>
      </c>
      <c r="Q491" t="n">
        <v>0</v>
      </c>
      <c r="R491" s="2" t="inlineStr"/>
    </row>
    <row r="492" ht="15" customHeight="1">
      <c r="A492" t="inlineStr">
        <is>
          <t>A 9704-2023</t>
        </is>
      </c>
      <c r="B492" s="1" t="n">
        <v>44984</v>
      </c>
      <c r="C492" s="1" t="n">
        <v>45992</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12099-2023</t>
        </is>
      </c>
      <c r="B493" s="1" t="n">
        <v>44998.37043981482</v>
      </c>
      <c r="C493" s="1" t="n">
        <v>45992</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17869-2024</t>
        </is>
      </c>
      <c r="B494" s="1" t="n">
        <v>45419</v>
      </c>
      <c r="C494" s="1" t="n">
        <v>45992</v>
      </c>
      <c r="D494" t="inlineStr">
        <is>
          <t>ÖREBRO LÄN</t>
        </is>
      </c>
      <c r="E494" t="inlineStr">
        <is>
          <t>ÖREBRO</t>
        </is>
      </c>
      <c r="G494" t="n">
        <v>3.7</v>
      </c>
      <c r="H494" t="n">
        <v>0</v>
      </c>
      <c r="I494" t="n">
        <v>0</v>
      </c>
      <c r="J494" t="n">
        <v>0</v>
      </c>
      <c r="K494" t="n">
        <v>0</v>
      </c>
      <c r="L494" t="n">
        <v>0</v>
      </c>
      <c r="M494" t="n">
        <v>0</v>
      </c>
      <c r="N494" t="n">
        <v>0</v>
      </c>
      <c r="O494" t="n">
        <v>0</v>
      </c>
      <c r="P494" t="n">
        <v>0</v>
      </c>
      <c r="Q494" t="n">
        <v>0</v>
      </c>
      <c r="R494" s="2" t="inlineStr"/>
    </row>
    <row r="495" ht="15" customHeight="1">
      <c r="A495" t="inlineStr">
        <is>
          <t>A 5026-2022</t>
        </is>
      </c>
      <c r="B495" s="1" t="n">
        <v>44593.63974537037</v>
      </c>
      <c r="C495" s="1" t="n">
        <v>45992</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10832-2023</t>
        </is>
      </c>
      <c r="B496" s="1" t="n">
        <v>44990.91711805556</v>
      </c>
      <c r="C496" s="1" t="n">
        <v>45992</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48581-2024</t>
        </is>
      </c>
      <c r="B497" s="1" t="n">
        <v>45593.41642361111</v>
      </c>
      <c r="C497" s="1" t="n">
        <v>45992</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40231-2022</t>
        </is>
      </c>
      <c r="B498" s="1" t="n">
        <v>44820</v>
      </c>
      <c r="C498" s="1" t="n">
        <v>45992</v>
      </c>
      <c r="D498" t="inlineStr">
        <is>
          <t>ÖREBRO LÄN</t>
        </is>
      </c>
      <c r="E498" t="inlineStr">
        <is>
          <t>ÖREBRO</t>
        </is>
      </c>
      <c r="F498" t="inlineStr">
        <is>
          <t>Allmännings- och besparingsskogar</t>
        </is>
      </c>
      <c r="G498" t="n">
        <v>2.2</v>
      </c>
      <c r="H498" t="n">
        <v>0</v>
      </c>
      <c r="I498" t="n">
        <v>0</v>
      </c>
      <c r="J498" t="n">
        <v>0</v>
      </c>
      <c r="K498" t="n">
        <v>0</v>
      </c>
      <c r="L498" t="n">
        <v>0</v>
      </c>
      <c r="M498" t="n">
        <v>0</v>
      </c>
      <c r="N498" t="n">
        <v>0</v>
      </c>
      <c r="O498" t="n">
        <v>0</v>
      </c>
      <c r="P498" t="n">
        <v>0</v>
      </c>
      <c r="Q498" t="n">
        <v>0</v>
      </c>
      <c r="R498" s="2" t="inlineStr"/>
    </row>
    <row r="499" ht="15" customHeight="1">
      <c r="A499" t="inlineStr">
        <is>
          <t>A 14963-2025</t>
        </is>
      </c>
      <c r="B499" s="1" t="n">
        <v>45743.58699074074</v>
      </c>
      <c r="C499" s="1" t="n">
        <v>45992</v>
      </c>
      <c r="D499" t="inlineStr">
        <is>
          <t>ÖREBRO LÄN</t>
        </is>
      </c>
      <c r="E499" t="inlineStr">
        <is>
          <t>ÖREBRO</t>
        </is>
      </c>
      <c r="G499" t="n">
        <v>9.1</v>
      </c>
      <c r="H499" t="n">
        <v>0</v>
      </c>
      <c r="I499" t="n">
        <v>0</v>
      </c>
      <c r="J499" t="n">
        <v>0</v>
      </c>
      <c r="K499" t="n">
        <v>0</v>
      </c>
      <c r="L499" t="n">
        <v>0</v>
      </c>
      <c r="M499" t="n">
        <v>0</v>
      </c>
      <c r="N499" t="n">
        <v>0</v>
      </c>
      <c r="O499" t="n">
        <v>0</v>
      </c>
      <c r="P499" t="n">
        <v>0</v>
      </c>
      <c r="Q499" t="n">
        <v>0</v>
      </c>
      <c r="R499" s="2" t="inlineStr"/>
    </row>
    <row r="500" ht="15" customHeight="1">
      <c r="A500" t="inlineStr">
        <is>
          <t>A 33455-2023</t>
        </is>
      </c>
      <c r="B500" s="1" t="n">
        <v>45130.98962962963</v>
      </c>
      <c r="C500" s="1" t="n">
        <v>45992</v>
      </c>
      <c r="D500" t="inlineStr">
        <is>
          <t>ÖREBRO LÄN</t>
        </is>
      </c>
      <c r="E500" t="inlineStr">
        <is>
          <t>ÖREBRO</t>
        </is>
      </c>
      <c r="G500" t="n">
        <v>0.7</v>
      </c>
      <c r="H500" t="n">
        <v>0</v>
      </c>
      <c r="I500" t="n">
        <v>0</v>
      </c>
      <c r="J500" t="n">
        <v>0</v>
      </c>
      <c r="K500" t="n">
        <v>0</v>
      </c>
      <c r="L500" t="n">
        <v>0</v>
      </c>
      <c r="M500" t="n">
        <v>0</v>
      </c>
      <c r="N500" t="n">
        <v>0</v>
      </c>
      <c r="O500" t="n">
        <v>0</v>
      </c>
      <c r="P500" t="n">
        <v>0</v>
      </c>
      <c r="Q500" t="n">
        <v>0</v>
      </c>
      <c r="R500" s="2" t="inlineStr"/>
    </row>
    <row r="501" ht="15" customHeight="1">
      <c r="A501" t="inlineStr">
        <is>
          <t>A 2069-2025</t>
        </is>
      </c>
      <c r="B501" s="1" t="n">
        <v>45672.56614583333</v>
      </c>
      <c r="C501" s="1" t="n">
        <v>45992</v>
      </c>
      <c r="D501" t="inlineStr">
        <is>
          <t>ÖREBRO LÄN</t>
        </is>
      </c>
      <c r="E501" t="inlineStr">
        <is>
          <t>ÖREBRO</t>
        </is>
      </c>
      <c r="G501" t="n">
        <v>3.8</v>
      </c>
      <c r="H501" t="n">
        <v>0</v>
      </c>
      <c r="I501" t="n">
        <v>0</v>
      </c>
      <c r="J501" t="n">
        <v>0</v>
      </c>
      <c r="K501" t="n">
        <v>0</v>
      </c>
      <c r="L501" t="n">
        <v>0</v>
      </c>
      <c r="M501" t="n">
        <v>0</v>
      </c>
      <c r="N501" t="n">
        <v>0</v>
      </c>
      <c r="O501" t="n">
        <v>0</v>
      </c>
      <c r="P501" t="n">
        <v>0</v>
      </c>
      <c r="Q501" t="n">
        <v>0</v>
      </c>
      <c r="R501" s="2" t="inlineStr"/>
    </row>
    <row r="502" ht="15" customHeight="1">
      <c r="A502" t="inlineStr">
        <is>
          <t>A 58277-2022</t>
        </is>
      </c>
      <c r="B502" s="1" t="n">
        <v>44901.48108796297</v>
      </c>
      <c r="C502" s="1" t="n">
        <v>45992</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42518-2021</t>
        </is>
      </c>
      <c r="B503" s="1" t="n">
        <v>44427.81496527778</v>
      </c>
      <c r="C503" s="1" t="n">
        <v>45992</v>
      </c>
      <c r="D503" t="inlineStr">
        <is>
          <t>ÖREBRO LÄN</t>
        </is>
      </c>
      <c r="E503" t="inlineStr">
        <is>
          <t>ÖREBRO</t>
        </is>
      </c>
      <c r="G503" t="n">
        <v>4.5</v>
      </c>
      <c r="H503" t="n">
        <v>0</v>
      </c>
      <c r="I503" t="n">
        <v>0</v>
      </c>
      <c r="J503" t="n">
        <v>0</v>
      </c>
      <c r="K503" t="n">
        <v>0</v>
      </c>
      <c r="L503" t="n">
        <v>0</v>
      </c>
      <c r="M503" t="n">
        <v>0</v>
      </c>
      <c r="N503" t="n">
        <v>0</v>
      </c>
      <c r="O503" t="n">
        <v>0</v>
      </c>
      <c r="P503" t="n">
        <v>0</v>
      </c>
      <c r="Q503" t="n">
        <v>0</v>
      </c>
      <c r="R503" s="2" t="inlineStr"/>
    </row>
    <row r="504" ht="15" customHeight="1">
      <c r="A504" t="inlineStr">
        <is>
          <t>A 14524-2025</t>
        </is>
      </c>
      <c r="B504" s="1" t="n">
        <v>45741.64815972222</v>
      </c>
      <c r="C504" s="1" t="n">
        <v>45992</v>
      </c>
      <c r="D504" t="inlineStr">
        <is>
          <t>ÖREBRO LÄN</t>
        </is>
      </c>
      <c r="E504" t="inlineStr">
        <is>
          <t>ÖREBRO</t>
        </is>
      </c>
      <c r="G504" t="n">
        <v>2.8</v>
      </c>
      <c r="H504" t="n">
        <v>0</v>
      </c>
      <c r="I504" t="n">
        <v>0</v>
      </c>
      <c r="J504" t="n">
        <v>0</v>
      </c>
      <c r="K504" t="n">
        <v>0</v>
      </c>
      <c r="L504" t="n">
        <v>0</v>
      </c>
      <c r="M504" t="n">
        <v>0</v>
      </c>
      <c r="N504" t="n">
        <v>0</v>
      </c>
      <c r="O504" t="n">
        <v>0</v>
      </c>
      <c r="P504" t="n">
        <v>0</v>
      </c>
      <c r="Q504" t="n">
        <v>0</v>
      </c>
      <c r="R504" s="2" t="inlineStr"/>
    </row>
    <row r="505" ht="15" customHeight="1">
      <c r="A505" t="inlineStr">
        <is>
          <t>A 15354-2024</t>
        </is>
      </c>
      <c r="B505" s="1" t="n">
        <v>45400.85319444445</v>
      </c>
      <c r="C505" s="1" t="n">
        <v>45992</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41543-2024</t>
        </is>
      </c>
      <c r="B506" s="1" t="n">
        <v>45560</v>
      </c>
      <c r="C506" s="1" t="n">
        <v>45992</v>
      </c>
      <c r="D506" t="inlineStr">
        <is>
          <t>ÖREBRO LÄN</t>
        </is>
      </c>
      <c r="E506" t="inlineStr">
        <is>
          <t>ÖREBRO</t>
        </is>
      </c>
      <c r="G506" t="n">
        <v>2.8</v>
      </c>
      <c r="H506" t="n">
        <v>0</v>
      </c>
      <c r="I506" t="n">
        <v>0</v>
      </c>
      <c r="J506" t="n">
        <v>0</v>
      </c>
      <c r="K506" t="n">
        <v>0</v>
      </c>
      <c r="L506" t="n">
        <v>0</v>
      </c>
      <c r="M506" t="n">
        <v>0</v>
      </c>
      <c r="N506" t="n">
        <v>0</v>
      </c>
      <c r="O506" t="n">
        <v>0</v>
      </c>
      <c r="P506" t="n">
        <v>0</v>
      </c>
      <c r="Q506" t="n">
        <v>0</v>
      </c>
      <c r="R506" s="2" t="inlineStr"/>
    </row>
    <row r="507" ht="15" customHeight="1">
      <c r="A507" t="inlineStr">
        <is>
          <t>A 71275-2021</t>
        </is>
      </c>
      <c r="B507" s="1" t="n">
        <v>44539</v>
      </c>
      <c r="C507" s="1" t="n">
        <v>45992</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71285-2021</t>
        </is>
      </c>
      <c r="B508" s="1" t="n">
        <v>44539.62236111111</v>
      </c>
      <c r="C508" s="1" t="n">
        <v>45992</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2658-2023</t>
        </is>
      </c>
      <c r="B509" s="1" t="n">
        <v>44944</v>
      </c>
      <c r="C509" s="1" t="n">
        <v>45992</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11382-2023</t>
        </is>
      </c>
      <c r="B510" s="1" t="n">
        <v>44993.45635416666</v>
      </c>
      <c r="C510" s="1" t="n">
        <v>45992</v>
      </c>
      <c r="D510" t="inlineStr">
        <is>
          <t>ÖREBRO LÄN</t>
        </is>
      </c>
      <c r="E510" t="inlineStr">
        <is>
          <t>ÖREBRO</t>
        </is>
      </c>
      <c r="G510" t="n">
        <v>3.3</v>
      </c>
      <c r="H510" t="n">
        <v>0</v>
      </c>
      <c r="I510" t="n">
        <v>0</v>
      </c>
      <c r="J510" t="n">
        <v>0</v>
      </c>
      <c r="K510" t="n">
        <v>0</v>
      </c>
      <c r="L510" t="n">
        <v>0</v>
      </c>
      <c r="M510" t="n">
        <v>0</v>
      </c>
      <c r="N510" t="n">
        <v>0</v>
      </c>
      <c r="O510" t="n">
        <v>0</v>
      </c>
      <c r="P510" t="n">
        <v>0</v>
      </c>
      <c r="Q510" t="n">
        <v>0</v>
      </c>
      <c r="R510" s="2" t="inlineStr"/>
    </row>
    <row r="511" ht="15" customHeight="1">
      <c r="A511" t="inlineStr">
        <is>
          <t>A 52016-2024</t>
        </is>
      </c>
      <c r="B511" s="1" t="n">
        <v>45607.81917824074</v>
      </c>
      <c r="C511" s="1" t="n">
        <v>45992</v>
      </c>
      <c r="D511" t="inlineStr">
        <is>
          <t>ÖREBRO LÄN</t>
        </is>
      </c>
      <c r="E511" t="inlineStr">
        <is>
          <t>ÖREBRO</t>
        </is>
      </c>
      <c r="G511" t="n">
        <v>1.9</v>
      </c>
      <c r="H511" t="n">
        <v>0</v>
      </c>
      <c r="I511" t="n">
        <v>0</v>
      </c>
      <c r="J511" t="n">
        <v>0</v>
      </c>
      <c r="K511" t="n">
        <v>0</v>
      </c>
      <c r="L511" t="n">
        <v>0</v>
      </c>
      <c r="M511" t="n">
        <v>0</v>
      </c>
      <c r="N511" t="n">
        <v>0</v>
      </c>
      <c r="O511" t="n">
        <v>0</v>
      </c>
      <c r="P511" t="n">
        <v>0</v>
      </c>
      <c r="Q511" t="n">
        <v>0</v>
      </c>
      <c r="R511" s="2" t="inlineStr"/>
    </row>
    <row r="512" ht="15" customHeight="1">
      <c r="A512" t="inlineStr">
        <is>
          <t>A 27112-2023</t>
        </is>
      </c>
      <c r="B512" s="1" t="n">
        <v>45096</v>
      </c>
      <c r="C512" s="1" t="n">
        <v>45992</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45992</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8331-2021</t>
        </is>
      </c>
      <c r="B514" s="1" t="n">
        <v>44244</v>
      </c>
      <c r="C514" s="1" t="n">
        <v>45992</v>
      </c>
      <c r="D514" t="inlineStr">
        <is>
          <t>ÖREBRO LÄN</t>
        </is>
      </c>
      <c r="E514" t="inlineStr">
        <is>
          <t>ÖREBRO</t>
        </is>
      </c>
      <c r="G514" t="n">
        <v>9.1</v>
      </c>
      <c r="H514" t="n">
        <v>0</v>
      </c>
      <c r="I514" t="n">
        <v>0</v>
      </c>
      <c r="J514" t="n">
        <v>0</v>
      </c>
      <c r="K514" t="n">
        <v>0</v>
      </c>
      <c r="L514" t="n">
        <v>0</v>
      </c>
      <c r="M514" t="n">
        <v>0</v>
      </c>
      <c r="N514" t="n">
        <v>0</v>
      </c>
      <c r="O514" t="n">
        <v>0</v>
      </c>
      <c r="P514" t="n">
        <v>0</v>
      </c>
      <c r="Q514" t="n">
        <v>0</v>
      </c>
      <c r="R514" s="2" t="inlineStr"/>
    </row>
    <row r="515" ht="15" customHeight="1">
      <c r="A515" t="inlineStr">
        <is>
          <t>A 13592-2023</t>
        </is>
      </c>
      <c r="B515" s="1" t="n">
        <v>45006.56870370371</v>
      </c>
      <c r="C515" s="1" t="n">
        <v>45992</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40656-2023</t>
        </is>
      </c>
      <c r="B516" s="1" t="n">
        <v>45170</v>
      </c>
      <c r="C516" s="1" t="n">
        <v>45992</v>
      </c>
      <c r="D516" t="inlineStr">
        <is>
          <t>ÖREBRO LÄN</t>
        </is>
      </c>
      <c r="E516" t="inlineStr">
        <is>
          <t>ÖREBRO</t>
        </is>
      </c>
      <c r="F516" t="inlineStr">
        <is>
          <t>Övriga Aktiebolag</t>
        </is>
      </c>
      <c r="G516" t="n">
        <v>0.8</v>
      </c>
      <c r="H516" t="n">
        <v>0</v>
      </c>
      <c r="I516" t="n">
        <v>0</v>
      </c>
      <c r="J516" t="n">
        <v>0</v>
      </c>
      <c r="K516" t="n">
        <v>0</v>
      </c>
      <c r="L516" t="n">
        <v>0</v>
      </c>
      <c r="M516" t="n">
        <v>0</v>
      </c>
      <c r="N516" t="n">
        <v>0</v>
      </c>
      <c r="O516" t="n">
        <v>0</v>
      </c>
      <c r="P516" t="n">
        <v>0</v>
      </c>
      <c r="Q516" t="n">
        <v>0</v>
      </c>
      <c r="R516" s="2" t="inlineStr"/>
    </row>
    <row r="517" ht="15" customHeight="1">
      <c r="A517" t="inlineStr">
        <is>
          <t>A 12245-2023</t>
        </is>
      </c>
      <c r="B517" s="1" t="n">
        <v>44998.64402777778</v>
      </c>
      <c r="C517" s="1" t="n">
        <v>45992</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8008-2024</t>
        </is>
      </c>
      <c r="B518" s="1" t="n">
        <v>45350.6794212963</v>
      </c>
      <c r="C518" s="1" t="n">
        <v>45992</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46834-2022</t>
        </is>
      </c>
      <c r="B519" s="1" t="n">
        <v>44851</v>
      </c>
      <c r="C519" s="1" t="n">
        <v>45992</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3789-2023</t>
        </is>
      </c>
      <c r="B520" s="1" t="n">
        <v>44951</v>
      </c>
      <c r="C520" s="1" t="n">
        <v>45992</v>
      </c>
      <c r="D520" t="inlineStr">
        <is>
          <t>ÖREBRO LÄN</t>
        </is>
      </c>
      <c r="E520" t="inlineStr">
        <is>
          <t>ÖREBRO</t>
        </is>
      </c>
      <c r="G520" t="n">
        <v>7.5</v>
      </c>
      <c r="H520" t="n">
        <v>0</v>
      </c>
      <c r="I520" t="n">
        <v>0</v>
      </c>
      <c r="J520" t="n">
        <v>0</v>
      </c>
      <c r="K520" t="n">
        <v>0</v>
      </c>
      <c r="L520" t="n">
        <v>0</v>
      </c>
      <c r="M520" t="n">
        <v>0</v>
      </c>
      <c r="N520" t="n">
        <v>0</v>
      </c>
      <c r="O520" t="n">
        <v>0</v>
      </c>
      <c r="P520" t="n">
        <v>0</v>
      </c>
      <c r="Q520" t="n">
        <v>0</v>
      </c>
      <c r="R520" s="2" t="inlineStr"/>
    </row>
    <row r="521" ht="15" customHeight="1">
      <c r="A521" t="inlineStr">
        <is>
          <t>A 57869-2024</t>
        </is>
      </c>
      <c r="B521" s="1" t="n">
        <v>45631.44207175926</v>
      </c>
      <c r="C521" s="1" t="n">
        <v>45992</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11565-2023</t>
        </is>
      </c>
      <c r="B522" s="1" t="n">
        <v>44994</v>
      </c>
      <c r="C522" s="1" t="n">
        <v>45992</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1647-2024</t>
        </is>
      </c>
      <c r="B523" s="1" t="n">
        <v>45306</v>
      </c>
      <c r="C523" s="1" t="n">
        <v>45992</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31906-2023</t>
        </is>
      </c>
      <c r="B524" s="1" t="n">
        <v>45118.8353125</v>
      </c>
      <c r="C524" s="1" t="n">
        <v>45992</v>
      </c>
      <c r="D524" t="inlineStr">
        <is>
          <t>ÖREBRO LÄN</t>
        </is>
      </c>
      <c r="E524" t="inlineStr">
        <is>
          <t>ÖREBRO</t>
        </is>
      </c>
      <c r="G524" t="n">
        <v>9</v>
      </c>
      <c r="H524" t="n">
        <v>0</v>
      </c>
      <c r="I524" t="n">
        <v>0</v>
      </c>
      <c r="J524" t="n">
        <v>0</v>
      </c>
      <c r="K524" t="n">
        <v>0</v>
      </c>
      <c r="L524" t="n">
        <v>0</v>
      </c>
      <c r="M524" t="n">
        <v>0</v>
      </c>
      <c r="N524" t="n">
        <v>0</v>
      </c>
      <c r="O524" t="n">
        <v>0</v>
      </c>
      <c r="P524" t="n">
        <v>0</v>
      </c>
      <c r="Q524" t="n">
        <v>0</v>
      </c>
      <c r="R524" s="2" t="inlineStr"/>
    </row>
    <row r="525" ht="15" customHeight="1">
      <c r="A525" t="inlineStr">
        <is>
          <t>A 31326-2024</t>
        </is>
      </c>
      <c r="B525" s="1" t="n">
        <v>45504.5934375</v>
      </c>
      <c r="C525" s="1" t="n">
        <v>45992</v>
      </c>
      <c r="D525" t="inlineStr">
        <is>
          <t>ÖREBRO LÄN</t>
        </is>
      </c>
      <c r="E525" t="inlineStr">
        <is>
          <t>ÖREBRO</t>
        </is>
      </c>
      <c r="G525" t="n">
        <v>6.4</v>
      </c>
      <c r="H525" t="n">
        <v>0</v>
      </c>
      <c r="I525" t="n">
        <v>0</v>
      </c>
      <c r="J525" t="n">
        <v>0</v>
      </c>
      <c r="K525" t="n">
        <v>0</v>
      </c>
      <c r="L525" t="n">
        <v>0</v>
      </c>
      <c r="M525" t="n">
        <v>0</v>
      </c>
      <c r="N525" t="n">
        <v>0</v>
      </c>
      <c r="O525" t="n">
        <v>0</v>
      </c>
      <c r="P525" t="n">
        <v>0</v>
      </c>
      <c r="Q525" t="n">
        <v>0</v>
      </c>
      <c r="R525" s="2" t="inlineStr"/>
    </row>
    <row r="526" ht="15" customHeight="1">
      <c r="A526" t="inlineStr">
        <is>
          <t>A 70719-2021</t>
        </is>
      </c>
      <c r="B526" s="1" t="n">
        <v>44537</v>
      </c>
      <c r="C526" s="1" t="n">
        <v>45992</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16694-2025</t>
        </is>
      </c>
      <c r="B527" s="1" t="n">
        <v>45754.46480324074</v>
      </c>
      <c r="C527" s="1" t="n">
        <v>45992</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30374-2023</t>
        </is>
      </c>
      <c r="B528" s="1" t="n">
        <v>45111</v>
      </c>
      <c r="C528" s="1" t="n">
        <v>45992</v>
      </c>
      <c r="D528" t="inlineStr">
        <is>
          <t>ÖREBRO LÄN</t>
        </is>
      </c>
      <c r="E528" t="inlineStr">
        <is>
          <t>ÖREBRO</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38898-2023</t>
        </is>
      </c>
      <c r="B529" s="1" t="n">
        <v>45163</v>
      </c>
      <c r="C529" s="1" t="n">
        <v>45992</v>
      </c>
      <c r="D529" t="inlineStr">
        <is>
          <t>ÖREBRO LÄN</t>
        </is>
      </c>
      <c r="E529" t="inlineStr">
        <is>
          <t>ÖREBRO</t>
        </is>
      </c>
      <c r="G529" t="n">
        <v>5.1</v>
      </c>
      <c r="H529" t="n">
        <v>0</v>
      </c>
      <c r="I529" t="n">
        <v>0</v>
      </c>
      <c r="J529" t="n">
        <v>0</v>
      </c>
      <c r="K529" t="n">
        <v>0</v>
      </c>
      <c r="L529" t="n">
        <v>0</v>
      </c>
      <c r="M529" t="n">
        <v>0</v>
      </c>
      <c r="N529" t="n">
        <v>0</v>
      </c>
      <c r="O529" t="n">
        <v>0</v>
      </c>
      <c r="P529" t="n">
        <v>0</v>
      </c>
      <c r="Q529" t="n">
        <v>0</v>
      </c>
      <c r="R529" s="2" t="inlineStr"/>
    </row>
    <row r="530" ht="15" customHeight="1">
      <c r="A530" t="inlineStr">
        <is>
          <t>A 5764-2022</t>
        </is>
      </c>
      <c r="B530" s="1" t="n">
        <v>44596</v>
      </c>
      <c r="C530" s="1" t="n">
        <v>45992</v>
      </c>
      <c r="D530" t="inlineStr">
        <is>
          <t>ÖREBRO LÄN</t>
        </is>
      </c>
      <c r="E530" t="inlineStr">
        <is>
          <t>ÖREBRO</t>
        </is>
      </c>
      <c r="G530" t="n">
        <v>3.5</v>
      </c>
      <c r="H530" t="n">
        <v>0</v>
      </c>
      <c r="I530" t="n">
        <v>0</v>
      </c>
      <c r="J530" t="n">
        <v>0</v>
      </c>
      <c r="K530" t="n">
        <v>0</v>
      </c>
      <c r="L530" t="n">
        <v>0</v>
      </c>
      <c r="M530" t="n">
        <v>0</v>
      </c>
      <c r="N530" t="n">
        <v>0</v>
      </c>
      <c r="O530" t="n">
        <v>0</v>
      </c>
      <c r="P530" t="n">
        <v>0</v>
      </c>
      <c r="Q530" t="n">
        <v>0</v>
      </c>
      <c r="R530" s="2" t="inlineStr"/>
    </row>
    <row r="531" ht="15" customHeight="1">
      <c r="A531" t="inlineStr">
        <is>
          <t>A 21036-2024</t>
        </is>
      </c>
      <c r="B531" s="1" t="n">
        <v>45439.65954861111</v>
      </c>
      <c r="C531" s="1" t="n">
        <v>45992</v>
      </c>
      <c r="D531" t="inlineStr">
        <is>
          <t>ÖREBRO LÄN</t>
        </is>
      </c>
      <c r="E531" t="inlineStr">
        <is>
          <t>ÖREBRO</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8332-2021</t>
        </is>
      </c>
      <c r="B532" s="1" t="n">
        <v>44244</v>
      </c>
      <c r="C532" s="1" t="n">
        <v>45992</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1492-2022</t>
        </is>
      </c>
      <c r="B533" s="1" t="n">
        <v>44573</v>
      </c>
      <c r="C533" s="1" t="n">
        <v>45992</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5946-2021</t>
        </is>
      </c>
      <c r="B534" s="1" t="n">
        <v>44230</v>
      </c>
      <c r="C534" s="1" t="n">
        <v>45992</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58615-2024</t>
        </is>
      </c>
      <c r="B535" s="1" t="n">
        <v>45635.5587037037</v>
      </c>
      <c r="C535" s="1" t="n">
        <v>45992</v>
      </c>
      <c r="D535" t="inlineStr">
        <is>
          <t>ÖREBRO LÄN</t>
        </is>
      </c>
      <c r="E535" t="inlineStr">
        <is>
          <t>ÖREBRO</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58620-2024</t>
        </is>
      </c>
      <c r="B536" s="1" t="n">
        <v>45635.56246527778</v>
      </c>
      <c r="C536" s="1" t="n">
        <v>45992</v>
      </c>
      <c r="D536" t="inlineStr">
        <is>
          <t>ÖREBRO LÄN</t>
        </is>
      </c>
      <c r="E536" t="inlineStr">
        <is>
          <t>ÖREBRO</t>
        </is>
      </c>
      <c r="F536" t="inlineStr">
        <is>
          <t>Sveaskog</t>
        </is>
      </c>
      <c r="G536" t="n">
        <v>4.5</v>
      </c>
      <c r="H536" t="n">
        <v>0</v>
      </c>
      <c r="I536" t="n">
        <v>0</v>
      </c>
      <c r="J536" t="n">
        <v>0</v>
      </c>
      <c r="K536" t="n">
        <v>0</v>
      </c>
      <c r="L536" t="n">
        <v>0</v>
      </c>
      <c r="M536" t="n">
        <v>0</v>
      </c>
      <c r="N536" t="n">
        <v>0</v>
      </c>
      <c r="O536" t="n">
        <v>0</v>
      </c>
      <c r="P536" t="n">
        <v>0</v>
      </c>
      <c r="Q536" t="n">
        <v>0</v>
      </c>
      <c r="R536" s="2" t="inlineStr"/>
    </row>
    <row r="537" ht="15" customHeight="1">
      <c r="A537" t="inlineStr">
        <is>
          <t>A 1014-2024</t>
        </is>
      </c>
      <c r="B537" s="1" t="n">
        <v>45301</v>
      </c>
      <c r="C537" s="1" t="n">
        <v>45992</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30472-2022</t>
        </is>
      </c>
      <c r="B538" s="1" t="n">
        <v>44761.70467592592</v>
      </c>
      <c r="C538" s="1" t="n">
        <v>45992</v>
      </c>
      <c r="D538" t="inlineStr">
        <is>
          <t>ÖREBRO LÄN</t>
        </is>
      </c>
      <c r="E538" t="inlineStr">
        <is>
          <t>ÖREBRO</t>
        </is>
      </c>
      <c r="F538" t="inlineStr">
        <is>
          <t>Övriga Aktiebolag</t>
        </is>
      </c>
      <c r="G538" t="n">
        <v>5.6</v>
      </c>
      <c r="H538" t="n">
        <v>0</v>
      </c>
      <c r="I538" t="n">
        <v>0</v>
      </c>
      <c r="J538" t="n">
        <v>0</v>
      </c>
      <c r="K538" t="n">
        <v>0</v>
      </c>
      <c r="L538" t="n">
        <v>0</v>
      </c>
      <c r="M538" t="n">
        <v>0</v>
      </c>
      <c r="N538" t="n">
        <v>0</v>
      </c>
      <c r="O538" t="n">
        <v>0</v>
      </c>
      <c r="P538" t="n">
        <v>0</v>
      </c>
      <c r="Q538" t="n">
        <v>0</v>
      </c>
      <c r="R538" s="2" t="inlineStr"/>
    </row>
    <row r="539" ht="15" customHeight="1">
      <c r="A539" t="inlineStr">
        <is>
          <t>A 34056-2023</t>
        </is>
      </c>
      <c r="B539" s="1" t="n">
        <v>45135</v>
      </c>
      <c r="C539" s="1" t="n">
        <v>45992</v>
      </c>
      <c r="D539" t="inlineStr">
        <is>
          <t>ÖREBRO LÄN</t>
        </is>
      </c>
      <c r="E539" t="inlineStr">
        <is>
          <t>ÖREBRO</t>
        </is>
      </c>
      <c r="F539" t="inlineStr">
        <is>
          <t>Övriga Aktiebolag</t>
        </is>
      </c>
      <c r="G539" t="n">
        <v>4.1</v>
      </c>
      <c r="H539" t="n">
        <v>0</v>
      </c>
      <c r="I539" t="n">
        <v>0</v>
      </c>
      <c r="J539" t="n">
        <v>0</v>
      </c>
      <c r="K539" t="n">
        <v>0</v>
      </c>
      <c r="L539" t="n">
        <v>0</v>
      </c>
      <c r="M539" t="n">
        <v>0</v>
      </c>
      <c r="N539" t="n">
        <v>0</v>
      </c>
      <c r="O539" t="n">
        <v>0</v>
      </c>
      <c r="P539" t="n">
        <v>0</v>
      </c>
      <c r="Q539" t="n">
        <v>0</v>
      </c>
      <c r="R539" s="2" t="inlineStr"/>
    </row>
    <row r="540" ht="15" customHeight="1">
      <c r="A540" t="inlineStr">
        <is>
          <t>A 43612-2022</t>
        </is>
      </c>
      <c r="B540" s="1" t="n">
        <v>44837</v>
      </c>
      <c r="C540" s="1" t="n">
        <v>45992</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51373-2023</t>
        </is>
      </c>
      <c r="B541" s="1" t="n">
        <v>45213</v>
      </c>
      <c r="C541" s="1" t="n">
        <v>45992</v>
      </c>
      <c r="D541" t="inlineStr">
        <is>
          <t>ÖREBRO LÄN</t>
        </is>
      </c>
      <c r="E541" t="inlineStr">
        <is>
          <t>ÖREBRO</t>
        </is>
      </c>
      <c r="G541" t="n">
        <v>5.9</v>
      </c>
      <c r="H541" t="n">
        <v>0</v>
      </c>
      <c r="I541" t="n">
        <v>0</v>
      </c>
      <c r="J541" t="n">
        <v>0</v>
      </c>
      <c r="K541" t="n">
        <v>0</v>
      </c>
      <c r="L541" t="n">
        <v>0</v>
      </c>
      <c r="M541" t="n">
        <v>0</v>
      </c>
      <c r="N541" t="n">
        <v>0</v>
      </c>
      <c r="O541" t="n">
        <v>0</v>
      </c>
      <c r="P541" t="n">
        <v>0</v>
      </c>
      <c r="Q541" t="n">
        <v>0</v>
      </c>
      <c r="R541" s="2" t="inlineStr"/>
    </row>
    <row r="542" ht="15" customHeight="1">
      <c r="A542" t="inlineStr">
        <is>
          <t>A 35843-2022</t>
        </is>
      </c>
      <c r="B542" s="1" t="n">
        <v>44802</v>
      </c>
      <c r="C542" s="1" t="n">
        <v>45992</v>
      </c>
      <c r="D542" t="inlineStr">
        <is>
          <t>ÖREBRO LÄN</t>
        </is>
      </c>
      <c r="E542" t="inlineStr">
        <is>
          <t>ÖREBRO</t>
        </is>
      </c>
      <c r="G542" t="n">
        <v>2.4</v>
      </c>
      <c r="H542" t="n">
        <v>0</v>
      </c>
      <c r="I542" t="n">
        <v>0</v>
      </c>
      <c r="J542" t="n">
        <v>0</v>
      </c>
      <c r="K542" t="n">
        <v>0</v>
      </c>
      <c r="L542" t="n">
        <v>0</v>
      </c>
      <c r="M542" t="n">
        <v>0</v>
      </c>
      <c r="N542" t="n">
        <v>0</v>
      </c>
      <c r="O542" t="n">
        <v>0</v>
      </c>
      <c r="P542" t="n">
        <v>0</v>
      </c>
      <c r="Q542" t="n">
        <v>0</v>
      </c>
      <c r="R542" s="2" t="inlineStr"/>
    </row>
    <row r="543" ht="15" customHeight="1">
      <c r="A543" t="inlineStr">
        <is>
          <t>A 13599-2025</t>
        </is>
      </c>
      <c r="B543" s="1" t="n">
        <v>45736.60597222222</v>
      </c>
      <c r="C543" s="1" t="n">
        <v>45992</v>
      </c>
      <c r="D543" t="inlineStr">
        <is>
          <t>ÖREBRO LÄN</t>
        </is>
      </c>
      <c r="E543" t="inlineStr">
        <is>
          <t>ÖREBRO</t>
        </is>
      </c>
      <c r="G543" t="n">
        <v>1.9</v>
      </c>
      <c r="H543" t="n">
        <v>0</v>
      </c>
      <c r="I543" t="n">
        <v>0</v>
      </c>
      <c r="J543" t="n">
        <v>0</v>
      </c>
      <c r="K543" t="n">
        <v>0</v>
      </c>
      <c r="L543" t="n">
        <v>0</v>
      </c>
      <c r="M543" t="n">
        <v>0</v>
      </c>
      <c r="N543" t="n">
        <v>0</v>
      </c>
      <c r="O543" t="n">
        <v>0</v>
      </c>
      <c r="P543" t="n">
        <v>0</v>
      </c>
      <c r="Q543" t="n">
        <v>0</v>
      </c>
      <c r="R543" s="2" t="inlineStr"/>
    </row>
    <row r="544" ht="15" customHeight="1">
      <c r="A544" t="inlineStr">
        <is>
          <t>A 20146-2024</t>
        </is>
      </c>
      <c r="B544" s="1" t="n">
        <v>45434.57641203704</v>
      </c>
      <c r="C544" s="1" t="n">
        <v>45992</v>
      </c>
      <c r="D544" t="inlineStr">
        <is>
          <t>ÖREBRO LÄN</t>
        </is>
      </c>
      <c r="E544" t="inlineStr">
        <is>
          <t>ÖREBRO</t>
        </is>
      </c>
      <c r="G544" t="n">
        <v>0.5</v>
      </c>
      <c r="H544" t="n">
        <v>0</v>
      </c>
      <c r="I544" t="n">
        <v>0</v>
      </c>
      <c r="J544" t="n">
        <v>0</v>
      </c>
      <c r="K544" t="n">
        <v>0</v>
      </c>
      <c r="L544" t="n">
        <v>0</v>
      </c>
      <c r="M544" t="n">
        <v>0</v>
      </c>
      <c r="N544" t="n">
        <v>0</v>
      </c>
      <c r="O544" t="n">
        <v>0</v>
      </c>
      <c r="P544" t="n">
        <v>0</v>
      </c>
      <c r="Q544" t="n">
        <v>0</v>
      </c>
      <c r="R544" s="2" t="inlineStr"/>
    </row>
    <row r="545" ht="15" customHeight="1">
      <c r="A545" t="inlineStr">
        <is>
          <t>A 10937-2024</t>
        </is>
      </c>
      <c r="B545" s="1" t="n">
        <v>45370.44461805555</v>
      </c>
      <c r="C545" s="1" t="n">
        <v>45992</v>
      </c>
      <c r="D545" t="inlineStr">
        <is>
          <t>ÖREBRO LÄN</t>
        </is>
      </c>
      <c r="E545" t="inlineStr">
        <is>
          <t>ÖREBRO</t>
        </is>
      </c>
      <c r="G545" t="n">
        <v>4.3</v>
      </c>
      <c r="H545" t="n">
        <v>0</v>
      </c>
      <c r="I545" t="n">
        <v>0</v>
      </c>
      <c r="J545" t="n">
        <v>0</v>
      </c>
      <c r="K545" t="n">
        <v>0</v>
      </c>
      <c r="L545" t="n">
        <v>0</v>
      </c>
      <c r="M545" t="n">
        <v>0</v>
      </c>
      <c r="N545" t="n">
        <v>0</v>
      </c>
      <c r="O545" t="n">
        <v>0</v>
      </c>
      <c r="P545" t="n">
        <v>0</v>
      </c>
      <c r="Q545" t="n">
        <v>0</v>
      </c>
      <c r="R545" s="2" t="inlineStr"/>
    </row>
    <row r="546" ht="15" customHeight="1">
      <c r="A546" t="inlineStr">
        <is>
          <t>A 20115-2024</t>
        </is>
      </c>
      <c r="B546" s="1" t="n">
        <v>45434</v>
      </c>
      <c r="C546" s="1" t="n">
        <v>45992</v>
      </c>
      <c r="D546" t="inlineStr">
        <is>
          <t>ÖREBRO LÄN</t>
        </is>
      </c>
      <c r="E546" t="inlineStr">
        <is>
          <t>ÖREBRO</t>
        </is>
      </c>
      <c r="G546" t="n">
        <v>1.7</v>
      </c>
      <c r="H546" t="n">
        <v>0</v>
      </c>
      <c r="I546" t="n">
        <v>0</v>
      </c>
      <c r="J546" t="n">
        <v>0</v>
      </c>
      <c r="K546" t="n">
        <v>0</v>
      </c>
      <c r="L546" t="n">
        <v>0</v>
      </c>
      <c r="M546" t="n">
        <v>0</v>
      </c>
      <c r="N546" t="n">
        <v>0</v>
      </c>
      <c r="O546" t="n">
        <v>0</v>
      </c>
      <c r="P546" t="n">
        <v>0</v>
      </c>
      <c r="Q546" t="n">
        <v>0</v>
      </c>
      <c r="R546" s="2" t="inlineStr"/>
    </row>
    <row r="547" ht="15" customHeight="1">
      <c r="A547" t="inlineStr">
        <is>
          <t>A 16936-2023</t>
        </is>
      </c>
      <c r="B547" s="1" t="n">
        <v>45033.63005787037</v>
      </c>
      <c r="C547" s="1" t="n">
        <v>45992</v>
      </c>
      <c r="D547" t="inlineStr">
        <is>
          <t>ÖREBRO LÄN</t>
        </is>
      </c>
      <c r="E547" t="inlineStr">
        <is>
          <t>ÖREBRO</t>
        </is>
      </c>
      <c r="G547" t="n">
        <v>2</v>
      </c>
      <c r="H547" t="n">
        <v>0</v>
      </c>
      <c r="I547" t="n">
        <v>0</v>
      </c>
      <c r="J547" t="n">
        <v>0</v>
      </c>
      <c r="K547" t="n">
        <v>0</v>
      </c>
      <c r="L547" t="n">
        <v>0</v>
      </c>
      <c r="M547" t="n">
        <v>0</v>
      </c>
      <c r="N547" t="n">
        <v>0</v>
      </c>
      <c r="O547" t="n">
        <v>0</v>
      </c>
      <c r="P547" t="n">
        <v>0</v>
      </c>
      <c r="Q547" t="n">
        <v>0</v>
      </c>
      <c r="R547" s="2" t="inlineStr"/>
    </row>
    <row r="548" ht="15" customHeight="1">
      <c r="A548" t="inlineStr">
        <is>
          <t>A 40588-2021</t>
        </is>
      </c>
      <c r="B548" s="1" t="n">
        <v>44420</v>
      </c>
      <c r="C548" s="1" t="n">
        <v>45992</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8565-2021</t>
        </is>
      </c>
      <c r="B549" s="1" t="n">
        <v>44245</v>
      </c>
      <c r="C549" s="1" t="n">
        <v>45992</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8575-2021</t>
        </is>
      </c>
      <c r="B550" s="1" t="n">
        <v>44245</v>
      </c>
      <c r="C550" s="1" t="n">
        <v>45992</v>
      </c>
      <c r="D550" t="inlineStr">
        <is>
          <t>ÖREBRO LÄN</t>
        </is>
      </c>
      <c r="E550" t="inlineStr">
        <is>
          <t>ÖREBRO</t>
        </is>
      </c>
      <c r="G550" t="n">
        <v>3.4</v>
      </c>
      <c r="H550" t="n">
        <v>0</v>
      </c>
      <c r="I550" t="n">
        <v>0</v>
      </c>
      <c r="J550" t="n">
        <v>0</v>
      </c>
      <c r="K550" t="n">
        <v>0</v>
      </c>
      <c r="L550" t="n">
        <v>0</v>
      </c>
      <c r="M550" t="n">
        <v>0</v>
      </c>
      <c r="N550" t="n">
        <v>0</v>
      </c>
      <c r="O550" t="n">
        <v>0</v>
      </c>
      <c r="P550" t="n">
        <v>0</v>
      </c>
      <c r="Q550" t="n">
        <v>0</v>
      </c>
      <c r="R550" s="2" t="inlineStr"/>
    </row>
    <row r="551" ht="15" customHeight="1">
      <c r="A551" t="inlineStr">
        <is>
          <t>A 57485-2023</t>
        </is>
      </c>
      <c r="B551" s="1" t="n">
        <v>45246</v>
      </c>
      <c r="C551" s="1" t="n">
        <v>45992</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37025-2024</t>
        </is>
      </c>
      <c r="B552" s="1" t="n">
        <v>45539.3840162037</v>
      </c>
      <c r="C552" s="1" t="n">
        <v>45992</v>
      </c>
      <c r="D552" t="inlineStr">
        <is>
          <t>ÖREBRO LÄN</t>
        </is>
      </c>
      <c r="E552" t="inlineStr">
        <is>
          <t>ÖREBRO</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37027-2024</t>
        </is>
      </c>
      <c r="B553" s="1" t="n">
        <v>45539.38487268519</v>
      </c>
      <c r="C553" s="1" t="n">
        <v>45992</v>
      </c>
      <c r="D553" t="inlineStr">
        <is>
          <t>ÖREBRO LÄN</t>
        </is>
      </c>
      <c r="E553" t="inlineStr">
        <is>
          <t>ÖREBRO</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60506-2024</t>
        </is>
      </c>
      <c r="B554" s="1" t="n">
        <v>45643.66630787037</v>
      </c>
      <c r="C554" s="1" t="n">
        <v>45992</v>
      </c>
      <c r="D554" t="inlineStr">
        <is>
          <t>ÖREBRO LÄN</t>
        </is>
      </c>
      <c r="E554" t="inlineStr">
        <is>
          <t>ÖREBRO</t>
        </is>
      </c>
      <c r="G554" t="n">
        <v>5.8</v>
      </c>
      <c r="H554" t="n">
        <v>0</v>
      </c>
      <c r="I554" t="n">
        <v>0</v>
      </c>
      <c r="J554" t="n">
        <v>0</v>
      </c>
      <c r="K554" t="n">
        <v>0</v>
      </c>
      <c r="L554" t="n">
        <v>0</v>
      </c>
      <c r="M554" t="n">
        <v>0</v>
      </c>
      <c r="N554" t="n">
        <v>0</v>
      </c>
      <c r="O554" t="n">
        <v>0</v>
      </c>
      <c r="P554" t="n">
        <v>0</v>
      </c>
      <c r="Q554" t="n">
        <v>0</v>
      </c>
      <c r="R554" s="2" t="inlineStr"/>
    </row>
    <row r="555" ht="15" customHeight="1">
      <c r="A555" t="inlineStr">
        <is>
          <t>A 44284-2022</t>
        </is>
      </c>
      <c r="B555" s="1" t="n">
        <v>44839.59194444444</v>
      </c>
      <c r="C555" s="1" t="n">
        <v>45992</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35833-2024</t>
        </is>
      </c>
      <c r="B556" s="1" t="n">
        <v>45532.68699074074</v>
      </c>
      <c r="C556" s="1" t="n">
        <v>45992</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58608-2024</t>
        </is>
      </c>
      <c r="B557" s="1" t="n">
        <v>45635.55185185185</v>
      </c>
      <c r="C557" s="1" t="n">
        <v>45992</v>
      </c>
      <c r="D557" t="inlineStr">
        <is>
          <t>ÖREBRO LÄN</t>
        </is>
      </c>
      <c r="E557" t="inlineStr">
        <is>
          <t>ÖREBRO</t>
        </is>
      </c>
      <c r="F557" t="inlineStr">
        <is>
          <t>Sveaskog</t>
        </is>
      </c>
      <c r="G557" t="n">
        <v>0.3</v>
      </c>
      <c r="H557" t="n">
        <v>0</v>
      </c>
      <c r="I557" t="n">
        <v>0</v>
      </c>
      <c r="J557" t="n">
        <v>0</v>
      </c>
      <c r="K557" t="n">
        <v>0</v>
      </c>
      <c r="L557" t="n">
        <v>0</v>
      </c>
      <c r="M557" t="n">
        <v>0</v>
      </c>
      <c r="N557" t="n">
        <v>0</v>
      </c>
      <c r="O557" t="n">
        <v>0</v>
      </c>
      <c r="P557" t="n">
        <v>0</v>
      </c>
      <c r="Q557" t="n">
        <v>0</v>
      </c>
      <c r="R557" s="2" t="inlineStr"/>
    </row>
    <row r="558" ht="15" customHeight="1">
      <c r="A558" t="inlineStr">
        <is>
          <t>A 38422-2023</t>
        </is>
      </c>
      <c r="B558" s="1" t="n">
        <v>45162.36422453704</v>
      </c>
      <c r="C558" s="1" t="n">
        <v>45992</v>
      </c>
      <c r="D558" t="inlineStr">
        <is>
          <t>ÖREBRO LÄN</t>
        </is>
      </c>
      <c r="E558" t="inlineStr">
        <is>
          <t>ÖREBRO</t>
        </is>
      </c>
      <c r="G558" t="n">
        <v>8</v>
      </c>
      <c r="H558" t="n">
        <v>0</v>
      </c>
      <c r="I558" t="n">
        <v>0</v>
      </c>
      <c r="J558" t="n">
        <v>0</v>
      </c>
      <c r="K558" t="n">
        <v>0</v>
      </c>
      <c r="L558" t="n">
        <v>0</v>
      </c>
      <c r="M558" t="n">
        <v>0</v>
      </c>
      <c r="N558" t="n">
        <v>0</v>
      </c>
      <c r="O558" t="n">
        <v>0</v>
      </c>
      <c r="P558" t="n">
        <v>0</v>
      </c>
      <c r="Q558" t="n">
        <v>0</v>
      </c>
      <c r="R558" s="2" t="inlineStr"/>
    </row>
    <row r="559" ht="15" customHeight="1">
      <c r="A559" t="inlineStr">
        <is>
          <t>A 56040-2024</t>
        </is>
      </c>
      <c r="B559" s="1" t="n">
        <v>45624.3344212963</v>
      </c>
      <c r="C559" s="1" t="n">
        <v>45992</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14487-2023</t>
        </is>
      </c>
      <c r="B560" s="1" t="n">
        <v>45012</v>
      </c>
      <c r="C560" s="1" t="n">
        <v>45992</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40522-2024</t>
        </is>
      </c>
      <c r="B561" s="1" t="n">
        <v>45555.59717592593</v>
      </c>
      <c r="C561" s="1" t="n">
        <v>45992</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49029-2024</t>
        </is>
      </c>
      <c r="B562" s="1" t="n">
        <v>45594</v>
      </c>
      <c r="C562" s="1" t="n">
        <v>45992</v>
      </c>
      <c r="D562" t="inlineStr">
        <is>
          <t>ÖREBRO LÄN</t>
        </is>
      </c>
      <c r="E562" t="inlineStr">
        <is>
          <t>ÖREBRO</t>
        </is>
      </c>
      <c r="G562" t="n">
        <v>3.7</v>
      </c>
      <c r="H562" t="n">
        <v>0</v>
      </c>
      <c r="I562" t="n">
        <v>0</v>
      </c>
      <c r="J562" t="n">
        <v>0</v>
      </c>
      <c r="K562" t="n">
        <v>0</v>
      </c>
      <c r="L562" t="n">
        <v>0</v>
      </c>
      <c r="M562" t="n">
        <v>0</v>
      </c>
      <c r="N562" t="n">
        <v>0</v>
      </c>
      <c r="O562" t="n">
        <v>0</v>
      </c>
      <c r="P562" t="n">
        <v>0</v>
      </c>
      <c r="Q562" t="n">
        <v>0</v>
      </c>
      <c r="R562" s="2" t="inlineStr"/>
    </row>
    <row r="563" ht="15" customHeight="1">
      <c r="A563" t="inlineStr">
        <is>
          <t>A 49062-2023</t>
        </is>
      </c>
      <c r="B563" s="1" t="n">
        <v>45210.35119212963</v>
      </c>
      <c r="C563" s="1" t="n">
        <v>45992</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35829-2024</t>
        </is>
      </c>
      <c r="B564" s="1" t="n">
        <v>45532</v>
      </c>
      <c r="C564" s="1" t="n">
        <v>45992</v>
      </c>
      <c r="D564" t="inlineStr">
        <is>
          <t>ÖREBRO LÄN</t>
        </is>
      </c>
      <c r="E564" t="inlineStr">
        <is>
          <t>ÖREBRO</t>
        </is>
      </c>
      <c r="G564" t="n">
        <v>4.6</v>
      </c>
      <c r="H564" t="n">
        <v>0</v>
      </c>
      <c r="I564" t="n">
        <v>0</v>
      </c>
      <c r="J564" t="n">
        <v>0</v>
      </c>
      <c r="K564" t="n">
        <v>0</v>
      </c>
      <c r="L564" t="n">
        <v>0</v>
      </c>
      <c r="M564" t="n">
        <v>0</v>
      </c>
      <c r="N564" t="n">
        <v>0</v>
      </c>
      <c r="O564" t="n">
        <v>0</v>
      </c>
      <c r="P564" t="n">
        <v>0</v>
      </c>
      <c r="Q564" t="n">
        <v>0</v>
      </c>
      <c r="R564" s="2" t="inlineStr"/>
    </row>
    <row r="565" ht="15" customHeight="1">
      <c r="A565" t="inlineStr">
        <is>
          <t>A 13181-2023</t>
        </is>
      </c>
      <c r="B565" s="1" t="n">
        <v>45002.60659722222</v>
      </c>
      <c r="C565" s="1" t="n">
        <v>45992</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61078-2024</t>
        </is>
      </c>
      <c r="B566" s="1" t="n">
        <v>45645.51034722223</v>
      </c>
      <c r="C566" s="1" t="n">
        <v>45992</v>
      </c>
      <c r="D566" t="inlineStr">
        <is>
          <t>ÖREBRO LÄN</t>
        </is>
      </c>
      <c r="E566" t="inlineStr">
        <is>
          <t>ÖREBRO</t>
        </is>
      </c>
      <c r="G566" t="n">
        <v>4.1</v>
      </c>
      <c r="H566" t="n">
        <v>0</v>
      </c>
      <c r="I566" t="n">
        <v>0</v>
      </c>
      <c r="J566" t="n">
        <v>0</v>
      </c>
      <c r="K566" t="n">
        <v>0</v>
      </c>
      <c r="L566" t="n">
        <v>0</v>
      </c>
      <c r="M566" t="n">
        <v>0</v>
      </c>
      <c r="N566" t="n">
        <v>0</v>
      </c>
      <c r="O566" t="n">
        <v>0</v>
      </c>
      <c r="P566" t="n">
        <v>0</v>
      </c>
      <c r="Q566" t="n">
        <v>0</v>
      </c>
      <c r="R566" s="2" t="inlineStr"/>
    </row>
    <row r="567" ht="15" customHeight="1">
      <c r="A567" t="inlineStr">
        <is>
          <t>A 62511-2023</t>
        </is>
      </c>
      <c r="B567" s="1" t="n">
        <v>45268.61855324074</v>
      </c>
      <c r="C567" s="1" t="n">
        <v>45992</v>
      </c>
      <c r="D567" t="inlineStr">
        <is>
          <t>ÖREBRO LÄN</t>
        </is>
      </c>
      <c r="E567" t="inlineStr">
        <is>
          <t>ÖREBRO</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55472-2023</t>
        </is>
      </c>
      <c r="B568" s="1" t="n">
        <v>45238</v>
      </c>
      <c r="C568" s="1" t="n">
        <v>45992</v>
      </c>
      <c r="D568" t="inlineStr">
        <is>
          <t>ÖREBRO LÄN</t>
        </is>
      </c>
      <c r="E568" t="inlineStr">
        <is>
          <t>ÖREBRO</t>
        </is>
      </c>
      <c r="G568" t="n">
        <v>0.6</v>
      </c>
      <c r="H568" t="n">
        <v>0</v>
      </c>
      <c r="I568" t="n">
        <v>0</v>
      </c>
      <c r="J568" t="n">
        <v>0</v>
      </c>
      <c r="K568" t="n">
        <v>0</v>
      </c>
      <c r="L568" t="n">
        <v>0</v>
      </c>
      <c r="M568" t="n">
        <v>0</v>
      </c>
      <c r="N568" t="n">
        <v>0</v>
      </c>
      <c r="O568" t="n">
        <v>0</v>
      </c>
      <c r="P568" t="n">
        <v>0</v>
      </c>
      <c r="Q568" t="n">
        <v>0</v>
      </c>
      <c r="R568" s="2" t="inlineStr"/>
    </row>
    <row r="569" ht="15" customHeight="1">
      <c r="A569" t="inlineStr">
        <is>
          <t>A 5129-2024</t>
        </is>
      </c>
      <c r="B569" s="1" t="n">
        <v>45330</v>
      </c>
      <c r="C569" s="1" t="n">
        <v>45992</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58486-2024</t>
        </is>
      </c>
      <c r="B570" s="1" t="n">
        <v>45635</v>
      </c>
      <c r="C570" s="1" t="n">
        <v>45992</v>
      </c>
      <c r="D570" t="inlineStr">
        <is>
          <t>ÖREBRO LÄN</t>
        </is>
      </c>
      <c r="E570" t="inlineStr">
        <is>
          <t>ÖREBRO</t>
        </is>
      </c>
      <c r="G570" t="n">
        <v>1.7</v>
      </c>
      <c r="H570" t="n">
        <v>0</v>
      </c>
      <c r="I570" t="n">
        <v>0</v>
      </c>
      <c r="J570" t="n">
        <v>0</v>
      </c>
      <c r="K570" t="n">
        <v>0</v>
      </c>
      <c r="L570" t="n">
        <v>0</v>
      </c>
      <c r="M570" t="n">
        <v>0</v>
      </c>
      <c r="N570" t="n">
        <v>0</v>
      </c>
      <c r="O570" t="n">
        <v>0</v>
      </c>
      <c r="P570" t="n">
        <v>0</v>
      </c>
      <c r="Q570" t="n">
        <v>0</v>
      </c>
      <c r="R570" s="2" t="inlineStr"/>
    </row>
    <row r="571" ht="15" customHeight="1">
      <c r="A571" t="inlineStr">
        <is>
          <t>A 30015-2023</t>
        </is>
      </c>
      <c r="B571" s="1" t="n">
        <v>45109</v>
      </c>
      <c r="C571" s="1" t="n">
        <v>45992</v>
      </c>
      <c r="D571" t="inlineStr">
        <is>
          <t>ÖREBRO LÄN</t>
        </is>
      </c>
      <c r="E571" t="inlineStr">
        <is>
          <t>ÖREBRO</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1013-2024</t>
        </is>
      </c>
      <c r="B572" s="1" t="n">
        <v>45301</v>
      </c>
      <c r="C572" s="1" t="n">
        <v>45992</v>
      </c>
      <c r="D572" t="inlineStr">
        <is>
          <t>ÖREBRO LÄN</t>
        </is>
      </c>
      <c r="E572" t="inlineStr">
        <is>
          <t>ÖREBRO</t>
        </is>
      </c>
      <c r="G572" t="n">
        <v>2.6</v>
      </c>
      <c r="H572" t="n">
        <v>0</v>
      </c>
      <c r="I572" t="n">
        <v>0</v>
      </c>
      <c r="J572" t="n">
        <v>0</v>
      </c>
      <c r="K572" t="n">
        <v>0</v>
      </c>
      <c r="L572" t="n">
        <v>0</v>
      </c>
      <c r="M572" t="n">
        <v>0</v>
      </c>
      <c r="N572" t="n">
        <v>0</v>
      </c>
      <c r="O572" t="n">
        <v>0</v>
      </c>
      <c r="P572" t="n">
        <v>0</v>
      </c>
      <c r="Q572" t="n">
        <v>0</v>
      </c>
      <c r="R572" s="2" t="inlineStr"/>
    </row>
    <row r="573" ht="15" customHeight="1">
      <c r="A573" t="inlineStr">
        <is>
          <t>A 8512-2025</t>
        </is>
      </c>
      <c r="B573" s="1" t="n">
        <v>45709.54873842592</v>
      </c>
      <c r="C573" s="1" t="n">
        <v>45992</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14715-2024</t>
        </is>
      </c>
      <c r="B574" s="1" t="n">
        <v>45397.5500462963</v>
      </c>
      <c r="C574" s="1" t="n">
        <v>45992</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58145-2024</t>
        </is>
      </c>
      <c r="B575" s="1" t="n">
        <v>45632.43230324074</v>
      </c>
      <c r="C575" s="1" t="n">
        <v>45992</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16300-2022</t>
        </is>
      </c>
      <c r="B576" s="1" t="n">
        <v>44670</v>
      </c>
      <c r="C576" s="1" t="n">
        <v>45992</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18181-2024</t>
        </is>
      </c>
      <c r="B577" s="1" t="n">
        <v>45420.64561342593</v>
      </c>
      <c r="C577" s="1" t="n">
        <v>45992</v>
      </c>
      <c r="D577" t="inlineStr">
        <is>
          <t>ÖREBRO LÄN</t>
        </is>
      </c>
      <c r="E577" t="inlineStr">
        <is>
          <t>ÖREBRO</t>
        </is>
      </c>
      <c r="G577" t="n">
        <v>7.6</v>
      </c>
      <c r="H577" t="n">
        <v>0</v>
      </c>
      <c r="I577" t="n">
        <v>0</v>
      </c>
      <c r="J577" t="n">
        <v>0</v>
      </c>
      <c r="K577" t="n">
        <v>0</v>
      </c>
      <c r="L577" t="n">
        <v>0</v>
      </c>
      <c r="M577" t="n">
        <v>0</v>
      </c>
      <c r="N577" t="n">
        <v>0</v>
      </c>
      <c r="O577" t="n">
        <v>0</v>
      </c>
      <c r="P577" t="n">
        <v>0</v>
      </c>
      <c r="Q577" t="n">
        <v>0</v>
      </c>
      <c r="R577" s="2" t="inlineStr"/>
    </row>
    <row r="578" ht="15" customHeight="1">
      <c r="A578" t="inlineStr">
        <is>
          <t>A 70707-2021</t>
        </is>
      </c>
      <c r="B578" s="1" t="n">
        <v>44537</v>
      </c>
      <c r="C578" s="1" t="n">
        <v>45992</v>
      </c>
      <c r="D578" t="inlineStr">
        <is>
          <t>ÖREBRO LÄN</t>
        </is>
      </c>
      <c r="E578" t="inlineStr">
        <is>
          <t>ÖREBRO</t>
        </is>
      </c>
      <c r="G578" t="n">
        <v>13.2</v>
      </c>
      <c r="H578" t="n">
        <v>0</v>
      </c>
      <c r="I578" t="n">
        <v>0</v>
      </c>
      <c r="J578" t="n">
        <v>0</v>
      </c>
      <c r="K578" t="n">
        <v>0</v>
      </c>
      <c r="L578" t="n">
        <v>0</v>
      </c>
      <c r="M578" t="n">
        <v>0</v>
      </c>
      <c r="N578" t="n">
        <v>0</v>
      </c>
      <c r="O578" t="n">
        <v>0</v>
      </c>
      <c r="P578" t="n">
        <v>0</v>
      </c>
      <c r="Q578" t="n">
        <v>0</v>
      </c>
      <c r="R578" s="2" t="inlineStr"/>
    </row>
    <row r="579" ht="15" customHeight="1">
      <c r="A579" t="inlineStr">
        <is>
          <t>A 60100-2022</t>
        </is>
      </c>
      <c r="B579" s="1" t="n">
        <v>44902</v>
      </c>
      <c r="C579" s="1" t="n">
        <v>45992</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2152-2023</t>
        </is>
      </c>
      <c r="B580" s="1" t="n">
        <v>44941.55056712963</v>
      </c>
      <c r="C580" s="1" t="n">
        <v>45992</v>
      </c>
      <c r="D580" t="inlineStr">
        <is>
          <t>ÖREBRO LÄN</t>
        </is>
      </c>
      <c r="E580" t="inlineStr">
        <is>
          <t>ÖREBRO</t>
        </is>
      </c>
      <c r="G580" t="n">
        <v>8</v>
      </c>
      <c r="H580" t="n">
        <v>0</v>
      </c>
      <c r="I580" t="n">
        <v>0</v>
      </c>
      <c r="J580" t="n">
        <v>0</v>
      </c>
      <c r="K580" t="n">
        <v>0</v>
      </c>
      <c r="L580" t="n">
        <v>0</v>
      </c>
      <c r="M580" t="n">
        <v>0</v>
      </c>
      <c r="N580" t="n">
        <v>0</v>
      </c>
      <c r="O580" t="n">
        <v>0</v>
      </c>
      <c r="P580" t="n">
        <v>0</v>
      </c>
      <c r="Q580" t="n">
        <v>0</v>
      </c>
      <c r="R580" s="2" t="inlineStr"/>
    </row>
    <row r="581" ht="15" customHeight="1">
      <c r="A581" t="inlineStr">
        <is>
          <t>A 8656-2025</t>
        </is>
      </c>
      <c r="B581" s="1" t="n">
        <v>45712.38268518518</v>
      </c>
      <c r="C581" s="1" t="n">
        <v>45992</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55353-2024</t>
        </is>
      </c>
      <c r="B582" s="1" t="n">
        <v>45621.79526620371</v>
      </c>
      <c r="C582" s="1" t="n">
        <v>45992</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55357-2024</t>
        </is>
      </c>
      <c r="B583" s="1" t="n">
        <v>45621.81126157408</v>
      </c>
      <c r="C583" s="1" t="n">
        <v>45992</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42623-2022</t>
        </is>
      </c>
      <c r="B584" s="1" t="n">
        <v>44831</v>
      </c>
      <c r="C584" s="1" t="n">
        <v>45992</v>
      </c>
      <c r="D584" t="inlineStr">
        <is>
          <t>ÖREBRO LÄN</t>
        </is>
      </c>
      <c r="E584" t="inlineStr">
        <is>
          <t>ÖREBRO</t>
        </is>
      </c>
      <c r="G584" t="n">
        <v>3.6</v>
      </c>
      <c r="H584" t="n">
        <v>0</v>
      </c>
      <c r="I584" t="n">
        <v>0</v>
      </c>
      <c r="J584" t="n">
        <v>0</v>
      </c>
      <c r="K584" t="n">
        <v>0</v>
      </c>
      <c r="L584" t="n">
        <v>0</v>
      </c>
      <c r="M584" t="n">
        <v>0</v>
      </c>
      <c r="N584" t="n">
        <v>0</v>
      </c>
      <c r="O584" t="n">
        <v>0</v>
      </c>
      <c r="P584" t="n">
        <v>0</v>
      </c>
      <c r="Q584" t="n">
        <v>0</v>
      </c>
      <c r="R584" s="2" t="inlineStr"/>
    </row>
    <row r="585" ht="15" customHeight="1">
      <c r="A585" t="inlineStr">
        <is>
          <t>A 72329-2021</t>
        </is>
      </c>
      <c r="B585" s="1" t="n">
        <v>44545.46072916667</v>
      </c>
      <c r="C585" s="1" t="n">
        <v>45992</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4344-2025</t>
        </is>
      </c>
      <c r="B586" s="1" t="n">
        <v>45685</v>
      </c>
      <c r="C586" s="1" t="n">
        <v>45992</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55355-2024</t>
        </is>
      </c>
      <c r="B587" s="1" t="n">
        <v>45621.80475694445</v>
      </c>
      <c r="C587" s="1" t="n">
        <v>45992</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44889.60872685185</v>
      </c>
      <c r="C588" s="1" t="n">
        <v>45992</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33457-2023</t>
        </is>
      </c>
      <c r="B589" s="1" t="n">
        <v>45131</v>
      </c>
      <c r="C589" s="1" t="n">
        <v>45992</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7141-2025</t>
        </is>
      </c>
      <c r="B590" s="1" t="n">
        <v>45702</v>
      </c>
      <c r="C590" s="1" t="n">
        <v>45992</v>
      </c>
      <c r="D590" t="inlineStr">
        <is>
          <t>ÖREBRO LÄN</t>
        </is>
      </c>
      <c r="E590" t="inlineStr">
        <is>
          <t>ÖREBRO</t>
        </is>
      </c>
      <c r="G590" t="n">
        <v>2.9</v>
      </c>
      <c r="H590" t="n">
        <v>0</v>
      </c>
      <c r="I590" t="n">
        <v>0</v>
      </c>
      <c r="J590" t="n">
        <v>0</v>
      </c>
      <c r="K590" t="n">
        <v>0</v>
      </c>
      <c r="L590" t="n">
        <v>0</v>
      </c>
      <c r="M590" t="n">
        <v>0</v>
      </c>
      <c r="N590" t="n">
        <v>0</v>
      </c>
      <c r="O590" t="n">
        <v>0</v>
      </c>
      <c r="P590" t="n">
        <v>0</v>
      </c>
      <c r="Q590" t="n">
        <v>0</v>
      </c>
      <c r="R590" s="2" t="inlineStr"/>
    </row>
    <row r="591" ht="15" customHeight="1">
      <c r="A591" t="inlineStr">
        <is>
          <t>A 22677-2022</t>
        </is>
      </c>
      <c r="B591" s="1" t="n">
        <v>44714</v>
      </c>
      <c r="C591" s="1" t="n">
        <v>45992</v>
      </c>
      <c r="D591" t="inlineStr">
        <is>
          <t>ÖREBRO LÄN</t>
        </is>
      </c>
      <c r="E591" t="inlineStr">
        <is>
          <t>ÖREBRO</t>
        </is>
      </c>
      <c r="G591" t="n">
        <v>2.3</v>
      </c>
      <c r="H591" t="n">
        <v>0</v>
      </c>
      <c r="I591" t="n">
        <v>0</v>
      </c>
      <c r="J591" t="n">
        <v>0</v>
      </c>
      <c r="K591" t="n">
        <v>0</v>
      </c>
      <c r="L591" t="n">
        <v>0</v>
      </c>
      <c r="M591" t="n">
        <v>0</v>
      </c>
      <c r="N591" t="n">
        <v>0</v>
      </c>
      <c r="O591" t="n">
        <v>0</v>
      </c>
      <c r="P591" t="n">
        <v>0</v>
      </c>
      <c r="Q591" t="n">
        <v>0</v>
      </c>
      <c r="R591" s="2" t="inlineStr"/>
    </row>
    <row r="592" ht="15" customHeight="1">
      <c r="A592" t="inlineStr">
        <is>
          <t>A 13169-2024</t>
        </is>
      </c>
      <c r="B592" s="1" t="n">
        <v>45386.40489583334</v>
      </c>
      <c r="C592" s="1" t="n">
        <v>45992</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23710-2022</t>
        </is>
      </c>
      <c r="B593" s="1" t="n">
        <v>44722</v>
      </c>
      <c r="C593" s="1" t="n">
        <v>45992</v>
      </c>
      <c r="D593" t="inlineStr">
        <is>
          <t>ÖREBRO LÄN</t>
        </is>
      </c>
      <c r="E593" t="inlineStr">
        <is>
          <t>ÖREBRO</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4757-2024</t>
        </is>
      </c>
      <c r="B594" s="1" t="n">
        <v>45328</v>
      </c>
      <c r="C594" s="1" t="n">
        <v>45992</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30903-2024</t>
        </is>
      </c>
      <c r="B595" s="1" t="n">
        <v>45498.49946759259</v>
      </c>
      <c r="C595" s="1" t="n">
        <v>45992</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47193-2023</t>
        </is>
      </c>
      <c r="B596" s="1" t="n">
        <v>45202.3074537037</v>
      </c>
      <c r="C596" s="1" t="n">
        <v>45992</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59026-2024</t>
        </is>
      </c>
      <c r="B597" s="1" t="n">
        <v>45636.6875</v>
      </c>
      <c r="C597" s="1" t="n">
        <v>45992</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17465-2023</t>
        </is>
      </c>
      <c r="B598" s="1" t="n">
        <v>45036</v>
      </c>
      <c r="C598" s="1" t="n">
        <v>45992</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36635-2023</t>
        </is>
      </c>
      <c r="B599" s="1" t="n">
        <v>45153</v>
      </c>
      <c r="C599" s="1" t="n">
        <v>45992</v>
      </c>
      <c r="D599" t="inlineStr">
        <is>
          <t>ÖREBRO LÄN</t>
        </is>
      </c>
      <c r="E599" t="inlineStr">
        <is>
          <t>ÖREBRO</t>
        </is>
      </c>
      <c r="G599" t="n">
        <v>1.9</v>
      </c>
      <c r="H599" t="n">
        <v>0</v>
      </c>
      <c r="I599" t="n">
        <v>0</v>
      </c>
      <c r="J599" t="n">
        <v>0</v>
      </c>
      <c r="K599" t="n">
        <v>0</v>
      </c>
      <c r="L599" t="n">
        <v>0</v>
      </c>
      <c r="M599" t="n">
        <v>0</v>
      </c>
      <c r="N599" t="n">
        <v>0</v>
      </c>
      <c r="O599" t="n">
        <v>0</v>
      </c>
      <c r="P599" t="n">
        <v>0</v>
      </c>
      <c r="Q599" t="n">
        <v>0</v>
      </c>
      <c r="R599" s="2" t="inlineStr"/>
    </row>
    <row r="600" ht="15" customHeight="1">
      <c r="A600" t="inlineStr">
        <is>
          <t>A 681-2024</t>
        </is>
      </c>
      <c r="B600" s="1" t="n">
        <v>45300</v>
      </c>
      <c r="C600" s="1" t="n">
        <v>45992</v>
      </c>
      <c r="D600" t="inlineStr">
        <is>
          <t>ÖREBRO LÄN</t>
        </is>
      </c>
      <c r="E600" t="inlineStr">
        <is>
          <t>ÖREBRO</t>
        </is>
      </c>
      <c r="G600" t="n">
        <v>3.3</v>
      </c>
      <c r="H600" t="n">
        <v>0</v>
      </c>
      <c r="I600" t="n">
        <v>0</v>
      </c>
      <c r="J600" t="n">
        <v>0</v>
      </c>
      <c r="K600" t="n">
        <v>0</v>
      </c>
      <c r="L600" t="n">
        <v>0</v>
      </c>
      <c r="M600" t="n">
        <v>0</v>
      </c>
      <c r="N600" t="n">
        <v>0</v>
      </c>
      <c r="O600" t="n">
        <v>0</v>
      </c>
      <c r="P600" t="n">
        <v>0</v>
      </c>
      <c r="Q600" t="n">
        <v>0</v>
      </c>
      <c r="R600" s="2" t="inlineStr"/>
    </row>
    <row r="601" ht="15" customHeight="1">
      <c r="A601" t="inlineStr">
        <is>
          <t>A 21097-2025</t>
        </is>
      </c>
      <c r="B601" s="1" t="n">
        <v>45777.63863425926</v>
      </c>
      <c r="C601" s="1" t="n">
        <v>45992</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35819-2024</t>
        </is>
      </c>
      <c r="B602" s="1" t="n">
        <v>45532</v>
      </c>
      <c r="C602" s="1" t="n">
        <v>45992</v>
      </c>
      <c r="D602" t="inlineStr">
        <is>
          <t>ÖREBRO LÄN</t>
        </is>
      </c>
      <c r="E602" t="inlineStr">
        <is>
          <t>ÖREBRO</t>
        </is>
      </c>
      <c r="G602" t="n">
        <v>6.4</v>
      </c>
      <c r="H602" t="n">
        <v>0</v>
      </c>
      <c r="I602" t="n">
        <v>0</v>
      </c>
      <c r="J602" t="n">
        <v>0</v>
      </c>
      <c r="K602" t="n">
        <v>0</v>
      </c>
      <c r="L602" t="n">
        <v>0</v>
      </c>
      <c r="M602" t="n">
        <v>0</v>
      </c>
      <c r="N602" t="n">
        <v>0</v>
      </c>
      <c r="O602" t="n">
        <v>0</v>
      </c>
      <c r="P602" t="n">
        <v>0</v>
      </c>
      <c r="Q602" t="n">
        <v>0</v>
      </c>
      <c r="R602" s="2" t="inlineStr"/>
    </row>
    <row r="603" ht="15" customHeight="1">
      <c r="A603" t="inlineStr">
        <is>
          <t>A 32076-2023</t>
        </is>
      </c>
      <c r="B603" s="1" t="n">
        <v>45119.58324074074</v>
      </c>
      <c r="C603" s="1" t="n">
        <v>45992</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21338-2025</t>
        </is>
      </c>
      <c r="B604" s="1" t="n">
        <v>45780</v>
      </c>
      <c r="C604" s="1" t="n">
        <v>45992</v>
      </c>
      <c r="D604" t="inlineStr">
        <is>
          <t>ÖREBRO LÄN</t>
        </is>
      </c>
      <c r="E604" t="inlineStr">
        <is>
          <t>ÖREBRO</t>
        </is>
      </c>
      <c r="G604" t="n">
        <v>3.2</v>
      </c>
      <c r="H604" t="n">
        <v>0</v>
      </c>
      <c r="I604" t="n">
        <v>0</v>
      </c>
      <c r="J604" t="n">
        <v>0</v>
      </c>
      <c r="K604" t="n">
        <v>0</v>
      </c>
      <c r="L604" t="n">
        <v>0</v>
      </c>
      <c r="M604" t="n">
        <v>0</v>
      </c>
      <c r="N604" t="n">
        <v>0</v>
      </c>
      <c r="O604" t="n">
        <v>0</v>
      </c>
      <c r="P604" t="n">
        <v>0</v>
      </c>
      <c r="Q604" t="n">
        <v>0</v>
      </c>
      <c r="R604" s="2" t="inlineStr"/>
    </row>
    <row r="605" ht="15" customHeight="1">
      <c r="A605" t="inlineStr">
        <is>
          <t>A 58644-2023</t>
        </is>
      </c>
      <c r="B605" s="1" t="n">
        <v>45251.58716435185</v>
      </c>
      <c r="C605" s="1" t="n">
        <v>45992</v>
      </c>
      <c r="D605" t="inlineStr">
        <is>
          <t>ÖREBRO LÄN</t>
        </is>
      </c>
      <c r="E605" t="inlineStr">
        <is>
          <t>ÖREBRO</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22719-2025</t>
        </is>
      </c>
      <c r="B606" s="1" t="n">
        <v>45789</v>
      </c>
      <c r="C606" s="1" t="n">
        <v>45992</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764-2024</t>
        </is>
      </c>
      <c r="B607" s="1" t="n">
        <v>45300.51512731481</v>
      </c>
      <c r="C607" s="1" t="n">
        <v>45992</v>
      </c>
      <c r="D607" t="inlineStr">
        <is>
          <t>ÖREBRO LÄN</t>
        </is>
      </c>
      <c r="E607" t="inlineStr">
        <is>
          <t>ÖREBRO</t>
        </is>
      </c>
      <c r="G607" t="n">
        <v>2</v>
      </c>
      <c r="H607" t="n">
        <v>0</v>
      </c>
      <c r="I607" t="n">
        <v>0</v>
      </c>
      <c r="J607" t="n">
        <v>0</v>
      </c>
      <c r="K607" t="n">
        <v>0</v>
      </c>
      <c r="L607" t="n">
        <v>0</v>
      </c>
      <c r="M607" t="n">
        <v>0</v>
      </c>
      <c r="N607" t="n">
        <v>0</v>
      </c>
      <c r="O607" t="n">
        <v>0</v>
      </c>
      <c r="P607" t="n">
        <v>0</v>
      </c>
      <c r="Q607" t="n">
        <v>0</v>
      </c>
      <c r="R607" s="2" t="inlineStr"/>
    </row>
    <row r="608" ht="15" customHeight="1">
      <c r="A608" t="inlineStr">
        <is>
          <t>A 22755-2025</t>
        </is>
      </c>
      <c r="B608" s="1" t="n">
        <v>45789.61872685186</v>
      </c>
      <c r="C608" s="1" t="n">
        <v>45992</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34336-2024</t>
        </is>
      </c>
      <c r="B609" s="1" t="n">
        <v>45524.94774305556</v>
      </c>
      <c r="C609" s="1" t="n">
        <v>45992</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15555-2025</t>
        </is>
      </c>
      <c r="B610" s="1" t="n">
        <v>45747.67768518518</v>
      </c>
      <c r="C610" s="1" t="n">
        <v>45992</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61279-2024</t>
        </is>
      </c>
      <c r="B611" s="1" t="n">
        <v>45645</v>
      </c>
      <c r="C611" s="1" t="n">
        <v>45992</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38790-2024</t>
        </is>
      </c>
      <c r="B612" s="1" t="n">
        <v>45547.48450231482</v>
      </c>
      <c r="C612" s="1" t="n">
        <v>45992</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71269-2021</t>
        </is>
      </c>
      <c r="B613" s="1" t="n">
        <v>44539</v>
      </c>
      <c r="C613" s="1" t="n">
        <v>45992</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30316-2024</t>
        </is>
      </c>
      <c r="B614" s="1" t="n">
        <v>45490</v>
      </c>
      <c r="C614" s="1" t="n">
        <v>45992</v>
      </c>
      <c r="D614" t="inlineStr">
        <is>
          <t>ÖREBRO LÄN</t>
        </is>
      </c>
      <c r="E614" t="inlineStr">
        <is>
          <t>ÖREBRO</t>
        </is>
      </c>
      <c r="G614" t="n">
        <v>5.5</v>
      </c>
      <c r="H614" t="n">
        <v>0</v>
      </c>
      <c r="I614" t="n">
        <v>0</v>
      </c>
      <c r="J614" t="n">
        <v>0</v>
      </c>
      <c r="K614" t="n">
        <v>0</v>
      </c>
      <c r="L614" t="n">
        <v>0</v>
      </c>
      <c r="M614" t="n">
        <v>0</v>
      </c>
      <c r="N614" t="n">
        <v>0</v>
      </c>
      <c r="O614" t="n">
        <v>0</v>
      </c>
      <c r="P614" t="n">
        <v>0</v>
      </c>
      <c r="Q614" t="n">
        <v>0</v>
      </c>
      <c r="R614" s="2" t="inlineStr"/>
    </row>
    <row r="615" ht="15" customHeight="1">
      <c r="A615" t="inlineStr">
        <is>
          <t>A 44199-2024</t>
        </is>
      </c>
      <c r="B615" s="1" t="n">
        <v>45573</v>
      </c>
      <c r="C615" s="1" t="n">
        <v>45992</v>
      </c>
      <c r="D615" t="inlineStr">
        <is>
          <t>ÖREBRO LÄN</t>
        </is>
      </c>
      <c r="E615" t="inlineStr">
        <is>
          <t>ÖREBRO</t>
        </is>
      </c>
      <c r="G615" t="n">
        <v>4.3</v>
      </c>
      <c r="H615" t="n">
        <v>0</v>
      </c>
      <c r="I615" t="n">
        <v>0</v>
      </c>
      <c r="J615" t="n">
        <v>0</v>
      </c>
      <c r="K615" t="n">
        <v>0</v>
      </c>
      <c r="L615" t="n">
        <v>0</v>
      </c>
      <c r="M615" t="n">
        <v>0</v>
      </c>
      <c r="N615" t="n">
        <v>0</v>
      </c>
      <c r="O615" t="n">
        <v>0</v>
      </c>
      <c r="P615" t="n">
        <v>0</v>
      </c>
      <c r="Q615" t="n">
        <v>0</v>
      </c>
      <c r="R615" s="2" t="inlineStr"/>
    </row>
    <row r="616" ht="15" customHeight="1">
      <c r="A616" t="inlineStr">
        <is>
          <t>A 4380-2025</t>
        </is>
      </c>
      <c r="B616" s="1" t="n">
        <v>45686.3959375</v>
      </c>
      <c r="C616" s="1" t="n">
        <v>45992</v>
      </c>
      <c r="D616" t="inlineStr">
        <is>
          <t>ÖREBRO LÄN</t>
        </is>
      </c>
      <c r="E616" t="inlineStr">
        <is>
          <t>ÖREBRO</t>
        </is>
      </c>
      <c r="G616" t="n">
        <v>3.2</v>
      </c>
      <c r="H616" t="n">
        <v>0</v>
      </c>
      <c r="I616" t="n">
        <v>0</v>
      </c>
      <c r="J616" t="n">
        <v>0</v>
      </c>
      <c r="K616" t="n">
        <v>0</v>
      </c>
      <c r="L616" t="n">
        <v>0</v>
      </c>
      <c r="M616" t="n">
        <v>0</v>
      </c>
      <c r="N616" t="n">
        <v>0</v>
      </c>
      <c r="O616" t="n">
        <v>0</v>
      </c>
      <c r="P616" t="n">
        <v>0</v>
      </c>
      <c r="Q616" t="n">
        <v>0</v>
      </c>
      <c r="R616" s="2" t="inlineStr"/>
    </row>
    <row r="617" ht="15" customHeight="1">
      <c r="A617" t="inlineStr">
        <is>
          <t>A 26443-2024</t>
        </is>
      </c>
      <c r="B617" s="1" t="n">
        <v>45469.49901620371</v>
      </c>
      <c r="C617" s="1" t="n">
        <v>45992</v>
      </c>
      <c r="D617" t="inlineStr">
        <is>
          <t>ÖREBRO LÄN</t>
        </is>
      </c>
      <c r="E617" t="inlineStr">
        <is>
          <t>ÖREBRO</t>
        </is>
      </c>
      <c r="G617" t="n">
        <v>5.7</v>
      </c>
      <c r="H617" t="n">
        <v>0</v>
      </c>
      <c r="I617" t="n">
        <v>0</v>
      </c>
      <c r="J617" t="n">
        <v>0</v>
      </c>
      <c r="K617" t="n">
        <v>0</v>
      </c>
      <c r="L617" t="n">
        <v>0</v>
      </c>
      <c r="M617" t="n">
        <v>0</v>
      </c>
      <c r="N617" t="n">
        <v>0</v>
      </c>
      <c r="O617" t="n">
        <v>0</v>
      </c>
      <c r="P617" t="n">
        <v>0</v>
      </c>
      <c r="Q617" t="n">
        <v>0</v>
      </c>
      <c r="R617" s="2" t="inlineStr"/>
    </row>
    <row r="618" ht="15" customHeight="1">
      <c r="A618" t="inlineStr">
        <is>
          <t>A 5136-2024</t>
        </is>
      </c>
      <c r="B618" s="1" t="n">
        <v>45330</v>
      </c>
      <c r="C618" s="1" t="n">
        <v>45992</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35477-2024</t>
        </is>
      </c>
      <c r="B619" s="1" t="n">
        <v>45531</v>
      </c>
      <c r="C619" s="1" t="n">
        <v>45992</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5406-2025</t>
        </is>
      </c>
      <c r="B620" s="1" t="n">
        <v>45692.64821759259</v>
      </c>
      <c r="C620" s="1" t="n">
        <v>45992</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52018-2024</t>
        </is>
      </c>
      <c r="B621" s="1" t="n">
        <v>45607.82974537037</v>
      </c>
      <c r="C621" s="1" t="n">
        <v>45992</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c r="A622" t="inlineStr">
        <is>
          <t>A 34358-2022</t>
        </is>
      </c>
      <c r="B622" s="1" t="n">
        <v>44792.45494212963</v>
      </c>
      <c r="C622" s="1" t="n">
        <v>45992</v>
      </c>
      <c r="D622" t="inlineStr">
        <is>
          <t>ÖREBRO LÄN</t>
        </is>
      </c>
      <c r="E622" t="inlineStr">
        <is>
          <t>ÖREBRO</t>
        </is>
      </c>
      <c r="F622" t="inlineStr">
        <is>
          <t>Övriga Aktiebolag</t>
        </is>
      </c>
      <c r="G622" t="n">
        <v>3.4</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2025-12-01T10:25:40Z</dcterms:created>
  <dcterms:modified xmlns:dcterms="http://purl.org/dc/terms/" xmlns:xsi="http://www.w3.org/2001/XMLSchema-instance" xsi:type="dcterms:W3CDTF">2025-12-01T10:25:40Z</dcterms:modified>
</cp:coreProperties>
</file>