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46065</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46065</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15758-2023</t>
        </is>
      </c>
      <c r="B8" s="1" t="n">
        <v>45021</v>
      </c>
      <c r="C8" s="1" t="n">
        <v>46065</v>
      </c>
      <c r="D8" t="inlineStr">
        <is>
          <t>ÖREBRO LÄN</t>
        </is>
      </c>
      <c r="E8" t="inlineStr">
        <is>
          <t>ÖREBRO</t>
        </is>
      </c>
      <c r="G8" t="n">
        <v>2.6</v>
      </c>
      <c r="H8" t="n">
        <v>2</v>
      </c>
      <c r="I8" t="n">
        <v>2</v>
      </c>
      <c r="J8" t="n">
        <v>3</v>
      </c>
      <c r="K8" t="n">
        <v>1</v>
      </c>
      <c r="L8" t="n">
        <v>0</v>
      </c>
      <c r="M8" t="n">
        <v>0</v>
      </c>
      <c r="N8" t="n">
        <v>0</v>
      </c>
      <c r="O8" t="n">
        <v>4</v>
      </c>
      <c r="P8" t="n">
        <v>1</v>
      </c>
      <c r="Q8" t="n">
        <v>6</v>
      </c>
      <c r="R8" s="2" t="inlineStr">
        <is>
          <t>Knärot
Orange taggsvamp
Spillkråka
Ullticka
Grönpyrola
Gullgröppa</t>
        </is>
      </c>
      <c r="S8">
        <f>HYPERLINK("https://klasma.github.io/Logging_1880/artfynd/A 15758-2023 artfynd.xlsx", "A 15758-2023")</f>
        <v/>
      </c>
      <c r="T8">
        <f>HYPERLINK("https://klasma.github.io/Logging_1880/kartor/A 15758-2023 karta.png", "A 15758-2023")</f>
        <v/>
      </c>
      <c r="U8">
        <f>HYPERLINK("https://klasma.github.io/Logging_1880/knärot/A 15758-2023 karta knärot.png", "A 15758-2023")</f>
        <v/>
      </c>
      <c r="V8">
        <f>HYPERLINK("https://klasma.github.io/Logging_1880/klagomål/A 15758-2023 FSC-klagomål.docx", "A 15758-2023")</f>
        <v/>
      </c>
      <c r="W8">
        <f>HYPERLINK("https://klasma.github.io/Logging_1880/klagomålsmail/A 15758-2023 FSC-klagomål mail.docx", "A 15758-2023")</f>
        <v/>
      </c>
      <c r="X8">
        <f>HYPERLINK("https://klasma.github.io/Logging_1880/tillsyn/A 15758-2023 tillsynsbegäran.docx", "A 15758-2023")</f>
        <v/>
      </c>
      <c r="Y8">
        <f>HYPERLINK("https://klasma.github.io/Logging_1880/tillsynsmail/A 15758-2023 tillsynsbegäran mail.docx", "A 15758-2023")</f>
        <v/>
      </c>
      <c r="Z8">
        <f>HYPERLINK("https://klasma.github.io/Logging_1880/fåglar/A 15758-2023 prioriterade fågelarter.docx", "A 15758-2023")</f>
        <v/>
      </c>
    </row>
    <row r="9" ht="15" customHeight="1">
      <c r="A9" t="inlineStr">
        <is>
          <t>A 13166-2021</t>
        </is>
      </c>
      <c r="B9" s="1" t="n">
        <v>44272</v>
      </c>
      <c r="C9" s="1" t="n">
        <v>46065</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46065</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46065</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46065</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46065</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5354-2024</t>
        </is>
      </c>
      <c r="B14" s="1" t="n">
        <v>45331</v>
      </c>
      <c r="C14" s="1" t="n">
        <v>46065</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46065</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46065</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51530-2024</t>
        </is>
      </c>
      <c r="B17" s="1" t="n">
        <v>45604</v>
      </c>
      <c r="C17" s="1" t="n">
        <v>46065</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33069-2025</t>
        </is>
      </c>
      <c r="B18" s="1" t="n">
        <v>45840</v>
      </c>
      <c r="C18" s="1" t="n">
        <v>46065</v>
      </c>
      <c r="D18" t="inlineStr">
        <is>
          <t>ÖREBRO LÄN</t>
        </is>
      </c>
      <c r="E18" t="inlineStr">
        <is>
          <t>ÖREBRO</t>
        </is>
      </c>
      <c r="G18" t="n">
        <v>11.6</v>
      </c>
      <c r="H18" t="n">
        <v>4</v>
      </c>
      <c r="I18" t="n">
        <v>0</v>
      </c>
      <c r="J18" t="n">
        <v>0</v>
      </c>
      <c r="K18" t="n">
        <v>0</v>
      </c>
      <c r="L18" t="n">
        <v>0</v>
      </c>
      <c r="M18" t="n">
        <v>0</v>
      </c>
      <c r="N18" t="n">
        <v>0</v>
      </c>
      <c r="O18" t="n">
        <v>0</v>
      </c>
      <c r="P18" t="n">
        <v>0</v>
      </c>
      <c r="Q18" t="n">
        <v>4</v>
      </c>
      <c r="R18" s="2" t="inlineStr">
        <is>
          <t>Gröngöling
Mindre vattensalamander
Vanlig groda
Revlummer</t>
        </is>
      </c>
      <c r="S18">
        <f>HYPERLINK("https://klasma.github.io/Logging_1880/artfynd/A 33069-2025 artfynd.xlsx", "A 33069-2025")</f>
        <v/>
      </c>
      <c r="T18">
        <f>HYPERLINK("https://klasma.github.io/Logging_1880/kartor/A 33069-2025 karta.png", "A 33069-2025")</f>
        <v/>
      </c>
      <c r="V18">
        <f>HYPERLINK("https://klasma.github.io/Logging_1880/klagomål/A 33069-2025 FSC-klagomål.docx", "A 33069-2025")</f>
        <v/>
      </c>
      <c r="W18">
        <f>HYPERLINK("https://klasma.github.io/Logging_1880/klagomålsmail/A 33069-2025 FSC-klagomål mail.docx", "A 33069-2025")</f>
        <v/>
      </c>
      <c r="X18">
        <f>HYPERLINK("https://klasma.github.io/Logging_1880/tillsyn/A 33069-2025 tillsynsbegäran.docx", "A 33069-2025")</f>
        <v/>
      </c>
      <c r="Y18">
        <f>HYPERLINK("https://klasma.github.io/Logging_1880/tillsynsmail/A 33069-2025 tillsynsbegäran mail.docx", "A 33069-2025")</f>
        <v/>
      </c>
      <c r="Z18">
        <f>HYPERLINK("https://klasma.github.io/Logging_1880/fåglar/A 33069-2025 prioriterade fågelarter.docx", "A 33069-2025")</f>
        <v/>
      </c>
    </row>
    <row r="19" ht="15" customHeight="1">
      <c r="A19" t="inlineStr">
        <is>
          <t>A 58832-2025</t>
        </is>
      </c>
      <c r="B19" s="1" t="n">
        <v>45987</v>
      </c>
      <c r="C19" s="1" t="n">
        <v>46065</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46065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46065</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35098-2025</t>
        </is>
      </c>
      <c r="B22" s="1" t="n">
        <v>45852.5469212963</v>
      </c>
      <c r="C22" s="1" t="n">
        <v>46065</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46065</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46065</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50096-2023</t>
        </is>
      </c>
      <c r="B25" s="1" t="n">
        <v>45215</v>
      </c>
      <c r="C25" s="1" t="n">
        <v>46065</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17074-2024</t>
        </is>
      </c>
      <c r="B26" s="1" t="n">
        <v>45412</v>
      </c>
      <c r="C26" s="1" t="n">
        <v>46065</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58837-2025</t>
        </is>
      </c>
      <c r="B27" s="1" t="n">
        <v>45987.35875</v>
      </c>
      <c r="C27" s="1" t="n">
        <v>46065</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46065</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46065</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46065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46065</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49552-2022</t>
        </is>
      </c>
      <c r="B32" s="1" t="n">
        <v>44862.31013888889</v>
      </c>
      <c r="C32" s="1" t="n">
        <v>46065</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46065</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4943-2022</t>
        </is>
      </c>
      <c r="B34" s="1" t="n">
        <v>44593</v>
      </c>
      <c r="C34" s="1" t="n">
        <v>46065</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13395-2024</t>
        </is>
      </c>
      <c r="B35" s="1" t="n">
        <v>45387.42296296296</v>
      </c>
      <c r="C35" s="1" t="n">
        <v>46065</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22577-2024</t>
        </is>
      </c>
      <c r="B36" s="1" t="n">
        <v>45447</v>
      </c>
      <c r="C36" s="1" t="n">
        <v>46065</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46065</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7608-2024</t>
        </is>
      </c>
      <c r="B38" s="1" t="n">
        <v>45348</v>
      </c>
      <c r="C38" s="1" t="n">
        <v>46065</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8267-2021</t>
        </is>
      </c>
      <c r="B39" s="1" t="n">
        <v>44244</v>
      </c>
      <c r="C39" s="1" t="n">
        <v>46065</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37019-2024</t>
        </is>
      </c>
      <c r="B40" s="1" t="n">
        <v>45539.37905092593</v>
      </c>
      <c r="C40" s="1" t="n">
        <v>46065</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52400-2024</t>
        </is>
      </c>
      <c r="B41" s="1" t="n">
        <v>45609.44461805555</v>
      </c>
      <c r="C41" s="1" t="n">
        <v>46065</v>
      </c>
      <c r="D41" t="inlineStr">
        <is>
          <t>ÖREBRO LÄN</t>
        </is>
      </c>
      <c r="E41" t="inlineStr">
        <is>
          <t>ÖREBRO</t>
        </is>
      </c>
      <c r="F41" t="inlineStr">
        <is>
          <t>Sveaskog</t>
        </is>
      </c>
      <c r="G41" t="n">
        <v>7</v>
      </c>
      <c r="H41" t="n">
        <v>2</v>
      </c>
      <c r="I41" t="n">
        <v>0</v>
      </c>
      <c r="J41" t="n">
        <v>0</v>
      </c>
      <c r="K41" t="n">
        <v>1</v>
      </c>
      <c r="L41" t="n">
        <v>0</v>
      </c>
      <c r="M41" t="n">
        <v>0</v>
      </c>
      <c r="N41" t="n">
        <v>0</v>
      </c>
      <c r="O41" t="n">
        <v>1</v>
      </c>
      <c r="P41" t="n">
        <v>1</v>
      </c>
      <c r="Q41" t="n">
        <v>2</v>
      </c>
      <c r="R41" s="2" t="inlineStr">
        <is>
          <t>Väddnätfjäril
Grönvit nattviol</t>
        </is>
      </c>
      <c r="S41">
        <f>HYPERLINK("https://klasma.github.io/Logging_1880/artfynd/A 52400-2024 artfynd.xlsx", "A 52400-2024")</f>
        <v/>
      </c>
      <c r="T41">
        <f>HYPERLINK("https://klasma.github.io/Logging_1880/kartor/A 52400-2024 karta.png", "A 52400-2024")</f>
        <v/>
      </c>
      <c r="V41">
        <f>HYPERLINK("https://klasma.github.io/Logging_1880/klagomål/A 52400-2024 FSC-klagomål.docx", "A 52400-2024")</f>
        <v/>
      </c>
      <c r="W41">
        <f>HYPERLINK("https://klasma.github.io/Logging_1880/klagomålsmail/A 52400-2024 FSC-klagomål mail.docx", "A 52400-2024")</f>
        <v/>
      </c>
      <c r="X41">
        <f>HYPERLINK("https://klasma.github.io/Logging_1880/tillsyn/A 52400-2024 tillsynsbegäran.docx", "A 52400-2024")</f>
        <v/>
      </c>
      <c r="Y41">
        <f>HYPERLINK("https://klasma.github.io/Logging_1880/tillsynsmail/A 52400-2024 tillsynsbegäran mail.docx", "A 52400-2024")</f>
        <v/>
      </c>
    </row>
    <row r="42" ht="15" customHeight="1">
      <c r="A42" t="inlineStr">
        <is>
          <t>A 14956-2025</t>
        </is>
      </c>
      <c r="B42" s="1" t="n">
        <v>45743.58409722222</v>
      </c>
      <c r="C42" s="1" t="n">
        <v>46065</v>
      </c>
      <c r="D42" t="inlineStr">
        <is>
          <t>ÖREBRO LÄN</t>
        </is>
      </c>
      <c r="E42" t="inlineStr">
        <is>
          <t>ÖREBRO</t>
        </is>
      </c>
      <c r="G42" t="n">
        <v>5.2</v>
      </c>
      <c r="H42" t="n">
        <v>1</v>
      </c>
      <c r="I42" t="n">
        <v>2</v>
      </c>
      <c r="J42" t="n">
        <v>0</v>
      </c>
      <c r="K42" t="n">
        <v>0</v>
      </c>
      <c r="L42" t="n">
        <v>0</v>
      </c>
      <c r="M42" t="n">
        <v>0</v>
      </c>
      <c r="N42" t="n">
        <v>0</v>
      </c>
      <c r="O42" t="n">
        <v>0</v>
      </c>
      <c r="P42" t="n">
        <v>0</v>
      </c>
      <c r="Q42" t="n">
        <v>2</v>
      </c>
      <c r="R42" s="2" t="inlineStr">
        <is>
          <t>Kalktallört
Skogsknipprot</t>
        </is>
      </c>
      <c r="S42">
        <f>HYPERLINK("https://klasma.github.io/Logging_1880/artfynd/A 14956-2025 artfynd.xlsx", "A 14956-2025")</f>
        <v/>
      </c>
      <c r="T42">
        <f>HYPERLINK("https://klasma.github.io/Logging_1880/kartor/A 14956-2025 karta.png", "A 14956-2025")</f>
        <v/>
      </c>
      <c r="V42">
        <f>HYPERLINK("https://klasma.github.io/Logging_1880/klagomål/A 14956-2025 FSC-klagomål.docx", "A 14956-2025")</f>
        <v/>
      </c>
      <c r="W42">
        <f>HYPERLINK("https://klasma.github.io/Logging_1880/klagomålsmail/A 14956-2025 FSC-klagomål mail.docx", "A 14956-2025")</f>
        <v/>
      </c>
      <c r="X42">
        <f>HYPERLINK("https://klasma.github.io/Logging_1880/tillsyn/A 14956-2025 tillsynsbegäran.docx", "A 14956-2025")</f>
        <v/>
      </c>
      <c r="Y42">
        <f>HYPERLINK("https://klasma.github.io/Logging_1880/tillsynsmail/A 14956-2025 tillsynsbegäran mail.docx", "A 14956-2025")</f>
        <v/>
      </c>
    </row>
    <row r="43" ht="15" customHeight="1">
      <c r="A43" t="inlineStr">
        <is>
          <t>A 51550-2025</t>
        </is>
      </c>
      <c r="B43" s="1" t="n">
        <v>45950.83359953704</v>
      </c>
      <c r="C43" s="1" t="n">
        <v>46065</v>
      </c>
      <c r="D43" t="inlineStr">
        <is>
          <t>ÖREBRO LÄN</t>
        </is>
      </c>
      <c r="E43" t="inlineStr">
        <is>
          <t>ÖREBRO</t>
        </is>
      </c>
      <c r="F43" t="inlineStr">
        <is>
          <t>Övriga Aktiebolag</t>
        </is>
      </c>
      <c r="G43" t="n">
        <v>5.5</v>
      </c>
      <c r="H43" t="n">
        <v>0</v>
      </c>
      <c r="I43" t="n">
        <v>1</v>
      </c>
      <c r="J43" t="n">
        <v>1</v>
      </c>
      <c r="K43" t="n">
        <v>0</v>
      </c>
      <c r="L43" t="n">
        <v>0</v>
      </c>
      <c r="M43" t="n">
        <v>0</v>
      </c>
      <c r="N43" t="n">
        <v>0</v>
      </c>
      <c r="O43" t="n">
        <v>1</v>
      </c>
      <c r="P43" t="n">
        <v>0</v>
      </c>
      <c r="Q43" t="n">
        <v>2</v>
      </c>
      <c r="R43" s="2" t="inlineStr">
        <is>
          <t>Bryngökbi
Tibast</t>
        </is>
      </c>
      <c r="S43">
        <f>HYPERLINK("https://klasma.github.io/Logging_1880/artfynd/A 51550-2025 artfynd.xlsx", "A 51550-2025")</f>
        <v/>
      </c>
      <c r="T43">
        <f>HYPERLINK("https://klasma.github.io/Logging_1880/kartor/A 51550-2025 karta.png", "A 51550-2025")</f>
        <v/>
      </c>
      <c r="V43">
        <f>HYPERLINK("https://klasma.github.io/Logging_1880/klagomål/A 51550-2025 FSC-klagomål.docx", "A 51550-2025")</f>
        <v/>
      </c>
      <c r="W43">
        <f>HYPERLINK("https://klasma.github.io/Logging_1880/klagomålsmail/A 51550-2025 FSC-klagomål mail.docx", "A 51550-2025")</f>
        <v/>
      </c>
      <c r="X43">
        <f>HYPERLINK("https://klasma.github.io/Logging_1880/tillsyn/A 51550-2025 tillsynsbegäran.docx", "A 51550-2025")</f>
        <v/>
      </c>
      <c r="Y43">
        <f>HYPERLINK("https://klasma.github.io/Logging_1880/tillsynsmail/A 51550-2025 tillsynsbegäran mail.docx", "A 51550-2025")</f>
        <v/>
      </c>
    </row>
    <row r="44" ht="15" customHeight="1">
      <c r="A44" t="inlineStr">
        <is>
          <t>A 60557-2025</t>
        </is>
      </c>
      <c r="B44" s="1" t="n">
        <v>45995.74444444444</v>
      </c>
      <c r="C44" s="1" t="n">
        <v>46065</v>
      </c>
      <c r="D44" t="inlineStr">
        <is>
          <t>ÖREBRO LÄN</t>
        </is>
      </c>
      <c r="E44" t="inlineStr">
        <is>
          <t>ÖREBRO</t>
        </is>
      </c>
      <c r="G44" t="n">
        <v>4.8</v>
      </c>
      <c r="H44" t="n">
        <v>0</v>
      </c>
      <c r="I44" t="n">
        <v>2</v>
      </c>
      <c r="J44" t="n">
        <v>0</v>
      </c>
      <c r="K44" t="n">
        <v>0</v>
      </c>
      <c r="L44" t="n">
        <v>0</v>
      </c>
      <c r="M44" t="n">
        <v>0</v>
      </c>
      <c r="N44" t="n">
        <v>0</v>
      </c>
      <c r="O44" t="n">
        <v>0</v>
      </c>
      <c r="P44" t="n">
        <v>0</v>
      </c>
      <c r="Q44" t="n">
        <v>2</v>
      </c>
      <c r="R44" s="2" t="inlineStr">
        <is>
          <t>Rödbrun jordstjärna
Tibast</t>
        </is>
      </c>
      <c r="S44">
        <f>HYPERLINK("https://klasma.github.io/Logging_1880/artfynd/A 60557-2025 artfynd.xlsx", "A 60557-2025")</f>
        <v/>
      </c>
      <c r="T44">
        <f>HYPERLINK("https://klasma.github.io/Logging_1880/kartor/A 60557-2025 karta.png", "A 60557-2025")</f>
        <v/>
      </c>
      <c r="V44">
        <f>HYPERLINK("https://klasma.github.io/Logging_1880/klagomål/A 60557-2025 FSC-klagomål.docx", "A 60557-2025")</f>
        <v/>
      </c>
      <c r="W44">
        <f>HYPERLINK("https://klasma.github.io/Logging_1880/klagomålsmail/A 60557-2025 FSC-klagomål mail.docx", "A 60557-2025")</f>
        <v/>
      </c>
      <c r="X44">
        <f>HYPERLINK("https://klasma.github.io/Logging_1880/tillsyn/A 60557-2025 tillsynsbegäran.docx", "A 60557-2025")</f>
        <v/>
      </c>
      <c r="Y44">
        <f>HYPERLINK("https://klasma.github.io/Logging_1880/tillsynsmail/A 60557-2025 tillsynsbegäran mail.docx", "A 60557-2025")</f>
        <v/>
      </c>
    </row>
    <row r="45" ht="15" customHeight="1">
      <c r="A45" t="inlineStr">
        <is>
          <t>A 2998-2026</t>
        </is>
      </c>
      <c r="B45" s="1" t="n">
        <v>46038.64835648148</v>
      </c>
      <c r="C45" s="1" t="n">
        <v>46065</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46065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22604-2024</t>
        </is>
      </c>
      <c r="B47" s="1" t="n">
        <v>45447</v>
      </c>
      <c r="C47" s="1" t="n">
        <v>46065</v>
      </c>
      <c r="D47" t="inlineStr">
        <is>
          <t>ÖREBRO LÄN</t>
        </is>
      </c>
      <c r="E47" t="inlineStr">
        <is>
          <t>ÖREBRO</t>
        </is>
      </c>
      <c r="G47" t="n">
        <v>4.4</v>
      </c>
      <c r="H47" t="n">
        <v>0</v>
      </c>
      <c r="I47" t="n">
        <v>0</v>
      </c>
      <c r="J47" t="n">
        <v>1</v>
      </c>
      <c r="K47" t="n">
        <v>0</v>
      </c>
      <c r="L47" t="n">
        <v>0</v>
      </c>
      <c r="M47" t="n">
        <v>0</v>
      </c>
      <c r="N47" t="n">
        <v>0</v>
      </c>
      <c r="O47" t="n">
        <v>1</v>
      </c>
      <c r="P47" t="n">
        <v>0</v>
      </c>
      <c r="Q47" t="n">
        <v>1</v>
      </c>
      <c r="R47" s="2" t="inlineStr">
        <is>
          <t>Månlåsbräken</t>
        </is>
      </c>
      <c r="S47">
        <f>HYPERLINK("https://klasma.github.io/Logging_1880/artfynd/A 22604-2024 artfynd.xlsx", "A 22604-2024")</f>
        <v/>
      </c>
      <c r="T47">
        <f>HYPERLINK("https://klasma.github.io/Logging_1880/kartor/A 22604-2024 karta.png", "A 22604-2024")</f>
        <v/>
      </c>
      <c r="V47">
        <f>HYPERLINK("https://klasma.github.io/Logging_1880/klagomål/A 22604-2024 FSC-klagomål.docx", "A 22604-2024")</f>
        <v/>
      </c>
      <c r="W47">
        <f>HYPERLINK("https://klasma.github.io/Logging_1880/klagomålsmail/A 22604-2024 FSC-klagomål mail.docx", "A 22604-2024")</f>
        <v/>
      </c>
      <c r="X47">
        <f>HYPERLINK("https://klasma.github.io/Logging_1880/tillsyn/A 22604-2024 tillsynsbegäran.docx", "A 22604-2024")</f>
        <v/>
      </c>
      <c r="Y47">
        <f>HYPERLINK("https://klasma.github.io/Logging_1880/tillsynsmail/A 22604-2024 tillsynsbegäran mail.docx", "A 22604-2024")</f>
        <v/>
      </c>
    </row>
    <row r="48" ht="15" customHeight="1">
      <c r="A48" t="inlineStr">
        <is>
          <t>A 11501-2025</t>
        </is>
      </c>
      <c r="B48" s="1" t="n">
        <v>45726</v>
      </c>
      <c r="C48" s="1" t="n">
        <v>46065</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43332-2022</t>
        </is>
      </c>
      <c r="B49" s="1" t="n">
        <v>44834</v>
      </c>
      <c r="C49" s="1" t="n">
        <v>46065</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30725-2023</t>
        </is>
      </c>
      <c r="B50" s="1" t="n">
        <v>45112.61451388889</v>
      </c>
      <c r="C50" s="1" t="n">
        <v>46065</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5097-2023</t>
        </is>
      </c>
      <c r="B51" s="1" t="n">
        <v>44958</v>
      </c>
      <c r="C51" s="1" t="n">
        <v>46065</v>
      </c>
      <c r="D51" t="inlineStr">
        <is>
          <t>ÖREBRO LÄN</t>
        </is>
      </c>
      <c r="E51" t="inlineStr">
        <is>
          <t>ÖREBRO</t>
        </is>
      </c>
      <c r="G51" t="n">
        <v>3.6</v>
      </c>
      <c r="H51" t="n">
        <v>1</v>
      </c>
      <c r="I51" t="n">
        <v>0</v>
      </c>
      <c r="J51" t="n">
        <v>0</v>
      </c>
      <c r="K51" t="n">
        <v>0</v>
      </c>
      <c r="L51" t="n">
        <v>0</v>
      </c>
      <c r="M51" t="n">
        <v>0</v>
      </c>
      <c r="N51" t="n">
        <v>0</v>
      </c>
      <c r="O51" t="n">
        <v>0</v>
      </c>
      <c r="P51" t="n">
        <v>0</v>
      </c>
      <c r="Q51" t="n">
        <v>1</v>
      </c>
      <c r="R51" s="2" t="inlineStr">
        <is>
          <t>Grönvit nattviol</t>
        </is>
      </c>
      <c r="S51">
        <f>HYPERLINK("https://klasma.github.io/Logging_1880/artfynd/A 5097-2023 artfynd.xlsx", "A 5097-2023")</f>
        <v/>
      </c>
      <c r="T51">
        <f>HYPERLINK("https://klasma.github.io/Logging_1880/kartor/A 5097-2023 karta.png", "A 5097-2023")</f>
        <v/>
      </c>
      <c r="V51">
        <f>HYPERLINK("https://klasma.github.io/Logging_1880/klagomål/A 5097-2023 FSC-klagomål.docx", "A 5097-2023")</f>
        <v/>
      </c>
      <c r="W51">
        <f>HYPERLINK("https://klasma.github.io/Logging_1880/klagomålsmail/A 5097-2023 FSC-klagomål mail.docx", "A 5097-2023")</f>
        <v/>
      </c>
      <c r="X51">
        <f>HYPERLINK("https://klasma.github.io/Logging_1880/tillsyn/A 5097-2023 tillsynsbegäran.docx", "A 5097-2023")</f>
        <v/>
      </c>
      <c r="Y51">
        <f>HYPERLINK("https://klasma.github.io/Logging_1880/tillsynsmail/A 5097-2023 tillsynsbegäran mail.docx", "A 5097-2023")</f>
        <v/>
      </c>
    </row>
    <row r="52" ht="15" customHeight="1">
      <c r="A52" t="inlineStr">
        <is>
          <t>A 44744-2024</t>
        </is>
      </c>
      <c r="B52" s="1" t="n">
        <v>45574.59789351852</v>
      </c>
      <c r="C52" s="1" t="n">
        <v>46065</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20247-2023</t>
        </is>
      </c>
      <c r="B53" s="1" t="n">
        <v>45055</v>
      </c>
      <c r="C53" s="1" t="n">
        <v>46065</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2077-2023</t>
        </is>
      </c>
      <c r="B54" s="1" t="n">
        <v>44939</v>
      </c>
      <c r="C54" s="1" t="n">
        <v>46065</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28936-2025</t>
        </is>
      </c>
      <c r="B55" s="1" t="n">
        <v>45820.69287037037</v>
      </c>
      <c r="C55" s="1" t="n">
        <v>46065</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44389-2021</t>
        </is>
      </c>
      <c r="B56" s="1" t="n">
        <v>44435</v>
      </c>
      <c r="C56" s="1" t="n">
        <v>46065</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32105-2023</t>
        </is>
      </c>
      <c r="B57" s="1" t="n">
        <v>45119</v>
      </c>
      <c r="C57" s="1" t="n">
        <v>46065</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32226-2025</t>
        </is>
      </c>
      <c r="B58" s="1" t="n">
        <v>45835.59478009259</v>
      </c>
      <c r="C58" s="1" t="n">
        <v>46065</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46065</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31695-2024</t>
        </is>
      </c>
      <c r="B60" s="1" t="n">
        <v>45508</v>
      </c>
      <c r="C60" s="1" t="n">
        <v>46065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26890-2022</t>
        </is>
      </c>
      <c r="B61" s="1" t="n">
        <v>44740</v>
      </c>
      <c r="C61" s="1" t="n">
        <v>46065</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57920-2024</t>
        </is>
      </c>
      <c r="B62" s="1" t="n">
        <v>45631.50894675926</v>
      </c>
      <c r="C62" s="1" t="n">
        <v>46065</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20032-2023</t>
        </is>
      </c>
      <c r="B63" s="1" t="n">
        <v>45054</v>
      </c>
      <c r="C63" s="1" t="n">
        <v>46065</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23998-2025</t>
        </is>
      </c>
      <c r="B64" s="1" t="n">
        <v>45796.42209490741</v>
      </c>
      <c r="C64" s="1" t="n">
        <v>46065</v>
      </c>
      <c r="D64" t="inlineStr">
        <is>
          <t>ÖREBRO LÄN</t>
        </is>
      </c>
      <c r="E64" t="inlineStr">
        <is>
          <t>ÖREBRO</t>
        </is>
      </c>
      <c r="G64" t="n">
        <v>4.7</v>
      </c>
      <c r="H64" t="n">
        <v>0</v>
      </c>
      <c r="I64" t="n">
        <v>1</v>
      </c>
      <c r="J64" t="n">
        <v>0</v>
      </c>
      <c r="K64" t="n">
        <v>0</v>
      </c>
      <c r="L64" t="n">
        <v>0</v>
      </c>
      <c r="M64" t="n">
        <v>0</v>
      </c>
      <c r="N64" t="n">
        <v>0</v>
      </c>
      <c r="O64" t="n">
        <v>0</v>
      </c>
      <c r="P64" t="n">
        <v>0</v>
      </c>
      <c r="Q64" t="n">
        <v>1</v>
      </c>
      <c r="R64" s="2" t="inlineStr">
        <is>
          <t>Kambräken</t>
        </is>
      </c>
      <c r="S64">
        <f>HYPERLINK("https://klasma.github.io/Logging_1880/artfynd/A 23998-2025 artfynd.xlsx", "A 23998-2025")</f>
        <v/>
      </c>
      <c r="T64">
        <f>HYPERLINK("https://klasma.github.io/Logging_1880/kartor/A 23998-2025 karta.png", "A 23998-2025")</f>
        <v/>
      </c>
      <c r="V64">
        <f>HYPERLINK("https://klasma.github.io/Logging_1880/klagomål/A 23998-2025 FSC-klagomål.docx", "A 23998-2025")</f>
        <v/>
      </c>
      <c r="W64">
        <f>HYPERLINK("https://klasma.github.io/Logging_1880/klagomålsmail/A 23998-2025 FSC-klagomål mail.docx", "A 23998-2025")</f>
        <v/>
      </c>
      <c r="X64">
        <f>HYPERLINK("https://klasma.github.io/Logging_1880/tillsyn/A 23998-2025 tillsynsbegäran.docx", "A 23998-2025")</f>
        <v/>
      </c>
      <c r="Y64">
        <f>HYPERLINK("https://klasma.github.io/Logging_1880/tillsynsmail/A 23998-2025 tillsynsbegäran mail.docx", "A 23998-2025")</f>
        <v/>
      </c>
    </row>
    <row r="65" ht="15" customHeight="1">
      <c r="A65" t="inlineStr">
        <is>
          <t>A 42636-2023</t>
        </is>
      </c>
      <c r="B65" s="1" t="n">
        <v>45181.49559027778</v>
      </c>
      <c r="C65" s="1" t="n">
        <v>46065</v>
      </c>
      <c r="D65" t="inlineStr">
        <is>
          <t>ÖREBRO LÄN</t>
        </is>
      </c>
      <c r="E65" t="inlineStr">
        <is>
          <t>ÖREBRO</t>
        </is>
      </c>
      <c r="G65" t="n">
        <v>1.7</v>
      </c>
      <c r="H65" t="n">
        <v>0</v>
      </c>
      <c r="I65" t="n">
        <v>0</v>
      </c>
      <c r="J65" t="n">
        <v>1</v>
      </c>
      <c r="K65" t="n">
        <v>0</v>
      </c>
      <c r="L65" t="n">
        <v>0</v>
      </c>
      <c r="M65" t="n">
        <v>0</v>
      </c>
      <c r="N65" t="n">
        <v>0</v>
      </c>
      <c r="O65" t="n">
        <v>1</v>
      </c>
      <c r="P65" t="n">
        <v>0</v>
      </c>
      <c r="Q65" t="n">
        <v>1</v>
      </c>
      <c r="R65" s="2" t="inlineStr">
        <is>
          <t>Igelkott</t>
        </is>
      </c>
      <c r="S65">
        <f>HYPERLINK("https://klasma.github.io/Logging_1880/artfynd/A 42636-2023 artfynd.xlsx", "A 42636-2023")</f>
        <v/>
      </c>
      <c r="T65">
        <f>HYPERLINK("https://klasma.github.io/Logging_1880/kartor/A 42636-2023 karta.png", "A 42636-2023")</f>
        <v/>
      </c>
      <c r="V65">
        <f>HYPERLINK("https://klasma.github.io/Logging_1880/klagomål/A 42636-2023 FSC-klagomål.docx", "A 42636-2023")</f>
        <v/>
      </c>
      <c r="W65">
        <f>HYPERLINK("https://klasma.github.io/Logging_1880/klagomålsmail/A 42636-2023 FSC-klagomål mail.docx", "A 42636-2023")</f>
        <v/>
      </c>
      <c r="X65">
        <f>HYPERLINK("https://klasma.github.io/Logging_1880/tillsyn/A 42636-2023 tillsynsbegäran.docx", "A 42636-2023")</f>
        <v/>
      </c>
      <c r="Y65">
        <f>HYPERLINK("https://klasma.github.io/Logging_1880/tillsynsmail/A 42636-2023 tillsynsbegäran mail.docx", "A 42636-2023")</f>
        <v/>
      </c>
    </row>
    <row r="66" ht="15" customHeight="1">
      <c r="A66" t="inlineStr">
        <is>
          <t>A 55904-2024</t>
        </is>
      </c>
      <c r="B66" s="1" t="n">
        <v>45623.58190972222</v>
      </c>
      <c r="C66" s="1" t="n">
        <v>46065</v>
      </c>
      <c r="D66" t="inlineStr">
        <is>
          <t>ÖREBRO LÄN</t>
        </is>
      </c>
      <c r="E66" t="inlineStr">
        <is>
          <t>ÖREBRO</t>
        </is>
      </c>
      <c r="G66" t="n">
        <v>1.2</v>
      </c>
      <c r="H66" t="n">
        <v>1</v>
      </c>
      <c r="I66" t="n">
        <v>0</v>
      </c>
      <c r="J66" t="n">
        <v>0</v>
      </c>
      <c r="K66" t="n">
        <v>0</v>
      </c>
      <c r="L66" t="n">
        <v>0</v>
      </c>
      <c r="M66" t="n">
        <v>0</v>
      </c>
      <c r="N66" t="n">
        <v>0</v>
      </c>
      <c r="O66" t="n">
        <v>0</v>
      </c>
      <c r="P66" t="n">
        <v>0</v>
      </c>
      <c r="Q66" t="n">
        <v>1</v>
      </c>
      <c r="R66" s="2" t="inlineStr">
        <is>
          <t>Trana</t>
        </is>
      </c>
      <c r="S66">
        <f>HYPERLINK("https://klasma.github.io/Logging_1880/artfynd/A 55904-2024 artfynd.xlsx", "A 55904-2024")</f>
        <v/>
      </c>
      <c r="T66">
        <f>HYPERLINK("https://klasma.github.io/Logging_1880/kartor/A 55904-2024 karta.png", "A 55904-2024")</f>
        <v/>
      </c>
      <c r="V66">
        <f>HYPERLINK("https://klasma.github.io/Logging_1880/klagomål/A 55904-2024 FSC-klagomål.docx", "A 55904-2024")</f>
        <v/>
      </c>
      <c r="W66">
        <f>HYPERLINK("https://klasma.github.io/Logging_1880/klagomålsmail/A 55904-2024 FSC-klagomål mail.docx", "A 55904-2024")</f>
        <v/>
      </c>
      <c r="X66">
        <f>HYPERLINK("https://klasma.github.io/Logging_1880/tillsyn/A 55904-2024 tillsynsbegäran.docx", "A 55904-2024")</f>
        <v/>
      </c>
      <c r="Y66">
        <f>HYPERLINK("https://klasma.github.io/Logging_1880/tillsynsmail/A 55904-2024 tillsynsbegäran mail.docx", "A 55904-2024")</f>
        <v/>
      </c>
      <c r="Z66">
        <f>HYPERLINK("https://klasma.github.io/Logging_1880/fåglar/A 55904-2024 prioriterade fågelarter.docx", "A 55904-2024")</f>
        <v/>
      </c>
    </row>
    <row r="67" ht="15" customHeight="1">
      <c r="A67" t="inlineStr">
        <is>
          <t>A 50499-2025</t>
        </is>
      </c>
      <c r="B67" s="1" t="n">
        <v>45945.41712962963</v>
      </c>
      <c r="C67" s="1" t="n">
        <v>46065</v>
      </c>
      <c r="D67" t="inlineStr">
        <is>
          <t>ÖREBRO LÄN</t>
        </is>
      </c>
      <c r="E67" t="inlineStr">
        <is>
          <t>ÖREBRO</t>
        </is>
      </c>
      <c r="G67" t="n">
        <v>6.7</v>
      </c>
      <c r="H67" t="n">
        <v>0</v>
      </c>
      <c r="I67" t="n">
        <v>0</v>
      </c>
      <c r="J67" t="n">
        <v>1</v>
      </c>
      <c r="K67" t="n">
        <v>0</v>
      </c>
      <c r="L67" t="n">
        <v>0</v>
      </c>
      <c r="M67" t="n">
        <v>0</v>
      </c>
      <c r="N67" t="n">
        <v>0</v>
      </c>
      <c r="O67" t="n">
        <v>1</v>
      </c>
      <c r="P67" t="n">
        <v>0</v>
      </c>
      <c r="Q67" t="n">
        <v>1</v>
      </c>
      <c r="R67" s="2" t="inlineStr">
        <is>
          <t>Gullklöver</t>
        </is>
      </c>
      <c r="S67">
        <f>HYPERLINK("https://klasma.github.io/Logging_1880/artfynd/A 50499-2025 artfynd.xlsx", "A 50499-2025")</f>
        <v/>
      </c>
      <c r="T67">
        <f>HYPERLINK("https://klasma.github.io/Logging_1880/kartor/A 50499-2025 karta.png", "A 50499-2025")</f>
        <v/>
      </c>
      <c r="V67">
        <f>HYPERLINK("https://klasma.github.io/Logging_1880/klagomål/A 50499-2025 FSC-klagomål.docx", "A 50499-2025")</f>
        <v/>
      </c>
      <c r="W67">
        <f>HYPERLINK("https://klasma.github.io/Logging_1880/klagomålsmail/A 50499-2025 FSC-klagomål mail.docx", "A 50499-2025")</f>
        <v/>
      </c>
      <c r="X67">
        <f>HYPERLINK("https://klasma.github.io/Logging_1880/tillsyn/A 50499-2025 tillsynsbegäran.docx", "A 50499-2025")</f>
        <v/>
      </c>
      <c r="Y67">
        <f>HYPERLINK("https://klasma.github.io/Logging_1880/tillsynsmail/A 50499-2025 tillsynsbegäran mail.docx", "A 50499-2025")</f>
        <v/>
      </c>
    </row>
    <row r="68" ht="15" customHeight="1">
      <c r="A68" t="inlineStr">
        <is>
          <t>A 15621-2021</t>
        </is>
      </c>
      <c r="B68" s="1" t="n">
        <v>44285</v>
      </c>
      <c r="C68" s="1" t="n">
        <v>46065</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58838-2025</t>
        </is>
      </c>
      <c r="B69" s="1" t="n">
        <v>45987.35973379629</v>
      </c>
      <c r="C69" s="1" t="n">
        <v>46065</v>
      </c>
      <c r="D69" t="inlineStr">
        <is>
          <t>ÖREBRO LÄN</t>
        </is>
      </c>
      <c r="E69" t="inlineStr">
        <is>
          <t>ÖREBRO</t>
        </is>
      </c>
      <c r="G69" t="n">
        <v>1.7</v>
      </c>
      <c r="H69" t="n">
        <v>0</v>
      </c>
      <c r="I69" t="n">
        <v>1</v>
      </c>
      <c r="J69" t="n">
        <v>0</v>
      </c>
      <c r="K69" t="n">
        <v>0</v>
      </c>
      <c r="L69" t="n">
        <v>0</v>
      </c>
      <c r="M69" t="n">
        <v>0</v>
      </c>
      <c r="N69" t="n">
        <v>0</v>
      </c>
      <c r="O69" t="n">
        <v>0</v>
      </c>
      <c r="P69" t="n">
        <v>0</v>
      </c>
      <c r="Q69" t="n">
        <v>1</v>
      </c>
      <c r="R69" s="2" t="inlineStr">
        <is>
          <t>Grönpyrola</t>
        </is>
      </c>
      <c r="S69">
        <f>HYPERLINK("https://klasma.github.io/Logging_1880/artfynd/A 58838-2025 artfynd.xlsx", "A 58838-2025")</f>
        <v/>
      </c>
      <c r="T69">
        <f>HYPERLINK("https://klasma.github.io/Logging_1880/kartor/A 58838-2025 karta.png", "A 58838-2025")</f>
        <v/>
      </c>
      <c r="V69">
        <f>HYPERLINK("https://klasma.github.io/Logging_1880/klagomål/A 58838-2025 FSC-klagomål.docx", "A 58838-2025")</f>
        <v/>
      </c>
      <c r="W69">
        <f>HYPERLINK("https://klasma.github.io/Logging_1880/klagomålsmail/A 58838-2025 FSC-klagomål mail.docx", "A 58838-2025")</f>
        <v/>
      </c>
      <c r="X69">
        <f>HYPERLINK("https://klasma.github.io/Logging_1880/tillsyn/A 58838-2025 tillsynsbegäran.docx", "A 58838-2025")</f>
        <v/>
      </c>
      <c r="Y69">
        <f>HYPERLINK("https://klasma.github.io/Logging_1880/tillsynsmail/A 58838-2025 tillsynsbegäran mail.docx", "A 58838-2025")</f>
        <v/>
      </c>
    </row>
    <row r="70" ht="15" customHeight="1">
      <c r="A70" t="inlineStr">
        <is>
          <t>A 3006-2026</t>
        </is>
      </c>
      <c r="B70" s="1" t="n">
        <v>46038.65719907408</v>
      </c>
      <c r="C70" s="1" t="n">
        <v>46065</v>
      </c>
      <c r="D70" t="inlineStr">
        <is>
          <t>ÖREBRO LÄN</t>
        </is>
      </c>
      <c r="E70" t="inlineStr">
        <is>
          <t>ÖREBRO</t>
        </is>
      </c>
      <c r="F70" t="inlineStr">
        <is>
          <t>Övriga Aktiebolag</t>
        </is>
      </c>
      <c r="G70" t="n">
        <v>1</v>
      </c>
      <c r="H70" t="n">
        <v>1</v>
      </c>
      <c r="I70" t="n">
        <v>0</v>
      </c>
      <c r="J70" t="n">
        <v>1</v>
      </c>
      <c r="K70" t="n">
        <v>0</v>
      </c>
      <c r="L70" t="n">
        <v>0</v>
      </c>
      <c r="M70" t="n">
        <v>0</v>
      </c>
      <c r="N70" t="n">
        <v>0</v>
      </c>
      <c r="O70" t="n">
        <v>1</v>
      </c>
      <c r="P70" t="n">
        <v>0</v>
      </c>
      <c r="Q70" t="n">
        <v>1</v>
      </c>
      <c r="R70" s="2" t="inlineStr">
        <is>
          <t>Gulsparv</t>
        </is>
      </c>
      <c r="S70">
        <f>HYPERLINK("https://klasma.github.io/Logging_1880/artfynd/A 3006-2026 artfynd.xlsx", "A 3006-2026")</f>
        <v/>
      </c>
      <c r="T70">
        <f>HYPERLINK("https://klasma.github.io/Logging_1880/kartor/A 3006-2026 karta.png", "A 3006-2026")</f>
        <v/>
      </c>
      <c r="V70">
        <f>HYPERLINK("https://klasma.github.io/Logging_1880/klagomål/A 3006-2026 FSC-klagomål.docx", "A 3006-2026")</f>
        <v/>
      </c>
      <c r="W70">
        <f>HYPERLINK("https://klasma.github.io/Logging_1880/klagomålsmail/A 3006-2026 FSC-klagomål mail.docx", "A 3006-2026")</f>
        <v/>
      </c>
      <c r="X70">
        <f>HYPERLINK("https://klasma.github.io/Logging_1880/tillsyn/A 3006-2026 tillsynsbegäran.docx", "A 3006-2026")</f>
        <v/>
      </c>
      <c r="Y70">
        <f>HYPERLINK("https://klasma.github.io/Logging_1880/tillsynsmail/A 3006-2026 tillsynsbegäran mail.docx", "A 3006-2026")</f>
        <v/>
      </c>
      <c r="Z70">
        <f>HYPERLINK("https://klasma.github.io/Logging_1880/fåglar/A 3006-2026 prioriterade fågelarter.docx", "A 3006-2026")</f>
        <v/>
      </c>
    </row>
    <row r="71" ht="15" customHeight="1">
      <c r="A71" t="inlineStr">
        <is>
          <t>A 63199-2025</t>
        </is>
      </c>
      <c r="B71" s="1" t="n">
        <v>46010.46091435185</v>
      </c>
      <c r="C71" s="1" t="n">
        <v>46065</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63196-2025</t>
        </is>
      </c>
      <c r="B72" s="1" t="n">
        <v>46010.45872685185</v>
      </c>
      <c r="C72" s="1" t="n">
        <v>46065</v>
      </c>
      <c r="D72" t="inlineStr">
        <is>
          <t>ÖREBRO LÄN</t>
        </is>
      </c>
      <c r="E72" t="inlineStr">
        <is>
          <t>ÖREBRO</t>
        </is>
      </c>
      <c r="F72" t="inlineStr">
        <is>
          <t>Sveaskog</t>
        </is>
      </c>
      <c r="G72" t="n">
        <v>1.4</v>
      </c>
      <c r="H72" t="n">
        <v>0</v>
      </c>
      <c r="I72" t="n">
        <v>1</v>
      </c>
      <c r="J72" t="n">
        <v>0</v>
      </c>
      <c r="K72" t="n">
        <v>0</v>
      </c>
      <c r="L72" t="n">
        <v>0</v>
      </c>
      <c r="M72" t="n">
        <v>0</v>
      </c>
      <c r="N72" t="n">
        <v>0</v>
      </c>
      <c r="O72" t="n">
        <v>0</v>
      </c>
      <c r="P72" t="n">
        <v>0</v>
      </c>
      <c r="Q72" t="n">
        <v>1</v>
      </c>
      <c r="R72" s="2" t="inlineStr">
        <is>
          <t>Tibast</t>
        </is>
      </c>
      <c r="S72">
        <f>HYPERLINK("https://klasma.github.io/Logging_1880/artfynd/A 63196-2025 artfynd.xlsx", "A 63196-2025")</f>
        <v/>
      </c>
      <c r="T72">
        <f>HYPERLINK("https://klasma.github.io/Logging_1880/kartor/A 63196-2025 karta.png", "A 63196-2025")</f>
        <v/>
      </c>
      <c r="V72">
        <f>HYPERLINK("https://klasma.github.io/Logging_1880/klagomål/A 63196-2025 FSC-klagomål.docx", "A 63196-2025")</f>
        <v/>
      </c>
      <c r="W72">
        <f>HYPERLINK("https://klasma.github.io/Logging_1880/klagomålsmail/A 63196-2025 FSC-klagomål mail.docx", "A 63196-2025")</f>
        <v/>
      </c>
      <c r="X72">
        <f>HYPERLINK("https://klasma.github.io/Logging_1880/tillsyn/A 63196-2025 tillsynsbegäran.docx", "A 63196-2025")</f>
        <v/>
      </c>
      <c r="Y72">
        <f>HYPERLINK("https://klasma.github.io/Logging_1880/tillsynsmail/A 63196-2025 tillsynsbegäran mail.docx", "A 63196-2025")</f>
        <v/>
      </c>
    </row>
    <row r="73" ht="15" customHeight="1">
      <c r="A73" t="inlineStr">
        <is>
          <t>A 59516-2025</t>
        </is>
      </c>
      <c r="B73" s="1" t="n">
        <v>45989.65396990741</v>
      </c>
      <c r="C73" s="1" t="n">
        <v>46065</v>
      </c>
      <c r="D73" t="inlineStr">
        <is>
          <t>ÖREBRO LÄN</t>
        </is>
      </c>
      <c r="E73" t="inlineStr">
        <is>
          <t>ÖREBRO</t>
        </is>
      </c>
      <c r="F73" t="inlineStr">
        <is>
          <t>Sveaskog</t>
        </is>
      </c>
      <c r="G73" t="n">
        <v>1.9</v>
      </c>
      <c r="H73" t="n">
        <v>0</v>
      </c>
      <c r="I73" t="n">
        <v>1</v>
      </c>
      <c r="J73" t="n">
        <v>0</v>
      </c>
      <c r="K73" t="n">
        <v>0</v>
      </c>
      <c r="L73" t="n">
        <v>0</v>
      </c>
      <c r="M73" t="n">
        <v>0</v>
      </c>
      <c r="N73" t="n">
        <v>0</v>
      </c>
      <c r="O73" t="n">
        <v>0</v>
      </c>
      <c r="P73" t="n">
        <v>0</v>
      </c>
      <c r="Q73" t="n">
        <v>1</v>
      </c>
      <c r="R73" s="2" t="inlineStr">
        <is>
          <t>Tibast</t>
        </is>
      </c>
      <c r="S73">
        <f>HYPERLINK("https://klasma.github.io/Logging_1880/artfynd/A 59516-2025 artfynd.xlsx", "A 59516-2025")</f>
        <v/>
      </c>
      <c r="T73">
        <f>HYPERLINK("https://klasma.github.io/Logging_1880/kartor/A 59516-2025 karta.png", "A 59516-2025")</f>
        <v/>
      </c>
      <c r="V73">
        <f>HYPERLINK("https://klasma.github.io/Logging_1880/klagomål/A 59516-2025 FSC-klagomål.docx", "A 59516-2025")</f>
        <v/>
      </c>
      <c r="W73">
        <f>HYPERLINK("https://klasma.github.io/Logging_1880/klagomålsmail/A 59516-2025 FSC-klagomål mail.docx", "A 59516-2025")</f>
        <v/>
      </c>
      <c r="X73">
        <f>HYPERLINK("https://klasma.github.io/Logging_1880/tillsyn/A 59516-2025 tillsynsbegäran.docx", "A 59516-2025")</f>
        <v/>
      </c>
      <c r="Y73">
        <f>HYPERLINK("https://klasma.github.io/Logging_1880/tillsynsmail/A 59516-2025 tillsynsbegäran mail.docx", "A 59516-2025")</f>
        <v/>
      </c>
    </row>
    <row r="74" ht="15" customHeight="1">
      <c r="A74" t="inlineStr">
        <is>
          <t>A 9406-2021</t>
        </is>
      </c>
      <c r="B74" s="1" t="n">
        <v>44251</v>
      </c>
      <c r="C74" s="1" t="n">
        <v>46065</v>
      </c>
      <c r="D74" t="inlineStr">
        <is>
          <t>ÖREBRO LÄN</t>
        </is>
      </c>
      <c r="E74" t="inlineStr">
        <is>
          <t>ÖREBRO</t>
        </is>
      </c>
      <c r="G74" t="n">
        <v>6.1</v>
      </c>
      <c r="H74" t="n">
        <v>0</v>
      </c>
      <c r="I74" t="n">
        <v>0</v>
      </c>
      <c r="J74" t="n">
        <v>0</v>
      </c>
      <c r="K74" t="n">
        <v>0</v>
      </c>
      <c r="L74" t="n">
        <v>0</v>
      </c>
      <c r="M74" t="n">
        <v>0</v>
      </c>
      <c r="N74" t="n">
        <v>0</v>
      </c>
      <c r="O74" t="n">
        <v>0</v>
      </c>
      <c r="P74" t="n">
        <v>0</v>
      </c>
      <c r="Q74" t="n">
        <v>0</v>
      </c>
      <c r="R74" s="2" t="inlineStr"/>
    </row>
    <row r="75" ht="15" customHeight="1">
      <c r="A75" t="inlineStr">
        <is>
          <t>A 23606-2021</t>
        </is>
      </c>
      <c r="B75" s="1" t="n">
        <v>44334</v>
      </c>
      <c r="C75" s="1" t="n">
        <v>46065</v>
      </c>
      <c r="D75" t="inlineStr">
        <is>
          <t>ÖREBRO LÄN</t>
        </is>
      </c>
      <c r="E75" t="inlineStr">
        <is>
          <t>ÖREBRO</t>
        </is>
      </c>
      <c r="G75" t="n">
        <v>2.4</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46065</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46065</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46065</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46065</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46065</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70540-2021</t>
        </is>
      </c>
      <c r="B81" s="1" t="n">
        <v>44537</v>
      </c>
      <c r="C81" s="1" t="n">
        <v>46065</v>
      </c>
      <c r="D81" t="inlineStr">
        <is>
          <t>ÖREBRO LÄN</t>
        </is>
      </c>
      <c r="E81" t="inlineStr">
        <is>
          <t>ÖREBRO</t>
        </is>
      </c>
      <c r="G81" t="n">
        <v>7.1</v>
      </c>
      <c r="H81" t="n">
        <v>0</v>
      </c>
      <c r="I81" t="n">
        <v>0</v>
      </c>
      <c r="J81" t="n">
        <v>0</v>
      </c>
      <c r="K81" t="n">
        <v>0</v>
      </c>
      <c r="L81" t="n">
        <v>0</v>
      </c>
      <c r="M81" t="n">
        <v>0</v>
      </c>
      <c r="N81" t="n">
        <v>0</v>
      </c>
      <c r="O81" t="n">
        <v>0</v>
      </c>
      <c r="P81" t="n">
        <v>0</v>
      </c>
      <c r="Q81" t="n">
        <v>0</v>
      </c>
      <c r="R81" s="2" t="inlineStr"/>
    </row>
    <row r="82" ht="15" customHeight="1">
      <c r="A82" t="inlineStr">
        <is>
          <t>A 49016-2021</t>
        </is>
      </c>
      <c r="B82" s="1" t="n">
        <v>44453</v>
      </c>
      <c r="C82" s="1" t="n">
        <v>46065</v>
      </c>
      <c r="D82" t="inlineStr">
        <is>
          <t>ÖREBRO LÄN</t>
        </is>
      </c>
      <c r="E82" t="inlineStr">
        <is>
          <t>ÖREBRO</t>
        </is>
      </c>
      <c r="G82" t="n">
        <v>4.5</v>
      </c>
      <c r="H82" t="n">
        <v>0</v>
      </c>
      <c r="I82" t="n">
        <v>0</v>
      </c>
      <c r="J82" t="n">
        <v>0</v>
      </c>
      <c r="K82" t="n">
        <v>0</v>
      </c>
      <c r="L82" t="n">
        <v>0</v>
      </c>
      <c r="M82" t="n">
        <v>0</v>
      </c>
      <c r="N82" t="n">
        <v>0</v>
      </c>
      <c r="O82" t="n">
        <v>0</v>
      </c>
      <c r="P82" t="n">
        <v>0</v>
      </c>
      <c r="Q82" t="n">
        <v>0</v>
      </c>
      <c r="R82" s="2" t="inlineStr"/>
    </row>
    <row r="83" ht="15" customHeight="1">
      <c r="A83" t="inlineStr">
        <is>
          <t>A 59584-2021</t>
        </is>
      </c>
      <c r="B83" s="1" t="n">
        <v>44491</v>
      </c>
      <c r="C83" s="1" t="n">
        <v>46065</v>
      </c>
      <c r="D83" t="inlineStr">
        <is>
          <t>ÖREBRO LÄN</t>
        </is>
      </c>
      <c r="E83" t="inlineStr">
        <is>
          <t>ÖREBRO</t>
        </is>
      </c>
      <c r="G83" t="n">
        <v>1.4</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46065</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46065</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46065</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46065</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46065</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46065</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46065</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46065</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46065</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46065</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46065</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46065</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46065</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46065</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46065</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46065</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46065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46065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46065</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36794-2022</t>
        </is>
      </c>
      <c r="B103" s="1" t="n">
        <v>44805</v>
      </c>
      <c r="C103" s="1" t="n">
        <v>46065</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46065</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46065</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46065</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46065</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37395-2021</t>
        </is>
      </c>
      <c r="B108" s="1" t="n">
        <v>44398</v>
      </c>
      <c r="C108" s="1" t="n">
        <v>46065</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46065</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46065</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66936-2021</t>
        </is>
      </c>
      <c r="B111" s="1" t="n">
        <v>44522.56349537037</v>
      </c>
      <c r="C111" s="1" t="n">
        <v>46065</v>
      </c>
      <c r="D111" t="inlineStr">
        <is>
          <t>ÖREBRO LÄN</t>
        </is>
      </c>
      <c r="E111" t="inlineStr">
        <is>
          <t>ÖREBRO</t>
        </is>
      </c>
      <c r="G111" t="n">
        <v>6.8</v>
      </c>
      <c r="H111" t="n">
        <v>0</v>
      </c>
      <c r="I111" t="n">
        <v>0</v>
      </c>
      <c r="J111" t="n">
        <v>0</v>
      </c>
      <c r="K111" t="n">
        <v>0</v>
      </c>
      <c r="L111" t="n">
        <v>0</v>
      </c>
      <c r="M111" t="n">
        <v>0</v>
      </c>
      <c r="N111" t="n">
        <v>0</v>
      </c>
      <c r="O111" t="n">
        <v>0</v>
      </c>
      <c r="P111" t="n">
        <v>0</v>
      </c>
      <c r="Q111" t="n">
        <v>0</v>
      </c>
      <c r="R111" s="2" t="inlineStr"/>
    </row>
    <row r="112" ht="15" customHeight="1">
      <c r="A112" t="inlineStr">
        <is>
          <t>A 44131-2022</t>
        </is>
      </c>
      <c r="B112" s="1" t="n">
        <v>44839</v>
      </c>
      <c r="C112" s="1" t="n">
        <v>46065</v>
      </c>
      <c r="D112" t="inlineStr">
        <is>
          <t>ÖREBRO LÄN</t>
        </is>
      </c>
      <c r="E112" t="inlineStr">
        <is>
          <t>ÖREBRO</t>
        </is>
      </c>
      <c r="G112" t="n">
        <v>1.3</v>
      </c>
      <c r="H112" t="n">
        <v>0</v>
      </c>
      <c r="I112" t="n">
        <v>0</v>
      </c>
      <c r="J112" t="n">
        <v>0</v>
      </c>
      <c r="K112" t="n">
        <v>0</v>
      </c>
      <c r="L112" t="n">
        <v>0</v>
      </c>
      <c r="M112" t="n">
        <v>0</v>
      </c>
      <c r="N112" t="n">
        <v>0</v>
      </c>
      <c r="O112" t="n">
        <v>0</v>
      </c>
      <c r="P112" t="n">
        <v>0</v>
      </c>
      <c r="Q112" t="n">
        <v>0</v>
      </c>
      <c r="R112" s="2" t="inlineStr"/>
    </row>
    <row r="113" ht="15" customHeight="1">
      <c r="A113" t="inlineStr">
        <is>
          <t>A 18321-2022</t>
        </is>
      </c>
      <c r="B113" s="1" t="n">
        <v>44685</v>
      </c>
      <c r="C113" s="1" t="n">
        <v>46065</v>
      </c>
      <c r="D113" t="inlineStr">
        <is>
          <t>ÖREBRO LÄN</t>
        </is>
      </c>
      <c r="E113" t="inlineStr">
        <is>
          <t>ÖREBRO</t>
        </is>
      </c>
      <c r="G113" t="n">
        <v>2.1</v>
      </c>
      <c r="H113" t="n">
        <v>0</v>
      </c>
      <c r="I113" t="n">
        <v>0</v>
      </c>
      <c r="J113" t="n">
        <v>0</v>
      </c>
      <c r="K113" t="n">
        <v>0</v>
      </c>
      <c r="L113" t="n">
        <v>0</v>
      </c>
      <c r="M113" t="n">
        <v>0</v>
      </c>
      <c r="N113" t="n">
        <v>0</v>
      </c>
      <c r="O113" t="n">
        <v>0</v>
      </c>
      <c r="P113" t="n">
        <v>0</v>
      </c>
      <c r="Q113" t="n">
        <v>0</v>
      </c>
      <c r="R113" s="2" t="inlineStr"/>
    </row>
    <row r="114" ht="15" customHeight="1">
      <c r="A114" t="inlineStr">
        <is>
          <t>A 63247-2021</t>
        </is>
      </c>
      <c r="B114" s="1" t="n">
        <v>44505</v>
      </c>
      <c r="C114" s="1" t="n">
        <v>46065</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46065</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46065</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6638-2022</t>
        </is>
      </c>
      <c r="B117" s="1" t="n">
        <v>44601</v>
      </c>
      <c r="C117" s="1" t="n">
        <v>46065</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46065</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32231-2022</t>
        </is>
      </c>
      <c r="B119" s="1" t="n">
        <v>44781</v>
      </c>
      <c r="C119" s="1" t="n">
        <v>46065</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32247-2022</t>
        </is>
      </c>
      <c r="B120" s="1" t="n">
        <v>44781</v>
      </c>
      <c r="C120" s="1" t="n">
        <v>46065</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41553-2022</t>
        </is>
      </c>
      <c r="B121" s="1" t="n">
        <v>44827.3940625</v>
      </c>
      <c r="C121" s="1" t="n">
        <v>46065</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14562-2022</t>
        </is>
      </c>
      <c r="B122" s="1" t="n">
        <v>44655</v>
      </c>
      <c r="C122" s="1" t="n">
        <v>46065</v>
      </c>
      <c r="D122" t="inlineStr">
        <is>
          <t>ÖREBRO LÄN</t>
        </is>
      </c>
      <c r="E122" t="inlineStr">
        <is>
          <t>ÖREBRO</t>
        </is>
      </c>
      <c r="G122" t="n">
        <v>3.6</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46065</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46065</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46065</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30760-2022</t>
        </is>
      </c>
      <c r="B126" s="1" t="n">
        <v>44764.51827546296</v>
      </c>
      <c r="C126" s="1" t="n">
        <v>46065</v>
      </c>
      <c r="D126" t="inlineStr">
        <is>
          <t>ÖREBRO LÄN</t>
        </is>
      </c>
      <c r="E126" t="inlineStr">
        <is>
          <t>ÖREBRO</t>
        </is>
      </c>
      <c r="G126" t="n">
        <v>4</v>
      </c>
      <c r="H126" t="n">
        <v>0</v>
      </c>
      <c r="I126" t="n">
        <v>0</v>
      </c>
      <c r="J126" t="n">
        <v>0</v>
      </c>
      <c r="K126" t="n">
        <v>0</v>
      </c>
      <c r="L126" t="n">
        <v>0</v>
      </c>
      <c r="M126" t="n">
        <v>0</v>
      </c>
      <c r="N126" t="n">
        <v>0</v>
      </c>
      <c r="O126" t="n">
        <v>0</v>
      </c>
      <c r="P126" t="n">
        <v>0</v>
      </c>
      <c r="Q126" t="n">
        <v>0</v>
      </c>
      <c r="R126" s="2" t="inlineStr"/>
    </row>
    <row r="127" ht="15" customHeight="1">
      <c r="A127" t="inlineStr">
        <is>
          <t>A 13045-2022</t>
        </is>
      </c>
      <c r="B127" s="1" t="n">
        <v>44643</v>
      </c>
      <c r="C127" s="1" t="n">
        <v>46065</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29490-2022</t>
        </is>
      </c>
      <c r="B128" s="1" t="n">
        <v>44753</v>
      </c>
      <c r="C128" s="1" t="n">
        <v>46065</v>
      </c>
      <c r="D128" t="inlineStr">
        <is>
          <t>ÖREBRO LÄN</t>
        </is>
      </c>
      <c r="E128" t="inlineStr">
        <is>
          <t>ÖREBRO</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33814-2021</t>
        </is>
      </c>
      <c r="B129" s="1" t="n">
        <v>44378</v>
      </c>
      <c r="C129" s="1" t="n">
        <v>46065</v>
      </c>
      <c r="D129" t="inlineStr">
        <is>
          <t>ÖREBRO LÄN</t>
        </is>
      </c>
      <c r="E129" t="inlineStr">
        <is>
          <t>ÖREBRO</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13631-2022</t>
        </is>
      </c>
      <c r="B130" s="1" t="n">
        <v>44648</v>
      </c>
      <c r="C130" s="1" t="n">
        <v>46065</v>
      </c>
      <c r="D130" t="inlineStr">
        <is>
          <t>ÖREBRO LÄN</t>
        </is>
      </c>
      <c r="E130" t="inlineStr">
        <is>
          <t>ÖREBRO</t>
        </is>
      </c>
      <c r="G130" t="n">
        <v>10.4</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46065</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64523-2021</t>
        </is>
      </c>
      <c r="B132" s="1" t="n">
        <v>44511</v>
      </c>
      <c r="C132" s="1" t="n">
        <v>46065</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46065</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58138-2021</t>
        </is>
      </c>
      <c r="B134" s="1" t="n">
        <v>44487</v>
      </c>
      <c r="C134" s="1" t="n">
        <v>46065</v>
      </c>
      <c r="D134" t="inlineStr">
        <is>
          <t>ÖREBRO LÄN</t>
        </is>
      </c>
      <c r="E134" t="inlineStr">
        <is>
          <t>ÖREBRO</t>
        </is>
      </c>
      <c r="G134" t="n">
        <v>1.2</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46065</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46065</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46065</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28870-2021</t>
        </is>
      </c>
      <c r="B138" s="1" t="n">
        <v>44357.75265046296</v>
      </c>
      <c r="C138" s="1" t="n">
        <v>46065</v>
      </c>
      <c r="D138" t="inlineStr">
        <is>
          <t>ÖREBRO LÄN</t>
        </is>
      </c>
      <c r="E138" t="inlineStr">
        <is>
          <t>ÖREBRO</t>
        </is>
      </c>
      <c r="F138" t="inlineStr">
        <is>
          <t>Övriga Aktiebolag</t>
        </is>
      </c>
      <c r="G138" t="n">
        <v>2.4</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46065</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46065</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46065</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57498-2021</t>
        </is>
      </c>
      <c r="B142" s="1" t="n">
        <v>44483</v>
      </c>
      <c r="C142" s="1" t="n">
        <v>46065</v>
      </c>
      <c r="D142" t="inlineStr">
        <is>
          <t>ÖREBRO LÄN</t>
        </is>
      </c>
      <c r="E142" t="inlineStr">
        <is>
          <t>ÖREBRO</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46065</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46065</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48581-2024</t>
        </is>
      </c>
      <c r="B145" s="1" t="n">
        <v>45593.41642361111</v>
      </c>
      <c r="C145" s="1" t="n">
        <v>46065</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47047-2022</t>
        </is>
      </c>
      <c r="B146" s="1" t="n">
        <v>44852.39063657408</v>
      </c>
      <c r="C146" s="1" t="n">
        <v>46065</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46065</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46065</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21036-2024</t>
        </is>
      </c>
      <c r="B149" s="1" t="n">
        <v>45439.65954861111</v>
      </c>
      <c r="C149" s="1" t="n">
        <v>46065</v>
      </c>
      <c r="D149" t="inlineStr">
        <is>
          <t>ÖREBRO LÄN</t>
        </is>
      </c>
      <c r="E149" t="inlineStr">
        <is>
          <t>ÖREBRO</t>
        </is>
      </c>
      <c r="F149" t="inlineStr">
        <is>
          <t>Övriga Aktiebolag</t>
        </is>
      </c>
      <c r="G149" t="n">
        <v>5.7</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46065</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12478-2022</t>
        </is>
      </c>
      <c r="B151" s="1" t="n">
        <v>44638</v>
      </c>
      <c r="C151" s="1" t="n">
        <v>46065</v>
      </c>
      <c r="D151" t="inlineStr">
        <is>
          <t>ÖREBRO LÄN</t>
        </is>
      </c>
      <c r="E151" t="inlineStr">
        <is>
          <t>ÖREBRO</t>
        </is>
      </c>
      <c r="F151" t="inlineStr">
        <is>
          <t>Kyrkan</t>
        </is>
      </c>
      <c r="G151" t="n">
        <v>1.4</v>
      </c>
      <c r="H151" t="n">
        <v>0</v>
      </c>
      <c r="I151" t="n">
        <v>0</v>
      </c>
      <c r="J151" t="n">
        <v>0</v>
      </c>
      <c r="K151" t="n">
        <v>0</v>
      </c>
      <c r="L151" t="n">
        <v>0</v>
      </c>
      <c r="M151" t="n">
        <v>0</v>
      </c>
      <c r="N151" t="n">
        <v>0</v>
      </c>
      <c r="O151" t="n">
        <v>0</v>
      </c>
      <c r="P151" t="n">
        <v>0</v>
      </c>
      <c r="Q151" t="n">
        <v>0</v>
      </c>
      <c r="R151" s="2" t="inlineStr"/>
    </row>
    <row r="152" ht="15" customHeight="1">
      <c r="A152" t="inlineStr">
        <is>
          <t>A 58219-2024</t>
        </is>
      </c>
      <c r="B152" s="1" t="n">
        <v>45632</v>
      </c>
      <c r="C152" s="1" t="n">
        <v>46065</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5401-2022</t>
        </is>
      </c>
      <c r="B153" s="1" t="n">
        <v>44595</v>
      </c>
      <c r="C153" s="1" t="n">
        <v>46065</v>
      </c>
      <c r="D153" t="inlineStr">
        <is>
          <t>ÖREBRO LÄN</t>
        </is>
      </c>
      <c r="E153" t="inlineStr">
        <is>
          <t>ÖREBRO</t>
        </is>
      </c>
      <c r="G153" t="n">
        <v>2.3</v>
      </c>
      <c r="H153" t="n">
        <v>0</v>
      </c>
      <c r="I153" t="n">
        <v>0</v>
      </c>
      <c r="J153" t="n">
        <v>0</v>
      </c>
      <c r="K153" t="n">
        <v>0</v>
      </c>
      <c r="L153" t="n">
        <v>0</v>
      </c>
      <c r="M153" t="n">
        <v>0</v>
      </c>
      <c r="N153" t="n">
        <v>0</v>
      </c>
      <c r="O153" t="n">
        <v>0</v>
      </c>
      <c r="P153" t="n">
        <v>0</v>
      </c>
      <c r="Q153" t="n">
        <v>0</v>
      </c>
      <c r="R153" s="2" t="inlineStr"/>
    </row>
    <row r="154" ht="15" customHeight="1">
      <c r="A154" t="inlineStr">
        <is>
          <t>A 42518-2021</t>
        </is>
      </c>
      <c r="B154" s="1" t="n">
        <v>44427.81496527778</v>
      </c>
      <c r="C154" s="1" t="n">
        <v>46065</v>
      </c>
      <c r="D154" t="inlineStr">
        <is>
          <t>ÖREBRO LÄN</t>
        </is>
      </c>
      <c r="E154" t="inlineStr">
        <is>
          <t>ÖREBRO</t>
        </is>
      </c>
      <c r="G154" t="n">
        <v>4.5</v>
      </c>
      <c r="H154" t="n">
        <v>0</v>
      </c>
      <c r="I154" t="n">
        <v>0</v>
      </c>
      <c r="J154" t="n">
        <v>0</v>
      </c>
      <c r="K154" t="n">
        <v>0</v>
      </c>
      <c r="L154" t="n">
        <v>0</v>
      </c>
      <c r="M154" t="n">
        <v>0</v>
      </c>
      <c r="N154" t="n">
        <v>0</v>
      </c>
      <c r="O154" t="n">
        <v>0</v>
      </c>
      <c r="P154" t="n">
        <v>0</v>
      </c>
      <c r="Q154" t="n">
        <v>0</v>
      </c>
      <c r="R154" s="2" t="inlineStr"/>
    </row>
    <row r="155" ht="15" customHeight="1">
      <c r="A155" t="inlineStr">
        <is>
          <t>A 14545-2023</t>
        </is>
      </c>
      <c r="B155" s="1" t="n">
        <v>45013.34895833334</v>
      </c>
      <c r="C155" s="1" t="n">
        <v>46065</v>
      </c>
      <c r="D155" t="inlineStr">
        <is>
          <t>ÖREBRO LÄN</t>
        </is>
      </c>
      <c r="E155" t="inlineStr">
        <is>
          <t>ÖREBRO</t>
        </is>
      </c>
      <c r="G155" t="n">
        <v>2.5</v>
      </c>
      <c r="H155" t="n">
        <v>0</v>
      </c>
      <c r="I155" t="n">
        <v>0</v>
      </c>
      <c r="J155" t="n">
        <v>0</v>
      </c>
      <c r="K155" t="n">
        <v>0</v>
      </c>
      <c r="L155" t="n">
        <v>0</v>
      </c>
      <c r="M155" t="n">
        <v>0</v>
      </c>
      <c r="N155" t="n">
        <v>0</v>
      </c>
      <c r="O155" t="n">
        <v>0</v>
      </c>
      <c r="P155" t="n">
        <v>0</v>
      </c>
      <c r="Q155" t="n">
        <v>0</v>
      </c>
      <c r="R155" s="2" t="inlineStr"/>
    </row>
    <row r="156" ht="15" customHeight="1">
      <c r="A156" t="inlineStr">
        <is>
          <t>A 27112-2023</t>
        </is>
      </c>
      <c r="B156" s="1" t="n">
        <v>45096</v>
      </c>
      <c r="C156" s="1" t="n">
        <v>46065</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14524-2025</t>
        </is>
      </c>
      <c r="B157" s="1" t="n">
        <v>45741.64815972222</v>
      </c>
      <c r="C157" s="1" t="n">
        <v>46065</v>
      </c>
      <c r="D157" t="inlineStr">
        <is>
          <t>ÖREBRO LÄN</t>
        </is>
      </c>
      <c r="E157" t="inlineStr">
        <is>
          <t>ÖREBRO</t>
        </is>
      </c>
      <c r="G157" t="n">
        <v>2.8</v>
      </c>
      <c r="H157" t="n">
        <v>0</v>
      </c>
      <c r="I157" t="n">
        <v>0</v>
      </c>
      <c r="J157" t="n">
        <v>0</v>
      </c>
      <c r="K157" t="n">
        <v>0</v>
      </c>
      <c r="L157" t="n">
        <v>0</v>
      </c>
      <c r="M157" t="n">
        <v>0</v>
      </c>
      <c r="N157" t="n">
        <v>0</v>
      </c>
      <c r="O157" t="n">
        <v>0</v>
      </c>
      <c r="P157" t="n">
        <v>0</v>
      </c>
      <c r="Q157" t="n">
        <v>0</v>
      </c>
      <c r="R157" s="2" t="inlineStr"/>
    </row>
    <row r="158" ht="15" customHeight="1">
      <c r="A158" t="inlineStr">
        <is>
          <t>A 16739-2023</t>
        </is>
      </c>
      <c r="B158" s="1" t="n">
        <v>45030.72627314815</v>
      </c>
      <c r="C158" s="1" t="n">
        <v>46065</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46834-2022</t>
        </is>
      </c>
      <c r="B159" s="1" t="n">
        <v>44851</v>
      </c>
      <c r="C159" s="1" t="n">
        <v>46065</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19978-2025</t>
        </is>
      </c>
      <c r="B160" s="1" t="n">
        <v>45771.7062037037</v>
      </c>
      <c r="C160" s="1" t="n">
        <v>46065</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2771-2023</t>
        </is>
      </c>
      <c r="B161" s="1" t="n">
        <v>44944.64704861111</v>
      </c>
      <c r="C161" s="1" t="n">
        <v>46065</v>
      </c>
      <c r="D161" t="inlineStr">
        <is>
          <t>ÖREBRO LÄN</t>
        </is>
      </c>
      <c r="E161" t="inlineStr">
        <is>
          <t>ÖREBRO</t>
        </is>
      </c>
      <c r="G161" t="n">
        <v>15.4</v>
      </c>
      <c r="H161" t="n">
        <v>0</v>
      </c>
      <c r="I161" t="n">
        <v>0</v>
      </c>
      <c r="J161" t="n">
        <v>0</v>
      </c>
      <c r="K161" t="n">
        <v>0</v>
      </c>
      <c r="L161" t="n">
        <v>0</v>
      </c>
      <c r="M161" t="n">
        <v>0</v>
      </c>
      <c r="N161" t="n">
        <v>0</v>
      </c>
      <c r="O161" t="n">
        <v>0</v>
      </c>
      <c r="P161" t="n">
        <v>0</v>
      </c>
      <c r="Q161" t="n">
        <v>0</v>
      </c>
      <c r="R161" s="2" t="inlineStr"/>
    </row>
    <row r="162" ht="15" customHeight="1">
      <c r="A162" t="inlineStr">
        <is>
          <t>A 57638-2022</t>
        </is>
      </c>
      <c r="B162" s="1" t="n">
        <v>44897</v>
      </c>
      <c r="C162" s="1" t="n">
        <v>46065</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2152-2023</t>
        </is>
      </c>
      <c r="B163" s="1" t="n">
        <v>44941.55056712963</v>
      </c>
      <c r="C163" s="1" t="n">
        <v>46065</v>
      </c>
      <c r="D163" t="inlineStr">
        <is>
          <t>ÖREBRO LÄN</t>
        </is>
      </c>
      <c r="E163" t="inlineStr">
        <is>
          <t>ÖREBRO</t>
        </is>
      </c>
      <c r="G163" t="n">
        <v>8</v>
      </c>
      <c r="H163" t="n">
        <v>0</v>
      </c>
      <c r="I163" t="n">
        <v>0</v>
      </c>
      <c r="J163" t="n">
        <v>0</v>
      </c>
      <c r="K163" t="n">
        <v>0</v>
      </c>
      <c r="L163" t="n">
        <v>0</v>
      </c>
      <c r="M163" t="n">
        <v>0</v>
      </c>
      <c r="N163" t="n">
        <v>0</v>
      </c>
      <c r="O163" t="n">
        <v>0</v>
      </c>
      <c r="P163" t="n">
        <v>0</v>
      </c>
      <c r="Q163" t="n">
        <v>0</v>
      </c>
      <c r="R163" s="2" t="inlineStr"/>
    </row>
    <row r="164" ht="15" customHeight="1">
      <c r="A164" t="inlineStr">
        <is>
          <t>A 12017-2024</t>
        </is>
      </c>
      <c r="B164" s="1" t="n">
        <v>45377</v>
      </c>
      <c r="C164" s="1" t="n">
        <v>46065</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19831-2021</t>
        </is>
      </c>
      <c r="B165" s="1" t="n">
        <v>44313</v>
      </c>
      <c r="C165" s="1" t="n">
        <v>46065</v>
      </c>
      <c r="D165" t="inlineStr">
        <is>
          <t>ÖREBRO LÄN</t>
        </is>
      </c>
      <c r="E165" t="inlineStr">
        <is>
          <t>ÖREBRO</t>
        </is>
      </c>
      <c r="G165" t="n">
        <v>3.2</v>
      </c>
      <c r="H165" t="n">
        <v>0</v>
      </c>
      <c r="I165" t="n">
        <v>0</v>
      </c>
      <c r="J165" t="n">
        <v>0</v>
      </c>
      <c r="K165" t="n">
        <v>0</v>
      </c>
      <c r="L165" t="n">
        <v>0</v>
      </c>
      <c r="M165" t="n">
        <v>0</v>
      </c>
      <c r="N165" t="n">
        <v>0</v>
      </c>
      <c r="O165" t="n">
        <v>0</v>
      </c>
      <c r="P165" t="n">
        <v>0</v>
      </c>
      <c r="Q165" t="n">
        <v>0</v>
      </c>
      <c r="R165" s="2" t="inlineStr"/>
    </row>
    <row r="166" ht="15" customHeight="1">
      <c r="A166" t="inlineStr">
        <is>
          <t>A 56077-2022</t>
        </is>
      </c>
      <c r="B166" s="1" t="n">
        <v>44889.60872685185</v>
      </c>
      <c r="C166" s="1" t="n">
        <v>46065</v>
      </c>
      <c r="D166" t="inlineStr">
        <is>
          <t>ÖREBRO LÄN</t>
        </is>
      </c>
      <c r="E166" t="inlineStr">
        <is>
          <t>ÖREBRO</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55745-2023</t>
        </is>
      </c>
      <c r="B167" s="1" t="n">
        <v>45239.44811342593</v>
      </c>
      <c r="C167" s="1" t="n">
        <v>46065</v>
      </c>
      <c r="D167" t="inlineStr">
        <is>
          <t>ÖREBRO LÄN</t>
        </is>
      </c>
      <c r="E167" t="inlineStr">
        <is>
          <t>ÖREBRO</t>
        </is>
      </c>
      <c r="G167" t="n">
        <v>13.3</v>
      </c>
      <c r="H167" t="n">
        <v>0</v>
      </c>
      <c r="I167" t="n">
        <v>0</v>
      </c>
      <c r="J167" t="n">
        <v>0</v>
      </c>
      <c r="K167" t="n">
        <v>0</v>
      </c>
      <c r="L167" t="n">
        <v>0</v>
      </c>
      <c r="M167" t="n">
        <v>0</v>
      </c>
      <c r="N167" t="n">
        <v>0</v>
      </c>
      <c r="O167" t="n">
        <v>0</v>
      </c>
      <c r="P167" t="n">
        <v>0</v>
      </c>
      <c r="Q167" t="n">
        <v>0</v>
      </c>
      <c r="R167" s="2" t="inlineStr"/>
    </row>
    <row r="168" ht="15" customHeight="1">
      <c r="A168" t="inlineStr">
        <is>
          <t>A 5357-2024</t>
        </is>
      </c>
      <c r="B168" s="1" t="n">
        <v>45331</v>
      </c>
      <c r="C168" s="1" t="n">
        <v>46065</v>
      </c>
      <c r="D168" t="inlineStr">
        <is>
          <t>ÖREBRO LÄN</t>
        </is>
      </c>
      <c r="E168" t="inlineStr">
        <is>
          <t>ÖREBRO</t>
        </is>
      </c>
      <c r="G168" t="n">
        <v>0.7</v>
      </c>
      <c r="H168" t="n">
        <v>0</v>
      </c>
      <c r="I168" t="n">
        <v>0</v>
      </c>
      <c r="J168" t="n">
        <v>0</v>
      </c>
      <c r="K168" t="n">
        <v>0</v>
      </c>
      <c r="L168" t="n">
        <v>0</v>
      </c>
      <c r="M168" t="n">
        <v>0</v>
      </c>
      <c r="N168" t="n">
        <v>0</v>
      </c>
      <c r="O168" t="n">
        <v>0</v>
      </c>
      <c r="P168" t="n">
        <v>0</v>
      </c>
      <c r="Q168" t="n">
        <v>0</v>
      </c>
      <c r="R168" s="2" t="inlineStr"/>
    </row>
    <row r="169" ht="15" customHeight="1">
      <c r="A169" t="inlineStr">
        <is>
          <t>A 9609-2023</t>
        </is>
      </c>
      <c r="B169" s="1" t="n">
        <v>44983.93344907407</v>
      </c>
      <c r="C169" s="1" t="n">
        <v>46065</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15354-2024</t>
        </is>
      </c>
      <c r="B170" s="1" t="n">
        <v>45400.85319444445</v>
      </c>
      <c r="C170" s="1" t="n">
        <v>46065</v>
      </c>
      <c r="D170" t="inlineStr">
        <is>
          <t>ÖREBRO LÄN</t>
        </is>
      </c>
      <c r="E170" t="inlineStr">
        <is>
          <t>ÖREBRO</t>
        </is>
      </c>
      <c r="G170" t="n">
        <v>0.7</v>
      </c>
      <c r="H170" t="n">
        <v>0</v>
      </c>
      <c r="I170" t="n">
        <v>0</v>
      </c>
      <c r="J170" t="n">
        <v>0</v>
      </c>
      <c r="K170" t="n">
        <v>0</v>
      </c>
      <c r="L170" t="n">
        <v>0</v>
      </c>
      <c r="M170" t="n">
        <v>0</v>
      </c>
      <c r="N170" t="n">
        <v>0</v>
      </c>
      <c r="O170" t="n">
        <v>0</v>
      </c>
      <c r="P170" t="n">
        <v>0</v>
      </c>
      <c r="Q170" t="n">
        <v>0</v>
      </c>
      <c r="R170" s="2" t="inlineStr"/>
    </row>
    <row r="171" ht="15" customHeight="1">
      <c r="A171" t="inlineStr">
        <is>
          <t>A 11067-2025</t>
        </is>
      </c>
      <c r="B171" s="1" t="n">
        <v>45723</v>
      </c>
      <c r="C171" s="1" t="n">
        <v>46065</v>
      </c>
      <c r="D171" t="inlineStr">
        <is>
          <t>ÖREBRO LÄN</t>
        </is>
      </c>
      <c r="E171" t="inlineStr">
        <is>
          <t>ÖREBRO</t>
        </is>
      </c>
      <c r="G171" t="n">
        <v>3.1</v>
      </c>
      <c r="H171" t="n">
        <v>0</v>
      </c>
      <c r="I171" t="n">
        <v>0</v>
      </c>
      <c r="J171" t="n">
        <v>0</v>
      </c>
      <c r="K171" t="n">
        <v>0</v>
      </c>
      <c r="L171" t="n">
        <v>0</v>
      </c>
      <c r="M171" t="n">
        <v>0</v>
      </c>
      <c r="N171" t="n">
        <v>0</v>
      </c>
      <c r="O171" t="n">
        <v>0</v>
      </c>
      <c r="P171" t="n">
        <v>0</v>
      </c>
      <c r="Q171" t="n">
        <v>0</v>
      </c>
      <c r="R171" s="2" t="inlineStr"/>
    </row>
    <row r="172" ht="15" customHeight="1">
      <c r="A172" t="inlineStr">
        <is>
          <t>A 9585-2025</t>
        </is>
      </c>
      <c r="B172" s="1" t="n">
        <v>45715.63409722222</v>
      </c>
      <c r="C172" s="1" t="n">
        <v>46065</v>
      </c>
      <c r="D172" t="inlineStr">
        <is>
          <t>ÖREBRO LÄN</t>
        </is>
      </c>
      <c r="E172" t="inlineStr">
        <is>
          <t>ÖREBRO</t>
        </is>
      </c>
      <c r="G172" t="n">
        <v>3.4</v>
      </c>
      <c r="H172" t="n">
        <v>0</v>
      </c>
      <c r="I172" t="n">
        <v>0</v>
      </c>
      <c r="J172" t="n">
        <v>0</v>
      </c>
      <c r="K172" t="n">
        <v>0</v>
      </c>
      <c r="L172" t="n">
        <v>0</v>
      </c>
      <c r="M172" t="n">
        <v>0</v>
      </c>
      <c r="N172" t="n">
        <v>0</v>
      </c>
      <c r="O172" t="n">
        <v>0</v>
      </c>
      <c r="P172" t="n">
        <v>0</v>
      </c>
      <c r="Q172" t="n">
        <v>0</v>
      </c>
      <c r="R172" s="2" t="inlineStr"/>
    </row>
    <row r="173" ht="15" customHeight="1">
      <c r="A173" t="inlineStr">
        <is>
          <t>A 71285-2021</t>
        </is>
      </c>
      <c r="B173" s="1" t="n">
        <v>44539.62236111111</v>
      </c>
      <c r="C173" s="1" t="n">
        <v>46065</v>
      </c>
      <c r="D173" t="inlineStr">
        <is>
          <t>ÖREBRO LÄN</t>
        </is>
      </c>
      <c r="E173" t="inlineStr">
        <is>
          <t>ÖREBRO</t>
        </is>
      </c>
      <c r="G173" t="n">
        <v>0.8</v>
      </c>
      <c r="H173" t="n">
        <v>0</v>
      </c>
      <c r="I173" t="n">
        <v>0</v>
      </c>
      <c r="J173" t="n">
        <v>0</v>
      </c>
      <c r="K173" t="n">
        <v>0</v>
      </c>
      <c r="L173" t="n">
        <v>0</v>
      </c>
      <c r="M173" t="n">
        <v>0</v>
      </c>
      <c r="N173" t="n">
        <v>0</v>
      </c>
      <c r="O173" t="n">
        <v>0</v>
      </c>
      <c r="P173" t="n">
        <v>0</v>
      </c>
      <c r="Q173" t="n">
        <v>0</v>
      </c>
      <c r="R173" s="2" t="inlineStr"/>
    </row>
    <row r="174" ht="15" customHeight="1">
      <c r="A174" t="inlineStr">
        <is>
          <t>A 70707-2021</t>
        </is>
      </c>
      <c r="B174" s="1" t="n">
        <v>44537</v>
      </c>
      <c r="C174" s="1" t="n">
        <v>46065</v>
      </c>
      <c r="D174" t="inlineStr">
        <is>
          <t>ÖREBRO LÄN</t>
        </is>
      </c>
      <c r="E174" t="inlineStr">
        <is>
          <t>ÖREBRO</t>
        </is>
      </c>
      <c r="G174" t="n">
        <v>13.2</v>
      </c>
      <c r="H174" t="n">
        <v>0</v>
      </c>
      <c r="I174" t="n">
        <v>0</v>
      </c>
      <c r="J174" t="n">
        <v>0</v>
      </c>
      <c r="K174" t="n">
        <v>0</v>
      </c>
      <c r="L174" t="n">
        <v>0</v>
      </c>
      <c r="M174" t="n">
        <v>0</v>
      </c>
      <c r="N174" t="n">
        <v>0</v>
      </c>
      <c r="O174" t="n">
        <v>0</v>
      </c>
      <c r="P174" t="n">
        <v>0</v>
      </c>
      <c r="Q174" t="n">
        <v>0</v>
      </c>
      <c r="R174" s="2" t="inlineStr"/>
    </row>
    <row r="175" ht="15" customHeight="1">
      <c r="A175" t="inlineStr">
        <is>
          <t>A 6879-2024</t>
        </is>
      </c>
      <c r="B175" s="1" t="n">
        <v>45342.85280092592</v>
      </c>
      <c r="C175" s="1" t="n">
        <v>46065</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681-2024</t>
        </is>
      </c>
      <c r="B176" s="1" t="n">
        <v>45300</v>
      </c>
      <c r="C176" s="1" t="n">
        <v>46065</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57243-2022</t>
        </is>
      </c>
      <c r="B177" s="1" t="n">
        <v>44895.71835648148</v>
      </c>
      <c r="C177" s="1" t="n">
        <v>46065</v>
      </c>
      <c r="D177" t="inlineStr">
        <is>
          <t>ÖREBRO LÄN</t>
        </is>
      </c>
      <c r="E177" t="inlineStr">
        <is>
          <t>ÖREBRO</t>
        </is>
      </c>
      <c r="G177" t="n">
        <v>6</v>
      </c>
      <c r="H177" t="n">
        <v>0</v>
      </c>
      <c r="I177" t="n">
        <v>0</v>
      </c>
      <c r="J177" t="n">
        <v>0</v>
      </c>
      <c r="K177" t="n">
        <v>0</v>
      </c>
      <c r="L177" t="n">
        <v>0</v>
      </c>
      <c r="M177" t="n">
        <v>0</v>
      </c>
      <c r="N177" t="n">
        <v>0</v>
      </c>
      <c r="O177" t="n">
        <v>0</v>
      </c>
      <c r="P177" t="n">
        <v>0</v>
      </c>
      <c r="Q177" t="n">
        <v>0</v>
      </c>
      <c r="R177" s="2" t="inlineStr"/>
    </row>
    <row r="178" ht="15" customHeight="1">
      <c r="A178" t="inlineStr">
        <is>
          <t>A 58621-2024</t>
        </is>
      </c>
      <c r="B178" s="1" t="n">
        <v>45635.56321759259</v>
      </c>
      <c r="C178" s="1" t="n">
        <v>46065</v>
      </c>
      <c r="D178" t="inlineStr">
        <is>
          <t>ÖREBRO LÄN</t>
        </is>
      </c>
      <c r="E178" t="inlineStr">
        <is>
          <t>ÖREBRO</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58216-2024</t>
        </is>
      </c>
      <c r="B179" s="1" t="n">
        <v>45632</v>
      </c>
      <c r="C179" s="1" t="n">
        <v>46065</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13169-2024</t>
        </is>
      </c>
      <c r="B180" s="1" t="n">
        <v>45386.40489583334</v>
      </c>
      <c r="C180" s="1" t="n">
        <v>46065</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5125-2024</t>
        </is>
      </c>
      <c r="B181" s="1" t="n">
        <v>45330</v>
      </c>
      <c r="C181" s="1" t="n">
        <v>46065</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60289-2023</t>
        </is>
      </c>
      <c r="B182" s="1" t="n">
        <v>45257</v>
      </c>
      <c r="C182" s="1" t="n">
        <v>46065</v>
      </c>
      <c r="D182" t="inlineStr">
        <is>
          <t>ÖREBRO LÄN</t>
        </is>
      </c>
      <c r="E182" t="inlineStr">
        <is>
          <t>ÖREBRO</t>
        </is>
      </c>
      <c r="G182" t="n">
        <v>10.9</v>
      </c>
      <c r="H182" t="n">
        <v>0</v>
      </c>
      <c r="I182" t="n">
        <v>0</v>
      </c>
      <c r="J182" t="n">
        <v>0</v>
      </c>
      <c r="K182" t="n">
        <v>0</v>
      </c>
      <c r="L182" t="n">
        <v>0</v>
      </c>
      <c r="M182" t="n">
        <v>0</v>
      </c>
      <c r="N182" t="n">
        <v>0</v>
      </c>
      <c r="O182" t="n">
        <v>0</v>
      </c>
      <c r="P182" t="n">
        <v>0</v>
      </c>
      <c r="Q182" t="n">
        <v>0</v>
      </c>
      <c r="R182" s="2" t="inlineStr"/>
    </row>
    <row r="183" ht="15" customHeight="1">
      <c r="A183" t="inlineStr">
        <is>
          <t>A 14234-2024</t>
        </is>
      </c>
      <c r="B183" s="1" t="n">
        <v>45393.46980324074</v>
      </c>
      <c r="C183" s="1" t="n">
        <v>46065</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12099-2023</t>
        </is>
      </c>
      <c r="B184" s="1" t="n">
        <v>44998.37043981482</v>
      </c>
      <c r="C184" s="1" t="n">
        <v>46065</v>
      </c>
      <c r="D184" t="inlineStr">
        <is>
          <t>ÖREBRO LÄN</t>
        </is>
      </c>
      <c r="E184" t="inlineStr">
        <is>
          <t>ÖREBRO</t>
        </is>
      </c>
      <c r="G184" t="n">
        <v>0.9</v>
      </c>
      <c r="H184" t="n">
        <v>0</v>
      </c>
      <c r="I184" t="n">
        <v>0</v>
      </c>
      <c r="J184" t="n">
        <v>0</v>
      </c>
      <c r="K184" t="n">
        <v>0</v>
      </c>
      <c r="L184" t="n">
        <v>0</v>
      </c>
      <c r="M184" t="n">
        <v>0</v>
      </c>
      <c r="N184" t="n">
        <v>0</v>
      </c>
      <c r="O184" t="n">
        <v>0</v>
      </c>
      <c r="P184" t="n">
        <v>0</v>
      </c>
      <c r="Q184" t="n">
        <v>0</v>
      </c>
      <c r="R184" s="2" t="inlineStr"/>
    </row>
    <row r="185" ht="15" customHeight="1">
      <c r="A185" t="inlineStr">
        <is>
          <t>A 52256-2023</t>
        </is>
      </c>
      <c r="B185" s="1" t="n">
        <v>45224.51471064815</v>
      </c>
      <c r="C185" s="1" t="n">
        <v>46065</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37012-2024</t>
        </is>
      </c>
      <c r="B186" s="1" t="n">
        <v>45539</v>
      </c>
      <c r="C186" s="1" t="n">
        <v>46065</v>
      </c>
      <c r="D186" t="inlineStr">
        <is>
          <t>ÖREBRO LÄN</t>
        </is>
      </c>
      <c r="E186" t="inlineStr">
        <is>
          <t>ÖREBRO</t>
        </is>
      </c>
      <c r="G186" t="n">
        <v>4.1</v>
      </c>
      <c r="H186" t="n">
        <v>0</v>
      </c>
      <c r="I186" t="n">
        <v>0</v>
      </c>
      <c r="J186" t="n">
        <v>0</v>
      </c>
      <c r="K186" t="n">
        <v>0</v>
      </c>
      <c r="L186" t="n">
        <v>0</v>
      </c>
      <c r="M186" t="n">
        <v>0</v>
      </c>
      <c r="N186" t="n">
        <v>0</v>
      </c>
      <c r="O186" t="n">
        <v>0</v>
      </c>
      <c r="P186" t="n">
        <v>0</v>
      </c>
      <c r="Q186" t="n">
        <v>0</v>
      </c>
      <c r="R186" s="2" t="inlineStr"/>
    </row>
    <row r="187" ht="15" customHeight="1">
      <c r="A187" t="inlineStr">
        <is>
          <t>A 37020-2024</t>
        </is>
      </c>
      <c r="B187" s="1" t="n">
        <v>45539.38059027777</v>
      </c>
      <c r="C187" s="1" t="n">
        <v>46065</v>
      </c>
      <c r="D187" t="inlineStr">
        <is>
          <t>ÖREBRO LÄN</t>
        </is>
      </c>
      <c r="E187" t="inlineStr">
        <is>
          <t>ÖREBRO</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55353-2024</t>
        </is>
      </c>
      <c r="B188" s="1" t="n">
        <v>45621.79526620371</v>
      </c>
      <c r="C188" s="1" t="n">
        <v>46065</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58277-2022</t>
        </is>
      </c>
      <c r="B189" s="1" t="n">
        <v>44901.48108796297</v>
      </c>
      <c r="C189" s="1" t="n">
        <v>46065</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31906-2023</t>
        </is>
      </c>
      <c r="B190" s="1" t="n">
        <v>45118.8353125</v>
      </c>
      <c r="C190" s="1" t="n">
        <v>46065</v>
      </c>
      <c r="D190" t="inlineStr">
        <is>
          <t>ÖREBRO LÄN</t>
        </is>
      </c>
      <c r="E190" t="inlineStr">
        <is>
          <t>ÖREBRO</t>
        </is>
      </c>
      <c r="G190" t="n">
        <v>9</v>
      </c>
      <c r="H190" t="n">
        <v>0</v>
      </c>
      <c r="I190" t="n">
        <v>0</v>
      </c>
      <c r="J190" t="n">
        <v>0</v>
      </c>
      <c r="K190" t="n">
        <v>0</v>
      </c>
      <c r="L190" t="n">
        <v>0</v>
      </c>
      <c r="M190" t="n">
        <v>0</v>
      </c>
      <c r="N190" t="n">
        <v>0</v>
      </c>
      <c r="O190" t="n">
        <v>0</v>
      </c>
      <c r="P190" t="n">
        <v>0</v>
      </c>
      <c r="Q190" t="n">
        <v>0</v>
      </c>
      <c r="R190" s="2" t="inlineStr"/>
    </row>
    <row r="191" ht="15" customHeight="1">
      <c r="A191" t="inlineStr">
        <is>
          <t>A 541-2025</t>
        </is>
      </c>
      <c r="B191" s="1" t="n">
        <v>45664.52034722222</v>
      </c>
      <c r="C191" s="1" t="n">
        <v>46065</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55593-2022</t>
        </is>
      </c>
      <c r="B192" s="1" t="n">
        <v>44888</v>
      </c>
      <c r="C192" s="1" t="n">
        <v>46065</v>
      </c>
      <c r="D192" t="inlineStr">
        <is>
          <t>ÖREBRO LÄN</t>
        </is>
      </c>
      <c r="E192" t="inlineStr">
        <is>
          <t>ÖREBRO</t>
        </is>
      </c>
      <c r="G192" t="n">
        <v>3.6</v>
      </c>
      <c r="H192" t="n">
        <v>0</v>
      </c>
      <c r="I192" t="n">
        <v>0</v>
      </c>
      <c r="J192" t="n">
        <v>0</v>
      </c>
      <c r="K192" t="n">
        <v>0</v>
      </c>
      <c r="L192" t="n">
        <v>0</v>
      </c>
      <c r="M192" t="n">
        <v>0</v>
      </c>
      <c r="N192" t="n">
        <v>0</v>
      </c>
      <c r="O192" t="n">
        <v>0</v>
      </c>
      <c r="P192" t="n">
        <v>0</v>
      </c>
      <c r="Q192" t="n">
        <v>0</v>
      </c>
      <c r="R192" s="2" t="inlineStr"/>
    </row>
    <row r="193" ht="15" customHeight="1">
      <c r="A193" t="inlineStr">
        <is>
          <t>A 19553-2023</t>
        </is>
      </c>
      <c r="B193" s="1" t="n">
        <v>45050</v>
      </c>
      <c r="C193" s="1" t="n">
        <v>46065</v>
      </c>
      <c r="D193" t="inlineStr">
        <is>
          <t>ÖREBRO LÄN</t>
        </is>
      </c>
      <c r="E193" t="inlineStr">
        <is>
          <t>ÖREBRO</t>
        </is>
      </c>
      <c r="G193" t="n">
        <v>2.1</v>
      </c>
      <c r="H193" t="n">
        <v>0</v>
      </c>
      <c r="I193" t="n">
        <v>0</v>
      </c>
      <c r="J193" t="n">
        <v>0</v>
      </c>
      <c r="K193" t="n">
        <v>0</v>
      </c>
      <c r="L193" t="n">
        <v>0</v>
      </c>
      <c r="M193" t="n">
        <v>0</v>
      </c>
      <c r="N193" t="n">
        <v>0</v>
      </c>
      <c r="O193" t="n">
        <v>0</v>
      </c>
      <c r="P193" t="n">
        <v>0</v>
      </c>
      <c r="Q193" t="n">
        <v>0</v>
      </c>
      <c r="R193" s="2" t="inlineStr"/>
    </row>
    <row r="194" ht="15" customHeight="1">
      <c r="A194" t="inlineStr">
        <is>
          <t>A 37025-2024</t>
        </is>
      </c>
      <c r="B194" s="1" t="n">
        <v>45539.3840162037</v>
      </c>
      <c r="C194" s="1" t="n">
        <v>46065</v>
      </c>
      <c r="D194" t="inlineStr">
        <is>
          <t>ÖREBRO LÄN</t>
        </is>
      </c>
      <c r="E194" t="inlineStr">
        <is>
          <t>ÖREBRO</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37027-2024</t>
        </is>
      </c>
      <c r="B195" s="1" t="n">
        <v>45539.38487268519</v>
      </c>
      <c r="C195" s="1" t="n">
        <v>46065</v>
      </c>
      <c r="D195" t="inlineStr">
        <is>
          <t>ÖREBRO LÄN</t>
        </is>
      </c>
      <c r="E195" t="inlineStr">
        <is>
          <t>ÖREBRO</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50446-2023</t>
        </is>
      </c>
      <c r="B196" s="1" t="n">
        <v>45216</v>
      </c>
      <c r="C196" s="1" t="n">
        <v>46065</v>
      </c>
      <c r="D196" t="inlineStr">
        <is>
          <t>ÖREBRO LÄN</t>
        </is>
      </c>
      <c r="E196" t="inlineStr">
        <is>
          <t>ÖREBRO</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50450-2023</t>
        </is>
      </c>
      <c r="B197" s="1" t="n">
        <v>45216.73533564815</v>
      </c>
      <c r="C197" s="1" t="n">
        <v>46065</v>
      </c>
      <c r="D197" t="inlineStr">
        <is>
          <t>ÖREBRO LÄN</t>
        </is>
      </c>
      <c r="E197" t="inlineStr">
        <is>
          <t>ÖREBRO</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10937-2024</t>
        </is>
      </c>
      <c r="B198" s="1" t="n">
        <v>45370.44461805555</v>
      </c>
      <c r="C198" s="1" t="n">
        <v>46065</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22079-2023</t>
        </is>
      </c>
      <c r="B199" s="1" t="n">
        <v>45069</v>
      </c>
      <c r="C199" s="1" t="n">
        <v>46065</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23594-2023</t>
        </is>
      </c>
      <c r="B200" s="1" t="n">
        <v>45077</v>
      </c>
      <c r="C200" s="1" t="n">
        <v>46065</v>
      </c>
      <c r="D200" t="inlineStr">
        <is>
          <t>ÖREBRO LÄN</t>
        </is>
      </c>
      <c r="E200" t="inlineStr">
        <is>
          <t>ÖREBRO</t>
        </is>
      </c>
      <c r="G200" t="n">
        <v>9.9</v>
      </c>
      <c r="H200" t="n">
        <v>0</v>
      </c>
      <c r="I200" t="n">
        <v>0</v>
      </c>
      <c r="J200" t="n">
        <v>0</v>
      </c>
      <c r="K200" t="n">
        <v>0</v>
      </c>
      <c r="L200" t="n">
        <v>0</v>
      </c>
      <c r="M200" t="n">
        <v>0</v>
      </c>
      <c r="N200" t="n">
        <v>0</v>
      </c>
      <c r="O200" t="n">
        <v>0</v>
      </c>
      <c r="P200" t="n">
        <v>0</v>
      </c>
      <c r="Q200" t="n">
        <v>0</v>
      </c>
      <c r="R200" s="2" t="inlineStr"/>
    </row>
    <row r="201" ht="15" customHeight="1">
      <c r="A201" t="inlineStr">
        <is>
          <t>A 43612-2022</t>
        </is>
      </c>
      <c r="B201" s="1" t="n">
        <v>44837</v>
      </c>
      <c r="C201" s="1" t="n">
        <v>46065</v>
      </c>
      <c r="D201" t="inlineStr">
        <is>
          <t>ÖREBRO LÄN</t>
        </is>
      </c>
      <c r="E201" t="inlineStr">
        <is>
          <t>ÖREBRO</t>
        </is>
      </c>
      <c r="G201" t="n">
        <v>0.6</v>
      </c>
      <c r="H201" t="n">
        <v>0</v>
      </c>
      <c r="I201" t="n">
        <v>0</v>
      </c>
      <c r="J201" t="n">
        <v>0</v>
      </c>
      <c r="K201" t="n">
        <v>0</v>
      </c>
      <c r="L201" t="n">
        <v>0</v>
      </c>
      <c r="M201" t="n">
        <v>0</v>
      </c>
      <c r="N201" t="n">
        <v>0</v>
      </c>
      <c r="O201" t="n">
        <v>0</v>
      </c>
      <c r="P201" t="n">
        <v>0</v>
      </c>
      <c r="Q201" t="n">
        <v>0</v>
      </c>
      <c r="R201" s="2" t="inlineStr"/>
    </row>
    <row r="202" ht="15" customHeight="1">
      <c r="A202" t="inlineStr">
        <is>
          <t>A 52447-2024</t>
        </is>
      </c>
      <c r="B202" s="1" t="n">
        <v>45609.49157407408</v>
      </c>
      <c r="C202" s="1" t="n">
        <v>46065</v>
      </c>
      <c r="D202" t="inlineStr">
        <is>
          <t>ÖREBRO LÄN</t>
        </is>
      </c>
      <c r="E202" t="inlineStr">
        <is>
          <t>ÖREBRO</t>
        </is>
      </c>
      <c r="G202" t="n">
        <v>1.4</v>
      </c>
      <c r="H202" t="n">
        <v>0</v>
      </c>
      <c r="I202" t="n">
        <v>0</v>
      </c>
      <c r="J202" t="n">
        <v>0</v>
      </c>
      <c r="K202" t="n">
        <v>0</v>
      </c>
      <c r="L202" t="n">
        <v>0</v>
      </c>
      <c r="M202" t="n">
        <v>0</v>
      </c>
      <c r="N202" t="n">
        <v>0</v>
      </c>
      <c r="O202" t="n">
        <v>0</v>
      </c>
      <c r="P202" t="n">
        <v>0</v>
      </c>
      <c r="Q202" t="n">
        <v>0</v>
      </c>
      <c r="R202" s="2" t="inlineStr"/>
    </row>
    <row r="203" ht="15" customHeight="1">
      <c r="A203" t="inlineStr">
        <is>
          <t>A 8022-2022</t>
        </is>
      </c>
      <c r="B203" s="1" t="n">
        <v>44609</v>
      </c>
      <c r="C203" s="1" t="n">
        <v>46065</v>
      </c>
      <c r="D203" t="inlineStr">
        <is>
          <t>ÖREBRO LÄN</t>
        </is>
      </c>
      <c r="E203" t="inlineStr">
        <is>
          <t>ÖREBRO</t>
        </is>
      </c>
      <c r="G203" t="n">
        <v>5.6</v>
      </c>
      <c r="H203" t="n">
        <v>0</v>
      </c>
      <c r="I203" t="n">
        <v>0</v>
      </c>
      <c r="J203" t="n">
        <v>0</v>
      </c>
      <c r="K203" t="n">
        <v>0</v>
      </c>
      <c r="L203" t="n">
        <v>0</v>
      </c>
      <c r="M203" t="n">
        <v>0</v>
      </c>
      <c r="N203" t="n">
        <v>0</v>
      </c>
      <c r="O203" t="n">
        <v>0</v>
      </c>
      <c r="P203" t="n">
        <v>0</v>
      </c>
      <c r="Q203" t="n">
        <v>0</v>
      </c>
      <c r="R203" s="2" t="inlineStr"/>
    </row>
    <row r="204" ht="15" customHeight="1">
      <c r="A204" t="inlineStr">
        <is>
          <t>A 47193-2023</t>
        </is>
      </c>
      <c r="B204" s="1" t="n">
        <v>45202.3074537037</v>
      </c>
      <c r="C204" s="1" t="n">
        <v>46065</v>
      </c>
      <c r="D204" t="inlineStr">
        <is>
          <t>ÖREBRO LÄN</t>
        </is>
      </c>
      <c r="E204" t="inlineStr">
        <is>
          <t>ÖREBRO</t>
        </is>
      </c>
      <c r="G204" t="n">
        <v>2.4</v>
      </c>
      <c r="H204" t="n">
        <v>0</v>
      </c>
      <c r="I204" t="n">
        <v>0</v>
      </c>
      <c r="J204" t="n">
        <v>0</v>
      </c>
      <c r="K204" t="n">
        <v>0</v>
      </c>
      <c r="L204" t="n">
        <v>0</v>
      </c>
      <c r="M204" t="n">
        <v>0</v>
      </c>
      <c r="N204" t="n">
        <v>0</v>
      </c>
      <c r="O204" t="n">
        <v>0</v>
      </c>
      <c r="P204" t="n">
        <v>0</v>
      </c>
      <c r="Q204" t="n">
        <v>0</v>
      </c>
      <c r="R204" s="2" t="inlineStr"/>
    </row>
    <row r="205" ht="15" customHeight="1">
      <c r="A205" t="inlineStr">
        <is>
          <t>A 3841-2023</t>
        </is>
      </c>
      <c r="B205" s="1" t="n">
        <v>44951</v>
      </c>
      <c r="C205" s="1" t="n">
        <v>46065</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58598-2022</t>
        </is>
      </c>
      <c r="B206" s="1" t="n">
        <v>44902</v>
      </c>
      <c r="C206" s="1" t="n">
        <v>46065</v>
      </c>
      <c r="D206" t="inlineStr">
        <is>
          <t>ÖREBRO LÄN</t>
        </is>
      </c>
      <c r="E206" t="inlineStr">
        <is>
          <t>ÖREBRO</t>
        </is>
      </c>
      <c r="G206" t="n">
        <v>0.4</v>
      </c>
      <c r="H206" t="n">
        <v>0</v>
      </c>
      <c r="I206" t="n">
        <v>0</v>
      </c>
      <c r="J206" t="n">
        <v>0</v>
      </c>
      <c r="K206" t="n">
        <v>0</v>
      </c>
      <c r="L206" t="n">
        <v>0</v>
      </c>
      <c r="M206" t="n">
        <v>0</v>
      </c>
      <c r="N206" t="n">
        <v>0</v>
      </c>
      <c r="O206" t="n">
        <v>0</v>
      </c>
      <c r="P206" t="n">
        <v>0</v>
      </c>
      <c r="Q206" t="n">
        <v>0</v>
      </c>
      <c r="R206" s="2" t="inlineStr"/>
    </row>
    <row r="207" ht="15" customHeight="1">
      <c r="A207" t="inlineStr">
        <is>
          <t>A 42138-2024</t>
        </is>
      </c>
      <c r="B207" s="1" t="n">
        <v>45562.41854166667</v>
      </c>
      <c r="C207" s="1" t="n">
        <v>46065</v>
      </c>
      <c r="D207" t="inlineStr">
        <is>
          <t>ÖREBRO LÄN</t>
        </is>
      </c>
      <c r="E207" t="inlineStr">
        <is>
          <t>ÖREBRO</t>
        </is>
      </c>
      <c r="G207" t="n">
        <v>1.4</v>
      </c>
      <c r="H207" t="n">
        <v>0</v>
      </c>
      <c r="I207" t="n">
        <v>0</v>
      </c>
      <c r="J207" t="n">
        <v>0</v>
      </c>
      <c r="K207" t="n">
        <v>0</v>
      </c>
      <c r="L207" t="n">
        <v>0</v>
      </c>
      <c r="M207" t="n">
        <v>0</v>
      </c>
      <c r="N207" t="n">
        <v>0</v>
      </c>
      <c r="O207" t="n">
        <v>0</v>
      </c>
      <c r="P207" t="n">
        <v>0</v>
      </c>
      <c r="Q207" t="n">
        <v>0</v>
      </c>
      <c r="R207" s="2" t="inlineStr"/>
    </row>
    <row r="208" ht="15" customHeight="1">
      <c r="A208" t="inlineStr">
        <is>
          <t>A 34874-2022</t>
        </is>
      </c>
      <c r="B208" s="1" t="n">
        <v>44796</v>
      </c>
      <c r="C208" s="1" t="n">
        <v>46065</v>
      </c>
      <c r="D208" t="inlineStr">
        <is>
          <t>ÖREBRO LÄN</t>
        </is>
      </c>
      <c r="E208" t="inlineStr">
        <is>
          <t>ÖREBRO</t>
        </is>
      </c>
      <c r="F208" t="inlineStr">
        <is>
          <t>Övriga Aktiebolag</t>
        </is>
      </c>
      <c r="G208" t="n">
        <v>2.3</v>
      </c>
      <c r="H208" t="n">
        <v>0</v>
      </c>
      <c r="I208" t="n">
        <v>0</v>
      </c>
      <c r="J208" t="n">
        <v>0</v>
      </c>
      <c r="K208" t="n">
        <v>0</v>
      </c>
      <c r="L208" t="n">
        <v>0</v>
      </c>
      <c r="M208" t="n">
        <v>0</v>
      </c>
      <c r="N208" t="n">
        <v>0</v>
      </c>
      <c r="O208" t="n">
        <v>0</v>
      </c>
      <c r="P208" t="n">
        <v>0</v>
      </c>
      <c r="Q208" t="n">
        <v>0</v>
      </c>
      <c r="R208" s="2" t="inlineStr"/>
    </row>
    <row r="209" ht="15" customHeight="1">
      <c r="A209" t="inlineStr">
        <is>
          <t>A 71206-2021</t>
        </is>
      </c>
      <c r="B209" s="1" t="n">
        <v>44539</v>
      </c>
      <c r="C209" s="1" t="n">
        <v>46065</v>
      </c>
      <c r="D209" t="inlineStr">
        <is>
          <t>ÖREBRO LÄN</t>
        </is>
      </c>
      <c r="E209" t="inlineStr">
        <is>
          <t>ÖREBRO</t>
        </is>
      </c>
      <c r="G209" t="n">
        <v>2.5</v>
      </c>
      <c r="H209" t="n">
        <v>0</v>
      </c>
      <c r="I209" t="n">
        <v>0</v>
      </c>
      <c r="J209" t="n">
        <v>0</v>
      </c>
      <c r="K209" t="n">
        <v>0</v>
      </c>
      <c r="L209" t="n">
        <v>0</v>
      </c>
      <c r="M209" t="n">
        <v>0</v>
      </c>
      <c r="N209" t="n">
        <v>0</v>
      </c>
      <c r="O209" t="n">
        <v>0</v>
      </c>
      <c r="P209" t="n">
        <v>0</v>
      </c>
      <c r="Q209" t="n">
        <v>0</v>
      </c>
      <c r="R209" s="2" t="inlineStr"/>
    </row>
    <row r="210" ht="15" customHeight="1">
      <c r="A210" t="inlineStr">
        <is>
          <t>A 61593-2023</t>
        </is>
      </c>
      <c r="B210" s="1" t="n">
        <v>45265</v>
      </c>
      <c r="C210" s="1" t="n">
        <v>46065</v>
      </c>
      <c r="D210" t="inlineStr">
        <is>
          <t>ÖREBRO LÄN</t>
        </is>
      </c>
      <c r="E210" t="inlineStr">
        <is>
          <t>ÖREBRO</t>
        </is>
      </c>
      <c r="G210" t="n">
        <v>2.5</v>
      </c>
      <c r="H210" t="n">
        <v>0</v>
      </c>
      <c r="I210" t="n">
        <v>0</v>
      </c>
      <c r="J210" t="n">
        <v>0</v>
      </c>
      <c r="K210" t="n">
        <v>0</v>
      </c>
      <c r="L210" t="n">
        <v>0</v>
      </c>
      <c r="M210" t="n">
        <v>0</v>
      </c>
      <c r="N210" t="n">
        <v>0</v>
      </c>
      <c r="O210" t="n">
        <v>0</v>
      </c>
      <c r="P210" t="n">
        <v>0</v>
      </c>
      <c r="Q210" t="n">
        <v>0</v>
      </c>
      <c r="R210" s="2" t="inlineStr"/>
    </row>
    <row r="211" ht="15" customHeight="1">
      <c r="A211" t="inlineStr">
        <is>
          <t>A 38489-2023</t>
        </is>
      </c>
      <c r="B211" s="1" t="n">
        <v>45162</v>
      </c>
      <c r="C211" s="1" t="n">
        <v>46065</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5026-2022</t>
        </is>
      </c>
      <c r="B212" s="1" t="n">
        <v>44593.63974537037</v>
      </c>
      <c r="C212" s="1" t="n">
        <v>46065</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16739-2022</t>
        </is>
      </c>
      <c r="B213" s="1" t="n">
        <v>44673</v>
      </c>
      <c r="C213" s="1" t="n">
        <v>46065</v>
      </c>
      <c r="D213" t="inlineStr">
        <is>
          <t>ÖREBRO LÄN</t>
        </is>
      </c>
      <c r="E213" t="inlineStr">
        <is>
          <t>ÖREBRO</t>
        </is>
      </c>
      <c r="G213" t="n">
        <v>4.7</v>
      </c>
      <c r="H213" t="n">
        <v>0</v>
      </c>
      <c r="I213" t="n">
        <v>0</v>
      </c>
      <c r="J213" t="n">
        <v>0</v>
      </c>
      <c r="K213" t="n">
        <v>0</v>
      </c>
      <c r="L213" t="n">
        <v>0</v>
      </c>
      <c r="M213" t="n">
        <v>0</v>
      </c>
      <c r="N213" t="n">
        <v>0</v>
      </c>
      <c r="O213" t="n">
        <v>0</v>
      </c>
      <c r="P213" t="n">
        <v>0</v>
      </c>
      <c r="Q213" t="n">
        <v>0</v>
      </c>
      <c r="R213" s="2" t="inlineStr"/>
    </row>
    <row r="214" ht="15" customHeight="1">
      <c r="A214" t="inlineStr">
        <is>
          <t>A 70719-2021</t>
        </is>
      </c>
      <c r="B214" s="1" t="n">
        <v>44537</v>
      </c>
      <c r="C214" s="1" t="n">
        <v>46065</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38573-2023</t>
        </is>
      </c>
      <c r="B215" s="1" t="n">
        <v>45162.61837962963</v>
      </c>
      <c r="C215" s="1" t="n">
        <v>46065</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4757-2024</t>
        </is>
      </c>
      <c r="B216" s="1" t="n">
        <v>45328</v>
      </c>
      <c r="C216" s="1" t="n">
        <v>46065</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38842-2022</t>
        </is>
      </c>
      <c r="B217" s="1" t="n">
        <v>44814</v>
      </c>
      <c r="C217" s="1" t="n">
        <v>46065</v>
      </c>
      <c r="D217" t="inlineStr">
        <is>
          <t>ÖREBRO LÄN</t>
        </is>
      </c>
      <c r="E217" t="inlineStr">
        <is>
          <t>ÖREBRO</t>
        </is>
      </c>
      <c r="G217" t="n">
        <v>5</v>
      </c>
      <c r="H217" t="n">
        <v>0</v>
      </c>
      <c r="I217" t="n">
        <v>0</v>
      </c>
      <c r="J217" t="n">
        <v>0</v>
      </c>
      <c r="K217" t="n">
        <v>0</v>
      </c>
      <c r="L217" t="n">
        <v>0</v>
      </c>
      <c r="M217" t="n">
        <v>0</v>
      </c>
      <c r="N217" t="n">
        <v>0</v>
      </c>
      <c r="O217" t="n">
        <v>0</v>
      </c>
      <c r="P217" t="n">
        <v>0</v>
      </c>
      <c r="Q217" t="n">
        <v>0</v>
      </c>
      <c r="R217" s="2" t="inlineStr"/>
    </row>
    <row r="218" ht="15" customHeight="1">
      <c r="A218" t="inlineStr">
        <is>
          <t>A 48140-2024</t>
        </is>
      </c>
      <c r="B218" s="1" t="n">
        <v>45589.66474537037</v>
      </c>
      <c r="C218" s="1" t="n">
        <v>46065</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2658-2023</t>
        </is>
      </c>
      <c r="B219" s="1" t="n">
        <v>44944</v>
      </c>
      <c r="C219" s="1" t="n">
        <v>46065</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9379-2024</t>
        </is>
      </c>
      <c r="B220" s="1" t="n">
        <v>45359.37298611111</v>
      </c>
      <c r="C220" s="1" t="n">
        <v>46065</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5398-2022</t>
        </is>
      </c>
      <c r="B221" s="1" t="n">
        <v>44595.3353587963</v>
      </c>
      <c r="C221" s="1" t="n">
        <v>46065</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11565-2023</t>
        </is>
      </c>
      <c r="B222" s="1" t="n">
        <v>44994</v>
      </c>
      <c r="C222" s="1" t="n">
        <v>46065</v>
      </c>
      <c r="D222" t="inlineStr">
        <is>
          <t>ÖREBRO LÄN</t>
        </is>
      </c>
      <c r="E222" t="inlineStr">
        <is>
          <t>ÖREBRO</t>
        </is>
      </c>
      <c r="G222" t="n">
        <v>4.7</v>
      </c>
      <c r="H222" t="n">
        <v>0</v>
      </c>
      <c r="I222" t="n">
        <v>0</v>
      </c>
      <c r="J222" t="n">
        <v>0</v>
      </c>
      <c r="K222" t="n">
        <v>0</v>
      </c>
      <c r="L222" t="n">
        <v>0</v>
      </c>
      <c r="M222" t="n">
        <v>0</v>
      </c>
      <c r="N222" t="n">
        <v>0</v>
      </c>
      <c r="O222" t="n">
        <v>0</v>
      </c>
      <c r="P222" t="n">
        <v>0</v>
      </c>
      <c r="Q222" t="n">
        <v>0</v>
      </c>
      <c r="R222" s="2" t="inlineStr"/>
    </row>
    <row r="223" ht="15" customHeight="1">
      <c r="A223" t="inlineStr">
        <is>
          <t>A 16736-2023</t>
        </is>
      </c>
      <c r="B223" s="1" t="n">
        <v>45030.72328703704</v>
      </c>
      <c r="C223" s="1" t="n">
        <v>46065</v>
      </c>
      <c r="D223" t="inlineStr">
        <is>
          <t>ÖREBRO LÄN</t>
        </is>
      </c>
      <c r="E223" t="inlineStr">
        <is>
          <t>ÖREBRO</t>
        </is>
      </c>
      <c r="G223" t="n">
        <v>4</v>
      </c>
      <c r="H223" t="n">
        <v>0</v>
      </c>
      <c r="I223" t="n">
        <v>0</v>
      </c>
      <c r="J223" t="n">
        <v>0</v>
      </c>
      <c r="K223" t="n">
        <v>0</v>
      </c>
      <c r="L223" t="n">
        <v>0</v>
      </c>
      <c r="M223" t="n">
        <v>0</v>
      </c>
      <c r="N223" t="n">
        <v>0</v>
      </c>
      <c r="O223" t="n">
        <v>0</v>
      </c>
      <c r="P223" t="n">
        <v>0</v>
      </c>
      <c r="Q223" t="n">
        <v>0</v>
      </c>
      <c r="R223" s="2" t="inlineStr"/>
    </row>
    <row r="224" ht="15" customHeight="1">
      <c r="A224" t="inlineStr">
        <is>
          <t>A 2630-2023</t>
        </is>
      </c>
      <c r="B224" s="1" t="n">
        <v>44944.39105324074</v>
      </c>
      <c r="C224" s="1" t="n">
        <v>46065</v>
      </c>
      <c r="D224" t="inlineStr">
        <is>
          <t>ÖREBRO LÄN</t>
        </is>
      </c>
      <c r="E224" t="inlineStr">
        <is>
          <t>ÖREBRO</t>
        </is>
      </c>
      <c r="G224" t="n">
        <v>6.1</v>
      </c>
      <c r="H224" t="n">
        <v>0</v>
      </c>
      <c r="I224" t="n">
        <v>0</v>
      </c>
      <c r="J224" t="n">
        <v>0</v>
      </c>
      <c r="K224" t="n">
        <v>0</v>
      </c>
      <c r="L224" t="n">
        <v>0</v>
      </c>
      <c r="M224" t="n">
        <v>0</v>
      </c>
      <c r="N224" t="n">
        <v>0</v>
      </c>
      <c r="O224" t="n">
        <v>0</v>
      </c>
      <c r="P224" t="n">
        <v>0</v>
      </c>
      <c r="Q224" t="n">
        <v>0</v>
      </c>
      <c r="R224" s="2" t="inlineStr"/>
    </row>
    <row r="225" ht="15" customHeight="1">
      <c r="A225" t="inlineStr">
        <is>
          <t>A 40597-2021</t>
        </is>
      </c>
      <c r="B225" s="1" t="n">
        <v>44420</v>
      </c>
      <c r="C225" s="1" t="n">
        <v>46065</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30015-2023</t>
        </is>
      </c>
      <c r="B226" s="1" t="n">
        <v>45109</v>
      </c>
      <c r="C226" s="1" t="n">
        <v>46065</v>
      </c>
      <c r="D226" t="inlineStr">
        <is>
          <t>ÖREBRO LÄN</t>
        </is>
      </c>
      <c r="E226" t="inlineStr">
        <is>
          <t>ÖREBRO</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37968-2024</t>
        </is>
      </c>
      <c r="B227" s="1" t="n">
        <v>45544</v>
      </c>
      <c r="C227" s="1" t="n">
        <v>46065</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8575-2021</t>
        </is>
      </c>
      <c r="B228" s="1" t="n">
        <v>44245</v>
      </c>
      <c r="C228" s="1" t="n">
        <v>46065</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26338-2021</t>
        </is>
      </c>
      <c r="B229" s="1" t="n">
        <v>44347</v>
      </c>
      <c r="C229" s="1" t="n">
        <v>46065</v>
      </c>
      <c r="D229" t="inlineStr">
        <is>
          <t>ÖREBRO LÄN</t>
        </is>
      </c>
      <c r="E229" t="inlineStr">
        <is>
          <t>ÖREBRO</t>
        </is>
      </c>
      <c r="G229" t="n">
        <v>0.5</v>
      </c>
      <c r="H229" t="n">
        <v>0</v>
      </c>
      <c r="I229" t="n">
        <v>0</v>
      </c>
      <c r="J229" t="n">
        <v>0</v>
      </c>
      <c r="K229" t="n">
        <v>0</v>
      </c>
      <c r="L229" t="n">
        <v>0</v>
      </c>
      <c r="M229" t="n">
        <v>0</v>
      </c>
      <c r="N229" t="n">
        <v>0</v>
      </c>
      <c r="O229" t="n">
        <v>0</v>
      </c>
      <c r="P229" t="n">
        <v>0</v>
      </c>
      <c r="Q229" t="n">
        <v>0</v>
      </c>
      <c r="R229" s="2" t="inlineStr"/>
    </row>
    <row r="230" ht="15" customHeight="1">
      <c r="A230" t="inlineStr">
        <is>
          <t>A 41995-2024</t>
        </is>
      </c>
      <c r="B230" s="1" t="n">
        <v>45561.6475462963</v>
      </c>
      <c r="C230" s="1" t="n">
        <v>46065</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31326-2024</t>
        </is>
      </c>
      <c r="B231" s="1" t="n">
        <v>45504.5934375</v>
      </c>
      <c r="C231" s="1" t="n">
        <v>46065</v>
      </c>
      <c r="D231" t="inlineStr">
        <is>
          <t>ÖREBRO LÄN</t>
        </is>
      </c>
      <c r="E231" t="inlineStr">
        <is>
          <t>ÖREBRO</t>
        </is>
      </c>
      <c r="G231" t="n">
        <v>6.4</v>
      </c>
      <c r="H231" t="n">
        <v>0</v>
      </c>
      <c r="I231" t="n">
        <v>0</v>
      </c>
      <c r="J231" t="n">
        <v>0</v>
      </c>
      <c r="K231" t="n">
        <v>0</v>
      </c>
      <c r="L231" t="n">
        <v>0</v>
      </c>
      <c r="M231" t="n">
        <v>0</v>
      </c>
      <c r="N231" t="n">
        <v>0</v>
      </c>
      <c r="O231" t="n">
        <v>0</v>
      </c>
      <c r="P231" t="n">
        <v>0</v>
      </c>
      <c r="Q231" t="n">
        <v>0</v>
      </c>
      <c r="R231" s="2" t="inlineStr"/>
    </row>
    <row r="232" ht="15" customHeight="1">
      <c r="A232" t="inlineStr">
        <is>
          <t>A 71266-2021</t>
        </is>
      </c>
      <c r="B232" s="1" t="n">
        <v>44539</v>
      </c>
      <c r="C232" s="1" t="n">
        <v>46065</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71267-2021</t>
        </is>
      </c>
      <c r="B233" s="1" t="n">
        <v>44539</v>
      </c>
      <c r="C233" s="1" t="n">
        <v>46065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71280-2021</t>
        </is>
      </c>
      <c r="B234" s="1" t="n">
        <v>44539</v>
      </c>
      <c r="C234" s="1" t="n">
        <v>46065</v>
      </c>
      <c r="D234" t="inlineStr">
        <is>
          <t>ÖREBRO LÄN</t>
        </is>
      </c>
      <c r="E234" t="inlineStr">
        <is>
          <t>ÖREBRO</t>
        </is>
      </c>
      <c r="G234" t="n">
        <v>0.6</v>
      </c>
      <c r="H234" t="n">
        <v>0</v>
      </c>
      <c r="I234" t="n">
        <v>0</v>
      </c>
      <c r="J234" t="n">
        <v>0</v>
      </c>
      <c r="K234" t="n">
        <v>0</v>
      </c>
      <c r="L234" t="n">
        <v>0</v>
      </c>
      <c r="M234" t="n">
        <v>0</v>
      </c>
      <c r="N234" t="n">
        <v>0</v>
      </c>
      <c r="O234" t="n">
        <v>0</v>
      </c>
      <c r="P234" t="n">
        <v>0</v>
      </c>
      <c r="Q234" t="n">
        <v>0</v>
      </c>
      <c r="R234" s="2" t="inlineStr"/>
    </row>
    <row r="235" ht="15" customHeight="1">
      <c r="A235" t="inlineStr">
        <is>
          <t>A 16737-2023</t>
        </is>
      </c>
      <c r="B235" s="1" t="n">
        <v>45030.72472222222</v>
      </c>
      <c r="C235" s="1" t="n">
        <v>46065</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15866-2022</t>
        </is>
      </c>
      <c r="B236" s="1" t="n">
        <v>44664</v>
      </c>
      <c r="C236" s="1" t="n">
        <v>46065</v>
      </c>
      <c r="D236" t="inlineStr">
        <is>
          <t>ÖREBRO LÄN</t>
        </is>
      </c>
      <c r="E236" t="inlineStr">
        <is>
          <t>ÖREBRO</t>
        </is>
      </c>
      <c r="G236" t="n">
        <v>4</v>
      </c>
      <c r="H236" t="n">
        <v>0</v>
      </c>
      <c r="I236" t="n">
        <v>0</v>
      </c>
      <c r="J236" t="n">
        <v>0</v>
      </c>
      <c r="K236" t="n">
        <v>0</v>
      </c>
      <c r="L236" t="n">
        <v>0</v>
      </c>
      <c r="M236" t="n">
        <v>0</v>
      </c>
      <c r="N236" t="n">
        <v>0</v>
      </c>
      <c r="O236" t="n">
        <v>0</v>
      </c>
      <c r="P236" t="n">
        <v>0</v>
      </c>
      <c r="Q236" t="n">
        <v>0</v>
      </c>
      <c r="R236" s="2" t="inlineStr"/>
    </row>
    <row r="237" ht="15" customHeight="1">
      <c r="A237" t="inlineStr">
        <is>
          <t>A 2318-2023</t>
        </is>
      </c>
      <c r="B237" s="1" t="n">
        <v>44942</v>
      </c>
      <c r="C237" s="1" t="n">
        <v>46065</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5764-2022</t>
        </is>
      </c>
      <c r="B238" s="1" t="n">
        <v>44596</v>
      </c>
      <c r="C238" s="1" t="n">
        <v>46065</v>
      </c>
      <c r="D238" t="inlineStr">
        <is>
          <t>ÖREBRO LÄN</t>
        </is>
      </c>
      <c r="E238" t="inlineStr">
        <is>
          <t>ÖREBRO</t>
        </is>
      </c>
      <c r="G238" t="n">
        <v>3.5</v>
      </c>
      <c r="H238" t="n">
        <v>0</v>
      </c>
      <c r="I238" t="n">
        <v>0</v>
      </c>
      <c r="J238" t="n">
        <v>0</v>
      </c>
      <c r="K238" t="n">
        <v>0</v>
      </c>
      <c r="L238" t="n">
        <v>0</v>
      </c>
      <c r="M238" t="n">
        <v>0</v>
      </c>
      <c r="N238" t="n">
        <v>0</v>
      </c>
      <c r="O238" t="n">
        <v>0</v>
      </c>
      <c r="P238" t="n">
        <v>0</v>
      </c>
      <c r="Q238" t="n">
        <v>0</v>
      </c>
      <c r="R238" s="2" t="inlineStr"/>
    </row>
    <row r="239" ht="15" customHeight="1">
      <c r="A239" t="inlineStr">
        <is>
          <t>A 45027-2024</t>
        </is>
      </c>
      <c r="B239" s="1" t="n">
        <v>45575</v>
      </c>
      <c r="C239" s="1" t="n">
        <v>46065</v>
      </c>
      <c r="D239" t="inlineStr">
        <is>
          <t>ÖREBRO LÄN</t>
        </is>
      </c>
      <c r="E239" t="inlineStr">
        <is>
          <t>ÖREBRO</t>
        </is>
      </c>
      <c r="G239" t="n">
        <v>6.3</v>
      </c>
      <c r="H239" t="n">
        <v>0</v>
      </c>
      <c r="I239" t="n">
        <v>0</v>
      </c>
      <c r="J239" t="n">
        <v>0</v>
      </c>
      <c r="K239" t="n">
        <v>0</v>
      </c>
      <c r="L239" t="n">
        <v>0</v>
      </c>
      <c r="M239" t="n">
        <v>0</v>
      </c>
      <c r="N239" t="n">
        <v>0</v>
      </c>
      <c r="O239" t="n">
        <v>0</v>
      </c>
      <c r="P239" t="n">
        <v>0</v>
      </c>
      <c r="Q239" t="n">
        <v>0</v>
      </c>
      <c r="R239" s="2" t="inlineStr"/>
    </row>
    <row r="240" ht="15" customHeight="1">
      <c r="A240" t="inlineStr">
        <is>
          <t>A 40051-2024</t>
        </is>
      </c>
      <c r="B240" s="1" t="n">
        <v>45553</v>
      </c>
      <c r="C240" s="1" t="n">
        <v>46065</v>
      </c>
      <c r="D240" t="inlineStr">
        <is>
          <t>ÖREBRO LÄN</t>
        </is>
      </c>
      <c r="E240" t="inlineStr">
        <is>
          <t>ÖREBRO</t>
        </is>
      </c>
      <c r="G240" t="n">
        <v>3.5</v>
      </c>
      <c r="H240" t="n">
        <v>0</v>
      </c>
      <c r="I240" t="n">
        <v>0</v>
      </c>
      <c r="J240" t="n">
        <v>0</v>
      </c>
      <c r="K240" t="n">
        <v>0</v>
      </c>
      <c r="L240" t="n">
        <v>0</v>
      </c>
      <c r="M240" t="n">
        <v>0</v>
      </c>
      <c r="N240" t="n">
        <v>0</v>
      </c>
      <c r="O240" t="n">
        <v>0</v>
      </c>
      <c r="P240" t="n">
        <v>0</v>
      </c>
      <c r="Q240" t="n">
        <v>0</v>
      </c>
      <c r="R240" s="2" t="inlineStr"/>
    </row>
    <row r="241" ht="15" customHeight="1">
      <c r="A241" t="inlineStr">
        <is>
          <t>A 41543-2024</t>
        </is>
      </c>
      <c r="B241" s="1" t="n">
        <v>45560</v>
      </c>
      <c r="C241" s="1" t="n">
        <v>46065</v>
      </c>
      <c r="D241" t="inlineStr">
        <is>
          <t>ÖREBRO LÄN</t>
        </is>
      </c>
      <c r="E241" t="inlineStr">
        <is>
          <t>ÖREBRO</t>
        </is>
      </c>
      <c r="G241" t="n">
        <v>2.8</v>
      </c>
      <c r="H241" t="n">
        <v>0</v>
      </c>
      <c r="I241" t="n">
        <v>0</v>
      </c>
      <c r="J241" t="n">
        <v>0</v>
      </c>
      <c r="K241" t="n">
        <v>0</v>
      </c>
      <c r="L241" t="n">
        <v>0</v>
      </c>
      <c r="M241" t="n">
        <v>0</v>
      </c>
      <c r="N241" t="n">
        <v>0</v>
      </c>
      <c r="O241" t="n">
        <v>0</v>
      </c>
      <c r="P241" t="n">
        <v>0</v>
      </c>
      <c r="Q241" t="n">
        <v>0</v>
      </c>
      <c r="R241" s="2" t="inlineStr"/>
    </row>
    <row r="242" ht="15" customHeight="1">
      <c r="A242" t="inlineStr">
        <is>
          <t>A 10799-2024</t>
        </is>
      </c>
      <c r="B242" s="1" t="n">
        <v>45369</v>
      </c>
      <c r="C242" s="1" t="n">
        <v>46065</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16694-2025</t>
        </is>
      </c>
      <c r="B243" s="1" t="n">
        <v>45754.46480324074</v>
      </c>
      <c r="C243" s="1" t="n">
        <v>46065</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49465-2024</t>
        </is>
      </c>
      <c r="B244" s="1" t="n">
        <v>45596</v>
      </c>
      <c r="C244" s="1" t="n">
        <v>46065</v>
      </c>
      <c r="D244" t="inlineStr">
        <is>
          <t>ÖREBRO LÄN</t>
        </is>
      </c>
      <c r="E244" t="inlineStr">
        <is>
          <t>ÖREBRO</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22045-2024</t>
        </is>
      </c>
      <c r="B245" s="1" t="n">
        <v>45443.61171296296</v>
      </c>
      <c r="C245" s="1" t="n">
        <v>46065</v>
      </c>
      <c r="D245" t="inlineStr">
        <is>
          <t>ÖREBRO LÄN</t>
        </is>
      </c>
      <c r="E245" t="inlineStr">
        <is>
          <t>ÖREBRO</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59121-2024</t>
        </is>
      </c>
      <c r="B246" s="1" t="n">
        <v>45637.37755787037</v>
      </c>
      <c r="C246" s="1" t="n">
        <v>46065</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49215-2023</t>
        </is>
      </c>
      <c r="B247" s="1" t="n">
        <v>45210.61050925926</v>
      </c>
      <c r="C247" s="1" t="n">
        <v>46065</v>
      </c>
      <c r="D247" t="inlineStr">
        <is>
          <t>ÖREBRO LÄN</t>
        </is>
      </c>
      <c r="E247" t="inlineStr">
        <is>
          <t>ÖREBRO</t>
        </is>
      </c>
      <c r="F247" t="inlineStr">
        <is>
          <t>Övriga Aktiebolag</t>
        </is>
      </c>
      <c r="G247" t="n">
        <v>4.2</v>
      </c>
      <c r="H247" t="n">
        <v>0</v>
      </c>
      <c r="I247" t="n">
        <v>0</v>
      </c>
      <c r="J247" t="n">
        <v>0</v>
      </c>
      <c r="K247" t="n">
        <v>0</v>
      </c>
      <c r="L247" t="n">
        <v>0</v>
      </c>
      <c r="M247" t="n">
        <v>0</v>
      </c>
      <c r="N247" t="n">
        <v>0</v>
      </c>
      <c r="O247" t="n">
        <v>0</v>
      </c>
      <c r="P247" t="n">
        <v>0</v>
      </c>
      <c r="Q247" t="n">
        <v>0</v>
      </c>
      <c r="R247" s="2" t="inlineStr"/>
    </row>
    <row r="248" ht="15" customHeight="1">
      <c r="A248" t="inlineStr">
        <is>
          <t>A 17983-2025</t>
        </is>
      </c>
      <c r="B248" s="1" t="n">
        <v>45761.38829861111</v>
      </c>
      <c r="C248" s="1" t="n">
        <v>46065</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58684-2023</t>
        </is>
      </c>
      <c r="B249" s="1" t="n">
        <v>45251</v>
      </c>
      <c r="C249" s="1" t="n">
        <v>46065</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27220-2025</t>
        </is>
      </c>
      <c r="B250" s="1" t="n">
        <v>45812.42293981482</v>
      </c>
      <c r="C250" s="1" t="n">
        <v>46065</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38898-2023</t>
        </is>
      </c>
      <c r="B251" s="1" t="n">
        <v>45163</v>
      </c>
      <c r="C251" s="1" t="n">
        <v>46065</v>
      </c>
      <c r="D251" t="inlineStr">
        <is>
          <t>ÖREBRO LÄN</t>
        </is>
      </c>
      <c r="E251" t="inlineStr">
        <is>
          <t>ÖREBRO</t>
        </is>
      </c>
      <c r="G251" t="n">
        <v>5.1</v>
      </c>
      <c r="H251" t="n">
        <v>0</v>
      </c>
      <c r="I251" t="n">
        <v>0</v>
      </c>
      <c r="J251" t="n">
        <v>0</v>
      </c>
      <c r="K251" t="n">
        <v>0</v>
      </c>
      <c r="L251" t="n">
        <v>0</v>
      </c>
      <c r="M251" t="n">
        <v>0</v>
      </c>
      <c r="N251" t="n">
        <v>0</v>
      </c>
      <c r="O251" t="n">
        <v>0</v>
      </c>
      <c r="P251" t="n">
        <v>0</v>
      </c>
      <c r="Q251" t="n">
        <v>0</v>
      </c>
      <c r="R251" s="2" t="inlineStr"/>
    </row>
    <row r="252" ht="15" customHeight="1">
      <c r="A252" t="inlineStr">
        <is>
          <t>A 27180-2025</t>
        </is>
      </c>
      <c r="B252" s="1" t="n">
        <v>45812.35736111111</v>
      </c>
      <c r="C252" s="1" t="n">
        <v>46065</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27215-2025</t>
        </is>
      </c>
      <c r="B253" s="1" t="n">
        <v>45812.41869212963</v>
      </c>
      <c r="C253" s="1" t="n">
        <v>46065</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27225-2025</t>
        </is>
      </c>
      <c r="B254" s="1" t="n">
        <v>45812.42856481481</v>
      </c>
      <c r="C254" s="1" t="n">
        <v>46065</v>
      </c>
      <c r="D254" t="inlineStr">
        <is>
          <t>ÖREBRO LÄN</t>
        </is>
      </c>
      <c r="E254" t="inlineStr">
        <is>
          <t>ÖREBRO</t>
        </is>
      </c>
      <c r="G254" t="n">
        <v>4</v>
      </c>
      <c r="H254" t="n">
        <v>0</v>
      </c>
      <c r="I254" t="n">
        <v>0</v>
      </c>
      <c r="J254" t="n">
        <v>0</v>
      </c>
      <c r="K254" t="n">
        <v>0</v>
      </c>
      <c r="L254" t="n">
        <v>0</v>
      </c>
      <c r="M254" t="n">
        <v>0</v>
      </c>
      <c r="N254" t="n">
        <v>0</v>
      </c>
      <c r="O254" t="n">
        <v>0</v>
      </c>
      <c r="P254" t="n">
        <v>0</v>
      </c>
      <c r="Q254" t="n">
        <v>0</v>
      </c>
      <c r="R254" s="2" t="inlineStr"/>
    </row>
    <row r="255" ht="15" customHeight="1">
      <c r="A255" t="inlineStr">
        <is>
          <t>A 13321-2024</t>
        </is>
      </c>
      <c r="B255" s="1" t="n">
        <v>45386.83142361111</v>
      </c>
      <c r="C255" s="1" t="n">
        <v>46065</v>
      </c>
      <c r="D255" t="inlineStr">
        <is>
          <t>ÖREBRO LÄN</t>
        </is>
      </c>
      <c r="E255" t="inlineStr">
        <is>
          <t>ÖREBRO</t>
        </is>
      </c>
      <c r="G255" t="n">
        <v>13.1</v>
      </c>
      <c r="H255" t="n">
        <v>0</v>
      </c>
      <c r="I255" t="n">
        <v>0</v>
      </c>
      <c r="J255" t="n">
        <v>0</v>
      </c>
      <c r="K255" t="n">
        <v>0</v>
      </c>
      <c r="L255" t="n">
        <v>0</v>
      </c>
      <c r="M255" t="n">
        <v>0</v>
      </c>
      <c r="N255" t="n">
        <v>0</v>
      </c>
      <c r="O255" t="n">
        <v>0</v>
      </c>
      <c r="P255" t="n">
        <v>0</v>
      </c>
      <c r="Q255" t="n">
        <v>0</v>
      </c>
      <c r="R255" s="2" t="inlineStr"/>
    </row>
    <row r="256" ht="15" customHeight="1">
      <c r="A256" t="inlineStr">
        <is>
          <t>A 8571-2021</t>
        </is>
      </c>
      <c r="B256" s="1" t="n">
        <v>44245</v>
      </c>
      <c r="C256" s="1" t="n">
        <v>46065</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38583-2023</t>
        </is>
      </c>
      <c r="B257" s="1" t="n">
        <v>45162.62861111111</v>
      </c>
      <c r="C257" s="1" t="n">
        <v>46065</v>
      </c>
      <c r="D257" t="inlineStr">
        <is>
          <t>ÖREBRO LÄN</t>
        </is>
      </c>
      <c r="E257" t="inlineStr">
        <is>
          <t>ÖREBRO</t>
        </is>
      </c>
      <c r="G257" t="n">
        <v>5.7</v>
      </c>
      <c r="H257" t="n">
        <v>0</v>
      </c>
      <c r="I257" t="n">
        <v>0</v>
      </c>
      <c r="J257" t="n">
        <v>0</v>
      </c>
      <c r="K257" t="n">
        <v>0</v>
      </c>
      <c r="L257" t="n">
        <v>0</v>
      </c>
      <c r="M257" t="n">
        <v>0</v>
      </c>
      <c r="N257" t="n">
        <v>0</v>
      </c>
      <c r="O257" t="n">
        <v>0</v>
      </c>
      <c r="P257" t="n">
        <v>0</v>
      </c>
      <c r="Q257" t="n">
        <v>0</v>
      </c>
      <c r="R257" s="2" t="inlineStr"/>
    </row>
    <row r="258" ht="15" customHeight="1">
      <c r="A258" t="inlineStr">
        <is>
          <t>A 14291-2023</t>
        </is>
      </c>
      <c r="B258" s="1" t="n">
        <v>45010</v>
      </c>
      <c r="C258" s="1" t="n">
        <v>46065</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55692-2023</t>
        </is>
      </c>
      <c r="B259" s="1" t="n">
        <v>45239</v>
      </c>
      <c r="C259" s="1" t="n">
        <v>46065</v>
      </c>
      <c r="D259" t="inlineStr">
        <is>
          <t>ÖREBRO LÄN</t>
        </is>
      </c>
      <c r="E259" t="inlineStr">
        <is>
          <t>ÖREBRO</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28120-2025</t>
        </is>
      </c>
      <c r="B260" s="1" t="n">
        <v>45818.30459490741</v>
      </c>
      <c r="C260" s="1" t="n">
        <v>46065</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14715-2024</t>
        </is>
      </c>
      <c r="B261" s="1" t="n">
        <v>45397.5500462963</v>
      </c>
      <c r="C261" s="1" t="n">
        <v>46065</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9314-2023</t>
        </is>
      </c>
      <c r="B262" s="1" t="n">
        <v>44980.67747685185</v>
      </c>
      <c r="C262" s="1" t="n">
        <v>46065</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12682-2023</t>
        </is>
      </c>
      <c r="B263" s="1" t="n">
        <v>45000.6115625</v>
      </c>
      <c r="C263" s="1" t="n">
        <v>46065</v>
      </c>
      <c r="D263" t="inlineStr">
        <is>
          <t>ÖREBRO LÄN</t>
        </is>
      </c>
      <c r="E263" t="inlineStr">
        <is>
          <t>ÖREBRO</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33455-2023</t>
        </is>
      </c>
      <c r="B264" s="1" t="n">
        <v>45130.98962962963</v>
      </c>
      <c r="C264" s="1" t="n">
        <v>46065</v>
      </c>
      <c r="D264" t="inlineStr">
        <is>
          <t>ÖREBRO LÄN</t>
        </is>
      </c>
      <c r="E264" t="inlineStr">
        <is>
          <t>ÖREBRO</t>
        </is>
      </c>
      <c r="G264" t="n">
        <v>0.7</v>
      </c>
      <c r="H264" t="n">
        <v>0</v>
      </c>
      <c r="I264" t="n">
        <v>0</v>
      </c>
      <c r="J264" t="n">
        <v>0</v>
      </c>
      <c r="K264" t="n">
        <v>0</v>
      </c>
      <c r="L264" t="n">
        <v>0</v>
      </c>
      <c r="M264" t="n">
        <v>0</v>
      </c>
      <c r="N264" t="n">
        <v>0</v>
      </c>
      <c r="O264" t="n">
        <v>0</v>
      </c>
      <c r="P264" t="n">
        <v>0</v>
      </c>
      <c r="Q264" t="n">
        <v>0</v>
      </c>
      <c r="R264" s="2" t="inlineStr"/>
    </row>
    <row r="265" ht="15" customHeight="1">
      <c r="A265" t="inlineStr">
        <is>
          <t>A 13592-2023</t>
        </is>
      </c>
      <c r="B265" s="1" t="n">
        <v>45006.56870370371</v>
      </c>
      <c r="C265" s="1" t="n">
        <v>46065</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21306-2024</t>
        </is>
      </c>
      <c r="B266" s="1" t="n">
        <v>45440.67883101852</v>
      </c>
      <c r="C266" s="1" t="n">
        <v>46065</v>
      </c>
      <c r="D266" t="inlineStr">
        <is>
          <t>ÖREBRO LÄN</t>
        </is>
      </c>
      <c r="E266" t="inlineStr">
        <is>
          <t>ÖREBRO</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10368-2021</t>
        </is>
      </c>
      <c r="B267" s="1" t="n">
        <v>44257</v>
      </c>
      <c r="C267" s="1" t="n">
        <v>46065</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7634-2024</t>
        </is>
      </c>
      <c r="B268" s="1" t="n">
        <v>45348</v>
      </c>
      <c r="C268" s="1" t="n">
        <v>46065</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5324-2024</t>
        </is>
      </c>
      <c r="B269" s="1" t="n">
        <v>45331</v>
      </c>
      <c r="C269" s="1" t="n">
        <v>46065</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52401-2024</t>
        </is>
      </c>
      <c r="B270" s="1" t="n">
        <v>45609.44553240741</v>
      </c>
      <c r="C270" s="1" t="n">
        <v>46065</v>
      </c>
      <c r="D270" t="inlineStr">
        <is>
          <t>ÖREBRO LÄN</t>
        </is>
      </c>
      <c r="E270" t="inlineStr">
        <is>
          <t>ÖREBRO</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59736-2023</t>
        </is>
      </c>
      <c r="B271" s="1" t="n">
        <v>45257.374375</v>
      </c>
      <c r="C271" s="1" t="n">
        <v>46065</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28938-2025</t>
        </is>
      </c>
      <c r="B272" s="1" t="n">
        <v>45820.70626157407</v>
      </c>
      <c r="C272" s="1" t="n">
        <v>46065</v>
      </c>
      <c r="D272" t="inlineStr">
        <is>
          <t>ÖREBRO LÄN</t>
        </is>
      </c>
      <c r="E272" t="inlineStr">
        <is>
          <t>ÖREBRO</t>
        </is>
      </c>
      <c r="G272" t="n">
        <v>1.9</v>
      </c>
      <c r="H272" t="n">
        <v>0</v>
      </c>
      <c r="I272" t="n">
        <v>0</v>
      </c>
      <c r="J272" t="n">
        <v>0</v>
      </c>
      <c r="K272" t="n">
        <v>0</v>
      </c>
      <c r="L272" t="n">
        <v>0</v>
      </c>
      <c r="M272" t="n">
        <v>0</v>
      </c>
      <c r="N272" t="n">
        <v>0</v>
      </c>
      <c r="O272" t="n">
        <v>0</v>
      </c>
      <c r="P272" t="n">
        <v>0</v>
      </c>
      <c r="Q272" t="n">
        <v>0</v>
      </c>
      <c r="R272" s="2" t="inlineStr"/>
    </row>
    <row r="273" ht="15" customHeight="1">
      <c r="A273" t="inlineStr">
        <is>
          <t>A 55355-2024</t>
        </is>
      </c>
      <c r="B273" s="1" t="n">
        <v>45621.80475694445</v>
      </c>
      <c r="C273" s="1" t="n">
        <v>46065</v>
      </c>
      <c r="D273" t="inlineStr">
        <is>
          <t>ÖREBRO LÄN</t>
        </is>
      </c>
      <c r="E273" t="inlineStr">
        <is>
          <t>ÖREBRO</t>
        </is>
      </c>
      <c r="G273" t="n">
        <v>1.6</v>
      </c>
      <c r="H273" t="n">
        <v>0</v>
      </c>
      <c r="I273" t="n">
        <v>0</v>
      </c>
      <c r="J273" t="n">
        <v>0</v>
      </c>
      <c r="K273" t="n">
        <v>0</v>
      </c>
      <c r="L273" t="n">
        <v>0</v>
      </c>
      <c r="M273" t="n">
        <v>0</v>
      </c>
      <c r="N273" t="n">
        <v>0</v>
      </c>
      <c r="O273" t="n">
        <v>0</v>
      </c>
      <c r="P273" t="n">
        <v>0</v>
      </c>
      <c r="Q273" t="n">
        <v>0</v>
      </c>
      <c r="R273" s="2" t="inlineStr"/>
    </row>
    <row r="274" ht="15" customHeight="1">
      <c r="A274" t="inlineStr">
        <is>
          <t>A 28920-2025</t>
        </is>
      </c>
      <c r="B274" s="1" t="n">
        <v>45820.66532407407</v>
      </c>
      <c r="C274" s="1" t="n">
        <v>46065</v>
      </c>
      <c r="D274" t="inlineStr">
        <is>
          <t>ÖREBRO LÄN</t>
        </is>
      </c>
      <c r="E274" t="inlineStr">
        <is>
          <t>ÖREBRO</t>
        </is>
      </c>
      <c r="G274" t="n">
        <v>3</v>
      </c>
      <c r="H274" t="n">
        <v>0</v>
      </c>
      <c r="I274" t="n">
        <v>0</v>
      </c>
      <c r="J274" t="n">
        <v>0</v>
      </c>
      <c r="K274" t="n">
        <v>0</v>
      </c>
      <c r="L274" t="n">
        <v>0</v>
      </c>
      <c r="M274" t="n">
        <v>0</v>
      </c>
      <c r="N274" t="n">
        <v>0</v>
      </c>
      <c r="O274" t="n">
        <v>0</v>
      </c>
      <c r="P274" t="n">
        <v>0</v>
      </c>
      <c r="Q274" t="n">
        <v>0</v>
      </c>
      <c r="R274" s="2" t="inlineStr"/>
    </row>
    <row r="275" ht="15" customHeight="1">
      <c r="A275" t="inlineStr">
        <is>
          <t>A 49029-2024</t>
        </is>
      </c>
      <c r="B275" s="1" t="n">
        <v>45594</v>
      </c>
      <c r="C275" s="1" t="n">
        <v>46065</v>
      </c>
      <c r="D275" t="inlineStr">
        <is>
          <t>ÖREBRO LÄN</t>
        </is>
      </c>
      <c r="E275" t="inlineStr">
        <is>
          <t>ÖREBRO</t>
        </is>
      </c>
      <c r="G275" t="n">
        <v>3.7</v>
      </c>
      <c r="H275" t="n">
        <v>0</v>
      </c>
      <c r="I275" t="n">
        <v>0</v>
      </c>
      <c r="J275" t="n">
        <v>0</v>
      </c>
      <c r="K275" t="n">
        <v>0</v>
      </c>
      <c r="L275" t="n">
        <v>0</v>
      </c>
      <c r="M275" t="n">
        <v>0</v>
      </c>
      <c r="N275" t="n">
        <v>0</v>
      </c>
      <c r="O275" t="n">
        <v>0</v>
      </c>
      <c r="P275" t="n">
        <v>0</v>
      </c>
      <c r="Q275" t="n">
        <v>0</v>
      </c>
      <c r="R275" s="2" t="inlineStr"/>
    </row>
    <row r="276" ht="15" customHeight="1">
      <c r="A276" t="inlineStr">
        <is>
          <t>A 14963-2025</t>
        </is>
      </c>
      <c r="B276" s="1" t="n">
        <v>45743.58699074074</v>
      </c>
      <c r="C276" s="1" t="n">
        <v>46065</v>
      </c>
      <c r="D276" t="inlineStr">
        <is>
          <t>ÖREBRO LÄN</t>
        </is>
      </c>
      <c r="E276" t="inlineStr">
        <is>
          <t>ÖREBRO</t>
        </is>
      </c>
      <c r="G276" t="n">
        <v>9.1</v>
      </c>
      <c r="H276" t="n">
        <v>0</v>
      </c>
      <c r="I276" t="n">
        <v>0</v>
      </c>
      <c r="J276" t="n">
        <v>0</v>
      </c>
      <c r="K276" t="n">
        <v>0</v>
      </c>
      <c r="L276" t="n">
        <v>0</v>
      </c>
      <c r="M276" t="n">
        <v>0</v>
      </c>
      <c r="N276" t="n">
        <v>0</v>
      </c>
      <c r="O276" t="n">
        <v>0</v>
      </c>
      <c r="P276" t="n">
        <v>0</v>
      </c>
      <c r="Q276" t="n">
        <v>0</v>
      </c>
      <c r="R276" s="2" t="inlineStr"/>
    </row>
    <row r="277" ht="15" customHeight="1">
      <c r="A277" t="inlineStr">
        <is>
          <t>A 29286-2025</t>
        </is>
      </c>
      <c r="B277" s="1" t="n">
        <v>45824.43502314815</v>
      </c>
      <c r="C277" s="1" t="n">
        <v>46065</v>
      </c>
      <c r="D277" t="inlineStr">
        <is>
          <t>ÖREBRO LÄN</t>
        </is>
      </c>
      <c r="E277" t="inlineStr">
        <is>
          <t>ÖREBRO</t>
        </is>
      </c>
      <c r="G277" t="n">
        <v>1.2</v>
      </c>
      <c r="H277" t="n">
        <v>0</v>
      </c>
      <c r="I277" t="n">
        <v>0</v>
      </c>
      <c r="J277" t="n">
        <v>0</v>
      </c>
      <c r="K277" t="n">
        <v>0</v>
      </c>
      <c r="L277" t="n">
        <v>0</v>
      </c>
      <c r="M277" t="n">
        <v>0</v>
      </c>
      <c r="N277" t="n">
        <v>0</v>
      </c>
      <c r="O277" t="n">
        <v>0</v>
      </c>
      <c r="P277" t="n">
        <v>0</v>
      </c>
      <c r="Q277" t="n">
        <v>0</v>
      </c>
      <c r="R277" s="2" t="inlineStr"/>
    </row>
    <row r="278" ht="15" customHeight="1">
      <c r="A278" t="inlineStr">
        <is>
          <t>A 20115-2024</t>
        </is>
      </c>
      <c r="B278" s="1" t="n">
        <v>45434</v>
      </c>
      <c r="C278" s="1" t="n">
        <v>46065</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55875-2024</t>
        </is>
      </c>
      <c r="B279" s="1" t="n">
        <v>45623.55375</v>
      </c>
      <c r="C279" s="1" t="n">
        <v>46065</v>
      </c>
      <c r="D279" t="inlineStr">
        <is>
          <t>ÖREBRO LÄN</t>
        </is>
      </c>
      <c r="E279" t="inlineStr">
        <is>
          <t>ÖREBRO</t>
        </is>
      </c>
      <c r="G279" t="n">
        <v>3.5</v>
      </c>
      <c r="H279" t="n">
        <v>0</v>
      </c>
      <c r="I279" t="n">
        <v>0</v>
      </c>
      <c r="J279" t="n">
        <v>0</v>
      </c>
      <c r="K279" t="n">
        <v>0</v>
      </c>
      <c r="L279" t="n">
        <v>0</v>
      </c>
      <c r="M279" t="n">
        <v>0</v>
      </c>
      <c r="N279" t="n">
        <v>0</v>
      </c>
      <c r="O279" t="n">
        <v>0</v>
      </c>
      <c r="P279" t="n">
        <v>0</v>
      </c>
      <c r="Q279" t="n">
        <v>0</v>
      </c>
      <c r="R279" s="2" t="inlineStr"/>
    </row>
    <row r="280" ht="15" customHeight="1">
      <c r="A280" t="inlineStr">
        <is>
          <t>A 29339-2025</t>
        </is>
      </c>
      <c r="B280" s="1" t="n">
        <v>45824.5044212963</v>
      </c>
      <c r="C280" s="1" t="n">
        <v>46065</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23710-2022</t>
        </is>
      </c>
      <c r="B281" s="1" t="n">
        <v>44722</v>
      </c>
      <c r="C281" s="1" t="n">
        <v>46065</v>
      </c>
      <c r="D281" t="inlineStr">
        <is>
          <t>ÖREBRO LÄN</t>
        </is>
      </c>
      <c r="E281" t="inlineStr">
        <is>
          <t>ÖREBRO</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60059-2023</t>
        </is>
      </c>
      <c r="B282" s="1" t="n">
        <v>45258.38157407408</v>
      </c>
      <c r="C282" s="1" t="n">
        <v>46065</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55357-2024</t>
        </is>
      </c>
      <c r="B283" s="1" t="n">
        <v>45621.81126157408</v>
      </c>
      <c r="C283" s="1" t="n">
        <v>46065</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10470-2025</t>
        </is>
      </c>
      <c r="B284" s="1" t="n">
        <v>45720</v>
      </c>
      <c r="C284" s="1" t="n">
        <v>46065</v>
      </c>
      <c r="D284" t="inlineStr">
        <is>
          <t>ÖREBRO LÄN</t>
        </is>
      </c>
      <c r="E284" t="inlineStr">
        <is>
          <t>ÖREBRO</t>
        </is>
      </c>
      <c r="G284" t="n">
        <v>11.5</v>
      </c>
      <c r="H284" t="n">
        <v>0</v>
      </c>
      <c r="I284" t="n">
        <v>0</v>
      </c>
      <c r="J284" t="n">
        <v>0</v>
      </c>
      <c r="K284" t="n">
        <v>0</v>
      </c>
      <c r="L284" t="n">
        <v>0</v>
      </c>
      <c r="M284" t="n">
        <v>0</v>
      </c>
      <c r="N284" t="n">
        <v>0</v>
      </c>
      <c r="O284" t="n">
        <v>0</v>
      </c>
      <c r="P284" t="n">
        <v>0</v>
      </c>
      <c r="Q284" t="n">
        <v>0</v>
      </c>
      <c r="R284" s="2" t="inlineStr"/>
    </row>
    <row r="285" ht="15" customHeight="1">
      <c r="A285" t="inlineStr">
        <is>
          <t>A 46056-2024</t>
        </is>
      </c>
      <c r="B285" s="1" t="n">
        <v>45580.91502314815</v>
      </c>
      <c r="C285" s="1" t="n">
        <v>46065</v>
      </c>
      <c r="D285" t="inlineStr">
        <is>
          <t>ÖREBRO LÄN</t>
        </is>
      </c>
      <c r="E285" t="inlineStr">
        <is>
          <t>ÖREBRO</t>
        </is>
      </c>
      <c r="F285" t="inlineStr">
        <is>
          <t>Övriga Aktiebolag</t>
        </is>
      </c>
      <c r="G285" t="n">
        <v>4.5</v>
      </c>
      <c r="H285" t="n">
        <v>0</v>
      </c>
      <c r="I285" t="n">
        <v>0</v>
      </c>
      <c r="J285" t="n">
        <v>0</v>
      </c>
      <c r="K285" t="n">
        <v>0</v>
      </c>
      <c r="L285" t="n">
        <v>0</v>
      </c>
      <c r="M285" t="n">
        <v>0</v>
      </c>
      <c r="N285" t="n">
        <v>0</v>
      </c>
      <c r="O285" t="n">
        <v>0</v>
      </c>
      <c r="P285" t="n">
        <v>0</v>
      </c>
      <c r="Q285" t="n">
        <v>0</v>
      </c>
      <c r="R285" s="2" t="inlineStr"/>
    </row>
    <row r="286" ht="15" customHeight="1">
      <c r="A286" t="inlineStr">
        <is>
          <t>A 38422-2023</t>
        </is>
      </c>
      <c r="B286" s="1" t="n">
        <v>45162.36422453704</v>
      </c>
      <c r="C286" s="1" t="n">
        <v>46065</v>
      </c>
      <c r="D286" t="inlineStr">
        <is>
          <t>ÖREBRO LÄN</t>
        </is>
      </c>
      <c r="E286" t="inlineStr">
        <is>
          <t>ÖREBRO</t>
        </is>
      </c>
      <c r="G286" t="n">
        <v>8</v>
      </c>
      <c r="H286" t="n">
        <v>0</v>
      </c>
      <c r="I286" t="n">
        <v>0</v>
      </c>
      <c r="J286" t="n">
        <v>0</v>
      </c>
      <c r="K286" t="n">
        <v>0</v>
      </c>
      <c r="L286" t="n">
        <v>0</v>
      </c>
      <c r="M286" t="n">
        <v>0</v>
      </c>
      <c r="N286" t="n">
        <v>0</v>
      </c>
      <c r="O286" t="n">
        <v>0</v>
      </c>
      <c r="P286" t="n">
        <v>0</v>
      </c>
      <c r="Q286" t="n">
        <v>0</v>
      </c>
      <c r="R286" s="2" t="inlineStr"/>
    </row>
    <row r="287" ht="15" customHeight="1">
      <c r="A287" t="inlineStr">
        <is>
          <t>A 26858-2024</t>
        </is>
      </c>
      <c r="B287" s="1" t="n">
        <v>45470</v>
      </c>
      <c r="C287" s="1" t="n">
        <v>46065</v>
      </c>
      <c r="D287" t="inlineStr">
        <is>
          <t>ÖREBRO LÄN</t>
        </is>
      </c>
      <c r="E287" t="inlineStr">
        <is>
          <t>ÖREBRO</t>
        </is>
      </c>
      <c r="G287" t="n">
        <v>2.3</v>
      </c>
      <c r="H287" t="n">
        <v>0</v>
      </c>
      <c r="I287" t="n">
        <v>0</v>
      </c>
      <c r="J287" t="n">
        <v>0</v>
      </c>
      <c r="K287" t="n">
        <v>0</v>
      </c>
      <c r="L287" t="n">
        <v>0</v>
      </c>
      <c r="M287" t="n">
        <v>0</v>
      </c>
      <c r="N287" t="n">
        <v>0</v>
      </c>
      <c r="O287" t="n">
        <v>0</v>
      </c>
      <c r="P287" t="n">
        <v>0</v>
      </c>
      <c r="Q287" t="n">
        <v>0</v>
      </c>
      <c r="R287" s="2" t="inlineStr"/>
    </row>
    <row r="288" ht="15" customHeight="1">
      <c r="A288" t="inlineStr">
        <is>
          <t>A 13355-2023</t>
        </is>
      </c>
      <c r="B288" s="1" t="n">
        <v>45004</v>
      </c>
      <c r="C288" s="1" t="n">
        <v>46065</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46518-2023</t>
        </is>
      </c>
      <c r="B289" s="1" t="n">
        <v>45197.72777777778</v>
      </c>
      <c r="C289" s="1" t="n">
        <v>46065</v>
      </c>
      <c r="D289" t="inlineStr">
        <is>
          <t>ÖREBRO LÄN</t>
        </is>
      </c>
      <c r="E289" t="inlineStr">
        <is>
          <t>ÖREBRO</t>
        </is>
      </c>
      <c r="G289" t="n">
        <v>2.2</v>
      </c>
      <c r="H289" t="n">
        <v>0</v>
      </c>
      <c r="I289" t="n">
        <v>0</v>
      </c>
      <c r="J289" t="n">
        <v>0</v>
      </c>
      <c r="K289" t="n">
        <v>0</v>
      </c>
      <c r="L289" t="n">
        <v>0</v>
      </c>
      <c r="M289" t="n">
        <v>0</v>
      </c>
      <c r="N289" t="n">
        <v>0</v>
      </c>
      <c r="O289" t="n">
        <v>0</v>
      </c>
      <c r="P289" t="n">
        <v>0</v>
      </c>
      <c r="Q289" t="n">
        <v>0</v>
      </c>
      <c r="R289" s="2" t="inlineStr"/>
    </row>
    <row r="290" ht="15" customHeight="1">
      <c r="A290" t="inlineStr">
        <is>
          <t>A 6522-2023</t>
        </is>
      </c>
      <c r="B290" s="1" t="n">
        <v>44966</v>
      </c>
      <c r="C290" s="1" t="n">
        <v>46065</v>
      </c>
      <c r="D290" t="inlineStr">
        <is>
          <t>ÖREBRO LÄN</t>
        </is>
      </c>
      <c r="E290" t="inlineStr">
        <is>
          <t>ÖREBRO</t>
        </is>
      </c>
      <c r="G290" t="n">
        <v>4.4</v>
      </c>
      <c r="H290" t="n">
        <v>0</v>
      </c>
      <c r="I290" t="n">
        <v>0</v>
      </c>
      <c r="J290" t="n">
        <v>0</v>
      </c>
      <c r="K290" t="n">
        <v>0</v>
      </c>
      <c r="L290" t="n">
        <v>0</v>
      </c>
      <c r="M290" t="n">
        <v>0</v>
      </c>
      <c r="N290" t="n">
        <v>0</v>
      </c>
      <c r="O290" t="n">
        <v>0</v>
      </c>
      <c r="P290" t="n">
        <v>0</v>
      </c>
      <c r="Q290" t="n">
        <v>0</v>
      </c>
      <c r="R290" s="2" t="inlineStr"/>
    </row>
    <row r="291" ht="15" customHeight="1">
      <c r="A291" t="inlineStr">
        <is>
          <t>A 29701-2025</t>
        </is>
      </c>
      <c r="B291" s="1" t="n">
        <v>45825.55261574074</v>
      </c>
      <c r="C291" s="1" t="n">
        <v>46065</v>
      </c>
      <c r="D291" t="inlineStr">
        <is>
          <t>ÖREBRO LÄN</t>
        </is>
      </c>
      <c r="E291" t="inlineStr">
        <is>
          <t>ÖREBRO</t>
        </is>
      </c>
      <c r="G291" t="n">
        <v>5.8</v>
      </c>
      <c r="H291" t="n">
        <v>0</v>
      </c>
      <c r="I291" t="n">
        <v>0</v>
      </c>
      <c r="J291" t="n">
        <v>0</v>
      </c>
      <c r="K291" t="n">
        <v>0</v>
      </c>
      <c r="L291" t="n">
        <v>0</v>
      </c>
      <c r="M291" t="n">
        <v>0</v>
      </c>
      <c r="N291" t="n">
        <v>0</v>
      </c>
      <c r="O291" t="n">
        <v>0</v>
      </c>
      <c r="P291" t="n">
        <v>0</v>
      </c>
      <c r="Q291" t="n">
        <v>0</v>
      </c>
      <c r="R291" s="2" t="inlineStr"/>
    </row>
    <row r="292" ht="15" customHeight="1">
      <c r="A292" t="inlineStr">
        <is>
          <t>A 56040-2024</t>
        </is>
      </c>
      <c r="B292" s="1" t="n">
        <v>45624.3344212963</v>
      </c>
      <c r="C292" s="1" t="n">
        <v>46065</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52444-2024</t>
        </is>
      </c>
      <c r="B293" s="1" t="n">
        <v>45609.48894675926</v>
      </c>
      <c r="C293" s="1" t="n">
        <v>46065</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60128-2023</t>
        </is>
      </c>
      <c r="B294" s="1" t="n">
        <v>45258</v>
      </c>
      <c r="C294" s="1" t="n">
        <v>46065</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16140-2023</t>
        </is>
      </c>
      <c r="B295" s="1" t="n">
        <v>45027.6433912037</v>
      </c>
      <c r="C295" s="1" t="n">
        <v>46065</v>
      </c>
      <c r="D295" t="inlineStr">
        <is>
          <t>ÖREBRO LÄN</t>
        </is>
      </c>
      <c r="E295" t="inlineStr">
        <is>
          <t>ÖREBRO</t>
        </is>
      </c>
      <c r="G295" t="n">
        <v>2</v>
      </c>
      <c r="H295" t="n">
        <v>0</v>
      </c>
      <c r="I295" t="n">
        <v>0</v>
      </c>
      <c r="J295" t="n">
        <v>0</v>
      </c>
      <c r="K295" t="n">
        <v>0</v>
      </c>
      <c r="L295" t="n">
        <v>0</v>
      </c>
      <c r="M295" t="n">
        <v>0</v>
      </c>
      <c r="N295" t="n">
        <v>0</v>
      </c>
      <c r="O295" t="n">
        <v>0</v>
      </c>
      <c r="P295" t="n">
        <v>0</v>
      </c>
      <c r="Q295" t="n">
        <v>0</v>
      </c>
      <c r="R295" s="2" t="inlineStr"/>
    </row>
    <row r="296" ht="15" customHeight="1">
      <c r="A296" t="inlineStr">
        <is>
          <t>A 30550-2025</t>
        </is>
      </c>
      <c r="B296" s="1" t="n">
        <v>45831.38224537037</v>
      </c>
      <c r="C296" s="1" t="n">
        <v>46065</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54917-2023</t>
        </is>
      </c>
      <c r="B297" s="1" t="n">
        <v>45229</v>
      </c>
      <c r="C297" s="1" t="n">
        <v>46065</v>
      </c>
      <c r="D297" t="inlineStr">
        <is>
          <t>ÖREBRO LÄN</t>
        </is>
      </c>
      <c r="E297" t="inlineStr">
        <is>
          <t>ÖREBRO</t>
        </is>
      </c>
      <c r="G297" t="n">
        <v>3.1</v>
      </c>
      <c r="H297" t="n">
        <v>0</v>
      </c>
      <c r="I297" t="n">
        <v>0</v>
      </c>
      <c r="J297" t="n">
        <v>0</v>
      </c>
      <c r="K297" t="n">
        <v>0</v>
      </c>
      <c r="L297" t="n">
        <v>0</v>
      </c>
      <c r="M297" t="n">
        <v>0</v>
      </c>
      <c r="N297" t="n">
        <v>0</v>
      </c>
      <c r="O297" t="n">
        <v>0</v>
      </c>
      <c r="P297" t="n">
        <v>0</v>
      </c>
      <c r="Q297" t="n">
        <v>0</v>
      </c>
      <c r="R297" s="2" t="inlineStr"/>
    </row>
    <row r="298" ht="15" customHeight="1">
      <c r="A298" t="inlineStr">
        <is>
          <t>A 30731-2025</t>
        </is>
      </c>
      <c r="B298" s="1" t="n">
        <v>45831.57280092593</v>
      </c>
      <c r="C298" s="1" t="n">
        <v>46065</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41703-2024</t>
        </is>
      </c>
      <c r="B299" s="1" t="n">
        <v>45560</v>
      </c>
      <c r="C299" s="1" t="n">
        <v>46065</v>
      </c>
      <c r="D299" t="inlineStr">
        <is>
          <t>ÖREBRO LÄN</t>
        </is>
      </c>
      <c r="E299" t="inlineStr">
        <is>
          <t>ÖREBRO</t>
        </is>
      </c>
      <c r="G299" t="n">
        <v>6.4</v>
      </c>
      <c r="H299" t="n">
        <v>0</v>
      </c>
      <c r="I299" t="n">
        <v>0</v>
      </c>
      <c r="J299" t="n">
        <v>0</v>
      </c>
      <c r="K299" t="n">
        <v>0</v>
      </c>
      <c r="L299" t="n">
        <v>0</v>
      </c>
      <c r="M299" t="n">
        <v>0</v>
      </c>
      <c r="N299" t="n">
        <v>0</v>
      </c>
      <c r="O299" t="n">
        <v>0</v>
      </c>
      <c r="P299" t="n">
        <v>0</v>
      </c>
      <c r="Q299" t="n">
        <v>0</v>
      </c>
      <c r="R299" s="2" t="inlineStr"/>
    </row>
    <row r="300" ht="15" customHeight="1">
      <c r="A300" t="inlineStr">
        <is>
          <t>A 72329-2021</t>
        </is>
      </c>
      <c r="B300" s="1" t="n">
        <v>44545.46072916667</v>
      </c>
      <c r="C300" s="1" t="n">
        <v>46065</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43803-2023</t>
        </is>
      </c>
      <c r="B301" s="1" t="n">
        <v>45187</v>
      </c>
      <c r="C301" s="1" t="n">
        <v>46065</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19763-2024</t>
        </is>
      </c>
      <c r="B302" s="1" t="n">
        <v>45432</v>
      </c>
      <c r="C302" s="1" t="n">
        <v>46065</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30951-2025</t>
        </is>
      </c>
      <c r="B303" s="1" t="n">
        <v>45832.43225694444</v>
      </c>
      <c r="C303" s="1" t="n">
        <v>46065</v>
      </c>
      <c r="D303" t="inlineStr">
        <is>
          <t>ÖREBRO LÄN</t>
        </is>
      </c>
      <c r="E303" t="inlineStr">
        <is>
          <t>ÖREBRO</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31066-2025</t>
        </is>
      </c>
      <c r="B304" s="1" t="n">
        <v>45832</v>
      </c>
      <c r="C304" s="1" t="n">
        <v>46065</v>
      </c>
      <c r="D304" t="inlineStr">
        <is>
          <t>ÖREBRO LÄN</t>
        </is>
      </c>
      <c r="E304" t="inlineStr">
        <is>
          <t>ÖREBRO</t>
        </is>
      </c>
      <c r="G304" t="n">
        <v>11.1</v>
      </c>
      <c r="H304" t="n">
        <v>0</v>
      </c>
      <c r="I304" t="n">
        <v>0</v>
      </c>
      <c r="J304" t="n">
        <v>0</v>
      </c>
      <c r="K304" t="n">
        <v>0</v>
      </c>
      <c r="L304" t="n">
        <v>0</v>
      </c>
      <c r="M304" t="n">
        <v>0</v>
      </c>
      <c r="N304" t="n">
        <v>0</v>
      </c>
      <c r="O304" t="n">
        <v>0</v>
      </c>
      <c r="P304" t="n">
        <v>0</v>
      </c>
      <c r="Q304" t="n">
        <v>0</v>
      </c>
      <c r="R304" s="2" t="inlineStr"/>
    </row>
    <row r="305" ht="15" customHeight="1">
      <c r="A305" t="inlineStr">
        <is>
          <t>A 15789-2023</t>
        </is>
      </c>
      <c r="B305" s="1" t="n">
        <v>45021.71539351852</v>
      </c>
      <c r="C305" s="1" t="n">
        <v>46065</v>
      </c>
      <c r="D305" t="inlineStr">
        <is>
          <t>ÖREBRO LÄN</t>
        </is>
      </c>
      <c r="E305" t="inlineStr">
        <is>
          <t>ÖREBRO</t>
        </is>
      </c>
      <c r="F305" t="inlineStr">
        <is>
          <t>Övriga Aktiebolag</t>
        </is>
      </c>
      <c r="G305" t="n">
        <v>3.7</v>
      </c>
      <c r="H305" t="n">
        <v>0</v>
      </c>
      <c r="I305" t="n">
        <v>0</v>
      </c>
      <c r="J305" t="n">
        <v>0</v>
      </c>
      <c r="K305" t="n">
        <v>0</v>
      </c>
      <c r="L305" t="n">
        <v>0</v>
      </c>
      <c r="M305" t="n">
        <v>0</v>
      </c>
      <c r="N305" t="n">
        <v>0</v>
      </c>
      <c r="O305" t="n">
        <v>0</v>
      </c>
      <c r="P305" t="n">
        <v>0</v>
      </c>
      <c r="Q305" t="n">
        <v>0</v>
      </c>
      <c r="R305" s="2" t="inlineStr"/>
    </row>
    <row r="306" ht="15" customHeight="1">
      <c r="A306" t="inlineStr">
        <is>
          <t>A 58539-2024</t>
        </is>
      </c>
      <c r="B306" s="1" t="n">
        <v>45635.45157407408</v>
      </c>
      <c r="C306" s="1" t="n">
        <v>46065</v>
      </c>
      <c r="D306" t="inlineStr">
        <is>
          <t>ÖREBRO LÄN</t>
        </is>
      </c>
      <c r="E306" t="inlineStr">
        <is>
          <t>ÖREBRO</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59757-2023</t>
        </is>
      </c>
      <c r="B307" s="1" t="n">
        <v>45257.40833333333</v>
      </c>
      <c r="C307" s="1" t="n">
        <v>46065</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17869-2024</t>
        </is>
      </c>
      <c r="B308" s="1" t="n">
        <v>45419</v>
      </c>
      <c r="C308" s="1" t="n">
        <v>46065</v>
      </c>
      <c r="D308" t="inlineStr">
        <is>
          <t>ÖREBRO LÄN</t>
        </is>
      </c>
      <c r="E308" t="inlineStr">
        <is>
          <t>ÖREBRO</t>
        </is>
      </c>
      <c r="G308" t="n">
        <v>3.7</v>
      </c>
      <c r="H308" t="n">
        <v>0</v>
      </c>
      <c r="I308" t="n">
        <v>0</v>
      </c>
      <c r="J308" t="n">
        <v>0</v>
      </c>
      <c r="K308" t="n">
        <v>0</v>
      </c>
      <c r="L308" t="n">
        <v>0</v>
      </c>
      <c r="M308" t="n">
        <v>0</v>
      </c>
      <c r="N308" t="n">
        <v>0</v>
      </c>
      <c r="O308" t="n">
        <v>0</v>
      </c>
      <c r="P308" t="n">
        <v>0</v>
      </c>
      <c r="Q308" t="n">
        <v>0</v>
      </c>
      <c r="R308" s="2" t="inlineStr"/>
    </row>
    <row r="309" ht="15" customHeight="1">
      <c r="A309" t="inlineStr">
        <is>
          <t>A 31247-2023</t>
        </is>
      </c>
      <c r="B309" s="1" t="n">
        <v>45114</v>
      </c>
      <c r="C309" s="1" t="n">
        <v>46065</v>
      </c>
      <c r="D309" t="inlineStr">
        <is>
          <t>ÖREBRO LÄN</t>
        </is>
      </c>
      <c r="E309" t="inlineStr">
        <is>
          <t>ÖREBRO</t>
        </is>
      </c>
      <c r="F309" t="inlineStr">
        <is>
          <t>Allmännings- och besparingsskogar</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71272-2021</t>
        </is>
      </c>
      <c r="B310" s="1" t="n">
        <v>44539.61571759259</v>
      </c>
      <c r="C310" s="1" t="n">
        <v>46065</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36635-2023</t>
        </is>
      </c>
      <c r="B311" s="1" t="n">
        <v>45153</v>
      </c>
      <c r="C311" s="1" t="n">
        <v>46065</v>
      </c>
      <c r="D311" t="inlineStr">
        <is>
          <t>ÖREBRO LÄN</t>
        </is>
      </c>
      <c r="E311" t="inlineStr">
        <is>
          <t>ÖREBRO</t>
        </is>
      </c>
      <c r="G311" t="n">
        <v>1.9</v>
      </c>
      <c r="H311" t="n">
        <v>0</v>
      </c>
      <c r="I311" t="n">
        <v>0</v>
      </c>
      <c r="J311" t="n">
        <v>0</v>
      </c>
      <c r="K311" t="n">
        <v>0</v>
      </c>
      <c r="L311" t="n">
        <v>0</v>
      </c>
      <c r="M311" t="n">
        <v>0</v>
      </c>
      <c r="N311" t="n">
        <v>0</v>
      </c>
      <c r="O311" t="n">
        <v>0</v>
      </c>
      <c r="P311" t="n">
        <v>0</v>
      </c>
      <c r="Q311" t="n">
        <v>0</v>
      </c>
      <c r="R311" s="2" t="inlineStr"/>
    </row>
    <row r="312" ht="15" customHeight="1">
      <c r="A312" t="inlineStr">
        <is>
          <t>A 54149-2024</t>
        </is>
      </c>
      <c r="B312" s="1" t="n">
        <v>45616</v>
      </c>
      <c r="C312" s="1" t="n">
        <v>46065</v>
      </c>
      <c r="D312" t="inlineStr">
        <is>
          <t>ÖREBRO LÄN</t>
        </is>
      </c>
      <c r="E312" t="inlineStr">
        <is>
          <t>ÖREBRO</t>
        </is>
      </c>
      <c r="G312" t="n">
        <v>2.7</v>
      </c>
      <c r="H312" t="n">
        <v>0</v>
      </c>
      <c r="I312" t="n">
        <v>0</v>
      </c>
      <c r="J312" t="n">
        <v>0</v>
      </c>
      <c r="K312" t="n">
        <v>0</v>
      </c>
      <c r="L312" t="n">
        <v>0</v>
      </c>
      <c r="M312" t="n">
        <v>0</v>
      </c>
      <c r="N312" t="n">
        <v>0</v>
      </c>
      <c r="O312" t="n">
        <v>0</v>
      </c>
      <c r="P312" t="n">
        <v>0</v>
      </c>
      <c r="Q312" t="n">
        <v>0</v>
      </c>
      <c r="R312" s="2" t="inlineStr"/>
    </row>
    <row r="313" ht="15" customHeight="1">
      <c r="A313" t="inlineStr">
        <is>
          <t>A 4557-2023</t>
        </is>
      </c>
      <c r="B313" s="1" t="n">
        <v>44956.6655787037</v>
      </c>
      <c r="C313" s="1" t="n">
        <v>46065</v>
      </c>
      <c r="D313" t="inlineStr">
        <is>
          <t>ÖREBRO LÄN</t>
        </is>
      </c>
      <c r="E313" t="inlineStr">
        <is>
          <t>ÖREBRO</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60100-2022</t>
        </is>
      </c>
      <c r="B314" s="1" t="n">
        <v>44902</v>
      </c>
      <c r="C314" s="1" t="n">
        <v>46065</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6752-2022</t>
        </is>
      </c>
      <c r="B315" s="1" t="n">
        <v>44602.48082175926</v>
      </c>
      <c r="C315" s="1" t="n">
        <v>46065</v>
      </c>
      <c r="D315" t="inlineStr">
        <is>
          <t>ÖREBRO LÄN</t>
        </is>
      </c>
      <c r="E315" t="inlineStr">
        <is>
          <t>ÖREBRO</t>
        </is>
      </c>
      <c r="G315" t="n">
        <v>3.1</v>
      </c>
      <c r="H315" t="n">
        <v>0</v>
      </c>
      <c r="I315" t="n">
        <v>0</v>
      </c>
      <c r="J315" t="n">
        <v>0</v>
      </c>
      <c r="K315" t="n">
        <v>0</v>
      </c>
      <c r="L315" t="n">
        <v>0</v>
      </c>
      <c r="M315" t="n">
        <v>0</v>
      </c>
      <c r="N315" t="n">
        <v>0</v>
      </c>
      <c r="O315" t="n">
        <v>0</v>
      </c>
      <c r="P315" t="n">
        <v>0</v>
      </c>
      <c r="Q315" t="n">
        <v>0</v>
      </c>
      <c r="R315" s="2" t="inlineStr"/>
    </row>
    <row r="316" ht="15" customHeight="1">
      <c r="A316" t="inlineStr">
        <is>
          <t>A 31233-2025</t>
        </is>
      </c>
      <c r="B316" s="1" t="n">
        <v>45832.83341435185</v>
      </c>
      <c r="C316" s="1" t="n">
        <v>46065</v>
      </c>
      <c r="D316" t="inlineStr">
        <is>
          <t>ÖREBRO LÄN</t>
        </is>
      </c>
      <c r="E316" t="inlineStr">
        <is>
          <t>ÖREBRO</t>
        </is>
      </c>
      <c r="F316" t="inlineStr">
        <is>
          <t>Övriga Aktiebolag</t>
        </is>
      </c>
      <c r="G316" t="n">
        <v>2</v>
      </c>
      <c r="H316" t="n">
        <v>0</v>
      </c>
      <c r="I316" t="n">
        <v>0</v>
      </c>
      <c r="J316" t="n">
        <v>0</v>
      </c>
      <c r="K316" t="n">
        <v>0</v>
      </c>
      <c r="L316" t="n">
        <v>0</v>
      </c>
      <c r="M316" t="n">
        <v>0</v>
      </c>
      <c r="N316" t="n">
        <v>0</v>
      </c>
      <c r="O316" t="n">
        <v>0</v>
      </c>
      <c r="P316" t="n">
        <v>0</v>
      </c>
      <c r="Q316" t="n">
        <v>0</v>
      </c>
      <c r="R316" s="2" t="inlineStr"/>
    </row>
    <row r="317" ht="15" customHeight="1">
      <c r="A317" t="inlineStr">
        <is>
          <t>A 31232-2025</t>
        </is>
      </c>
      <c r="B317" s="1" t="n">
        <v>45832.8252199074</v>
      </c>
      <c r="C317" s="1" t="n">
        <v>46065</v>
      </c>
      <c r="D317" t="inlineStr">
        <is>
          <t>ÖREBRO LÄN</t>
        </is>
      </c>
      <c r="E317" t="inlineStr">
        <is>
          <t>ÖREBRO</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34056-2023</t>
        </is>
      </c>
      <c r="B318" s="1" t="n">
        <v>45135</v>
      </c>
      <c r="C318" s="1" t="n">
        <v>46065</v>
      </c>
      <c r="D318" t="inlineStr">
        <is>
          <t>ÖREBRO LÄN</t>
        </is>
      </c>
      <c r="E318" t="inlineStr">
        <is>
          <t>ÖREBRO</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33457-2023</t>
        </is>
      </c>
      <c r="B319" s="1" t="n">
        <v>45131</v>
      </c>
      <c r="C319" s="1" t="n">
        <v>46065</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45237-2023</t>
        </is>
      </c>
      <c r="B320" s="1" t="n">
        <v>45191</v>
      </c>
      <c r="C320" s="1" t="n">
        <v>46065</v>
      </c>
      <c r="D320" t="inlineStr">
        <is>
          <t>ÖREBRO LÄN</t>
        </is>
      </c>
      <c r="E320" t="inlineStr">
        <is>
          <t>ÖREBRO</t>
        </is>
      </c>
      <c r="G320" t="n">
        <v>1.3</v>
      </c>
      <c r="H320" t="n">
        <v>0</v>
      </c>
      <c r="I320" t="n">
        <v>0</v>
      </c>
      <c r="J320" t="n">
        <v>0</v>
      </c>
      <c r="K320" t="n">
        <v>0</v>
      </c>
      <c r="L320" t="n">
        <v>0</v>
      </c>
      <c r="M320" t="n">
        <v>0</v>
      </c>
      <c r="N320" t="n">
        <v>0</v>
      </c>
      <c r="O320" t="n">
        <v>0</v>
      </c>
      <c r="P320" t="n">
        <v>0</v>
      </c>
      <c r="Q320" t="n">
        <v>0</v>
      </c>
      <c r="R320" s="2" t="inlineStr"/>
    </row>
    <row r="321" ht="15" customHeight="1">
      <c r="A321" t="inlineStr">
        <is>
          <t>A 51180-2023</t>
        </is>
      </c>
      <c r="B321" s="1" t="n">
        <v>45219</v>
      </c>
      <c r="C321" s="1" t="n">
        <v>46065</v>
      </c>
      <c r="D321" t="inlineStr">
        <is>
          <t>ÖREBRO LÄN</t>
        </is>
      </c>
      <c r="E321" t="inlineStr">
        <is>
          <t>ÖREBRO</t>
        </is>
      </c>
      <c r="G321" t="n">
        <v>6.5</v>
      </c>
      <c r="H321" t="n">
        <v>0</v>
      </c>
      <c r="I321" t="n">
        <v>0</v>
      </c>
      <c r="J321" t="n">
        <v>0</v>
      </c>
      <c r="K321" t="n">
        <v>0</v>
      </c>
      <c r="L321" t="n">
        <v>0</v>
      </c>
      <c r="M321" t="n">
        <v>0</v>
      </c>
      <c r="N321" t="n">
        <v>0</v>
      </c>
      <c r="O321" t="n">
        <v>0</v>
      </c>
      <c r="P321" t="n">
        <v>0</v>
      </c>
      <c r="Q321" t="n">
        <v>0</v>
      </c>
      <c r="R321" s="2" t="inlineStr"/>
    </row>
    <row r="322" ht="15" customHeight="1">
      <c r="A322" t="inlineStr">
        <is>
          <t>A 31237-2025</t>
        </is>
      </c>
      <c r="B322" s="1" t="n">
        <v>45832.84313657408</v>
      </c>
      <c r="C322" s="1" t="n">
        <v>46065</v>
      </c>
      <c r="D322" t="inlineStr">
        <is>
          <t>ÖREBRO LÄN</t>
        </is>
      </c>
      <c r="E322" t="inlineStr">
        <is>
          <t>ÖREBRO</t>
        </is>
      </c>
      <c r="F322" t="inlineStr">
        <is>
          <t>Övriga Aktiebolag</t>
        </is>
      </c>
      <c r="G322" t="n">
        <v>1.7</v>
      </c>
      <c r="H322" t="n">
        <v>0</v>
      </c>
      <c r="I322" t="n">
        <v>0</v>
      </c>
      <c r="J322" t="n">
        <v>0</v>
      </c>
      <c r="K322" t="n">
        <v>0</v>
      </c>
      <c r="L322" t="n">
        <v>0</v>
      </c>
      <c r="M322" t="n">
        <v>0</v>
      </c>
      <c r="N322" t="n">
        <v>0</v>
      </c>
      <c r="O322" t="n">
        <v>0</v>
      </c>
      <c r="P322" t="n">
        <v>0</v>
      </c>
      <c r="Q322" t="n">
        <v>0</v>
      </c>
      <c r="R322" s="2" t="inlineStr"/>
    </row>
    <row r="323" ht="15" customHeight="1">
      <c r="A323" t="inlineStr">
        <is>
          <t>A 60028-2024</t>
        </is>
      </c>
      <c r="B323" s="1" t="n">
        <v>45642</v>
      </c>
      <c r="C323" s="1" t="n">
        <v>46065</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33294-2023</t>
        </is>
      </c>
      <c r="B324" s="1" t="n">
        <v>45127</v>
      </c>
      <c r="C324" s="1" t="n">
        <v>46065</v>
      </c>
      <c r="D324" t="inlineStr">
        <is>
          <t>ÖREBRO LÄN</t>
        </is>
      </c>
      <c r="E324" t="inlineStr">
        <is>
          <t>ÖREBRO</t>
        </is>
      </c>
      <c r="F324" t="inlineStr">
        <is>
          <t>Övriga Aktiebolag</t>
        </is>
      </c>
      <c r="G324" t="n">
        <v>6.7</v>
      </c>
      <c r="H324" t="n">
        <v>0</v>
      </c>
      <c r="I324" t="n">
        <v>0</v>
      </c>
      <c r="J324" t="n">
        <v>0</v>
      </c>
      <c r="K324" t="n">
        <v>0</v>
      </c>
      <c r="L324" t="n">
        <v>0</v>
      </c>
      <c r="M324" t="n">
        <v>0</v>
      </c>
      <c r="N324" t="n">
        <v>0</v>
      </c>
      <c r="O324" t="n">
        <v>0</v>
      </c>
      <c r="P324" t="n">
        <v>0</v>
      </c>
      <c r="Q324" t="n">
        <v>0</v>
      </c>
      <c r="R324" s="2" t="inlineStr"/>
    </row>
    <row r="325" ht="15" customHeight="1">
      <c r="A325" t="inlineStr">
        <is>
          <t>A 49797-2024</t>
        </is>
      </c>
      <c r="B325" s="1" t="n">
        <v>45597.37265046296</v>
      </c>
      <c r="C325" s="1" t="n">
        <v>46065</v>
      </c>
      <c r="D325" t="inlineStr">
        <is>
          <t>ÖREBRO LÄN</t>
        </is>
      </c>
      <c r="E325" t="inlineStr">
        <is>
          <t>ÖREBRO</t>
        </is>
      </c>
      <c r="G325" t="n">
        <v>11.6</v>
      </c>
      <c r="H325" t="n">
        <v>0</v>
      </c>
      <c r="I325" t="n">
        <v>0</v>
      </c>
      <c r="J325" t="n">
        <v>0</v>
      </c>
      <c r="K325" t="n">
        <v>0</v>
      </c>
      <c r="L325" t="n">
        <v>0</v>
      </c>
      <c r="M325" t="n">
        <v>0</v>
      </c>
      <c r="N325" t="n">
        <v>0</v>
      </c>
      <c r="O325" t="n">
        <v>0</v>
      </c>
      <c r="P325" t="n">
        <v>0</v>
      </c>
      <c r="Q325" t="n">
        <v>0</v>
      </c>
      <c r="R325" s="2" t="inlineStr"/>
    </row>
    <row r="326" ht="15" customHeight="1">
      <c r="A326" t="inlineStr">
        <is>
          <t>A 17465-2023</t>
        </is>
      </c>
      <c r="B326" s="1" t="n">
        <v>45036</v>
      </c>
      <c r="C326" s="1" t="n">
        <v>46065</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52016-2024</t>
        </is>
      </c>
      <c r="B327" s="1" t="n">
        <v>45607.81917824074</v>
      </c>
      <c r="C327" s="1" t="n">
        <v>46065</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13857-2022</t>
        </is>
      </c>
      <c r="B328" s="1" t="n">
        <v>44649</v>
      </c>
      <c r="C328" s="1" t="n">
        <v>46065</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32086-2023</t>
        </is>
      </c>
      <c r="B329" s="1" t="n">
        <v>45119.59789351852</v>
      </c>
      <c r="C329" s="1" t="n">
        <v>46065</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13856-2022</t>
        </is>
      </c>
      <c r="B330" s="1" t="n">
        <v>44649.6965162037</v>
      </c>
      <c r="C330" s="1" t="n">
        <v>46065</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23863-2023</t>
        </is>
      </c>
      <c r="B331" s="1" t="n">
        <v>45078.48994212963</v>
      </c>
      <c r="C331" s="1" t="n">
        <v>46065</v>
      </c>
      <c r="D331" t="inlineStr">
        <is>
          <t>ÖREBRO LÄN</t>
        </is>
      </c>
      <c r="E331" t="inlineStr">
        <is>
          <t>ÖREBRO</t>
        </is>
      </c>
      <c r="F331" t="inlineStr">
        <is>
          <t>Övriga Aktiebolag</t>
        </is>
      </c>
      <c r="G331" t="n">
        <v>5.9</v>
      </c>
      <c r="H331" t="n">
        <v>0</v>
      </c>
      <c r="I331" t="n">
        <v>0</v>
      </c>
      <c r="J331" t="n">
        <v>0</v>
      </c>
      <c r="K331" t="n">
        <v>0</v>
      </c>
      <c r="L331" t="n">
        <v>0</v>
      </c>
      <c r="M331" t="n">
        <v>0</v>
      </c>
      <c r="N331" t="n">
        <v>0</v>
      </c>
      <c r="O331" t="n">
        <v>0</v>
      </c>
      <c r="P331" t="n">
        <v>0</v>
      </c>
      <c r="Q331" t="n">
        <v>0</v>
      </c>
      <c r="R331" s="2" t="inlineStr"/>
    </row>
    <row r="332" ht="15" customHeight="1">
      <c r="A332" t="inlineStr">
        <is>
          <t>A 39130-2023</t>
        </is>
      </c>
      <c r="B332" s="1" t="n">
        <v>45165</v>
      </c>
      <c r="C332" s="1" t="n">
        <v>46065</v>
      </c>
      <c r="D332" t="inlineStr">
        <is>
          <t>ÖREBRO LÄN</t>
        </is>
      </c>
      <c r="E332" t="inlineStr">
        <is>
          <t>ÖREBRO</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61078-2024</t>
        </is>
      </c>
      <c r="B333" s="1" t="n">
        <v>45645.51034722223</v>
      </c>
      <c r="C333" s="1" t="n">
        <v>46065</v>
      </c>
      <c r="D333" t="inlineStr">
        <is>
          <t>ÖREBRO LÄN</t>
        </is>
      </c>
      <c r="E333" t="inlineStr">
        <is>
          <t>ÖREBRO</t>
        </is>
      </c>
      <c r="G333" t="n">
        <v>4.1</v>
      </c>
      <c r="H333" t="n">
        <v>0</v>
      </c>
      <c r="I333" t="n">
        <v>0</v>
      </c>
      <c r="J333" t="n">
        <v>0</v>
      </c>
      <c r="K333" t="n">
        <v>0</v>
      </c>
      <c r="L333" t="n">
        <v>0</v>
      </c>
      <c r="M333" t="n">
        <v>0</v>
      </c>
      <c r="N333" t="n">
        <v>0</v>
      </c>
      <c r="O333" t="n">
        <v>0</v>
      </c>
      <c r="P333" t="n">
        <v>0</v>
      </c>
      <c r="Q333" t="n">
        <v>0</v>
      </c>
      <c r="R333" s="2" t="inlineStr"/>
    </row>
    <row r="334" ht="15" customHeight="1">
      <c r="A334" t="inlineStr">
        <is>
          <t>A 52477-2024</t>
        </is>
      </c>
      <c r="B334" s="1" t="n">
        <v>45609</v>
      </c>
      <c r="C334" s="1" t="n">
        <v>46065</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32218-2025</t>
        </is>
      </c>
      <c r="B335" s="1" t="n">
        <v>45835.58880787037</v>
      </c>
      <c r="C335" s="1" t="n">
        <v>46065</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53558-2023</t>
        </is>
      </c>
      <c r="B336" s="1" t="n">
        <v>45230.47266203703</v>
      </c>
      <c r="C336" s="1" t="n">
        <v>46065</v>
      </c>
      <c r="D336" t="inlineStr">
        <is>
          <t>ÖREBRO LÄN</t>
        </is>
      </c>
      <c r="E336" t="inlineStr">
        <is>
          <t>ÖREBRO</t>
        </is>
      </c>
      <c r="F336" t="inlineStr">
        <is>
          <t>Övriga Aktiebolag</t>
        </is>
      </c>
      <c r="G336" t="n">
        <v>4.7</v>
      </c>
      <c r="H336" t="n">
        <v>0</v>
      </c>
      <c r="I336" t="n">
        <v>0</v>
      </c>
      <c r="J336" t="n">
        <v>0</v>
      </c>
      <c r="K336" t="n">
        <v>0</v>
      </c>
      <c r="L336" t="n">
        <v>0</v>
      </c>
      <c r="M336" t="n">
        <v>0</v>
      </c>
      <c r="N336" t="n">
        <v>0</v>
      </c>
      <c r="O336" t="n">
        <v>0</v>
      </c>
      <c r="P336" t="n">
        <v>0</v>
      </c>
      <c r="Q336" t="n">
        <v>0</v>
      </c>
      <c r="R336" s="2" t="inlineStr"/>
    </row>
    <row r="337" ht="15" customHeight="1">
      <c r="A337" t="inlineStr">
        <is>
          <t>A 35843-2022</t>
        </is>
      </c>
      <c r="B337" s="1" t="n">
        <v>44802</v>
      </c>
      <c r="C337" s="1" t="n">
        <v>46065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32188-2025</t>
        </is>
      </c>
      <c r="B338" s="1" t="n">
        <v>45835.56965277778</v>
      </c>
      <c r="C338" s="1" t="n">
        <v>46065</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32195-2025</t>
        </is>
      </c>
      <c r="B339" s="1" t="n">
        <v>45835.57407407407</v>
      </c>
      <c r="C339" s="1" t="n">
        <v>46065</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44271.42121527778</v>
      </c>
      <c r="C340" s="1" t="n">
        <v>46065</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33191-2025</t>
        </is>
      </c>
      <c r="B341" s="1" t="n">
        <v>45840.6003587963</v>
      </c>
      <c r="C341" s="1" t="n">
        <v>46065</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13158-2024</t>
        </is>
      </c>
      <c r="B342" s="1" t="n">
        <v>45386.38728009259</v>
      </c>
      <c r="C342" s="1" t="n">
        <v>46065</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13599-2025</t>
        </is>
      </c>
      <c r="B343" s="1" t="n">
        <v>45736.60597222222</v>
      </c>
      <c r="C343" s="1" t="n">
        <v>46065</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32426-2025</t>
        </is>
      </c>
      <c r="B344" s="1" t="n">
        <v>45838.36179398148</v>
      </c>
      <c r="C344" s="1" t="n">
        <v>46065</v>
      </c>
      <c r="D344" t="inlineStr">
        <is>
          <t>ÖREBRO LÄN</t>
        </is>
      </c>
      <c r="E344" t="inlineStr">
        <is>
          <t>ÖREBRO</t>
        </is>
      </c>
      <c r="G344" t="n">
        <v>1.1</v>
      </c>
      <c r="H344" t="n">
        <v>0</v>
      </c>
      <c r="I344" t="n">
        <v>0</v>
      </c>
      <c r="J344" t="n">
        <v>0</v>
      </c>
      <c r="K344" t="n">
        <v>0</v>
      </c>
      <c r="L344" t="n">
        <v>0</v>
      </c>
      <c r="M344" t="n">
        <v>0</v>
      </c>
      <c r="N344" t="n">
        <v>0</v>
      </c>
      <c r="O344" t="n">
        <v>0</v>
      </c>
      <c r="P344" t="n">
        <v>0</v>
      </c>
      <c r="Q344" t="n">
        <v>0</v>
      </c>
      <c r="R344" s="2" t="inlineStr"/>
    </row>
    <row r="345" ht="15" customHeight="1">
      <c r="A345" t="inlineStr">
        <is>
          <t>A 13181-2023</t>
        </is>
      </c>
      <c r="B345" s="1" t="n">
        <v>45002.60659722222</v>
      </c>
      <c r="C345" s="1" t="n">
        <v>46065</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25996-2024</t>
        </is>
      </c>
      <c r="B346" s="1" t="n">
        <v>45467.89081018518</v>
      </c>
      <c r="C346" s="1" t="n">
        <v>46065</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16676-2025</t>
        </is>
      </c>
      <c r="B347" s="1" t="n">
        <v>45754.44658564815</v>
      </c>
      <c r="C347" s="1" t="n">
        <v>46065</v>
      </c>
      <c r="D347" t="inlineStr">
        <is>
          <t>ÖREBRO LÄN</t>
        </is>
      </c>
      <c r="E347" t="inlineStr">
        <is>
          <t>ÖREBRO</t>
        </is>
      </c>
      <c r="G347" t="n">
        <v>5.8</v>
      </c>
      <c r="H347" t="n">
        <v>0</v>
      </c>
      <c r="I347" t="n">
        <v>0</v>
      </c>
      <c r="J347" t="n">
        <v>0</v>
      </c>
      <c r="K347" t="n">
        <v>0</v>
      </c>
      <c r="L347" t="n">
        <v>0</v>
      </c>
      <c r="M347" t="n">
        <v>0</v>
      </c>
      <c r="N347" t="n">
        <v>0</v>
      </c>
      <c r="O347" t="n">
        <v>0</v>
      </c>
      <c r="P347" t="n">
        <v>0</v>
      </c>
      <c r="Q347" t="n">
        <v>0</v>
      </c>
      <c r="R347" s="2" t="inlineStr"/>
    </row>
    <row r="348" ht="15" customHeight="1">
      <c r="A348" t="inlineStr">
        <is>
          <t>A 32904-2025</t>
        </is>
      </c>
      <c r="B348" s="1" t="n">
        <v>45839</v>
      </c>
      <c r="C348" s="1" t="n">
        <v>46065</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51373-2023</t>
        </is>
      </c>
      <c r="B349" s="1" t="n">
        <v>45213</v>
      </c>
      <c r="C349" s="1" t="n">
        <v>46065</v>
      </c>
      <c r="D349" t="inlineStr">
        <is>
          <t>ÖREBRO LÄN</t>
        </is>
      </c>
      <c r="E349" t="inlineStr">
        <is>
          <t>ÖREBRO</t>
        </is>
      </c>
      <c r="G349" t="n">
        <v>5.9</v>
      </c>
      <c r="H349" t="n">
        <v>0</v>
      </c>
      <c r="I349" t="n">
        <v>0</v>
      </c>
      <c r="J349" t="n">
        <v>0</v>
      </c>
      <c r="K349" t="n">
        <v>0</v>
      </c>
      <c r="L349" t="n">
        <v>0</v>
      </c>
      <c r="M349" t="n">
        <v>0</v>
      </c>
      <c r="N349" t="n">
        <v>0</v>
      </c>
      <c r="O349" t="n">
        <v>0</v>
      </c>
      <c r="P349" t="n">
        <v>0</v>
      </c>
      <c r="Q349" t="n">
        <v>0</v>
      </c>
      <c r="R349" s="2" t="inlineStr"/>
    </row>
    <row r="350" ht="15" customHeight="1">
      <c r="A350" t="inlineStr">
        <is>
          <t>A 1257-2022</t>
        </is>
      </c>
      <c r="B350" s="1" t="n">
        <v>44572</v>
      </c>
      <c r="C350" s="1" t="n">
        <v>46065</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50375-2024</t>
        </is>
      </c>
      <c r="B351" s="1" t="n">
        <v>45601.29311342593</v>
      </c>
      <c r="C351" s="1" t="n">
        <v>46065</v>
      </c>
      <c r="D351" t="inlineStr">
        <is>
          <t>ÖREBRO LÄN</t>
        </is>
      </c>
      <c r="E351" t="inlineStr">
        <is>
          <t>ÖREBRO</t>
        </is>
      </c>
      <c r="G351" t="n">
        <v>5</v>
      </c>
      <c r="H351" t="n">
        <v>0</v>
      </c>
      <c r="I351" t="n">
        <v>0</v>
      </c>
      <c r="J351" t="n">
        <v>0</v>
      </c>
      <c r="K351" t="n">
        <v>0</v>
      </c>
      <c r="L351" t="n">
        <v>0</v>
      </c>
      <c r="M351" t="n">
        <v>0</v>
      </c>
      <c r="N351" t="n">
        <v>0</v>
      </c>
      <c r="O351" t="n">
        <v>0</v>
      </c>
      <c r="P351" t="n">
        <v>0</v>
      </c>
      <c r="Q351" t="n">
        <v>0</v>
      </c>
      <c r="R351" s="2" t="inlineStr"/>
    </row>
    <row r="352" ht="15" customHeight="1">
      <c r="A352" t="inlineStr">
        <is>
          <t>A 52391-2024</t>
        </is>
      </c>
      <c r="B352" s="1" t="n">
        <v>45609.43180555556</v>
      </c>
      <c r="C352" s="1" t="n">
        <v>46065</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40656-2023</t>
        </is>
      </c>
      <c r="B353" s="1" t="n">
        <v>45170</v>
      </c>
      <c r="C353" s="1" t="n">
        <v>46065</v>
      </c>
      <c r="D353" t="inlineStr">
        <is>
          <t>ÖREBRO LÄN</t>
        </is>
      </c>
      <c r="E353" t="inlineStr">
        <is>
          <t>ÖREBRO</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23741-2022</t>
        </is>
      </c>
      <c r="B354" s="1" t="n">
        <v>44722</v>
      </c>
      <c r="C354" s="1" t="n">
        <v>46065</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22677-2022</t>
        </is>
      </c>
      <c r="B355" s="1" t="n">
        <v>44714</v>
      </c>
      <c r="C355" s="1" t="n">
        <v>46065</v>
      </c>
      <c r="D355" t="inlineStr">
        <is>
          <t>ÖREBRO LÄN</t>
        </is>
      </c>
      <c r="E355" t="inlineStr">
        <is>
          <t>ÖREBRO</t>
        </is>
      </c>
      <c r="G355" t="n">
        <v>2.3</v>
      </c>
      <c r="H355" t="n">
        <v>0</v>
      </c>
      <c r="I355" t="n">
        <v>0</v>
      </c>
      <c r="J355" t="n">
        <v>0</v>
      </c>
      <c r="K355" t="n">
        <v>0</v>
      </c>
      <c r="L355" t="n">
        <v>0</v>
      </c>
      <c r="M355" t="n">
        <v>0</v>
      </c>
      <c r="N355" t="n">
        <v>0</v>
      </c>
      <c r="O355" t="n">
        <v>0</v>
      </c>
      <c r="P355" t="n">
        <v>0</v>
      </c>
      <c r="Q355" t="n">
        <v>0</v>
      </c>
      <c r="R355" s="2" t="inlineStr"/>
    </row>
    <row r="356" ht="15" customHeight="1">
      <c r="A356" t="inlineStr">
        <is>
          <t>A 71288-2021</t>
        </is>
      </c>
      <c r="B356" s="1" t="n">
        <v>44539.62481481482</v>
      </c>
      <c r="C356" s="1" t="n">
        <v>46065</v>
      </c>
      <c r="D356" t="inlineStr">
        <is>
          <t>ÖREBRO LÄN</t>
        </is>
      </c>
      <c r="E356" t="inlineStr">
        <is>
          <t>ÖREBRO</t>
        </is>
      </c>
      <c r="G356" t="n">
        <v>3.9</v>
      </c>
      <c r="H356" t="n">
        <v>0</v>
      </c>
      <c r="I356" t="n">
        <v>0</v>
      </c>
      <c r="J356" t="n">
        <v>0</v>
      </c>
      <c r="K356" t="n">
        <v>0</v>
      </c>
      <c r="L356" t="n">
        <v>0</v>
      </c>
      <c r="M356" t="n">
        <v>0</v>
      </c>
      <c r="N356" t="n">
        <v>0</v>
      </c>
      <c r="O356" t="n">
        <v>0</v>
      </c>
      <c r="P356" t="n">
        <v>0</v>
      </c>
      <c r="Q356" t="n">
        <v>0</v>
      </c>
      <c r="R356" s="2" t="inlineStr"/>
    </row>
    <row r="357" ht="15" customHeight="1">
      <c r="A357" t="inlineStr">
        <is>
          <t>A 10830-2023</t>
        </is>
      </c>
      <c r="B357" s="1" t="n">
        <v>44990.89752314815</v>
      </c>
      <c r="C357" s="1" t="n">
        <v>46065</v>
      </c>
      <c r="D357" t="inlineStr">
        <is>
          <t>ÖREBRO LÄN</t>
        </is>
      </c>
      <c r="E357" t="inlineStr">
        <is>
          <t>ÖREBRO</t>
        </is>
      </c>
      <c r="G357" t="n">
        <v>2</v>
      </c>
      <c r="H357" t="n">
        <v>0</v>
      </c>
      <c r="I357" t="n">
        <v>0</v>
      </c>
      <c r="J357" t="n">
        <v>0</v>
      </c>
      <c r="K357" t="n">
        <v>0</v>
      </c>
      <c r="L357" t="n">
        <v>0</v>
      </c>
      <c r="M357" t="n">
        <v>0</v>
      </c>
      <c r="N357" t="n">
        <v>0</v>
      </c>
      <c r="O357" t="n">
        <v>0</v>
      </c>
      <c r="P357" t="n">
        <v>0</v>
      </c>
      <c r="Q357" t="n">
        <v>0</v>
      </c>
      <c r="R357" s="2" t="inlineStr"/>
    </row>
    <row r="358" ht="15" customHeight="1">
      <c r="A358" t="inlineStr">
        <is>
          <t>A 7692-2023</t>
        </is>
      </c>
      <c r="B358" s="1" t="n">
        <v>44972.7762962963</v>
      </c>
      <c r="C358" s="1" t="n">
        <v>46065</v>
      </c>
      <c r="D358" t="inlineStr">
        <is>
          <t>ÖREBRO LÄN</t>
        </is>
      </c>
      <c r="E358" t="inlineStr">
        <is>
          <t>ÖREBRO</t>
        </is>
      </c>
      <c r="G358" t="n">
        <v>1.5</v>
      </c>
      <c r="H358" t="n">
        <v>0</v>
      </c>
      <c r="I358" t="n">
        <v>0</v>
      </c>
      <c r="J358" t="n">
        <v>0</v>
      </c>
      <c r="K358" t="n">
        <v>0</v>
      </c>
      <c r="L358" t="n">
        <v>0</v>
      </c>
      <c r="M358" t="n">
        <v>0</v>
      </c>
      <c r="N358" t="n">
        <v>0</v>
      </c>
      <c r="O358" t="n">
        <v>0</v>
      </c>
      <c r="P358" t="n">
        <v>0</v>
      </c>
      <c r="Q358" t="n">
        <v>0</v>
      </c>
      <c r="R358" s="2" t="inlineStr"/>
    </row>
    <row r="359" ht="15" customHeight="1">
      <c r="A359" t="inlineStr">
        <is>
          <t>A 8274-2025</t>
        </is>
      </c>
      <c r="B359" s="1" t="n">
        <v>45708</v>
      </c>
      <c r="C359" s="1" t="n">
        <v>46065</v>
      </c>
      <c r="D359" t="inlineStr">
        <is>
          <t>ÖREBRO LÄN</t>
        </is>
      </c>
      <c r="E359" t="inlineStr">
        <is>
          <t>ÖREBRO</t>
        </is>
      </c>
      <c r="G359" t="n">
        <v>5.8</v>
      </c>
      <c r="H359" t="n">
        <v>0</v>
      </c>
      <c r="I359" t="n">
        <v>0</v>
      </c>
      <c r="J359" t="n">
        <v>0</v>
      </c>
      <c r="K359" t="n">
        <v>0</v>
      </c>
      <c r="L359" t="n">
        <v>0</v>
      </c>
      <c r="M359" t="n">
        <v>0</v>
      </c>
      <c r="N359" t="n">
        <v>0</v>
      </c>
      <c r="O359" t="n">
        <v>0</v>
      </c>
      <c r="P359" t="n">
        <v>0</v>
      </c>
      <c r="Q359" t="n">
        <v>0</v>
      </c>
      <c r="R359" s="2" t="inlineStr"/>
    </row>
    <row r="360" ht="15" customHeight="1">
      <c r="A360" t="inlineStr">
        <is>
          <t>A 31240-2023</t>
        </is>
      </c>
      <c r="B360" s="1" t="n">
        <v>45114</v>
      </c>
      <c r="C360" s="1" t="n">
        <v>46065</v>
      </c>
      <c r="D360" t="inlineStr">
        <is>
          <t>ÖREBRO LÄN</t>
        </is>
      </c>
      <c r="E360" t="inlineStr">
        <is>
          <t>ÖREBRO</t>
        </is>
      </c>
      <c r="F360" t="inlineStr">
        <is>
          <t>Allmännings- och besparingsskogar</t>
        </is>
      </c>
      <c r="G360" t="n">
        <v>6.2</v>
      </c>
      <c r="H360" t="n">
        <v>0</v>
      </c>
      <c r="I360" t="n">
        <v>0</v>
      </c>
      <c r="J360" t="n">
        <v>0</v>
      </c>
      <c r="K360" t="n">
        <v>0</v>
      </c>
      <c r="L360" t="n">
        <v>0</v>
      </c>
      <c r="M360" t="n">
        <v>0</v>
      </c>
      <c r="N360" t="n">
        <v>0</v>
      </c>
      <c r="O360" t="n">
        <v>0</v>
      </c>
      <c r="P360" t="n">
        <v>0</v>
      </c>
      <c r="Q360" t="n">
        <v>0</v>
      </c>
      <c r="R360" s="2" t="inlineStr"/>
    </row>
    <row r="361" ht="15" customHeight="1">
      <c r="A361" t="inlineStr">
        <is>
          <t>A 50026-2024</t>
        </is>
      </c>
      <c r="B361" s="1" t="n">
        <v>45599.60541666667</v>
      </c>
      <c r="C361" s="1" t="n">
        <v>46065</v>
      </c>
      <c r="D361" t="inlineStr">
        <is>
          <t>ÖREBRO LÄN</t>
        </is>
      </c>
      <c r="E361" t="inlineStr">
        <is>
          <t>ÖREBRO</t>
        </is>
      </c>
      <c r="G361" t="n">
        <v>2.2</v>
      </c>
      <c r="H361" t="n">
        <v>0</v>
      </c>
      <c r="I361" t="n">
        <v>0</v>
      </c>
      <c r="J361" t="n">
        <v>0</v>
      </c>
      <c r="K361" t="n">
        <v>0</v>
      </c>
      <c r="L361" t="n">
        <v>0</v>
      </c>
      <c r="M361" t="n">
        <v>0</v>
      </c>
      <c r="N361" t="n">
        <v>0</v>
      </c>
      <c r="O361" t="n">
        <v>0</v>
      </c>
      <c r="P361" t="n">
        <v>0</v>
      </c>
      <c r="Q361" t="n">
        <v>0</v>
      </c>
      <c r="R361" s="2" t="inlineStr"/>
    </row>
    <row r="362" ht="15" customHeight="1">
      <c r="A362" t="inlineStr">
        <is>
          <t>A 18449-2023</t>
        </is>
      </c>
      <c r="B362" s="1" t="n">
        <v>45042.5203125</v>
      </c>
      <c r="C362" s="1" t="n">
        <v>46065</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58620-2024</t>
        </is>
      </c>
      <c r="B363" s="1" t="n">
        <v>45635.56246527778</v>
      </c>
      <c r="C363" s="1" t="n">
        <v>46065</v>
      </c>
      <c r="D363" t="inlineStr">
        <is>
          <t>ÖREBRO LÄN</t>
        </is>
      </c>
      <c r="E363" t="inlineStr">
        <is>
          <t>ÖREBRO</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16936-2023</t>
        </is>
      </c>
      <c r="B364" s="1" t="n">
        <v>45033.63005787037</v>
      </c>
      <c r="C364" s="1" t="n">
        <v>46065</v>
      </c>
      <c r="D364" t="inlineStr">
        <is>
          <t>ÖREBRO LÄN</t>
        </is>
      </c>
      <c r="E364" t="inlineStr">
        <is>
          <t>ÖREBRO</t>
        </is>
      </c>
      <c r="G364" t="n">
        <v>2</v>
      </c>
      <c r="H364" t="n">
        <v>0</v>
      </c>
      <c r="I364" t="n">
        <v>0</v>
      </c>
      <c r="J364" t="n">
        <v>0</v>
      </c>
      <c r="K364" t="n">
        <v>0</v>
      </c>
      <c r="L364" t="n">
        <v>0</v>
      </c>
      <c r="M364" t="n">
        <v>0</v>
      </c>
      <c r="N364" t="n">
        <v>0</v>
      </c>
      <c r="O364" t="n">
        <v>0</v>
      </c>
      <c r="P364" t="n">
        <v>0</v>
      </c>
      <c r="Q364" t="n">
        <v>0</v>
      </c>
      <c r="R364" s="2" t="inlineStr"/>
    </row>
    <row r="365" ht="15" customHeight="1">
      <c r="A365" t="inlineStr">
        <is>
          <t>A 58532-2024</t>
        </is>
      </c>
      <c r="B365" s="1" t="n">
        <v>45635.44899305556</v>
      </c>
      <c r="C365" s="1" t="n">
        <v>46065</v>
      </c>
      <c r="D365" t="inlineStr">
        <is>
          <t>ÖREBRO LÄN</t>
        </is>
      </c>
      <c r="E365" t="inlineStr">
        <is>
          <t>ÖREBRO</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58145-2024</t>
        </is>
      </c>
      <c r="B366" s="1" t="n">
        <v>45632.43230324074</v>
      </c>
      <c r="C366" s="1" t="n">
        <v>46065</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20150-2024</t>
        </is>
      </c>
      <c r="B367" s="1" t="n">
        <v>45434.57969907407</v>
      </c>
      <c r="C367" s="1" t="n">
        <v>46065</v>
      </c>
      <c r="D367" t="inlineStr">
        <is>
          <t>ÖREBRO LÄN</t>
        </is>
      </c>
      <c r="E367" t="inlineStr">
        <is>
          <t>ÖREBRO</t>
        </is>
      </c>
      <c r="G367" t="n">
        <v>0.5</v>
      </c>
      <c r="H367" t="n">
        <v>0</v>
      </c>
      <c r="I367" t="n">
        <v>0</v>
      </c>
      <c r="J367" t="n">
        <v>0</v>
      </c>
      <c r="K367" t="n">
        <v>0</v>
      </c>
      <c r="L367" t="n">
        <v>0</v>
      </c>
      <c r="M367" t="n">
        <v>0</v>
      </c>
      <c r="N367" t="n">
        <v>0</v>
      </c>
      <c r="O367" t="n">
        <v>0</v>
      </c>
      <c r="P367" t="n">
        <v>0</v>
      </c>
      <c r="Q367" t="n">
        <v>0</v>
      </c>
      <c r="R367" s="2" t="inlineStr"/>
    </row>
    <row r="368" ht="15" customHeight="1">
      <c r="A368" t="inlineStr">
        <is>
          <t>A 64730-2023</t>
        </is>
      </c>
      <c r="B368" s="1" t="n">
        <v>45281</v>
      </c>
      <c r="C368" s="1" t="n">
        <v>46065</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58208-2024</t>
        </is>
      </c>
      <c r="B369" s="1" t="n">
        <v>45632</v>
      </c>
      <c r="C369" s="1" t="n">
        <v>46065</v>
      </c>
      <c r="D369" t="inlineStr">
        <is>
          <t>ÖREBRO LÄN</t>
        </is>
      </c>
      <c r="E369" t="inlineStr">
        <is>
          <t>ÖREBRO</t>
        </is>
      </c>
      <c r="G369" t="n">
        <v>3.1</v>
      </c>
      <c r="H369" t="n">
        <v>0</v>
      </c>
      <c r="I369" t="n">
        <v>0</v>
      </c>
      <c r="J369" t="n">
        <v>0</v>
      </c>
      <c r="K369" t="n">
        <v>0</v>
      </c>
      <c r="L369" t="n">
        <v>0</v>
      </c>
      <c r="M369" t="n">
        <v>0</v>
      </c>
      <c r="N369" t="n">
        <v>0</v>
      </c>
      <c r="O369" t="n">
        <v>0</v>
      </c>
      <c r="P369" t="n">
        <v>0</v>
      </c>
      <c r="Q369" t="n">
        <v>0</v>
      </c>
      <c r="R369" s="2" t="inlineStr"/>
    </row>
    <row r="370" ht="15" customHeight="1">
      <c r="A370" t="inlineStr">
        <is>
          <t>A 19388-2024</t>
        </is>
      </c>
      <c r="B370" s="1" t="n">
        <v>45429.37775462963</v>
      </c>
      <c r="C370" s="1" t="n">
        <v>46065</v>
      </c>
      <c r="D370" t="inlineStr">
        <is>
          <t>ÖREBRO LÄN</t>
        </is>
      </c>
      <c r="E370" t="inlineStr">
        <is>
          <t>ÖREBRO</t>
        </is>
      </c>
      <c r="G370" t="n">
        <v>4.3</v>
      </c>
      <c r="H370" t="n">
        <v>0</v>
      </c>
      <c r="I370" t="n">
        <v>0</v>
      </c>
      <c r="J370" t="n">
        <v>0</v>
      </c>
      <c r="K370" t="n">
        <v>0</v>
      </c>
      <c r="L370" t="n">
        <v>0</v>
      </c>
      <c r="M370" t="n">
        <v>0</v>
      </c>
      <c r="N370" t="n">
        <v>0</v>
      </c>
      <c r="O370" t="n">
        <v>0</v>
      </c>
      <c r="P370" t="n">
        <v>0</v>
      </c>
      <c r="Q370" t="n">
        <v>0</v>
      </c>
      <c r="R370" s="2" t="inlineStr"/>
    </row>
    <row r="371" ht="15" customHeight="1">
      <c r="A371" t="inlineStr">
        <is>
          <t>A 48687-2024</t>
        </is>
      </c>
      <c r="B371" s="1" t="n">
        <v>45593.49899305555</v>
      </c>
      <c r="C371" s="1" t="n">
        <v>46065</v>
      </c>
      <c r="D371" t="inlineStr">
        <is>
          <t>ÖREBRO LÄN</t>
        </is>
      </c>
      <c r="E371" t="inlineStr">
        <is>
          <t>ÖREBRO</t>
        </is>
      </c>
      <c r="F371" t="inlineStr">
        <is>
          <t>Övriga Aktiebolag</t>
        </is>
      </c>
      <c r="G371" t="n">
        <v>3.8</v>
      </c>
      <c r="H371" t="n">
        <v>0</v>
      </c>
      <c r="I371" t="n">
        <v>0</v>
      </c>
      <c r="J371" t="n">
        <v>0</v>
      </c>
      <c r="K371" t="n">
        <v>0</v>
      </c>
      <c r="L371" t="n">
        <v>0</v>
      </c>
      <c r="M371" t="n">
        <v>0</v>
      </c>
      <c r="N371" t="n">
        <v>0</v>
      </c>
      <c r="O371" t="n">
        <v>0</v>
      </c>
      <c r="P371" t="n">
        <v>0</v>
      </c>
      <c r="Q371" t="n">
        <v>0</v>
      </c>
      <c r="R371" s="2" t="inlineStr"/>
    </row>
    <row r="372" ht="15" customHeight="1">
      <c r="A372" t="inlineStr">
        <is>
          <t>A 7141-2025</t>
        </is>
      </c>
      <c r="B372" s="1" t="n">
        <v>45702</v>
      </c>
      <c r="C372" s="1" t="n">
        <v>46065</v>
      </c>
      <c r="D372" t="inlineStr">
        <is>
          <t>ÖREBRO LÄN</t>
        </is>
      </c>
      <c r="E372" t="inlineStr">
        <is>
          <t>ÖREBRO</t>
        </is>
      </c>
      <c r="G372" t="n">
        <v>2.9</v>
      </c>
      <c r="H372" t="n">
        <v>0</v>
      </c>
      <c r="I372" t="n">
        <v>0</v>
      </c>
      <c r="J372" t="n">
        <v>0</v>
      </c>
      <c r="K372" t="n">
        <v>0</v>
      </c>
      <c r="L372" t="n">
        <v>0</v>
      </c>
      <c r="M372" t="n">
        <v>0</v>
      </c>
      <c r="N372" t="n">
        <v>0</v>
      </c>
      <c r="O372" t="n">
        <v>0</v>
      </c>
      <c r="P372" t="n">
        <v>0</v>
      </c>
      <c r="Q372" t="n">
        <v>0</v>
      </c>
      <c r="R372" s="2" t="inlineStr"/>
    </row>
    <row r="373" ht="15" customHeight="1">
      <c r="A373" t="inlineStr">
        <is>
          <t>A 59024-2024</t>
        </is>
      </c>
      <c r="B373" s="1" t="n">
        <v>45636.68505787037</v>
      </c>
      <c r="C373" s="1" t="n">
        <v>46065</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7506-2025</t>
        </is>
      </c>
      <c r="B374" s="1" t="n">
        <v>45705</v>
      </c>
      <c r="C374" s="1" t="n">
        <v>46065</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4344-2025</t>
        </is>
      </c>
      <c r="B375" s="1" t="n">
        <v>45685</v>
      </c>
      <c r="C375" s="1" t="n">
        <v>46065</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16300-2022</t>
        </is>
      </c>
      <c r="B376" s="1" t="n">
        <v>44670</v>
      </c>
      <c r="C376" s="1" t="n">
        <v>46065</v>
      </c>
      <c r="D376" t="inlineStr">
        <is>
          <t>ÖREBRO LÄN</t>
        </is>
      </c>
      <c r="E376" t="inlineStr">
        <is>
          <t>ÖREBRO</t>
        </is>
      </c>
      <c r="G376" t="n">
        <v>0.8</v>
      </c>
      <c r="H376" t="n">
        <v>0</v>
      </c>
      <c r="I376" t="n">
        <v>0</v>
      </c>
      <c r="J376" t="n">
        <v>0</v>
      </c>
      <c r="K376" t="n">
        <v>0</v>
      </c>
      <c r="L376" t="n">
        <v>0</v>
      </c>
      <c r="M376" t="n">
        <v>0</v>
      </c>
      <c r="N376" t="n">
        <v>0</v>
      </c>
      <c r="O376" t="n">
        <v>0</v>
      </c>
      <c r="P376" t="n">
        <v>0</v>
      </c>
      <c r="Q376" t="n">
        <v>0</v>
      </c>
      <c r="R376" s="2" t="inlineStr"/>
    </row>
    <row r="377" ht="15" customHeight="1">
      <c r="A377" t="inlineStr">
        <is>
          <t>A 13657-2025</t>
        </is>
      </c>
      <c r="B377" s="1" t="n">
        <v>45736.7427662037</v>
      </c>
      <c r="C377" s="1" t="n">
        <v>46065</v>
      </c>
      <c r="D377" t="inlineStr">
        <is>
          <t>ÖREBRO LÄN</t>
        </is>
      </c>
      <c r="E377" t="inlineStr">
        <is>
          <t>ÖREBRO</t>
        </is>
      </c>
      <c r="G377" t="n">
        <v>3.8</v>
      </c>
      <c r="H377" t="n">
        <v>0</v>
      </c>
      <c r="I377" t="n">
        <v>0</v>
      </c>
      <c r="J377" t="n">
        <v>0</v>
      </c>
      <c r="K377" t="n">
        <v>0</v>
      </c>
      <c r="L377" t="n">
        <v>0</v>
      </c>
      <c r="M377" t="n">
        <v>0</v>
      </c>
      <c r="N377" t="n">
        <v>0</v>
      </c>
      <c r="O377" t="n">
        <v>0</v>
      </c>
      <c r="P377" t="n">
        <v>0</v>
      </c>
      <c r="Q377" t="n">
        <v>0</v>
      </c>
      <c r="R377" s="2" t="inlineStr"/>
    </row>
    <row r="378" ht="15" customHeight="1">
      <c r="A378" t="inlineStr">
        <is>
          <t>A 57867-2024</t>
        </is>
      </c>
      <c r="B378" s="1" t="n">
        <v>45631.43864583333</v>
      </c>
      <c r="C378" s="1" t="n">
        <v>46065</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16958-2022</t>
        </is>
      </c>
      <c r="B379" s="1" t="n">
        <v>44676.50481481481</v>
      </c>
      <c r="C379" s="1" t="n">
        <v>46065</v>
      </c>
      <c r="D379" t="inlineStr">
        <is>
          <t>ÖREBRO LÄN</t>
        </is>
      </c>
      <c r="E379" t="inlineStr">
        <is>
          <t>ÖREBRO</t>
        </is>
      </c>
      <c r="G379" t="n">
        <v>3.1</v>
      </c>
      <c r="H379" t="n">
        <v>0</v>
      </c>
      <c r="I379" t="n">
        <v>0</v>
      </c>
      <c r="J379" t="n">
        <v>0</v>
      </c>
      <c r="K379" t="n">
        <v>0</v>
      </c>
      <c r="L379" t="n">
        <v>0</v>
      </c>
      <c r="M379" t="n">
        <v>0</v>
      </c>
      <c r="N379" t="n">
        <v>0</v>
      </c>
      <c r="O379" t="n">
        <v>0</v>
      </c>
      <c r="P379" t="n">
        <v>0</v>
      </c>
      <c r="Q379" t="n">
        <v>0</v>
      </c>
      <c r="R379" s="2" t="inlineStr"/>
    </row>
    <row r="380" ht="15" customHeight="1">
      <c r="A380" t="inlineStr">
        <is>
          <t>A 29138-2022</t>
        </is>
      </c>
      <c r="B380" s="1" t="n">
        <v>44750</v>
      </c>
      <c r="C380" s="1" t="n">
        <v>46065</v>
      </c>
      <c r="D380" t="inlineStr">
        <is>
          <t>ÖREBRO LÄN</t>
        </is>
      </c>
      <c r="E380" t="inlineStr">
        <is>
          <t>ÖREBRO</t>
        </is>
      </c>
      <c r="G380" t="n">
        <v>3.3</v>
      </c>
      <c r="H380" t="n">
        <v>0</v>
      </c>
      <c r="I380" t="n">
        <v>0</v>
      </c>
      <c r="J380" t="n">
        <v>0</v>
      </c>
      <c r="K380" t="n">
        <v>0</v>
      </c>
      <c r="L380" t="n">
        <v>0</v>
      </c>
      <c r="M380" t="n">
        <v>0</v>
      </c>
      <c r="N380" t="n">
        <v>0</v>
      </c>
      <c r="O380" t="n">
        <v>0</v>
      </c>
      <c r="P380" t="n">
        <v>0</v>
      </c>
      <c r="Q380" t="n">
        <v>0</v>
      </c>
      <c r="R380" s="2" t="inlineStr"/>
    </row>
    <row r="381" ht="15" customHeight="1">
      <c r="A381" t="inlineStr">
        <is>
          <t>A 29143-2022</t>
        </is>
      </c>
      <c r="B381" s="1" t="n">
        <v>44750</v>
      </c>
      <c r="C381" s="1" t="n">
        <v>46065</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55472-2023</t>
        </is>
      </c>
      <c r="B382" s="1" t="n">
        <v>45238</v>
      </c>
      <c r="C382" s="1" t="n">
        <v>46065</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35062-2025</t>
        </is>
      </c>
      <c r="B383" s="1" t="n">
        <v>45852</v>
      </c>
      <c r="C383" s="1" t="n">
        <v>46065</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21983-2021</t>
        </is>
      </c>
      <c r="B384" s="1" t="n">
        <v>44323</v>
      </c>
      <c r="C384" s="1" t="n">
        <v>46065</v>
      </c>
      <c r="D384" t="inlineStr">
        <is>
          <t>ÖREBRO LÄN</t>
        </is>
      </c>
      <c r="E384" t="inlineStr">
        <is>
          <t>ÖREBRO</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3120-2022</t>
        </is>
      </c>
      <c r="B385" s="1" t="n">
        <v>44582</v>
      </c>
      <c r="C385" s="1" t="n">
        <v>46065</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54925-2023</t>
        </is>
      </c>
      <c r="B386" s="1" t="n">
        <v>45229</v>
      </c>
      <c r="C386" s="1" t="n">
        <v>46065</v>
      </c>
      <c r="D386" t="inlineStr">
        <is>
          <t>ÖREBRO LÄN</t>
        </is>
      </c>
      <c r="E386" t="inlineStr">
        <is>
          <t>ÖREBRO</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8568-2021</t>
        </is>
      </c>
      <c r="B387" s="1" t="n">
        <v>44245</v>
      </c>
      <c r="C387" s="1" t="n">
        <v>46065</v>
      </c>
      <c r="D387" t="inlineStr">
        <is>
          <t>ÖREBRO LÄN</t>
        </is>
      </c>
      <c r="E387" t="inlineStr">
        <is>
          <t>ÖREBRO</t>
        </is>
      </c>
      <c r="G387" t="n">
        <v>4.8</v>
      </c>
      <c r="H387" t="n">
        <v>0</v>
      </c>
      <c r="I387" t="n">
        <v>0</v>
      </c>
      <c r="J387" t="n">
        <v>0</v>
      </c>
      <c r="K387" t="n">
        <v>0</v>
      </c>
      <c r="L387" t="n">
        <v>0</v>
      </c>
      <c r="M387" t="n">
        <v>0</v>
      </c>
      <c r="N387" t="n">
        <v>0</v>
      </c>
      <c r="O387" t="n">
        <v>0</v>
      </c>
      <c r="P387" t="n">
        <v>0</v>
      </c>
      <c r="Q387" t="n">
        <v>0</v>
      </c>
      <c r="R387" s="2" t="inlineStr"/>
    </row>
    <row r="388" ht="15" customHeight="1">
      <c r="A388" t="inlineStr">
        <is>
          <t>A 58606-2024</t>
        </is>
      </c>
      <c r="B388" s="1" t="n">
        <v>45635.54747685185</v>
      </c>
      <c r="C388" s="1" t="n">
        <v>46065</v>
      </c>
      <c r="D388" t="inlineStr">
        <is>
          <t>ÖREBRO LÄN</t>
        </is>
      </c>
      <c r="E388" t="inlineStr">
        <is>
          <t>ÖREBRO</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16961-2022</t>
        </is>
      </c>
      <c r="B389" s="1" t="n">
        <v>44676</v>
      </c>
      <c r="C389" s="1" t="n">
        <v>46065</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26101-2022</t>
        </is>
      </c>
      <c r="B390" s="1" t="n">
        <v>44734</v>
      </c>
      <c r="C390" s="1" t="n">
        <v>46065</v>
      </c>
      <c r="D390" t="inlineStr">
        <is>
          <t>ÖREBRO LÄN</t>
        </is>
      </c>
      <c r="E390" t="inlineStr">
        <is>
          <t>ÖREBRO</t>
        </is>
      </c>
      <c r="G390" t="n">
        <v>15.8</v>
      </c>
      <c r="H390" t="n">
        <v>0</v>
      </c>
      <c r="I390" t="n">
        <v>0</v>
      </c>
      <c r="J390" t="n">
        <v>0</v>
      </c>
      <c r="K390" t="n">
        <v>0</v>
      </c>
      <c r="L390" t="n">
        <v>0</v>
      </c>
      <c r="M390" t="n">
        <v>0</v>
      </c>
      <c r="N390" t="n">
        <v>0</v>
      </c>
      <c r="O390" t="n">
        <v>0</v>
      </c>
      <c r="P390" t="n">
        <v>0</v>
      </c>
      <c r="Q390" t="n">
        <v>0</v>
      </c>
      <c r="R390" s="2" t="inlineStr"/>
    </row>
    <row r="391" ht="15" customHeight="1">
      <c r="A391" t="inlineStr">
        <is>
          <t>A 28821-2025</t>
        </is>
      </c>
      <c r="B391" s="1" t="n">
        <v>45820</v>
      </c>
      <c r="C391" s="1" t="n">
        <v>46065</v>
      </c>
      <c r="D391" t="inlineStr">
        <is>
          <t>ÖREBRO LÄN</t>
        </is>
      </c>
      <c r="E391" t="inlineStr">
        <is>
          <t>ÖREBRO</t>
        </is>
      </c>
      <c r="G391" t="n">
        <v>12.6</v>
      </c>
      <c r="H391" t="n">
        <v>0</v>
      </c>
      <c r="I391" t="n">
        <v>0</v>
      </c>
      <c r="J391" t="n">
        <v>0</v>
      </c>
      <c r="K391" t="n">
        <v>0</v>
      </c>
      <c r="L391" t="n">
        <v>0</v>
      </c>
      <c r="M391" t="n">
        <v>0</v>
      </c>
      <c r="N391" t="n">
        <v>0</v>
      </c>
      <c r="O391" t="n">
        <v>0</v>
      </c>
      <c r="P391" t="n">
        <v>0</v>
      </c>
      <c r="Q391" t="n">
        <v>0</v>
      </c>
      <c r="R391" s="2" t="inlineStr"/>
    </row>
    <row r="392" ht="15" customHeight="1">
      <c r="A392" t="inlineStr">
        <is>
          <t>A 15424-2022</t>
        </is>
      </c>
      <c r="B392" s="1" t="n">
        <v>44659</v>
      </c>
      <c r="C392" s="1" t="n">
        <v>46065</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58486-2024</t>
        </is>
      </c>
      <c r="B393" s="1" t="n">
        <v>45635</v>
      </c>
      <c r="C393" s="1" t="n">
        <v>46065</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35637-2025</t>
        </is>
      </c>
      <c r="B394" s="1" t="n">
        <v>45859.46859953704</v>
      </c>
      <c r="C394" s="1" t="n">
        <v>46065</v>
      </c>
      <c r="D394" t="inlineStr">
        <is>
          <t>ÖREBRO LÄN</t>
        </is>
      </c>
      <c r="E394" t="inlineStr">
        <is>
          <t>ÖREBRO</t>
        </is>
      </c>
      <c r="G394" t="n">
        <v>2.1</v>
      </c>
      <c r="H394" t="n">
        <v>0</v>
      </c>
      <c r="I394" t="n">
        <v>0</v>
      </c>
      <c r="J394" t="n">
        <v>0</v>
      </c>
      <c r="K394" t="n">
        <v>0</v>
      </c>
      <c r="L394" t="n">
        <v>0</v>
      </c>
      <c r="M394" t="n">
        <v>0</v>
      </c>
      <c r="N394" t="n">
        <v>0</v>
      </c>
      <c r="O394" t="n">
        <v>0</v>
      </c>
      <c r="P394" t="n">
        <v>0</v>
      </c>
      <c r="Q394" t="n">
        <v>0</v>
      </c>
      <c r="R394" s="2" t="inlineStr"/>
    </row>
    <row r="395" ht="15" customHeight="1">
      <c r="A395" t="inlineStr">
        <is>
          <t>A 14053-2025</t>
        </is>
      </c>
      <c r="B395" s="1" t="n">
        <v>45739</v>
      </c>
      <c r="C395" s="1" t="n">
        <v>46065</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35345-2024</t>
        </is>
      </c>
      <c r="B396" s="1" t="n">
        <v>45530</v>
      </c>
      <c r="C396" s="1" t="n">
        <v>46065</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123-2025</t>
        </is>
      </c>
      <c r="B397" s="1" t="n">
        <v>45659.54851851852</v>
      </c>
      <c r="C397" s="1" t="n">
        <v>46065</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35928-2025</t>
        </is>
      </c>
      <c r="B398" s="1" t="n">
        <v>45862</v>
      </c>
      <c r="C398" s="1" t="n">
        <v>46065</v>
      </c>
      <c r="D398" t="inlineStr">
        <is>
          <t>ÖREBRO LÄN</t>
        </is>
      </c>
      <c r="E398" t="inlineStr">
        <is>
          <t>ÖREBRO</t>
        </is>
      </c>
      <c r="G398" t="n">
        <v>4.4</v>
      </c>
      <c r="H398" t="n">
        <v>0</v>
      </c>
      <c r="I398" t="n">
        <v>0</v>
      </c>
      <c r="J398" t="n">
        <v>0</v>
      </c>
      <c r="K398" t="n">
        <v>0</v>
      </c>
      <c r="L398" t="n">
        <v>0</v>
      </c>
      <c r="M398" t="n">
        <v>0</v>
      </c>
      <c r="N398" t="n">
        <v>0</v>
      </c>
      <c r="O398" t="n">
        <v>0</v>
      </c>
      <c r="P398" t="n">
        <v>0</v>
      </c>
      <c r="Q398" t="n">
        <v>0</v>
      </c>
      <c r="R398" s="2" t="inlineStr"/>
    </row>
    <row r="399" ht="15" customHeight="1">
      <c r="A399" t="inlineStr">
        <is>
          <t>A 55453-2024</t>
        </is>
      </c>
      <c r="B399" s="1" t="n">
        <v>45622.42097222222</v>
      </c>
      <c r="C399" s="1" t="n">
        <v>46065</v>
      </c>
      <c r="D399" t="inlineStr">
        <is>
          <t>ÖREBRO LÄN</t>
        </is>
      </c>
      <c r="E399" t="inlineStr">
        <is>
          <t>ÖREBRO</t>
        </is>
      </c>
      <c r="G399" t="n">
        <v>8.5</v>
      </c>
      <c r="H399" t="n">
        <v>0</v>
      </c>
      <c r="I399" t="n">
        <v>0</v>
      </c>
      <c r="J399" t="n">
        <v>0</v>
      </c>
      <c r="K399" t="n">
        <v>0</v>
      </c>
      <c r="L399" t="n">
        <v>0</v>
      </c>
      <c r="M399" t="n">
        <v>0</v>
      </c>
      <c r="N399" t="n">
        <v>0</v>
      </c>
      <c r="O399" t="n">
        <v>0</v>
      </c>
      <c r="P399" t="n">
        <v>0</v>
      </c>
      <c r="Q399" t="n">
        <v>0</v>
      </c>
      <c r="R399" s="2" t="inlineStr"/>
    </row>
    <row r="400" ht="15" customHeight="1">
      <c r="A400" t="inlineStr">
        <is>
          <t>A 13700-2024</t>
        </is>
      </c>
      <c r="B400" s="1" t="n">
        <v>45390.59277777778</v>
      </c>
      <c r="C400" s="1" t="n">
        <v>46065</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30472-2022</t>
        </is>
      </c>
      <c r="B401" s="1" t="n">
        <v>44761.70467592592</v>
      </c>
      <c r="C401" s="1" t="n">
        <v>46065</v>
      </c>
      <c r="D401" t="inlineStr">
        <is>
          <t>ÖREBRO LÄN</t>
        </is>
      </c>
      <c r="E401" t="inlineStr">
        <is>
          <t>ÖREBRO</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44284-2022</t>
        </is>
      </c>
      <c r="B402" s="1" t="n">
        <v>44839.59194444444</v>
      </c>
      <c r="C402" s="1" t="n">
        <v>46065</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6869-2025</t>
        </is>
      </c>
      <c r="B403" s="1" t="n">
        <v>45700</v>
      </c>
      <c r="C403" s="1" t="n">
        <v>46065</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32025-2024</t>
        </is>
      </c>
      <c r="B404" s="1" t="n">
        <v>45510.65754629629</v>
      </c>
      <c r="C404" s="1" t="n">
        <v>46065</v>
      </c>
      <c r="D404" t="inlineStr">
        <is>
          <t>ÖREBRO LÄN</t>
        </is>
      </c>
      <c r="E404" t="inlineStr">
        <is>
          <t>ÖREBRO</t>
        </is>
      </c>
      <c r="G404" t="n">
        <v>4</v>
      </c>
      <c r="H404" t="n">
        <v>0</v>
      </c>
      <c r="I404" t="n">
        <v>0</v>
      </c>
      <c r="J404" t="n">
        <v>0</v>
      </c>
      <c r="K404" t="n">
        <v>0</v>
      </c>
      <c r="L404" t="n">
        <v>0</v>
      </c>
      <c r="M404" t="n">
        <v>0</v>
      </c>
      <c r="N404" t="n">
        <v>0</v>
      </c>
      <c r="O404" t="n">
        <v>0</v>
      </c>
      <c r="P404" t="n">
        <v>0</v>
      </c>
      <c r="Q404" t="n">
        <v>0</v>
      </c>
      <c r="R404" s="2" t="inlineStr"/>
    </row>
    <row r="405" ht="15" customHeight="1">
      <c r="A405" t="inlineStr">
        <is>
          <t>A 57869-2024</t>
        </is>
      </c>
      <c r="B405" s="1" t="n">
        <v>45631.44207175926</v>
      </c>
      <c r="C405" s="1" t="n">
        <v>46065</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3659-2025</t>
        </is>
      </c>
      <c r="B406" s="1" t="n">
        <v>45681</v>
      </c>
      <c r="C406" s="1" t="n">
        <v>46065</v>
      </c>
      <c r="D406" t="inlineStr">
        <is>
          <t>ÖREBRO LÄN</t>
        </is>
      </c>
      <c r="E406" t="inlineStr">
        <is>
          <t>ÖREBRO</t>
        </is>
      </c>
      <c r="G406" t="n">
        <v>15.8</v>
      </c>
      <c r="H406" t="n">
        <v>0</v>
      </c>
      <c r="I406" t="n">
        <v>0</v>
      </c>
      <c r="J406" t="n">
        <v>0</v>
      </c>
      <c r="K406" t="n">
        <v>0</v>
      </c>
      <c r="L406" t="n">
        <v>0</v>
      </c>
      <c r="M406" t="n">
        <v>0</v>
      </c>
      <c r="N406" t="n">
        <v>0</v>
      </c>
      <c r="O406" t="n">
        <v>0</v>
      </c>
      <c r="P406" t="n">
        <v>0</v>
      </c>
      <c r="Q406" t="n">
        <v>0</v>
      </c>
      <c r="R406" s="2" t="inlineStr"/>
    </row>
    <row r="407" ht="15" customHeight="1">
      <c r="A407" t="inlineStr">
        <is>
          <t>A 1014-2024</t>
        </is>
      </c>
      <c r="B407" s="1" t="n">
        <v>45301</v>
      </c>
      <c r="C407" s="1" t="n">
        <v>46065</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36448-2025</t>
        </is>
      </c>
      <c r="B408" s="1" t="n">
        <v>45869.41929398148</v>
      </c>
      <c r="C408" s="1" t="n">
        <v>46065</v>
      </c>
      <c r="D408" t="inlineStr">
        <is>
          <t>ÖREBRO LÄN</t>
        </is>
      </c>
      <c r="E408" t="inlineStr">
        <is>
          <t>ÖREBRO</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37277-2022</t>
        </is>
      </c>
      <c r="B409" s="1" t="n">
        <v>44807.49150462963</v>
      </c>
      <c r="C409" s="1" t="n">
        <v>46065</v>
      </c>
      <c r="D409" t="inlineStr">
        <is>
          <t>ÖREBRO LÄN</t>
        </is>
      </c>
      <c r="E409" t="inlineStr">
        <is>
          <t>ÖREBRO</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36447-2025</t>
        </is>
      </c>
      <c r="B410" s="1" t="n">
        <v>45869.41387731482</v>
      </c>
      <c r="C410" s="1" t="n">
        <v>46065</v>
      </c>
      <c r="D410" t="inlineStr">
        <is>
          <t>ÖREBRO LÄN</t>
        </is>
      </c>
      <c r="E410" t="inlineStr">
        <is>
          <t>ÖREBRO</t>
        </is>
      </c>
      <c r="F410" t="inlineStr">
        <is>
          <t>Övriga Aktiebolag</t>
        </is>
      </c>
      <c r="G410" t="n">
        <v>12.6</v>
      </c>
      <c r="H410" t="n">
        <v>0</v>
      </c>
      <c r="I410" t="n">
        <v>0</v>
      </c>
      <c r="J410" t="n">
        <v>0</v>
      </c>
      <c r="K410" t="n">
        <v>0</v>
      </c>
      <c r="L410" t="n">
        <v>0</v>
      </c>
      <c r="M410" t="n">
        <v>0</v>
      </c>
      <c r="N410" t="n">
        <v>0</v>
      </c>
      <c r="O410" t="n">
        <v>0</v>
      </c>
      <c r="P410" t="n">
        <v>0</v>
      </c>
      <c r="Q410" t="n">
        <v>0</v>
      </c>
      <c r="R410" s="2" t="inlineStr"/>
    </row>
    <row r="411" ht="15" customHeight="1">
      <c r="A411" t="inlineStr">
        <is>
          <t>A 27956-2023</t>
        </is>
      </c>
      <c r="B411" s="1" t="n">
        <v>45098</v>
      </c>
      <c r="C411" s="1" t="n">
        <v>46065</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8374-2021</t>
        </is>
      </c>
      <c r="B412" s="1" t="n">
        <v>44244</v>
      </c>
      <c r="C412" s="1" t="n">
        <v>46065</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51331-2023</t>
        </is>
      </c>
      <c r="B413" s="1" t="n">
        <v>45219</v>
      </c>
      <c r="C413" s="1" t="n">
        <v>46065</v>
      </c>
      <c r="D413" t="inlineStr">
        <is>
          <t>ÖREBRO LÄN</t>
        </is>
      </c>
      <c r="E413" t="inlineStr">
        <is>
          <t>ÖREBRO</t>
        </is>
      </c>
      <c r="F413" t="inlineStr">
        <is>
          <t>Kommuner</t>
        </is>
      </c>
      <c r="G413" t="n">
        <v>1.3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46065</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767-2024</t>
        </is>
      </c>
      <c r="B415" s="1" t="n">
        <v>45300.51892361111</v>
      </c>
      <c r="C415" s="1" t="n">
        <v>46065</v>
      </c>
      <c r="D415" t="inlineStr">
        <is>
          <t>ÖREBRO LÄN</t>
        </is>
      </c>
      <c r="E415" t="inlineStr">
        <is>
          <t>ÖREBRO</t>
        </is>
      </c>
      <c r="G415" t="n">
        <v>2</v>
      </c>
      <c r="H415" t="n">
        <v>0</v>
      </c>
      <c r="I415" t="n">
        <v>0</v>
      </c>
      <c r="J415" t="n">
        <v>0</v>
      </c>
      <c r="K415" t="n">
        <v>0</v>
      </c>
      <c r="L415" t="n">
        <v>0</v>
      </c>
      <c r="M415" t="n">
        <v>0</v>
      </c>
      <c r="N415" t="n">
        <v>0</v>
      </c>
      <c r="O415" t="n">
        <v>0</v>
      </c>
      <c r="P415" t="n">
        <v>0</v>
      </c>
      <c r="Q415" t="n">
        <v>0</v>
      </c>
      <c r="R415" s="2" t="inlineStr"/>
    </row>
    <row r="416" ht="15" customHeight="1">
      <c r="A416" t="inlineStr">
        <is>
          <t>A 40231-2022</t>
        </is>
      </c>
      <c r="B416" s="1" t="n">
        <v>44820</v>
      </c>
      <c r="C416" s="1" t="n">
        <v>46065</v>
      </c>
      <c r="D416" t="inlineStr">
        <is>
          <t>ÖREBRO LÄN</t>
        </is>
      </c>
      <c r="E416" t="inlineStr">
        <is>
          <t>ÖREBRO</t>
        </is>
      </c>
      <c r="F416" t="inlineStr">
        <is>
          <t>Allmännings- och besparingsskogar</t>
        </is>
      </c>
      <c r="G416" t="n">
        <v>2.2</v>
      </c>
      <c r="H416" t="n">
        <v>0</v>
      </c>
      <c r="I416" t="n">
        <v>0</v>
      </c>
      <c r="J416" t="n">
        <v>0</v>
      </c>
      <c r="K416" t="n">
        <v>0</v>
      </c>
      <c r="L416" t="n">
        <v>0</v>
      </c>
      <c r="M416" t="n">
        <v>0</v>
      </c>
      <c r="N416" t="n">
        <v>0</v>
      </c>
      <c r="O416" t="n">
        <v>0</v>
      </c>
      <c r="P416" t="n">
        <v>0</v>
      </c>
      <c r="Q416" t="n">
        <v>0</v>
      </c>
      <c r="R416" s="2" t="inlineStr"/>
    </row>
    <row r="417" ht="15" customHeight="1">
      <c r="A417" t="inlineStr">
        <is>
          <t>A 44511-2023</t>
        </is>
      </c>
      <c r="B417" s="1" t="n">
        <v>45189</v>
      </c>
      <c r="C417" s="1" t="n">
        <v>46065</v>
      </c>
      <c r="D417" t="inlineStr">
        <is>
          <t>ÖREBRO LÄN</t>
        </is>
      </c>
      <c r="E417" t="inlineStr">
        <is>
          <t>ÖREBRO</t>
        </is>
      </c>
      <c r="F417" t="inlineStr">
        <is>
          <t>Allmännings- och besparingsskogar</t>
        </is>
      </c>
      <c r="G417" t="n">
        <v>2.7</v>
      </c>
      <c r="H417" t="n">
        <v>0</v>
      </c>
      <c r="I417" t="n">
        <v>0</v>
      </c>
      <c r="J417" t="n">
        <v>0</v>
      </c>
      <c r="K417" t="n">
        <v>0</v>
      </c>
      <c r="L417" t="n">
        <v>0</v>
      </c>
      <c r="M417" t="n">
        <v>0</v>
      </c>
      <c r="N417" t="n">
        <v>0</v>
      </c>
      <c r="O417" t="n">
        <v>0</v>
      </c>
      <c r="P417" t="n">
        <v>0</v>
      </c>
      <c r="Q417" t="n">
        <v>0</v>
      </c>
      <c r="R417" s="2" t="inlineStr"/>
    </row>
    <row r="418" ht="15" customHeight="1">
      <c r="A418" t="inlineStr">
        <is>
          <t>A 53234-2023</t>
        </is>
      </c>
      <c r="B418" s="1" t="n">
        <v>45229</v>
      </c>
      <c r="C418" s="1" t="n">
        <v>46065</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4284-2025</t>
        </is>
      </c>
      <c r="B419" s="1" t="n">
        <v>45685</v>
      </c>
      <c r="C419" s="1" t="n">
        <v>46065</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8331-2021</t>
        </is>
      </c>
      <c r="B420" s="1" t="n">
        <v>44244</v>
      </c>
      <c r="C420" s="1" t="n">
        <v>46065</v>
      </c>
      <c r="D420" t="inlineStr">
        <is>
          <t>ÖREBRO LÄN</t>
        </is>
      </c>
      <c r="E420" t="inlineStr">
        <is>
          <t>ÖREBRO</t>
        </is>
      </c>
      <c r="G420" t="n">
        <v>9.1</v>
      </c>
      <c r="H420" t="n">
        <v>0</v>
      </c>
      <c r="I420" t="n">
        <v>0</v>
      </c>
      <c r="J420" t="n">
        <v>0</v>
      </c>
      <c r="K420" t="n">
        <v>0</v>
      </c>
      <c r="L420" t="n">
        <v>0</v>
      </c>
      <c r="M420" t="n">
        <v>0</v>
      </c>
      <c r="N420" t="n">
        <v>0</v>
      </c>
      <c r="O420" t="n">
        <v>0</v>
      </c>
      <c r="P420" t="n">
        <v>0</v>
      </c>
      <c r="Q420" t="n">
        <v>0</v>
      </c>
      <c r="R420" s="2" t="inlineStr"/>
    </row>
    <row r="421" ht="15" customHeight="1">
      <c r="A421" t="inlineStr">
        <is>
          <t>A 8332-2021</t>
        </is>
      </c>
      <c r="B421" s="1" t="n">
        <v>44244</v>
      </c>
      <c r="C421" s="1" t="n">
        <v>46065</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8512-2025</t>
        </is>
      </c>
      <c r="B422" s="1" t="n">
        <v>45709.54873842592</v>
      </c>
      <c r="C422" s="1" t="n">
        <v>46065</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25443-2021</t>
        </is>
      </c>
      <c r="B423" s="1" t="n">
        <v>44342</v>
      </c>
      <c r="C423" s="1" t="n">
        <v>46065</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14544-2023</t>
        </is>
      </c>
      <c r="B424" s="1" t="n">
        <v>45013</v>
      </c>
      <c r="C424" s="1" t="n">
        <v>46065</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29554-2025</t>
        </is>
      </c>
      <c r="B425" s="1" t="n">
        <v>45825</v>
      </c>
      <c r="C425" s="1" t="n">
        <v>46065</v>
      </c>
      <c r="D425" t="inlineStr">
        <is>
          <t>ÖREBRO LÄN</t>
        </is>
      </c>
      <c r="E425" t="inlineStr">
        <is>
          <t>ÖREBRO</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28054-2022</t>
        </is>
      </c>
      <c r="B426" s="1" t="n">
        <v>44746.41938657407</v>
      </c>
      <c r="C426" s="1" t="n">
        <v>46065</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1647-2024</t>
        </is>
      </c>
      <c r="B427" s="1" t="n">
        <v>45306</v>
      </c>
      <c r="C427" s="1" t="n">
        <v>46065</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57485-2023</t>
        </is>
      </c>
      <c r="B428" s="1" t="n">
        <v>45246</v>
      </c>
      <c r="C428" s="1" t="n">
        <v>46065</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58032-2023</t>
        </is>
      </c>
      <c r="B429" s="1" t="n">
        <v>45247</v>
      </c>
      <c r="C429" s="1" t="n">
        <v>46065</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58035-2023</t>
        </is>
      </c>
      <c r="B430" s="1" t="n">
        <v>45247</v>
      </c>
      <c r="C430" s="1" t="n">
        <v>46065</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35829-2024</t>
        </is>
      </c>
      <c r="B431" s="1" t="n">
        <v>45532</v>
      </c>
      <c r="C431" s="1" t="n">
        <v>46065</v>
      </c>
      <c r="D431" t="inlineStr">
        <is>
          <t>ÖREBRO LÄN</t>
        </is>
      </c>
      <c r="E431" t="inlineStr">
        <is>
          <t>ÖREBRO</t>
        </is>
      </c>
      <c r="G431" t="n">
        <v>4.6</v>
      </c>
      <c r="H431" t="n">
        <v>0</v>
      </c>
      <c r="I431" t="n">
        <v>0</v>
      </c>
      <c r="J431" t="n">
        <v>0</v>
      </c>
      <c r="K431" t="n">
        <v>0</v>
      </c>
      <c r="L431" t="n">
        <v>0</v>
      </c>
      <c r="M431" t="n">
        <v>0</v>
      </c>
      <c r="N431" t="n">
        <v>0</v>
      </c>
      <c r="O431" t="n">
        <v>0</v>
      </c>
      <c r="P431" t="n">
        <v>0</v>
      </c>
      <c r="Q431" t="n">
        <v>0</v>
      </c>
      <c r="R431" s="2" t="inlineStr"/>
    </row>
    <row r="432" ht="15" customHeight="1">
      <c r="A432" t="inlineStr">
        <is>
          <t>A 35833-2024</t>
        </is>
      </c>
      <c r="B432" s="1" t="n">
        <v>45532.68699074074</v>
      </c>
      <c r="C432" s="1" t="n">
        <v>46065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42623-2022</t>
        </is>
      </c>
      <c r="B433" s="1" t="n">
        <v>44831</v>
      </c>
      <c r="C433" s="1" t="n">
        <v>46065</v>
      </c>
      <c r="D433" t="inlineStr">
        <is>
          <t>ÖREBRO LÄN</t>
        </is>
      </c>
      <c r="E433" t="inlineStr">
        <is>
          <t>ÖREBRO</t>
        </is>
      </c>
      <c r="G433" t="n">
        <v>3.6</v>
      </c>
      <c r="H433" t="n">
        <v>0</v>
      </c>
      <c r="I433" t="n">
        <v>0</v>
      </c>
      <c r="J433" t="n">
        <v>0</v>
      </c>
      <c r="K433" t="n">
        <v>0</v>
      </c>
      <c r="L433" t="n">
        <v>0</v>
      </c>
      <c r="M433" t="n">
        <v>0</v>
      </c>
      <c r="N433" t="n">
        <v>0</v>
      </c>
      <c r="O433" t="n">
        <v>0</v>
      </c>
      <c r="P433" t="n">
        <v>0</v>
      </c>
      <c r="Q433" t="n">
        <v>0</v>
      </c>
      <c r="R433" s="2" t="inlineStr"/>
    </row>
    <row r="434" ht="15" customHeight="1">
      <c r="A434" t="inlineStr">
        <is>
          <t>A 3763-2025</t>
        </is>
      </c>
      <c r="B434" s="1" t="n">
        <v>45681</v>
      </c>
      <c r="C434" s="1" t="n">
        <v>46065</v>
      </c>
      <c r="D434" t="inlineStr">
        <is>
          <t>ÖREBRO LÄN</t>
        </is>
      </c>
      <c r="E434" t="inlineStr">
        <is>
          <t>ÖREBRO</t>
        </is>
      </c>
      <c r="G434" t="n">
        <v>10.1</v>
      </c>
      <c r="H434" t="n">
        <v>0</v>
      </c>
      <c r="I434" t="n">
        <v>0</v>
      </c>
      <c r="J434" t="n">
        <v>0</v>
      </c>
      <c r="K434" t="n">
        <v>0</v>
      </c>
      <c r="L434" t="n">
        <v>0</v>
      </c>
      <c r="M434" t="n">
        <v>0</v>
      </c>
      <c r="N434" t="n">
        <v>0</v>
      </c>
      <c r="O434" t="n">
        <v>0</v>
      </c>
      <c r="P434" t="n">
        <v>0</v>
      </c>
      <c r="Q434" t="n">
        <v>0</v>
      </c>
      <c r="R434" s="2" t="inlineStr"/>
    </row>
    <row r="435" ht="15" customHeight="1">
      <c r="A435" t="inlineStr">
        <is>
          <t>A 14717-2024</t>
        </is>
      </c>
      <c r="B435" s="1" t="n">
        <v>45397.55104166667</v>
      </c>
      <c r="C435" s="1" t="n">
        <v>46065</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15682-2023</t>
        </is>
      </c>
      <c r="B436" s="1" t="n">
        <v>45021</v>
      </c>
      <c r="C436" s="1" t="n">
        <v>46065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10829-2023</t>
        </is>
      </c>
      <c r="B437" s="1" t="n">
        <v>44990.88512731482</v>
      </c>
      <c r="C437" s="1" t="n">
        <v>46065</v>
      </c>
      <c r="D437" t="inlineStr">
        <is>
          <t>ÖREBRO LÄN</t>
        </is>
      </c>
      <c r="E437" t="inlineStr">
        <is>
          <t>ÖREBRO</t>
        </is>
      </c>
      <c r="G437" t="n">
        <v>4.4</v>
      </c>
      <c r="H437" t="n">
        <v>0</v>
      </c>
      <c r="I437" t="n">
        <v>0</v>
      </c>
      <c r="J437" t="n">
        <v>0</v>
      </c>
      <c r="K437" t="n">
        <v>0</v>
      </c>
      <c r="L437" t="n">
        <v>0</v>
      </c>
      <c r="M437" t="n">
        <v>0</v>
      </c>
      <c r="N437" t="n">
        <v>0</v>
      </c>
      <c r="O437" t="n">
        <v>0</v>
      </c>
      <c r="P437" t="n">
        <v>0</v>
      </c>
      <c r="Q437" t="n">
        <v>0</v>
      </c>
      <c r="R437" s="2" t="inlineStr"/>
    </row>
    <row r="438" ht="15" customHeight="1">
      <c r="A438" t="inlineStr">
        <is>
          <t>A 10831-2023</t>
        </is>
      </c>
      <c r="B438" s="1" t="n">
        <v>44990.90357638889</v>
      </c>
      <c r="C438" s="1" t="n">
        <v>46065</v>
      </c>
      <c r="D438" t="inlineStr">
        <is>
          <t>ÖREBRO LÄN</t>
        </is>
      </c>
      <c r="E438" t="inlineStr">
        <is>
          <t>ÖREBRO</t>
        </is>
      </c>
      <c r="G438" t="n">
        <v>1.9</v>
      </c>
      <c r="H438" t="n">
        <v>0</v>
      </c>
      <c r="I438" t="n">
        <v>0</v>
      </c>
      <c r="J438" t="n">
        <v>0</v>
      </c>
      <c r="K438" t="n">
        <v>0</v>
      </c>
      <c r="L438" t="n">
        <v>0</v>
      </c>
      <c r="M438" t="n">
        <v>0</v>
      </c>
      <c r="N438" t="n">
        <v>0</v>
      </c>
      <c r="O438" t="n">
        <v>0</v>
      </c>
      <c r="P438" t="n">
        <v>0</v>
      </c>
      <c r="Q438" t="n">
        <v>0</v>
      </c>
      <c r="R438" s="2" t="inlineStr"/>
    </row>
    <row r="439" ht="15" customHeight="1">
      <c r="A439" t="inlineStr">
        <is>
          <t>A 4416-2023</t>
        </is>
      </c>
      <c r="B439" s="1" t="n">
        <v>44956</v>
      </c>
      <c r="C439" s="1" t="n">
        <v>46065</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16165-2023</t>
        </is>
      </c>
      <c r="B440" s="1" t="n">
        <v>45027</v>
      </c>
      <c r="C440" s="1" t="n">
        <v>46065</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57247-2022</t>
        </is>
      </c>
      <c r="B441" s="1" t="n">
        <v>44895.73065972222</v>
      </c>
      <c r="C441" s="1" t="n">
        <v>46065</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49062-2023</t>
        </is>
      </c>
      <c r="B442" s="1" t="n">
        <v>45210.35119212963</v>
      </c>
      <c r="C442" s="1" t="n">
        <v>46065</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5133-2024</t>
        </is>
      </c>
      <c r="B443" s="1" t="n">
        <v>45330</v>
      </c>
      <c r="C443" s="1" t="n">
        <v>46065</v>
      </c>
      <c r="D443" t="inlineStr">
        <is>
          <t>ÖREBRO LÄN</t>
        </is>
      </c>
      <c r="E443" t="inlineStr">
        <is>
          <t>ÖREBRO</t>
        </is>
      </c>
      <c r="G443" t="n">
        <v>0.5</v>
      </c>
      <c r="H443" t="n">
        <v>0</v>
      </c>
      <c r="I443" t="n">
        <v>0</v>
      </c>
      <c r="J443" t="n">
        <v>0</v>
      </c>
      <c r="K443" t="n">
        <v>0</v>
      </c>
      <c r="L443" t="n">
        <v>0</v>
      </c>
      <c r="M443" t="n">
        <v>0</v>
      </c>
      <c r="N443" t="n">
        <v>0</v>
      </c>
      <c r="O443" t="n">
        <v>0</v>
      </c>
      <c r="P443" t="n">
        <v>0</v>
      </c>
      <c r="Q443" t="n">
        <v>0</v>
      </c>
      <c r="R443" s="2" t="inlineStr"/>
    </row>
    <row r="444" ht="15" customHeight="1">
      <c r="A444" t="inlineStr">
        <is>
          <t>A 14432-2023</t>
        </is>
      </c>
      <c r="B444" s="1" t="n">
        <v>45012</v>
      </c>
      <c r="C444" s="1" t="n">
        <v>46065</v>
      </c>
      <c r="D444" t="inlineStr">
        <is>
          <t>ÖREBRO LÄN</t>
        </is>
      </c>
      <c r="E444" t="inlineStr">
        <is>
          <t>ÖREBRO</t>
        </is>
      </c>
      <c r="G444" t="n">
        <v>3.3</v>
      </c>
      <c r="H444" t="n">
        <v>0</v>
      </c>
      <c r="I444" t="n">
        <v>0</v>
      </c>
      <c r="J444" t="n">
        <v>0</v>
      </c>
      <c r="K444" t="n">
        <v>0</v>
      </c>
      <c r="L444" t="n">
        <v>0</v>
      </c>
      <c r="M444" t="n">
        <v>0</v>
      </c>
      <c r="N444" t="n">
        <v>0</v>
      </c>
      <c r="O444" t="n">
        <v>0</v>
      </c>
      <c r="P444" t="n">
        <v>0</v>
      </c>
      <c r="Q444" t="n">
        <v>0</v>
      </c>
      <c r="R444" s="2" t="inlineStr"/>
    </row>
    <row r="445" ht="15" customHeight="1">
      <c r="A445" t="inlineStr">
        <is>
          <t>A 10339-2023</t>
        </is>
      </c>
      <c r="B445" s="1" t="n">
        <v>44987</v>
      </c>
      <c r="C445" s="1" t="n">
        <v>46065</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190-2024</t>
        </is>
      </c>
      <c r="B446" s="1" t="n">
        <v>45294.61858796296</v>
      </c>
      <c r="C446" s="1" t="n">
        <v>46065</v>
      </c>
      <c r="D446" t="inlineStr">
        <is>
          <t>ÖREBRO LÄN</t>
        </is>
      </c>
      <c r="E446" t="inlineStr">
        <is>
          <t>ÖREBRO</t>
        </is>
      </c>
      <c r="G446" t="n">
        <v>2.4</v>
      </c>
      <c r="H446" t="n">
        <v>0</v>
      </c>
      <c r="I446" t="n">
        <v>0</v>
      </c>
      <c r="J446" t="n">
        <v>0</v>
      </c>
      <c r="K446" t="n">
        <v>0</v>
      </c>
      <c r="L446" t="n">
        <v>0</v>
      </c>
      <c r="M446" t="n">
        <v>0</v>
      </c>
      <c r="N446" t="n">
        <v>0</v>
      </c>
      <c r="O446" t="n">
        <v>0</v>
      </c>
      <c r="P446" t="n">
        <v>0</v>
      </c>
      <c r="Q446" t="n">
        <v>0</v>
      </c>
      <c r="R446" s="2" t="inlineStr"/>
    </row>
    <row r="447" ht="15" customHeight="1">
      <c r="A447" t="inlineStr">
        <is>
          <t>A 62497-2023</t>
        </is>
      </c>
      <c r="B447" s="1" t="n">
        <v>45268.59935185185</v>
      </c>
      <c r="C447" s="1" t="n">
        <v>46065</v>
      </c>
      <c r="D447" t="inlineStr">
        <is>
          <t>ÖREBRO LÄN</t>
        </is>
      </c>
      <c r="E447" t="inlineStr">
        <is>
          <t>ÖREBRO</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43399-2022</t>
        </is>
      </c>
      <c r="B448" s="1" t="n">
        <v>44834</v>
      </c>
      <c r="C448" s="1" t="n">
        <v>46065</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63142-2023</t>
        </is>
      </c>
      <c r="B449" s="1" t="n">
        <v>45273</v>
      </c>
      <c r="C449" s="1" t="n">
        <v>46065</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32321-2023</t>
        </is>
      </c>
      <c r="B450" s="1" t="n">
        <v>45120</v>
      </c>
      <c r="C450" s="1" t="n">
        <v>46065</v>
      </c>
      <c r="D450" t="inlineStr">
        <is>
          <t>ÖREBRO LÄN</t>
        </is>
      </c>
      <c r="E450" t="inlineStr">
        <is>
          <t>ÖREBRO</t>
        </is>
      </c>
      <c r="G450" t="n">
        <v>3.4</v>
      </c>
      <c r="H450" t="n">
        <v>0</v>
      </c>
      <c r="I450" t="n">
        <v>0</v>
      </c>
      <c r="J450" t="n">
        <v>0</v>
      </c>
      <c r="K450" t="n">
        <v>0</v>
      </c>
      <c r="L450" t="n">
        <v>0</v>
      </c>
      <c r="M450" t="n">
        <v>0</v>
      </c>
      <c r="N450" t="n">
        <v>0</v>
      </c>
      <c r="O450" t="n">
        <v>0</v>
      </c>
      <c r="P450" t="n">
        <v>0</v>
      </c>
      <c r="Q450" t="n">
        <v>0</v>
      </c>
      <c r="R450" s="2" t="inlineStr"/>
    </row>
    <row r="451" ht="15" customHeight="1">
      <c r="A451" t="inlineStr">
        <is>
          <t>A 37021-2024</t>
        </is>
      </c>
      <c r="B451" s="1" t="n">
        <v>45539.38146990741</v>
      </c>
      <c r="C451" s="1" t="n">
        <v>46065</v>
      </c>
      <c r="D451" t="inlineStr">
        <is>
          <t>ÖREBRO LÄN</t>
        </is>
      </c>
      <c r="E451" t="inlineStr">
        <is>
          <t>ÖREBRO</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23573-2023</t>
        </is>
      </c>
      <c r="B452" s="1" t="n">
        <v>45077.41672453703</v>
      </c>
      <c r="C452" s="1" t="n">
        <v>46065</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46757-2021</t>
        </is>
      </c>
      <c r="B453" s="1" t="n">
        <v>44445</v>
      </c>
      <c r="C453" s="1" t="n">
        <v>46065</v>
      </c>
      <c r="D453" t="inlineStr">
        <is>
          <t>ÖREBRO LÄN</t>
        </is>
      </c>
      <c r="E453" t="inlineStr">
        <is>
          <t>ÖREBRO</t>
        </is>
      </c>
      <c r="G453" t="n">
        <v>5.6</v>
      </c>
      <c r="H453" t="n">
        <v>0</v>
      </c>
      <c r="I453" t="n">
        <v>0</v>
      </c>
      <c r="J453" t="n">
        <v>0</v>
      </c>
      <c r="K453" t="n">
        <v>0</v>
      </c>
      <c r="L453" t="n">
        <v>0</v>
      </c>
      <c r="M453" t="n">
        <v>0</v>
      </c>
      <c r="N453" t="n">
        <v>0</v>
      </c>
      <c r="O453" t="n">
        <v>0</v>
      </c>
      <c r="P453" t="n">
        <v>0</v>
      </c>
      <c r="Q453" t="n">
        <v>0</v>
      </c>
      <c r="R453" s="2" t="inlineStr"/>
    </row>
    <row r="454" ht="15" customHeight="1">
      <c r="A454" t="inlineStr">
        <is>
          <t>A 13762-2023</t>
        </is>
      </c>
      <c r="B454" s="1" t="n">
        <v>45007.43729166667</v>
      </c>
      <c r="C454" s="1" t="n">
        <v>46065</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38057-2025</t>
        </is>
      </c>
      <c r="B455" s="1" t="n">
        <v>45882.42570601852</v>
      </c>
      <c r="C455" s="1" t="n">
        <v>46065</v>
      </c>
      <c r="D455" t="inlineStr">
        <is>
          <t>ÖREBRO LÄN</t>
        </is>
      </c>
      <c r="E455" t="inlineStr">
        <is>
          <t>ÖREBRO</t>
        </is>
      </c>
      <c r="G455" t="n">
        <v>3</v>
      </c>
      <c r="H455" t="n">
        <v>0</v>
      </c>
      <c r="I455" t="n">
        <v>0</v>
      </c>
      <c r="J455" t="n">
        <v>0</v>
      </c>
      <c r="K455" t="n">
        <v>0</v>
      </c>
      <c r="L455" t="n">
        <v>0</v>
      </c>
      <c r="M455" t="n">
        <v>0</v>
      </c>
      <c r="N455" t="n">
        <v>0</v>
      </c>
      <c r="O455" t="n">
        <v>0</v>
      </c>
      <c r="P455" t="n">
        <v>0</v>
      </c>
      <c r="Q455" t="n">
        <v>0</v>
      </c>
      <c r="R455" s="2" t="inlineStr"/>
    </row>
    <row r="456" ht="15" customHeight="1">
      <c r="A456" t="inlineStr">
        <is>
          <t>A 5129-2024</t>
        </is>
      </c>
      <c r="B456" s="1" t="n">
        <v>45330</v>
      </c>
      <c r="C456" s="1" t="n">
        <v>46065</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30374-2023</t>
        </is>
      </c>
      <c r="B457" s="1" t="n">
        <v>45111</v>
      </c>
      <c r="C457" s="1" t="n">
        <v>46065</v>
      </c>
      <c r="D457" t="inlineStr">
        <is>
          <t>ÖREBRO LÄN</t>
        </is>
      </c>
      <c r="E457" t="inlineStr">
        <is>
          <t>ÖREBRO</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1492-2022</t>
        </is>
      </c>
      <c r="B458" s="1" t="n">
        <v>44573</v>
      </c>
      <c r="C458" s="1" t="n">
        <v>46065</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59026-2024</t>
        </is>
      </c>
      <c r="B459" s="1" t="n">
        <v>45636.6875</v>
      </c>
      <c r="C459" s="1" t="n">
        <v>46065</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52623-2024</t>
        </is>
      </c>
      <c r="B460" s="1" t="n">
        <v>45609</v>
      </c>
      <c r="C460" s="1" t="n">
        <v>46065</v>
      </c>
      <c r="D460" t="inlineStr">
        <is>
          <t>ÖREBRO LÄN</t>
        </is>
      </c>
      <c r="E460" t="inlineStr">
        <is>
          <t>ÖREBRO</t>
        </is>
      </c>
      <c r="F460" t="inlineStr">
        <is>
          <t>Kommuner</t>
        </is>
      </c>
      <c r="G460" t="n">
        <v>1.7</v>
      </c>
      <c r="H460" t="n">
        <v>0</v>
      </c>
      <c r="I460" t="n">
        <v>0</v>
      </c>
      <c r="J460" t="n">
        <v>0</v>
      </c>
      <c r="K460" t="n">
        <v>0</v>
      </c>
      <c r="L460" t="n">
        <v>0</v>
      </c>
      <c r="M460" t="n">
        <v>0</v>
      </c>
      <c r="N460" t="n">
        <v>0</v>
      </c>
      <c r="O460" t="n">
        <v>0</v>
      </c>
      <c r="P460" t="n">
        <v>0</v>
      </c>
      <c r="Q460" t="n">
        <v>0</v>
      </c>
      <c r="R460" s="2" t="inlineStr"/>
    </row>
    <row r="461" ht="15" customHeight="1">
      <c r="A461" t="inlineStr">
        <is>
          <t>A 2095-2025</t>
        </is>
      </c>
      <c r="B461" s="1" t="n">
        <v>45672</v>
      </c>
      <c r="C461" s="1" t="n">
        <v>46065</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62511-2023</t>
        </is>
      </c>
      <c r="B462" s="1" t="n">
        <v>45268.61855324074</v>
      </c>
      <c r="C462" s="1" t="n">
        <v>46065</v>
      </c>
      <c r="D462" t="inlineStr">
        <is>
          <t>ÖREBRO LÄN</t>
        </is>
      </c>
      <c r="E462" t="inlineStr">
        <is>
          <t>ÖREBRO</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54678-2023</t>
        </is>
      </c>
      <c r="B463" s="1" t="n">
        <v>45235</v>
      </c>
      <c r="C463" s="1" t="n">
        <v>46065</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40522-2024</t>
        </is>
      </c>
      <c r="B464" s="1" t="n">
        <v>45555.59717592593</v>
      </c>
      <c r="C464" s="1" t="n">
        <v>46065</v>
      </c>
      <c r="D464" t="inlineStr">
        <is>
          <t>ÖREBRO LÄN</t>
        </is>
      </c>
      <c r="E464" t="inlineStr">
        <is>
          <t>ÖREBRO</t>
        </is>
      </c>
      <c r="G464" t="n">
        <v>5.1</v>
      </c>
      <c r="H464" t="n">
        <v>0</v>
      </c>
      <c r="I464" t="n">
        <v>0</v>
      </c>
      <c r="J464" t="n">
        <v>0</v>
      </c>
      <c r="K464" t="n">
        <v>0</v>
      </c>
      <c r="L464" t="n">
        <v>0</v>
      </c>
      <c r="M464" t="n">
        <v>0</v>
      </c>
      <c r="N464" t="n">
        <v>0</v>
      </c>
      <c r="O464" t="n">
        <v>0</v>
      </c>
      <c r="P464" t="n">
        <v>0</v>
      </c>
      <c r="Q464" t="n">
        <v>0</v>
      </c>
      <c r="R464" s="2" t="inlineStr"/>
    </row>
    <row r="465" ht="15" customHeight="1">
      <c r="A465" t="inlineStr">
        <is>
          <t>A 71275-2021</t>
        </is>
      </c>
      <c r="B465" s="1" t="n">
        <v>44539</v>
      </c>
      <c r="C465" s="1" t="n">
        <v>46065</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58608-2024</t>
        </is>
      </c>
      <c r="B466" s="1" t="n">
        <v>45635.55185185185</v>
      </c>
      <c r="C466" s="1" t="n">
        <v>46065</v>
      </c>
      <c r="D466" t="inlineStr">
        <is>
          <t>ÖREBRO LÄN</t>
        </is>
      </c>
      <c r="E466" t="inlineStr">
        <is>
          <t>ÖREBRO</t>
        </is>
      </c>
      <c r="F466" t="inlineStr">
        <is>
          <t>Sveaskog</t>
        </is>
      </c>
      <c r="G466" t="n">
        <v>0.3</v>
      </c>
      <c r="H466" t="n">
        <v>0</v>
      </c>
      <c r="I466" t="n">
        <v>0</v>
      </c>
      <c r="J466" t="n">
        <v>0</v>
      </c>
      <c r="K466" t="n">
        <v>0</v>
      </c>
      <c r="L466" t="n">
        <v>0</v>
      </c>
      <c r="M466" t="n">
        <v>0</v>
      </c>
      <c r="N466" t="n">
        <v>0</v>
      </c>
      <c r="O466" t="n">
        <v>0</v>
      </c>
      <c r="P466" t="n">
        <v>0</v>
      </c>
      <c r="Q466" t="n">
        <v>0</v>
      </c>
      <c r="R466" s="2" t="inlineStr"/>
    </row>
    <row r="467" ht="15" customHeight="1">
      <c r="A467" t="inlineStr">
        <is>
          <t>A 2153-2023</t>
        </is>
      </c>
      <c r="B467" s="1" t="n">
        <v>44941</v>
      </c>
      <c r="C467" s="1" t="n">
        <v>46065</v>
      </c>
      <c r="D467" t="inlineStr">
        <is>
          <t>ÖREBRO LÄN</t>
        </is>
      </c>
      <c r="E467" t="inlineStr">
        <is>
          <t>ÖREBRO</t>
        </is>
      </c>
      <c r="G467" t="n">
        <v>6.3</v>
      </c>
      <c r="H467" t="n">
        <v>0</v>
      </c>
      <c r="I467" t="n">
        <v>0</v>
      </c>
      <c r="J467" t="n">
        <v>0</v>
      </c>
      <c r="K467" t="n">
        <v>0</v>
      </c>
      <c r="L467" t="n">
        <v>0</v>
      </c>
      <c r="M467" t="n">
        <v>0</v>
      </c>
      <c r="N467" t="n">
        <v>0</v>
      </c>
      <c r="O467" t="n">
        <v>0</v>
      </c>
      <c r="P467" t="n">
        <v>0</v>
      </c>
      <c r="Q467" t="n">
        <v>0</v>
      </c>
      <c r="R467" s="2" t="inlineStr"/>
    </row>
    <row r="468" ht="15" customHeight="1">
      <c r="A468" t="inlineStr">
        <is>
          <t>A 33577-2023</t>
        </is>
      </c>
      <c r="B468" s="1" t="n">
        <v>45131</v>
      </c>
      <c r="C468" s="1" t="n">
        <v>46065</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18360-2024</t>
        </is>
      </c>
      <c r="B469" s="1" t="n">
        <v>45422</v>
      </c>
      <c r="C469" s="1" t="n">
        <v>46065</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7611-2024</t>
        </is>
      </c>
      <c r="B470" s="1" t="n">
        <v>45348.58864583333</v>
      </c>
      <c r="C470" s="1" t="n">
        <v>46065</v>
      </c>
      <c r="D470" t="inlineStr">
        <is>
          <t>ÖREBRO LÄN</t>
        </is>
      </c>
      <c r="E470" t="inlineStr">
        <is>
          <t>ÖREBRO</t>
        </is>
      </c>
      <c r="G470" t="n">
        <v>4.2</v>
      </c>
      <c r="H470" t="n">
        <v>0</v>
      </c>
      <c r="I470" t="n">
        <v>0</v>
      </c>
      <c r="J470" t="n">
        <v>0</v>
      </c>
      <c r="K470" t="n">
        <v>0</v>
      </c>
      <c r="L470" t="n">
        <v>0</v>
      </c>
      <c r="M470" t="n">
        <v>0</v>
      </c>
      <c r="N470" t="n">
        <v>0</v>
      </c>
      <c r="O470" t="n">
        <v>0</v>
      </c>
      <c r="P470" t="n">
        <v>0</v>
      </c>
      <c r="Q470" t="n">
        <v>0</v>
      </c>
      <c r="R470" s="2" t="inlineStr"/>
    </row>
    <row r="471" ht="15" customHeight="1">
      <c r="A471" t="inlineStr">
        <is>
          <t>A 13347-2023</t>
        </is>
      </c>
      <c r="B471" s="1" t="n">
        <v>45004</v>
      </c>
      <c r="C471" s="1" t="n">
        <v>46065</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187-2024</t>
        </is>
      </c>
      <c r="B472" s="1" t="n">
        <v>45294</v>
      </c>
      <c r="C472" s="1" t="n">
        <v>46065</v>
      </c>
      <c r="D472" t="inlineStr">
        <is>
          <t>ÖREBRO LÄN</t>
        </is>
      </c>
      <c r="E472" t="inlineStr">
        <is>
          <t>ÖREBRO</t>
        </is>
      </c>
      <c r="G472" t="n">
        <v>5.9</v>
      </c>
      <c r="H472" t="n">
        <v>0</v>
      </c>
      <c r="I472" t="n">
        <v>0</v>
      </c>
      <c r="J472" t="n">
        <v>0</v>
      </c>
      <c r="K472" t="n">
        <v>0</v>
      </c>
      <c r="L472" t="n">
        <v>0</v>
      </c>
      <c r="M472" t="n">
        <v>0</v>
      </c>
      <c r="N472" t="n">
        <v>0</v>
      </c>
      <c r="O472" t="n">
        <v>0</v>
      </c>
      <c r="P472" t="n">
        <v>0</v>
      </c>
      <c r="Q472" t="n">
        <v>0</v>
      </c>
      <c r="R472" s="2" t="inlineStr"/>
    </row>
    <row r="473" ht="15" customHeight="1">
      <c r="A473" t="inlineStr">
        <is>
          <t>A 10832-2023</t>
        </is>
      </c>
      <c r="B473" s="1" t="n">
        <v>44990.91711805556</v>
      </c>
      <c r="C473" s="1" t="n">
        <v>46065</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2069-2025</t>
        </is>
      </c>
      <c r="B474" s="1" t="n">
        <v>45672.56614583333</v>
      </c>
      <c r="C474" s="1" t="n">
        <v>46065</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2596-2022</t>
        </is>
      </c>
      <c r="B475" s="1" t="n">
        <v>44580</v>
      </c>
      <c r="C475" s="1" t="n">
        <v>46065</v>
      </c>
      <c r="D475" t="inlineStr">
        <is>
          <t>ÖREBRO LÄN</t>
        </is>
      </c>
      <c r="E475" t="inlineStr">
        <is>
          <t>ÖREBRO</t>
        </is>
      </c>
      <c r="G475" t="n">
        <v>4.3</v>
      </c>
      <c r="H475" t="n">
        <v>0</v>
      </c>
      <c r="I475" t="n">
        <v>0</v>
      </c>
      <c r="J475" t="n">
        <v>0</v>
      </c>
      <c r="K475" t="n">
        <v>0</v>
      </c>
      <c r="L475" t="n">
        <v>0</v>
      </c>
      <c r="M475" t="n">
        <v>0</v>
      </c>
      <c r="N475" t="n">
        <v>0</v>
      </c>
      <c r="O475" t="n">
        <v>0</v>
      </c>
      <c r="P475" t="n">
        <v>0</v>
      </c>
      <c r="Q475" t="n">
        <v>0</v>
      </c>
      <c r="R475" s="2" t="inlineStr"/>
    </row>
    <row r="476" ht="15" customHeight="1">
      <c r="A476" t="inlineStr">
        <is>
          <t>A 5338-2024</t>
        </is>
      </c>
      <c r="B476" s="1" t="n">
        <v>45331</v>
      </c>
      <c r="C476" s="1" t="n">
        <v>46065</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852-2025</t>
        </is>
      </c>
      <c r="B477" s="1" t="n">
        <v>45665.60148148148</v>
      </c>
      <c r="C477" s="1" t="n">
        <v>46065</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50398-2022</t>
        </is>
      </c>
      <c r="B478" s="1" t="n">
        <v>44861</v>
      </c>
      <c r="C478" s="1" t="n">
        <v>46065</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52441-2024</t>
        </is>
      </c>
      <c r="B479" s="1" t="n">
        <v>45609.48451388889</v>
      </c>
      <c r="C479" s="1" t="n">
        <v>46065</v>
      </c>
      <c r="D479" t="inlineStr">
        <is>
          <t>ÖREBRO LÄN</t>
        </is>
      </c>
      <c r="E479" t="inlineStr">
        <is>
          <t>ÖREBRO</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52499-2024</t>
        </is>
      </c>
      <c r="B480" s="1" t="n">
        <v>45609.58422453704</v>
      </c>
      <c r="C480" s="1" t="n">
        <v>46065</v>
      </c>
      <c r="D480" t="inlineStr">
        <is>
          <t>ÖREBRO LÄN</t>
        </is>
      </c>
      <c r="E480" t="inlineStr">
        <is>
          <t>ÖREBRO</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41678-2024</t>
        </is>
      </c>
      <c r="B481" s="1" t="n">
        <v>45560</v>
      </c>
      <c r="C481" s="1" t="n">
        <v>46065</v>
      </c>
      <c r="D481" t="inlineStr">
        <is>
          <t>ÖREBRO LÄN</t>
        </is>
      </c>
      <c r="E481" t="inlineStr">
        <is>
          <t>ÖREBRO</t>
        </is>
      </c>
      <c r="G481" t="n">
        <v>11.3</v>
      </c>
      <c r="H481" t="n">
        <v>0</v>
      </c>
      <c r="I481" t="n">
        <v>0</v>
      </c>
      <c r="J481" t="n">
        <v>0</v>
      </c>
      <c r="K481" t="n">
        <v>0</v>
      </c>
      <c r="L481" t="n">
        <v>0</v>
      </c>
      <c r="M481" t="n">
        <v>0</v>
      </c>
      <c r="N481" t="n">
        <v>0</v>
      </c>
      <c r="O481" t="n">
        <v>0</v>
      </c>
      <c r="P481" t="n">
        <v>0</v>
      </c>
      <c r="Q481" t="n">
        <v>0</v>
      </c>
      <c r="R481" s="2" t="inlineStr"/>
    </row>
    <row r="482" ht="15" customHeight="1">
      <c r="A482" t="inlineStr">
        <is>
          <t>A 18550-2025</t>
        </is>
      </c>
      <c r="B482" s="1" t="n">
        <v>45763.43422453704</v>
      </c>
      <c r="C482" s="1" t="n">
        <v>46065</v>
      </c>
      <c r="D482" t="inlineStr">
        <is>
          <t>ÖREBRO LÄN</t>
        </is>
      </c>
      <c r="E482" t="inlineStr">
        <is>
          <t>ÖREBRO</t>
        </is>
      </c>
      <c r="G482" t="n">
        <v>11.5</v>
      </c>
      <c r="H482" t="n">
        <v>0</v>
      </c>
      <c r="I482" t="n">
        <v>0</v>
      </c>
      <c r="J482" t="n">
        <v>0</v>
      </c>
      <c r="K482" t="n">
        <v>0</v>
      </c>
      <c r="L482" t="n">
        <v>0</v>
      </c>
      <c r="M482" t="n">
        <v>0</v>
      </c>
      <c r="N482" t="n">
        <v>0</v>
      </c>
      <c r="O482" t="n">
        <v>0</v>
      </c>
      <c r="P482" t="n">
        <v>0</v>
      </c>
      <c r="Q482" t="n">
        <v>0</v>
      </c>
      <c r="R482" s="2" t="inlineStr"/>
    </row>
    <row r="483" ht="15" customHeight="1">
      <c r="A483" t="inlineStr">
        <is>
          <t>A 14487-2023</t>
        </is>
      </c>
      <c r="B483" s="1" t="n">
        <v>45012</v>
      </c>
      <c r="C483" s="1" t="n">
        <v>46065</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8008-2024</t>
        </is>
      </c>
      <c r="B484" s="1" t="n">
        <v>45350.6794212963</v>
      </c>
      <c r="C484" s="1" t="n">
        <v>46065</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18181-2024</t>
        </is>
      </c>
      <c r="B485" s="1" t="n">
        <v>45420.64561342593</v>
      </c>
      <c r="C485" s="1" t="n">
        <v>46065</v>
      </c>
      <c r="D485" t="inlineStr">
        <is>
          <t>ÖREBRO LÄN</t>
        </is>
      </c>
      <c r="E485" t="inlineStr">
        <is>
          <t>ÖREBRO</t>
        </is>
      </c>
      <c r="G485" t="n">
        <v>7.6</v>
      </c>
      <c r="H485" t="n">
        <v>0</v>
      </c>
      <c r="I485" t="n">
        <v>0</v>
      </c>
      <c r="J485" t="n">
        <v>0</v>
      </c>
      <c r="K485" t="n">
        <v>0</v>
      </c>
      <c r="L485" t="n">
        <v>0</v>
      </c>
      <c r="M485" t="n">
        <v>0</v>
      </c>
      <c r="N485" t="n">
        <v>0</v>
      </c>
      <c r="O485" t="n">
        <v>0</v>
      </c>
      <c r="P485" t="n">
        <v>0</v>
      </c>
      <c r="Q485" t="n">
        <v>0</v>
      </c>
      <c r="R485" s="2" t="inlineStr"/>
    </row>
    <row r="486" ht="15" customHeight="1">
      <c r="A486" t="inlineStr">
        <is>
          <t>A 38415-2023</t>
        </is>
      </c>
      <c r="B486" s="1" t="n">
        <v>45162.35502314815</v>
      </c>
      <c r="C486" s="1" t="n">
        <v>46065</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39003-2025</t>
        </is>
      </c>
      <c r="B487" s="1" t="n">
        <v>45888.34467592592</v>
      </c>
      <c r="C487" s="1" t="n">
        <v>46065</v>
      </c>
      <c r="D487" t="inlineStr">
        <is>
          <t>ÖREBRO LÄN</t>
        </is>
      </c>
      <c r="E487" t="inlineStr">
        <is>
          <t>ÖREBRO</t>
        </is>
      </c>
      <c r="G487" t="n">
        <v>3.7</v>
      </c>
      <c r="H487" t="n">
        <v>0</v>
      </c>
      <c r="I487" t="n">
        <v>0</v>
      </c>
      <c r="J487" t="n">
        <v>0</v>
      </c>
      <c r="K487" t="n">
        <v>0</v>
      </c>
      <c r="L487" t="n">
        <v>0</v>
      </c>
      <c r="M487" t="n">
        <v>0</v>
      </c>
      <c r="N487" t="n">
        <v>0</v>
      </c>
      <c r="O487" t="n">
        <v>0</v>
      </c>
      <c r="P487" t="n">
        <v>0</v>
      </c>
      <c r="Q487" t="n">
        <v>0</v>
      </c>
      <c r="R487" s="2" t="inlineStr"/>
    </row>
    <row r="488" ht="15" customHeight="1">
      <c r="A488" t="inlineStr">
        <is>
          <t>A 15422-2022</t>
        </is>
      </c>
      <c r="B488" s="1" t="n">
        <v>44659.63753472222</v>
      </c>
      <c r="C488" s="1" t="n">
        <v>46065</v>
      </c>
      <c r="D488" t="inlineStr">
        <is>
          <t>ÖREBRO LÄN</t>
        </is>
      </c>
      <c r="E488" t="inlineStr">
        <is>
          <t>ÖREBRO</t>
        </is>
      </c>
      <c r="G488" t="n">
        <v>2</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46065</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13418-2024</t>
        </is>
      </c>
      <c r="B490" s="1" t="n">
        <v>45387.46482638889</v>
      </c>
      <c r="C490" s="1" t="n">
        <v>46065</v>
      </c>
      <c r="D490" t="inlineStr">
        <is>
          <t>ÖREBRO LÄN</t>
        </is>
      </c>
      <c r="E490" t="inlineStr">
        <is>
          <t>ÖREBRO</t>
        </is>
      </c>
      <c r="G490" t="n">
        <v>4.2</v>
      </c>
      <c r="H490" t="n">
        <v>0</v>
      </c>
      <c r="I490" t="n">
        <v>0</v>
      </c>
      <c r="J490" t="n">
        <v>0</v>
      </c>
      <c r="K490" t="n">
        <v>0</v>
      </c>
      <c r="L490" t="n">
        <v>0</v>
      </c>
      <c r="M490" t="n">
        <v>0</v>
      </c>
      <c r="N490" t="n">
        <v>0</v>
      </c>
      <c r="O490" t="n">
        <v>0</v>
      </c>
      <c r="P490" t="n">
        <v>0</v>
      </c>
      <c r="Q490" t="n">
        <v>0</v>
      </c>
      <c r="R490" s="2" t="inlineStr"/>
    </row>
    <row r="491" ht="15" customHeight="1">
      <c r="A491" t="inlineStr">
        <is>
          <t>A 8565-2021</t>
        </is>
      </c>
      <c r="B491" s="1" t="n">
        <v>44245</v>
      </c>
      <c r="C491" s="1" t="n">
        <v>46065</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46065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46323-2024</t>
        </is>
      </c>
      <c r="B493" s="1" t="n">
        <v>45581.84538194445</v>
      </c>
      <c r="C493" s="1" t="n">
        <v>46065</v>
      </c>
      <c r="D493" t="inlineStr">
        <is>
          <t>ÖREBRO LÄN</t>
        </is>
      </c>
      <c r="E493" t="inlineStr">
        <is>
          <t>ÖREBRO</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18047-2023</t>
        </is>
      </c>
      <c r="B494" s="1" t="n">
        <v>45040</v>
      </c>
      <c r="C494" s="1" t="n">
        <v>46065</v>
      </c>
      <c r="D494" t="inlineStr">
        <is>
          <t>ÖREBRO LÄN</t>
        </is>
      </c>
      <c r="E494" t="inlineStr">
        <is>
          <t>ÖREBRO</t>
        </is>
      </c>
      <c r="G494" t="n">
        <v>3.9</v>
      </c>
      <c r="H494" t="n">
        <v>0</v>
      </c>
      <c r="I494" t="n">
        <v>0</v>
      </c>
      <c r="J494" t="n">
        <v>0</v>
      </c>
      <c r="K494" t="n">
        <v>0</v>
      </c>
      <c r="L494" t="n">
        <v>0</v>
      </c>
      <c r="M494" t="n">
        <v>0</v>
      </c>
      <c r="N494" t="n">
        <v>0</v>
      </c>
      <c r="O494" t="n">
        <v>0</v>
      </c>
      <c r="P494" t="n">
        <v>0</v>
      </c>
      <c r="Q494" t="n">
        <v>0</v>
      </c>
      <c r="R494" s="2" t="inlineStr"/>
    </row>
    <row r="495" ht="15" customHeight="1">
      <c r="A495" t="inlineStr">
        <is>
          <t>A 9704-2023</t>
        </is>
      </c>
      <c r="B495" s="1" t="n">
        <v>44984</v>
      </c>
      <c r="C495" s="1" t="n">
        <v>46065</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3789-2023</t>
        </is>
      </c>
      <c r="B496" s="1" t="n">
        <v>44951</v>
      </c>
      <c r="C496" s="1" t="n">
        <v>46065</v>
      </c>
      <c r="D496" t="inlineStr">
        <is>
          <t>ÖREBRO LÄN</t>
        </is>
      </c>
      <c r="E496" t="inlineStr">
        <is>
          <t>ÖREBRO</t>
        </is>
      </c>
      <c r="G496" t="n">
        <v>7.5</v>
      </c>
      <c r="H496" t="n">
        <v>0</v>
      </c>
      <c r="I496" t="n">
        <v>0</v>
      </c>
      <c r="J496" t="n">
        <v>0</v>
      </c>
      <c r="K496" t="n">
        <v>0</v>
      </c>
      <c r="L496" t="n">
        <v>0</v>
      </c>
      <c r="M496" t="n">
        <v>0</v>
      </c>
      <c r="N496" t="n">
        <v>0</v>
      </c>
      <c r="O496" t="n">
        <v>0</v>
      </c>
      <c r="P496" t="n">
        <v>0</v>
      </c>
      <c r="Q496" t="n">
        <v>0</v>
      </c>
      <c r="R496" s="2" t="inlineStr"/>
    </row>
    <row r="497" ht="15" customHeight="1">
      <c r="A497" t="inlineStr">
        <is>
          <t>A 19180-2025</t>
        </is>
      </c>
      <c r="B497" s="1" t="n">
        <v>45769.40133101852</v>
      </c>
      <c r="C497" s="1" t="n">
        <v>46065</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46052-2024</t>
        </is>
      </c>
      <c r="B498" s="1" t="n">
        <v>45580.89116898148</v>
      </c>
      <c r="C498" s="1" t="n">
        <v>46065</v>
      </c>
      <c r="D498" t="inlineStr">
        <is>
          <t>ÖREBRO LÄN</t>
        </is>
      </c>
      <c r="E498" t="inlineStr">
        <is>
          <t>ÖREBRO</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39446-2025</t>
        </is>
      </c>
      <c r="B499" s="1" t="n">
        <v>45889.70388888889</v>
      </c>
      <c r="C499" s="1" t="n">
        <v>46065</v>
      </c>
      <c r="D499" t="inlineStr">
        <is>
          <t>ÖREBRO LÄN</t>
        </is>
      </c>
      <c r="E499" t="inlineStr">
        <is>
          <t>ÖREBRO</t>
        </is>
      </c>
      <c r="F499" t="inlineStr">
        <is>
          <t>Kyrkan</t>
        </is>
      </c>
      <c r="G499" t="n">
        <v>3.2</v>
      </c>
      <c r="H499" t="n">
        <v>0</v>
      </c>
      <c r="I499" t="n">
        <v>0</v>
      </c>
      <c r="J499" t="n">
        <v>0</v>
      </c>
      <c r="K499" t="n">
        <v>0</v>
      </c>
      <c r="L499" t="n">
        <v>0</v>
      </c>
      <c r="M499" t="n">
        <v>0</v>
      </c>
      <c r="N499" t="n">
        <v>0</v>
      </c>
      <c r="O499" t="n">
        <v>0</v>
      </c>
      <c r="P499" t="n">
        <v>0</v>
      </c>
      <c r="Q499" t="n">
        <v>0</v>
      </c>
      <c r="R499" s="2" t="inlineStr"/>
    </row>
    <row r="500" ht="15" customHeight="1">
      <c r="A500" t="inlineStr">
        <is>
          <t>A 39479-2025</t>
        </is>
      </c>
      <c r="B500" s="1" t="n">
        <v>45890.34752314815</v>
      </c>
      <c r="C500" s="1" t="n">
        <v>46065</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58527-2024</t>
        </is>
      </c>
      <c r="B501" s="1" t="n">
        <v>45635.44388888889</v>
      </c>
      <c r="C501" s="1" t="n">
        <v>46065</v>
      </c>
      <c r="D501" t="inlineStr">
        <is>
          <t>ÖREBRO LÄN</t>
        </is>
      </c>
      <c r="E501" t="inlineStr">
        <is>
          <t>ÖREBRO</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37022-2024</t>
        </is>
      </c>
      <c r="B502" s="1" t="n">
        <v>45539.3822337963</v>
      </c>
      <c r="C502" s="1" t="n">
        <v>46065</v>
      </c>
      <c r="D502" t="inlineStr">
        <is>
          <t>ÖREBRO LÄN</t>
        </is>
      </c>
      <c r="E502" t="inlineStr">
        <is>
          <t>ÖREBRO</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37024-2024</t>
        </is>
      </c>
      <c r="B503" s="1" t="n">
        <v>45539.38329861111</v>
      </c>
      <c r="C503" s="1" t="n">
        <v>46065</v>
      </c>
      <c r="D503" t="inlineStr">
        <is>
          <t>ÖREBRO LÄN</t>
        </is>
      </c>
      <c r="E503" t="inlineStr">
        <is>
          <t>ÖREBRO</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48644-2024</t>
        </is>
      </c>
      <c r="B504" s="1" t="n">
        <v>45593.47466435185</v>
      </c>
      <c r="C504" s="1" t="n">
        <v>46065</v>
      </c>
      <c r="D504" t="inlineStr">
        <is>
          <t>ÖREBRO LÄN</t>
        </is>
      </c>
      <c r="E504" t="inlineStr">
        <is>
          <t>ÖREBRO</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38075-2022</t>
        </is>
      </c>
      <c r="B505" s="1" t="n">
        <v>44811</v>
      </c>
      <c r="C505" s="1" t="n">
        <v>46065</v>
      </c>
      <c r="D505" t="inlineStr">
        <is>
          <t>ÖREBRO LÄN</t>
        </is>
      </c>
      <c r="E505" t="inlineStr">
        <is>
          <t>ÖREBRO</t>
        </is>
      </c>
      <c r="G505" t="n">
        <v>0.2</v>
      </c>
      <c r="H505" t="n">
        <v>0</v>
      </c>
      <c r="I505" t="n">
        <v>0</v>
      </c>
      <c r="J505" t="n">
        <v>0</v>
      </c>
      <c r="K505" t="n">
        <v>0</v>
      </c>
      <c r="L505" t="n">
        <v>0</v>
      </c>
      <c r="M505" t="n">
        <v>0</v>
      </c>
      <c r="N505" t="n">
        <v>0</v>
      </c>
      <c r="O505" t="n">
        <v>0</v>
      </c>
      <c r="P505" t="n">
        <v>0</v>
      </c>
      <c r="Q505" t="n">
        <v>0</v>
      </c>
      <c r="R505" s="2" t="inlineStr"/>
    </row>
    <row r="506" ht="15" customHeight="1">
      <c r="A506" t="inlineStr">
        <is>
          <t>A 11382-2023</t>
        </is>
      </c>
      <c r="B506" s="1" t="n">
        <v>44993.45635416666</v>
      </c>
      <c r="C506" s="1" t="n">
        <v>46065</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20121-2024</t>
        </is>
      </c>
      <c r="B507" s="1" t="n">
        <v>45434</v>
      </c>
      <c r="C507" s="1" t="n">
        <v>46065</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26117-2021</t>
        </is>
      </c>
      <c r="B508" s="1" t="n">
        <v>44345</v>
      </c>
      <c r="C508" s="1" t="n">
        <v>46065</v>
      </c>
      <c r="D508" t="inlineStr">
        <is>
          <t>ÖREBRO LÄN</t>
        </is>
      </c>
      <c r="E508" t="inlineStr">
        <is>
          <t>ÖREBRO</t>
        </is>
      </c>
      <c r="G508" t="n">
        <v>8.1</v>
      </c>
      <c r="H508" t="n">
        <v>0</v>
      </c>
      <c r="I508" t="n">
        <v>0</v>
      </c>
      <c r="J508" t="n">
        <v>0</v>
      </c>
      <c r="K508" t="n">
        <v>0</v>
      </c>
      <c r="L508" t="n">
        <v>0</v>
      </c>
      <c r="M508" t="n">
        <v>0</v>
      </c>
      <c r="N508" t="n">
        <v>0</v>
      </c>
      <c r="O508" t="n">
        <v>0</v>
      </c>
      <c r="P508" t="n">
        <v>0</v>
      </c>
      <c r="Q508" t="n">
        <v>0</v>
      </c>
      <c r="R508" s="2" t="inlineStr"/>
    </row>
    <row r="509" ht="15" customHeight="1">
      <c r="A509" t="inlineStr">
        <is>
          <t>A 55943-2024</t>
        </is>
      </c>
      <c r="B509" s="1" t="n">
        <v>45623.61278935185</v>
      </c>
      <c r="C509" s="1" t="n">
        <v>46065</v>
      </c>
      <c r="D509" t="inlineStr">
        <is>
          <t>ÖREBRO LÄN</t>
        </is>
      </c>
      <c r="E509" t="inlineStr">
        <is>
          <t>ÖREBRO</t>
        </is>
      </c>
      <c r="G509" t="n">
        <v>4.8</v>
      </c>
      <c r="H509" t="n">
        <v>0</v>
      </c>
      <c r="I509" t="n">
        <v>0</v>
      </c>
      <c r="J509" t="n">
        <v>0</v>
      </c>
      <c r="K509" t="n">
        <v>0</v>
      </c>
      <c r="L509" t="n">
        <v>0</v>
      </c>
      <c r="M509" t="n">
        <v>0</v>
      </c>
      <c r="N509" t="n">
        <v>0</v>
      </c>
      <c r="O509" t="n">
        <v>0</v>
      </c>
      <c r="P509" t="n">
        <v>0</v>
      </c>
      <c r="Q509" t="n">
        <v>0</v>
      </c>
      <c r="R509" s="2" t="inlineStr"/>
    </row>
    <row r="510" ht="15" customHeight="1">
      <c r="A510" t="inlineStr">
        <is>
          <t>A 1013-2024</t>
        </is>
      </c>
      <c r="B510" s="1" t="n">
        <v>45301</v>
      </c>
      <c r="C510" s="1" t="n">
        <v>46065</v>
      </c>
      <c r="D510" t="inlineStr">
        <is>
          <t>ÖREBRO LÄN</t>
        </is>
      </c>
      <c r="E510" t="inlineStr">
        <is>
          <t>ÖREBRO</t>
        </is>
      </c>
      <c r="G510" t="n">
        <v>2.6</v>
      </c>
      <c r="H510" t="n">
        <v>0</v>
      </c>
      <c r="I510" t="n">
        <v>0</v>
      </c>
      <c r="J510" t="n">
        <v>0</v>
      </c>
      <c r="K510" t="n">
        <v>0</v>
      </c>
      <c r="L510" t="n">
        <v>0</v>
      </c>
      <c r="M510" t="n">
        <v>0</v>
      </c>
      <c r="N510" t="n">
        <v>0</v>
      </c>
      <c r="O510" t="n">
        <v>0</v>
      </c>
      <c r="P510" t="n">
        <v>0</v>
      </c>
      <c r="Q510" t="n">
        <v>0</v>
      </c>
      <c r="R510" s="2" t="inlineStr"/>
    </row>
    <row r="511" ht="15" customHeight="1">
      <c r="A511" t="inlineStr">
        <is>
          <t>A 40330-2025</t>
        </is>
      </c>
      <c r="B511" s="1" t="n">
        <v>45895.4531712963</v>
      </c>
      <c r="C511" s="1" t="n">
        <v>46065</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13623-2024</t>
        </is>
      </c>
      <c r="B512" s="1" t="n">
        <v>45390.38626157407</v>
      </c>
      <c r="C512" s="1" t="n">
        <v>46065</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40332-2025</t>
        </is>
      </c>
      <c r="B513" s="1" t="n">
        <v>45895.46060185185</v>
      </c>
      <c r="C513" s="1" t="n">
        <v>46065</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5330-2024</t>
        </is>
      </c>
      <c r="B514" s="1" t="n">
        <v>45331.4187962963</v>
      </c>
      <c r="C514" s="1" t="n">
        <v>46065</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6794-2025</t>
        </is>
      </c>
      <c r="B515" s="1" t="n">
        <v>45700.66429398148</v>
      </c>
      <c r="C515" s="1" t="n">
        <v>46065</v>
      </c>
      <c r="D515" t="inlineStr">
        <is>
          <t>ÖREBRO LÄN</t>
        </is>
      </c>
      <c r="E515" t="inlineStr">
        <is>
          <t>ÖREBRO</t>
        </is>
      </c>
      <c r="G515" t="n">
        <v>1</v>
      </c>
      <c r="H515" t="n">
        <v>0</v>
      </c>
      <c r="I515" t="n">
        <v>0</v>
      </c>
      <c r="J515" t="n">
        <v>0</v>
      </c>
      <c r="K515" t="n">
        <v>0</v>
      </c>
      <c r="L515" t="n">
        <v>0</v>
      </c>
      <c r="M515" t="n">
        <v>0</v>
      </c>
      <c r="N515" t="n">
        <v>0</v>
      </c>
      <c r="O515" t="n">
        <v>0</v>
      </c>
      <c r="P515" t="n">
        <v>0</v>
      </c>
      <c r="Q515" t="n">
        <v>0</v>
      </c>
      <c r="R515" s="2" t="inlineStr"/>
    </row>
    <row r="516" ht="15" customHeight="1">
      <c r="A516" t="inlineStr">
        <is>
          <t>A 3-2024</t>
        </is>
      </c>
      <c r="B516" s="1" t="n">
        <v>45292</v>
      </c>
      <c r="C516" s="1" t="n">
        <v>46065</v>
      </c>
      <c r="D516" t="inlineStr">
        <is>
          <t>ÖREBRO LÄN</t>
        </is>
      </c>
      <c r="E516" t="inlineStr">
        <is>
          <t>ÖREBRO</t>
        </is>
      </c>
      <c r="G516" t="n">
        <v>2.7</v>
      </c>
      <c r="H516" t="n">
        <v>0</v>
      </c>
      <c r="I516" t="n">
        <v>0</v>
      </c>
      <c r="J516" t="n">
        <v>0</v>
      </c>
      <c r="K516" t="n">
        <v>0</v>
      </c>
      <c r="L516" t="n">
        <v>0</v>
      </c>
      <c r="M516" t="n">
        <v>0</v>
      </c>
      <c r="N516" t="n">
        <v>0</v>
      </c>
      <c r="O516" t="n">
        <v>0</v>
      </c>
      <c r="P516" t="n">
        <v>0</v>
      </c>
      <c r="Q516" t="n">
        <v>0</v>
      </c>
      <c r="R516" s="2" t="inlineStr"/>
    </row>
    <row r="517" ht="15" customHeight="1">
      <c r="A517" t="inlineStr">
        <is>
          <t>A 41669-2025</t>
        </is>
      </c>
      <c r="B517" s="1" t="n">
        <v>45902.36149305556</v>
      </c>
      <c r="C517" s="1" t="n">
        <v>46065</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41412-2025</t>
        </is>
      </c>
      <c r="B518" s="1" t="n">
        <v>45901.3549537037</v>
      </c>
      <c r="C518" s="1" t="n">
        <v>46065</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5619-2023</t>
        </is>
      </c>
      <c r="B519" s="1" t="n">
        <v>44958</v>
      </c>
      <c r="C519" s="1" t="n">
        <v>46065</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5578-2024</t>
        </is>
      </c>
      <c r="B520" s="1" t="n">
        <v>45334.49104166667</v>
      </c>
      <c r="C520" s="1" t="n">
        <v>46065</v>
      </c>
      <c r="D520" t="inlineStr">
        <is>
          <t>ÖREBRO LÄN</t>
        </is>
      </c>
      <c r="E520" t="inlineStr">
        <is>
          <t>ÖREBRO</t>
        </is>
      </c>
      <c r="G520" t="n">
        <v>2.4</v>
      </c>
      <c r="H520" t="n">
        <v>0</v>
      </c>
      <c r="I520" t="n">
        <v>0</v>
      </c>
      <c r="J520" t="n">
        <v>0</v>
      </c>
      <c r="K520" t="n">
        <v>0</v>
      </c>
      <c r="L520" t="n">
        <v>0</v>
      </c>
      <c r="M520" t="n">
        <v>0</v>
      </c>
      <c r="N520" t="n">
        <v>0</v>
      </c>
      <c r="O520" t="n">
        <v>0</v>
      </c>
      <c r="P520" t="n">
        <v>0</v>
      </c>
      <c r="Q520" t="n">
        <v>0</v>
      </c>
      <c r="R520" s="2" t="inlineStr"/>
    </row>
    <row r="521" ht="15" customHeight="1">
      <c r="A521" t="inlineStr">
        <is>
          <t>A 37786-2024</t>
        </is>
      </c>
      <c r="B521" s="1" t="n">
        <v>45542.82987268519</v>
      </c>
      <c r="C521" s="1" t="n">
        <v>46065</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58615-2024</t>
        </is>
      </c>
      <c r="B522" s="1" t="n">
        <v>45635.5587037037</v>
      </c>
      <c r="C522" s="1" t="n">
        <v>46065</v>
      </c>
      <c r="D522" t="inlineStr">
        <is>
          <t>ÖREBRO LÄN</t>
        </is>
      </c>
      <c r="E522" t="inlineStr">
        <is>
          <t>ÖREBRO</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45517-2023</t>
        </is>
      </c>
      <c r="B523" s="1" t="n">
        <v>45194.49594907407</v>
      </c>
      <c r="C523" s="1" t="n">
        <v>46065</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3652-2022</t>
        </is>
      </c>
      <c r="B524" s="1" t="n">
        <v>44586.46921296296</v>
      </c>
      <c r="C524" s="1" t="n">
        <v>46065</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25407-2021</t>
        </is>
      </c>
      <c r="B525" s="1" t="n">
        <v>44342</v>
      </c>
      <c r="C525" s="1" t="n">
        <v>46065</v>
      </c>
      <c r="D525" t="inlineStr">
        <is>
          <t>ÖREBRO LÄN</t>
        </is>
      </c>
      <c r="E525" t="inlineStr">
        <is>
          <t>ÖREBRO</t>
        </is>
      </c>
      <c r="F525" t="inlineStr">
        <is>
          <t>Kommuner</t>
        </is>
      </c>
      <c r="G525" t="n">
        <v>7.2</v>
      </c>
      <c r="H525" t="n">
        <v>0</v>
      </c>
      <c r="I525" t="n">
        <v>0</v>
      </c>
      <c r="J525" t="n">
        <v>0</v>
      </c>
      <c r="K525" t="n">
        <v>0</v>
      </c>
      <c r="L525" t="n">
        <v>0</v>
      </c>
      <c r="M525" t="n">
        <v>0</v>
      </c>
      <c r="N525" t="n">
        <v>0</v>
      </c>
      <c r="O525" t="n">
        <v>0</v>
      </c>
      <c r="P525" t="n">
        <v>0</v>
      </c>
      <c r="Q525" t="n">
        <v>0</v>
      </c>
      <c r="R525" s="2" t="inlineStr"/>
    </row>
    <row r="526" ht="15" customHeight="1">
      <c r="A526" t="inlineStr">
        <is>
          <t>A 12245-2023</t>
        </is>
      </c>
      <c r="B526" s="1" t="n">
        <v>44998.64402777778</v>
      </c>
      <c r="C526" s="1" t="n">
        <v>46065</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7134-2025</t>
        </is>
      </c>
      <c r="B527" s="1" t="n">
        <v>45702</v>
      </c>
      <c r="C527" s="1" t="n">
        <v>46065</v>
      </c>
      <c r="D527" t="inlineStr">
        <is>
          <t>ÖREBRO LÄN</t>
        </is>
      </c>
      <c r="E527" t="inlineStr">
        <is>
          <t>ÖREBRO</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60506-2024</t>
        </is>
      </c>
      <c r="B528" s="1" t="n">
        <v>45643.66630787037</v>
      </c>
      <c r="C528" s="1" t="n">
        <v>46065</v>
      </c>
      <c r="D528" t="inlineStr">
        <is>
          <t>ÖREBRO LÄN</t>
        </is>
      </c>
      <c r="E528" t="inlineStr">
        <is>
          <t>ÖREBRO</t>
        </is>
      </c>
      <c r="G528" t="n">
        <v>5.8</v>
      </c>
      <c r="H528" t="n">
        <v>0</v>
      </c>
      <c r="I528" t="n">
        <v>0</v>
      </c>
      <c r="J528" t="n">
        <v>0</v>
      </c>
      <c r="K528" t="n">
        <v>0</v>
      </c>
      <c r="L528" t="n">
        <v>0</v>
      </c>
      <c r="M528" t="n">
        <v>0</v>
      </c>
      <c r="N528" t="n">
        <v>0</v>
      </c>
      <c r="O528" t="n">
        <v>0</v>
      </c>
      <c r="P528" t="n">
        <v>0</v>
      </c>
      <c r="Q528" t="n">
        <v>0</v>
      </c>
      <c r="R528" s="2" t="inlineStr"/>
    </row>
    <row r="529" ht="15" customHeight="1">
      <c r="A529" t="inlineStr">
        <is>
          <t>A 29978-2024</t>
        </is>
      </c>
      <c r="B529" s="1" t="n">
        <v>45488.48340277778</v>
      </c>
      <c r="C529" s="1" t="n">
        <v>46065</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30903-2024</t>
        </is>
      </c>
      <c r="B530" s="1" t="n">
        <v>45498.49946759259</v>
      </c>
      <c r="C530" s="1" t="n">
        <v>46065</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58611-2024</t>
        </is>
      </c>
      <c r="B531" s="1" t="n">
        <v>45635.55555555555</v>
      </c>
      <c r="C531" s="1" t="n">
        <v>46065</v>
      </c>
      <c r="D531" t="inlineStr">
        <is>
          <t>ÖREBRO LÄN</t>
        </is>
      </c>
      <c r="E531" t="inlineStr">
        <is>
          <t>ÖREBRO</t>
        </is>
      </c>
      <c r="F531" t="inlineStr">
        <is>
          <t>Sveaskog</t>
        </is>
      </c>
      <c r="G531" t="n">
        <v>0.3</v>
      </c>
      <c r="H531" t="n">
        <v>0</v>
      </c>
      <c r="I531" t="n">
        <v>0</v>
      </c>
      <c r="J531" t="n">
        <v>0</v>
      </c>
      <c r="K531" t="n">
        <v>0</v>
      </c>
      <c r="L531" t="n">
        <v>0</v>
      </c>
      <c r="M531" t="n">
        <v>0</v>
      </c>
      <c r="N531" t="n">
        <v>0</v>
      </c>
      <c r="O531" t="n">
        <v>0</v>
      </c>
      <c r="P531" t="n">
        <v>0</v>
      </c>
      <c r="Q531" t="n">
        <v>0</v>
      </c>
      <c r="R531" s="2" t="inlineStr"/>
    </row>
    <row r="532" ht="15" customHeight="1">
      <c r="A532" t="inlineStr">
        <is>
          <t>A 20146-2024</t>
        </is>
      </c>
      <c r="B532" s="1" t="n">
        <v>45434.57641203704</v>
      </c>
      <c r="C532" s="1" t="n">
        <v>46065</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53143-2023</t>
        </is>
      </c>
      <c r="B533" s="1" t="n">
        <v>45229</v>
      </c>
      <c r="C533" s="1" t="n">
        <v>46065</v>
      </c>
      <c r="D533" t="inlineStr">
        <is>
          <t>ÖREBRO LÄN</t>
        </is>
      </c>
      <c r="E533" t="inlineStr">
        <is>
          <t>ÖREBRO</t>
        </is>
      </c>
      <c r="G533" t="n">
        <v>3.3</v>
      </c>
      <c r="H533" t="n">
        <v>0</v>
      </c>
      <c r="I533" t="n">
        <v>0</v>
      </c>
      <c r="J533" t="n">
        <v>0</v>
      </c>
      <c r="K533" t="n">
        <v>0</v>
      </c>
      <c r="L533" t="n">
        <v>0</v>
      </c>
      <c r="M533" t="n">
        <v>0</v>
      </c>
      <c r="N533" t="n">
        <v>0</v>
      </c>
      <c r="O533" t="n">
        <v>0</v>
      </c>
      <c r="P533" t="n">
        <v>0</v>
      </c>
      <c r="Q533" t="n">
        <v>0</v>
      </c>
      <c r="R533" s="2" t="inlineStr"/>
    </row>
    <row r="534" ht="15" customHeight="1">
      <c r="A534" t="inlineStr">
        <is>
          <t>A 8656-2025</t>
        </is>
      </c>
      <c r="B534" s="1" t="n">
        <v>45712.38268518518</v>
      </c>
      <c r="C534" s="1" t="n">
        <v>46065</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5762-2025</t>
        </is>
      </c>
      <c r="B535" s="1" t="n">
        <v>45694.57181712963</v>
      </c>
      <c r="C535" s="1" t="n">
        <v>46065</v>
      </c>
      <c r="D535" t="inlineStr">
        <is>
          <t>ÖREBRO LÄN</t>
        </is>
      </c>
      <c r="E535" t="inlineStr">
        <is>
          <t>ÖREBRO</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44875-2025</t>
        </is>
      </c>
      <c r="B536" s="1" t="n">
        <v>45918.47043981482</v>
      </c>
      <c r="C536" s="1" t="n">
        <v>46065</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62794-2021</t>
        </is>
      </c>
      <c r="B537" s="1" t="n">
        <v>44504</v>
      </c>
      <c r="C537" s="1" t="n">
        <v>46065</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52612-2024</t>
        </is>
      </c>
      <c r="B538" s="1" t="n">
        <v>45609</v>
      </c>
      <c r="C538" s="1" t="n">
        <v>46065</v>
      </c>
      <c r="D538" t="inlineStr">
        <is>
          <t>ÖREBRO LÄN</t>
        </is>
      </c>
      <c r="E538" t="inlineStr">
        <is>
          <t>ÖREBRO</t>
        </is>
      </c>
      <c r="F538" t="inlineStr">
        <is>
          <t>Kommuner</t>
        </is>
      </c>
      <c r="G538" t="n">
        <v>5.5</v>
      </c>
      <c r="H538" t="n">
        <v>0</v>
      </c>
      <c r="I538" t="n">
        <v>0</v>
      </c>
      <c r="J538" t="n">
        <v>0</v>
      </c>
      <c r="K538" t="n">
        <v>0</v>
      </c>
      <c r="L538" t="n">
        <v>0</v>
      </c>
      <c r="M538" t="n">
        <v>0</v>
      </c>
      <c r="N538" t="n">
        <v>0</v>
      </c>
      <c r="O538" t="n">
        <v>0</v>
      </c>
      <c r="P538" t="n">
        <v>0</v>
      </c>
      <c r="Q538" t="n">
        <v>0</v>
      </c>
      <c r="R538" s="2" t="inlineStr"/>
    </row>
    <row r="539" ht="15" customHeight="1">
      <c r="A539" t="inlineStr">
        <is>
          <t>A 5795-2024</t>
        </is>
      </c>
      <c r="B539" s="1" t="n">
        <v>45335.4531712963</v>
      </c>
      <c r="C539" s="1" t="n">
        <v>46065</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44960-2025</t>
        </is>
      </c>
      <c r="B540" s="1" t="n">
        <v>45918.61577546296</v>
      </c>
      <c r="C540" s="1" t="n">
        <v>46065</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37771-2024</t>
        </is>
      </c>
      <c r="B541" s="1" t="n">
        <v>45542.31359953704</v>
      </c>
      <c r="C541" s="1" t="n">
        <v>46065</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15652-2025</t>
        </is>
      </c>
      <c r="B542" s="1" t="n">
        <v>45748</v>
      </c>
      <c r="C542" s="1" t="n">
        <v>46065</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2076-2025</t>
        </is>
      </c>
      <c r="B543" s="1" t="n">
        <v>45672</v>
      </c>
      <c r="C543" s="1" t="n">
        <v>46065</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14960-2025</t>
        </is>
      </c>
      <c r="B544" s="1" t="n">
        <v>45743.5853125</v>
      </c>
      <c r="C544" s="1" t="n">
        <v>46065</v>
      </c>
      <c r="D544" t="inlineStr">
        <is>
          <t>ÖREBRO LÄN</t>
        </is>
      </c>
      <c r="E544" t="inlineStr">
        <is>
          <t>ÖREBRO</t>
        </is>
      </c>
      <c r="G544" t="n">
        <v>1.6</v>
      </c>
      <c r="H544" t="n">
        <v>0</v>
      </c>
      <c r="I544" t="n">
        <v>0</v>
      </c>
      <c r="J544" t="n">
        <v>0</v>
      </c>
      <c r="K544" t="n">
        <v>0</v>
      </c>
      <c r="L544" t="n">
        <v>0</v>
      </c>
      <c r="M544" t="n">
        <v>0</v>
      </c>
      <c r="N544" t="n">
        <v>0</v>
      </c>
      <c r="O544" t="n">
        <v>0</v>
      </c>
      <c r="P544" t="n">
        <v>0</v>
      </c>
      <c r="Q544" t="n">
        <v>0</v>
      </c>
      <c r="R544" s="2" t="inlineStr"/>
    </row>
    <row r="545" ht="15" customHeight="1">
      <c r="A545" t="inlineStr">
        <is>
          <t>A 60022-2024</t>
        </is>
      </c>
      <c r="B545" s="1" t="n">
        <v>45642</v>
      </c>
      <c r="C545" s="1" t="n">
        <v>46065</v>
      </c>
      <c r="D545" t="inlineStr">
        <is>
          <t>ÖREBRO LÄN</t>
        </is>
      </c>
      <c r="E545" t="inlineStr">
        <is>
          <t>ÖREBRO</t>
        </is>
      </c>
      <c r="G545" t="n">
        <v>1.7</v>
      </c>
      <c r="H545" t="n">
        <v>0</v>
      </c>
      <c r="I545" t="n">
        <v>0</v>
      </c>
      <c r="J545" t="n">
        <v>0</v>
      </c>
      <c r="K545" t="n">
        <v>0</v>
      </c>
      <c r="L545" t="n">
        <v>0</v>
      </c>
      <c r="M545" t="n">
        <v>0</v>
      </c>
      <c r="N545" t="n">
        <v>0</v>
      </c>
      <c r="O545" t="n">
        <v>0</v>
      </c>
      <c r="P545" t="n">
        <v>0</v>
      </c>
      <c r="Q545" t="n">
        <v>0</v>
      </c>
      <c r="R545" s="2" t="inlineStr"/>
    </row>
    <row r="546" ht="15" customHeight="1">
      <c r="A546" t="inlineStr">
        <is>
          <t>A 21097-2025</t>
        </is>
      </c>
      <c r="B546" s="1" t="n">
        <v>45777.63863425926</v>
      </c>
      <c r="C546" s="1" t="n">
        <v>46065</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35819-2024</t>
        </is>
      </c>
      <c r="B547" s="1" t="n">
        <v>45532</v>
      </c>
      <c r="C547" s="1" t="n">
        <v>46065</v>
      </c>
      <c r="D547" t="inlineStr">
        <is>
          <t>ÖREBRO LÄN</t>
        </is>
      </c>
      <c r="E547" t="inlineStr">
        <is>
          <t>ÖREBRO</t>
        </is>
      </c>
      <c r="G547" t="n">
        <v>6.4</v>
      </c>
      <c r="H547" t="n">
        <v>0</v>
      </c>
      <c r="I547" t="n">
        <v>0</v>
      </c>
      <c r="J547" t="n">
        <v>0</v>
      </c>
      <c r="K547" t="n">
        <v>0</v>
      </c>
      <c r="L547" t="n">
        <v>0</v>
      </c>
      <c r="M547" t="n">
        <v>0</v>
      </c>
      <c r="N547" t="n">
        <v>0</v>
      </c>
      <c r="O547" t="n">
        <v>0</v>
      </c>
      <c r="P547" t="n">
        <v>0</v>
      </c>
      <c r="Q547" t="n">
        <v>0</v>
      </c>
      <c r="R547" s="2" t="inlineStr"/>
    </row>
    <row r="548" ht="15" customHeight="1">
      <c r="A548" t="inlineStr">
        <is>
          <t>A 32076-2023</t>
        </is>
      </c>
      <c r="B548" s="1" t="n">
        <v>45119.58324074074</v>
      </c>
      <c r="C548" s="1" t="n">
        <v>46065</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764-2024</t>
        </is>
      </c>
      <c r="B549" s="1" t="n">
        <v>45300.51512731481</v>
      </c>
      <c r="C549" s="1" t="n">
        <v>46065</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11663-2024</t>
        </is>
      </c>
      <c r="B550" s="1" t="n">
        <v>45373</v>
      </c>
      <c r="C550" s="1" t="n">
        <v>46065</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48454-2025</t>
        </is>
      </c>
      <c r="B551" s="1" t="n">
        <v>45935.80164351852</v>
      </c>
      <c r="C551" s="1" t="n">
        <v>46065</v>
      </c>
      <c r="D551" t="inlineStr">
        <is>
          <t>ÖREBRO LÄN</t>
        </is>
      </c>
      <c r="E551" t="inlineStr">
        <is>
          <t>ÖREBRO</t>
        </is>
      </c>
      <c r="F551" t="inlineStr">
        <is>
          <t>Övriga Aktiebolag</t>
        </is>
      </c>
      <c r="G551" t="n">
        <v>18.1</v>
      </c>
      <c r="H551" t="n">
        <v>0</v>
      </c>
      <c r="I551" t="n">
        <v>0</v>
      </c>
      <c r="J551" t="n">
        <v>0</v>
      </c>
      <c r="K551" t="n">
        <v>0</v>
      </c>
      <c r="L551" t="n">
        <v>0</v>
      </c>
      <c r="M551" t="n">
        <v>0</v>
      </c>
      <c r="N551" t="n">
        <v>0</v>
      </c>
      <c r="O551" t="n">
        <v>0</v>
      </c>
      <c r="P551" t="n">
        <v>0</v>
      </c>
      <c r="Q551" t="n">
        <v>0</v>
      </c>
      <c r="R551" s="2" t="inlineStr"/>
    </row>
    <row r="552" ht="15" customHeight="1">
      <c r="A552" t="inlineStr">
        <is>
          <t>A 58644-2023</t>
        </is>
      </c>
      <c r="B552" s="1" t="n">
        <v>45251.58716435185</v>
      </c>
      <c r="C552" s="1" t="n">
        <v>46065</v>
      </c>
      <c r="D552" t="inlineStr">
        <is>
          <t>ÖREBRO LÄN</t>
        </is>
      </c>
      <c r="E552" t="inlineStr">
        <is>
          <t>ÖREBRO</t>
        </is>
      </c>
      <c r="F552" t="inlineStr">
        <is>
          <t>Övriga Aktiebolag</t>
        </is>
      </c>
      <c r="G552" t="n">
        <v>1.9</v>
      </c>
      <c r="H552" t="n">
        <v>0</v>
      </c>
      <c r="I552" t="n">
        <v>0</v>
      </c>
      <c r="J552" t="n">
        <v>0</v>
      </c>
      <c r="K552" t="n">
        <v>0</v>
      </c>
      <c r="L552" t="n">
        <v>0</v>
      </c>
      <c r="M552" t="n">
        <v>0</v>
      </c>
      <c r="N552" t="n">
        <v>0</v>
      </c>
      <c r="O552" t="n">
        <v>0</v>
      </c>
      <c r="P552" t="n">
        <v>0</v>
      </c>
      <c r="Q552" t="n">
        <v>0</v>
      </c>
      <c r="R552" s="2" t="inlineStr"/>
    </row>
    <row r="553" ht="15" customHeight="1">
      <c r="A553" t="inlineStr">
        <is>
          <t>A 21338-2025</t>
        </is>
      </c>
      <c r="B553" s="1" t="n">
        <v>45780</v>
      </c>
      <c r="C553" s="1" t="n">
        <v>46065</v>
      </c>
      <c r="D553" t="inlineStr">
        <is>
          <t>ÖREBRO LÄN</t>
        </is>
      </c>
      <c r="E553" t="inlineStr">
        <is>
          <t>ÖREBRO</t>
        </is>
      </c>
      <c r="G553" t="n">
        <v>3.2</v>
      </c>
      <c r="H553" t="n">
        <v>0</v>
      </c>
      <c r="I553" t="n">
        <v>0</v>
      </c>
      <c r="J553" t="n">
        <v>0</v>
      </c>
      <c r="K553" t="n">
        <v>0</v>
      </c>
      <c r="L553" t="n">
        <v>0</v>
      </c>
      <c r="M553" t="n">
        <v>0</v>
      </c>
      <c r="N553" t="n">
        <v>0</v>
      </c>
      <c r="O553" t="n">
        <v>0</v>
      </c>
      <c r="P553" t="n">
        <v>0</v>
      </c>
      <c r="Q553" t="n">
        <v>0</v>
      </c>
      <c r="R553" s="2" t="inlineStr"/>
    </row>
    <row r="554" ht="15" customHeight="1">
      <c r="A554" t="inlineStr">
        <is>
          <t>A 22755-2025</t>
        </is>
      </c>
      <c r="B554" s="1" t="n">
        <v>45789.61872685186</v>
      </c>
      <c r="C554" s="1" t="n">
        <v>46065</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44199-2024</t>
        </is>
      </c>
      <c r="B555" s="1" t="n">
        <v>45573</v>
      </c>
      <c r="C555" s="1" t="n">
        <v>46065</v>
      </c>
      <c r="D555" t="inlineStr">
        <is>
          <t>ÖREBRO LÄN</t>
        </is>
      </c>
      <c r="E555" t="inlineStr">
        <is>
          <t>ÖREBRO</t>
        </is>
      </c>
      <c r="G555" t="n">
        <v>4.3</v>
      </c>
      <c r="H555" t="n">
        <v>0</v>
      </c>
      <c r="I555" t="n">
        <v>0</v>
      </c>
      <c r="J555" t="n">
        <v>0</v>
      </c>
      <c r="K555" t="n">
        <v>0</v>
      </c>
      <c r="L555" t="n">
        <v>0</v>
      </c>
      <c r="M555" t="n">
        <v>0</v>
      </c>
      <c r="N555" t="n">
        <v>0</v>
      </c>
      <c r="O555" t="n">
        <v>0</v>
      </c>
      <c r="P555" t="n">
        <v>0</v>
      </c>
      <c r="Q555" t="n">
        <v>0</v>
      </c>
      <c r="R555" s="2" t="inlineStr"/>
    </row>
    <row r="556" ht="15" customHeight="1">
      <c r="A556" t="inlineStr">
        <is>
          <t>A 34336-2024</t>
        </is>
      </c>
      <c r="B556" s="1" t="n">
        <v>45524.94774305556</v>
      </c>
      <c r="C556" s="1" t="n">
        <v>46065</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26443-2024</t>
        </is>
      </c>
      <c r="B557" s="1" t="n">
        <v>45469.49901620371</v>
      </c>
      <c r="C557" s="1" t="n">
        <v>46065</v>
      </c>
      <c r="D557" t="inlineStr">
        <is>
          <t>ÖREBRO LÄN</t>
        </is>
      </c>
      <c r="E557" t="inlineStr">
        <is>
          <t>ÖREBRO</t>
        </is>
      </c>
      <c r="G557" t="n">
        <v>5.7</v>
      </c>
      <c r="H557" t="n">
        <v>0</v>
      </c>
      <c r="I557" t="n">
        <v>0</v>
      </c>
      <c r="J557" t="n">
        <v>0</v>
      </c>
      <c r="K557" t="n">
        <v>0</v>
      </c>
      <c r="L557" t="n">
        <v>0</v>
      </c>
      <c r="M557" t="n">
        <v>0</v>
      </c>
      <c r="N557" t="n">
        <v>0</v>
      </c>
      <c r="O557" t="n">
        <v>0</v>
      </c>
      <c r="P557" t="n">
        <v>0</v>
      </c>
      <c r="Q557" t="n">
        <v>0</v>
      </c>
      <c r="R557" s="2" t="inlineStr"/>
    </row>
    <row r="558" ht="15" customHeight="1">
      <c r="A558" t="inlineStr">
        <is>
          <t>A 35477-2024</t>
        </is>
      </c>
      <c r="B558" s="1" t="n">
        <v>45531</v>
      </c>
      <c r="C558" s="1" t="n">
        <v>46065</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22719-2025</t>
        </is>
      </c>
      <c r="B559" s="1" t="n">
        <v>45789</v>
      </c>
      <c r="C559" s="1" t="n">
        <v>46065</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30316-2024</t>
        </is>
      </c>
      <c r="B560" s="1" t="n">
        <v>45490</v>
      </c>
      <c r="C560" s="1" t="n">
        <v>46065</v>
      </c>
      <c r="D560" t="inlineStr">
        <is>
          <t>ÖREBRO LÄN</t>
        </is>
      </c>
      <c r="E560" t="inlineStr">
        <is>
          <t>ÖREBRO</t>
        </is>
      </c>
      <c r="G560" t="n">
        <v>5.5</v>
      </c>
      <c r="H560" t="n">
        <v>0</v>
      </c>
      <c r="I560" t="n">
        <v>0</v>
      </c>
      <c r="J560" t="n">
        <v>0</v>
      </c>
      <c r="K560" t="n">
        <v>0</v>
      </c>
      <c r="L560" t="n">
        <v>0</v>
      </c>
      <c r="M560" t="n">
        <v>0</v>
      </c>
      <c r="N560" t="n">
        <v>0</v>
      </c>
      <c r="O560" t="n">
        <v>0</v>
      </c>
      <c r="P560" t="n">
        <v>0</v>
      </c>
      <c r="Q560" t="n">
        <v>0</v>
      </c>
      <c r="R560" s="2" t="inlineStr"/>
    </row>
    <row r="561" ht="15" customHeight="1">
      <c r="A561" t="inlineStr">
        <is>
          <t>A 38790-2024</t>
        </is>
      </c>
      <c r="B561" s="1" t="n">
        <v>45547.48450231482</v>
      </c>
      <c r="C561" s="1" t="n">
        <v>46065</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61279-2024</t>
        </is>
      </c>
      <c r="B562" s="1" t="n">
        <v>45645</v>
      </c>
      <c r="C562" s="1" t="n">
        <v>46065</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50311-2025</t>
        </is>
      </c>
      <c r="B563" s="1" t="n">
        <v>45944</v>
      </c>
      <c r="C563" s="1" t="n">
        <v>46065</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71269-2021</t>
        </is>
      </c>
      <c r="B564" s="1" t="n">
        <v>44539</v>
      </c>
      <c r="C564" s="1" t="n">
        <v>46065</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15555-2025</t>
        </is>
      </c>
      <c r="B565" s="1" t="n">
        <v>45747.67768518518</v>
      </c>
      <c r="C565" s="1" t="n">
        <v>46065</v>
      </c>
      <c r="D565" t="inlineStr">
        <is>
          <t>ÖREBRO LÄN</t>
        </is>
      </c>
      <c r="E565" t="inlineStr">
        <is>
          <t>ÖREBRO</t>
        </is>
      </c>
      <c r="G565" t="n">
        <v>1.7</v>
      </c>
      <c r="H565" t="n">
        <v>0</v>
      </c>
      <c r="I565" t="n">
        <v>0</v>
      </c>
      <c r="J565" t="n">
        <v>0</v>
      </c>
      <c r="K565" t="n">
        <v>0</v>
      </c>
      <c r="L565" t="n">
        <v>0</v>
      </c>
      <c r="M565" t="n">
        <v>0</v>
      </c>
      <c r="N565" t="n">
        <v>0</v>
      </c>
      <c r="O565" t="n">
        <v>0</v>
      </c>
      <c r="P565" t="n">
        <v>0</v>
      </c>
      <c r="Q565" t="n">
        <v>0</v>
      </c>
      <c r="R565" s="2" t="inlineStr"/>
    </row>
    <row r="566" ht="15" customHeight="1">
      <c r="A566" t="inlineStr">
        <is>
          <t>A 5136-2024</t>
        </is>
      </c>
      <c r="B566" s="1" t="n">
        <v>45330</v>
      </c>
      <c r="C566" s="1" t="n">
        <v>46065</v>
      </c>
      <c r="D566" t="inlineStr">
        <is>
          <t>ÖREBRO LÄN</t>
        </is>
      </c>
      <c r="E566" t="inlineStr">
        <is>
          <t>ÖREBRO</t>
        </is>
      </c>
      <c r="G566" t="n">
        <v>2.1</v>
      </c>
      <c r="H566" t="n">
        <v>0</v>
      </c>
      <c r="I566" t="n">
        <v>0</v>
      </c>
      <c r="J566" t="n">
        <v>0</v>
      </c>
      <c r="K566" t="n">
        <v>0</v>
      </c>
      <c r="L566" t="n">
        <v>0</v>
      </c>
      <c r="M566" t="n">
        <v>0</v>
      </c>
      <c r="N566" t="n">
        <v>0</v>
      </c>
      <c r="O566" t="n">
        <v>0</v>
      </c>
      <c r="P566" t="n">
        <v>0</v>
      </c>
      <c r="Q566" t="n">
        <v>0</v>
      </c>
      <c r="R566" s="2" t="inlineStr"/>
    </row>
    <row r="567" ht="15" customHeight="1">
      <c r="A567" t="inlineStr">
        <is>
          <t>A 51249-2025</t>
        </is>
      </c>
      <c r="B567" s="1" t="n">
        <v>45948.45704861111</v>
      </c>
      <c r="C567" s="1" t="n">
        <v>46065</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4380-2025</t>
        </is>
      </c>
      <c r="B568" s="1" t="n">
        <v>45686.3959375</v>
      </c>
      <c r="C568" s="1" t="n">
        <v>46065</v>
      </c>
      <c r="D568" t="inlineStr">
        <is>
          <t>ÖREBRO LÄN</t>
        </is>
      </c>
      <c r="E568" t="inlineStr">
        <is>
          <t>ÖREBRO</t>
        </is>
      </c>
      <c r="G568" t="n">
        <v>3.2</v>
      </c>
      <c r="H568" t="n">
        <v>0</v>
      </c>
      <c r="I568" t="n">
        <v>0</v>
      </c>
      <c r="J568" t="n">
        <v>0</v>
      </c>
      <c r="K568" t="n">
        <v>0</v>
      </c>
      <c r="L568" t="n">
        <v>0</v>
      </c>
      <c r="M568" t="n">
        <v>0</v>
      </c>
      <c r="N568" t="n">
        <v>0</v>
      </c>
      <c r="O568" t="n">
        <v>0</v>
      </c>
      <c r="P568" t="n">
        <v>0</v>
      </c>
      <c r="Q568" t="n">
        <v>0</v>
      </c>
      <c r="R568" s="2" t="inlineStr"/>
    </row>
    <row r="569" ht="15" customHeight="1">
      <c r="A569" t="inlineStr">
        <is>
          <t>A 51248-2025</t>
        </is>
      </c>
      <c r="B569" s="1" t="n">
        <v>45948.450625</v>
      </c>
      <c r="C569" s="1" t="n">
        <v>46065</v>
      </c>
      <c r="D569" t="inlineStr">
        <is>
          <t>ÖREBRO LÄN</t>
        </is>
      </c>
      <c r="E569" t="inlineStr">
        <is>
          <t>ÖREBRO</t>
        </is>
      </c>
      <c r="G569" t="n">
        <v>4.4</v>
      </c>
      <c r="H569" t="n">
        <v>0</v>
      </c>
      <c r="I569" t="n">
        <v>0</v>
      </c>
      <c r="J569" t="n">
        <v>0</v>
      </c>
      <c r="K569" t="n">
        <v>0</v>
      </c>
      <c r="L569" t="n">
        <v>0</v>
      </c>
      <c r="M569" t="n">
        <v>0</v>
      </c>
      <c r="N569" t="n">
        <v>0</v>
      </c>
      <c r="O569" t="n">
        <v>0</v>
      </c>
      <c r="P569" t="n">
        <v>0</v>
      </c>
      <c r="Q569" t="n">
        <v>0</v>
      </c>
      <c r="R569" s="2" t="inlineStr"/>
    </row>
    <row r="570" ht="15" customHeight="1">
      <c r="A570" t="inlineStr">
        <is>
          <t>A 51925-2025</t>
        </is>
      </c>
      <c r="B570" s="1" t="n">
        <v>45952.49476851852</v>
      </c>
      <c r="C570" s="1" t="n">
        <v>46065</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51923-2025</t>
        </is>
      </c>
      <c r="B571" s="1" t="n">
        <v>45952.49300925926</v>
      </c>
      <c r="C571" s="1" t="n">
        <v>46065</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51937-2025</t>
        </is>
      </c>
      <c r="B572" s="1" t="n">
        <v>45952.51270833334</v>
      </c>
      <c r="C572" s="1" t="n">
        <v>46065</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52135-2025</t>
        </is>
      </c>
      <c r="B573" s="1" t="n">
        <v>45952.84231481481</v>
      </c>
      <c r="C573" s="1" t="n">
        <v>46065</v>
      </c>
      <c r="D573" t="inlineStr">
        <is>
          <t>ÖREBRO LÄN</t>
        </is>
      </c>
      <c r="E573" t="inlineStr">
        <is>
          <t>ÖREBRO</t>
        </is>
      </c>
      <c r="G573" t="n">
        <v>4</v>
      </c>
      <c r="H573" t="n">
        <v>0</v>
      </c>
      <c r="I573" t="n">
        <v>0</v>
      </c>
      <c r="J573" t="n">
        <v>0</v>
      </c>
      <c r="K573" t="n">
        <v>0</v>
      </c>
      <c r="L573" t="n">
        <v>0</v>
      </c>
      <c r="M573" t="n">
        <v>0</v>
      </c>
      <c r="N573" t="n">
        <v>0</v>
      </c>
      <c r="O573" t="n">
        <v>0</v>
      </c>
      <c r="P573" t="n">
        <v>0</v>
      </c>
      <c r="Q573" t="n">
        <v>0</v>
      </c>
      <c r="R573" s="2" t="inlineStr"/>
    </row>
    <row r="574" ht="15" customHeight="1">
      <c r="A574" t="inlineStr">
        <is>
          <t>A 34358-2022</t>
        </is>
      </c>
      <c r="B574" s="1" t="n">
        <v>44792.45494212963</v>
      </c>
      <c r="C574" s="1" t="n">
        <v>46065</v>
      </c>
      <c r="D574" t="inlineStr">
        <is>
          <t>ÖREBRO LÄN</t>
        </is>
      </c>
      <c r="E574" t="inlineStr">
        <is>
          <t>ÖREBRO</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15695-2024</t>
        </is>
      </c>
      <c r="B575" s="1" t="n">
        <v>45404.45487268519</v>
      </c>
      <c r="C575" s="1" t="n">
        <v>46065</v>
      </c>
      <c r="D575" t="inlineStr">
        <is>
          <t>ÖREBRO LÄN</t>
        </is>
      </c>
      <c r="E575" t="inlineStr">
        <is>
          <t>ÖREBRO</t>
        </is>
      </c>
      <c r="G575" t="n">
        <v>2.7</v>
      </c>
      <c r="H575" t="n">
        <v>0</v>
      </c>
      <c r="I575" t="n">
        <v>0</v>
      </c>
      <c r="J575" t="n">
        <v>0</v>
      </c>
      <c r="K575" t="n">
        <v>0</v>
      </c>
      <c r="L575" t="n">
        <v>0</v>
      </c>
      <c r="M575" t="n">
        <v>0</v>
      </c>
      <c r="N575" t="n">
        <v>0</v>
      </c>
      <c r="O575" t="n">
        <v>0</v>
      </c>
      <c r="P575" t="n">
        <v>0</v>
      </c>
      <c r="Q575" t="n">
        <v>0</v>
      </c>
      <c r="R575" s="2" t="inlineStr"/>
    </row>
    <row r="576" ht="15" customHeight="1">
      <c r="A576" t="inlineStr">
        <is>
          <t>A 5406-2025</t>
        </is>
      </c>
      <c r="B576" s="1" t="n">
        <v>45692.64821759259</v>
      </c>
      <c r="C576" s="1" t="n">
        <v>46065</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30743-2025</t>
        </is>
      </c>
      <c r="B577" s="1" t="n">
        <v>45831</v>
      </c>
      <c r="C577" s="1" t="n">
        <v>46065</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52382-2025</t>
        </is>
      </c>
      <c r="B578" s="1" t="n">
        <v>45953.9559837963</v>
      </c>
      <c r="C578" s="1" t="n">
        <v>46065</v>
      </c>
      <c r="D578" t="inlineStr">
        <is>
          <t>ÖREBRO LÄN</t>
        </is>
      </c>
      <c r="E578" t="inlineStr">
        <is>
          <t>ÖREBRO</t>
        </is>
      </c>
      <c r="F578" t="inlineStr">
        <is>
          <t>Sveaskog</t>
        </is>
      </c>
      <c r="G578" t="n">
        <v>3.4</v>
      </c>
      <c r="H578" t="n">
        <v>0</v>
      </c>
      <c r="I578" t="n">
        <v>0</v>
      </c>
      <c r="J578" t="n">
        <v>0</v>
      </c>
      <c r="K578" t="n">
        <v>0</v>
      </c>
      <c r="L578" t="n">
        <v>0</v>
      </c>
      <c r="M578" t="n">
        <v>0</v>
      </c>
      <c r="N578" t="n">
        <v>0</v>
      </c>
      <c r="O578" t="n">
        <v>0</v>
      </c>
      <c r="P578" t="n">
        <v>0</v>
      </c>
      <c r="Q578" t="n">
        <v>0</v>
      </c>
      <c r="R578" s="2" t="inlineStr"/>
    </row>
    <row r="579" ht="15" customHeight="1">
      <c r="A579" t="inlineStr">
        <is>
          <t>A 22348-2024</t>
        </is>
      </c>
      <c r="B579" s="1" t="n">
        <v>45446.61256944444</v>
      </c>
      <c r="C579" s="1" t="n">
        <v>46065</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52018-2024</t>
        </is>
      </c>
      <c r="B580" s="1" t="n">
        <v>45607.82974537037</v>
      </c>
      <c r="C580" s="1" t="n">
        <v>46065</v>
      </c>
      <c r="D580" t="inlineStr">
        <is>
          <t>ÖREBRO LÄN</t>
        </is>
      </c>
      <c r="E580" t="inlineStr">
        <is>
          <t>ÖREBRO</t>
        </is>
      </c>
      <c r="G580" t="n">
        <v>4.3</v>
      </c>
      <c r="H580" t="n">
        <v>0</v>
      </c>
      <c r="I580" t="n">
        <v>0</v>
      </c>
      <c r="J580" t="n">
        <v>0</v>
      </c>
      <c r="K580" t="n">
        <v>0</v>
      </c>
      <c r="L580" t="n">
        <v>0</v>
      </c>
      <c r="M580" t="n">
        <v>0</v>
      </c>
      <c r="N580" t="n">
        <v>0</v>
      </c>
      <c r="O580" t="n">
        <v>0</v>
      </c>
      <c r="P580" t="n">
        <v>0</v>
      </c>
      <c r="Q580" t="n">
        <v>0</v>
      </c>
      <c r="R580" s="2" t="inlineStr"/>
    </row>
    <row r="581" ht="15" customHeight="1">
      <c r="A581" t="inlineStr">
        <is>
          <t>A 30089-2024</t>
        </is>
      </c>
      <c r="B581" s="1" t="n">
        <v>45485</v>
      </c>
      <c r="C581" s="1" t="n">
        <v>46065</v>
      </c>
      <c r="D581" t="inlineStr">
        <is>
          <t>ÖREBRO LÄN</t>
        </is>
      </c>
      <c r="E581" t="inlineStr">
        <is>
          <t>ÖREBRO</t>
        </is>
      </c>
      <c r="G581" t="n">
        <v>2.2</v>
      </c>
      <c r="H581" t="n">
        <v>0</v>
      </c>
      <c r="I581" t="n">
        <v>0</v>
      </c>
      <c r="J581" t="n">
        <v>0</v>
      </c>
      <c r="K581" t="n">
        <v>0</v>
      </c>
      <c r="L581" t="n">
        <v>0</v>
      </c>
      <c r="M581" t="n">
        <v>0</v>
      </c>
      <c r="N581" t="n">
        <v>0</v>
      </c>
      <c r="O581" t="n">
        <v>0</v>
      </c>
      <c r="P581" t="n">
        <v>0</v>
      </c>
      <c r="Q581" t="n">
        <v>0</v>
      </c>
      <c r="R581" s="2" t="inlineStr"/>
    </row>
    <row r="582" ht="15" customHeight="1">
      <c r="A582" t="inlineStr">
        <is>
          <t>A 53350-2025</t>
        </is>
      </c>
      <c r="B582" s="1" t="n">
        <v>45959.43827546296</v>
      </c>
      <c r="C582" s="1" t="n">
        <v>46065</v>
      </c>
      <c r="D582" t="inlineStr">
        <is>
          <t>ÖREBRO LÄN</t>
        </is>
      </c>
      <c r="E582" t="inlineStr">
        <is>
          <t>ÖREBRO</t>
        </is>
      </c>
      <c r="G582" t="n">
        <v>4.1</v>
      </c>
      <c r="H582" t="n">
        <v>0</v>
      </c>
      <c r="I582" t="n">
        <v>0</v>
      </c>
      <c r="J582" t="n">
        <v>0</v>
      </c>
      <c r="K582" t="n">
        <v>0</v>
      </c>
      <c r="L582" t="n">
        <v>0</v>
      </c>
      <c r="M582" t="n">
        <v>0</v>
      </c>
      <c r="N582" t="n">
        <v>0</v>
      </c>
      <c r="O582" t="n">
        <v>0</v>
      </c>
      <c r="P582" t="n">
        <v>0</v>
      </c>
      <c r="Q582" t="n">
        <v>0</v>
      </c>
      <c r="R582" s="2" t="inlineStr"/>
    </row>
    <row r="583" ht="15" customHeight="1">
      <c r="A583" t="inlineStr">
        <is>
          <t>A 53715-2025</t>
        </is>
      </c>
      <c r="B583" s="1" t="n">
        <v>45960.61763888889</v>
      </c>
      <c r="C583" s="1" t="n">
        <v>46065</v>
      </c>
      <c r="D583" t="inlineStr">
        <is>
          <t>ÖREBRO LÄN</t>
        </is>
      </c>
      <c r="E583" t="inlineStr">
        <is>
          <t>ÖREBRO</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53719-2025</t>
        </is>
      </c>
      <c r="B584" s="1" t="n">
        <v>45960.62042824074</v>
      </c>
      <c r="C584" s="1" t="n">
        <v>46065</v>
      </c>
      <c r="D584" t="inlineStr">
        <is>
          <t>ÖREBRO LÄN</t>
        </is>
      </c>
      <c r="E584" t="inlineStr">
        <is>
          <t>ÖREBRO</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53343-2025</t>
        </is>
      </c>
      <c r="B585" s="1" t="n">
        <v>45959.42025462963</v>
      </c>
      <c r="C585" s="1" t="n">
        <v>46065</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71295-2021</t>
        </is>
      </c>
      <c r="B586" s="1" t="n">
        <v>44539.63009259259</v>
      </c>
      <c r="C586" s="1" t="n">
        <v>46065</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53437-2025</t>
        </is>
      </c>
      <c r="B587" s="1" t="n">
        <v>45959.63440972222</v>
      </c>
      <c r="C587" s="1" t="n">
        <v>46065</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53342-2025</t>
        </is>
      </c>
      <c r="B588" s="1" t="n">
        <v>45959.41769675926</v>
      </c>
      <c r="C588" s="1" t="n">
        <v>46065</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46030-2024</t>
        </is>
      </c>
      <c r="B589" s="1" t="n">
        <v>45580.70377314815</v>
      </c>
      <c r="C589" s="1" t="n">
        <v>46065</v>
      </c>
      <c r="D589" t="inlineStr">
        <is>
          <t>ÖREBRO LÄN</t>
        </is>
      </c>
      <c r="E589" t="inlineStr">
        <is>
          <t>ÖREBRO</t>
        </is>
      </c>
      <c r="G589" t="n">
        <v>3.9</v>
      </c>
      <c r="H589" t="n">
        <v>0</v>
      </c>
      <c r="I589" t="n">
        <v>0</v>
      </c>
      <c r="J589" t="n">
        <v>0</v>
      </c>
      <c r="K589" t="n">
        <v>0</v>
      </c>
      <c r="L589" t="n">
        <v>0</v>
      </c>
      <c r="M589" t="n">
        <v>0</v>
      </c>
      <c r="N589" t="n">
        <v>0</v>
      </c>
      <c r="O589" t="n">
        <v>0</v>
      </c>
      <c r="P589" t="n">
        <v>0</v>
      </c>
      <c r="Q589" t="n">
        <v>0</v>
      </c>
      <c r="R589" s="2" t="inlineStr"/>
    </row>
    <row r="590" ht="15" customHeight="1">
      <c r="A590" t="inlineStr">
        <is>
          <t>A 53443-2025</t>
        </is>
      </c>
      <c r="B590" s="1" t="n">
        <v>45959.6444675926</v>
      </c>
      <c r="C590" s="1" t="n">
        <v>46065</v>
      </c>
      <c r="D590" t="inlineStr">
        <is>
          <t>ÖREBRO LÄN</t>
        </is>
      </c>
      <c r="E590" t="inlineStr">
        <is>
          <t>ÖREBRO</t>
        </is>
      </c>
      <c r="G590" t="n">
        <v>2.8</v>
      </c>
      <c r="H590" t="n">
        <v>0</v>
      </c>
      <c r="I590" t="n">
        <v>0</v>
      </c>
      <c r="J590" t="n">
        <v>0</v>
      </c>
      <c r="K590" t="n">
        <v>0</v>
      </c>
      <c r="L590" t="n">
        <v>0</v>
      </c>
      <c r="M590" t="n">
        <v>0</v>
      </c>
      <c r="N590" t="n">
        <v>0</v>
      </c>
      <c r="O590" t="n">
        <v>0</v>
      </c>
      <c r="P590" t="n">
        <v>0</v>
      </c>
      <c r="Q590" t="n">
        <v>0</v>
      </c>
      <c r="R590" s="2" t="inlineStr"/>
    </row>
    <row r="591" ht="15" customHeight="1">
      <c r="A591" t="inlineStr">
        <is>
          <t>A 5643-2025</t>
        </is>
      </c>
      <c r="B591" s="1" t="n">
        <v>45693</v>
      </c>
      <c r="C591" s="1" t="n">
        <v>46065</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11516-2024</t>
        </is>
      </c>
      <c r="B592" s="1" t="n">
        <v>45372</v>
      </c>
      <c r="C592" s="1" t="n">
        <v>46065</v>
      </c>
      <c r="D592" t="inlineStr">
        <is>
          <t>ÖREBRO LÄN</t>
        </is>
      </c>
      <c r="E592" t="inlineStr">
        <is>
          <t>ÖREBRO</t>
        </is>
      </c>
      <c r="G592" t="n">
        <v>10.7</v>
      </c>
      <c r="H592" t="n">
        <v>0</v>
      </c>
      <c r="I592" t="n">
        <v>0</v>
      </c>
      <c r="J592" t="n">
        <v>0</v>
      </c>
      <c r="K592" t="n">
        <v>0</v>
      </c>
      <c r="L592" t="n">
        <v>0</v>
      </c>
      <c r="M592" t="n">
        <v>0</v>
      </c>
      <c r="N592" t="n">
        <v>0</v>
      </c>
      <c r="O592" t="n">
        <v>0</v>
      </c>
      <c r="P592" t="n">
        <v>0</v>
      </c>
      <c r="Q592" t="n">
        <v>0</v>
      </c>
      <c r="R592" s="2" t="inlineStr"/>
    </row>
    <row r="593" ht="15" customHeight="1">
      <c r="A593" t="inlineStr">
        <is>
          <t>A 5342-2024</t>
        </is>
      </c>
      <c r="B593" s="1" t="n">
        <v>45331.44145833333</v>
      </c>
      <c r="C593" s="1" t="n">
        <v>46065</v>
      </c>
      <c r="D593" t="inlineStr">
        <is>
          <t>ÖREBRO LÄN</t>
        </is>
      </c>
      <c r="E593" t="inlineStr">
        <is>
          <t>ÖREBRO</t>
        </is>
      </c>
      <c r="G593" t="n">
        <v>2.5</v>
      </c>
      <c r="H593" t="n">
        <v>0</v>
      </c>
      <c r="I593" t="n">
        <v>0</v>
      </c>
      <c r="J593" t="n">
        <v>0</v>
      </c>
      <c r="K593" t="n">
        <v>0</v>
      </c>
      <c r="L593" t="n">
        <v>0</v>
      </c>
      <c r="M593" t="n">
        <v>0</v>
      </c>
      <c r="N593" t="n">
        <v>0</v>
      </c>
      <c r="O593" t="n">
        <v>0</v>
      </c>
      <c r="P593" t="n">
        <v>0</v>
      </c>
      <c r="Q593" t="n">
        <v>0</v>
      </c>
      <c r="R593" s="2" t="inlineStr"/>
    </row>
    <row r="594" ht="15" customHeight="1">
      <c r="A594" t="inlineStr">
        <is>
          <t>A 54205-2025</t>
        </is>
      </c>
      <c r="B594" s="1" t="n">
        <v>45964.58512731481</v>
      </c>
      <c r="C594" s="1" t="n">
        <v>46065</v>
      </c>
      <c r="D594" t="inlineStr">
        <is>
          <t>ÖREBRO LÄN</t>
        </is>
      </c>
      <c r="E594" t="inlineStr">
        <is>
          <t>ÖREBRO</t>
        </is>
      </c>
      <c r="G594" t="n">
        <v>24.3</v>
      </c>
      <c r="H594" t="n">
        <v>0</v>
      </c>
      <c r="I594" t="n">
        <v>0</v>
      </c>
      <c r="J594" t="n">
        <v>0</v>
      </c>
      <c r="K594" t="n">
        <v>0</v>
      </c>
      <c r="L594" t="n">
        <v>0</v>
      </c>
      <c r="M594" t="n">
        <v>0</v>
      </c>
      <c r="N594" t="n">
        <v>0</v>
      </c>
      <c r="O594" t="n">
        <v>0</v>
      </c>
      <c r="P594" t="n">
        <v>0</v>
      </c>
      <c r="Q594" t="n">
        <v>0</v>
      </c>
      <c r="R594" s="2" t="inlineStr"/>
    </row>
    <row r="595" ht="15" customHeight="1">
      <c r="A595" t="inlineStr">
        <is>
          <t>A 54485-2025</t>
        </is>
      </c>
      <c r="B595" s="1" t="n">
        <v>45965.59295138889</v>
      </c>
      <c r="C595" s="1" t="n">
        <v>46065</v>
      </c>
      <c r="D595" t="inlineStr">
        <is>
          <t>ÖREBRO LÄN</t>
        </is>
      </c>
      <c r="E595" t="inlineStr">
        <is>
          <t>ÖREBRO</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25578-2025</t>
        </is>
      </c>
      <c r="B596" s="1" t="n">
        <v>45803.47803240741</v>
      </c>
      <c r="C596" s="1" t="n">
        <v>46065</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25519-2025</t>
        </is>
      </c>
      <c r="B597" s="1" t="n">
        <v>45803.38447916666</v>
      </c>
      <c r="C597" s="1" t="n">
        <v>46065</v>
      </c>
      <c r="D597" t="inlineStr">
        <is>
          <t>ÖREBRO LÄN</t>
        </is>
      </c>
      <c r="E597" t="inlineStr">
        <is>
          <t>ÖREBRO</t>
        </is>
      </c>
      <c r="G597" t="n">
        <v>7.4</v>
      </c>
      <c r="H597" t="n">
        <v>0</v>
      </c>
      <c r="I597" t="n">
        <v>0</v>
      </c>
      <c r="J597" t="n">
        <v>0</v>
      </c>
      <c r="K597" t="n">
        <v>0</v>
      </c>
      <c r="L597" t="n">
        <v>0</v>
      </c>
      <c r="M597" t="n">
        <v>0</v>
      </c>
      <c r="N597" t="n">
        <v>0</v>
      </c>
      <c r="O597" t="n">
        <v>0</v>
      </c>
      <c r="P597" t="n">
        <v>0</v>
      </c>
      <c r="Q597" t="n">
        <v>0</v>
      </c>
      <c r="R597" s="2" t="inlineStr"/>
    </row>
    <row r="598" ht="15" customHeight="1">
      <c r="A598" t="inlineStr">
        <is>
          <t>A 55748-2025</t>
        </is>
      </c>
      <c r="B598" s="1" t="n">
        <v>45972.57893518519</v>
      </c>
      <c r="C598" s="1" t="n">
        <v>46065</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55750-2025</t>
        </is>
      </c>
      <c r="B599" s="1" t="n">
        <v>45972.58171296296</v>
      </c>
      <c r="C599" s="1" t="n">
        <v>46065</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55879-2025</t>
        </is>
      </c>
      <c r="B600" s="1" t="n">
        <v>45973.36508101852</v>
      </c>
      <c r="C600" s="1" t="n">
        <v>46065</v>
      </c>
      <c r="D600" t="inlineStr">
        <is>
          <t>ÖREBRO LÄN</t>
        </is>
      </c>
      <c r="E600" t="inlineStr">
        <is>
          <t>ÖREBRO</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55888-2025</t>
        </is>
      </c>
      <c r="B601" s="1" t="n">
        <v>45973.37163194444</v>
      </c>
      <c r="C601" s="1" t="n">
        <v>46065</v>
      </c>
      <c r="D601" t="inlineStr">
        <is>
          <t>ÖREBRO LÄN</t>
        </is>
      </c>
      <c r="E601" t="inlineStr">
        <is>
          <t>ÖREBRO</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57537-2025</t>
        </is>
      </c>
      <c r="B602" s="1" t="n">
        <v>45980.6446875</v>
      </c>
      <c r="C602" s="1" t="n">
        <v>46065</v>
      </c>
      <c r="D602" t="inlineStr">
        <is>
          <t>ÖREBRO LÄN</t>
        </is>
      </c>
      <c r="E602" t="inlineStr">
        <is>
          <t>ÖREBRO</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58587-2025</t>
        </is>
      </c>
      <c r="B603" s="1" t="n">
        <v>45986.40208333333</v>
      </c>
      <c r="C603" s="1" t="n">
        <v>46065</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58230-2025</t>
        </is>
      </c>
      <c r="B604" s="1" t="n">
        <v>45985.38037037037</v>
      </c>
      <c r="C604" s="1" t="n">
        <v>46065</v>
      </c>
      <c r="D604" t="inlineStr">
        <is>
          <t>ÖREBRO LÄN</t>
        </is>
      </c>
      <c r="E604" t="inlineStr">
        <is>
          <t>ÖREBRO</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59145-2025</t>
        </is>
      </c>
      <c r="B605" s="1" t="n">
        <v>45988.52015046297</v>
      </c>
      <c r="C605" s="1" t="n">
        <v>46065</v>
      </c>
      <c r="D605" t="inlineStr">
        <is>
          <t>ÖREBRO LÄN</t>
        </is>
      </c>
      <c r="E605" t="inlineStr">
        <is>
          <t>ÖREBRO</t>
        </is>
      </c>
      <c r="G605" t="n">
        <v>0.8</v>
      </c>
      <c r="H605" t="n">
        <v>0</v>
      </c>
      <c r="I605" t="n">
        <v>0</v>
      </c>
      <c r="J605" t="n">
        <v>0</v>
      </c>
      <c r="K605" t="n">
        <v>0</v>
      </c>
      <c r="L605" t="n">
        <v>0</v>
      </c>
      <c r="M605" t="n">
        <v>0</v>
      </c>
      <c r="N605" t="n">
        <v>0</v>
      </c>
      <c r="O605" t="n">
        <v>0</v>
      </c>
      <c r="P605" t="n">
        <v>0</v>
      </c>
      <c r="Q605" t="n">
        <v>0</v>
      </c>
      <c r="R605" s="2" t="inlineStr"/>
    </row>
    <row r="606" ht="15" customHeight="1">
      <c r="A606" t="inlineStr">
        <is>
          <t>A 58835-2025</t>
        </is>
      </c>
      <c r="B606" s="1" t="n">
        <v>45987.35519675926</v>
      </c>
      <c r="C606" s="1" t="n">
        <v>46065</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59312-2025</t>
        </is>
      </c>
      <c r="B607" s="1" t="n">
        <v>45989.30467592592</v>
      </c>
      <c r="C607" s="1" t="n">
        <v>46065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59313-2025</t>
        </is>
      </c>
      <c r="B608" s="1" t="n">
        <v>45989.30920138889</v>
      </c>
      <c r="C608" s="1" t="n">
        <v>46065</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59856-2025</t>
        </is>
      </c>
      <c r="B609" s="1" t="n">
        <v>45992.74891203704</v>
      </c>
      <c r="C609" s="1" t="n">
        <v>46065</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1153-2026</t>
        </is>
      </c>
      <c r="B610" s="1" t="n">
        <v>46031.30899305556</v>
      </c>
      <c r="C610" s="1" t="n">
        <v>46065</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59857-2025</t>
        </is>
      </c>
      <c r="B611" s="1" t="n">
        <v>45992.75820601852</v>
      </c>
      <c r="C611" s="1" t="n">
        <v>46065</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59858-2025</t>
        </is>
      </c>
      <c r="B612" s="1" t="n">
        <v>45992.76758101852</v>
      </c>
      <c r="C612" s="1" t="n">
        <v>46065</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59859-2025</t>
        </is>
      </c>
      <c r="B613" s="1" t="n">
        <v>45992.7803125</v>
      </c>
      <c r="C613" s="1" t="n">
        <v>46065</v>
      </c>
      <c r="D613" t="inlineStr">
        <is>
          <t>ÖREBRO LÄN</t>
        </is>
      </c>
      <c r="E613" t="inlineStr">
        <is>
          <t>ÖREBRO</t>
        </is>
      </c>
      <c r="G613" t="n">
        <v>0.4</v>
      </c>
      <c r="H613" t="n">
        <v>0</v>
      </c>
      <c r="I613" t="n">
        <v>0</v>
      </c>
      <c r="J613" t="n">
        <v>0</v>
      </c>
      <c r="K613" t="n">
        <v>0</v>
      </c>
      <c r="L613" t="n">
        <v>0</v>
      </c>
      <c r="M613" t="n">
        <v>0</v>
      </c>
      <c r="N613" t="n">
        <v>0</v>
      </c>
      <c r="O613" t="n">
        <v>0</v>
      </c>
      <c r="P613" t="n">
        <v>0</v>
      </c>
      <c r="Q613" t="n">
        <v>0</v>
      </c>
      <c r="R613" s="2" t="inlineStr"/>
    </row>
    <row r="614" ht="15" customHeight="1">
      <c r="A614" t="inlineStr">
        <is>
          <t>A 59937-2025</t>
        </is>
      </c>
      <c r="B614" s="1" t="n">
        <v>45993.41934027777</v>
      </c>
      <c r="C614" s="1" t="n">
        <v>46065</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59938-2025</t>
        </is>
      </c>
      <c r="B615" s="1" t="n">
        <v>45993.42108796296</v>
      </c>
      <c r="C615" s="1" t="n">
        <v>46065</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59860-2025</t>
        </is>
      </c>
      <c r="B616" s="1" t="n">
        <v>45992.78351851852</v>
      </c>
      <c r="C616" s="1" t="n">
        <v>46065</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2162-2026</t>
        </is>
      </c>
      <c r="B617" s="1" t="n">
        <v>46036.43479166667</v>
      </c>
      <c r="C617" s="1" t="n">
        <v>46065</v>
      </c>
      <c r="D617" t="inlineStr">
        <is>
          <t>ÖREBRO LÄN</t>
        </is>
      </c>
      <c r="E617" t="inlineStr">
        <is>
          <t>ÖREBRO</t>
        </is>
      </c>
      <c r="G617" t="n">
        <v>0.5</v>
      </c>
      <c r="H617" t="n">
        <v>0</v>
      </c>
      <c r="I617" t="n">
        <v>0</v>
      </c>
      <c r="J617" t="n">
        <v>0</v>
      </c>
      <c r="K617" t="n">
        <v>0</v>
      </c>
      <c r="L617" t="n">
        <v>0</v>
      </c>
      <c r="M617" t="n">
        <v>0</v>
      </c>
      <c r="N617" t="n">
        <v>0</v>
      </c>
      <c r="O617" t="n">
        <v>0</v>
      </c>
      <c r="P617" t="n">
        <v>0</v>
      </c>
      <c r="Q617" t="n">
        <v>0</v>
      </c>
      <c r="R617" s="2" t="inlineStr"/>
    </row>
    <row r="618" ht="15" customHeight="1">
      <c r="A618" t="inlineStr">
        <is>
          <t>A 3031-2026</t>
        </is>
      </c>
      <c r="B618" s="1" t="n">
        <v>46038.71271990741</v>
      </c>
      <c r="C618" s="1" t="n">
        <v>46065</v>
      </c>
      <c r="D618" t="inlineStr">
        <is>
          <t>ÖREBRO LÄN</t>
        </is>
      </c>
      <c r="E618" t="inlineStr">
        <is>
          <t>ÖREBRO</t>
        </is>
      </c>
      <c r="F618" t="inlineStr">
        <is>
          <t>Övriga Aktiebolag</t>
        </is>
      </c>
      <c r="G618" t="n">
        <v>1.4</v>
      </c>
      <c r="H618" t="n">
        <v>0</v>
      </c>
      <c r="I618" t="n">
        <v>0</v>
      </c>
      <c r="J618" t="n">
        <v>0</v>
      </c>
      <c r="K618" t="n">
        <v>0</v>
      </c>
      <c r="L618" t="n">
        <v>0</v>
      </c>
      <c r="M618" t="n">
        <v>0</v>
      </c>
      <c r="N618" t="n">
        <v>0</v>
      </c>
      <c r="O618" t="n">
        <v>0</v>
      </c>
      <c r="P618" t="n">
        <v>0</v>
      </c>
      <c r="Q618" t="n">
        <v>0</v>
      </c>
      <c r="R618" s="2" t="inlineStr"/>
    </row>
    <row r="619" ht="15" customHeight="1">
      <c r="A619" t="inlineStr">
        <is>
          <t>A 3033-2026</t>
        </is>
      </c>
      <c r="B619" s="1" t="n">
        <v>46038.71920138889</v>
      </c>
      <c r="C619" s="1" t="n">
        <v>46065</v>
      </c>
      <c r="D619" t="inlineStr">
        <is>
          <t>ÖREBRO LÄN</t>
        </is>
      </c>
      <c r="E619" t="inlineStr">
        <is>
          <t>ÖREBRO</t>
        </is>
      </c>
      <c r="F619" t="inlineStr">
        <is>
          <t>Övriga Aktiebolag</t>
        </is>
      </c>
      <c r="G619" t="n">
        <v>3.4</v>
      </c>
      <c r="H619" t="n">
        <v>0</v>
      </c>
      <c r="I619" t="n">
        <v>0</v>
      </c>
      <c r="J619" t="n">
        <v>0</v>
      </c>
      <c r="K619" t="n">
        <v>0</v>
      </c>
      <c r="L619" t="n">
        <v>0</v>
      </c>
      <c r="M619" t="n">
        <v>0</v>
      </c>
      <c r="N619" t="n">
        <v>0</v>
      </c>
      <c r="O619" t="n">
        <v>0</v>
      </c>
      <c r="P619" t="n">
        <v>0</v>
      </c>
      <c r="Q619" t="n">
        <v>0</v>
      </c>
      <c r="R619" s="2" t="inlineStr"/>
    </row>
    <row r="620" ht="15" customHeight="1">
      <c r="A620" t="inlineStr">
        <is>
          <t>A 60717-2025</t>
        </is>
      </c>
      <c r="B620" s="1" t="n">
        <v>45996.63673611111</v>
      </c>
      <c r="C620" s="1" t="n">
        <v>46065</v>
      </c>
      <c r="D620" t="inlineStr">
        <is>
          <t>ÖREBRO LÄN</t>
        </is>
      </c>
      <c r="E620" t="inlineStr">
        <is>
          <t>ÖREBRO</t>
        </is>
      </c>
      <c r="F620" t="inlineStr">
        <is>
          <t>Sveaskog</t>
        </is>
      </c>
      <c r="G620" t="n">
        <v>0.5</v>
      </c>
      <c r="H620" t="n">
        <v>0</v>
      </c>
      <c r="I620" t="n">
        <v>0</v>
      </c>
      <c r="J620" t="n">
        <v>0</v>
      </c>
      <c r="K620" t="n">
        <v>0</v>
      </c>
      <c r="L620" t="n">
        <v>0</v>
      </c>
      <c r="M620" t="n">
        <v>0</v>
      </c>
      <c r="N620" t="n">
        <v>0</v>
      </c>
      <c r="O620" t="n">
        <v>0</v>
      </c>
      <c r="P620" t="n">
        <v>0</v>
      </c>
      <c r="Q620" t="n">
        <v>0</v>
      </c>
      <c r="R620" s="2" t="inlineStr"/>
    </row>
    <row r="621" ht="15" customHeight="1">
      <c r="A621" t="inlineStr">
        <is>
          <t>A 60718-2025</t>
        </is>
      </c>
      <c r="B621" s="1" t="n">
        <v>45996.6384375</v>
      </c>
      <c r="C621" s="1" t="n">
        <v>46065</v>
      </c>
      <c r="D621" t="inlineStr">
        <is>
          <t>ÖREBRO LÄN</t>
        </is>
      </c>
      <c r="E621" t="inlineStr">
        <is>
          <t>ÖREBRO</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60721-2025</t>
        </is>
      </c>
      <c r="B622" s="1" t="n">
        <v>45996</v>
      </c>
      <c r="C622" s="1" t="n">
        <v>46065</v>
      </c>
      <c r="D622" t="inlineStr">
        <is>
          <t>ÖREBRO LÄN</t>
        </is>
      </c>
      <c r="E622" t="inlineStr">
        <is>
          <t>ÖREBRO</t>
        </is>
      </c>
      <c r="G622" t="n">
        <v>1.3</v>
      </c>
      <c r="H622" t="n">
        <v>0</v>
      </c>
      <c r="I622" t="n">
        <v>0</v>
      </c>
      <c r="J622" t="n">
        <v>0</v>
      </c>
      <c r="K622" t="n">
        <v>0</v>
      </c>
      <c r="L622" t="n">
        <v>0</v>
      </c>
      <c r="M622" t="n">
        <v>0</v>
      </c>
      <c r="N622" t="n">
        <v>0</v>
      </c>
      <c r="O622" t="n">
        <v>0</v>
      </c>
      <c r="P622" t="n">
        <v>0</v>
      </c>
      <c r="Q622" t="n">
        <v>0</v>
      </c>
      <c r="R622" s="2" t="inlineStr"/>
    </row>
    <row r="623" ht="15" customHeight="1">
      <c r="A623" t="inlineStr">
        <is>
          <t>A 3042-2026</t>
        </is>
      </c>
      <c r="B623" s="1" t="n">
        <v>46038.73467592592</v>
      </c>
      <c r="C623" s="1" t="n">
        <v>46065</v>
      </c>
      <c r="D623" t="inlineStr">
        <is>
          <t>ÖREBRO LÄN</t>
        </is>
      </c>
      <c r="E623" t="inlineStr">
        <is>
          <t>ÖREBRO</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60466-2025</t>
        </is>
      </c>
      <c r="B624" s="1" t="n">
        <v>45995.55927083334</v>
      </c>
      <c r="C624" s="1" t="n">
        <v>46065</v>
      </c>
      <c r="D624" t="inlineStr">
        <is>
          <t>ÖREBRO LÄN</t>
        </is>
      </c>
      <c r="E624" t="inlineStr">
        <is>
          <t>ÖREBRO</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60555-2025</t>
        </is>
      </c>
      <c r="B625" s="1" t="n">
        <v>45995.73722222223</v>
      </c>
      <c r="C625" s="1" t="n">
        <v>46065</v>
      </c>
      <c r="D625" t="inlineStr">
        <is>
          <t>ÖREBRO LÄN</t>
        </is>
      </c>
      <c r="E625" t="inlineStr">
        <is>
          <t>ÖREBRO</t>
        </is>
      </c>
      <c r="G625" t="n">
        <v>1.7</v>
      </c>
      <c r="H625" t="n">
        <v>0</v>
      </c>
      <c r="I625" t="n">
        <v>0</v>
      </c>
      <c r="J625" t="n">
        <v>0</v>
      </c>
      <c r="K625" t="n">
        <v>0</v>
      </c>
      <c r="L625" t="n">
        <v>0</v>
      </c>
      <c r="M625" t="n">
        <v>0</v>
      </c>
      <c r="N625" t="n">
        <v>0</v>
      </c>
      <c r="O625" t="n">
        <v>0</v>
      </c>
      <c r="P625" t="n">
        <v>0</v>
      </c>
      <c r="Q625" t="n">
        <v>0</v>
      </c>
      <c r="R625" s="2" t="inlineStr"/>
    </row>
    <row r="626" ht="15" customHeight="1">
      <c r="A626" t="inlineStr">
        <is>
          <t>A 60551-2025</t>
        </is>
      </c>
      <c r="B626" s="1" t="n">
        <v>45995</v>
      </c>
      <c r="C626" s="1" t="n">
        <v>46065</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60553-2025</t>
        </is>
      </c>
      <c r="B627" s="1" t="n">
        <v>45995.72620370371</v>
      </c>
      <c r="C627" s="1" t="n">
        <v>46065</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60720-2025</t>
        </is>
      </c>
      <c r="B628" s="1" t="n">
        <v>45996.64050925926</v>
      </c>
      <c r="C628" s="1" t="n">
        <v>46065</v>
      </c>
      <c r="D628" t="inlineStr">
        <is>
          <t>ÖREBRO LÄN</t>
        </is>
      </c>
      <c r="E628" t="inlineStr">
        <is>
          <t>ÖREBRO</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2970-2026</t>
        </is>
      </c>
      <c r="B629" s="1" t="n">
        <v>46038.6202662037</v>
      </c>
      <c r="C629" s="1" t="n">
        <v>46065</v>
      </c>
      <c r="D629" t="inlineStr">
        <is>
          <t>ÖREBRO LÄN</t>
        </is>
      </c>
      <c r="E629" t="inlineStr">
        <is>
          <t>ÖREBRO</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3111-2026</t>
        </is>
      </c>
      <c r="B630" s="1" t="n">
        <v>46041.36004629629</v>
      </c>
      <c r="C630" s="1" t="n">
        <v>46065</v>
      </c>
      <c r="D630" t="inlineStr">
        <is>
          <t>ÖREBRO LÄN</t>
        </is>
      </c>
      <c r="E630" t="inlineStr">
        <is>
          <t>ÖREBRO</t>
        </is>
      </c>
      <c r="F630" t="inlineStr">
        <is>
          <t>Övriga Aktiebolag</t>
        </is>
      </c>
      <c r="G630" t="n">
        <v>8.6</v>
      </c>
      <c r="H630" t="n">
        <v>0</v>
      </c>
      <c r="I630" t="n">
        <v>0</v>
      </c>
      <c r="J630" t="n">
        <v>0</v>
      </c>
      <c r="K630" t="n">
        <v>0</v>
      </c>
      <c r="L630" t="n">
        <v>0</v>
      </c>
      <c r="M630" t="n">
        <v>0</v>
      </c>
      <c r="N630" t="n">
        <v>0</v>
      </c>
      <c r="O630" t="n">
        <v>0</v>
      </c>
      <c r="P630" t="n">
        <v>0</v>
      </c>
      <c r="Q630" t="n">
        <v>0</v>
      </c>
      <c r="R630" s="2" t="inlineStr"/>
    </row>
    <row r="631" ht="15" customHeight="1">
      <c r="A631" t="inlineStr">
        <is>
          <t>A 3252-2026</t>
        </is>
      </c>
      <c r="B631" s="1" t="n">
        <v>46041.58626157408</v>
      </c>
      <c r="C631" s="1" t="n">
        <v>46065</v>
      </c>
      <c r="D631" t="inlineStr">
        <is>
          <t>ÖREBRO LÄN</t>
        </is>
      </c>
      <c r="E631" t="inlineStr">
        <is>
          <t>ÖREBRO</t>
        </is>
      </c>
      <c r="F631" t="inlineStr">
        <is>
          <t>Övriga Aktiebolag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60840-2025</t>
        </is>
      </c>
      <c r="B632" s="1" t="n">
        <v>45999.48547453704</v>
      </c>
      <c r="C632" s="1" t="n">
        <v>46065</v>
      </c>
      <c r="D632" t="inlineStr">
        <is>
          <t>ÖREBRO LÄN</t>
        </is>
      </c>
      <c r="E632" t="inlineStr">
        <is>
          <t>ÖREBRO</t>
        </is>
      </c>
      <c r="G632" t="n">
        <v>3.5</v>
      </c>
      <c r="H632" t="n">
        <v>0</v>
      </c>
      <c r="I632" t="n">
        <v>0</v>
      </c>
      <c r="J632" t="n">
        <v>0</v>
      </c>
      <c r="K632" t="n">
        <v>0</v>
      </c>
      <c r="L632" t="n">
        <v>0</v>
      </c>
      <c r="M632" t="n">
        <v>0</v>
      </c>
      <c r="N632" t="n">
        <v>0</v>
      </c>
      <c r="O632" t="n">
        <v>0</v>
      </c>
      <c r="P632" t="n">
        <v>0</v>
      </c>
      <c r="Q632" t="n">
        <v>0</v>
      </c>
      <c r="R632" s="2" t="inlineStr"/>
    </row>
    <row r="633" ht="15" customHeight="1">
      <c r="A633" t="inlineStr">
        <is>
          <t>A 3944-2026</t>
        </is>
      </c>
      <c r="B633" s="1" t="n">
        <v>46043.93358796297</v>
      </c>
      <c r="C633" s="1" t="n">
        <v>46065</v>
      </c>
      <c r="D633" t="inlineStr">
        <is>
          <t>ÖREBRO LÄN</t>
        </is>
      </c>
      <c r="E633" t="inlineStr">
        <is>
          <t>ÖREBRO</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61525-2025</t>
        </is>
      </c>
      <c r="B634" s="1" t="n">
        <v>46001</v>
      </c>
      <c r="C634" s="1" t="n">
        <v>46065</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61930-2025</t>
        </is>
      </c>
      <c r="B635" s="1" t="n">
        <v>46003</v>
      </c>
      <c r="C635" s="1" t="n">
        <v>46065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62683-2025</t>
        </is>
      </c>
      <c r="B636" s="1" t="n">
        <v>46008.45796296297</v>
      </c>
      <c r="C636" s="1" t="n">
        <v>46065</v>
      </c>
      <c r="D636" t="inlineStr">
        <is>
          <t>ÖREBRO LÄN</t>
        </is>
      </c>
      <c r="E636" t="inlineStr">
        <is>
          <t>ÖREBRO</t>
        </is>
      </c>
      <c r="G636" t="n">
        <v>5.1</v>
      </c>
      <c r="H636" t="n">
        <v>0</v>
      </c>
      <c r="I636" t="n">
        <v>0</v>
      </c>
      <c r="J636" t="n">
        <v>0</v>
      </c>
      <c r="K636" t="n">
        <v>0</v>
      </c>
      <c r="L636" t="n">
        <v>0</v>
      </c>
      <c r="M636" t="n">
        <v>0</v>
      </c>
      <c r="N636" t="n">
        <v>0</v>
      </c>
      <c r="O636" t="n">
        <v>0</v>
      </c>
      <c r="P636" t="n">
        <v>0</v>
      </c>
      <c r="Q636" t="n">
        <v>0</v>
      </c>
      <c r="R636" s="2" t="inlineStr"/>
    </row>
    <row r="637" ht="15" customHeight="1">
      <c r="A637" t="inlineStr">
        <is>
          <t>A 55003-2025</t>
        </is>
      </c>
      <c r="B637" s="1" t="n">
        <v>45967</v>
      </c>
      <c r="C637" s="1" t="n">
        <v>46065</v>
      </c>
      <c r="D637" t="inlineStr">
        <is>
          <t>ÖREBRO LÄN</t>
        </is>
      </c>
      <c r="E637" t="inlineStr">
        <is>
          <t>ÖREBRO</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16258-2022</t>
        </is>
      </c>
      <c r="B638" s="1" t="n">
        <v>44670</v>
      </c>
      <c r="C638" s="1" t="n">
        <v>46065</v>
      </c>
      <c r="D638" t="inlineStr">
        <is>
          <t>ÖREBRO LÄN</t>
        </is>
      </c>
      <c r="E638" t="inlineStr">
        <is>
          <t>ÖREBRO</t>
        </is>
      </c>
      <c r="G638" t="n">
        <v>0.6</v>
      </c>
      <c r="H638" t="n">
        <v>0</v>
      </c>
      <c r="I638" t="n">
        <v>0</v>
      </c>
      <c r="J638" t="n">
        <v>0</v>
      </c>
      <c r="K638" t="n">
        <v>0</v>
      </c>
      <c r="L638" t="n">
        <v>0</v>
      </c>
      <c r="M638" t="n">
        <v>0</v>
      </c>
      <c r="N638" t="n">
        <v>0</v>
      </c>
      <c r="O638" t="n">
        <v>0</v>
      </c>
      <c r="P638" t="n">
        <v>0</v>
      </c>
      <c r="Q638" t="n">
        <v>0</v>
      </c>
      <c r="R638" s="2" t="inlineStr"/>
    </row>
    <row r="639" ht="15" customHeight="1">
      <c r="A639" t="inlineStr">
        <is>
          <t>A 6220-2026</t>
        </is>
      </c>
      <c r="B639" s="1" t="n">
        <v>46055.43789351852</v>
      </c>
      <c r="C639" s="1" t="n">
        <v>46065</v>
      </c>
      <c r="D639" t="inlineStr">
        <is>
          <t>ÖREBRO LÄN</t>
        </is>
      </c>
      <c r="E639" t="inlineStr">
        <is>
          <t>ÖREBRO</t>
        </is>
      </c>
      <c r="G639" t="n">
        <v>2.1</v>
      </c>
      <c r="H639" t="n">
        <v>0</v>
      </c>
      <c r="I639" t="n">
        <v>0</v>
      </c>
      <c r="J639" t="n">
        <v>0</v>
      </c>
      <c r="K639" t="n">
        <v>0</v>
      </c>
      <c r="L639" t="n">
        <v>0</v>
      </c>
      <c r="M639" t="n">
        <v>0</v>
      </c>
      <c r="N639" t="n">
        <v>0</v>
      </c>
      <c r="O639" t="n">
        <v>0</v>
      </c>
      <c r="P639" t="n">
        <v>0</v>
      </c>
      <c r="Q639" t="n">
        <v>0</v>
      </c>
      <c r="R639" s="2" t="inlineStr"/>
    </row>
    <row r="640" ht="15" customHeight="1">
      <c r="A640" t="inlineStr">
        <is>
          <t>A 63657-2025</t>
        </is>
      </c>
      <c r="B640" s="1" t="n">
        <v>46014.44479166667</v>
      </c>
      <c r="C640" s="1" t="n">
        <v>46065</v>
      </c>
      <c r="D640" t="inlineStr">
        <is>
          <t>ÖREBRO LÄN</t>
        </is>
      </c>
      <c r="E640" t="inlineStr">
        <is>
          <t>ÖREBRO</t>
        </is>
      </c>
      <c r="F640" t="inlineStr">
        <is>
          <t>Allmännings- och besparingsskogar</t>
        </is>
      </c>
      <c r="G640" t="n">
        <v>3.9</v>
      </c>
      <c r="H640" t="n">
        <v>0</v>
      </c>
      <c r="I640" t="n">
        <v>0</v>
      </c>
      <c r="J640" t="n">
        <v>0</v>
      </c>
      <c r="K640" t="n">
        <v>0</v>
      </c>
      <c r="L640" t="n">
        <v>0</v>
      </c>
      <c r="M640" t="n">
        <v>0</v>
      </c>
      <c r="N640" t="n">
        <v>0</v>
      </c>
      <c r="O640" t="n">
        <v>0</v>
      </c>
      <c r="P640" t="n">
        <v>0</v>
      </c>
      <c r="Q640" t="n">
        <v>0</v>
      </c>
      <c r="R640" s="2" t="inlineStr"/>
    </row>
    <row r="641" ht="15" customHeight="1">
      <c r="A641" t="inlineStr">
        <is>
          <t>A 63666-2025</t>
        </is>
      </c>
      <c r="B641" s="1" t="n">
        <v>46014.45650462963</v>
      </c>
      <c r="C641" s="1" t="n">
        <v>46065</v>
      </c>
      <c r="D641" t="inlineStr">
        <is>
          <t>ÖREBRO LÄN</t>
        </is>
      </c>
      <c r="E641" t="inlineStr">
        <is>
          <t>ÖREBRO</t>
        </is>
      </c>
      <c r="F641" t="inlineStr">
        <is>
          <t>Allmännings- och besparingsskogar</t>
        </is>
      </c>
      <c r="G641" t="n">
        <v>2.6</v>
      </c>
      <c r="H641" t="n">
        <v>0</v>
      </c>
      <c r="I641" t="n">
        <v>0</v>
      </c>
      <c r="J641" t="n">
        <v>0</v>
      </c>
      <c r="K641" t="n">
        <v>0</v>
      </c>
      <c r="L641" t="n">
        <v>0</v>
      </c>
      <c r="M641" t="n">
        <v>0</v>
      </c>
      <c r="N641" t="n">
        <v>0</v>
      </c>
      <c r="O641" t="n">
        <v>0</v>
      </c>
      <c r="P641" t="n">
        <v>0</v>
      </c>
      <c r="Q641" t="n">
        <v>0</v>
      </c>
      <c r="R641" s="2" t="inlineStr"/>
    </row>
    <row r="642" ht="15" customHeight="1">
      <c r="A642" t="inlineStr">
        <is>
          <t>A 7220-2026</t>
        </is>
      </c>
      <c r="B642" s="1" t="n">
        <v>46058.56126157408</v>
      </c>
      <c r="C642" s="1" t="n">
        <v>46065</v>
      </c>
      <c r="D642" t="inlineStr">
        <is>
          <t>ÖREBRO LÄN</t>
        </is>
      </c>
      <c r="E642" t="inlineStr">
        <is>
          <t>ÖREBRO</t>
        </is>
      </c>
      <c r="F642" t="inlineStr">
        <is>
          <t>Övriga Aktiebolag</t>
        </is>
      </c>
      <c r="G642" t="n">
        <v>2</v>
      </c>
      <c r="H642" t="n">
        <v>0</v>
      </c>
      <c r="I642" t="n">
        <v>0</v>
      </c>
      <c r="J642" t="n">
        <v>0</v>
      </c>
      <c r="K642" t="n">
        <v>0</v>
      </c>
      <c r="L642" t="n">
        <v>0</v>
      </c>
      <c r="M642" t="n">
        <v>0</v>
      </c>
      <c r="N642" t="n">
        <v>0</v>
      </c>
      <c r="O642" t="n">
        <v>0</v>
      </c>
      <c r="P642" t="n">
        <v>0</v>
      </c>
      <c r="Q642" t="n">
        <v>0</v>
      </c>
      <c r="R642" s="2" t="inlineStr"/>
    </row>
    <row r="643" ht="15" customHeight="1">
      <c r="A643" t="inlineStr">
        <is>
          <t>A 7227-2026</t>
        </is>
      </c>
      <c r="B643" s="1" t="n">
        <v>46058.56858796296</v>
      </c>
      <c r="C643" s="1" t="n">
        <v>46065</v>
      </c>
      <c r="D643" t="inlineStr">
        <is>
          <t>ÖREBRO LÄN</t>
        </is>
      </c>
      <c r="E643" t="inlineStr">
        <is>
          <t>ÖREBRO</t>
        </is>
      </c>
      <c r="F643" t="inlineStr">
        <is>
          <t>Övriga Aktiebolag</t>
        </is>
      </c>
      <c r="G643" t="n">
        <v>0.7</v>
      </c>
      <c r="H643" t="n">
        <v>0</v>
      </c>
      <c r="I643" t="n">
        <v>0</v>
      </c>
      <c r="J643" t="n">
        <v>0</v>
      </c>
      <c r="K643" t="n">
        <v>0</v>
      </c>
      <c r="L643" t="n">
        <v>0</v>
      </c>
      <c r="M643" t="n">
        <v>0</v>
      </c>
      <c r="N643" t="n">
        <v>0</v>
      </c>
      <c r="O643" t="n">
        <v>0</v>
      </c>
      <c r="P643" t="n">
        <v>0</v>
      </c>
      <c r="Q643" t="n">
        <v>0</v>
      </c>
      <c r="R643" s="2" t="inlineStr"/>
    </row>
    <row r="644" ht="15" customHeight="1">
      <c r="A644" t="inlineStr">
        <is>
          <t>A 63662-2025</t>
        </is>
      </c>
      <c r="B644" s="1" t="n">
        <v>46014.45055555556</v>
      </c>
      <c r="C644" s="1" t="n">
        <v>46065</v>
      </c>
      <c r="D644" t="inlineStr">
        <is>
          <t>ÖREBRO LÄN</t>
        </is>
      </c>
      <c r="E644" t="inlineStr">
        <is>
          <t>ÖREBRO</t>
        </is>
      </c>
      <c r="F644" t="inlineStr">
        <is>
          <t>Allmännings- och besparingsskogar</t>
        </is>
      </c>
      <c r="G644" t="n">
        <v>3.2</v>
      </c>
      <c r="H644" t="n">
        <v>0</v>
      </c>
      <c r="I644" t="n">
        <v>0</v>
      </c>
      <c r="J644" t="n">
        <v>0</v>
      </c>
      <c r="K644" t="n">
        <v>0</v>
      </c>
      <c r="L644" t="n">
        <v>0</v>
      </c>
      <c r="M644" t="n">
        <v>0</v>
      </c>
      <c r="N644" t="n">
        <v>0</v>
      </c>
      <c r="O644" t="n">
        <v>0</v>
      </c>
      <c r="P644" t="n">
        <v>0</v>
      </c>
      <c r="Q644" t="n">
        <v>0</v>
      </c>
      <c r="R644" s="2" t="inlineStr"/>
    </row>
    <row r="645" ht="15" customHeight="1">
      <c r="A645" t="inlineStr">
        <is>
          <t>A 7275-2026</t>
        </is>
      </c>
      <c r="B645" s="1" t="n">
        <v>46058.6259375</v>
      </c>
      <c r="C645" s="1" t="n">
        <v>46065</v>
      </c>
      <c r="D645" t="inlineStr">
        <is>
          <t>ÖREBRO LÄN</t>
        </is>
      </c>
      <c r="E645" t="inlineStr">
        <is>
          <t>ÖREBRO</t>
        </is>
      </c>
      <c r="F645" t="inlineStr">
        <is>
          <t>Övriga Aktiebolag</t>
        </is>
      </c>
      <c r="G645" t="n">
        <v>5.2</v>
      </c>
      <c r="H645" t="n">
        <v>0</v>
      </c>
      <c r="I645" t="n">
        <v>0</v>
      </c>
      <c r="J645" t="n">
        <v>0</v>
      </c>
      <c r="K645" t="n">
        <v>0</v>
      </c>
      <c r="L645" t="n">
        <v>0</v>
      </c>
      <c r="M645" t="n">
        <v>0</v>
      </c>
      <c r="N645" t="n">
        <v>0</v>
      </c>
      <c r="O645" t="n">
        <v>0</v>
      </c>
      <c r="P645" t="n">
        <v>0</v>
      </c>
      <c r="Q645" t="n">
        <v>0</v>
      </c>
      <c r="R645" s="2" t="inlineStr"/>
    </row>
    <row r="646" ht="15" customHeight="1">
      <c r="A646" t="inlineStr">
        <is>
          <t>A 7550-2026</t>
        </is>
      </c>
      <c r="B646" s="1" t="n">
        <v>46059.68496527777</v>
      </c>
      <c r="C646" s="1" t="n">
        <v>46065</v>
      </c>
      <c r="D646" t="inlineStr">
        <is>
          <t>ÖREBRO LÄN</t>
        </is>
      </c>
      <c r="E646" t="inlineStr">
        <is>
          <t>ÖREBRO</t>
        </is>
      </c>
      <c r="G646" t="n">
        <v>1.9</v>
      </c>
      <c r="H646" t="n">
        <v>0</v>
      </c>
      <c r="I646" t="n">
        <v>0</v>
      </c>
      <c r="J646" t="n">
        <v>0</v>
      </c>
      <c r="K646" t="n">
        <v>0</v>
      </c>
      <c r="L646" t="n">
        <v>0</v>
      </c>
      <c r="M646" t="n">
        <v>0</v>
      </c>
      <c r="N646" t="n">
        <v>0</v>
      </c>
      <c r="O646" t="n">
        <v>0</v>
      </c>
      <c r="P646" t="n">
        <v>0</v>
      </c>
      <c r="Q646" t="n">
        <v>0</v>
      </c>
      <c r="R646" s="2" t="inlineStr"/>
    </row>
    <row r="647" ht="15" customHeight="1">
      <c r="A647" t="inlineStr">
        <is>
          <t>A 6254-2026</t>
        </is>
      </c>
      <c r="B647" s="1" t="n">
        <v>46055</v>
      </c>
      <c r="C647" s="1" t="n">
        <v>46065</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64018-2025</t>
        </is>
      </c>
      <c r="B648" s="1" t="n">
        <v>46021.4546412037</v>
      </c>
      <c r="C648" s="1" t="n">
        <v>46065</v>
      </c>
      <c r="D648" t="inlineStr">
        <is>
          <t>ÖREBRO LÄN</t>
        </is>
      </c>
      <c r="E648" t="inlineStr">
        <is>
          <t>ÖREBRO</t>
        </is>
      </c>
      <c r="G648" t="n">
        <v>2.9</v>
      </c>
      <c r="H648" t="n">
        <v>0</v>
      </c>
      <c r="I648" t="n">
        <v>0</v>
      </c>
      <c r="J648" t="n">
        <v>0</v>
      </c>
      <c r="K648" t="n">
        <v>0</v>
      </c>
      <c r="L648" t="n">
        <v>0</v>
      </c>
      <c r="M648" t="n">
        <v>0</v>
      </c>
      <c r="N648" t="n">
        <v>0</v>
      </c>
      <c r="O648" t="n">
        <v>0</v>
      </c>
      <c r="P648" t="n">
        <v>0</v>
      </c>
      <c r="Q648" t="n">
        <v>0</v>
      </c>
      <c r="R648" s="2" t="inlineStr"/>
    </row>
    <row r="649" ht="15" customHeight="1">
      <c r="A649" t="inlineStr">
        <is>
          <t>A 64019-2025</t>
        </is>
      </c>
      <c r="B649" s="1" t="n">
        <v>46021.45914351852</v>
      </c>
      <c r="C649" s="1" t="n">
        <v>46065</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c r="A650" t="inlineStr">
        <is>
          <t>A 59515-2025</t>
        </is>
      </c>
      <c r="B650" s="1" t="n">
        <v>45989.65238425926</v>
      </c>
      <c r="C650" s="1" t="n">
        <v>46065</v>
      </c>
      <c r="D650" t="inlineStr">
        <is>
          <t>ÖREBRO LÄN</t>
        </is>
      </c>
      <c r="E650" t="inlineStr">
        <is>
          <t>ÖREBRO</t>
        </is>
      </c>
      <c r="F650" t="inlineStr">
        <is>
          <t>Sveaskog</t>
        </is>
      </c>
      <c r="G650" t="n">
        <v>0.5</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2026-02-12T11:06:00Z</dcterms:created>
  <dcterms:modified xmlns:dcterms="http://purl.org/dc/terms/" xmlns:xsi="http://www.w3.org/2001/XMLSchema-instance" xsi:type="dcterms:W3CDTF">2026-02-12T11:06:01Z</dcterms:modified>
</cp:coreProperties>
</file>