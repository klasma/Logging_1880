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45358</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45358</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45358</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45358</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45358</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45358</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45358</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45358</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45358</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45358</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45358</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45358</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45358</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45358</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45358</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45358</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45358</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45358</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45358</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45358</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45358</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45358</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45358</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45358</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45358</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45358</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45358</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45358</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45358</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45358</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45358</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45358</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45358</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45358</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45358</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45358</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45358</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45358</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45358</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45358</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45358</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45358</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45358</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45358</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45358</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45358</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45358</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45358</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45358</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45358</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45358</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45358</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45358</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45358</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45358</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45358</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45358</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45358</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45358</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45358</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45358</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45358</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45358</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45358</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45358</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45358</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45358</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45358</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45358</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45358</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45358</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45358</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45358</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8795-2024</t>
        </is>
      </c>
      <c r="B78" s="1" t="n">
        <v>45356</v>
      </c>
      <c r="C78" s="1" t="n">
        <v>45358</v>
      </c>
      <c r="D78" t="inlineStr">
        <is>
          <t>ÖREBRO LÄN</t>
        </is>
      </c>
      <c r="E78" t="inlineStr">
        <is>
          <t>ÖREBRO</t>
        </is>
      </c>
      <c r="G78" t="n">
        <v>3.1</v>
      </c>
      <c r="H78" t="n">
        <v>0</v>
      </c>
      <c r="I78" t="n">
        <v>0</v>
      </c>
      <c r="J78" t="n">
        <v>0</v>
      </c>
      <c r="K78" t="n">
        <v>1</v>
      </c>
      <c r="L78" t="n">
        <v>0</v>
      </c>
      <c r="M78" t="n">
        <v>0</v>
      </c>
      <c r="N78" t="n">
        <v>0</v>
      </c>
      <c r="O78" t="n">
        <v>1</v>
      </c>
      <c r="P78" t="n">
        <v>1</v>
      </c>
      <c r="Q78" t="n">
        <v>1</v>
      </c>
      <c r="R78" s="2" t="inlineStr">
        <is>
          <t>Violgubbe</t>
        </is>
      </c>
      <c r="S78">
        <f>HYPERLINK("https://klasma.github.io/Logging_1880/artfynd/A 8795-2024 artfynd.xlsx", "A 8795-2024")</f>
        <v/>
      </c>
      <c r="T78">
        <f>HYPERLINK("https://klasma.github.io/Logging_1880/kartor/A 8795-2024 karta.png", "A 8795-2024")</f>
        <v/>
      </c>
      <c r="V78">
        <f>HYPERLINK("https://klasma.github.io/Logging_1880/klagomål/A 8795-2024 FSC-klagomål.docx", "A 8795-2024")</f>
        <v/>
      </c>
      <c r="W78">
        <f>HYPERLINK("https://klasma.github.io/Logging_1880/klagomålsmail/A 8795-2024 FSC-klagomål mail.docx", "A 8795-2024")</f>
        <v/>
      </c>
      <c r="X78">
        <f>HYPERLINK("https://klasma.github.io/Logging_1880/tillsyn/A 8795-2024 tillsynsbegäran.docx", "A 8795-2024")</f>
        <v/>
      </c>
      <c r="Y78">
        <f>HYPERLINK("https://klasma.github.io/Logging_1880/tillsynsmail/A 8795-2024 tillsynsbegäran mail.docx", "A 8795-2024")</f>
        <v/>
      </c>
    </row>
    <row r="79" ht="15" customHeight="1">
      <c r="A79" t="inlineStr">
        <is>
          <t>A 34900-2018</t>
        </is>
      </c>
      <c r="B79" s="1" t="n">
        <v>43321</v>
      </c>
      <c r="C79" s="1" t="n">
        <v>45358</v>
      </c>
      <c r="D79" t="inlineStr">
        <is>
          <t>ÖREBRO LÄN</t>
        </is>
      </c>
      <c r="E79" t="inlineStr">
        <is>
          <t>ÖREBRO</t>
        </is>
      </c>
      <c r="F79" t="inlineStr">
        <is>
          <t>Kommuner</t>
        </is>
      </c>
      <c r="G79" t="n">
        <v>1.6</v>
      </c>
      <c r="H79" t="n">
        <v>0</v>
      </c>
      <c r="I79" t="n">
        <v>0</v>
      </c>
      <c r="J79" t="n">
        <v>0</v>
      </c>
      <c r="K79" t="n">
        <v>0</v>
      </c>
      <c r="L79" t="n">
        <v>0</v>
      </c>
      <c r="M79" t="n">
        <v>0</v>
      </c>
      <c r="N79" t="n">
        <v>0</v>
      </c>
      <c r="O79" t="n">
        <v>0</v>
      </c>
      <c r="P79" t="n">
        <v>0</v>
      </c>
      <c r="Q79" t="n">
        <v>0</v>
      </c>
      <c r="R79" s="2" t="inlineStr"/>
    </row>
    <row r="80" ht="15" customHeight="1">
      <c r="A80" t="inlineStr">
        <is>
          <t>A 35327-2018</t>
        </is>
      </c>
      <c r="B80" s="1" t="n">
        <v>43325</v>
      </c>
      <c r="C80" s="1" t="n">
        <v>45358</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36149-2018</t>
        </is>
      </c>
      <c r="B81" s="1" t="n">
        <v>43327</v>
      </c>
      <c r="C81" s="1" t="n">
        <v>45358</v>
      </c>
      <c r="D81" t="inlineStr">
        <is>
          <t>ÖREBRO LÄN</t>
        </is>
      </c>
      <c r="E81" t="inlineStr">
        <is>
          <t>ÖREBRO</t>
        </is>
      </c>
      <c r="G81" t="n">
        <v>1.9</v>
      </c>
      <c r="H81" t="n">
        <v>0</v>
      </c>
      <c r="I81" t="n">
        <v>0</v>
      </c>
      <c r="J81" t="n">
        <v>0</v>
      </c>
      <c r="K81" t="n">
        <v>0</v>
      </c>
      <c r="L81" t="n">
        <v>0</v>
      </c>
      <c r="M81" t="n">
        <v>0</v>
      </c>
      <c r="N81" t="n">
        <v>0</v>
      </c>
      <c r="O81" t="n">
        <v>0</v>
      </c>
      <c r="P81" t="n">
        <v>0</v>
      </c>
      <c r="Q81" t="n">
        <v>0</v>
      </c>
      <c r="R81" s="2" t="inlineStr"/>
    </row>
    <row r="82" ht="15" customHeight="1">
      <c r="A82" t="inlineStr">
        <is>
          <t>A 36159-2018</t>
        </is>
      </c>
      <c r="B82" s="1" t="n">
        <v>43327</v>
      </c>
      <c r="C82" s="1" t="n">
        <v>45358</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36458-2018</t>
        </is>
      </c>
      <c r="B83" s="1" t="n">
        <v>43329</v>
      </c>
      <c r="C83" s="1" t="n">
        <v>45358</v>
      </c>
      <c r="D83" t="inlineStr">
        <is>
          <t>ÖREBRO LÄN</t>
        </is>
      </c>
      <c r="E83" t="inlineStr">
        <is>
          <t>ÖREBRO</t>
        </is>
      </c>
      <c r="F83" t="inlineStr">
        <is>
          <t>Övriga Aktiebolag</t>
        </is>
      </c>
      <c r="G83" t="n">
        <v>4.3</v>
      </c>
      <c r="H83" t="n">
        <v>0</v>
      </c>
      <c r="I83" t="n">
        <v>0</v>
      </c>
      <c r="J83" t="n">
        <v>0</v>
      </c>
      <c r="K83" t="n">
        <v>0</v>
      </c>
      <c r="L83" t="n">
        <v>0</v>
      </c>
      <c r="M83" t="n">
        <v>0</v>
      </c>
      <c r="N83" t="n">
        <v>0</v>
      </c>
      <c r="O83" t="n">
        <v>0</v>
      </c>
      <c r="P83" t="n">
        <v>0</v>
      </c>
      <c r="Q83" t="n">
        <v>0</v>
      </c>
      <c r="R83" s="2" t="inlineStr"/>
    </row>
    <row r="84" ht="15" customHeight="1">
      <c r="A84" t="inlineStr">
        <is>
          <t>A 38850-2018</t>
        </is>
      </c>
      <c r="B84" s="1" t="n">
        <v>43336</v>
      </c>
      <c r="C84" s="1" t="n">
        <v>45358</v>
      </c>
      <c r="D84" t="inlineStr">
        <is>
          <t>ÖREBRO LÄN</t>
        </is>
      </c>
      <c r="E84" t="inlineStr">
        <is>
          <t>ÖREBRO</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38814-2018</t>
        </is>
      </c>
      <c r="B85" s="1" t="n">
        <v>43336</v>
      </c>
      <c r="C85" s="1" t="n">
        <v>45358</v>
      </c>
      <c r="D85" t="inlineStr">
        <is>
          <t>ÖREBRO LÄN</t>
        </is>
      </c>
      <c r="E85" t="inlineStr">
        <is>
          <t>ÖREBRO</t>
        </is>
      </c>
      <c r="G85" t="n">
        <v>4.8</v>
      </c>
      <c r="H85" t="n">
        <v>0</v>
      </c>
      <c r="I85" t="n">
        <v>0</v>
      </c>
      <c r="J85" t="n">
        <v>0</v>
      </c>
      <c r="K85" t="n">
        <v>0</v>
      </c>
      <c r="L85" t="n">
        <v>0</v>
      </c>
      <c r="M85" t="n">
        <v>0</v>
      </c>
      <c r="N85" t="n">
        <v>0</v>
      </c>
      <c r="O85" t="n">
        <v>0</v>
      </c>
      <c r="P85" t="n">
        <v>0</v>
      </c>
      <c r="Q85" t="n">
        <v>0</v>
      </c>
      <c r="R85" s="2" t="inlineStr"/>
    </row>
    <row r="86" ht="15" customHeight="1">
      <c r="A86" t="inlineStr">
        <is>
          <t>A 43222-2018</t>
        </is>
      </c>
      <c r="B86" s="1" t="n">
        <v>43353</v>
      </c>
      <c r="C86" s="1" t="n">
        <v>45358</v>
      </c>
      <c r="D86" t="inlineStr">
        <is>
          <t>ÖREBRO LÄN</t>
        </is>
      </c>
      <c r="E86" t="inlineStr">
        <is>
          <t>ÖREBRO</t>
        </is>
      </c>
      <c r="G86" t="n">
        <v>3.7</v>
      </c>
      <c r="H86" t="n">
        <v>0</v>
      </c>
      <c r="I86" t="n">
        <v>0</v>
      </c>
      <c r="J86" t="n">
        <v>0</v>
      </c>
      <c r="K86" t="n">
        <v>0</v>
      </c>
      <c r="L86" t="n">
        <v>0</v>
      </c>
      <c r="M86" t="n">
        <v>0</v>
      </c>
      <c r="N86" t="n">
        <v>0</v>
      </c>
      <c r="O86" t="n">
        <v>0</v>
      </c>
      <c r="P86" t="n">
        <v>0</v>
      </c>
      <c r="Q86" t="n">
        <v>0</v>
      </c>
      <c r="R86" s="2" t="inlineStr"/>
    </row>
    <row r="87" ht="15" customHeight="1">
      <c r="A87" t="inlineStr">
        <is>
          <t>A 43662-2018</t>
        </is>
      </c>
      <c r="B87" s="1" t="n">
        <v>43357</v>
      </c>
      <c r="C87" s="1" t="n">
        <v>45358</v>
      </c>
      <c r="D87" t="inlineStr">
        <is>
          <t>ÖREBRO LÄN</t>
        </is>
      </c>
      <c r="E87" t="inlineStr">
        <is>
          <t>ÖREBRO</t>
        </is>
      </c>
      <c r="G87" t="n">
        <v>4.6</v>
      </c>
      <c r="H87" t="n">
        <v>0</v>
      </c>
      <c r="I87" t="n">
        <v>0</v>
      </c>
      <c r="J87" t="n">
        <v>0</v>
      </c>
      <c r="K87" t="n">
        <v>0</v>
      </c>
      <c r="L87" t="n">
        <v>0</v>
      </c>
      <c r="M87" t="n">
        <v>0</v>
      </c>
      <c r="N87" t="n">
        <v>0</v>
      </c>
      <c r="O87" t="n">
        <v>0</v>
      </c>
      <c r="P87" t="n">
        <v>0</v>
      </c>
      <c r="Q87" t="n">
        <v>0</v>
      </c>
      <c r="R87" s="2" t="inlineStr"/>
    </row>
    <row r="88" ht="15" customHeight="1">
      <c r="A88" t="inlineStr">
        <is>
          <t>A 44754-2018</t>
        </is>
      </c>
      <c r="B88" s="1" t="n">
        <v>43361</v>
      </c>
      <c r="C88" s="1" t="n">
        <v>45358</v>
      </c>
      <c r="D88" t="inlineStr">
        <is>
          <t>ÖREBRO LÄN</t>
        </is>
      </c>
      <c r="E88" t="inlineStr">
        <is>
          <t>ÖREBRO</t>
        </is>
      </c>
      <c r="G88" t="n">
        <v>5.3</v>
      </c>
      <c r="H88" t="n">
        <v>0</v>
      </c>
      <c r="I88" t="n">
        <v>0</v>
      </c>
      <c r="J88" t="n">
        <v>0</v>
      </c>
      <c r="K88" t="n">
        <v>0</v>
      </c>
      <c r="L88" t="n">
        <v>0</v>
      </c>
      <c r="M88" t="n">
        <v>0</v>
      </c>
      <c r="N88" t="n">
        <v>0</v>
      </c>
      <c r="O88" t="n">
        <v>0</v>
      </c>
      <c r="P88" t="n">
        <v>0</v>
      </c>
      <c r="Q88" t="n">
        <v>0</v>
      </c>
      <c r="R88" s="2" t="inlineStr"/>
    </row>
    <row r="89" ht="15" customHeight="1">
      <c r="A89" t="inlineStr">
        <is>
          <t>A 46340-2018</t>
        </is>
      </c>
      <c r="B89" s="1" t="n">
        <v>43363</v>
      </c>
      <c r="C89" s="1" t="n">
        <v>45358</v>
      </c>
      <c r="D89" t="inlineStr">
        <is>
          <t>ÖREBRO LÄN</t>
        </is>
      </c>
      <c r="E89" t="inlineStr">
        <is>
          <t>ÖREBRO</t>
        </is>
      </c>
      <c r="G89" t="n">
        <v>0.6</v>
      </c>
      <c r="H89" t="n">
        <v>0</v>
      </c>
      <c r="I89" t="n">
        <v>0</v>
      </c>
      <c r="J89" t="n">
        <v>0</v>
      </c>
      <c r="K89" t="n">
        <v>0</v>
      </c>
      <c r="L89" t="n">
        <v>0</v>
      </c>
      <c r="M89" t="n">
        <v>0</v>
      </c>
      <c r="N89" t="n">
        <v>0</v>
      </c>
      <c r="O89" t="n">
        <v>0</v>
      </c>
      <c r="P89" t="n">
        <v>0</v>
      </c>
      <c r="Q89" t="n">
        <v>0</v>
      </c>
      <c r="R89" s="2" t="inlineStr"/>
    </row>
    <row r="90" ht="15" customHeight="1">
      <c r="A90" t="inlineStr">
        <is>
          <t>A 48101-2018</t>
        </is>
      </c>
      <c r="B90" s="1" t="n">
        <v>43368</v>
      </c>
      <c r="C90" s="1" t="n">
        <v>45358</v>
      </c>
      <c r="D90" t="inlineStr">
        <is>
          <t>ÖREBRO LÄN</t>
        </is>
      </c>
      <c r="E90" t="inlineStr">
        <is>
          <t>ÖREBRO</t>
        </is>
      </c>
      <c r="G90" t="n">
        <v>5.6</v>
      </c>
      <c r="H90" t="n">
        <v>0</v>
      </c>
      <c r="I90" t="n">
        <v>0</v>
      </c>
      <c r="J90" t="n">
        <v>0</v>
      </c>
      <c r="K90" t="n">
        <v>0</v>
      </c>
      <c r="L90" t="n">
        <v>0</v>
      </c>
      <c r="M90" t="n">
        <v>0</v>
      </c>
      <c r="N90" t="n">
        <v>0</v>
      </c>
      <c r="O90" t="n">
        <v>0</v>
      </c>
      <c r="P90" t="n">
        <v>0</v>
      </c>
      <c r="Q90" t="n">
        <v>0</v>
      </c>
      <c r="R90" s="2" t="inlineStr"/>
    </row>
    <row r="91" ht="15" customHeight="1">
      <c r="A91" t="inlineStr">
        <is>
          <t>A 48052-2018</t>
        </is>
      </c>
      <c r="B91" s="1" t="n">
        <v>43371</v>
      </c>
      <c r="C91" s="1" t="n">
        <v>45358</v>
      </c>
      <c r="D91" t="inlineStr">
        <is>
          <t>ÖREBRO LÄN</t>
        </is>
      </c>
      <c r="E91" t="inlineStr">
        <is>
          <t>ÖREBRO</t>
        </is>
      </c>
      <c r="G91" t="n">
        <v>2.5</v>
      </c>
      <c r="H91" t="n">
        <v>0</v>
      </c>
      <c r="I91" t="n">
        <v>0</v>
      </c>
      <c r="J91" t="n">
        <v>0</v>
      </c>
      <c r="K91" t="n">
        <v>0</v>
      </c>
      <c r="L91" t="n">
        <v>0</v>
      </c>
      <c r="M91" t="n">
        <v>0</v>
      </c>
      <c r="N91" t="n">
        <v>0</v>
      </c>
      <c r="O91" t="n">
        <v>0</v>
      </c>
      <c r="P91" t="n">
        <v>0</v>
      </c>
      <c r="Q91" t="n">
        <v>0</v>
      </c>
      <c r="R91" s="2" t="inlineStr"/>
    </row>
    <row r="92" ht="15" customHeight="1">
      <c r="A92" t="inlineStr">
        <is>
          <t>A 48895-2018</t>
        </is>
      </c>
      <c r="B92" s="1" t="n">
        <v>43375</v>
      </c>
      <c r="C92" s="1" t="n">
        <v>45358</v>
      </c>
      <c r="D92" t="inlineStr">
        <is>
          <t>ÖREBRO LÄN</t>
        </is>
      </c>
      <c r="E92" t="inlineStr">
        <is>
          <t>ÖREBRO</t>
        </is>
      </c>
      <c r="G92" t="n">
        <v>25.2</v>
      </c>
      <c r="H92" t="n">
        <v>0</v>
      </c>
      <c r="I92" t="n">
        <v>0</v>
      </c>
      <c r="J92" t="n">
        <v>0</v>
      </c>
      <c r="K92" t="n">
        <v>0</v>
      </c>
      <c r="L92" t="n">
        <v>0</v>
      </c>
      <c r="M92" t="n">
        <v>0</v>
      </c>
      <c r="N92" t="n">
        <v>0</v>
      </c>
      <c r="O92" t="n">
        <v>0</v>
      </c>
      <c r="P92" t="n">
        <v>0</v>
      </c>
      <c r="Q92" t="n">
        <v>0</v>
      </c>
      <c r="R92" s="2" t="inlineStr"/>
    </row>
    <row r="93" ht="15" customHeight="1">
      <c r="A93" t="inlineStr">
        <is>
          <t>A 49915-2018</t>
        </is>
      </c>
      <c r="B93" s="1" t="n">
        <v>43376</v>
      </c>
      <c r="C93" s="1" t="n">
        <v>45358</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51492-2018</t>
        </is>
      </c>
      <c r="B94" s="1" t="n">
        <v>43381</v>
      </c>
      <c r="C94" s="1" t="n">
        <v>45358</v>
      </c>
      <c r="D94" t="inlineStr">
        <is>
          <t>ÖREBRO LÄN</t>
        </is>
      </c>
      <c r="E94" t="inlineStr">
        <is>
          <t>ÖREBRO</t>
        </is>
      </c>
      <c r="G94" t="n">
        <v>3.5</v>
      </c>
      <c r="H94" t="n">
        <v>0</v>
      </c>
      <c r="I94" t="n">
        <v>0</v>
      </c>
      <c r="J94" t="n">
        <v>0</v>
      </c>
      <c r="K94" t="n">
        <v>0</v>
      </c>
      <c r="L94" t="n">
        <v>0</v>
      </c>
      <c r="M94" t="n">
        <v>0</v>
      </c>
      <c r="N94" t="n">
        <v>0</v>
      </c>
      <c r="O94" t="n">
        <v>0</v>
      </c>
      <c r="P94" t="n">
        <v>0</v>
      </c>
      <c r="Q94" t="n">
        <v>0</v>
      </c>
      <c r="R94" s="2" t="inlineStr"/>
    </row>
    <row r="95" ht="15" customHeight="1">
      <c r="A95" t="inlineStr">
        <is>
          <t>A 54149-2018</t>
        </is>
      </c>
      <c r="B95" s="1" t="n">
        <v>43389</v>
      </c>
      <c r="C95" s="1" t="n">
        <v>45358</v>
      </c>
      <c r="D95" t="inlineStr">
        <is>
          <t>ÖREBRO LÄN</t>
        </is>
      </c>
      <c r="E95" t="inlineStr">
        <is>
          <t>ÖREBRO</t>
        </is>
      </c>
      <c r="G95" t="n">
        <v>6.9</v>
      </c>
      <c r="H95" t="n">
        <v>0</v>
      </c>
      <c r="I95" t="n">
        <v>0</v>
      </c>
      <c r="J95" t="n">
        <v>0</v>
      </c>
      <c r="K95" t="n">
        <v>0</v>
      </c>
      <c r="L95" t="n">
        <v>0</v>
      </c>
      <c r="M95" t="n">
        <v>0</v>
      </c>
      <c r="N95" t="n">
        <v>0</v>
      </c>
      <c r="O95" t="n">
        <v>0</v>
      </c>
      <c r="P95" t="n">
        <v>0</v>
      </c>
      <c r="Q95" t="n">
        <v>0</v>
      </c>
      <c r="R95" s="2" t="inlineStr"/>
    </row>
    <row r="96" ht="15" customHeight="1">
      <c r="A96" t="inlineStr">
        <is>
          <t>A 55675-2018</t>
        </is>
      </c>
      <c r="B96" s="1" t="n">
        <v>43391</v>
      </c>
      <c r="C96" s="1" t="n">
        <v>45358</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55843-2018</t>
        </is>
      </c>
      <c r="B97" s="1" t="n">
        <v>43398</v>
      </c>
      <c r="C97" s="1" t="n">
        <v>45358</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55765-2018</t>
        </is>
      </c>
      <c r="B98" s="1" t="n">
        <v>43398</v>
      </c>
      <c r="C98" s="1" t="n">
        <v>45358</v>
      </c>
      <c r="D98" t="inlineStr">
        <is>
          <t>ÖREBRO LÄN</t>
        </is>
      </c>
      <c r="E98" t="inlineStr">
        <is>
          <t>ÖREBRO</t>
        </is>
      </c>
      <c r="G98" t="n">
        <v>6.1</v>
      </c>
      <c r="H98" t="n">
        <v>0</v>
      </c>
      <c r="I98" t="n">
        <v>0</v>
      </c>
      <c r="J98" t="n">
        <v>0</v>
      </c>
      <c r="K98" t="n">
        <v>0</v>
      </c>
      <c r="L98" t="n">
        <v>0</v>
      </c>
      <c r="M98" t="n">
        <v>0</v>
      </c>
      <c r="N98" t="n">
        <v>0</v>
      </c>
      <c r="O98" t="n">
        <v>0</v>
      </c>
      <c r="P98" t="n">
        <v>0</v>
      </c>
      <c r="Q98" t="n">
        <v>0</v>
      </c>
      <c r="R98" s="2" t="inlineStr"/>
    </row>
    <row r="99" ht="15" customHeight="1">
      <c r="A99" t="inlineStr">
        <is>
          <t>A 56417-2018</t>
        </is>
      </c>
      <c r="B99" s="1" t="n">
        <v>43399</v>
      </c>
      <c r="C99" s="1" t="n">
        <v>45358</v>
      </c>
      <c r="D99" t="inlineStr">
        <is>
          <t>ÖREBRO LÄN</t>
        </is>
      </c>
      <c r="E99" t="inlineStr">
        <is>
          <t>ÖREBRO</t>
        </is>
      </c>
      <c r="G99" t="n">
        <v>2.6</v>
      </c>
      <c r="H99" t="n">
        <v>0</v>
      </c>
      <c r="I99" t="n">
        <v>0</v>
      </c>
      <c r="J99" t="n">
        <v>0</v>
      </c>
      <c r="K99" t="n">
        <v>0</v>
      </c>
      <c r="L99" t="n">
        <v>0</v>
      </c>
      <c r="M99" t="n">
        <v>0</v>
      </c>
      <c r="N99" t="n">
        <v>0</v>
      </c>
      <c r="O99" t="n">
        <v>0</v>
      </c>
      <c r="P99" t="n">
        <v>0</v>
      </c>
      <c r="Q99" t="n">
        <v>0</v>
      </c>
      <c r="R99" s="2" t="inlineStr"/>
    </row>
    <row r="100" ht="15" customHeight="1">
      <c r="A100" t="inlineStr">
        <is>
          <t>A 56820-2018</t>
        </is>
      </c>
      <c r="B100" s="1" t="n">
        <v>43402</v>
      </c>
      <c r="C100" s="1" t="n">
        <v>45358</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58385-2018</t>
        </is>
      </c>
      <c r="B101" s="1" t="n">
        <v>43409</v>
      </c>
      <c r="C101" s="1" t="n">
        <v>45358</v>
      </c>
      <c r="D101" t="inlineStr">
        <is>
          <t>ÖREBRO LÄN</t>
        </is>
      </c>
      <c r="E101" t="inlineStr">
        <is>
          <t>ÖREBRO</t>
        </is>
      </c>
      <c r="G101" t="n">
        <v>0.5</v>
      </c>
      <c r="H101" t="n">
        <v>0</v>
      </c>
      <c r="I101" t="n">
        <v>0</v>
      </c>
      <c r="J101" t="n">
        <v>0</v>
      </c>
      <c r="K101" t="n">
        <v>0</v>
      </c>
      <c r="L101" t="n">
        <v>0</v>
      </c>
      <c r="M101" t="n">
        <v>0</v>
      </c>
      <c r="N101" t="n">
        <v>0</v>
      </c>
      <c r="O101" t="n">
        <v>0</v>
      </c>
      <c r="P101" t="n">
        <v>0</v>
      </c>
      <c r="Q101" t="n">
        <v>0</v>
      </c>
      <c r="R101" s="2" t="inlineStr"/>
    </row>
    <row r="102" ht="15" customHeight="1">
      <c r="A102" t="inlineStr">
        <is>
          <t>A 61123-2018</t>
        </is>
      </c>
      <c r="B102" s="1" t="n">
        <v>43412</v>
      </c>
      <c r="C102" s="1" t="n">
        <v>45358</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63762-2018</t>
        </is>
      </c>
      <c r="B103" s="1" t="n">
        <v>43418</v>
      </c>
      <c r="C103" s="1" t="n">
        <v>45358</v>
      </c>
      <c r="D103" t="inlineStr">
        <is>
          <t>ÖREBRO LÄN</t>
        </is>
      </c>
      <c r="E103" t="inlineStr">
        <is>
          <t>ÖREBRO</t>
        </is>
      </c>
      <c r="G103" t="n">
        <v>4</v>
      </c>
      <c r="H103" t="n">
        <v>0</v>
      </c>
      <c r="I103" t="n">
        <v>0</v>
      </c>
      <c r="J103" t="n">
        <v>0</v>
      </c>
      <c r="K103" t="n">
        <v>0</v>
      </c>
      <c r="L103" t="n">
        <v>0</v>
      </c>
      <c r="M103" t="n">
        <v>0</v>
      </c>
      <c r="N103" t="n">
        <v>0</v>
      </c>
      <c r="O103" t="n">
        <v>0</v>
      </c>
      <c r="P103" t="n">
        <v>0</v>
      </c>
      <c r="Q103" t="n">
        <v>0</v>
      </c>
      <c r="R103" s="2" t="inlineStr"/>
    </row>
    <row r="104" ht="15" customHeight="1">
      <c r="A104" t="inlineStr">
        <is>
          <t>A 60052-2018</t>
        </is>
      </c>
      <c r="B104" s="1" t="n">
        <v>43420</v>
      </c>
      <c r="C104" s="1" t="n">
        <v>45358</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60546-2018</t>
        </is>
      </c>
      <c r="B105" s="1" t="n">
        <v>43420</v>
      </c>
      <c r="C105" s="1" t="n">
        <v>45358</v>
      </c>
      <c r="D105" t="inlineStr">
        <is>
          <t>ÖREBRO LÄN</t>
        </is>
      </c>
      <c r="E105" t="inlineStr">
        <is>
          <t>ÖREBRO</t>
        </is>
      </c>
      <c r="G105" t="n">
        <v>1.6</v>
      </c>
      <c r="H105" t="n">
        <v>0</v>
      </c>
      <c r="I105" t="n">
        <v>0</v>
      </c>
      <c r="J105" t="n">
        <v>0</v>
      </c>
      <c r="K105" t="n">
        <v>0</v>
      </c>
      <c r="L105" t="n">
        <v>0</v>
      </c>
      <c r="M105" t="n">
        <v>0</v>
      </c>
      <c r="N105" t="n">
        <v>0</v>
      </c>
      <c r="O105" t="n">
        <v>0</v>
      </c>
      <c r="P105" t="n">
        <v>0</v>
      </c>
      <c r="Q105" t="n">
        <v>0</v>
      </c>
      <c r="R105" s="2" t="inlineStr"/>
    </row>
    <row r="106" ht="15" customHeight="1">
      <c r="A106" t="inlineStr">
        <is>
          <t>A 59987-2018</t>
        </is>
      </c>
      <c r="B106" s="1" t="n">
        <v>43420</v>
      </c>
      <c r="C106" s="1" t="n">
        <v>45358</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64395-2018</t>
        </is>
      </c>
      <c r="B107" s="1" t="n">
        <v>43430</v>
      </c>
      <c r="C107" s="1" t="n">
        <v>45358</v>
      </c>
      <c r="D107" t="inlineStr">
        <is>
          <t>ÖREBRO LÄN</t>
        </is>
      </c>
      <c r="E107" t="inlineStr">
        <is>
          <t>ÖREBRO</t>
        </is>
      </c>
      <c r="G107" t="n">
        <v>10.4</v>
      </c>
      <c r="H107" t="n">
        <v>0</v>
      </c>
      <c r="I107" t="n">
        <v>0</v>
      </c>
      <c r="J107" t="n">
        <v>0</v>
      </c>
      <c r="K107" t="n">
        <v>0</v>
      </c>
      <c r="L107" t="n">
        <v>0</v>
      </c>
      <c r="M107" t="n">
        <v>0</v>
      </c>
      <c r="N107" t="n">
        <v>0</v>
      </c>
      <c r="O107" t="n">
        <v>0</v>
      </c>
      <c r="P107" t="n">
        <v>0</v>
      </c>
      <c r="Q107" t="n">
        <v>0</v>
      </c>
      <c r="R107" s="2" t="inlineStr"/>
    </row>
    <row r="108" ht="15" customHeight="1">
      <c r="A108" t="inlineStr">
        <is>
          <t>A 66440-2018</t>
        </is>
      </c>
      <c r="B108" s="1" t="n">
        <v>43430</v>
      </c>
      <c r="C108" s="1" t="n">
        <v>45358</v>
      </c>
      <c r="D108" t="inlineStr">
        <is>
          <t>ÖREBRO LÄN</t>
        </is>
      </c>
      <c r="E108" t="inlineStr">
        <is>
          <t>ÖREBRO</t>
        </is>
      </c>
      <c r="G108" t="n">
        <v>0.4</v>
      </c>
      <c r="H108" t="n">
        <v>0</v>
      </c>
      <c r="I108" t="n">
        <v>0</v>
      </c>
      <c r="J108" t="n">
        <v>0</v>
      </c>
      <c r="K108" t="n">
        <v>0</v>
      </c>
      <c r="L108" t="n">
        <v>0</v>
      </c>
      <c r="M108" t="n">
        <v>0</v>
      </c>
      <c r="N108" t="n">
        <v>0</v>
      </c>
      <c r="O108" t="n">
        <v>0</v>
      </c>
      <c r="P108" t="n">
        <v>0</v>
      </c>
      <c r="Q108" t="n">
        <v>0</v>
      </c>
      <c r="R108" s="2" t="inlineStr"/>
    </row>
    <row r="109" ht="15" customHeight="1">
      <c r="A109" t="inlineStr">
        <is>
          <t>A 63892-2018</t>
        </is>
      </c>
      <c r="B109" s="1" t="n">
        <v>43430</v>
      </c>
      <c r="C109" s="1" t="n">
        <v>45358</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63832-2018</t>
        </is>
      </c>
      <c r="B110" s="1" t="n">
        <v>43430</v>
      </c>
      <c r="C110" s="1" t="n">
        <v>45358</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68096-2018</t>
        </is>
      </c>
      <c r="B111" s="1" t="n">
        <v>43433</v>
      </c>
      <c r="C111" s="1" t="n">
        <v>45358</v>
      </c>
      <c r="D111" t="inlineStr">
        <is>
          <t>ÖREBRO LÄN</t>
        </is>
      </c>
      <c r="E111" t="inlineStr">
        <is>
          <t>ÖREBRO</t>
        </is>
      </c>
      <c r="G111" t="n">
        <v>2.3</v>
      </c>
      <c r="H111" t="n">
        <v>0</v>
      </c>
      <c r="I111" t="n">
        <v>0</v>
      </c>
      <c r="J111" t="n">
        <v>0</v>
      </c>
      <c r="K111" t="n">
        <v>0</v>
      </c>
      <c r="L111" t="n">
        <v>0</v>
      </c>
      <c r="M111" t="n">
        <v>0</v>
      </c>
      <c r="N111" t="n">
        <v>0</v>
      </c>
      <c r="O111" t="n">
        <v>0</v>
      </c>
      <c r="P111" t="n">
        <v>0</v>
      </c>
      <c r="Q111" t="n">
        <v>0</v>
      </c>
      <c r="R111" s="2" t="inlineStr"/>
    </row>
    <row r="112" ht="15" customHeight="1">
      <c r="A112" t="inlineStr">
        <is>
          <t>A 66348-2018</t>
        </is>
      </c>
      <c r="B112" s="1" t="n">
        <v>43436</v>
      </c>
      <c r="C112" s="1" t="n">
        <v>45358</v>
      </c>
      <c r="D112" t="inlineStr">
        <is>
          <t>ÖREBRO LÄN</t>
        </is>
      </c>
      <c r="E112" t="inlineStr">
        <is>
          <t>ÖREBRO</t>
        </is>
      </c>
      <c r="G112" t="n">
        <v>4.3</v>
      </c>
      <c r="H112" t="n">
        <v>0</v>
      </c>
      <c r="I112" t="n">
        <v>0</v>
      </c>
      <c r="J112" t="n">
        <v>0</v>
      </c>
      <c r="K112" t="n">
        <v>0</v>
      </c>
      <c r="L112" t="n">
        <v>0</v>
      </c>
      <c r="M112" t="n">
        <v>0</v>
      </c>
      <c r="N112" t="n">
        <v>0</v>
      </c>
      <c r="O112" t="n">
        <v>0</v>
      </c>
      <c r="P112" t="n">
        <v>0</v>
      </c>
      <c r="Q112" t="n">
        <v>0</v>
      </c>
      <c r="R112" s="2" t="inlineStr"/>
    </row>
    <row r="113" ht="15" customHeight="1">
      <c r="A113" t="inlineStr">
        <is>
          <t>A 66557-2018</t>
        </is>
      </c>
      <c r="B113" s="1" t="n">
        <v>43437</v>
      </c>
      <c r="C113" s="1" t="n">
        <v>45358</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68392-2018</t>
        </is>
      </c>
      <c r="B114" s="1" t="n">
        <v>43438</v>
      </c>
      <c r="C114" s="1" t="n">
        <v>45358</v>
      </c>
      <c r="D114" t="inlineStr">
        <is>
          <t>ÖREBRO LÄN</t>
        </is>
      </c>
      <c r="E114" t="inlineStr">
        <is>
          <t>ÖREBRO</t>
        </is>
      </c>
      <c r="G114" t="n">
        <v>6.6</v>
      </c>
      <c r="H114" t="n">
        <v>0</v>
      </c>
      <c r="I114" t="n">
        <v>0</v>
      </c>
      <c r="J114" t="n">
        <v>0</v>
      </c>
      <c r="K114" t="n">
        <v>0</v>
      </c>
      <c r="L114" t="n">
        <v>0</v>
      </c>
      <c r="M114" t="n">
        <v>0</v>
      </c>
      <c r="N114" t="n">
        <v>0</v>
      </c>
      <c r="O114" t="n">
        <v>0</v>
      </c>
      <c r="P114" t="n">
        <v>0</v>
      </c>
      <c r="Q114" t="n">
        <v>0</v>
      </c>
      <c r="R114" s="2" t="inlineStr"/>
    </row>
    <row r="115" ht="15" customHeight="1">
      <c r="A115" t="inlineStr">
        <is>
          <t>A 68387-2018</t>
        </is>
      </c>
      <c r="B115" s="1" t="n">
        <v>43438</v>
      </c>
      <c r="C115" s="1" t="n">
        <v>45358</v>
      </c>
      <c r="D115" t="inlineStr">
        <is>
          <t>ÖREBRO LÄN</t>
        </is>
      </c>
      <c r="E115" t="inlineStr">
        <is>
          <t>ÖREBRO</t>
        </is>
      </c>
      <c r="G115" t="n">
        <v>3.2</v>
      </c>
      <c r="H115" t="n">
        <v>0</v>
      </c>
      <c r="I115" t="n">
        <v>0</v>
      </c>
      <c r="J115" t="n">
        <v>0</v>
      </c>
      <c r="K115" t="n">
        <v>0</v>
      </c>
      <c r="L115" t="n">
        <v>0</v>
      </c>
      <c r="M115" t="n">
        <v>0</v>
      </c>
      <c r="N115" t="n">
        <v>0</v>
      </c>
      <c r="O115" t="n">
        <v>0</v>
      </c>
      <c r="P115" t="n">
        <v>0</v>
      </c>
      <c r="Q115" t="n">
        <v>0</v>
      </c>
      <c r="R115" s="2" t="inlineStr"/>
    </row>
    <row r="116" ht="15" customHeight="1">
      <c r="A116" t="inlineStr">
        <is>
          <t>A 69006-2018</t>
        </is>
      </c>
      <c r="B116" s="1" t="n">
        <v>43440</v>
      </c>
      <c r="C116" s="1" t="n">
        <v>45358</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68323-2018</t>
        </is>
      </c>
      <c r="B117" s="1" t="n">
        <v>43441</v>
      </c>
      <c r="C117" s="1" t="n">
        <v>45358</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68681-2018</t>
        </is>
      </c>
      <c r="B118" s="1" t="n">
        <v>43444</v>
      </c>
      <c r="C118" s="1" t="n">
        <v>45358</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69411-2018</t>
        </is>
      </c>
      <c r="B119" s="1" t="n">
        <v>43446</v>
      </c>
      <c r="C119" s="1" t="n">
        <v>45358</v>
      </c>
      <c r="D119" t="inlineStr">
        <is>
          <t>ÖREBRO LÄN</t>
        </is>
      </c>
      <c r="E119" t="inlineStr">
        <is>
          <t>ÖREBRO</t>
        </is>
      </c>
      <c r="G119" t="n">
        <v>11.4</v>
      </c>
      <c r="H119" t="n">
        <v>0</v>
      </c>
      <c r="I119" t="n">
        <v>0</v>
      </c>
      <c r="J119" t="n">
        <v>0</v>
      </c>
      <c r="K119" t="n">
        <v>0</v>
      </c>
      <c r="L119" t="n">
        <v>0</v>
      </c>
      <c r="M119" t="n">
        <v>0</v>
      </c>
      <c r="N119" t="n">
        <v>0</v>
      </c>
      <c r="O119" t="n">
        <v>0</v>
      </c>
      <c r="P119" t="n">
        <v>0</v>
      </c>
      <c r="Q119" t="n">
        <v>0</v>
      </c>
      <c r="R119" s="2" t="inlineStr"/>
    </row>
    <row r="120" ht="15" customHeight="1">
      <c r="A120" t="inlineStr">
        <is>
          <t>A 69263-2018</t>
        </is>
      </c>
      <c r="B120" s="1" t="n">
        <v>43446</v>
      </c>
      <c r="C120" s="1" t="n">
        <v>45358</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70397-2018</t>
        </is>
      </c>
      <c r="B121" s="1" t="n">
        <v>43446</v>
      </c>
      <c r="C121" s="1" t="n">
        <v>45358</v>
      </c>
      <c r="D121" t="inlineStr">
        <is>
          <t>ÖREBRO LÄN</t>
        </is>
      </c>
      <c r="E121" t="inlineStr">
        <is>
          <t>ÖREBRO</t>
        </is>
      </c>
      <c r="G121" t="n">
        <v>2.7</v>
      </c>
      <c r="H121" t="n">
        <v>0</v>
      </c>
      <c r="I121" t="n">
        <v>0</v>
      </c>
      <c r="J121" t="n">
        <v>0</v>
      </c>
      <c r="K121" t="n">
        <v>0</v>
      </c>
      <c r="L121" t="n">
        <v>0</v>
      </c>
      <c r="M121" t="n">
        <v>0</v>
      </c>
      <c r="N121" t="n">
        <v>0</v>
      </c>
      <c r="O121" t="n">
        <v>0</v>
      </c>
      <c r="P121" t="n">
        <v>0</v>
      </c>
      <c r="Q121" t="n">
        <v>0</v>
      </c>
      <c r="R121" s="2" t="inlineStr"/>
    </row>
    <row r="122" ht="15" customHeight="1">
      <c r="A122" t="inlineStr">
        <is>
          <t>A 69272-2018</t>
        </is>
      </c>
      <c r="B122" s="1" t="n">
        <v>43446</v>
      </c>
      <c r="C122" s="1" t="n">
        <v>45358</v>
      </c>
      <c r="D122" t="inlineStr">
        <is>
          <t>ÖREBRO LÄN</t>
        </is>
      </c>
      <c r="E122" t="inlineStr">
        <is>
          <t>ÖREBRO</t>
        </is>
      </c>
      <c r="G122" t="n">
        <v>6</v>
      </c>
      <c r="H122" t="n">
        <v>0</v>
      </c>
      <c r="I122" t="n">
        <v>0</v>
      </c>
      <c r="J122" t="n">
        <v>0</v>
      </c>
      <c r="K122" t="n">
        <v>0</v>
      </c>
      <c r="L122" t="n">
        <v>0</v>
      </c>
      <c r="M122" t="n">
        <v>0</v>
      </c>
      <c r="N122" t="n">
        <v>0</v>
      </c>
      <c r="O122" t="n">
        <v>0</v>
      </c>
      <c r="P122" t="n">
        <v>0</v>
      </c>
      <c r="Q122" t="n">
        <v>0</v>
      </c>
      <c r="R122" s="2" t="inlineStr"/>
    </row>
    <row r="123" ht="15" customHeight="1">
      <c r="A123" t="inlineStr">
        <is>
          <t>A 69661-2018</t>
        </is>
      </c>
      <c r="B123" s="1" t="n">
        <v>43447</v>
      </c>
      <c r="C123" s="1" t="n">
        <v>45358</v>
      </c>
      <c r="D123" t="inlineStr">
        <is>
          <t>ÖREBRO LÄN</t>
        </is>
      </c>
      <c r="E123" t="inlineStr">
        <is>
          <t>ÖREBRO</t>
        </is>
      </c>
      <c r="G123" t="n">
        <v>2</v>
      </c>
      <c r="H123" t="n">
        <v>0</v>
      </c>
      <c r="I123" t="n">
        <v>0</v>
      </c>
      <c r="J123" t="n">
        <v>0</v>
      </c>
      <c r="K123" t="n">
        <v>0</v>
      </c>
      <c r="L123" t="n">
        <v>0</v>
      </c>
      <c r="M123" t="n">
        <v>0</v>
      </c>
      <c r="N123" t="n">
        <v>0</v>
      </c>
      <c r="O123" t="n">
        <v>0</v>
      </c>
      <c r="P123" t="n">
        <v>0</v>
      </c>
      <c r="Q123" t="n">
        <v>0</v>
      </c>
      <c r="R123" s="2" t="inlineStr"/>
    </row>
    <row r="124" ht="15" customHeight="1">
      <c r="A124" t="inlineStr">
        <is>
          <t>A 69641-2018</t>
        </is>
      </c>
      <c r="B124" s="1" t="n">
        <v>43447</v>
      </c>
      <c r="C124" s="1" t="n">
        <v>45358</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69636-2018</t>
        </is>
      </c>
      <c r="B125" s="1" t="n">
        <v>43447</v>
      </c>
      <c r="C125" s="1" t="n">
        <v>45358</v>
      </c>
      <c r="D125" t="inlineStr">
        <is>
          <t>ÖREBRO LÄN</t>
        </is>
      </c>
      <c r="E125" t="inlineStr">
        <is>
          <t>ÖREBRO</t>
        </is>
      </c>
      <c r="G125" t="n">
        <v>9.5</v>
      </c>
      <c r="H125" t="n">
        <v>0</v>
      </c>
      <c r="I125" t="n">
        <v>0</v>
      </c>
      <c r="J125" t="n">
        <v>0</v>
      </c>
      <c r="K125" t="n">
        <v>0</v>
      </c>
      <c r="L125" t="n">
        <v>0</v>
      </c>
      <c r="M125" t="n">
        <v>0</v>
      </c>
      <c r="N125" t="n">
        <v>0</v>
      </c>
      <c r="O125" t="n">
        <v>0</v>
      </c>
      <c r="P125" t="n">
        <v>0</v>
      </c>
      <c r="Q125" t="n">
        <v>0</v>
      </c>
      <c r="R125" s="2" t="inlineStr"/>
    </row>
    <row r="126" ht="15" customHeight="1">
      <c r="A126" t="inlineStr">
        <is>
          <t>A 69621-2018</t>
        </is>
      </c>
      <c r="B126" s="1" t="n">
        <v>43447</v>
      </c>
      <c r="C126" s="1" t="n">
        <v>45358</v>
      </c>
      <c r="D126" t="inlineStr">
        <is>
          <t>ÖREBRO LÄN</t>
        </is>
      </c>
      <c r="E126" t="inlineStr">
        <is>
          <t>ÖREBRO</t>
        </is>
      </c>
      <c r="G126" t="n">
        <v>5.2</v>
      </c>
      <c r="H126" t="n">
        <v>0</v>
      </c>
      <c r="I126" t="n">
        <v>0</v>
      </c>
      <c r="J126" t="n">
        <v>0</v>
      </c>
      <c r="K126" t="n">
        <v>0</v>
      </c>
      <c r="L126" t="n">
        <v>0</v>
      </c>
      <c r="M126" t="n">
        <v>0</v>
      </c>
      <c r="N126" t="n">
        <v>0</v>
      </c>
      <c r="O126" t="n">
        <v>0</v>
      </c>
      <c r="P126" t="n">
        <v>0</v>
      </c>
      <c r="Q126" t="n">
        <v>0</v>
      </c>
      <c r="R126" s="2" t="inlineStr"/>
    </row>
    <row r="127" ht="15" customHeight="1">
      <c r="A127" t="inlineStr">
        <is>
          <t>A 70666-2018</t>
        </is>
      </c>
      <c r="B127" s="1" t="n">
        <v>43447</v>
      </c>
      <c r="C127" s="1" t="n">
        <v>45358</v>
      </c>
      <c r="D127" t="inlineStr">
        <is>
          <t>ÖREBRO LÄN</t>
        </is>
      </c>
      <c r="E127" t="inlineStr">
        <is>
          <t>ÖREBRO</t>
        </is>
      </c>
      <c r="F127" t="inlineStr">
        <is>
          <t>Kommuner</t>
        </is>
      </c>
      <c r="G127" t="n">
        <v>10</v>
      </c>
      <c r="H127" t="n">
        <v>0</v>
      </c>
      <c r="I127" t="n">
        <v>0</v>
      </c>
      <c r="J127" t="n">
        <v>0</v>
      </c>
      <c r="K127" t="n">
        <v>0</v>
      </c>
      <c r="L127" t="n">
        <v>0</v>
      </c>
      <c r="M127" t="n">
        <v>0</v>
      </c>
      <c r="N127" t="n">
        <v>0</v>
      </c>
      <c r="O127" t="n">
        <v>0</v>
      </c>
      <c r="P127" t="n">
        <v>0</v>
      </c>
      <c r="Q127" t="n">
        <v>0</v>
      </c>
      <c r="R127" s="2" t="inlineStr"/>
    </row>
    <row r="128" ht="15" customHeight="1">
      <c r="A128" t="inlineStr">
        <is>
          <t>A 69911-2018</t>
        </is>
      </c>
      <c r="B128" s="1" t="n">
        <v>43447</v>
      </c>
      <c r="C128" s="1" t="n">
        <v>45358</v>
      </c>
      <c r="D128" t="inlineStr">
        <is>
          <t>ÖREBRO LÄN</t>
        </is>
      </c>
      <c r="E128" t="inlineStr">
        <is>
          <t>ÖREBRO</t>
        </is>
      </c>
      <c r="F128" t="inlineStr">
        <is>
          <t>Övriga Aktiebolag</t>
        </is>
      </c>
      <c r="G128" t="n">
        <v>5.8</v>
      </c>
      <c r="H128" t="n">
        <v>0</v>
      </c>
      <c r="I128" t="n">
        <v>0</v>
      </c>
      <c r="J128" t="n">
        <v>0</v>
      </c>
      <c r="K128" t="n">
        <v>0</v>
      </c>
      <c r="L128" t="n">
        <v>0</v>
      </c>
      <c r="M128" t="n">
        <v>0</v>
      </c>
      <c r="N128" t="n">
        <v>0</v>
      </c>
      <c r="O128" t="n">
        <v>0</v>
      </c>
      <c r="P128" t="n">
        <v>0</v>
      </c>
      <c r="Q128" t="n">
        <v>0</v>
      </c>
      <c r="R128" s="2" t="inlineStr"/>
    </row>
    <row r="129" ht="15" customHeight="1">
      <c r="A129" t="inlineStr">
        <is>
          <t>A 70579-2018</t>
        </is>
      </c>
      <c r="B129" s="1" t="n">
        <v>43451</v>
      </c>
      <c r="C129" s="1" t="n">
        <v>45358</v>
      </c>
      <c r="D129" t="inlineStr">
        <is>
          <t>ÖREBRO LÄN</t>
        </is>
      </c>
      <c r="E129" t="inlineStr">
        <is>
          <t>ÖREBRO</t>
        </is>
      </c>
      <c r="G129" t="n">
        <v>8.699999999999999</v>
      </c>
      <c r="H129" t="n">
        <v>0</v>
      </c>
      <c r="I129" t="n">
        <v>0</v>
      </c>
      <c r="J129" t="n">
        <v>0</v>
      </c>
      <c r="K129" t="n">
        <v>0</v>
      </c>
      <c r="L129" t="n">
        <v>0</v>
      </c>
      <c r="M129" t="n">
        <v>0</v>
      </c>
      <c r="N129" t="n">
        <v>0</v>
      </c>
      <c r="O129" t="n">
        <v>0</v>
      </c>
      <c r="P129" t="n">
        <v>0</v>
      </c>
      <c r="Q129" t="n">
        <v>0</v>
      </c>
      <c r="R129" s="2" t="inlineStr"/>
    </row>
    <row r="130" ht="15" customHeight="1">
      <c r="A130" t="inlineStr">
        <is>
          <t>A 70594-2018</t>
        </is>
      </c>
      <c r="B130" s="1" t="n">
        <v>43451</v>
      </c>
      <c r="C130" s="1" t="n">
        <v>45358</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71028-2018</t>
        </is>
      </c>
      <c r="B131" s="1" t="n">
        <v>43452</v>
      </c>
      <c r="C131" s="1" t="n">
        <v>45358</v>
      </c>
      <c r="D131" t="inlineStr">
        <is>
          <t>ÖREBRO LÄN</t>
        </is>
      </c>
      <c r="E131" t="inlineStr">
        <is>
          <t>ÖREBRO</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365-2019</t>
        </is>
      </c>
      <c r="B132" s="1" t="n">
        <v>43454</v>
      </c>
      <c r="C132" s="1" t="n">
        <v>45358</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371-2019</t>
        </is>
      </c>
      <c r="B133" s="1" t="n">
        <v>43454</v>
      </c>
      <c r="C133" s="1" t="n">
        <v>45358</v>
      </c>
      <c r="D133" t="inlineStr">
        <is>
          <t>ÖREBRO LÄN</t>
        </is>
      </c>
      <c r="E133" t="inlineStr">
        <is>
          <t>ÖREBRO</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72288-2018</t>
        </is>
      </c>
      <c r="B134" s="1" t="n">
        <v>43455</v>
      </c>
      <c r="C134" s="1" t="n">
        <v>45358</v>
      </c>
      <c r="D134" t="inlineStr">
        <is>
          <t>ÖREBRO LÄN</t>
        </is>
      </c>
      <c r="E134" t="inlineStr">
        <is>
          <t>ÖREBRO</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1491-2019</t>
        </is>
      </c>
      <c r="B135" s="1" t="n">
        <v>43473</v>
      </c>
      <c r="C135" s="1" t="n">
        <v>45358</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4183-2019</t>
        </is>
      </c>
      <c r="B136" s="1" t="n">
        <v>43476</v>
      </c>
      <c r="C136" s="1" t="n">
        <v>45358</v>
      </c>
      <c r="D136" t="inlineStr">
        <is>
          <t>ÖREBRO LÄN</t>
        </is>
      </c>
      <c r="E136" t="inlineStr">
        <is>
          <t>ÖREBRO</t>
        </is>
      </c>
      <c r="G136" t="n">
        <v>8.6</v>
      </c>
      <c r="H136" t="n">
        <v>0</v>
      </c>
      <c r="I136" t="n">
        <v>0</v>
      </c>
      <c r="J136" t="n">
        <v>0</v>
      </c>
      <c r="K136" t="n">
        <v>0</v>
      </c>
      <c r="L136" t="n">
        <v>0</v>
      </c>
      <c r="M136" t="n">
        <v>0</v>
      </c>
      <c r="N136" t="n">
        <v>0</v>
      </c>
      <c r="O136" t="n">
        <v>0</v>
      </c>
      <c r="P136" t="n">
        <v>0</v>
      </c>
      <c r="Q136" t="n">
        <v>0</v>
      </c>
      <c r="R136" s="2" t="inlineStr"/>
    </row>
    <row r="137" ht="15" customHeight="1">
      <c r="A137" t="inlineStr">
        <is>
          <t>A 3381-2019</t>
        </is>
      </c>
      <c r="B137" s="1" t="n">
        <v>43480</v>
      </c>
      <c r="C137" s="1" t="n">
        <v>45358</v>
      </c>
      <c r="D137" t="inlineStr">
        <is>
          <t>ÖREBRO LÄN</t>
        </is>
      </c>
      <c r="E137" t="inlineStr">
        <is>
          <t>ÖREBRO</t>
        </is>
      </c>
      <c r="G137" t="n">
        <v>14.8</v>
      </c>
      <c r="H137" t="n">
        <v>0</v>
      </c>
      <c r="I137" t="n">
        <v>0</v>
      </c>
      <c r="J137" t="n">
        <v>0</v>
      </c>
      <c r="K137" t="n">
        <v>0</v>
      </c>
      <c r="L137" t="n">
        <v>0</v>
      </c>
      <c r="M137" t="n">
        <v>0</v>
      </c>
      <c r="N137" t="n">
        <v>0</v>
      </c>
      <c r="O137" t="n">
        <v>0</v>
      </c>
      <c r="P137" t="n">
        <v>0</v>
      </c>
      <c r="Q137" t="n">
        <v>0</v>
      </c>
      <c r="R137" s="2" t="inlineStr"/>
    </row>
    <row r="138" ht="15" customHeight="1">
      <c r="A138" t="inlineStr">
        <is>
          <t>A 3760-2019</t>
        </is>
      </c>
      <c r="B138" s="1" t="n">
        <v>43481</v>
      </c>
      <c r="C138" s="1" t="n">
        <v>45358</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3762-2019</t>
        </is>
      </c>
      <c r="B139" s="1" t="n">
        <v>43481</v>
      </c>
      <c r="C139" s="1" t="n">
        <v>45358</v>
      </c>
      <c r="D139" t="inlineStr">
        <is>
          <t>ÖREBRO LÄN</t>
        </is>
      </c>
      <c r="E139" t="inlineStr">
        <is>
          <t>ÖREBRO</t>
        </is>
      </c>
      <c r="G139" t="n">
        <v>1.9</v>
      </c>
      <c r="H139" t="n">
        <v>0</v>
      </c>
      <c r="I139" t="n">
        <v>0</v>
      </c>
      <c r="J139" t="n">
        <v>0</v>
      </c>
      <c r="K139" t="n">
        <v>0</v>
      </c>
      <c r="L139" t="n">
        <v>0</v>
      </c>
      <c r="M139" t="n">
        <v>0</v>
      </c>
      <c r="N139" t="n">
        <v>0</v>
      </c>
      <c r="O139" t="n">
        <v>0</v>
      </c>
      <c r="P139" t="n">
        <v>0</v>
      </c>
      <c r="Q139" t="n">
        <v>0</v>
      </c>
      <c r="R139" s="2" t="inlineStr"/>
    </row>
    <row r="140" ht="15" customHeight="1">
      <c r="A140" t="inlineStr">
        <is>
          <t>A 3913-2019</t>
        </is>
      </c>
      <c r="B140" s="1" t="n">
        <v>43482</v>
      </c>
      <c r="C140" s="1" t="n">
        <v>45358</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3944-2019</t>
        </is>
      </c>
      <c r="B141" s="1" t="n">
        <v>43482</v>
      </c>
      <c r="C141" s="1" t="n">
        <v>45358</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4577-2019</t>
        </is>
      </c>
      <c r="B142" s="1" t="n">
        <v>43486</v>
      </c>
      <c r="C142" s="1" t="n">
        <v>45358</v>
      </c>
      <c r="D142" t="inlineStr">
        <is>
          <t>ÖREBRO LÄN</t>
        </is>
      </c>
      <c r="E142" t="inlineStr">
        <is>
          <t>ÖREBRO</t>
        </is>
      </c>
      <c r="F142" t="inlineStr">
        <is>
          <t>Allmännings- och besparingsskogar</t>
        </is>
      </c>
      <c r="G142" t="n">
        <v>16.5</v>
      </c>
      <c r="H142" t="n">
        <v>0</v>
      </c>
      <c r="I142" t="n">
        <v>0</v>
      </c>
      <c r="J142" t="n">
        <v>0</v>
      </c>
      <c r="K142" t="n">
        <v>0</v>
      </c>
      <c r="L142" t="n">
        <v>0</v>
      </c>
      <c r="M142" t="n">
        <v>0</v>
      </c>
      <c r="N142" t="n">
        <v>0</v>
      </c>
      <c r="O142" t="n">
        <v>0</v>
      </c>
      <c r="P142" t="n">
        <v>0</v>
      </c>
      <c r="Q142" t="n">
        <v>0</v>
      </c>
      <c r="R142" s="2" t="inlineStr"/>
    </row>
    <row r="143" ht="15" customHeight="1">
      <c r="A143" t="inlineStr">
        <is>
          <t>A 4671-2019</t>
        </is>
      </c>
      <c r="B143" s="1" t="n">
        <v>43486</v>
      </c>
      <c r="C143" s="1" t="n">
        <v>45358</v>
      </c>
      <c r="D143" t="inlineStr">
        <is>
          <t>ÖREBRO LÄN</t>
        </is>
      </c>
      <c r="E143" t="inlineStr">
        <is>
          <t>ÖREBRO</t>
        </is>
      </c>
      <c r="F143" t="inlineStr">
        <is>
          <t>Allmännings- och besparingsskogar</t>
        </is>
      </c>
      <c r="G143" t="n">
        <v>2.1</v>
      </c>
      <c r="H143" t="n">
        <v>0</v>
      </c>
      <c r="I143" t="n">
        <v>0</v>
      </c>
      <c r="J143" t="n">
        <v>0</v>
      </c>
      <c r="K143" t="n">
        <v>0</v>
      </c>
      <c r="L143" t="n">
        <v>0</v>
      </c>
      <c r="M143" t="n">
        <v>0</v>
      </c>
      <c r="N143" t="n">
        <v>0</v>
      </c>
      <c r="O143" t="n">
        <v>0</v>
      </c>
      <c r="P143" t="n">
        <v>0</v>
      </c>
      <c r="Q143" t="n">
        <v>0</v>
      </c>
      <c r="R143" s="2" t="inlineStr"/>
    </row>
    <row r="144" ht="15" customHeight="1">
      <c r="A144" t="inlineStr">
        <is>
          <t>A 4612-2019</t>
        </is>
      </c>
      <c r="B144" s="1" t="n">
        <v>43486</v>
      </c>
      <c r="C144" s="1" t="n">
        <v>45358</v>
      </c>
      <c r="D144" t="inlineStr">
        <is>
          <t>ÖREBRO LÄN</t>
        </is>
      </c>
      <c r="E144" t="inlineStr">
        <is>
          <t>ÖREBRO</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4563-2019</t>
        </is>
      </c>
      <c r="B145" s="1" t="n">
        <v>43486</v>
      </c>
      <c r="C145" s="1" t="n">
        <v>45358</v>
      </c>
      <c r="D145" t="inlineStr">
        <is>
          <t>ÖREBRO LÄN</t>
        </is>
      </c>
      <c r="E145" t="inlineStr">
        <is>
          <t>ÖREBRO</t>
        </is>
      </c>
      <c r="F145" t="inlineStr">
        <is>
          <t>Allmännings- och besparingsskogar</t>
        </is>
      </c>
      <c r="G145" t="n">
        <v>14.5</v>
      </c>
      <c r="H145" t="n">
        <v>0</v>
      </c>
      <c r="I145" t="n">
        <v>0</v>
      </c>
      <c r="J145" t="n">
        <v>0</v>
      </c>
      <c r="K145" t="n">
        <v>0</v>
      </c>
      <c r="L145" t="n">
        <v>0</v>
      </c>
      <c r="M145" t="n">
        <v>0</v>
      </c>
      <c r="N145" t="n">
        <v>0</v>
      </c>
      <c r="O145" t="n">
        <v>0</v>
      </c>
      <c r="P145" t="n">
        <v>0</v>
      </c>
      <c r="Q145" t="n">
        <v>0</v>
      </c>
      <c r="R145" s="2" t="inlineStr"/>
    </row>
    <row r="146" ht="15" customHeight="1">
      <c r="A146" t="inlineStr">
        <is>
          <t>A 6943-2019</t>
        </is>
      </c>
      <c r="B146" s="1" t="n">
        <v>43489</v>
      </c>
      <c r="C146" s="1" t="n">
        <v>45358</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6687-2019</t>
        </is>
      </c>
      <c r="B147" s="1" t="n">
        <v>43494</v>
      </c>
      <c r="C147" s="1" t="n">
        <v>45358</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6699-2019</t>
        </is>
      </c>
      <c r="B148" s="1" t="n">
        <v>43494</v>
      </c>
      <c r="C148" s="1" t="n">
        <v>45358</v>
      </c>
      <c r="D148" t="inlineStr">
        <is>
          <t>ÖREBRO LÄN</t>
        </is>
      </c>
      <c r="E148" t="inlineStr">
        <is>
          <t>ÖREBRO</t>
        </is>
      </c>
      <c r="G148" t="n">
        <v>1.7</v>
      </c>
      <c r="H148" t="n">
        <v>0</v>
      </c>
      <c r="I148" t="n">
        <v>0</v>
      </c>
      <c r="J148" t="n">
        <v>0</v>
      </c>
      <c r="K148" t="n">
        <v>0</v>
      </c>
      <c r="L148" t="n">
        <v>0</v>
      </c>
      <c r="M148" t="n">
        <v>0</v>
      </c>
      <c r="N148" t="n">
        <v>0</v>
      </c>
      <c r="O148" t="n">
        <v>0</v>
      </c>
      <c r="P148" t="n">
        <v>0</v>
      </c>
      <c r="Q148" t="n">
        <v>0</v>
      </c>
      <c r="R148" s="2" t="inlineStr"/>
    </row>
    <row r="149" ht="15" customHeight="1">
      <c r="A149" t="inlineStr">
        <is>
          <t>A 7006-2019</t>
        </is>
      </c>
      <c r="B149" s="1" t="n">
        <v>43495</v>
      </c>
      <c r="C149" s="1" t="n">
        <v>45358</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7000-2019</t>
        </is>
      </c>
      <c r="B150" s="1" t="n">
        <v>43495</v>
      </c>
      <c r="C150" s="1" t="n">
        <v>45358</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7004-2019</t>
        </is>
      </c>
      <c r="B151" s="1" t="n">
        <v>43495</v>
      </c>
      <c r="C151" s="1" t="n">
        <v>45358</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6998-2019</t>
        </is>
      </c>
      <c r="B152" s="1" t="n">
        <v>43495</v>
      </c>
      <c r="C152" s="1" t="n">
        <v>45358</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7002-2019</t>
        </is>
      </c>
      <c r="B153" s="1" t="n">
        <v>43495</v>
      </c>
      <c r="C153" s="1" t="n">
        <v>45358</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8245-2019</t>
        </is>
      </c>
      <c r="B154" s="1" t="n">
        <v>43501</v>
      </c>
      <c r="C154" s="1" t="n">
        <v>45358</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9588-2019</t>
        </is>
      </c>
      <c r="B155" s="1" t="n">
        <v>43508</v>
      </c>
      <c r="C155" s="1" t="n">
        <v>45358</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10682-2019</t>
        </is>
      </c>
      <c r="B156" s="1" t="n">
        <v>43514</v>
      </c>
      <c r="C156" s="1" t="n">
        <v>45358</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10615-2019</t>
        </is>
      </c>
      <c r="B157" s="1" t="n">
        <v>43514</v>
      </c>
      <c r="C157" s="1" t="n">
        <v>45358</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11158-2019</t>
        </is>
      </c>
      <c r="B158" s="1" t="n">
        <v>43516</v>
      </c>
      <c r="C158" s="1" t="n">
        <v>45358</v>
      </c>
      <c r="D158" t="inlineStr">
        <is>
          <t>ÖREBRO LÄN</t>
        </is>
      </c>
      <c r="E158" t="inlineStr">
        <is>
          <t>ÖREBRO</t>
        </is>
      </c>
      <c r="G158" t="n">
        <v>0.8</v>
      </c>
      <c r="H158" t="n">
        <v>0</v>
      </c>
      <c r="I158" t="n">
        <v>0</v>
      </c>
      <c r="J158" t="n">
        <v>0</v>
      </c>
      <c r="K158" t="n">
        <v>0</v>
      </c>
      <c r="L158" t="n">
        <v>0</v>
      </c>
      <c r="M158" t="n">
        <v>0</v>
      </c>
      <c r="N158" t="n">
        <v>0</v>
      </c>
      <c r="O158" t="n">
        <v>0</v>
      </c>
      <c r="P158" t="n">
        <v>0</v>
      </c>
      <c r="Q158" t="n">
        <v>0</v>
      </c>
      <c r="R158" s="2" t="inlineStr"/>
    </row>
    <row r="159" ht="15" customHeight="1">
      <c r="A159" t="inlineStr">
        <is>
          <t>A 11589-2019</t>
        </is>
      </c>
      <c r="B159" s="1" t="n">
        <v>43518</v>
      </c>
      <c r="C159" s="1" t="n">
        <v>45358</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11653-2019</t>
        </is>
      </c>
      <c r="B160" s="1" t="n">
        <v>43518</v>
      </c>
      <c r="C160" s="1" t="n">
        <v>45358</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11592-2019</t>
        </is>
      </c>
      <c r="B161" s="1" t="n">
        <v>43518</v>
      </c>
      <c r="C161" s="1" t="n">
        <v>45358</v>
      </c>
      <c r="D161" t="inlineStr">
        <is>
          <t>ÖREBRO LÄN</t>
        </is>
      </c>
      <c r="E161" t="inlineStr">
        <is>
          <t>ÖREBRO</t>
        </is>
      </c>
      <c r="G161" t="n">
        <v>0.3</v>
      </c>
      <c r="H161" t="n">
        <v>0</v>
      </c>
      <c r="I161" t="n">
        <v>0</v>
      </c>
      <c r="J161" t="n">
        <v>0</v>
      </c>
      <c r="K161" t="n">
        <v>0</v>
      </c>
      <c r="L161" t="n">
        <v>0</v>
      </c>
      <c r="M161" t="n">
        <v>0</v>
      </c>
      <c r="N161" t="n">
        <v>0</v>
      </c>
      <c r="O161" t="n">
        <v>0</v>
      </c>
      <c r="P161" t="n">
        <v>0</v>
      </c>
      <c r="Q161" t="n">
        <v>0</v>
      </c>
      <c r="R161" s="2" t="inlineStr"/>
    </row>
    <row r="162" ht="15" customHeight="1">
      <c r="A162" t="inlineStr">
        <is>
          <t>A 11714-2019</t>
        </is>
      </c>
      <c r="B162" s="1" t="n">
        <v>43518</v>
      </c>
      <c r="C162" s="1" t="n">
        <v>45358</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11716-2019</t>
        </is>
      </c>
      <c r="B163" s="1" t="n">
        <v>43518</v>
      </c>
      <c r="C163" s="1" t="n">
        <v>45358</v>
      </c>
      <c r="D163" t="inlineStr">
        <is>
          <t>ÖREBRO LÄN</t>
        </is>
      </c>
      <c r="E163" t="inlineStr">
        <is>
          <t>ÖREBRO</t>
        </is>
      </c>
      <c r="G163" t="n">
        <v>1</v>
      </c>
      <c r="H163" t="n">
        <v>0</v>
      </c>
      <c r="I163" t="n">
        <v>0</v>
      </c>
      <c r="J163" t="n">
        <v>0</v>
      </c>
      <c r="K163" t="n">
        <v>0</v>
      </c>
      <c r="L163" t="n">
        <v>0</v>
      </c>
      <c r="M163" t="n">
        <v>0</v>
      </c>
      <c r="N163" t="n">
        <v>0</v>
      </c>
      <c r="O163" t="n">
        <v>0</v>
      </c>
      <c r="P163" t="n">
        <v>0</v>
      </c>
      <c r="Q163" t="n">
        <v>0</v>
      </c>
      <c r="R163" s="2" t="inlineStr"/>
    </row>
    <row r="164" ht="15" customHeight="1">
      <c r="A164" t="inlineStr">
        <is>
          <t>A 12000-2019</t>
        </is>
      </c>
      <c r="B164" s="1" t="n">
        <v>43521</v>
      </c>
      <c r="C164" s="1" t="n">
        <v>45358</v>
      </c>
      <c r="D164" t="inlineStr">
        <is>
          <t>ÖREBRO LÄN</t>
        </is>
      </c>
      <c r="E164" t="inlineStr">
        <is>
          <t>ÖREBRO</t>
        </is>
      </c>
      <c r="G164" t="n">
        <v>4.4</v>
      </c>
      <c r="H164" t="n">
        <v>0</v>
      </c>
      <c r="I164" t="n">
        <v>0</v>
      </c>
      <c r="J164" t="n">
        <v>0</v>
      </c>
      <c r="K164" t="n">
        <v>0</v>
      </c>
      <c r="L164" t="n">
        <v>0</v>
      </c>
      <c r="M164" t="n">
        <v>0</v>
      </c>
      <c r="N164" t="n">
        <v>0</v>
      </c>
      <c r="O164" t="n">
        <v>0</v>
      </c>
      <c r="P164" t="n">
        <v>0</v>
      </c>
      <c r="Q164" t="n">
        <v>0</v>
      </c>
      <c r="R164" s="2" t="inlineStr"/>
    </row>
    <row r="165" ht="15" customHeight="1">
      <c r="A165" t="inlineStr">
        <is>
          <t>A 12131-2019</t>
        </is>
      </c>
      <c r="B165" s="1" t="n">
        <v>43522</v>
      </c>
      <c r="C165" s="1" t="n">
        <v>45358</v>
      </c>
      <c r="D165" t="inlineStr">
        <is>
          <t>ÖREBRO LÄN</t>
        </is>
      </c>
      <c r="E165" t="inlineStr">
        <is>
          <t>ÖREBRO</t>
        </is>
      </c>
      <c r="G165" t="n">
        <v>1.4</v>
      </c>
      <c r="H165" t="n">
        <v>0</v>
      </c>
      <c r="I165" t="n">
        <v>0</v>
      </c>
      <c r="J165" t="n">
        <v>0</v>
      </c>
      <c r="K165" t="n">
        <v>0</v>
      </c>
      <c r="L165" t="n">
        <v>0</v>
      </c>
      <c r="M165" t="n">
        <v>0</v>
      </c>
      <c r="N165" t="n">
        <v>0</v>
      </c>
      <c r="O165" t="n">
        <v>0</v>
      </c>
      <c r="P165" t="n">
        <v>0</v>
      </c>
      <c r="Q165" t="n">
        <v>0</v>
      </c>
      <c r="R165" s="2" t="inlineStr"/>
    </row>
    <row r="166" ht="15" customHeight="1">
      <c r="A166" t="inlineStr">
        <is>
          <t>A 13016-2019</t>
        </is>
      </c>
      <c r="B166" s="1" t="n">
        <v>43528</v>
      </c>
      <c r="C166" s="1" t="n">
        <v>45358</v>
      </c>
      <c r="D166" t="inlineStr">
        <is>
          <t>ÖREBRO LÄN</t>
        </is>
      </c>
      <c r="E166" t="inlineStr">
        <is>
          <t>ÖREBRO</t>
        </is>
      </c>
      <c r="G166" t="n">
        <v>6.1</v>
      </c>
      <c r="H166" t="n">
        <v>0</v>
      </c>
      <c r="I166" t="n">
        <v>0</v>
      </c>
      <c r="J166" t="n">
        <v>0</v>
      </c>
      <c r="K166" t="n">
        <v>0</v>
      </c>
      <c r="L166" t="n">
        <v>0</v>
      </c>
      <c r="M166" t="n">
        <v>0</v>
      </c>
      <c r="N166" t="n">
        <v>0</v>
      </c>
      <c r="O166" t="n">
        <v>0</v>
      </c>
      <c r="P166" t="n">
        <v>0</v>
      </c>
      <c r="Q166" t="n">
        <v>0</v>
      </c>
      <c r="R166" s="2" t="inlineStr"/>
    </row>
    <row r="167" ht="15" customHeight="1">
      <c r="A167" t="inlineStr">
        <is>
          <t>A 13479-2019</t>
        </is>
      </c>
      <c r="B167" s="1" t="n">
        <v>43530</v>
      </c>
      <c r="C167" s="1" t="n">
        <v>45358</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13734-2019</t>
        </is>
      </c>
      <c r="B168" s="1" t="n">
        <v>43531</v>
      </c>
      <c r="C168" s="1" t="n">
        <v>45358</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14348-2019</t>
        </is>
      </c>
      <c r="B169" s="1" t="n">
        <v>43535</v>
      </c>
      <c r="C169" s="1" t="n">
        <v>45358</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14927-2019</t>
        </is>
      </c>
      <c r="B170" s="1" t="n">
        <v>43538</v>
      </c>
      <c r="C170" s="1" t="n">
        <v>45358</v>
      </c>
      <c r="D170" t="inlineStr">
        <is>
          <t>ÖREBRO LÄN</t>
        </is>
      </c>
      <c r="E170" t="inlineStr">
        <is>
          <t>ÖREBRO</t>
        </is>
      </c>
      <c r="G170" t="n">
        <v>25.7</v>
      </c>
      <c r="H170" t="n">
        <v>0</v>
      </c>
      <c r="I170" t="n">
        <v>0</v>
      </c>
      <c r="J170" t="n">
        <v>0</v>
      </c>
      <c r="K170" t="n">
        <v>0</v>
      </c>
      <c r="L170" t="n">
        <v>0</v>
      </c>
      <c r="M170" t="n">
        <v>0</v>
      </c>
      <c r="N170" t="n">
        <v>0</v>
      </c>
      <c r="O170" t="n">
        <v>0</v>
      </c>
      <c r="P170" t="n">
        <v>0</v>
      </c>
      <c r="Q170" t="n">
        <v>0</v>
      </c>
      <c r="R170" s="2" t="inlineStr"/>
    </row>
    <row r="171" ht="15" customHeight="1">
      <c r="A171" t="inlineStr">
        <is>
          <t>A 15349-2019</t>
        </is>
      </c>
      <c r="B171" s="1" t="n">
        <v>43541</v>
      </c>
      <c r="C171" s="1" t="n">
        <v>45358</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15801-2019</t>
        </is>
      </c>
      <c r="B172" s="1" t="n">
        <v>43543</v>
      </c>
      <c r="C172" s="1" t="n">
        <v>45358</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16129-2019</t>
        </is>
      </c>
      <c r="B173" s="1" t="n">
        <v>43544</v>
      </c>
      <c r="C173" s="1" t="n">
        <v>45358</v>
      </c>
      <c r="D173" t="inlineStr">
        <is>
          <t>ÖREBRO LÄN</t>
        </is>
      </c>
      <c r="E173" t="inlineStr">
        <is>
          <t>ÖREBRO</t>
        </is>
      </c>
      <c r="G173" t="n">
        <v>0.3</v>
      </c>
      <c r="H173" t="n">
        <v>0</v>
      </c>
      <c r="I173" t="n">
        <v>0</v>
      </c>
      <c r="J173" t="n">
        <v>0</v>
      </c>
      <c r="K173" t="n">
        <v>0</v>
      </c>
      <c r="L173" t="n">
        <v>0</v>
      </c>
      <c r="M173" t="n">
        <v>0</v>
      </c>
      <c r="N173" t="n">
        <v>0</v>
      </c>
      <c r="O173" t="n">
        <v>0</v>
      </c>
      <c r="P173" t="n">
        <v>0</v>
      </c>
      <c r="Q173" t="n">
        <v>0</v>
      </c>
      <c r="R173" s="2" t="inlineStr"/>
    </row>
    <row r="174" ht="15" customHeight="1">
      <c r="A174" t="inlineStr">
        <is>
          <t>A 17118-2019</t>
        </is>
      </c>
      <c r="B174" s="1" t="n">
        <v>43551</v>
      </c>
      <c r="C174" s="1" t="n">
        <v>45358</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17557-2019</t>
        </is>
      </c>
      <c r="B175" s="1" t="n">
        <v>43552</v>
      </c>
      <c r="C175" s="1" t="n">
        <v>45358</v>
      </c>
      <c r="D175" t="inlineStr">
        <is>
          <t>ÖREBRO LÄN</t>
        </is>
      </c>
      <c r="E175" t="inlineStr">
        <is>
          <t>ÖREBRO</t>
        </is>
      </c>
      <c r="G175" t="n">
        <v>3.5</v>
      </c>
      <c r="H175" t="n">
        <v>0</v>
      </c>
      <c r="I175" t="n">
        <v>0</v>
      </c>
      <c r="J175" t="n">
        <v>0</v>
      </c>
      <c r="K175" t="n">
        <v>0</v>
      </c>
      <c r="L175" t="n">
        <v>0</v>
      </c>
      <c r="M175" t="n">
        <v>0</v>
      </c>
      <c r="N175" t="n">
        <v>0</v>
      </c>
      <c r="O175" t="n">
        <v>0</v>
      </c>
      <c r="P175" t="n">
        <v>0</v>
      </c>
      <c r="Q175" t="n">
        <v>0</v>
      </c>
      <c r="R175" s="2" t="inlineStr"/>
    </row>
    <row r="176" ht="15" customHeight="1">
      <c r="A176" t="inlineStr">
        <is>
          <t>A 17563-2019</t>
        </is>
      </c>
      <c r="B176" s="1" t="n">
        <v>43552</v>
      </c>
      <c r="C176" s="1" t="n">
        <v>45358</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17548-2019</t>
        </is>
      </c>
      <c r="B177" s="1" t="n">
        <v>43552</v>
      </c>
      <c r="C177" s="1" t="n">
        <v>45358</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17554-2019</t>
        </is>
      </c>
      <c r="B178" s="1" t="n">
        <v>43552</v>
      </c>
      <c r="C178" s="1" t="n">
        <v>45358</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17640-2019</t>
        </is>
      </c>
      <c r="B179" s="1" t="n">
        <v>43552</v>
      </c>
      <c r="C179" s="1" t="n">
        <v>45358</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17560-2019</t>
        </is>
      </c>
      <c r="B180" s="1" t="n">
        <v>43552</v>
      </c>
      <c r="C180" s="1" t="n">
        <v>45358</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17648-2019</t>
        </is>
      </c>
      <c r="B181" s="1" t="n">
        <v>43552</v>
      </c>
      <c r="C181" s="1" t="n">
        <v>45358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17643-2019</t>
        </is>
      </c>
      <c r="B182" s="1" t="n">
        <v>43552</v>
      </c>
      <c r="C182" s="1" t="n">
        <v>45358</v>
      </c>
      <c r="D182" t="inlineStr">
        <is>
          <t>ÖREBRO LÄN</t>
        </is>
      </c>
      <c r="E182" t="inlineStr">
        <is>
          <t>ÖREBRO</t>
        </is>
      </c>
      <c r="G182" t="n">
        <v>3.7</v>
      </c>
      <c r="H182" t="n">
        <v>0</v>
      </c>
      <c r="I182" t="n">
        <v>0</v>
      </c>
      <c r="J182" t="n">
        <v>0</v>
      </c>
      <c r="K182" t="n">
        <v>0</v>
      </c>
      <c r="L182" t="n">
        <v>0</v>
      </c>
      <c r="M182" t="n">
        <v>0</v>
      </c>
      <c r="N182" t="n">
        <v>0</v>
      </c>
      <c r="O182" t="n">
        <v>0</v>
      </c>
      <c r="P182" t="n">
        <v>0</v>
      </c>
      <c r="Q182" t="n">
        <v>0</v>
      </c>
      <c r="R182" s="2" t="inlineStr"/>
    </row>
    <row r="183" ht="15" customHeight="1">
      <c r="A183" t="inlineStr">
        <is>
          <t>A 18034-2019</t>
        </is>
      </c>
      <c r="B183" s="1" t="n">
        <v>43557</v>
      </c>
      <c r="C183" s="1" t="n">
        <v>45358</v>
      </c>
      <c r="D183" t="inlineStr">
        <is>
          <t>ÖREBRO LÄN</t>
        </is>
      </c>
      <c r="E183" t="inlineStr">
        <is>
          <t>ÖREBRO</t>
        </is>
      </c>
      <c r="G183" t="n">
        <v>1</v>
      </c>
      <c r="H183" t="n">
        <v>0</v>
      </c>
      <c r="I183" t="n">
        <v>0</v>
      </c>
      <c r="J183" t="n">
        <v>0</v>
      </c>
      <c r="K183" t="n">
        <v>0</v>
      </c>
      <c r="L183" t="n">
        <v>0</v>
      </c>
      <c r="M183" t="n">
        <v>0</v>
      </c>
      <c r="N183" t="n">
        <v>0</v>
      </c>
      <c r="O183" t="n">
        <v>0</v>
      </c>
      <c r="P183" t="n">
        <v>0</v>
      </c>
      <c r="Q183" t="n">
        <v>0</v>
      </c>
      <c r="R183" s="2" t="inlineStr"/>
    </row>
    <row r="184" ht="15" customHeight="1">
      <c r="A184" t="inlineStr">
        <is>
          <t>A 19042-2019</t>
        </is>
      </c>
      <c r="B184" s="1" t="n">
        <v>43563</v>
      </c>
      <c r="C184" s="1" t="n">
        <v>45358</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19047-2019</t>
        </is>
      </c>
      <c r="B185" s="1" t="n">
        <v>43563</v>
      </c>
      <c r="C185" s="1" t="n">
        <v>45358</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19049-2019</t>
        </is>
      </c>
      <c r="B186" s="1" t="n">
        <v>43563</v>
      </c>
      <c r="C186" s="1" t="n">
        <v>45358</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19044-2019</t>
        </is>
      </c>
      <c r="B187" s="1" t="n">
        <v>43563</v>
      </c>
      <c r="C187" s="1" t="n">
        <v>45358</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19048-2019</t>
        </is>
      </c>
      <c r="B188" s="1" t="n">
        <v>43563</v>
      </c>
      <c r="C188" s="1" t="n">
        <v>45358</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19045-2019</t>
        </is>
      </c>
      <c r="B189" s="1" t="n">
        <v>43563</v>
      </c>
      <c r="C189" s="1" t="n">
        <v>45358</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19046-2019</t>
        </is>
      </c>
      <c r="B190" s="1" t="n">
        <v>43563</v>
      </c>
      <c r="C190" s="1" t="n">
        <v>45358</v>
      </c>
      <c r="D190" t="inlineStr">
        <is>
          <t>ÖREBRO LÄN</t>
        </is>
      </c>
      <c r="E190" t="inlineStr">
        <is>
          <t>ÖREBRO</t>
        </is>
      </c>
      <c r="G190" t="n">
        <v>1.5</v>
      </c>
      <c r="H190" t="n">
        <v>0</v>
      </c>
      <c r="I190" t="n">
        <v>0</v>
      </c>
      <c r="J190" t="n">
        <v>0</v>
      </c>
      <c r="K190" t="n">
        <v>0</v>
      </c>
      <c r="L190" t="n">
        <v>0</v>
      </c>
      <c r="M190" t="n">
        <v>0</v>
      </c>
      <c r="N190" t="n">
        <v>0</v>
      </c>
      <c r="O190" t="n">
        <v>0</v>
      </c>
      <c r="P190" t="n">
        <v>0</v>
      </c>
      <c r="Q190" t="n">
        <v>0</v>
      </c>
      <c r="R190" s="2" t="inlineStr"/>
    </row>
    <row r="191" ht="15" customHeight="1">
      <c r="A191" t="inlineStr">
        <is>
          <t>A 20232-2019</t>
        </is>
      </c>
      <c r="B191" s="1" t="n">
        <v>43571</v>
      </c>
      <c r="C191" s="1" t="n">
        <v>45358</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20609-2019</t>
        </is>
      </c>
      <c r="B192" s="1" t="n">
        <v>43572</v>
      </c>
      <c r="C192" s="1" t="n">
        <v>45358</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21722-2019</t>
        </is>
      </c>
      <c r="B193" s="1" t="n">
        <v>43581</v>
      </c>
      <c r="C193" s="1" t="n">
        <v>45358</v>
      </c>
      <c r="D193" t="inlineStr">
        <is>
          <t>ÖREBRO LÄN</t>
        </is>
      </c>
      <c r="E193" t="inlineStr">
        <is>
          <t>ÖREBRO</t>
        </is>
      </c>
      <c r="G193" t="n">
        <v>11.3</v>
      </c>
      <c r="H193" t="n">
        <v>0</v>
      </c>
      <c r="I193" t="n">
        <v>0</v>
      </c>
      <c r="J193" t="n">
        <v>0</v>
      </c>
      <c r="K193" t="n">
        <v>0</v>
      </c>
      <c r="L193" t="n">
        <v>0</v>
      </c>
      <c r="M193" t="n">
        <v>0</v>
      </c>
      <c r="N193" t="n">
        <v>0</v>
      </c>
      <c r="O193" t="n">
        <v>0</v>
      </c>
      <c r="P193" t="n">
        <v>0</v>
      </c>
      <c r="Q193" t="n">
        <v>0</v>
      </c>
      <c r="R193" s="2" t="inlineStr"/>
    </row>
    <row r="194" ht="15" customHeight="1">
      <c r="A194" t="inlineStr">
        <is>
          <t>A 21830-2019</t>
        </is>
      </c>
      <c r="B194" s="1" t="n">
        <v>43584</v>
      </c>
      <c r="C194" s="1" t="n">
        <v>45358</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21835-2019</t>
        </is>
      </c>
      <c r="B195" s="1" t="n">
        <v>43584</v>
      </c>
      <c r="C195" s="1" t="n">
        <v>45358</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22243-2019</t>
        </is>
      </c>
      <c r="B196" s="1" t="n">
        <v>43585</v>
      </c>
      <c r="C196" s="1" t="n">
        <v>45358</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23667-2019</t>
        </is>
      </c>
      <c r="B197" s="1" t="n">
        <v>43594</v>
      </c>
      <c r="C197" s="1" t="n">
        <v>45358</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24092-2019</t>
        </is>
      </c>
      <c r="B198" s="1" t="n">
        <v>43598</v>
      </c>
      <c r="C198" s="1" t="n">
        <v>45358</v>
      </c>
      <c r="D198" t="inlineStr">
        <is>
          <t>ÖREBRO LÄN</t>
        </is>
      </c>
      <c r="E198" t="inlineStr">
        <is>
          <t>ÖREBRO</t>
        </is>
      </c>
      <c r="G198" t="n">
        <v>3.9</v>
      </c>
      <c r="H198" t="n">
        <v>0</v>
      </c>
      <c r="I198" t="n">
        <v>0</v>
      </c>
      <c r="J198" t="n">
        <v>0</v>
      </c>
      <c r="K198" t="n">
        <v>0</v>
      </c>
      <c r="L198" t="n">
        <v>0</v>
      </c>
      <c r="M198" t="n">
        <v>0</v>
      </c>
      <c r="N198" t="n">
        <v>0</v>
      </c>
      <c r="O198" t="n">
        <v>0</v>
      </c>
      <c r="P198" t="n">
        <v>0</v>
      </c>
      <c r="Q198" t="n">
        <v>0</v>
      </c>
      <c r="R198" s="2" t="inlineStr"/>
    </row>
    <row r="199" ht="15" customHeight="1">
      <c r="A199" t="inlineStr">
        <is>
          <t>A 25186-2019</t>
        </is>
      </c>
      <c r="B199" s="1" t="n">
        <v>43605</v>
      </c>
      <c r="C199" s="1" t="n">
        <v>45358</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c r="U199">
        <f>HYPERLINK("https://klasma.github.io/Logging_1880/knärot/A 25186-2019 karta knärot.png", "A 25186-2019")</f>
        <v/>
      </c>
      <c r="V199">
        <f>HYPERLINK("https://klasma.github.io/Logging_1880/klagomål/A 25186-2019 FSC-klagomål.docx", "A 25186-2019")</f>
        <v/>
      </c>
      <c r="W199">
        <f>HYPERLINK("https://klasma.github.io/Logging_1880/klagomålsmail/A 25186-2019 FSC-klagomål mail.docx", "A 25186-2019")</f>
        <v/>
      </c>
      <c r="X199">
        <f>HYPERLINK("https://klasma.github.io/Logging_1880/tillsyn/A 25186-2019 tillsynsbegäran.docx", "A 25186-2019")</f>
        <v/>
      </c>
      <c r="Y199">
        <f>HYPERLINK("https://klasma.github.io/Logging_1880/tillsynsmail/A 25186-2019 tillsynsbegäran mail.docx", "A 25186-2019")</f>
        <v/>
      </c>
    </row>
    <row r="200" ht="15" customHeight="1">
      <c r="A200" t="inlineStr">
        <is>
          <t>A 26306-2019</t>
        </is>
      </c>
      <c r="B200" s="1" t="n">
        <v>43612</v>
      </c>
      <c r="C200" s="1" t="n">
        <v>45358</v>
      </c>
      <c r="D200" t="inlineStr">
        <is>
          <t>ÖREBRO LÄN</t>
        </is>
      </c>
      <c r="E200" t="inlineStr">
        <is>
          <t>ÖREBRO</t>
        </is>
      </c>
      <c r="G200" t="n">
        <v>3</v>
      </c>
      <c r="H200" t="n">
        <v>0</v>
      </c>
      <c r="I200" t="n">
        <v>0</v>
      </c>
      <c r="J200" t="n">
        <v>0</v>
      </c>
      <c r="K200" t="n">
        <v>0</v>
      </c>
      <c r="L200" t="n">
        <v>0</v>
      </c>
      <c r="M200" t="n">
        <v>0</v>
      </c>
      <c r="N200" t="n">
        <v>0</v>
      </c>
      <c r="O200" t="n">
        <v>0</v>
      </c>
      <c r="P200" t="n">
        <v>0</v>
      </c>
      <c r="Q200" t="n">
        <v>0</v>
      </c>
      <c r="R200" s="2" t="inlineStr"/>
    </row>
    <row r="201" ht="15" customHeight="1">
      <c r="A201" t="inlineStr">
        <is>
          <t>A 28925-2019</t>
        </is>
      </c>
      <c r="B201" s="1" t="n">
        <v>43619</v>
      </c>
      <c r="C201" s="1" t="n">
        <v>45358</v>
      </c>
      <c r="D201" t="inlineStr">
        <is>
          <t>ÖREBRO LÄN</t>
        </is>
      </c>
      <c r="E201" t="inlineStr">
        <is>
          <t>ÖREBRO</t>
        </is>
      </c>
      <c r="F201" t="inlineStr">
        <is>
          <t>Övriga Aktiebolag</t>
        </is>
      </c>
      <c r="G201" t="n">
        <v>17.9</v>
      </c>
      <c r="H201" t="n">
        <v>0</v>
      </c>
      <c r="I201" t="n">
        <v>0</v>
      </c>
      <c r="J201" t="n">
        <v>0</v>
      </c>
      <c r="K201" t="n">
        <v>0</v>
      </c>
      <c r="L201" t="n">
        <v>0</v>
      </c>
      <c r="M201" t="n">
        <v>0</v>
      </c>
      <c r="N201" t="n">
        <v>0</v>
      </c>
      <c r="O201" t="n">
        <v>0</v>
      </c>
      <c r="P201" t="n">
        <v>0</v>
      </c>
      <c r="Q201" t="n">
        <v>0</v>
      </c>
      <c r="R201" s="2" t="inlineStr"/>
    </row>
    <row r="202" ht="15" customHeight="1">
      <c r="A202" t="inlineStr">
        <is>
          <t>A 28660-2019</t>
        </is>
      </c>
      <c r="B202" s="1" t="n">
        <v>43627</v>
      </c>
      <c r="C202" s="1" t="n">
        <v>45358</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31300-2019</t>
        </is>
      </c>
      <c r="B203" s="1" t="n">
        <v>43641</v>
      </c>
      <c r="C203" s="1" t="n">
        <v>45358</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31982-2019</t>
        </is>
      </c>
      <c r="B204" s="1" t="n">
        <v>43642</v>
      </c>
      <c r="C204" s="1" t="n">
        <v>45358</v>
      </c>
      <c r="D204" t="inlineStr">
        <is>
          <t>ÖREBRO LÄN</t>
        </is>
      </c>
      <c r="E204" t="inlineStr">
        <is>
          <t>ÖREBRO</t>
        </is>
      </c>
      <c r="F204" t="inlineStr">
        <is>
          <t>Kommuner</t>
        </is>
      </c>
      <c r="G204" t="n">
        <v>2.7</v>
      </c>
      <c r="H204" t="n">
        <v>0</v>
      </c>
      <c r="I204" t="n">
        <v>0</v>
      </c>
      <c r="J204" t="n">
        <v>0</v>
      </c>
      <c r="K204" t="n">
        <v>0</v>
      </c>
      <c r="L204" t="n">
        <v>0</v>
      </c>
      <c r="M204" t="n">
        <v>0</v>
      </c>
      <c r="N204" t="n">
        <v>0</v>
      </c>
      <c r="O204" t="n">
        <v>0</v>
      </c>
      <c r="P204" t="n">
        <v>0</v>
      </c>
      <c r="Q204" t="n">
        <v>0</v>
      </c>
      <c r="R204" s="2" t="inlineStr"/>
    </row>
    <row r="205" ht="15" customHeight="1">
      <c r="A205" t="inlineStr">
        <is>
          <t>A 32410-2019</t>
        </is>
      </c>
      <c r="B205" s="1" t="n">
        <v>43644</v>
      </c>
      <c r="C205" s="1" t="n">
        <v>45358</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32701-2019</t>
        </is>
      </c>
      <c r="B206" s="1" t="n">
        <v>43647</v>
      </c>
      <c r="C206" s="1" t="n">
        <v>45358</v>
      </c>
      <c r="D206" t="inlineStr">
        <is>
          <t>ÖREBRO LÄN</t>
        </is>
      </c>
      <c r="E206" t="inlineStr">
        <is>
          <t>ÖREBRO</t>
        </is>
      </c>
      <c r="F206" t="inlineStr">
        <is>
          <t>Övriga Aktiebolag</t>
        </is>
      </c>
      <c r="G206" t="n">
        <v>6.4</v>
      </c>
      <c r="H206" t="n">
        <v>0</v>
      </c>
      <c r="I206" t="n">
        <v>0</v>
      </c>
      <c r="J206" t="n">
        <v>0</v>
      </c>
      <c r="K206" t="n">
        <v>0</v>
      </c>
      <c r="L206" t="n">
        <v>0</v>
      </c>
      <c r="M206" t="n">
        <v>0</v>
      </c>
      <c r="N206" t="n">
        <v>0</v>
      </c>
      <c r="O206" t="n">
        <v>0</v>
      </c>
      <c r="P206" t="n">
        <v>0</v>
      </c>
      <c r="Q206" t="n">
        <v>0</v>
      </c>
      <c r="R206" s="2" t="inlineStr"/>
    </row>
    <row r="207" ht="15" customHeight="1">
      <c r="A207" t="inlineStr">
        <is>
          <t>A 32861-2019</t>
        </is>
      </c>
      <c r="B207" s="1" t="n">
        <v>43648</v>
      </c>
      <c r="C207" s="1" t="n">
        <v>45358</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33314-2019</t>
        </is>
      </c>
      <c r="B208" s="1" t="n">
        <v>43650</v>
      </c>
      <c r="C208" s="1" t="n">
        <v>45358</v>
      </c>
      <c r="D208" t="inlineStr">
        <is>
          <t>ÖREBRO LÄN</t>
        </is>
      </c>
      <c r="E208" t="inlineStr">
        <is>
          <t>ÖREBRO</t>
        </is>
      </c>
      <c r="G208" t="n">
        <v>3.6</v>
      </c>
      <c r="H208" t="n">
        <v>0</v>
      </c>
      <c r="I208" t="n">
        <v>0</v>
      </c>
      <c r="J208" t="n">
        <v>0</v>
      </c>
      <c r="K208" t="n">
        <v>0</v>
      </c>
      <c r="L208" t="n">
        <v>0</v>
      </c>
      <c r="M208" t="n">
        <v>0</v>
      </c>
      <c r="N208" t="n">
        <v>0</v>
      </c>
      <c r="O208" t="n">
        <v>0</v>
      </c>
      <c r="P208" t="n">
        <v>0</v>
      </c>
      <c r="Q208" t="n">
        <v>0</v>
      </c>
      <c r="R208" s="2" t="inlineStr"/>
    </row>
    <row r="209" ht="15" customHeight="1">
      <c r="A209" t="inlineStr">
        <is>
          <t>A 35557-2019</t>
        </is>
      </c>
      <c r="B209" s="1" t="n">
        <v>43654</v>
      </c>
      <c r="C209" s="1" t="n">
        <v>45358</v>
      </c>
      <c r="D209" t="inlineStr">
        <is>
          <t>ÖREBRO LÄN</t>
        </is>
      </c>
      <c r="E209" t="inlineStr">
        <is>
          <t>ÖREBRO</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35625-2019</t>
        </is>
      </c>
      <c r="B210" s="1" t="n">
        <v>43655</v>
      </c>
      <c r="C210" s="1" t="n">
        <v>45358</v>
      </c>
      <c r="D210" t="inlineStr">
        <is>
          <t>ÖREBRO LÄN</t>
        </is>
      </c>
      <c r="E210" t="inlineStr">
        <is>
          <t>ÖREBRO</t>
        </is>
      </c>
      <c r="G210" t="n">
        <v>10.2</v>
      </c>
      <c r="H210" t="n">
        <v>0</v>
      </c>
      <c r="I210" t="n">
        <v>0</v>
      </c>
      <c r="J210" t="n">
        <v>0</v>
      </c>
      <c r="K210" t="n">
        <v>0</v>
      </c>
      <c r="L210" t="n">
        <v>0</v>
      </c>
      <c r="M210" t="n">
        <v>0</v>
      </c>
      <c r="N210" t="n">
        <v>0</v>
      </c>
      <c r="O210" t="n">
        <v>0</v>
      </c>
      <c r="P210" t="n">
        <v>0</v>
      </c>
      <c r="Q210" t="n">
        <v>0</v>
      </c>
      <c r="R210" s="2" t="inlineStr"/>
    </row>
    <row r="211" ht="15" customHeight="1">
      <c r="A211" t="inlineStr">
        <is>
          <t>A 35588-2019</t>
        </is>
      </c>
      <c r="B211" s="1" t="n">
        <v>43655</v>
      </c>
      <c r="C211" s="1" t="n">
        <v>45358</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34895-2019</t>
        </is>
      </c>
      <c r="B212" s="1" t="n">
        <v>43658</v>
      </c>
      <c r="C212" s="1" t="n">
        <v>45358</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34965-2019</t>
        </is>
      </c>
      <c r="B213" s="1" t="n">
        <v>43658</v>
      </c>
      <c r="C213" s="1" t="n">
        <v>45358</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35846-2019</t>
        </is>
      </c>
      <c r="B214" s="1" t="n">
        <v>43665</v>
      </c>
      <c r="C214" s="1" t="n">
        <v>45358</v>
      </c>
      <c r="D214" t="inlineStr">
        <is>
          <t>ÖREBRO LÄN</t>
        </is>
      </c>
      <c r="E214" t="inlineStr">
        <is>
          <t>ÖREBRO</t>
        </is>
      </c>
      <c r="G214" t="n">
        <v>5</v>
      </c>
      <c r="H214" t="n">
        <v>0</v>
      </c>
      <c r="I214" t="n">
        <v>0</v>
      </c>
      <c r="J214" t="n">
        <v>0</v>
      </c>
      <c r="K214" t="n">
        <v>0</v>
      </c>
      <c r="L214" t="n">
        <v>0</v>
      </c>
      <c r="M214" t="n">
        <v>0</v>
      </c>
      <c r="N214" t="n">
        <v>0</v>
      </c>
      <c r="O214" t="n">
        <v>0</v>
      </c>
      <c r="P214" t="n">
        <v>0</v>
      </c>
      <c r="Q214" t="n">
        <v>0</v>
      </c>
      <c r="R214" s="2" t="inlineStr"/>
    </row>
    <row r="215" ht="15" customHeight="1">
      <c r="A215" t="inlineStr">
        <is>
          <t>A 36124-2019</t>
        </is>
      </c>
      <c r="B215" s="1" t="n">
        <v>43665</v>
      </c>
      <c r="C215" s="1" t="n">
        <v>45358</v>
      </c>
      <c r="D215" t="inlineStr">
        <is>
          <t>ÖREBRO LÄN</t>
        </is>
      </c>
      <c r="E215" t="inlineStr">
        <is>
          <t>ÖREBRO</t>
        </is>
      </c>
      <c r="G215" t="n">
        <v>2.8</v>
      </c>
      <c r="H215" t="n">
        <v>0</v>
      </c>
      <c r="I215" t="n">
        <v>0</v>
      </c>
      <c r="J215" t="n">
        <v>0</v>
      </c>
      <c r="K215" t="n">
        <v>0</v>
      </c>
      <c r="L215" t="n">
        <v>0</v>
      </c>
      <c r="M215" t="n">
        <v>0</v>
      </c>
      <c r="N215" t="n">
        <v>0</v>
      </c>
      <c r="O215" t="n">
        <v>0</v>
      </c>
      <c r="P215" t="n">
        <v>0</v>
      </c>
      <c r="Q215" t="n">
        <v>0</v>
      </c>
      <c r="R215" s="2" t="inlineStr"/>
    </row>
    <row r="216" ht="15" customHeight="1">
      <c r="A216" t="inlineStr">
        <is>
          <t>A 36282-2019</t>
        </is>
      </c>
      <c r="B216" s="1" t="n">
        <v>43669</v>
      </c>
      <c r="C216" s="1" t="n">
        <v>45358</v>
      </c>
      <c r="D216" t="inlineStr">
        <is>
          <t>ÖREBRO LÄN</t>
        </is>
      </c>
      <c r="E216" t="inlineStr">
        <is>
          <t>ÖREBRO</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36283-2019</t>
        </is>
      </c>
      <c r="B217" s="1" t="n">
        <v>43669</v>
      </c>
      <c r="C217" s="1" t="n">
        <v>45358</v>
      </c>
      <c r="D217" t="inlineStr">
        <is>
          <t>ÖREBRO LÄN</t>
        </is>
      </c>
      <c r="E217" t="inlineStr">
        <is>
          <t>ÖREBRO</t>
        </is>
      </c>
      <c r="G217" t="n">
        <v>3.2</v>
      </c>
      <c r="H217" t="n">
        <v>0</v>
      </c>
      <c r="I217" t="n">
        <v>0</v>
      </c>
      <c r="J217" t="n">
        <v>0</v>
      </c>
      <c r="K217" t="n">
        <v>0</v>
      </c>
      <c r="L217" t="n">
        <v>0</v>
      </c>
      <c r="M217" t="n">
        <v>0</v>
      </c>
      <c r="N217" t="n">
        <v>0</v>
      </c>
      <c r="O217" t="n">
        <v>0</v>
      </c>
      <c r="P217" t="n">
        <v>0</v>
      </c>
      <c r="Q217" t="n">
        <v>0</v>
      </c>
      <c r="R217" s="2" t="inlineStr"/>
    </row>
    <row r="218" ht="15" customHeight="1">
      <c r="A218" t="inlineStr">
        <is>
          <t>A 36284-2019</t>
        </is>
      </c>
      <c r="B218" s="1" t="n">
        <v>43669</v>
      </c>
      <c r="C218" s="1" t="n">
        <v>45358</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36990-2019</t>
        </is>
      </c>
      <c r="B219" s="1" t="n">
        <v>43676</v>
      </c>
      <c r="C219" s="1" t="n">
        <v>45358</v>
      </c>
      <c r="D219" t="inlineStr">
        <is>
          <t>ÖREBRO LÄN</t>
        </is>
      </c>
      <c r="E219" t="inlineStr">
        <is>
          <t>ÖREBRO</t>
        </is>
      </c>
      <c r="G219" t="n">
        <v>5.1</v>
      </c>
      <c r="H219" t="n">
        <v>0</v>
      </c>
      <c r="I219" t="n">
        <v>0</v>
      </c>
      <c r="J219" t="n">
        <v>0</v>
      </c>
      <c r="K219" t="n">
        <v>0</v>
      </c>
      <c r="L219" t="n">
        <v>0</v>
      </c>
      <c r="M219" t="n">
        <v>0</v>
      </c>
      <c r="N219" t="n">
        <v>0</v>
      </c>
      <c r="O219" t="n">
        <v>0</v>
      </c>
      <c r="P219" t="n">
        <v>0</v>
      </c>
      <c r="Q219" t="n">
        <v>0</v>
      </c>
      <c r="R219" s="2" t="inlineStr"/>
    </row>
    <row r="220" ht="15" customHeight="1">
      <c r="A220" t="inlineStr">
        <is>
          <t>A 37254-2019</t>
        </is>
      </c>
      <c r="B220" s="1" t="n">
        <v>43677</v>
      </c>
      <c r="C220" s="1" t="n">
        <v>45358</v>
      </c>
      <c r="D220" t="inlineStr">
        <is>
          <t>ÖREBRO LÄN</t>
        </is>
      </c>
      <c r="E220" t="inlineStr">
        <is>
          <t>ÖREBRO</t>
        </is>
      </c>
      <c r="G220" t="n">
        <v>10.3</v>
      </c>
      <c r="H220" t="n">
        <v>0</v>
      </c>
      <c r="I220" t="n">
        <v>0</v>
      </c>
      <c r="J220" t="n">
        <v>0</v>
      </c>
      <c r="K220" t="n">
        <v>0</v>
      </c>
      <c r="L220" t="n">
        <v>0</v>
      </c>
      <c r="M220" t="n">
        <v>0</v>
      </c>
      <c r="N220" t="n">
        <v>0</v>
      </c>
      <c r="O220" t="n">
        <v>0</v>
      </c>
      <c r="P220" t="n">
        <v>0</v>
      </c>
      <c r="Q220" t="n">
        <v>0</v>
      </c>
      <c r="R220" s="2" t="inlineStr"/>
    </row>
    <row r="221" ht="15" customHeight="1">
      <c r="A221" t="inlineStr">
        <is>
          <t>A 37258-2019</t>
        </is>
      </c>
      <c r="B221" s="1" t="n">
        <v>43677</v>
      </c>
      <c r="C221" s="1" t="n">
        <v>45358</v>
      </c>
      <c r="D221" t="inlineStr">
        <is>
          <t>ÖREBRO LÄN</t>
        </is>
      </c>
      <c r="E221" t="inlineStr">
        <is>
          <t>ÖREBRO</t>
        </is>
      </c>
      <c r="G221" t="n">
        <v>1.6</v>
      </c>
      <c r="H221" t="n">
        <v>0</v>
      </c>
      <c r="I221" t="n">
        <v>0</v>
      </c>
      <c r="J221" t="n">
        <v>0</v>
      </c>
      <c r="K221" t="n">
        <v>0</v>
      </c>
      <c r="L221" t="n">
        <v>0</v>
      </c>
      <c r="M221" t="n">
        <v>0</v>
      </c>
      <c r="N221" t="n">
        <v>0</v>
      </c>
      <c r="O221" t="n">
        <v>0</v>
      </c>
      <c r="P221" t="n">
        <v>0</v>
      </c>
      <c r="Q221" t="n">
        <v>0</v>
      </c>
      <c r="R221" s="2" t="inlineStr"/>
    </row>
    <row r="222" ht="15" customHeight="1">
      <c r="A222" t="inlineStr">
        <is>
          <t>A 37278-2019</t>
        </is>
      </c>
      <c r="B222" s="1" t="n">
        <v>43677</v>
      </c>
      <c r="C222" s="1" t="n">
        <v>45358</v>
      </c>
      <c r="D222" t="inlineStr">
        <is>
          <t>ÖREBRO LÄN</t>
        </is>
      </c>
      <c r="E222" t="inlineStr">
        <is>
          <t>ÖREBRO</t>
        </is>
      </c>
      <c r="G222" t="n">
        <v>7.9</v>
      </c>
      <c r="H222" t="n">
        <v>0</v>
      </c>
      <c r="I222" t="n">
        <v>0</v>
      </c>
      <c r="J222" t="n">
        <v>0</v>
      </c>
      <c r="K222" t="n">
        <v>0</v>
      </c>
      <c r="L222" t="n">
        <v>0</v>
      </c>
      <c r="M222" t="n">
        <v>0</v>
      </c>
      <c r="N222" t="n">
        <v>0</v>
      </c>
      <c r="O222" t="n">
        <v>0</v>
      </c>
      <c r="P222" t="n">
        <v>0</v>
      </c>
      <c r="Q222" t="n">
        <v>0</v>
      </c>
      <c r="R222" s="2" t="inlineStr"/>
    </row>
    <row r="223" ht="15" customHeight="1">
      <c r="A223" t="inlineStr">
        <is>
          <t>A 37930-2019</t>
        </is>
      </c>
      <c r="B223" s="1" t="n">
        <v>43683</v>
      </c>
      <c r="C223" s="1" t="n">
        <v>45358</v>
      </c>
      <c r="D223" t="inlineStr">
        <is>
          <t>ÖREBRO LÄN</t>
        </is>
      </c>
      <c r="E223" t="inlineStr">
        <is>
          <t>ÖREBRO</t>
        </is>
      </c>
      <c r="G223" t="n">
        <v>4.8</v>
      </c>
      <c r="H223" t="n">
        <v>0</v>
      </c>
      <c r="I223" t="n">
        <v>0</v>
      </c>
      <c r="J223" t="n">
        <v>0</v>
      </c>
      <c r="K223" t="n">
        <v>0</v>
      </c>
      <c r="L223" t="n">
        <v>0</v>
      </c>
      <c r="M223" t="n">
        <v>0</v>
      </c>
      <c r="N223" t="n">
        <v>0</v>
      </c>
      <c r="O223" t="n">
        <v>0</v>
      </c>
      <c r="P223" t="n">
        <v>0</v>
      </c>
      <c r="Q223" t="n">
        <v>0</v>
      </c>
      <c r="R223" s="2" t="inlineStr"/>
    </row>
    <row r="224" ht="15" customHeight="1">
      <c r="A224" t="inlineStr">
        <is>
          <t>A 38372-2019</t>
        </is>
      </c>
      <c r="B224" s="1" t="n">
        <v>43683</v>
      </c>
      <c r="C224" s="1" t="n">
        <v>45358</v>
      </c>
      <c r="D224" t="inlineStr">
        <is>
          <t>ÖREBRO LÄN</t>
        </is>
      </c>
      <c r="E224" t="inlineStr">
        <is>
          <t>ÖREBRO</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38389-2019</t>
        </is>
      </c>
      <c r="B225" s="1" t="n">
        <v>43685</v>
      </c>
      <c r="C225" s="1" t="n">
        <v>45358</v>
      </c>
      <c r="D225" t="inlineStr">
        <is>
          <t>ÖREBRO LÄN</t>
        </is>
      </c>
      <c r="E225" t="inlineStr">
        <is>
          <t>ÖREBRO</t>
        </is>
      </c>
      <c r="G225" t="n">
        <v>3.7</v>
      </c>
      <c r="H225" t="n">
        <v>0</v>
      </c>
      <c r="I225" t="n">
        <v>0</v>
      </c>
      <c r="J225" t="n">
        <v>0</v>
      </c>
      <c r="K225" t="n">
        <v>0</v>
      </c>
      <c r="L225" t="n">
        <v>0</v>
      </c>
      <c r="M225" t="n">
        <v>0</v>
      </c>
      <c r="N225" t="n">
        <v>0</v>
      </c>
      <c r="O225" t="n">
        <v>0</v>
      </c>
      <c r="P225" t="n">
        <v>0</v>
      </c>
      <c r="Q225" t="n">
        <v>0</v>
      </c>
      <c r="R225" s="2" t="inlineStr"/>
    </row>
    <row r="226" ht="15" customHeight="1">
      <c r="A226" t="inlineStr">
        <is>
          <t>A 38885-2019</t>
        </is>
      </c>
      <c r="B226" s="1" t="n">
        <v>43686</v>
      </c>
      <c r="C226" s="1" t="n">
        <v>45358</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38923-2019</t>
        </is>
      </c>
      <c r="B227" s="1" t="n">
        <v>43689</v>
      </c>
      <c r="C227" s="1" t="n">
        <v>45358</v>
      </c>
      <c r="D227" t="inlineStr">
        <is>
          <t>ÖREBRO LÄN</t>
        </is>
      </c>
      <c r="E227" t="inlineStr">
        <is>
          <t>ÖREBRO</t>
        </is>
      </c>
      <c r="G227" t="n">
        <v>0.6</v>
      </c>
      <c r="H227" t="n">
        <v>0</v>
      </c>
      <c r="I227" t="n">
        <v>0</v>
      </c>
      <c r="J227" t="n">
        <v>0</v>
      </c>
      <c r="K227" t="n">
        <v>0</v>
      </c>
      <c r="L227" t="n">
        <v>0</v>
      </c>
      <c r="M227" t="n">
        <v>0</v>
      </c>
      <c r="N227" t="n">
        <v>0</v>
      </c>
      <c r="O227" t="n">
        <v>0</v>
      </c>
      <c r="P227" t="n">
        <v>0</v>
      </c>
      <c r="Q227" t="n">
        <v>0</v>
      </c>
      <c r="R227" s="2" t="inlineStr"/>
    </row>
    <row r="228" ht="15" customHeight="1">
      <c r="A228" t="inlineStr">
        <is>
          <t>A 38846-2019</t>
        </is>
      </c>
      <c r="B228" s="1" t="n">
        <v>43689</v>
      </c>
      <c r="C228" s="1" t="n">
        <v>45358</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39303-2019</t>
        </is>
      </c>
      <c r="B229" s="1" t="n">
        <v>43690</v>
      </c>
      <c r="C229" s="1" t="n">
        <v>45358</v>
      </c>
      <c r="D229" t="inlineStr">
        <is>
          <t>ÖREBRO LÄN</t>
        </is>
      </c>
      <c r="E229" t="inlineStr">
        <is>
          <t>ÖREBRO</t>
        </is>
      </c>
      <c r="G229" t="n">
        <v>1.9</v>
      </c>
      <c r="H229" t="n">
        <v>0</v>
      </c>
      <c r="I229" t="n">
        <v>0</v>
      </c>
      <c r="J229" t="n">
        <v>0</v>
      </c>
      <c r="K229" t="n">
        <v>0</v>
      </c>
      <c r="L229" t="n">
        <v>0</v>
      </c>
      <c r="M229" t="n">
        <v>0</v>
      </c>
      <c r="N229" t="n">
        <v>0</v>
      </c>
      <c r="O229" t="n">
        <v>0</v>
      </c>
      <c r="P229" t="n">
        <v>0</v>
      </c>
      <c r="Q229" t="n">
        <v>0</v>
      </c>
      <c r="R229" s="2" t="inlineStr"/>
    </row>
    <row r="230" ht="15" customHeight="1">
      <c r="A230" t="inlineStr">
        <is>
          <t>A 39576-2019</t>
        </is>
      </c>
      <c r="B230" s="1" t="n">
        <v>43691</v>
      </c>
      <c r="C230" s="1" t="n">
        <v>45358</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39714-2019</t>
        </is>
      </c>
      <c r="B231" s="1" t="n">
        <v>43691</v>
      </c>
      <c r="C231" s="1" t="n">
        <v>45358</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40694-2019</t>
        </is>
      </c>
      <c r="B232" s="1" t="n">
        <v>43691</v>
      </c>
      <c r="C232" s="1" t="n">
        <v>45358</v>
      </c>
      <c r="D232" t="inlineStr">
        <is>
          <t>ÖREBRO LÄN</t>
        </is>
      </c>
      <c r="E232" t="inlineStr">
        <is>
          <t>ÖREBRO</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40556-2019</t>
        </is>
      </c>
      <c r="B233" s="1" t="n">
        <v>43691</v>
      </c>
      <c r="C233" s="1" t="n">
        <v>45358</v>
      </c>
      <c r="D233" t="inlineStr">
        <is>
          <t>ÖREBRO LÄN</t>
        </is>
      </c>
      <c r="E233" t="inlineStr">
        <is>
          <t>ÖREBRO</t>
        </is>
      </c>
      <c r="G233" t="n">
        <v>6.5</v>
      </c>
      <c r="H233" t="n">
        <v>0</v>
      </c>
      <c r="I233" t="n">
        <v>0</v>
      </c>
      <c r="J233" t="n">
        <v>0</v>
      </c>
      <c r="K233" t="n">
        <v>0</v>
      </c>
      <c r="L233" t="n">
        <v>0</v>
      </c>
      <c r="M233" t="n">
        <v>0</v>
      </c>
      <c r="N233" t="n">
        <v>0</v>
      </c>
      <c r="O233" t="n">
        <v>0</v>
      </c>
      <c r="P233" t="n">
        <v>0</v>
      </c>
      <c r="Q233" t="n">
        <v>0</v>
      </c>
      <c r="R233" s="2" t="inlineStr"/>
    </row>
    <row r="234" ht="15" customHeight="1">
      <c r="A234" t="inlineStr">
        <is>
          <t>A 41063-2019</t>
        </is>
      </c>
      <c r="B234" s="1" t="n">
        <v>43698</v>
      </c>
      <c r="C234" s="1" t="n">
        <v>45358</v>
      </c>
      <c r="D234" t="inlineStr">
        <is>
          <t>ÖREBRO LÄN</t>
        </is>
      </c>
      <c r="E234" t="inlineStr">
        <is>
          <t>ÖREBRO</t>
        </is>
      </c>
      <c r="G234" t="n">
        <v>2.9</v>
      </c>
      <c r="H234" t="n">
        <v>0</v>
      </c>
      <c r="I234" t="n">
        <v>0</v>
      </c>
      <c r="J234" t="n">
        <v>0</v>
      </c>
      <c r="K234" t="n">
        <v>0</v>
      </c>
      <c r="L234" t="n">
        <v>0</v>
      </c>
      <c r="M234" t="n">
        <v>0</v>
      </c>
      <c r="N234" t="n">
        <v>0</v>
      </c>
      <c r="O234" t="n">
        <v>0</v>
      </c>
      <c r="P234" t="n">
        <v>0</v>
      </c>
      <c r="Q234" t="n">
        <v>0</v>
      </c>
      <c r="R234" s="2" t="inlineStr"/>
    </row>
    <row r="235" ht="15" customHeight="1">
      <c r="A235" t="inlineStr">
        <is>
          <t>A 44039-2019</t>
        </is>
      </c>
      <c r="B235" s="1" t="n">
        <v>43704</v>
      </c>
      <c r="C235" s="1" t="n">
        <v>45358</v>
      </c>
      <c r="D235" t="inlineStr">
        <is>
          <t>ÖREBRO LÄN</t>
        </is>
      </c>
      <c r="E235" t="inlineStr">
        <is>
          <t>ÖREBRO</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43692-2019</t>
        </is>
      </c>
      <c r="B236" s="1" t="n">
        <v>43704</v>
      </c>
      <c r="C236" s="1" t="n">
        <v>45358</v>
      </c>
      <c r="D236" t="inlineStr">
        <is>
          <t>ÖREBRO LÄN</t>
        </is>
      </c>
      <c r="E236" t="inlineStr">
        <is>
          <t>ÖREBRO</t>
        </is>
      </c>
      <c r="G236" t="n">
        <v>0.9</v>
      </c>
      <c r="H236" t="n">
        <v>0</v>
      </c>
      <c r="I236" t="n">
        <v>0</v>
      </c>
      <c r="J236" t="n">
        <v>0</v>
      </c>
      <c r="K236" t="n">
        <v>0</v>
      </c>
      <c r="L236" t="n">
        <v>0</v>
      </c>
      <c r="M236" t="n">
        <v>0</v>
      </c>
      <c r="N236" t="n">
        <v>0</v>
      </c>
      <c r="O236" t="n">
        <v>0</v>
      </c>
      <c r="P236" t="n">
        <v>0</v>
      </c>
      <c r="Q236" t="n">
        <v>0</v>
      </c>
      <c r="R236" s="2" t="inlineStr"/>
    </row>
    <row r="237" ht="15" customHeight="1">
      <c r="A237" t="inlineStr">
        <is>
          <t>A 44034-2019</t>
        </is>
      </c>
      <c r="B237" s="1" t="n">
        <v>43704</v>
      </c>
      <c r="C237" s="1" t="n">
        <v>45358</v>
      </c>
      <c r="D237" t="inlineStr">
        <is>
          <t>ÖREBRO LÄN</t>
        </is>
      </c>
      <c r="E237" t="inlineStr">
        <is>
          <t>ÖREBRO</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44152-2019</t>
        </is>
      </c>
      <c r="B238" s="1" t="n">
        <v>43704</v>
      </c>
      <c r="C238" s="1" t="n">
        <v>45358</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43632-2019</t>
        </is>
      </c>
      <c r="B239" s="1" t="n">
        <v>43704</v>
      </c>
      <c r="C239" s="1" t="n">
        <v>45358</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43007-2019</t>
        </is>
      </c>
      <c r="B240" s="1" t="n">
        <v>43705</v>
      </c>
      <c r="C240" s="1" t="n">
        <v>45358</v>
      </c>
      <c r="D240" t="inlineStr">
        <is>
          <t>ÖREBRO LÄN</t>
        </is>
      </c>
      <c r="E240" t="inlineStr">
        <is>
          <t>ÖREBRO</t>
        </is>
      </c>
      <c r="G240" t="n">
        <v>7.5</v>
      </c>
      <c r="H240" t="n">
        <v>0</v>
      </c>
      <c r="I240" t="n">
        <v>0</v>
      </c>
      <c r="J240" t="n">
        <v>0</v>
      </c>
      <c r="K240" t="n">
        <v>0</v>
      </c>
      <c r="L240" t="n">
        <v>0</v>
      </c>
      <c r="M240" t="n">
        <v>0</v>
      </c>
      <c r="N240" t="n">
        <v>0</v>
      </c>
      <c r="O240" t="n">
        <v>0</v>
      </c>
      <c r="P240" t="n">
        <v>0</v>
      </c>
      <c r="Q240" t="n">
        <v>0</v>
      </c>
      <c r="R240" s="2" t="inlineStr"/>
    </row>
    <row r="241" ht="15" customHeight="1">
      <c r="A241" t="inlineStr">
        <is>
          <t>A 44153-2019</t>
        </is>
      </c>
      <c r="B241" s="1" t="n">
        <v>43710</v>
      </c>
      <c r="C241" s="1" t="n">
        <v>45358</v>
      </c>
      <c r="D241" t="inlineStr">
        <is>
          <t>ÖREBRO LÄN</t>
        </is>
      </c>
      <c r="E241" t="inlineStr">
        <is>
          <t>ÖREBRO</t>
        </is>
      </c>
      <c r="G241" t="n">
        <v>5.5</v>
      </c>
      <c r="H241" t="n">
        <v>0</v>
      </c>
      <c r="I241" t="n">
        <v>0</v>
      </c>
      <c r="J241" t="n">
        <v>0</v>
      </c>
      <c r="K241" t="n">
        <v>0</v>
      </c>
      <c r="L241" t="n">
        <v>0</v>
      </c>
      <c r="M241" t="n">
        <v>0</v>
      </c>
      <c r="N241" t="n">
        <v>0</v>
      </c>
      <c r="O241" t="n">
        <v>0</v>
      </c>
      <c r="P241" t="n">
        <v>0</v>
      </c>
      <c r="Q241" t="n">
        <v>0</v>
      </c>
      <c r="R241" s="2" t="inlineStr"/>
    </row>
    <row r="242" ht="15" customHeight="1">
      <c r="A242" t="inlineStr">
        <is>
          <t>A 44280-2019</t>
        </is>
      </c>
      <c r="B242" s="1" t="n">
        <v>43710</v>
      </c>
      <c r="C242" s="1" t="n">
        <v>45358</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44277-2019</t>
        </is>
      </c>
      <c r="B243" s="1" t="n">
        <v>43710</v>
      </c>
      <c r="C243" s="1" t="n">
        <v>45358</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45309-2019</t>
        </is>
      </c>
      <c r="B244" s="1" t="n">
        <v>43710</v>
      </c>
      <c r="C244" s="1" t="n">
        <v>45358</v>
      </c>
      <c r="D244" t="inlineStr">
        <is>
          <t>ÖREBRO LÄN</t>
        </is>
      </c>
      <c r="E244" t="inlineStr">
        <is>
          <t>ÖREBRO</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44278-2019</t>
        </is>
      </c>
      <c r="B245" s="1" t="n">
        <v>43710</v>
      </c>
      <c r="C245" s="1" t="n">
        <v>45358</v>
      </c>
      <c r="D245" t="inlineStr">
        <is>
          <t>ÖREBRO LÄN</t>
        </is>
      </c>
      <c r="E245" t="inlineStr">
        <is>
          <t>ÖREBRO</t>
        </is>
      </c>
      <c r="G245" t="n">
        <v>3.6</v>
      </c>
      <c r="H245" t="n">
        <v>0</v>
      </c>
      <c r="I245" t="n">
        <v>0</v>
      </c>
      <c r="J245" t="n">
        <v>0</v>
      </c>
      <c r="K245" t="n">
        <v>0</v>
      </c>
      <c r="L245" t="n">
        <v>0</v>
      </c>
      <c r="M245" t="n">
        <v>0</v>
      </c>
      <c r="N245" t="n">
        <v>0</v>
      </c>
      <c r="O245" t="n">
        <v>0</v>
      </c>
      <c r="P245" t="n">
        <v>0</v>
      </c>
      <c r="Q245" t="n">
        <v>0</v>
      </c>
      <c r="R245" s="2" t="inlineStr"/>
    </row>
    <row r="246" ht="15" customHeight="1">
      <c r="A246" t="inlineStr">
        <is>
          <t>A 45311-2019</t>
        </is>
      </c>
      <c r="B246" s="1" t="n">
        <v>43710</v>
      </c>
      <c r="C246" s="1" t="n">
        <v>45358</v>
      </c>
      <c r="D246" t="inlineStr">
        <is>
          <t>ÖREBRO LÄN</t>
        </is>
      </c>
      <c r="E246" t="inlineStr">
        <is>
          <t>ÖREBRO</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44948-2019</t>
        </is>
      </c>
      <c r="B247" s="1" t="n">
        <v>43713</v>
      </c>
      <c r="C247" s="1" t="n">
        <v>45358</v>
      </c>
      <c r="D247" t="inlineStr">
        <is>
          <t>ÖREBRO LÄN</t>
        </is>
      </c>
      <c r="E247" t="inlineStr">
        <is>
          <t>ÖREBRO</t>
        </is>
      </c>
      <c r="G247" t="n">
        <v>3.4</v>
      </c>
      <c r="H247" t="n">
        <v>0</v>
      </c>
      <c r="I247" t="n">
        <v>0</v>
      </c>
      <c r="J247" t="n">
        <v>0</v>
      </c>
      <c r="K247" t="n">
        <v>0</v>
      </c>
      <c r="L247" t="n">
        <v>0</v>
      </c>
      <c r="M247" t="n">
        <v>0</v>
      </c>
      <c r="N247" t="n">
        <v>0</v>
      </c>
      <c r="O247" t="n">
        <v>0</v>
      </c>
      <c r="P247" t="n">
        <v>0</v>
      </c>
      <c r="Q247" t="n">
        <v>0</v>
      </c>
      <c r="R247" s="2" t="inlineStr"/>
    </row>
    <row r="248" ht="15" customHeight="1">
      <c r="A248" t="inlineStr">
        <is>
          <t>A 45418-2019</t>
        </is>
      </c>
      <c r="B248" s="1" t="n">
        <v>43714</v>
      </c>
      <c r="C248" s="1" t="n">
        <v>45358</v>
      </c>
      <c r="D248" t="inlineStr">
        <is>
          <t>ÖREBRO LÄN</t>
        </is>
      </c>
      <c r="E248" t="inlineStr">
        <is>
          <t>ÖREBRO</t>
        </is>
      </c>
      <c r="G248" t="n">
        <v>9</v>
      </c>
      <c r="H248" t="n">
        <v>0</v>
      </c>
      <c r="I248" t="n">
        <v>0</v>
      </c>
      <c r="J248" t="n">
        <v>0</v>
      </c>
      <c r="K248" t="n">
        <v>0</v>
      </c>
      <c r="L248" t="n">
        <v>0</v>
      </c>
      <c r="M248" t="n">
        <v>0</v>
      </c>
      <c r="N248" t="n">
        <v>0</v>
      </c>
      <c r="O248" t="n">
        <v>0</v>
      </c>
      <c r="P248" t="n">
        <v>0</v>
      </c>
      <c r="Q248" t="n">
        <v>0</v>
      </c>
      <c r="R248" s="2" t="inlineStr"/>
    </row>
    <row r="249" ht="15" customHeight="1">
      <c r="A249" t="inlineStr">
        <is>
          <t>A 45420-2019</t>
        </is>
      </c>
      <c r="B249" s="1" t="n">
        <v>43714</v>
      </c>
      <c r="C249" s="1" t="n">
        <v>45358</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45686-2019</t>
        </is>
      </c>
      <c r="B250" s="1" t="n">
        <v>43714</v>
      </c>
      <c r="C250" s="1" t="n">
        <v>45358</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46552-2019</t>
        </is>
      </c>
      <c r="B251" s="1" t="n">
        <v>43719</v>
      </c>
      <c r="C251" s="1" t="n">
        <v>45358</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46900-2019</t>
        </is>
      </c>
      <c r="B252" s="1" t="n">
        <v>43719</v>
      </c>
      <c r="C252" s="1" t="n">
        <v>45358</v>
      </c>
      <c r="D252" t="inlineStr">
        <is>
          <t>ÖREBRO LÄN</t>
        </is>
      </c>
      <c r="E252" t="inlineStr">
        <is>
          <t>ÖREBRO</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48989-2019</t>
        </is>
      </c>
      <c r="B253" s="1" t="n">
        <v>43729</v>
      </c>
      <c r="C253" s="1" t="n">
        <v>45358</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45358</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45358</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45358</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45358</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45358</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45358</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45358</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45358</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45358</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45358</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45358</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45358</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45358</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45358</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45358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45358</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45358</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45358</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45358</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45358</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45358</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45358</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45358</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45358</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45358</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45358</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45358</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45358</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45358</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45358</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45358</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45358</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45358</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45358</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45358</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45358</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45358</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45358</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45358</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45358</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45358</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45358</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45358</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45358</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45358</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45358</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45358</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45358</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45358</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45358</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45358</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45358</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45358</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45358</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45358</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45358</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45358</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45358</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45358</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45358</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45358</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45358</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45358</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45358</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45358</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45358</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45358</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45358</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45358</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45358</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45358</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45358</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45358</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45358</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45358</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45358</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45358</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45358</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45358</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45358</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45358</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45358</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45358</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45358</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45358</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45358</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45358</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45358</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45358</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45358</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45358</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45358</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45358</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45358</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45358</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45358</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45358</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45358</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45358</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45358</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45358</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45358</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45358</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45358</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45358</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45358</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45358</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45358</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45358</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45358</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45358</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45358</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45358</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45358</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45358</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45358</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45358</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45358</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45358</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45358</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45358</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45358</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45358</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45358</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45358</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45358</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45358</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45358</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45358</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45358</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45358</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45358</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45358</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45358</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45358</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45358</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45358</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45358</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45358</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45358</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45358</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45358</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45358</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45358</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45358</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45358</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45358</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45358</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45358</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45358</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45358</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45358</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45358</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45358</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45358</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45358</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45358</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45358</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45358</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45358</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45358</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45358</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45358</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45358</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45358</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45358</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45358</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45358</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45358</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45358</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45358</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45358</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45358</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45358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45358</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45358</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45358</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45358</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45358</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45358</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45358</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45358</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45358</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45358</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45358</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45358</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45358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45358</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45358</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45358</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45358</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45358</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45358</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45358</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45358</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45358</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45358</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45358</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45358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45358</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45358</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45358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45358</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45358</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45358</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45358</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45358</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45358</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45358</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45358</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45358</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45358</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45358</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45358</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45358</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45358</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45358</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45358</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45358</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45358</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45358</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45358</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45358</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45358</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45358</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45358</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45358</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45358</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45358</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45358</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45358</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45358</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45358</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45358</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45358</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45358</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45358</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45358</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45358</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45358</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45358</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45358</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45358</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45358</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45358</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45358</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45358</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45358</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45358</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45358</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45358</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45358</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45358</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45358</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45358</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45358</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45358</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45358</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45358</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45358</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45358</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45358</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45358</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45358</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45358</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45358</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45358</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45358</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45358</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45358</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45358</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45358</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45358</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45358</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45358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45358</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45358</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45358</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45358</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45358</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45358</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45358</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45358</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45358</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45358</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45358</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45358</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45358</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45358</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45358</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45358</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45358</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45358</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45358</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45358</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45358</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45358</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45358</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45358</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45358</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45358</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45358</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45358</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45358</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45358</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45358</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45358</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45358</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45358</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45358</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45358</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45358</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45358</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45358</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45358</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45358</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45358</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45358</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45358</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45358</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45358</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45358</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45358</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45358</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45358</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45358</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45358</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45358</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45358</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45358</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45358</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45358</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45358</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45358</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45358</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45358</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45358</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45358</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45358</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45358</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45358</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45358</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45358</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45358</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45358</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45358</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45358</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45358</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45358</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45358</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45358</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45358</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45358</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45358</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45358</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45358</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45358</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45358</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45358</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45358</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45358</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45358</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45358</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45358</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45358</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45358</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45358</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45358</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45358</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45358</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45358</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45358</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45358</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45358</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45358</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45358</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45358</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45358</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45358</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45358</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45358</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45358</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45358</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45358</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45358</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45358</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45358</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45358</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45358</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45358</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45358</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45358</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45358</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45358</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45358</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45358</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45358</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45358</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45358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45358</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45358</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45358</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45358</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45358</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45358</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45358</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45358</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45358</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45358</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45358</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45358</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45358</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45358</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45358</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45358</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45358</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45358</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45358</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45358</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45358</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45358</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45358</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45358</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45358</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45358</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45358</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45358</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45358</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45358</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45358</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45358</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45358</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45358</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45358</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45358</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45358</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45358</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45358</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45358</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45358</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45358</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45358</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45358</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45358</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45358</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45358</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45358</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45358</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45358</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45358</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45358</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45358</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45358</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45358</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45358</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45358</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45358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45358</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45358</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45358</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45358</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45358</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45358</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45358</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45358</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45358</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45358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45358</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45358</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45358</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45358</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45358</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45358</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45358</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45358</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45358</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45358</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45358</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45358</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45358</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45358</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45358</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45358</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45358</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45358</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45358</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45358</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45358</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45358</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45358</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45358</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45358</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45358</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45358</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45358</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45358</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45358</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45358</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45358</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45358</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45358</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45358</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45358</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45358</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45358</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45358</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45358</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45358</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45358</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45358</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45358</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45358</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45358</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45358</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45358</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45358</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45358</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45358</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45358</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45358</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45358</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45358</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45358</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45358</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45358</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45358</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45358</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45358</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45358</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45358</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45358</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45358</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45358</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45358</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45358</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45358</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45358</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45358</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45358</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45358</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45358</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45358</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45358</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45358</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45358</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45358</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45358</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45358</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45358</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45358</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45358</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45358</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45358</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45358</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45358</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45358</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45358</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45358</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45358</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45358</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45358</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45358</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45358</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45358</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45358</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45358</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45358</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45358</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45358</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45358</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45358</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45358</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45358</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45358</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45358</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45358</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45358</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45358</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45358</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45358</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45358</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45358</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45358</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45358</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45358</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45358</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45358</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45358</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45358</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45358</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45358</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45358</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45358</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45358</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45358</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45358</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45358</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45358</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45358</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45358</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45358</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45358</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45358</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45358</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45358</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45358</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45358</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45358</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45358</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45358</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45358</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45358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45358</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45358</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45358</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45358</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45358</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45358</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45358</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45358</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45358</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45358</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45358</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45358</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45358</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45358</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45358</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45358</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45358</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45358</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45358</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45358</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45358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45358</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45358</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45358</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45358</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45358</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45358</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45358</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45358</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45358</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45358</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45358</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45358</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45358</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45358</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45358</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45358</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45358</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45358</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45358</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45358</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45358</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45358</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45358</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45358</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45358</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45358</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45358</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45358</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45358</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45358</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45358</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45358</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45358</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45358</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45358</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45358</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45358</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45358</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45358</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45358</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45358</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45358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45358</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45358</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45358</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45358</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45358</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45358</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45358</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45358</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45358</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45358</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45358</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45358</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45358</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45358</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45358</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45358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45358</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45358</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45358</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45358</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45358</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45358</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45358</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45358</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45358</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45358</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45358</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45358</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45358</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45358</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45358</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45358</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45358</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45358</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45358</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45358</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45358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45358</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45358</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45358</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45358</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5136-2024</t>
        </is>
      </c>
      <c r="B970" s="1" t="n">
        <v>45330</v>
      </c>
      <c r="C970" s="1" t="n">
        <v>45358</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5127-2024</t>
        </is>
      </c>
      <c r="B971" s="1" t="n">
        <v>45330</v>
      </c>
      <c r="C971" s="1" t="n">
        <v>45358</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45358</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45358</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45358</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45358</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45358</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5330-2024</t>
        </is>
      </c>
      <c r="B977" s="1" t="n">
        <v>45331</v>
      </c>
      <c r="C977" s="1" t="n">
        <v>45358</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5338-2024</t>
        </is>
      </c>
      <c r="B978" s="1" t="n">
        <v>45331</v>
      </c>
      <c r="C978" s="1" t="n">
        <v>45358</v>
      </c>
      <c r="D978" t="inlineStr">
        <is>
          <t>ÖREBRO LÄN</t>
        </is>
      </c>
      <c r="E978" t="inlineStr">
        <is>
          <t>ÖREBRO</t>
        </is>
      </c>
      <c r="G978" t="n">
        <v>0.6</v>
      </c>
      <c r="H978" t="n">
        <v>0</v>
      </c>
      <c r="I978" t="n">
        <v>0</v>
      </c>
      <c r="J978" t="n">
        <v>0</v>
      </c>
      <c r="K978" t="n">
        <v>0</v>
      </c>
      <c r="L978" t="n">
        <v>0</v>
      </c>
      <c r="M978" t="n">
        <v>0</v>
      </c>
      <c r="N978" t="n">
        <v>0</v>
      </c>
      <c r="O978" t="n">
        <v>0</v>
      </c>
      <c r="P978" t="n">
        <v>0</v>
      </c>
      <c r="Q978" t="n">
        <v>0</v>
      </c>
      <c r="R978" s="2" t="inlineStr"/>
    </row>
    <row r="979" ht="15" customHeight="1">
      <c r="A979" t="inlineStr">
        <is>
          <t>A 5357-2024</t>
        </is>
      </c>
      <c r="B979" s="1" t="n">
        <v>45331</v>
      </c>
      <c r="C979" s="1" t="n">
        <v>45358</v>
      </c>
      <c r="D979" t="inlineStr">
        <is>
          <t>ÖREBRO LÄN</t>
        </is>
      </c>
      <c r="E979" t="inlineStr">
        <is>
          <t>ÖREBRO</t>
        </is>
      </c>
      <c r="G979" t="n">
        <v>0.7</v>
      </c>
      <c r="H979" t="n">
        <v>0</v>
      </c>
      <c r="I979" t="n">
        <v>0</v>
      </c>
      <c r="J979" t="n">
        <v>0</v>
      </c>
      <c r="K979" t="n">
        <v>0</v>
      </c>
      <c r="L979" t="n">
        <v>0</v>
      </c>
      <c r="M979" t="n">
        <v>0</v>
      </c>
      <c r="N979" t="n">
        <v>0</v>
      </c>
      <c r="O979" t="n">
        <v>0</v>
      </c>
      <c r="P979" t="n">
        <v>0</v>
      </c>
      <c r="Q979" t="n">
        <v>0</v>
      </c>
      <c r="R979" s="2" t="inlineStr"/>
    </row>
    <row r="980" ht="15" customHeight="1">
      <c r="A980" t="inlineStr">
        <is>
          <t>A 5324-2024</t>
        </is>
      </c>
      <c r="B980" s="1" t="n">
        <v>45331</v>
      </c>
      <c r="C980" s="1" t="n">
        <v>45358</v>
      </c>
      <c r="D980" t="inlineStr">
        <is>
          <t>ÖREBRO LÄN</t>
        </is>
      </c>
      <c r="E980" t="inlineStr">
        <is>
          <t>ÖREBRO</t>
        </is>
      </c>
      <c r="G980" t="n">
        <v>1.5</v>
      </c>
      <c r="H980" t="n">
        <v>0</v>
      </c>
      <c r="I980" t="n">
        <v>0</v>
      </c>
      <c r="J980" t="n">
        <v>0</v>
      </c>
      <c r="K980" t="n">
        <v>0</v>
      </c>
      <c r="L980" t="n">
        <v>0</v>
      </c>
      <c r="M980" t="n">
        <v>0</v>
      </c>
      <c r="N980" t="n">
        <v>0</v>
      </c>
      <c r="O980" t="n">
        <v>0</v>
      </c>
      <c r="P980" t="n">
        <v>0</v>
      </c>
      <c r="Q980" t="n">
        <v>0</v>
      </c>
      <c r="R980" s="2" t="inlineStr"/>
    </row>
    <row r="981" ht="15" customHeight="1">
      <c r="A981" t="inlineStr">
        <is>
          <t>A 5342-2024</t>
        </is>
      </c>
      <c r="B981" s="1" t="n">
        <v>45331</v>
      </c>
      <c r="C981" s="1" t="n">
        <v>45358</v>
      </c>
      <c r="D981" t="inlineStr">
        <is>
          <t>ÖREBRO LÄN</t>
        </is>
      </c>
      <c r="E981" t="inlineStr">
        <is>
          <t>ÖREBRO</t>
        </is>
      </c>
      <c r="G981" t="n">
        <v>2.5</v>
      </c>
      <c r="H981" t="n">
        <v>0</v>
      </c>
      <c r="I981" t="n">
        <v>0</v>
      </c>
      <c r="J981" t="n">
        <v>0</v>
      </c>
      <c r="K981" t="n">
        <v>0</v>
      </c>
      <c r="L981" t="n">
        <v>0</v>
      </c>
      <c r="M981" t="n">
        <v>0</v>
      </c>
      <c r="N981" t="n">
        <v>0</v>
      </c>
      <c r="O981" t="n">
        <v>0</v>
      </c>
      <c r="P981" t="n">
        <v>0</v>
      </c>
      <c r="Q981" t="n">
        <v>0</v>
      </c>
      <c r="R981" s="2" t="inlineStr"/>
    </row>
    <row r="982" ht="15" customHeight="1">
      <c r="A982" t="inlineStr">
        <is>
          <t>A 5352-2024</t>
        </is>
      </c>
      <c r="B982" s="1" t="n">
        <v>45331</v>
      </c>
      <c r="C982" s="1" t="n">
        <v>45358</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45358</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45358</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45358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45358</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6586-2024</t>
        </is>
      </c>
      <c r="B987" s="1" t="n">
        <v>45341</v>
      </c>
      <c r="C987" s="1" t="n">
        <v>45358</v>
      </c>
      <c r="D987" t="inlineStr">
        <is>
          <t>ÖREBRO LÄN</t>
        </is>
      </c>
      <c r="E987" t="inlineStr">
        <is>
          <t>ÖREBRO</t>
        </is>
      </c>
      <c r="F987" t="inlineStr">
        <is>
          <t>Övriga Aktiebolag</t>
        </is>
      </c>
      <c r="G987" t="n">
        <v>6.9</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45358</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7609-2024</t>
        </is>
      </c>
      <c r="B989" s="1" t="n">
        <v>45348</v>
      </c>
      <c r="C989" s="1" t="n">
        <v>45358</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7634-2024</t>
        </is>
      </c>
      <c r="B990" s="1" t="n">
        <v>45348</v>
      </c>
      <c r="C990" s="1" t="n">
        <v>45358</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7611-2024</t>
        </is>
      </c>
      <c r="B991" s="1" t="n">
        <v>45348</v>
      </c>
      <c r="C991" s="1" t="n">
        <v>45358</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7608-2024</t>
        </is>
      </c>
      <c r="B992" s="1" t="n">
        <v>45348</v>
      </c>
      <c r="C992" s="1" t="n">
        <v>45358</v>
      </c>
      <c r="D992" t="inlineStr">
        <is>
          <t>ÖREBRO LÄN</t>
        </is>
      </c>
      <c r="E992" t="inlineStr">
        <is>
          <t>ÖREBRO</t>
        </is>
      </c>
      <c r="G992" t="n">
        <v>4.3</v>
      </c>
      <c r="H992" t="n">
        <v>0</v>
      </c>
      <c r="I992" t="n">
        <v>0</v>
      </c>
      <c r="J992" t="n">
        <v>0</v>
      </c>
      <c r="K992" t="n">
        <v>0</v>
      </c>
      <c r="L992" t="n">
        <v>0</v>
      </c>
      <c r="M992" t="n">
        <v>0</v>
      </c>
      <c r="N992" t="n">
        <v>0</v>
      </c>
      <c r="O992" t="n">
        <v>0</v>
      </c>
      <c r="P992" t="n">
        <v>0</v>
      </c>
      <c r="Q992" t="n">
        <v>0</v>
      </c>
      <c r="R992" s="2" t="inlineStr"/>
    </row>
    <row r="993" ht="15" customHeight="1">
      <c r="A993" t="inlineStr">
        <is>
          <t>A 8005-2024</t>
        </is>
      </c>
      <c r="B993" s="1" t="n">
        <v>45350</v>
      </c>
      <c r="C993" s="1" t="n">
        <v>45358</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c r="A994" t="inlineStr">
        <is>
          <t>A 8008-2024</t>
        </is>
      </c>
      <c r="B994" s="1" t="n">
        <v>45350</v>
      </c>
      <c r="C994" s="1" t="n">
        <v>45358</v>
      </c>
      <c r="D994" t="inlineStr">
        <is>
          <t>ÖREBRO LÄN</t>
        </is>
      </c>
      <c r="E994" t="inlineStr">
        <is>
          <t>ÖREBRO</t>
        </is>
      </c>
      <c r="G994" t="n">
        <v>0.6</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2024-03-07T13:18:58Z</dcterms:created>
  <dcterms:modified xmlns:dcterms="http://purl.org/dc/terms/" xmlns:xsi="http://www.w3.org/2001/XMLSchema-instance" xsi:type="dcterms:W3CDTF">2024-03-07T13:18:58Z</dcterms:modified>
</cp:coreProperties>
</file>