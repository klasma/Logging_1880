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46081</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46081</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46081</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46081</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46081</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46081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46081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46081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46081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46081</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46081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46081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46081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46081</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46081</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575-2024</t>
        </is>
      </c>
      <c r="B25" s="1" t="n">
        <v>45299</v>
      </c>
      <c r="C25" s="1" t="n">
        <v>46081</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59519-2025</t>
        </is>
      </c>
      <c r="B26" s="1" t="n">
        <v>45989</v>
      </c>
      <c r="C26" s="1" t="n">
        <v>46081</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46081</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46081</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46081</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46081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46081</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46081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46081</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46081</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46081</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46081</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13395-2024</t>
        </is>
      </c>
      <c r="B38" s="1" t="n">
        <v>45387.42296296296</v>
      </c>
      <c r="C38" s="1" t="n">
        <v>46081</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60557-2025</t>
        </is>
      </c>
      <c r="B39" s="1" t="n">
        <v>45995.74444444444</v>
      </c>
      <c r="C39" s="1" t="n">
        <v>46081</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63196-2025</t>
        </is>
      </c>
      <c r="B40" s="1" t="n">
        <v>46010.45872685185</v>
      </c>
      <c r="C40" s="1" t="n">
        <v>46081</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46081</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46081</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2998-2026</t>
        </is>
      </c>
      <c r="B43" s="1" t="n">
        <v>46038.64835648148</v>
      </c>
      <c r="C43" s="1" t="n">
        <v>46081</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52400-2024</t>
        </is>
      </c>
      <c r="B44" s="1" t="n">
        <v>45609.44461805555</v>
      </c>
      <c r="C44" s="1" t="n">
        <v>46081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46081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46081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46081</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46081</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46081</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23998-2025</t>
        </is>
      </c>
      <c r="B50" s="1" t="n">
        <v>45796.42209490741</v>
      </c>
      <c r="C50" s="1" t="n">
        <v>46081</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28936-2025</t>
        </is>
      </c>
      <c r="B51" s="1" t="n">
        <v>45820.69287037037</v>
      </c>
      <c r="C51" s="1" t="n">
        <v>46081</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32226-2025</t>
        </is>
      </c>
      <c r="B52" s="1" t="n">
        <v>45835.59478009259</v>
      </c>
      <c r="C52" s="1" t="n">
        <v>46081</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46081</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32105-2023</t>
        </is>
      </c>
      <c r="B54" s="1" t="n">
        <v>45119</v>
      </c>
      <c r="C54" s="1" t="n">
        <v>46081</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20032-2023</t>
        </is>
      </c>
      <c r="B55" s="1" t="n">
        <v>45054</v>
      </c>
      <c r="C55" s="1" t="n">
        <v>46081</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50499-2025</t>
        </is>
      </c>
      <c r="B56" s="1" t="n">
        <v>45945.41712962963</v>
      </c>
      <c r="C56" s="1" t="n">
        <v>46081</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22604-2024</t>
        </is>
      </c>
      <c r="B57" s="1" t="n">
        <v>45447</v>
      </c>
      <c r="C57" s="1" t="n">
        <v>46081</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30725-2023</t>
        </is>
      </c>
      <c r="B58" s="1" t="n">
        <v>45112.61451388889</v>
      </c>
      <c r="C58" s="1" t="n">
        <v>46081</v>
      </c>
      <c r="D58" t="inlineStr">
        <is>
          <t>ÖREBRO LÄN</t>
        </is>
      </c>
      <c r="E58" t="inlineStr">
        <is>
          <t>ÖREBRO</t>
        </is>
      </c>
      <c r="G58" t="n">
        <v>1.8</v>
      </c>
      <c r="H58" t="n">
        <v>1</v>
      </c>
      <c r="I58" t="n">
        <v>0</v>
      </c>
      <c r="J58" t="n">
        <v>1</v>
      </c>
      <c r="K58" t="n">
        <v>0</v>
      </c>
      <c r="L58" t="n">
        <v>0</v>
      </c>
      <c r="M58" t="n">
        <v>0</v>
      </c>
      <c r="N58" t="n">
        <v>0</v>
      </c>
      <c r="O58" t="n">
        <v>1</v>
      </c>
      <c r="P58" t="n">
        <v>0</v>
      </c>
      <c r="Q58" t="n">
        <v>1</v>
      </c>
      <c r="R58" s="2" t="inlineStr">
        <is>
          <t>Gulsparv</t>
        </is>
      </c>
      <c r="S58">
        <f>HYPERLINK("https://klasma.github.io/Logging_1880/artfynd/A 30725-2023 artfynd.xlsx", "A 30725-2023")</f>
        <v/>
      </c>
      <c r="T58">
        <f>HYPERLINK("https://klasma.github.io/Logging_1880/kartor/A 30725-2023 karta.png", "A 30725-2023")</f>
        <v/>
      </c>
      <c r="V58">
        <f>HYPERLINK("https://klasma.github.io/Logging_1880/klagomål/A 30725-2023 FSC-klagomål.docx", "A 30725-2023")</f>
        <v/>
      </c>
      <c r="W58">
        <f>HYPERLINK("https://klasma.github.io/Logging_1880/klagomålsmail/A 30725-2023 FSC-klagomål mail.docx", "A 30725-2023")</f>
        <v/>
      </c>
      <c r="X58">
        <f>HYPERLINK("https://klasma.github.io/Logging_1880/tillsyn/A 30725-2023 tillsynsbegäran.docx", "A 30725-2023")</f>
        <v/>
      </c>
      <c r="Y58">
        <f>HYPERLINK("https://klasma.github.io/Logging_1880/tillsynsmail/A 30725-2023 tillsynsbegäran mail.docx", "A 30725-2023")</f>
        <v/>
      </c>
      <c r="Z58">
        <f>HYPERLINK("https://klasma.github.io/Logging_1880/fåglar/A 30725-2023 prioriterade fågelarter.docx", "A 30725-2023")</f>
        <v/>
      </c>
    </row>
    <row r="59" ht="15" customHeight="1">
      <c r="A59" t="inlineStr">
        <is>
          <t>A 5097-2023</t>
        </is>
      </c>
      <c r="B59" s="1" t="n">
        <v>44958</v>
      </c>
      <c r="C59" s="1" t="n">
        <v>46081</v>
      </c>
      <c r="D59" t="inlineStr">
        <is>
          <t>ÖREBRO LÄN</t>
        </is>
      </c>
      <c r="E59" t="inlineStr">
        <is>
          <t>ÖREBRO</t>
        </is>
      </c>
      <c r="G59" t="n">
        <v>3.6</v>
      </c>
      <c r="H59" t="n">
        <v>1</v>
      </c>
      <c r="I59" t="n">
        <v>0</v>
      </c>
      <c r="J59" t="n">
        <v>0</v>
      </c>
      <c r="K59" t="n">
        <v>0</v>
      </c>
      <c r="L59" t="n">
        <v>0</v>
      </c>
      <c r="M59" t="n">
        <v>0</v>
      </c>
      <c r="N59" t="n">
        <v>0</v>
      </c>
      <c r="O59" t="n">
        <v>0</v>
      </c>
      <c r="P59" t="n">
        <v>0</v>
      </c>
      <c r="Q59" t="n">
        <v>1</v>
      </c>
      <c r="R59" s="2" t="inlineStr">
        <is>
          <t>Grönvit nattviol</t>
        </is>
      </c>
      <c r="S59">
        <f>HYPERLINK("https://klasma.github.io/Logging_1880/artfynd/A 5097-2023 artfynd.xlsx", "A 5097-2023")</f>
        <v/>
      </c>
      <c r="T59">
        <f>HYPERLINK("https://klasma.github.io/Logging_1880/kartor/A 5097-2023 karta.png", "A 5097-2023")</f>
        <v/>
      </c>
      <c r="V59">
        <f>HYPERLINK("https://klasma.github.io/Logging_1880/klagomål/A 5097-2023 FSC-klagomål.docx", "A 5097-2023")</f>
        <v/>
      </c>
      <c r="W59">
        <f>HYPERLINK("https://klasma.github.io/Logging_1880/klagomålsmail/A 5097-2023 FSC-klagomål mail.docx", "A 5097-2023")</f>
        <v/>
      </c>
      <c r="X59">
        <f>HYPERLINK("https://klasma.github.io/Logging_1880/tillsyn/A 5097-2023 tillsynsbegäran.docx", "A 5097-2023")</f>
        <v/>
      </c>
      <c r="Y59">
        <f>HYPERLINK("https://klasma.github.io/Logging_1880/tillsynsmail/A 5097-2023 tillsynsbegäran mail.docx", "A 5097-2023")</f>
        <v/>
      </c>
    </row>
    <row r="60" ht="15" customHeight="1">
      <c r="A60" t="inlineStr">
        <is>
          <t>A 20247-2023</t>
        </is>
      </c>
      <c r="B60" s="1" t="n">
        <v>45055</v>
      </c>
      <c r="C60" s="1" t="n">
        <v>46081</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58838-2025</t>
        </is>
      </c>
      <c r="B61" s="1" t="n">
        <v>45987.35973379629</v>
      </c>
      <c r="C61" s="1" t="n">
        <v>46081</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26890-2022</t>
        </is>
      </c>
      <c r="B62" s="1" t="n">
        <v>44740</v>
      </c>
      <c r="C62" s="1" t="n">
        <v>46081</v>
      </c>
      <c r="D62" t="inlineStr">
        <is>
          <t>ÖREBRO LÄN</t>
        </is>
      </c>
      <c r="E62" t="inlineStr">
        <is>
          <t>ÖREBRO</t>
        </is>
      </c>
      <c r="G62" t="n">
        <v>4.2</v>
      </c>
      <c r="H62" t="n">
        <v>1</v>
      </c>
      <c r="I62" t="n">
        <v>0</v>
      </c>
      <c r="J62" t="n">
        <v>0</v>
      </c>
      <c r="K62" t="n">
        <v>1</v>
      </c>
      <c r="L62" t="n">
        <v>0</v>
      </c>
      <c r="M62" t="n">
        <v>0</v>
      </c>
      <c r="N62" t="n">
        <v>0</v>
      </c>
      <c r="O62" t="n">
        <v>1</v>
      </c>
      <c r="P62" t="n">
        <v>1</v>
      </c>
      <c r="Q62" t="n">
        <v>1</v>
      </c>
      <c r="R62" s="2" t="inlineStr">
        <is>
          <t>Hällebräcka</t>
        </is>
      </c>
      <c r="S62">
        <f>HYPERLINK("https://klasma.github.io/Logging_1880/artfynd/A 26890-2022 artfynd.xlsx", "A 26890-2022")</f>
        <v/>
      </c>
      <c r="T62">
        <f>HYPERLINK("https://klasma.github.io/Logging_1880/kartor/A 26890-2022 karta.png", "A 26890-2022")</f>
        <v/>
      </c>
      <c r="V62">
        <f>HYPERLINK("https://klasma.github.io/Logging_1880/klagomål/A 26890-2022 FSC-klagomål.docx", "A 26890-2022")</f>
        <v/>
      </c>
      <c r="W62">
        <f>HYPERLINK("https://klasma.github.io/Logging_1880/klagomålsmail/A 26890-2022 FSC-klagomål mail.docx", "A 26890-2022")</f>
        <v/>
      </c>
      <c r="X62">
        <f>HYPERLINK("https://klasma.github.io/Logging_1880/tillsyn/A 26890-2022 tillsynsbegäran.docx", "A 26890-2022")</f>
        <v/>
      </c>
      <c r="Y62">
        <f>HYPERLINK("https://klasma.github.io/Logging_1880/tillsynsmail/A 26890-2022 tillsynsbegäran mail.docx", "A 26890-2022")</f>
        <v/>
      </c>
    </row>
    <row r="63" ht="15" customHeight="1">
      <c r="A63" t="inlineStr">
        <is>
          <t>A 63199-2025</t>
        </is>
      </c>
      <c r="B63" s="1" t="n">
        <v>46010.46091435185</v>
      </c>
      <c r="C63" s="1" t="n">
        <v>46081</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57920-2024</t>
        </is>
      </c>
      <c r="B64" s="1" t="n">
        <v>45631.50894675926</v>
      </c>
      <c r="C64" s="1" t="n">
        <v>46081</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59516-2025</t>
        </is>
      </c>
      <c r="B65" s="1" t="n">
        <v>45989.65396990741</v>
      </c>
      <c r="C65" s="1" t="n">
        <v>46081</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46081</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44389-2021</t>
        </is>
      </c>
      <c r="B67" s="1" t="n">
        <v>44435</v>
      </c>
      <c r="C67" s="1" t="n">
        <v>46081</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3006-2026</t>
        </is>
      </c>
      <c r="B68" s="1" t="n">
        <v>46038.65719907408</v>
      </c>
      <c r="C68" s="1" t="n">
        <v>46081</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31695-2024</t>
        </is>
      </c>
      <c r="B69" s="1" t="n">
        <v>45508</v>
      </c>
      <c r="C69" s="1" t="n">
        <v>46081</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46081</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46081</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46081</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46081</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46081</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46081</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46081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46081</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46081</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46081</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46081</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46081</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46081</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46081</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46081</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46081</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46081</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46081</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46081</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46081</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46081</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46081</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46081</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46081</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46081</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46081</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46081</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46081</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46081</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46081</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46081</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46081</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46081</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46081</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46081</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46081</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46081</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46081</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46081</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46081</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46081</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46081</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46081</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46081</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46081</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46081</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46081</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46081</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46081</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46081</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46081</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46081</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46081</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46081</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46081</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46081</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46081</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46081</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46081</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46081</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46081</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46081</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46081</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46081</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46081</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46081</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46081</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46081</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46081</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46081</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46081</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46081</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46081</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46081</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46081</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46081</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19978-2025</t>
        </is>
      </c>
      <c r="B148" s="1" t="n">
        <v>45771.7062037037</v>
      </c>
      <c r="C148" s="1" t="n">
        <v>46081</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15354-2024</t>
        </is>
      </c>
      <c r="B149" s="1" t="n">
        <v>45400.85319444445</v>
      </c>
      <c r="C149" s="1" t="n">
        <v>46081</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13169-2024</t>
        </is>
      </c>
      <c r="B150" s="1" t="n">
        <v>45386.40489583334</v>
      </c>
      <c r="C150" s="1" t="n">
        <v>46081</v>
      </c>
      <c r="D150" t="inlineStr">
        <is>
          <t>ÖREBRO LÄN</t>
        </is>
      </c>
      <c r="E150" t="inlineStr">
        <is>
          <t>ÖREBRO</t>
        </is>
      </c>
      <c r="G150" t="n">
        <v>4.3</v>
      </c>
      <c r="H150" t="n">
        <v>0</v>
      </c>
      <c r="I150" t="n">
        <v>0</v>
      </c>
      <c r="J150" t="n">
        <v>0</v>
      </c>
      <c r="K150" t="n">
        <v>0</v>
      </c>
      <c r="L150" t="n">
        <v>0</v>
      </c>
      <c r="M150" t="n">
        <v>0</v>
      </c>
      <c r="N150" t="n">
        <v>0</v>
      </c>
      <c r="O150" t="n">
        <v>0</v>
      </c>
      <c r="P150" t="n">
        <v>0</v>
      </c>
      <c r="Q150" t="n">
        <v>0</v>
      </c>
      <c r="R150" s="2" t="inlineStr"/>
    </row>
    <row r="151" ht="15" customHeight="1">
      <c r="A151" t="inlineStr">
        <is>
          <t>A 11067-2025</t>
        </is>
      </c>
      <c r="B151" s="1" t="n">
        <v>45723</v>
      </c>
      <c r="C151" s="1" t="n">
        <v>46081</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46081</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9585-2025</t>
        </is>
      </c>
      <c r="B153" s="1" t="n">
        <v>45715.63409722222</v>
      </c>
      <c r="C153" s="1" t="n">
        <v>46081</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6879-2024</t>
        </is>
      </c>
      <c r="B154" s="1" t="n">
        <v>45342.85280092592</v>
      </c>
      <c r="C154" s="1" t="n">
        <v>46081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5357-2024</t>
        </is>
      </c>
      <c r="B155" s="1" t="n">
        <v>45331</v>
      </c>
      <c r="C155" s="1" t="n">
        <v>46081</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681-2024</t>
        </is>
      </c>
      <c r="B156" s="1" t="n">
        <v>45300</v>
      </c>
      <c r="C156" s="1" t="n">
        <v>46081</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5125-2024</t>
        </is>
      </c>
      <c r="B157" s="1" t="n">
        <v>45330</v>
      </c>
      <c r="C157" s="1" t="n">
        <v>46081</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14234-2024</t>
        </is>
      </c>
      <c r="B158" s="1" t="n">
        <v>45393.46980324074</v>
      </c>
      <c r="C158" s="1" t="n">
        <v>46081</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46081</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55593-2022</t>
        </is>
      </c>
      <c r="B160" s="1" t="n">
        <v>44888</v>
      </c>
      <c r="C160" s="1" t="n">
        <v>46081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43612-2022</t>
        </is>
      </c>
      <c r="B161" s="1" t="n">
        <v>44837</v>
      </c>
      <c r="C161" s="1" t="n">
        <v>46081</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50446-2023</t>
        </is>
      </c>
      <c r="B162" s="1" t="n">
        <v>45216</v>
      </c>
      <c r="C162" s="1" t="n">
        <v>46081</v>
      </c>
      <c r="D162" t="inlineStr">
        <is>
          <t>ÖREBRO LÄN</t>
        </is>
      </c>
      <c r="E162" t="inlineStr">
        <is>
          <t>ÖREBRO</t>
        </is>
      </c>
      <c r="F162" t="inlineStr">
        <is>
          <t>Övriga Aktiebolag</t>
        </is>
      </c>
      <c r="G162" t="n">
        <v>2.8</v>
      </c>
      <c r="H162" t="n">
        <v>0</v>
      </c>
      <c r="I162" t="n">
        <v>0</v>
      </c>
      <c r="J162" t="n">
        <v>0</v>
      </c>
      <c r="K162" t="n">
        <v>0</v>
      </c>
      <c r="L162" t="n">
        <v>0</v>
      </c>
      <c r="M162" t="n">
        <v>0</v>
      </c>
      <c r="N162" t="n">
        <v>0</v>
      </c>
      <c r="O162" t="n">
        <v>0</v>
      </c>
      <c r="P162" t="n">
        <v>0</v>
      </c>
      <c r="Q162" t="n">
        <v>0</v>
      </c>
      <c r="R162" s="2" t="inlineStr"/>
    </row>
    <row r="163" ht="15" customHeight="1">
      <c r="A163" t="inlineStr">
        <is>
          <t>A 50450-2023</t>
        </is>
      </c>
      <c r="B163" s="1" t="n">
        <v>45216.73533564815</v>
      </c>
      <c r="C163" s="1" t="n">
        <v>46081</v>
      </c>
      <c r="D163" t="inlineStr">
        <is>
          <t>ÖREBRO LÄN</t>
        </is>
      </c>
      <c r="E163" t="inlineStr">
        <is>
          <t>ÖREBRO</t>
        </is>
      </c>
      <c r="F163" t="inlineStr">
        <is>
          <t>Övriga Aktiebolag</t>
        </is>
      </c>
      <c r="G163" t="n">
        <v>0.8</v>
      </c>
      <c r="H163" t="n">
        <v>0</v>
      </c>
      <c r="I163" t="n">
        <v>0</v>
      </c>
      <c r="J163" t="n">
        <v>0</v>
      </c>
      <c r="K163" t="n">
        <v>0</v>
      </c>
      <c r="L163" t="n">
        <v>0</v>
      </c>
      <c r="M163" t="n">
        <v>0</v>
      </c>
      <c r="N163" t="n">
        <v>0</v>
      </c>
      <c r="O163" t="n">
        <v>0</v>
      </c>
      <c r="P163" t="n">
        <v>0</v>
      </c>
      <c r="Q163" t="n">
        <v>0</v>
      </c>
      <c r="R163" s="2" t="inlineStr"/>
    </row>
    <row r="164" ht="15" customHeight="1">
      <c r="A164" t="inlineStr">
        <is>
          <t>A 42138-2024</t>
        </is>
      </c>
      <c r="B164" s="1" t="n">
        <v>45562.41854166667</v>
      </c>
      <c r="C164" s="1" t="n">
        <v>46081</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61593-2023</t>
        </is>
      </c>
      <c r="B165" s="1" t="n">
        <v>45265</v>
      </c>
      <c r="C165" s="1" t="n">
        <v>46081</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34874-2022</t>
        </is>
      </c>
      <c r="B166" s="1" t="n">
        <v>44796</v>
      </c>
      <c r="C166" s="1" t="n">
        <v>46081</v>
      </c>
      <c r="D166" t="inlineStr">
        <is>
          <t>ÖREBRO LÄN</t>
        </is>
      </c>
      <c r="E166" t="inlineStr">
        <is>
          <t>ÖREBRO</t>
        </is>
      </c>
      <c r="F166" t="inlineStr">
        <is>
          <t>Övriga Aktiebolag</t>
        </is>
      </c>
      <c r="G166" t="n">
        <v>2.3</v>
      </c>
      <c r="H166" t="n">
        <v>0</v>
      </c>
      <c r="I166" t="n">
        <v>0</v>
      </c>
      <c r="J166" t="n">
        <v>0</v>
      </c>
      <c r="K166" t="n">
        <v>0</v>
      </c>
      <c r="L166" t="n">
        <v>0</v>
      </c>
      <c r="M166" t="n">
        <v>0</v>
      </c>
      <c r="N166" t="n">
        <v>0</v>
      </c>
      <c r="O166" t="n">
        <v>0</v>
      </c>
      <c r="P166" t="n">
        <v>0</v>
      </c>
      <c r="Q166" t="n">
        <v>0</v>
      </c>
      <c r="R166" s="2" t="inlineStr"/>
    </row>
    <row r="167" ht="15" customHeight="1">
      <c r="A167" t="inlineStr">
        <is>
          <t>A 38842-2022</t>
        </is>
      </c>
      <c r="B167" s="1" t="n">
        <v>44814</v>
      </c>
      <c r="C167" s="1" t="n">
        <v>46081</v>
      </c>
      <c r="D167" t="inlineStr">
        <is>
          <t>ÖREBRO LÄN</t>
        </is>
      </c>
      <c r="E167" t="inlineStr">
        <is>
          <t>ÖREBRO</t>
        </is>
      </c>
      <c r="G167" t="n">
        <v>5</v>
      </c>
      <c r="H167" t="n">
        <v>0</v>
      </c>
      <c r="I167" t="n">
        <v>0</v>
      </c>
      <c r="J167" t="n">
        <v>0</v>
      </c>
      <c r="K167" t="n">
        <v>0</v>
      </c>
      <c r="L167" t="n">
        <v>0</v>
      </c>
      <c r="M167" t="n">
        <v>0</v>
      </c>
      <c r="N167" t="n">
        <v>0</v>
      </c>
      <c r="O167" t="n">
        <v>0</v>
      </c>
      <c r="P167" t="n">
        <v>0</v>
      </c>
      <c r="Q167" t="n">
        <v>0</v>
      </c>
      <c r="R167" s="2" t="inlineStr"/>
    </row>
    <row r="168" ht="15" customHeight="1">
      <c r="A168" t="inlineStr">
        <is>
          <t>A 26338-2021</t>
        </is>
      </c>
      <c r="B168" s="1" t="n">
        <v>44347</v>
      </c>
      <c r="C168" s="1" t="n">
        <v>46081</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40597-2021</t>
        </is>
      </c>
      <c r="B169" s="1" t="n">
        <v>44420</v>
      </c>
      <c r="C169" s="1" t="n">
        <v>46081</v>
      </c>
      <c r="D169" t="inlineStr">
        <is>
          <t>ÖREBRO LÄN</t>
        </is>
      </c>
      <c r="E169" t="inlineStr">
        <is>
          <t>ÖREBRO</t>
        </is>
      </c>
      <c r="G169" t="n">
        <v>2.1</v>
      </c>
      <c r="H169" t="n">
        <v>0</v>
      </c>
      <c r="I169" t="n">
        <v>0</v>
      </c>
      <c r="J169" t="n">
        <v>0</v>
      </c>
      <c r="K169" t="n">
        <v>0</v>
      </c>
      <c r="L169" t="n">
        <v>0</v>
      </c>
      <c r="M169" t="n">
        <v>0</v>
      </c>
      <c r="N169" t="n">
        <v>0</v>
      </c>
      <c r="O169" t="n">
        <v>0</v>
      </c>
      <c r="P169" t="n">
        <v>0</v>
      </c>
      <c r="Q169" t="n">
        <v>0</v>
      </c>
      <c r="R169" s="2" t="inlineStr"/>
    </row>
    <row r="170" ht="15" customHeight="1">
      <c r="A170" t="inlineStr">
        <is>
          <t>A 71266-2021</t>
        </is>
      </c>
      <c r="B170" s="1" t="n">
        <v>44539</v>
      </c>
      <c r="C170" s="1" t="n">
        <v>46081</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71267-2021</t>
        </is>
      </c>
      <c r="B171" s="1" t="n">
        <v>44539</v>
      </c>
      <c r="C171" s="1" t="n">
        <v>46081</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71280-2021</t>
        </is>
      </c>
      <c r="B172" s="1" t="n">
        <v>44539</v>
      </c>
      <c r="C172" s="1" t="n">
        <v>46081</v>
      </c>
      <c r="D172" t="inlineStr">
        <is>
          <t>ÖREBRO LÄN</t>
        </is>
      </c>
      <c r="E172" t="inlineStr">
        <is>
          <t>ÖREBRO</t>
        </is>
      </c>
      <c r="G172" t="n">
        <v>0.6</v>
      </c>
      <c r="H172" t="n">
        <v>0</v>
      </c>
      <c r="I172" t="n">
        <v>0</v>
      </c>
      <c r="J172" t="n">
        <v>0</v>
      </c>
      <c r="K172" t="n">
        <v>0</v>
      </c>
      <c r="L172" t="n">
        <v>0</v>
      </c>
      <c r="M172" t="n">
        <v>0</v>
      </c>
      <c r="N172" t="n">
        <v>0</v>
      </c>
      <c r="O172" t="n">
        <v>0</v>
      </c>
      <c r="P172" t="n">
        <v>0</v>
      </c>
      <c r="Q172" t="n">
        <v>0</v>
      </c>
      <c r="R172" s="2" t="inlineStr"/>
    </row>
    <row r="173" ht="15" customHeight="1">
      <c r="A173" t="inlineStr">
        <is>
          <t>A 48581-2024</t>
        </is>
      </c>
      <c r="B173" s="1" t="n">
        <v>45593.41642361111</v>
      </c>
      <c r="C173" s="1" t="n">
        <v>46081</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47047-2022</t>
        </is>
      </c>
      <c r="B174" s="1" t="n">
        <v>44852.39063657408</v>
      </c>
      <c r="C174" s="1" t="n">
        <v>46081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21036-2024</t>
        </is>
      </c>
      <c r="B175" s="1" t="n">
        <v>45439.65954861111</v>
      </c>
      <c r="C175" s="1" t="n">
        <v>46081</v>
      </c>
      <c r="D175" t="inlineStr">
        <is>
          <t>ÖREBRO LÄN</t>
        </is>
      </c>
      <c r="E175" t="inlineStr">
        <is>
          <t>ÖREBRO</t>
        </is>
      </c>
      <c r="F175" t="inlineStr">
        <is>
          <t>Övriga Aktiebolag</t>
        </is>
      </c>
      <c r="G175" t="n">
        <v>5.7</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46081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12017-2024</t>
        </is>
      </c>
      <c r="B177" s="1" t="n">
        <v>45377</v>
      </c>
      <c r="C177" s="1" t="n">
        <v>46081</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2771-2023</t>
        </is>
      </c>
      <c r="B178" s="1" t="n">
        <v>44944.64704861111</v>
      </c>
      <c r="C178" s="1" t="n">
        <v>46081</v>
      </c>
      <c r="D178" t="inlineStr">
        <is>
          <t>ÖREBRO LÄN</t>
        </is>
      </c>
      <c r="E178" t="inlineStr">
        <is>
          <t>ÖREBRO</t>
        </is>
      </c>
      <c r="G178" t="n">
        <v>15.4</v>
      </c>
      <c r="H178" t="n">
        <v>0</v>
      </c>
      <c r="I178" t="n">
        <v>0</v>
      </c>
      <c r="J178" t="n">
        <v>0</v>
      </c>
      <c r="K178" t="n">
        <v>0</v>
      </c>
      <c r="L178" t="n">
        <v>0</v>
      </c>
      <c r="M178" t="n">
        <v>0</v>
      </c>
      <c r="N178" t="n">
        <v>0</v>
      </c>
      <c r="O178" t="n">
        <v>0</v>
      </c>
      <c r="P178" t="n">
        <v>0</v>
      </c>
      <c r="Q178" t="n">
        <v>0</v>
      </c>
      <c r="R178" s="2" t="inlineStr"/>
    </row>
    <row r="179" ht="15" customHeight="1">
      <c r="A179" t="inlineStr">
        <is>
          <t>A 9609-2023</t>
        </is>
      </c>
      <c r="B179" s="1" t="n">
        <v>44983.93344907407</v>
      </c>
      <c r="C179" s="1" t="n">
        <v>46081</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56077-2022</t>
        </is>
      </c>
      <c r="B180" s="1" t="n">
        <v>44889.60872685185</v>
      </c>
      <c r="C180" s="1" t="n">
        <v>46081</v>
      </c>
      <c r="D180" t="inlineStr">
        <is>
          <t>ÖREBRO LÄN</t>
        </is>
      </c>
      <c r="E180" t="inlineStr">
        <is>
          <t>ÖREBRO</t>
        </is>
      </c>
      <c r="F180" t="inlineStr">
        <is>
          <t>Övriga Aktiebolag</t>
        </is>
      </c>
      <c r="G180" t="n">
        <v>2.5</v>
      </c>
      <c r="H180" t="n">
        <v>0</v>
      </c>
      <c r="I180" t="n">
        <v>0</v>
      </c>
      <c r="J180" t="n">
        <v>0</v>
      </c>
      <c r="K180" t="n">
        <v>0</v>
      </c>
      <c r="L180" t="n">
        <v>0</v>
      </c>
      <c r="M180" t="n">
        <v>0</v>
      </c>
      <c r="N180" t="n">
        <v>0</v>
      </c>
      <c r="O180" t="n">
        <v>0</v>
      </c>
      <c r="P180" t="n">
        <v>0</v>
      </c>
      <c r="Q180" t="n">
        <v>0</v>
      </c>
      <c r="R180" s="2" t="inlineStr"/>
    </row>
    <row r="181" ht="15" customHeight="1">
      <c r="A181" t="inlineStr">
        <is>
          <t>A 58621-2024</t>
        </is>
      </c>
      <c r="B181" s="1" t="n">
        <v>45635.56321759259</v>
      </c>
      <c r="C181" s="1" t="n">
        <v>46081</v>
      </c>
      <c r="D181" t="inlineStr">
        <is>
          <t>ÖREBRO LÄN</t>
        </is>
      </c>
      <c r="E181" t="inlineStr">
        <is>
          <t>ÖREBRO</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58216-2024</t>
        </is>
      </c>
      <c r="B182" s="1" t="n">
        <v>45632</v>
      </c>
      <c r="C182" s="1" t="n">
        <v>46081</v>
      </c>
      <c r="D182" t="inlineStr">
        <is>
          <t>ÖREBRO LÄN</t>
        </is>
      </c>
      <c r="E182" t="inlineStr">
        <is>
          <t>ÖREBRO</t>
        </is>
      </c>
      <c r="G182" t="n">
        <v>1.9</v>
      </c>
      <c r="H182" t="n">
        <v>0</v>
      </c>
      <c r="I182" t="n">
        <v>0</v>
      </c>
      <c r="J182" t="n">
        <v>0</v>
      </c>
      <c r="K182" t="n">
        <v>0</v>
      </c>
      <c r="L182" t="n">
        <v>0</v>
      </c>
      <c r="M182" t="n">
        <v>0</v>
      </c>
      <c r="N182" t="n">
        <v>0</v>
      </c>
      <c r="O182" t="n">
        <v>0</v>
      </c>
      <c r="P182" t="n">
        <v>0</v>
      </c>
      <c r="Q182" t="n">
        <v>0</v>
      </c>
      <c r="R182" s="2" t="inlineStr"/>
    </row>
    <row r="183" ht="15" customHeight="1">
      <c r="A183" t="inlineStr">
        <is>
          <t>A 70707-2021</t>
        </is>
      </c>
      <c r="B183" s="1" t="n">
        <v>44537</v>
      </c>
      <c r="C183" s="1" t="n">
        <v>46081</v>
      </c>
      <c r="D183" t="inlineStr">
        <is>
          <t>ÖREBRO LÄN</t>
        </is>
      </c>
      <c r="E183" t="inlineStr">
        <is>
          <t>ÖREBRO</t>
        </is>
      </c>
      <c r="G183" t="n">
        <v>13.2</v>
      </c>
      <c r="H183" t="n">
        <v>0</v>
      </c>
      <c r="I183" t="n">
        <v>0</v>
      </c>
      <c r="J183" t="n">
        <v>0</v>
      </c>
      <c r="K183" t="n">
        <v>0</v>
      </c>
      <c r="L183" t="n">
        <v>0</v>
      </c>
      <c r="M183" t="n">
        <v>0</v>
      </c>
      <c r="N183" t="n">
        <v>0</v>
      </c>
      <c r="O183" t="n">
        <v>0</v>
      </c>
      <c r="P183" t="n">
        <v>0</v>
      </c>
      <c r="Q183" t="n">
        <v>0</v>
      </c>
      <c r="R183" s="2" t="inlineStr"/>
    </row>
    <row r="184" ht="15" customHeight="1">
      <c r="A184" t="inlineStr">
        <is>
          <t>A 57243-2022</t>
        </is>
      </c>
      <c r="B184" s="1" t="n">
        <v>44895.71835648148</v>
      </c>
      <c r="C184" s="1" t="n">
        <v>46081</v>
      </c>
      <c r="D184" t="inlineStr">
        <is>
          <t>ÖREBRO LÄN</t>
        </is>
      </c>
      <c r="E184" t="inlineStr">
        <is>
          <t>ÖREBRO</t>
        </is>
      </c>
      <c r="G184" t="n">
        <v>6</v>
      </c>
      <c r="H184" t="n">
        <v>0</v>
      </c>
      <c r="I184" t="n">
        <v>0</v>
      </c>
      <c r="J184" t="n">
        <v>0</v>
      </c>
      <c r="K184" t="n">
        <v>0</v>
      </c>
      <c r="L184" t="n">
        <v>0</v>
      </c>
      <c r="M184" t="n">
        <v>0</v>
      </c>
      <c r="N184" t="n">
        <v>0</v>
      </c>
      <c r="O184" t="n">
        <v>0</v>
      </c>
      <c r="P184" t="n">
        <v>0</v>
      </c>
      <c r="Q184" t="n">
        <v>0</v>
      </c>
      <c r="R184" s="2" t="inlineStr"/>
    </row>
    <row r="185" ht="15" customHeight="1">
      <c r="A185" t="inlineStr">
        <is>
          <t>A 37012-2024</t>
        </is>
      </c>
      <c r="B185" s="1" t="n">
        <v>45539</v>
      </c>
      <c r="C185" s="1" t="n">
        <v>46081</v>
      </c>
      <c r="D185" t="inlineStr">
        <is>
          <t>ÖREBRO LÄN</t>
        </is>
      </c>
      <c r="E185" t="inlineStr">
        <is>
          <t>ÖREBRO</t>
        </is>
      </c>
      <c r="G185" t="n">
        <v>4.1</v>
      </c>
      <c r="H185" t="n">
        <v>0</v>
      </c>
      <c r="I185" t="n">
        <v>0</v>
      </c>
      <c r="J185" t="n">
        <v>0</v>
      </c>
      <c r="K185" t="n">
        <v>0</v>
      </c>
      <c r="L185" t="n">
        <v>0</v>
      </c>
      <c r="M185" t="n">
        <v>0</v>
      </c>
      <c r="N185" t="n">
        <v>0</v>
      </c>
      <c r="O185" t="n">
        <v>0</v>
      </c>
      <c r="P185" t="n">
        <v>0</v>
      </c>
      <c r="Q185" t="n">
        <v>0</v>
      </c>
      <c r="R185" s="2" t="inlineStr"/>
    </row>
    <row r="186" ht="15" customHeight="1">
      <c r="A186" t="inlineStr">
        <is>
          <t>A 37020-2024</t>
        </is>
      </c>
      <c r="B186" s="1" t="n">
        <v>45539.38059027777</v>
      </c>
      <c r="C186" s="1" t="n">
        <v>46081</v>
      </c>
      <c r="D186" t="inlineStr">
        <is>
          <t>ÖREBRO LÄN</t>
        </is>
      </c>
      <c r="E186" t="inlineStr">
        <is>
          <t>ÖREBRO</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55353-2024</t>
        </is>
      </c>
      <c r="B187" s="1" t="n">
        <v>45621.79526620371</v>
      </c>
      <c r="C187" s="1" t="n">
        <v>46081</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541-2025</t>
        </is>
      </c>
      <c r="B188" s="1" t="n">
        <v>45664.52034722222</v>
      </c>
      <c r="C188" s="1" t="n">
        <v>46081</v>
      </c>
      <c r="D188" t="inlineStr">
        <is>
          <t>ÖREBRO LÄN</t>
        </is>
      </c>
      <c r="E188" t="inlineStr">
        <is>
          <t>ÖREBRO</t>
        </is>
      </c>
      <c r="G188" t="n">
        <v>2.2</v>
      </c>
      <c r="H188" t="n">
        <v>0</v>
      </c>
      <c r="I188" t="n">
        <v>0</v>
      </c>
      <c r="J188" t="n">
        <v>0</v>
      </c>
      <c r="K188" t="n">
        <v>0</v>
      </c>
      <c r="L188" t="n">
        <v>0</v>
      </c>
      <c r="M188" t="n">
        <v>0</v>
      </c>
      <c r="N188" t="n">
        <v>0</v>
      </c>
      <c r="O188" t="n">
        <v>0</v>
      </c>
      <c r="P188" t="n">
        <v>0</v>
      </c>
      <c r="Q188" t="n">
        <v>0</v>
      </c>
      <c r="R188" s="2" t="inlineStr"/>
    </row>
    <row r="189" ht="15" customHeight="1">
      <c r="A189" t="inlineStr">
        <is>
          <t>A 19553-2023</t>
        </is>
      </c>
      <c r="B189" s="1" t="n">
        <v>45050</v>
      </c>
      <c r="C189" s="1" t="n">
        <v>46081</v>
      </c>
      <c r="D189" t="inlineStr">
        <is>
          <t>ÖREBRO LÄN</t>
        </is>
      </c>
      <c r="E189" t="inlineStr">
        <is>
          <t>ÖREBRO</t>
        </is>
      </c>
      <c r="G189" t="n">
        <v>2.1</v>
      </c>
      <c r="H189" t="n">
        <v>0</v>
      </c>
      <c r="I189" t="n">
        <v>0</v>
      </c>
      <c r="J189" t="n">
        <v>0</v>
      </c>
      <c r="K189" t="n">
        <v>0</v>
      </c>
      <c r="L189" t="n">
        <v>0</v>
      </c>
      <c r="M189" t="n">
        <v>0</v>
      </c>
      <c r="N189" t="n">
        <v>0</v>
      </c>
      <c r="O189" t="n">
        <v>0</v>
      </c>
      <c r="P189" t="n">
        <v>0</v>
      </c>
      <c r="Q189" t="n">
        <v>0</v>
      </c>
      <c r="R189" s="2" t="inlineStr"/>
    </row>
    <row r="190" ht="15" customHeight="1">
      <c r="A190" t="inlineStr">
        <is>
          <t>A 37025-2024</t>
        </is>
      </c>
      <c r="B190" s="1" t="n">
        <v>45539.3840162037</v>
      </c>
      <c r="C190" s="1" t="n">
        <v>46081</v>
      </c>
      <c r="D190" t="inlineStr">
        <is>
          <t>ÖREBRO LÄN</t>
        </is>
      </c>
      <c r="E190" t="inlineStr">
        <is>
          <t>ÖREBRO</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37027-2024</t>
        </is>
      </c>
      <c r="B191" s="1" t="n">
        <v>45539.38487268519</v>
      </c>
      <c r="C191" s="1" t="n">
        <v>46081</v>
      </c>
      <c r="D191" t="inlineStr">
        <is>
          <t>ÖREBRO LÄN</t>
        </is>
      </c>
      <c r="E191" t="inlineStr">
        <is>
          <t>ÖREBRO</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23594-2023</t>
        </is>
      </c>
      <c r="B192" s="1" t="n">
        <v>45077</v>
      </c>
      <c r="C192" s="1" t="n">
        <v>46081</v>
      </c>
      <c r="D192" t="inlineStr">
        <is>
          <t>ÖREBRO LÄN</t>
        </is>
      </c>
      <c r="E192" t="inlineStr">
        <is>
          <t>ÖREBRO</t>
        </is>
      </c>
      <c r="G192" t="n">
        <v>9.9</v>
      </c>
      <c r="H192" t="n">
        <v>0</v>
      </c>
      <c r="I192" t="n">
        <v>0</v>
      </c>
      <c r="J192" t="n">
        <v>0</v>
      </c>
      <c r="K192" t="n">
        <v>0</v>
      </c>
      <c r="L192" t="n">
        <v>0</v>
      </c>
      <c r="M192" t="n">
        <v>0</v>
      </c>
      <c r="N192" t="n">
        <v>0</v>
      </c>
      <c r="O192" t="n">
        <v>0</v>
      </c>
      <c r="P192" t="n">
        <v>0</v>
      </c>
      <c r="Q192" t="n">
        <v>0</v>
      </c>
      <c r="R192" s="2" t="inlineStr"/>
    </row>
    <row r="193" ht="15" customHeight="1">
      <c r="A193" t="inlineStr">
        <is>
          <t>A 8022-2022</t>
        </is>
      </c>
      <c r="B193" s="1" t="n">
        <v>44609</v>
      </c>
      <c r="C193" s="1" t="n">
        <v>46081</v>
      </c>
      <c r="D193" t="inlineStr">
        <is>
          <t>ÖREBRO LÄN</t>
        </is>
      </c>
      <c r="E193" t="inlineStr">
        <is>
          <t>ÖREBRO</t>
        </is>
      </c>
      <c r="G193" t="n">
        <v>5.6</v>
      </c>
      <c r="H193" t="n">
        <v>0</v>
      </c>
      <c r="I193" t="n">
        <v>0</v>
      </c>
      <c r="J193" t="n">
        <v>0</v>
      </c>
      <c r="K193" t="n">
        <v>0</v>
      </c>
      <c r="L193" t="n">
        <v>0</v>
      </c>
      <c r="M193" t="n">
        <v>0</v>
      </c>
      <c r="N193" t="n">
        <v>0</v>
      </c>
      <c r="O193" t="n">
        <v>0</v>
      </c>
      <c r="P193" t="n">
        <v>0</v>
      </c>
      <c r="Q193" t="n">
        <v>0</v>
      </c>
      <c r="R193" s="2" t="inlineStr"/>
    </row>
    <row r="194" ht="15" customHeight="1">
      <c r="A194" t="inlineStr">
        <is>
          <t>A 47193-2023</t>
        </is>
      </c>
      <c r="B194" s="1" t="n">
        <v>45202.3074537037</v>
      </c>
      <c r="C194" s="1" t="n">
        <v>46081</v>
      </c>
      <c r="D194" t="inlineStr">
        <is>
          <t>ÖREBRO LÄN</t>
        </is>
      </c>
      <c r="E194" t="inlineStr">
        <is>
          <t>ÖREBRO</t>
        </is>
      </c>
      <c r="G194" t="n">
        <v>2.4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46081</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71206-2021</t>
        </is>
      </c>
      <c r="B196" s="1" t="n">
        <v>44539</v>
      </c>
      <c r="C196" s="1" t="n">
        <v>46081</v>
      </c>
      <c r="D196" t="inlineStr">
        <is>
          <t>ÖREBRO LÄN</t>
        </is>
      </c>
      <c r="E196" t="inlineStr">
        <is>
          <t>ÖREBRO</t>
        </is>
      </c>
      <c r="G196" t="n">
        <v>2.5</v>
      </c>
      <c r="H196" t="n">
        <v>0</v>
      </c>
      <c r="I196" t="n">
        <v>0</v>
      </c>
      <c r="J196" t="n">
        <v>0</v>
      </c>
      <c r="K196" t="n">
        <v>0</v>
      </c>
      <c r="L196" t="n">
        <v>0</v>
      </c>
      <c r="M196" t="n">
        <v>0</v>
      </c>
      <c r="N196" t="n">
        <v>0</v>
      </c>
      <c r="O196" t="n">
        <v>0</v>
      </c>
      <c r="P196" t="n">
        <v>0</v>
      </c>
      <c r="Q196" t="n">
        <v>0</v>
      </c>
      <c r="R196" s="2" t="inlineStr"/>
    </row>
    <row r="197" ht="15" customHeight="1">
      <c r="A197" t="inlineStr">
        <is>
          <t>A 16739-2022</t>
        </is>
      </c>
      <c r="B197" s="1" t="n">
        <v>44673</v>
      </c>
      <c r="C197" s="1" t="n">
        <v>46081</v>
      </c>
      <c r="D197" t="inlineStr">
        <is>
          <t>ÖREBRO LÄN</t>
        </is>
      </c>
      <c r="E197" t="inlineStr">
        <is>
          <t>ÖREBRO</t>
        </is>
      </c>
      <c r="G197" t="n">
        <v>4.7</v>
      </c>
      <c r="H197" t="n">
        <v>0</v>
      </c>
      <c r="I197" t="n">
        <v>0</v>
      </c>
      <c r="J197" t="n">
        <v>0</v>
      </c>
      <c r="K197" t="n">
        <v>0</v>
      </c>
      <c r="L197" t="n">
        <v>0</v>
      </c>
      <c r="M197" t="n">
        <v>0</v>
      </c>
      <c r="N197" t="n">
        <v>0</v>
      </c>
      <c r="O197" t="n">
        <v>0</v>
      </c>
      <c r="P197" t="n">
        <v>0</v>
      </c>
      <c r="Q197" t="n">
        <v>0</v>
      </c>
      <c r="R197" s="2" t="inlineStr"/>
    </row>
    <row r="198" ht="15" customHeight="1">
      <c r="A198" t="inlineStr">
        <is>
          <t>A 41678-2024</t>
        </is>
      </c>
      <c r="B198" s="1" t="n">
        <v>45560</v>
      </c>
      <c r="C198" s="1" t="n">
        <v>46081</v>
      </c>
      <c r="D198" t="inlineStr">
        <is>
          <t>ÖREBRO LÄN</t>
        </is>
      </c>
      <c r="E198" t="inlineStr">
        <is>
          <t>ÖREBRO</t>
        </is>
      </c>
      <c r="G198" t="n">
        <v>11.3</v>
      </c>
      <c r="H198" t="n">
        <v>0</v>
      </c>
      <c r="I198" t="n">
        <v>0</v>
      </c>
      <c r="J198" t="n">
        <v>0</v>
      </c>
      <c r="K198" t="n">
        <v>0</v>
      </c>
      <c r="L198" t="n">
        <v>0</v>
      </c>
      <c r="M198" t="n">
        <v>0</v>
      </c>
      <c r="N198" t="n">
        <v>0</v>
      </c>
      <c r="O198" t="n">
        <v>0</v>
      </c>
      <c r="P198" t="n">
        <v>0</v>
      </c>
      <c r="Q198" t="n">
        <v>0</v>
      </c>
      <c r="R198" s="2" t="inlineStr"/>
    </row>
    <row r="199" ht="15" customHeight="1">
      <c r="A199" t="inlineStr">
        <is>
          <t>A 39003-2025</t>
        </is>
      </c>
      <c r="B199" s="1" t="n">
        <v>45888.34467592592</v>
      </c>
      <c r="C199" s="1" t="n">
        <v>46081</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15422-2022</t>
        </is>
      </c>
      <c r="B200" s="1" t="n">
        <v>44659.63753472222</v>
      </c>
      <c r="C200" s="1" t="n">
        <v>46081</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9379-2024</t>
        </is>
      </c>
      <c r="B201" s="1" t="n">
        <v>45359.37298611111</v>
      </c>
      <c r="C201" s="1" t="n">
        <v>46081</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5398-2022</t>
        </is>
      </c>
      <c r="B202" s="1" t="n">
        <v>44595.3353587963</v>
      </c>
      <c r="C202" s="1" t="n">
        <v>46081</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13418-2024</t>
        </is>
      </c>
      <c r="B203" s="1" t="n">
        <v>45387.46482638889</v>
      </c>
      <c r="C203" s="1" t="n">
        <v>46081</v>
      </c>
      <c r="D203" t="inlineStr">
        <is>
          <t>ÖREBRO LÄN</t>
        </is>
      </c>
      <c r="E203" t="inlineStr">
        <is>
          <t>ÖREBRO</t>
        </is>
      </c>
      <c r="G203" t="n">
        <v>4.2</v>
      </c>
      <c r="H203" t="n">
        <v>0</v>
      </c>
      <c r="I203" t="n">
        <v>0</v>
      </c>
      <c r="J203" t="n">
        <v>0</v>
      </c>
      <c r="K203" t="n">
        <v>0</v>
      </c>
      <c r="L203" t="n">
        <v>0</v>
      </c>
      <c r="M203" t="n">
        <v>0</v>
      </c>
      <c r="N203" t="n">
        <v>0</v>
      </c>
      <c r="O203" t="n">
        <v>0</v>
      </c>
      <c r="P203" t="n">
        <v>0</v>
      </c>
      <c r="Q203" t="n">
        <v>0</v>
      </c>
      <c r="R203" s="2" t="inlineStr"/>
    </row>
    <row r="204" ht="15" customHeight="1">
      <c r="A204" t="inlineStr">
        <is>
          <t>A 46323-2024</t>
        </is>
      </c>
      <c r="B204" s="1" t="n">
        <v>45581.84538194445</v>
      </c>
      <c r="C204" s="1" t="n">
        <v>46081</v>
      </c>
      <c r="D204" t="inlineStr">
        <is>
          <t>ÖREBRO LÄN</t>
        </is>
      </c>
      <c r="E204" t="inlineStr">
        <is>
          <t>ÖREBRO</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27220-2025</t>
        </is>
      </c>
      <c r="B205" s="1" t="n">
        <v>45812.42293981482</v>
      </c>
      <c r="C205" s="1" t="n">
        <v>46081</v>
      </c>
      <c r="D205" t="inlineStr">
        <is>
          <t>ÖREBRO LÄN</t>
        </is>
      </c>
      <c r="E205" t="inlineStr">
        <is>
          <t>ÖREBRO</t>
        </is>
      </c>
      <c r="G205" t="n">
        <v>0.6</v>
      </c>
      <c r="H205" t="n">
        <v>0</v>
      </c>
      <c r="I205" t="n">
        <v>0</v>
      </c>
      <c r="J205" t="n">
        <v>0</v>
      </c>
      <c r="K205" t="n">
        <v>0</v>
      </c>
      <c r="L205" t="n">
        <v>0</v>
      </c>
      <c r="M205" t="n">
        <v>0</v>
      </c>
      <c r="N205" t="n">
        <v>0</v>
      </c>
      <c r="O205" t="n">
        <v>0</v>
      </c>
      <c r="P205" t="n">
        <v>0</v>
      </c>
      <c r="Q205" t="n">
        <v>0</v>
      </c>
      <c r="R205" s="2" t="inlineStr"/>
    </row>
    <row r="206" ht="15" customHeight="1">
      <c r="A206" t="inlineStr">
        <is>
          <t>A 27180-2025</t>
        </is>
      </c>
      <c r="B206" s="1" t="n">
        <v>45812.35736111111</v>
      </c>
      <c r="C206" s="1" t="n">
        <v>46081</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27215-2025</t>
        </is>
      </c>
      <c r="B207" s="1" t="n">
        <v>45812.41869212963</v>
      </c>
      <c r="C207" s="1" t="n">
        <v>46081</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27225-2025</t>
        </is>
      </c>
      <c r="B208" s="1" t="n">
        <v>45812.42856481481</v>
      </c>
      <c r="C208" s="1" t="n">
        <v>46081</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39446-2025</t>
        </is>
      </c>
      <c r="B209" s="1" t="n">
        <v>45889.70388888889</v>
      </c>
      <c r="C209" s="1" t="n">
        <v>46081</v>
      </c>
      <c r="D209" t="inlineStr">
        <is>
          <t>ÖREBRO LÄN</t>
        </is>
      </c>
      <c r="E209" t="inlineStr">
        <is>
          <t>ÖREBRO</t>
        </is>
      </c>
      <c r="F209" t="inlineStr">
        <is>
          <t>Kyrkan</t>
        </is>
      </c>
      <c r="G209" t="n">
        <v>3.2</v>
      </c>
      <c r="H209" t="n">
        <v>0</v>
      </c>
      <c r="I209" t="n">
        <v>0</v>
      </c>
      <c r="J209" t="n">
        <v>0</v>
      </c>
      <c r="K209" t="n">
        <v>0</v>
      </c>
      <c r="L209" t="n">
        <v>0</v>
      </c>
      <c r="M209" t="n">
        <v>0</v>
      </c>
      <c r="N209" t="n">
        <v>0</v>
      </c>
      <c r="O209" t="n">
        <v>0</v>
      </c>
      <c r="P209" t="n">
        <v>0</v>
      </c>
      <c r="Q209" t="n">
        <v>0</v>
      </c>
      <c r="R209" s="2" t="inlineStr"/>
    </row>
    <row r="210" ht="15" customHeight="1">
      <c r="A210" t="inlineStr">
        <is>
          <t>A 41995-2024</t>
        </is>
      </c>
      <c r="B210" s="1" t="n">
        <v>45561.6475462963</v>
      </c>
      <c r="C210" s="1" t="n">
        <v>46081</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46081</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16737-2023</t>
        </is>
      </c>
      <c r="B212" s="1" t="n">
        <v>45030.72472222222</v>
      </c>
      <c r="C212" s="1" t="n">
        <v>46081</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15866-2022</t>
        </is>
      </c>
      <c r="B213" s="1" t="n">
        <v>44664</v>
      </c>
      <c r="C213" s="1" t="n">
        <v>46081</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28120-2025</t>
        </is>
      </c>
      <c r="B214" s="1" t="n">
        <v>45818.30459490741</v>
      </c>
      <c r="C214" s="1" t="n">
        <v>46081</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2318-2023</t>
        </is>
      </c>
      <c r="B215" s="1" t="n">
        <v>44942</v>
      </c>
      <c r="C215" s="1" t="n">
        <v>46081</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48644-2024</t>
        </is>
      </c>
      <c r="B216" s="1" t="n">
        <v>45593.47466435185</v>
      </c>
      <c r="C216" s="1" t="n">
        <v>46081</v>
      </c>
      <c r="D216" t="inlineStr">
        <is>
          <t>ÖREBRO LÄN</t>
        </is>
      </c>
      <c r="E216" t="inlineStr">
        <is>
          <t>ÖREBRO</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5764-2022</t>
        </is>
      </c>
      <c r="B217" s="1" t="n">
        <v>44596</v>
      </c>
      <c r="C217" s="1" t="n">
        <v>46081</v>
      </c>
      <c r="D217" t="inlineStr">
        <is>
          <t>ÖREBRO LÄN</t>
        </is>
      </c>
      <c r="E217" t="inlineStr">
        <is>
          <t>ÖREBRO</t>
        </is>
      </c>
      <c r="G217" t="n">
        <v>3.5</v>
      </c>
      <c r="H217" t="n">
        <v>0</v>
      </c>
      <c r="I217" t="n">
        <v>0</v>
      </c>
      <c r="J217" t="n">
        <v>0</v>
      </c>
      <c r="K217" t="n">
        <v>0</v>
      </c>
      <c r="L217" t="n">
        <v>0</v>
      </c>
      <c r="M217" t="n">
        <v>0</v>
      </c>
      <c r="N217" t="n">
        <v>0</v>
      </c>
      <c r="O217" t="n">
        <v>0</v>
      </c>
      <c r="P217" t="n">
        <v>0</v>
      </c>
      <c r="Q217" t="n">
        <v>0</v>
      </c>
      <c r="R217" s="2" t="inlineStr"/>
    </row>
    <row r="218" ht="15" customHeight="1">
      <c r="A218" t="inlineStr">
        <is>
          <t>A 45027-2024</t>
        </is>
      </c>
      <c r="B218" s="1" t="n">
        <v>45575</v>
      </c>
      <c r="C218" s="1" t="n">
        <v>46081</v>
      </c>
      <c r="D218" t="inlineStr">
        <is>
          <t>ÖREBRO LÄN</t>
        </is>
      </c>
      <c r="E218" t="inlineStr">
        <is>
          <t>ÖREBRO</t>
        </is>
      </c>
      <c r="G218" t="n">
        <v>6.3</v>
      </c>
      <c r="H218" t="n">
        <v>0</v>
      </c>
      <c r="I218" t="n">
        <v>0</v>
      </c>
      <c r="J218" t="n">
        <v>0</v>
      </c>
      <c r="K218" t="n">
        <v>0</v>
      </c>
      <c r="L218" t="n">
        <v>0</v>
      </c>
      <c r="M218" t="n">
        <v>0</v>
      </c>
      <c r="N218" t="n">
        <v>0</v>
      </c>
      <c r="O218" t="n">
        <v>0</v>
      </c>
      <c r="P218" t="n">
        <v>0</v>
      </c>
      <c r="Q218" t="n">
        <v>0</v>
      </c>
      <c r="R218" s="2" t="inlineStr"/>
    </row>
    <row r="219" ht="15" customHeight="1">
      <c r="A219" t="inlineStr">
        <is>
          <t>A 40051-2024</t>
        </is>
      </c>
      <c r="B219" s="1" t="n">
        <v>45553</v>
      </c>
      <c r="C219" s="1" t="n">
        <v>46081</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41543-2024</t>
        </is>
      </c>
      <c r="B220" s="1" t="n">
        <v>45560</v>
      </c>
      <c r="C220" s="1" t="n">
        <v>46081</v>
      </c>
      <c r="D220" t="inlineStr">
        <is>
          <t>ÖREBRO LÄN</t>
        </is>
      </c>
      <c r="E220" t="inlineStr">
        <is>
          <t>ÖREBRO</t>
        </is>
      </c>
      <c r="G220" t="n">
        <v>2.8</v>
      </c>
      <c r="H220" t="n">
        <v>0</v>
      </c>
      <c r="I220" t="n">
        <v>0</v>
      </c>
      <c r="J220" t="n">
        <v>0</v>
      </c>
      <c r="K220" t="n">
        <v>0</v>
      </c>
      <c r="L220" t="n">
        <v>0</v>
      </c>
      <c r="M220" t="n">
        <v>0</v>
      </c>
      <c r="N220" t="n">
        <v>0</v>
      </c>
      <c r="O220" t="n">
        <v>0</v>
      </c>
      <c r="P220" t="n">
        <v>0</v>
      </c>
      <c r="Q220" t="n">
        <v>0</v>
      </c>
      <c r="R220" s="2" t="inlineStr"/>
    </row>
    <row r="221" ht="15" customHeight="1">
      <c r="A221" t="inlineStr">
        <is>
          <t>A 10799-2024</t>
        </is>
      </c>
      <c r="B221" s="1" t="n">
        <v>45369</v>
      </c>
      <c r="C221" s="1" t="n">
        <v>46081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16694-2025</t>
        </is>
      </c>
      <c r="B222" s="1" t="n">
        <v>45754.46480324074</v>
      </c>
      <c r="C222" s="1" t="n">
        <v>46081</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28938-2025</t>
        </is>
      </c>
      <c r="B223" s="1" t="n">
        <v>45820.70626157407</v>
      </c>
      <c r="C223" s="1" t="n">
        <v>46081</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49465-2024</t>
        </is>
      </c>
      <c r="B224" s="1" t="n">
        <v>45596</v>
      </c>
      <c r="C224" s="1" t="n">
        <v>46081</v>
      </c>
      <c r="D224" t="inlineStr">
        <is>
          <t>ÖREBRO LÄN</t>
        </is>
      </c>
      <c r="E224" t="inlineStr">
        <is>
          <t>ÖREBRO</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28920-2025</t>
        </is>
      </c>
      <c r="B225" s="1" t="n">
        <v>45820.66532407407</v>
      </c>
      <c r="C225" s="1" t="n">
        <v>46081</v>
      </c>
      <c r="D225" t="inlineStr">
        <is>
          <t>ÖREBRO LÄN</t>
        </is>
      </c>
      <c r="E225" t="inlineStr">
        <is>
          <t>ÖREBRO</t>
        </is>
      </c>
      <c r="G225" t="n">
        <v>3</v>
      </c>
      <c r="H225" t="n">
        <v>0</v>
      </c>
      <c r="I225" t="n">
        <v>0</v>
      </c>
      <c r="J225" t="n">
        <v>0</v>
      </c>
      <c r="K225" t="n">
        <v>0</v>
      </c>
      <c r="L225" t="n">
        <v>0</v>
      </c>
      <c r="M225" t="n">
        <v>0</v>
      </c>
      <c r="N225" t="n">
        <v>0</v>
      </c>
      <c r="O225" t="n">
        <v>0</v>
      </c>
      <c r="P225" t="n">
        <v>0</v>
      </c>
      <c r="Q225" t="n">
        <v>0</v>
      </c>
      <c r="R225" s="2" t="inlineStr"/>
    </row>
    <row r="226" ht="15" customHeight="1">
      <c r="A226" t="inlineStr">
        <is>
          <t>A 29286-2025</t>
        </is>
      </c>
      <c r="B226" s="1" t="n">
        <v>45824.43502314815</v>
      </c>
      <c r="C226" s="1" t="n">
        <v>46081</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29339-2025</t>
        </is>
      </c>
      <c r="B227" s="1" t="n">
        <v>45824.5044212963</v>
      </c>
      <c r="C227" s="1" t="n">
        <v>46081</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60059-2023</t>
        </is>
      </c>
      <c r="B228" s="1" t="n">
        <v>45258.38157407408</v>
      </c>
      <c r="C228" s="1" t="n">
        <v>46081</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46081</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26858-2024</t>
        </is>
      </c>
      <c r="B230" s="1" t="n">
        <v>45470</v>
      </c>
      <c r="C230" s="1" t="n">
        <v>46081</v>
      </c>
      <c r="D230" t="inlineStr">
        <is>
          <t>ÖREBRO LÄN</t>
        </is>
      </c>
      <c r="E230" t="inlineStr">
        <is>
          <t>ÖREBRO</t>
        </is>
      </c>
      <c r="G230" t="n">
        <v>2.3</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46081</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59121-2024</t>
        </is>
      </c>
      <c r="B232" s="1" t="n">
        <v>45637.37755787037</v>
      </c>
      <c r="C232" s="1" t="n">
        <v>46081</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49215-2023</t>
        </is>
      </c>
      <c r="B233" s="1" t="n">
        <v>45210.61050925926</v>
      </c>
      <c r="C233" s="1" t="n">
        <v>46081</v>
      </c>
      <c r="D233" t="inlineStr">
        <is>
          <t>ÖREBRO LÄN</t>
        </is>
      </c>
      <c r="E233" t="inlineStr">
        <is>
          <t>ÖREBRO</t>
        </is>
      </c>
      <c r="F233" t="inlineStr">
        <is>
          <t>Övriga Aktiebolag</t>
        </is>
      </c>
      <c r="G233" t="n">
        <v>4.2</v>
      </c>
      <c r="H233" t="n">
        <v>0</v>
      </c>
      <c r="I233" t="n">
        <v>0</v>
      </c>
      <c r="J233" t="n">
        <v>0</v>
      </c>
      <c r="K233" t="n">
        <v>0</v>
      </c>
      <c r="L233" t="n">
        <v>0</v>
      </c>
      <c r="M233" t="n">
        <v>0</v>
      </c>
      <c r="N233" t="n">
        <v>0</v>
      </c>
      <c r="O233" t="n">
        <v>0</v>
      </c>
      <c r="P233" t="n">
        <v>0</v>
      </c>
      <c r="Q233" t="n">
        <v>0</v>
      </c>
      <c r="R233" s="2" t="inlineStr"/>
    </row>
    <row r="234" ht="15" customHeight="1">
      <c r="A234" t="inlineStr">
        <is>
          <t>A 17983-2025</t>
        </is>
      </c>
      <c r="B234" s="1" t="n">
        <v>45761.38829861111</v>
      </c>
      <c r="C234" s="1" t="n">
        <v>46081</v>
      </c>
      <c r="D234" t="inlineStr">
        <is>
          <t>ÖREBRO LÄN</t>
        </is>
      </c>
      <c r="E234" t="inlineStr">
        <is>
          <t>ÖREBRO</t>
        </is>
      </c>
      <c r="G234" t="n">
        <v>0.8</v>
      </c>
      <c r="H234" t="n">
        <v>0</v>
      </c>
      <c r="I234" t="n">
        <v>0</v>
      </c>
      <c r="J234" t="n">
        <v>0</v>
      </c>
      <c r="K234" t="n">
        <v>0</v>
      </c>
      <c r="L234" t="n">
        <v>0</v>
      </c>
      <c r="M234" t="n">
        <v>0</v>
      </c>
      <c r="N234" t="n">
        <v>0</v>
      </c>
      <c r="O234" t="n">
        <v>0</v>
      </c>
      <c r="P234" t="n">
        <v>0</v>
      </c>
      <c r="Q234" t="n">
        <v>0</v>
      </c>
      <c r="R234" s="2" t="inlineStr"/>
    </row>
    <row r="235" ht="15" customHeight="1">
      <c r="A235" t="inlineStr">
        <is>
          <t>A 29701-2025</t>
        </is>
      </c>
      <c r="B235" s="1" t="n">
        <v>45825.55261574074</v>
      </c>
      <c r="C235" s="1" t="n">
        <v>46081</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30550-2025</t>
        </is>
      </c>
      <c r="B236" s="1" t="n">
        <v>45831.38224537037</v>
      </c>
      <c r="C236" s="1" t="n">
        <v>46081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30731-2025</t>
        </is>
      </c>
      <c r="B237" s="1" t="n">
        <v>45831.57280092593</v>
      </c>
      <c r="C237" s="1" t="n">
        <v>46081</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55692-2023</t>
        </is>
      </c>
      <c r="B238" s="1" t="n">
        <v>45239</v>
      </c>
      <c r="C238" s="1" t="n">
        <v>46081</v>
      </c>
      <c r="D238" t="inlineStr">
        <is>
          <t>ÖREBRO LÄN</t>
        </is>
      </c>
      <c r="E238" t="inlineStr">
        <is>
          <t>ÖREBRO</t>
        </is>
      </c>
      <c r="F238" t="inlineStr">
        <is>
          <t>Övriga Aktiebolag</t>
        </is>
      </c>
      <c r="G238" t="n">
        <v>0.4</v>
      </c>
      <c r="H238" t="n">
        <v>0</v>
      </c>
      <c r="I238" t="n">
        <v>0</v>
      </c>
      <c r="J238" t="n">
        <v>0</v>
      </c>
      <c r="K238" t="n">
        <v>0</v>
      </c>
      <c r="L238" t="n">
        <v>0</v>
      </c>
      <c r="M238" t="n">
        <v>0</v>
      </c>
      <c r="N238" t="n">
        <v>0</v>
      </c>
      <c r="O238" t="n">
        <v>0</v>
      </c>
      <c r="P238" t="n">
        <v>0</v>
      </c>
      <c r="Q238" t="n">
        <v>0</v>
      </c>
      <c r="R238" s="2" t="inlineStr"/>
    </row>
    <row r="239" ht="15" customHeight="1">
      <c r="A239" t="inlineStr">
        <is>
          <t>A 41669-2025</t>
        </is>
      </c>
      <c r="B239" s="1" t="n">
        <v>45902.36149305556</v>
      </c>
      <c r="C239" s="1" t="n">
        <v>46081</v>
      </c>
      <c r="D239" t="inlineStr">
        <is>
          <t>ÖREBRO LÄN</t>
        </is>
      </c>
      <c r="E239" t="inlineStr">
        <is>
          <t>ÖREBRO</t>
        </is>
      </c>
      <c r="G239" t="n">
        <v>2.8</v>
      </c>
      <c r="H239" t="n">
        <v>0</v>
      </c>
      <c r="I239" t="n">
        <v>0</v>
      </c>
      <c r="J239" t="n">
        <v>0</v>
      </c>
      <c r="K239" t="n">
        <v>0</v>
      </c>
      <c r="L239" t="n">
        <v>0</v>
      </c>
      <c r="M239" t="n">
        <v>0</v>
      </c>
      <c r="N239" t="n">
        <v>0</v>
      </c>
      <c r="O239" t="n">
        <v>0</v>
      </c>
      <c r="P239" t="n">
        <v>0</v>
      </c>
      <c r="Q239" t="n">
        <v>0</v>
      </c>
      <c r="R239" s="2" t="inlineStr"/>
    </row>
    <row r="240" ht="15" customHeight="1">
      <c r="A240" t="inlineStr">
        <is>
          <t>A 41412-2025</t>
        </is>
      </c>
      <c r="B240" s="1" t="n">
        <v>45901.3549537037</v>
      </c>
      <c r="C240" s="1" t="n">
        <v>46081</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30951-2025</t>
        </is>
      </c>
      <c r="B241" s="1" t="n">
        <v>45832.43225694444</v>
      </c>
      <c r="C241" s="1" t="n">
        <v>46081</v>
      </c>
      <c r="D241" t="inlineStr">
        <is>
          <t>ÖREBRO LÄN</t>
        </is>
      </c>
      <c r="E241" t="inlineStr">
        <is>
          <t>ÖREBRO</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14715-2024</t>
        </is>
      </c>
      <c r="B242" s="1" t="n">
        <v>45397.5500462963</v>
      </c>
      <c r="C242" s="1" t="n">
        <v>46081</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46081</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12682-2023</t>
        </is>
      </c>
      <c r="B244" s="1" t="n">
        <v>45000.6115625</v>
      </c>
      <c r="C244" s="1" t="n">
        <v>46081</v>
      </c>
      <c r="D244" t="inlineStr">
        <is>
          <t>ÖREBRO LÄN</t>
        </is>
      </c>
      <c r="E244" t="inlineStr">
        <is>
          <t>ÖREBRO</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13592-2023</t>
        </is>
      </c>
      <c r="B245" s="1" t="n">
        <v>45006.56870370371</v>
      </c>
      <c r="C245" s="1" t="n">
        <v>46081</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10368-2021</t>
        </is>
      </c>
      <c r="B246" s="1" t="n">
        <v>44257</v>
      </c>
      <c r="C246" s="1" t="n">
        <v>46081</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46081</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46081</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31237-2025</t>
        </is>
      </c>
      <c r="B249" s="1" t="n">
        <v>45832.84313657408</v>
      </c>
      <c r="C249" s="1" t="n">
        <v>46081</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59736-2023</t>
        </is>
      </c>
      <c r="B250" s="1" t="n">
        <v>45257.374375</v>
      </c>
      <c r="C250" s="1" t="n">
        <v>46081</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46081</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49029-2024</t>
        </is>
      </c>
      <c r="B252" s="1" t="n">
        <v>45594</v>
      </c>
      <c r="C252" s="1" t="n">
        <v>46081</v>
      </c>
      <c r="D252" t="inlineStr">
        <is>
          <t>ÖREBRO LÄN</t>
        </is>
      </c>
      <c r="E252" t="inlineStr">
        <is>
          <t>ÖREBRO</t>
        </is>
      </c>
      <c r="G252" t="n">
        <v>3.7</v>
      </c>
      <c r="H252" t="n">
        <v>0</v>
      </c>
      <c r="I252" t="n">
        <v>0</v>
      </c>
      <c r="J252" t="n">
        <v>0</v>
      </c>
      <c r="K252" t="n">
        <v>0</v>
      </c>
      <c r="L252" t="n">
        <v>0</v>
      </c>
      <c r="M252" t="n">
        <v>0</v>
      </c>
      <c r="N252" t="n">
        <v>0</v>
      </c>
      <c r="O252" t="n">
        <v>0</v>
      </c>
      <c r="P252" t="n">
        <v>0</v>
      </c>
      <c r="Q252" t="n">
        <v>0</v>
      </c>
      <c r="R252" s="2" t="inlineStr"/>
    </row>
    <row r="253" ht="15" customHeight="1">
      <c r="A253" t="inlineStr">
        <is>
          <t>A 20115-2024</t>
        </is>
      </c>
      <c r="B253" s="1" t="n">
        <v>45434</v>
      </c>
      <c r="C253" s="1" t="n">
        <v>46081</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32218-2025</t>
        </is>
      </c>
      <c r="B254" s="1" t="n">
        <v>45835.58880787037</v>
      </c>
      <c r="C254" s="1" t="n">
        <v>46081</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55875-2024</t>
        </is>
      </c>
      <c r="B255" s="1" t="n">
        <v>45623.55375</v>
      </c>
      <c r="C255" s="1" t="n">
        <v>46081</v>
      </c>
      <c r="D255" t="inlineStr">
        <is>
          <t>ÖREBRO LÄN</t>
        </is>
      </c>
      <c r="E255" t="inlineStr">
        <is>
          <t>ÖREBRO</t>
        </is>
      </c>
      <c r="G255" t="n">
        <v>3.5</v>
      </c>
      <c r="H255" t="n">
        <v>0</v>
      </c>
      <c r="I255" t="n">
        <v>0</v>
      </c>
      <c r="J255" t="n">
        <v>0</v>
      </c>
      <c r="K255" t="n">
        <v>0</v>
      </c>
      <c r="L255" t="n">
        <v>0</v>
      </c>
      <c r="M255" t="n">
        <v>0</v>
      </c>
      <c r="N255" t="n">
        <v>0</v>
      </c>
      <c r="O255" t="n">
        <v>0</v>
      </c>
      <c r="P255" t="n">
        <v>0</v>
      </c>
      <c r="Q255" t="n">
        <v>0</v>
      </c>
      <c r="R255" s="2" t="inlineStr"/>
    </row>
    <row r="256" ht="15" customHeight="1">
      <c r="A256" t="inlineStr">
        <is>
          <t>A 32188-2025</t>
        </is>
      </c>
      <c r="B256" s="1" t="n">
        <v>45835.56965277778</v>
      </c>
      <c r="C256" s="1" t="n">
        <v>46081</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32195-2025</t>
        </is>
      </c>
      <c r="B257" s="1" t="n">
        <v>45835.57407407407</v>
      </c>
      <c r="C257" s="1" t="n">
        <v>46081</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23710-2022</t>
        </is>
      </c>
      <c r="B258" s="1" t="n">
        <v>44722</v>
      </c>
      <c r="C258" s="1" t="n">
        <v>46081</v>
      </c>
      <c r="D258" t="inlineStr">
        <is>
          <t>ÖREBRO LÄN</t>
        </is>
      </c>
      <c r="E258" t="inlineStr">
        <is>
          <t>ÖREBRO</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33191-2025</t>
        </is>
      </c>
      <c r="B259" s="1" t="n">
        <v>45840.6003587963</v>
      </c>
      <c r="C259" s="1" t="n">
        <v>46081</v>
      </c>
      <c r="D259" t="inlineStr">
        <is>
          <t>ÖREBRO LÄN</t>
        </is>
      </c>
      <c r="E259" t="inlineStr">
        <is>
          <t>ÖREBRO</t>
        </is>
      </c>
      <c r="G259" t="n">
        <v>2.6</v>
      </c>
      <c r="H259" t="n">
        <v>0</v>
      </c>
      <c r="I259" t="n">
        <v>0</v>
      </c>
      <c r="J259" t="n">
        <v>0</v>
      </c>
      <c r="K259" t="n">
        <v>0</v>
      </c>
      <c r="L259" t="n">
        <v>0</v>
      </c>
      <c r="M259" t="n">
        <v>0</v>
      </c>
      <c r="N259" t="n">
        <v>0</v>
      </c>
      <c r="O259" t="n">
        <v>0</v>
      </c>
      <c r="P259" t="n">
        <v>0</v>
      </c>
      <c r="Q259" t="n">
        <v>0</v>
      </c>
      <c r="R259" s="2" t="inlineStr"/>
    </row>
    <row r="260" ht="15" customHeight="1">
      <c r="A260" t="inlineStr">
        <is>
          <t>A 10470-2025</t>
        </is>
      </c>
      <c r="B260" s="1" t="n">
        <v>45720</v>
      </c>
      <c r="C260" s="1" t="n">
        <v>46081</v>
      </c>
      <c r="D260" t="inlineStr">
        <is>
          <t>ÖREBRO LÄN</t>
        </is>
      </c>
      <c r="E260" t="inlineStr">
        <is>
          <t>ÖREBRO</t>
        </is>
      </c>
      <c r="G260" t="n">
        <v>11.5</v>
      </c>
      <c r="H260" t="n">
        <v>0</v>
      </c>
      <c r="I260" t="n">
        <v>0</v>
      </c>
      <c r="J260" t="n">
        <v>0</v>
      </c>
      <c r="K260" t="n">
        <v>0</v>
      </c>
      <c r="L260" t="n">
        <v>0</v>
      </c>
      <c r="M260" t="n">
        <v>0</v>
      </c>
      <c r="N260" t="n">
        <v>0</v>
      </c>
      <c r="O260" t="n">
        <v>0</v>
      </c>
      <c r="P260" t="n">
        <v>0</v>
      </c>
      <c r="Q260" t="n">
        <v>0</v>
      </c>
      <c r="R260" s="2" t="inlineStr"/>
    </row>
    <row r="261" ht="15" customHeight="1">
      <c r="A261" t="inlineStr">
        <is>
          <t>A 46056-2024</t>
        </is>
      </c>
      <c r="B261" s="1" t="n">
        <v>45580.91502314815</v>
      </c>
      <c r="C261" s="1" t="n">
        <v>46081</v>
      </c>
      <c r="D261" t="inlineStr">
        <is>
          <t>ÖREBRO LÄN</t>
        </is>
      </c>
      <c r="E261" t="inlineStr">
        <is>
          <t>ÖREBRO</t>
        </is>
      </c>
      <c r="F261" t="inlineStr">
        <is>
          <t>Övriga Aktiebolag</t>
        </is>
      </c>
      <c r="G261" t="n">
        <v>4.5</v>
      </c>
      <c r="H261" t="n">
        <v>0</v>
      </c>
      <c r="I261" t="n">
        <v>0</v>
      </c>
      <c r="J261" t="n">
        <v>0</v>
      </c>
      <c r="K261" t="n">
        <v>0</v>
      </c>
      <c r="L261" t="n">
        <v>0</v>
      </c>
      <c r="M261" t="n">
        <v>0</v>
      </c>
      <c r="N261" t="n">
        <v>0</v>
      </c>
      <c r="O261" t="n">
        <v>0</v>
      </c>
      <c r="P261" t="n">
        <v>0</v>
      </c>
      <c r="Q261" t="n">
        <v>0</v>
      </c>
      <c r="R261" s="2" t="inlineStr"/>
    </row>
    <row r="262" ht="15" customHeight="1">
      <c r="A262" t="inlineStr">
        <is>
          <t>A 32426-2025</t>
        </is>
      </c>
      <c r="B262" s="1" t="n">
        <v>45838.36179398148</v>
      </c>
      <c r="C262" s="1" t="n">
        <v>46081</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13355-2023</t>
        </is>
      </c>
      <c r="B263" s="1" t="n">
        <v>45004</v>
      </c>
      <c r="C263" s="1" t="n">
        <v>46081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32904-2025</t>
        </is>
      </c>
      <c r="B264" s="1" t="n">
        <v>45839</v>
      </c>
      <c r="C264" s="1" t="n">
        <v>46081</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6522-2023</t>
        </is>
      </c>
      <c r="B265" s="1" t="n">
        <v>44966</v>
      </c>
      <c r="C265" s="1" t="n">
        <v>46081</v>
      </c>
      <c r="D265" t="inlineStr">
        <is>
          <t>ÖREBRO LÄN</t>
        </is>
      </c>
      <c r="E265" t="inlineStr">
        <is>
          <t>ÖREBRO</t>
        </is>
      </c>
      <c r="G265" t="n">
        <v>4.4</v>
      </c>
      <c r="H265" t="n">
        <v>0</v>
      </c>
      <c r="I265" t="n">
        <v>0</v>
      </c>
      <c r="J265" t="n">
        <v>0</v>
      </c>
      <c r="K265" t="n">
        <v>0</v>
      </c>
      <c r="L265" t="n">
        <v>0</v>
      </c>
      <c r="M265" t="n">
        <v>0</v>
      </c>
      <c r="N265" t="n">
        <v>0</v>
      </c>
      <c r="O265" t="n">
        <v>0</v>
      </c>
      <c r="P265" t="n">
        <v>0</v>
      </c>
      <c r="Q265" t="n">
        <v>0</v>
      </c>
      <c r="R265" s="2" t="inlineStr"/>
    </row>
    <row r="266" ht="15" customHeight="1">
      <c r="A266" t="inlineStr">
        <is>
          <t>A 56040-2024</t>
        </is>
      </c>
      <c r="B266" s="1" t="n">
        <v>45624.3344212963</v>
      </c>
      <c r="C266" s="1" t="n">
        <v>46081</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52444-2024</t>
        </is>
      </c>
      <c r="B267" s="1" t="n">
        <v>45609.48894675926</v>
      </c>
      <c r="C267" s="1" t="n">
        <v>46081</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46081</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16140-2023</t>
        </is>
      </c>
      <c r="B269" s="1" t="n">
        <v>45027.6433912037</v>
      </c>
      <c r="C269" s="1" t="n">
        <v>46081</v>
      </c>
      <c r="D269" t="inlineStr">
        <is>
          <t>ÖREBRO LÄN</t>
        </is>
      </c>
      <c r="E269" t="inlineStr">
        <is>
          <t>ÖREBRO</t>
        </is>
      </c>
      <c r="G269" t="n">
        <v>2</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46081</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34056-2023</t>
        </is>
      </c>
      <c r="B271" s="1" t="n">
        <v>45135</v>
      </c>
      <c r="C271" s="1" t="n">
        <v>46081</v>
      </c>
      <c r="D271" t="inlineStr">
        <is>
          <t>ÖREBRO LÄN</t>
        </is>
      </c>
      <c r="E271" t="inlineStr">
        <is>
          <t>ÖREBRO</t>
        </is>
      </c>
      <c r="F271" t="inlineStr">
        <is>
          <t>Övriga Aktiebolag</t>
        </is>
      </c>
      <c r="G271" t="n">
        <v>4.1</v>
      </c>
      <c r="H271" t="n">
        <v>0</v>
      </c>
      <c r="I271" t="n">
        <v>0</v>
      </c>
      <c r="J271" t="n">
        <v>0</v>
      </c>
      <c r="K271" t="n">
        <v>0</v>
      </c>
      <c r="L271" t="n">
        <v>0</v>
      </c>
      <c r="M271" t="n">
        <v>0</v>
      </c>
      <c r="N271" t="n">
        <v>0</v>
      </c>
      <c r="O271" t="n">
        <v>0</v>
      </c>
      <c r="P271" t="n">
        <v>0</v>
      </c>
      <c r="Q271" t="n">
        <v>0</v>
      </c>
      <c r="R271" s="2" t="inlineStr"/>
    </row>
    <row r="272" ht="15" customHeight="1">
      <c r="A272" t="inlineStr">
        <is>
          <t>A 33457-2023</t>
        </is>
      </c>
      <c r="B272" s="1" t="n">
        <v>45131</v>
      </c>
      <c r="C272" s="1" t="n">
        <v>46081</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45237-2023</t>
        </is>
      </c>
      <c r="B273" s="1" t="n">
        <v>45191</v>
      </c>
      <c r="C273" s="1" t="n">
        <v>46081</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48687-2024</t>
        </is>
      </c>
      <c r="B274" s="1" t="n">
        <v>45593.49899305555</v>
      </c>
      <c r="C274" s="1" t="n">
        <v>46081</v>
      </c>
      <c r="D274" t="inlineStr">
        <is>
          <t>ÖREBRO LÄN</t>
        </is>
      </c>
      <c r="E274" t="inlineStr">
        <is>
          <t>ÖREBRO</t>
        </is>
      </c>
      <c r="F274" t="inlineStr">
        <is>
          <t>Övriga Aktiebolag</t>
        </is>
      </c>
      <c r="G274" t="n">
        <v>3.8</v>
      </c>
      <c r="H274" t="n">
        <v>0</v>
      </c>
      <c r="I274" t="n">
        <v>0</v>
      </c>
      <c r="J274" t="n">
        <v>0</v>
      </c>
      <c r="K274" t="n">
        <v>0</v>
      </c>
      <c r="L274" t="n">
        <v>0</v>
      </c>
      <c r="M274" t="n">
        <v>0</v>
      </c>
      <c r="N274" t="n">
        <v>0</v>
      </c>
      <c r="O274" t="n">
        <v>0</v>
      </c>
      <c r="P274" t="n">
        <v>0</v>
      </c>
      <c r="Q274" t="n">
        <v>0</v>
      </c>
      <c r="R274" s="2" t="inlineStr"/>
    </row>
    <row r="275" ht="15" customHeight="1">
      <c r="A275" t="inlineStr">
        <is>
          <t>A 51180-2023</t>
        </is>
      </c>
      <c r="B275" s="1" t="n">
        <v>45219</v>
      </c>
      <c r="C275" s="1" t="n">
        <v>46081</v>
      </c>
      <c r="D275" t="inlineStr">
        <is>
          <t>ÖREBRO LÄN</t>
        </is>
      </c>
      <c r="E275" t="inlineStr">
        <is>
          <t>ÖREBRO</t>
        </is>
      </c>
      <c r="G275" t="n">
        <v>6.5</v>
      </c>
      <c r="H275" t="n">
        <v>0</v>
      </c>
      <c r="I275" t="n">
        <v>0</v>
      </c>
      <c r="J275" t="n">
        <v>0</v>
      </c>
      <c r="K275" t="n">
        <v>0</v>
      </c>
      <c r="L275" t="n">
        <v>0</v>
      </c>
      <c r="M275" t="n">
        <v>0</v>
      </c>
      <c r="N275" t="n">
        <v>0</v>
      </c>
      <c r="O275" t="n">
        <v>0</v>
      </c>
      <c r="P275" t="n">
        <v>0</v>
      </c>
      <c r="Q275" t="n">
        <v>0</v>
      </c>
      <c r="R275" s="2" t="inlineStr"/>
    </row>
    <row r="276" ht="15" customHeight="1">
      <c r="A276" t="inlineStr">
        <is>
          <t>A 60028-2024</t>
        </is>
      </c>
      <c r="B276" s="1" t="n">
        <v>45642</v>
      </c>
      <c r="C276" s="1" t="n">
        <v>46081</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33294-2023</t>
        </is>
      </c>
      <c r="B277" s="1" t="n">
        <v>45127</v>
      </c>
      <c r="C277" s="1" t="n">
        <v>46081</v>
      </c>
      <c r="D277" t="inlineStr">
        <is>
          <t>ÖREBRO LÄN</t>
        </is>
      </c>
      <c r="E277" t="inlineStr">
        <is>
          <t>ÖREBRO</t>
        </is>
      </c>
      <c r="F277" t="inlineStr">
        <is>
          <t>Övriga Aktiebolag</t>
        </is>
      </c>
      <c r="G277" t="n">
        <v>6.7</v>
      </c>
      <c r="H277" t="n">
        <v>0</v>
      </c>
      <c r="I277" t="n">
        <v>0</v>
      </c>
      <c r="J277" t="n">
        <v>0</v>
      </c>
      <c r="K277" t="n">
        <v>0</v>
      </c>
      <c r="L277" t="n">
        <v>0</v>
      </c>
      <c r="M277" t="n">
        <v>0</v>
      </c>
      <c r="N277" t="n">
        <v>0</v>
      </c>
      <c r="O277" t="n">
        <v>0</v>
      </c>
      <c r="P277" t="n">
        <v>0</v>
      </c>
      <c r="Q277" t="n">
        <v>0</v>
      </c>
      <c r="R277" s="2" t="inlineStr"/>
    </row>
    <row r="278" ht="15" customHeight="1">
      <c r="A278" t="inlineStr">
        <is>
          <t>A 35062-2025</t>
        </is>
      </c>
      <c r="B278" s="1" t="n">
        <v>45852</v>
      </c>
      <c r="C278" s="1" t="n">
        <v>46081</v>
      </c>
      <c r="D278" t="inlineStr">
        <is>
          <t>ÖREBRO LÄN</t>
        </is>
      </c>
      <c r="E278" t="inlineStr">
        <is>
          <t>ÖREBRO</t>
        </is>
      </c>
      <c r="G278" t="n">
        <v>2.8</v>
      </c>
      <c r="H278" t="n">
        <v>0</v>
      </c>
      <c r="I278" t="n">
        <v>0</v>
      </c>
      <c r="J278" t="n">
        <v>0</v>
      </c>
      <c r="K278" t="n">
        <v>0</v>
      </c>
      <c r="L278" t="n">
        <v>0</v>
      </c>
      <c r="M278" t="n">
        <v>0</v>
      </c>
      <c r="N278" t="n">
        <v>0</v>
      </c>
      <c r="O278" t="n">
        <v>0</v>
      </c>
      <c r="P278" t="n">
        <v>0</v>
      </c>
      <c r="Q278" t="n">
        <v>0</v>
      </c>
      <c r="R278" s="2" t="inlineStr"/>
    </row>
    <row r="279" ht="15" customHeight="1">
      <c r="A279" t="inlineStr">
        <is>
          <t>A 13857-2022</t>
        </is>
      </c>
      <c r="B279" s="1" t="n">
        <v>44649</v>
      </c>
      <c r="C279" s="1" t="n">
        <v>46081</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61078-2024</t>
        </is>
      </c>
      <c r="B280" s="1" t="n">
        <v>45645.51034722223</v>
      </c>
      <c r="C280" s="1" t="n">
        <v>46081</v>
      </c>
      <c r="D280" t="inlineStr">
        <is>
          <t>ÖREBRO LÄN</t>
        </is>
      </c>
      <c r="E280" t="inlineStr">
        <is>
          <t>ÖREBRO</t>
        </is>
      </c>
      <c r="G280" t="n">
        <v>4.1</v>
      </c>
      <c r="H280" t="n">
        <v>0</v>
      </c>
      <c r="I280" t="n">
        <v>0</v>
      </c>
      <c r="J280" t="n">
        <v>0</v>
      </c>
      <c r="K280" t="n">
        <v>0</v>
      </c>
      <c r="L280" t="n">
        <v>0</v>
      </c>
      <c r="M280" t="n">
        <v>0</v>
      </c>
      <c r="N280" t="n">
        <v>0</v>
      </c>
      <c r="O280" t="n">
        <v>0</v>
      </c>
      <c r="P280" t="n">
        <v>0</v>
      </c>
      <c r="Q280" t="n">
        <v>0</v>
      </c>
      <c r="R280" s="2" t="inlineStr"/>
    </row>
    <row r="281" ht="15" customHeight="1">
      <c r="A281" t="inlineStr">
        <is>
          <t>A 12871-2021</t>
        </is>
      </c>
      <c r="B281" s="1" t="n">
        <v>44271.42121527778</v>
      </c>
      <c r="C281" s="1" t="n">
        <v>46081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13158-2024</t>
        </is>
      </c>
      <c r="B282" s="1" t="n">
        <v>45386.38728009259</v>
      </c>
      <c r="C282" s="1" t="n">
        <v>46081</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13181-2023</t>
        </is>
      </c>
      <c r="B283" s="1" t="n">
        <v>45002.60659722222</v>
      </c>
      <c r="C283" s="1" t="n">
        <v>46081</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25996-2024</t>
        </is>
      </c>
      <c r="B284" s="1" t="n">
        <v>45467.89081018518</v>
      </c>
      <c r="C284" s="1" t="n">
        <v>46081</v>
      </c>
      <c r="D284" t="inlineStr">
        <is>
          <t>ÖREBRO LÄN</t>
        </is>
      </c>
      <c r="E284" t="inlineStr">
        <is>
          <t>ÖREBRO</t>
        </is>
      </c>
      <c r="G284" t="n">
        <v>4.7</v>
      </c>
      <c r="H284" t="n">
        <v>0</v>
      </c>
      <c r="I284" t="n">
        <v>0</v>
      </c>
      <c r="J284" t="n">
        <v>0</v>
      </c>
      <c r="K284" t="n">
        <v>0</v>
      </c>
      <c r="L284" t="n">
        <v>0</v>
      </c>
      <c r="M284" t="n">
        <v>0</v>
      </c>
      <c r="N284" t="n">
        <v>0</v>
      </c>
      <c r="O284" t="n">
        <v>0</v>
      </c>
      <c r="P284" t="n">
        <v>0</v>
      </c>
      <c r="Q284" t="n">
        <v>0</v>
      </c>
      <c r="R284" s="2" t="inlineStr"/>
    </row>
    <row r="285" ht="15" customHeight="1">
      <c r="A285" t="inlineStr">
        <is>
          <t>A 16676-2025</t>
        </is>
      </c>
      <c r="B285" s="1" t="n">
        <v>45754.44658564815</v>
      </c>
      <c r="C285" s="1" t="n">
        <v>46081</v>
      </c>
      <c r="D285" t="inlineStr">
        <is>
          <t>ÖREBRO LÄN</t>
        </is>
      </c>
      <c r="E285" t="inlineStr">
        <is>
          <t>ÖREBRO</t>
        </is>
      </c>
      <c r="G285" t="n">
        <v>5.8</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46081</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28821-2025</t>
        </is>
      </c>
      <c r="B287" s="1" t="n">
        <v>45820</v>
      </c>
      <c r="C287" s="1" t="n">
        <v>46081</v>
      </c>
      <c r="D287" t="inlineStr">
        <is>
          <t>ÖREBRO LÄN</t>
        </is>
      </c>
      <c r="E287" t="inlineStr">
        <is>
          <t>ÖREBRO</t>
        </is>
      </c>
      <c r="G287" t="n">
        <v>12.6</v>
      </c>
      <c r="H287" t="n">
        <v>0</v>
      </c>
      <c r="I287" t="n">
        <v>0</v>
      </c>
      <c r="J287" t="n">
        <v>0</v>
      </c>
      <c r="K287" t="n">
        <v>0</v>
      </c>
      <c r="L287" t="n">
        <v>0</v>
      </c>
      <c r="M287" t="n">
        <v>0</v>
      </c>
      <c r="N287" t="n">
        <v>0</v>
      </c>
      <c r="O287" t="n">
        <v>0</v>
      </c>
      <c r="P287" t="n">
        <v>0</v>
      </c>
      <c r="Q287" t="n">
        <v>0</v>
      </c>
      <c r="R287" s="2" t="inlineStr"/>
    </row>
    <row r="288" ht="15" customHeight="1">
      <c r="A288" t="inlineStr">
        <is>
          <t>A 8274-2025</t>
        </is>
      </c>
      <c r="B288" s="1" t="n">
        <v>45708</v>
      </c>
      <c r="C288" s="1" t="n">
        <v>46081</v>
      </c>
      <c r="D288" t="inlineStr">
        <is>
          <t>ÖREBRO LÄN</t>
        </is>
      </c>
      <c r="E288" t="inlineStr">
        <is>
          <t>ÖREBRO</t>
        </is>
      </c>
      <c r="G288" t="n">
        <v>5.8</v>
      </c>
      <c r="H288" t="n">
        <v>0</v>
      </c>
      <c r="I288" t="n">
        <v>0</v>
      </c>
      <c r="J288" t="n">
        <v>0</v>
      </c>
      <c r="K288" t="n">
        <v>0</v>
      </c>
      <c r="L288" t="n">
        <v>0</v>
      </c>
      <c r="M288" t="n">
        <v>0</v>
      </c>
      <c r="N288" t="n">
        <v>0</v>
      </c>
      <c r="O288" t="n">
        <v>0</v>
      </c>
      <c r="P288" t="n">
        <v>0</v>
      </c>
      <c r="Q288" t="n">
        <v>0</v>
      </c>
      <c r="R288" s="2" t="inlineStr"/>
    </row>
    <row r="289" ht="15" customHeight="1">
      <c r="A289" t="inlineStr">
        <is>
          <t>A 58620-2024</t>
        </is>
      </c>
      <c r="B289" s="1" t="n">
        <v>45635.56246527778</v>
      </c>
      <c r="C289" s="1" t="n">
        <v>46081</v>
      </c>
      <c r="D289" t="inlineStr">
        <is>
          <t>ÖREBRO LÄN</t>
        </is>
      </c>
      <c r="E289" t="inlineStr">
        <is>
          <t>ÖREBRO</t>
        </is>
      </c>
      <c r="F289" t="inlineStr">
        <is>
          <t>Sveaskog</t>
        </is>
      </c>
      <c r="G289" t="n">
        <v>4.5</v>
      </c>
      <c r="H289" t="n">
        <v>0</v>
      </c>
      <c r="I289" t="n">
        <v>0</v>
      </c>
      <c r="J289" t="n">
        <v>0</v>
      </c>
      <c r="K289" t="n">
        <v>0</v>
      </c>
      <c r="L289" t="n">
        <v>0</v>
      </c>
      <c r="M289" t="n">
        <v>0</v>
      </c>
      <c r="N289" t="n">
        <v>0</v>
      </c>
      <c r="O289" t="n">
        <v>0</v>
      </c>
      <c r="P289" t="n">
        <v>0</v>
      </c>
      <c r="Q289" t="n">
        <v>0</v>
      </c>
      <c r="R289" s="2" t="inlineStr"/>
    </row>
    <row r="290" ht="15" customHeight="1">
      <c r="A290" t="inlineStr">
        <is>
          <t>A 44875-2025</t>
        </is>
      </c>
      <c r="B290" s="1" t="n">
        <v>45918.47043981482</v>
      </c>
      <c r="C290" s="1" t="n">
        <v>46081</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35637-2025</t>
        </is>
      </c>
      <c r="B291" s="1" t="n">
        <v>45859.46859953704</v>
      </c>
      <c r="C291" s="1" t="n">
        <v>46081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35928-2025</t>
        </is>
      </c>
      <c r="B292" s="1" t="n">
        <v>45862</v>
      </c>
      <c r="C292" s="1" t="n">
        <v>46081</v>
      </c>
      <c r="D292" t="inlineStr">
        <is>
          <t>ÖREBRO LÄN</t>
        </is>
      </c>
      <c r="E292" t="inlineStr">
        <is>
          <t>ÖREBRO</t>
        </is>
      </c>
      <c r="G292" t="n">
        <v>4.4</v>
      </c>
      <c r="H292" t="n">
        <v>0</v>
      </c>
      <c r="I292" t="n">
        <v>0</v>
      </c>
      <c r="J292" t="n">
        <v>0</v>
      </c>
      <c r="K292" t="n">
        <v>0</v>
      </c>
      <c r="L292" t="n">
        <v>0</v>
      </c>
      <c r="M292" t="n">
        <v>0</v>
      </c>
      <c r="N292" t="n">
        <v>0</v>
      </c>
      <c r="O292" t="n">
        <v>0</v>
      </c>
      <c r="P292" t="n">
        <v>0</v>
      </c>
      <c r="Q292" t="n">
        <v>0</v>
      </c>
      <c r="R292" s="2" t="inlineStr"/>
    </row>
    <row r="293" ht="15" customHeight="1">
      <c r="A293" t="inlineStr">
        <is>
          <t>A 55453-2024</t>
        </is>
      </c>
      <c r="B293" s="1" t="n">
        <v>45622.42097222222</v>
      </c>
      <c r="C293" s="1" t="n">
        <v>46081</v>
      </c>
      <c r="D293" t="inlineStr">
        <is>
          <t>ÖREBRO LÄN</t>
        </is>
      </c>
      <c r="E293" t="inlineStr">
        <is>
          <t>ÖREBRO</t>
        </is>
      </c>
      <c r="G293" t="n">
        <v>8.5</v>
      </c>
      <c r="H293" t="n">
        <v>0</v>
      </c>
      <c r="I293" t="n">
        <v>0</v>
      </c>
      <c r="J293" t="n">
        <v>0</v>
      </c>
      <c r="K293" t="n">
        <v>0</v>
      </c>
      <c r="L293" t="n">
        <v>0</v>
      </c>
      <c r="M293" t="n">
        <v>0</v>
      </c>
      <c r="N293" t="n">
        <v>0</v>
      </c>
      <c r="O293" t="n">
        <v>0</v>
      </c>
      <c r="P293" t="n">
        <v>0</v>
      </c>
      <c r="Q293" t="n">
        <v>0</v>
      </c>
      <c r="R293" s="2" t="inlineStr"/>
    </row>
    <row r="294" ht="15" customHeight="1">
      <c r="A294" t="inlineStr">
        <is>
          <t>A 44960-2025</t>
        </is>
      </c>
      <c r="B294" s="1" t="n">
        <v>45918.61577546296</v>
      </c>
      <c r="C294" s="1" t="n">
        <v>46081</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7141-2025</t>
        </is>
      </c>
      <c r="B295" s="1" t="n">
        <v>45702</v>
      </c>
      <c r="C295" s="1" t="n">
        <v>46081</v>
      </c>
      <c r="D295" t="inlineStr">
        <is>
          <t>ÖREBRO LÄN</t>
        </is>
      </c>
      <c r="E295" t="inlineStr">
        <is>
          <t>ÖREBRO</t>
        </is>
      </c>
      <c r="G295" t="n">
        <v>2.9</v>
      </c>
      <c r="H295" t="n">
        <v>0</v>
      </c>
      <c r="I295" t="n">
        <v>0</v>
      </c>
      <c r="J295" t="n">
        <v>0</v>
      </c>
      <c r="K295" t="n">
        <v>0</v>
      </c>
      <c r="L295" t="n">
        <v>0</v>
      </c>
      <c r="M295" t="n">
        <v>0</v>
      </c>
      <c r="N295" t="n">
        <v>0</v>
      </c>
      <c r="O295" t="n">
        <v>0</v>
      </c>
      <c r="P295" t="n">
        <v>0</v>
      </c>
      <c r="Q295" t="n">
        <v>0</v>
      </c>
      <c r="R295" s="2" t="inlineStr"/>
    </row>
    <row r="296" ht="15" customHeight="1">
      <c r="A296" t="inlineStr">
        <is>
          <t>A 59024-2024</t>
        </is>
      </c>
      <c r="B296" s="1" t="n">
        <v>45636.68505787037</v>
      </c>
      <c r="C296" s="1" t="n">
        <v>46081</v>
      </c>
      <c r="D296" t="inlineStr">
        <is>
          <t>ÖREBRO LÄN</t>
        </is>
      </c>
      <c r="E296" t="inlineStr">
        <is>
          <t>ÖREBRO</t>
        </is>
      </c>
      <c r="G296" t="n">
        <v>1.3</v>
      </c>
      <c r="H296" t="n">
        <v>0</v>
      </c>
      <c r="I296" t="n">
        <v>0</v>
      </c>
      <c r="J296" t="n">
        <v>0</v>
      </c>
      <c r="K296" t="n">
        <v>0</v>
      </c>
      <c r="L296" t="n">
        <v>0</v>
      </c>
      <c r="M296" t="n">
        <v>0</v>
      </c>
      <c r="N296" t="n">
        <v>0</v>
      </c>
      <c r="O296" t="n">
        <v>0</v>
      </c>
      <c r="P296" t="n">
        <v>0</v>
      </c>
      <c r="Q296" t="n">
        <v>0</v>
      </c>
      <c r="R296" s="2" t="inlineStr"/>
    </row>
    <row r="297" ht="15" customHeight="1">
      <c r="A297" t="inlineStr">
        <is>
          <t>A 32025-2024</t>
        </is>
      </c>
      <c r="B297" s="1" t="n">
        <v>45510.65754629629</v>
      </c>
      <c r="C297" s="1" t="n">
        <v>46081</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13657-2025</t>
        </is>
      </c>
      <c r="B298" s="1" t="n">
        <v>45736.7427662037</v>
      </c>
      <c r="C298" s="1" t="n">
        <v>46081</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57867-2024</t>
        </is>
      </c>
      <c r="B299" s="1" t="n">
        <v>45631.43864583333</v>
      </c>
      <c r="C299" s="1" t="n">
        <v>46081</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29138-2022</t>
        </is>
      </c>
      <c r="B300" s="1" t="n">
        <v>44750</v>
      </c>
      <c r="C300" s="1" t="n">
        <v>46081</v>
      </c>
      <c r="D300" t="inlineStr">
        <is>
          <t>ÖREBRO LÄN</t>
        </is>
      </c>
      <c r="E300" t="inlineStr">
        <is>
          <t>ÖREBRO</t>
        </is>
      </c>
      <c r="G300" t="n">
        <v>3.3</v>
      </c>
      <c r="H300" t="n">
        <v>0</v>
      </c>
      <c r="I300" t="n">
        <v>0</v>
      </c>
      <c r="J300" t="n">
        <v>0</v>
      </c>
      <c r="K300" t="n">
        <v>0</v>
      </c>
      <c r="L300" t="n">
        <v>0</v>
      </c>
      <c r="M300" t="n">
        <v>0</v>
      </c>
      <c r="N300" t="n">
        <v>0</v>
      </c>
      <c r="O300" t="n">
        <v>0</v>
      </c>
      <c r="P300" t="n">
        <v>0</v>
      </c>
      <c r="Q300" t="n">
        <v>0</v>
      </c>
      <c r="R300" s="2" t="inlineStr"/>
    </row>
    <row r="301" ht="15" customHeight="1">
      <c r="A301" t="inlineStr">
        <is>
          <t>A 29143-2022</t>
        </is>
      </c>
      <c r="B301" s="1" t="n">
        <v>44750</v>
      </c>
      <c r="C301" s="1" t="n">
        <v>46081</v>
      </c>
      <c r="D301" t="inlineStr">
        <is>
          <t>ÖREBRO LÄN</t>
        </is>
      </c>
      <c r="E301" t="inlineStr">
        <is>
          <t>ÖREBRO</t>
        </is>
      </c>
      <c r="G301" t="n">
        <v>5.6</v>
      </c>
      <c r="H301" t="n">
        <v>0</v>
      </c>
      <c r="I301" t="n">
        <v>0</v>
      </c>
      <c r="J301" t="n">
        <v>0</v>
      </c>
      <c r="K301" t="n">
        <v>0</v>
      </c>
      <c r="L301" t="n">
        <v>0</v>
      </c>
      <c r="M301" t="n">
        <v>0</v>
      </c>
      <c r="N301" t="n">
        <v>0</v>
      </c>
      <c r="O301" t="n">
        <v>0</v>
      </c>
      <c r="P301" t="n">
        <v>0</v>
      </c>
      <c r="Q301" t="n">
        <v>0</v>
      </c>
      <c r="R301" s="2" t="inlineStr"/>
    </row>
    <row r="302" ht="15" customHeight="1">
      <c r="A302" t="inlineStr">
        <is>
          <t>A 21983-2021</t>
        </is>
      </c>
      <c r="B302" s="1" t="n">
        <v>44323</v>
      </c>
      <c r="C302" s="1" t="n">
        <v>46081</v>
      </c>
      <c r="D302" t="inlineStr">
        <is>
          <t>ÖREBRO LÄN</t>
        </is>
      </c>
      <c r="E302" t="inlineStr">
        <is>
          <t>ÖREBRO</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46081</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58606-2024</t>
        </is>
      </c>
      <c r="B304" s="1" t="n">
        <v>45635.54747685185</v>
      </c>
      <c r="C304" s="1" t="n">
        <v>46081</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46081</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36448-2025</t>
        </is>
      </c>
      <c r="B306" s="1" t="n">
        <v>45869.41929398148</v>
      </c>
      <c r="C306" s="1" t="n">
        <v>46081</v>
      </c>
      <c r="D306" t="inlineStr">
        <is>
          <t>ÖREBRO LÄN</t>
        </is>
      </c>
      <c r="E306" t="inlineStr">
        <is>
          <t>ÖREBRO</t>
        </is>
      </c>
      <c r="F306" t="inlineStr">
        <is>
          <t>Övriga Aktiebolag</t>
        </is>
      </c>
      <c r="G306" t="n">
        <v>4.3</v>
      </c>
      <c r="H306" t="n">
        <v>0</v>
      </c>
      <c r="I306" t="n">
        <v>0</v>
      </c>
      <c r="J306" t="n">
        <v>0</v>
      </c>
      <c r="K306" t="n">
        <v>0</v>
      </c>
      <c r="L306" t="n">
        <v>0</v>
      </c>
      <c r="M306" t="n">
        <v>0</v>
      </c>
      <c r="N306" t="n">
        <v>0</v>
      </c>
      <c r="O306" t="n">
        <v>0</v>
      </c>
      <c r="P306" t="n">
        <v>0</v>
      </c>
      <c r="Q306" t="n">
        <v>0</v>
      </c>
      <c r="R306" s="2" t="inlineStr"/>
    </row>
    <row r="307" ht="15" customHeight="1">
      <c r="A307" t="inlineStr">
        <is>
          <t>A 36447-2025</t>
        </is>
      </c>
      <c r="B307" s="1" t="n">
        <v>45869.41387731482</v>
      </c>
      <c r="C307" s="1" t="n">
        <v>46081</v>
      </c>
      <c r="D307" t="inlineStr">
        <is>
          <t>ÖREBRO LÄN</t>
        </is>
      </c>
      <c r="E307" t="inlineStr">
        <is>
          <t>ÖREBRO</t>
        </is>
      </c>
      <c r="F307" t="inlineStr">
        <is>
          <t>Övriga Aktiebolag</t>
        </is>
      </c>
      <c r="G307" t="n">
        <v>12.6</v>
      </c>
      <c r="H307" t="n">
        <v>0</v>
      </c>
      <c r="I307" t="n">
        <v>0</v>
      </c>
      <c r="J307" t="n">
        <v>0</v>
      </c>
      <c r="K307" t="n">
        <v>0</v>
      </c>
      <c r="L307" t="n">
        <v>0</v>
      </c>
      <c r="M307" t="n">
        <v>0</v>
      </c>
      <c r="N307" t="n">
        <v>0</v>
      </c>
      <c r="O307" t="n">
        <v>0</v>
      </c>
      <c r="P307" t="n">
        <v>0</v>
      </c>
      <c r="Q307" t="n">
        <v>0</v>
      </c>
      <c r="R307" s="2" t="inlineStr"/>
    </row>
    <row r="308" ht="15" customHeight="1">
      <c r="A308" t="inlineStr">
        <is>
          <t>A 58486-2024</t>
        </is>
      </c>
      <c r="B308" s="1" t="n">
        <v>45635</v>
      </c>
      <c r="C308" s="1" t="n">
        <v>46081</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14053-2025</t>
        </is>
      </c>
      <c r="B309" s="1" t="n">
        <v>45739</v>
      </c>
      <c r="C309" s="1" t="n">
        <v>46081</v>
      </c>
      <c r="D309" t="inlineStr">
        <is>
          <t>ÖREBRO LÄN</t>
        </is>
      </c>
      <c r="E309" t="inlineStr">
        <is>
          <t>ÖREBRO</t>
        </is>
      </c>
      <c r="G309" t="n">
        <v>3.5</v>
      </c>
      <c r="H309" t="n">
        <v>0</v>
      </c>
      <c r="I309" t="n">
        <v>0</v>
      </c>
      <c r="J309" t="n">
        <v>0</v>
      </c>
      <c r="K309" t="n">
        <v>0</v>
      </c>
      <c r="L309" t="n">
        <v>0</v>
      </c>
      <c r="M309" t="n">
        <v>0</v>
      </c>
      <c r="N309" t="n">
        <v>0</v>
      </c>
      <c r="O309" t="n">
        <v>0</v>
      </c>
      <c r="P309" t="n">
        <v>0</v>
      </c>
      <c r="Q309" t="n">
        <v>0</v>
      </c>
      <c r="R309" s="2" t="inlineStr"/>
    </row>
    <row r="310" ht="15" customHeight="1">
      <c r="A310" t="inlineStr">
        <is>
          <t>A 35345-2024</t>
        </is>
      </c>
      <c r="B310" s="1" t="n">
        <v>45530</v>
      </c>
      <c r="C310" s="1" t="n">
        <v>46081</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123-2025</t>
        </is>
      </c>
      <c r="B311" s="1" t="n">
        <v>45659.54851851852</v>
      </c>
      <c r="C311" s="1" t="n">
        <v>46081</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30472-2022</t>
        </is>
      </c>
      <c r="B312" s="1" t="n">
        <v>44761.70467592592</v>
      </c>
      <c r="C312" s="1" t="n">
        <v>46081</v>
      </c>
      <c r="D312" t="inlineStr">
        <is>
          <t>ÖREBRO LÄN</t>
        </is>
      </c>
      <c r="E312" t="inlineStr">
        <is>
          <t>ÖREBRO</t>
        </is>
      </c>
      <c r="F312" t="inlineStr">
        <is>
          <t>Övriga Aktiebolag</t>
        </is>
      </c>
      <c r="G312" t="n">
        <v>5.6</v>
      </c>
      <c r="H312" t="n">
        <v>0</v>
      </c>
      <c r="I312" t="n">
        <v>0</v>
      </c>
      <c r="J312" t="n">
        <v>0</v>
      </c>
      <c r="K312" t="n">
        <v>0</v>
      </c>
      <c r="L312" t="n">
        <v>0</v>
      </c>
      <c r="M312" t="n">
        <v>0</v>
      </c>
      <c r="N312" t="n">
        <v>0</v>
      </c>
      <c r="O312" t="n">
        <v>0</v>
      </c>
      <c r="P312" t="n">
        <v>0</v>
      </c>
      <c r="Q312" t="n">
        <v>0</v>
      </c>
      <c r="R312" s="2" t="inlineStr"/>
    </row>
    <row r="313" ht="15" customHeight="1">
      <c r="A313" t="inlineStr">
        <is>
          <t>A 6869-2025</t>
        </is>
      </c>
      <c r="B313" s="1" t="n">
        <v>45700</v>
      </c>
      <c r="C313" s="1" t="n">
        <v>46081</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57869-2024</t>
        </is>
      </c>
      <c r="B314" s="1" t="n">
        <v>45631.44207175926</v>
      </c>
      <c r="C314" s="1" t="n">
        <v>46081</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37277-2022</t>
        </is>
      </c>
      <c r="B315" s="1" t="n">
        <v>44807.49150462963</v>
      </c>
      <c r="C315" s="1" t="n">
        <v>46081</v>
      </c>
      <c r="D315" t="inlineStr">
        <is>
          <t>ÖREBRO LÄN</t>
        </is>
      </c>
      <c r="E315" t="inlineStr">
        <is>
          <t>ÖREBRO</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29554-2025</t>
        </is>
      </c>
      <c r="B316" s="1" t="n">
        <v>45825</v>
      </c>
      <c r="C316" s="1" t="n">
        <v>46081</v>
      </c>
      <c r="D316" t="inlineStr">
        <is>
          <t>ÖREBRO LÄN</t>
        </is>
      </c>
      <c r="E316" t="inlineStr">
        <is>
          <t>ÖREBRO</t>
        </is>
      </c>
      <c r="F316" t="inlineStr">
        <is>
          <t>Övriga Aktiebolag</t>
        </is>
      </c>
      <c r="G316" t="n">
        <v>1</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46081</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51331-2023</t>
        </is>
      </c>
      <c r="B318" s="1" t="n">
        <v>45219</v>
      </c>
      <c r="C318" s="1" t="n">
        <v>46081</v>
      </c>
      <c r="D318" t="inlineStr">
        <is>
          <t>ÖREBRO LÄN</t>
        </is>
      </c>
      <c r="E318" t="inlineStr">
        <is>
          <t>ÖREBRO</t>
        </is>
      </c>
      <c r="F318" t="inlineStr">
        <is>
          <t>Kommuner</t>
        </is>
      </c>
      <c r="G318" t="n">
        <v>1.3</v>
      </c>
      <c r="H318" t="n">
        <v>0</v>
      </c>
      <c r="I318" t="n">
        <v>0</v>
      </c>
      <c r="J318" t="n">
        <v>0</v>
      </c>
      <c r="K318" t="n">
        <v>0</v>
      </c>
      <c r="L318" t="n">
        <v>0</v>
      </c>
      <c r="M318" t="n">
        <v>0</v>
      </c>
      <c r="N318" t="n">
        <v>0</v>
      </c>
      <c r="O318" t="n">
        <v>0</v>
      </c>
      <c r="P318" t="n">
        <v>0</v>
      </c>
      <c r="Q318" t="n">
        <v>0</v>
      </c>
      <c r="R318" s="2" t="inlineStr"/>
    </row>
    <row r="319" ht="15" customHeight="1">
      <c r="A319" t="inlineStr">
        <is>
          <t>A 40588-2021</t>
        </is>
      </c>
      <c r="B319" s="1" t="n">
        <v>44420</v>
      </c>
      <c r="C319" s="1" t="n">
        <v>46081</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40231-2022</t>
        </is>
      </c>
      <c r="B320" s="1" t="n">
        <v>44820</v>
      </c>
      <c r="C320" s="1" t="n">
        <v>46081</v>
      </c>
      <c r="D320" t="inlineStr">
        <is>
          <t>ÖREBRO LÄN</t>
        </is>
      </c>
      <c r="E320" t="inlineStr">
        <is>
          <t>ÖREBRO</t>
        </is>
      </c>
      <c r="F320" t="inlineStr">
        <is>
          <t>Allmännings- och besparingsskogar</t>
        </is>
      </c>
      <c r="G320" t="n">
        <v>2.2</v>
      </c>
      <c r="H320" t="n">
        <v>0</v>
      </c>
      <c r="I320" t="n">
        <v>0</v>
      </c>
      <c r="J320" t="n">
        <v>0</v>
      </c>
      <c r="K320" t="n">
        <v>0</v>
      </c>
      <c r="L320" t="n">
        <v>0</v>
      </c>
      <c r="M320" t="n">
        <v>0</v>
      </c>
      <c r="N320" t="n">
        <v>0</v>
      </c>
      <c r="O320" t="n">
        <v>0</v>
      </c>
      <c r="P320" t="n">
        <v>0</v>
      </c>
      <c r="Q320" t="n">
        <v>0</v>
      </c>
      <c r="R320" s="2" t="inlineStr"/>
    </row>
    <row r="321" ht="15" customHeight="1">
      <c r="A321" t="inlineStr">
        <is>
          <t>A 4284-2025</t>
        </is>
      </c>
      <c r="B321" s="1" t="n">
        <v>45685</v>
      </c>
      <c r="C321" s="1" t="n">
        <v>46081</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25443-2021</t>
        </is>
      </c>
      <c r="B322" s="1" t="n">
        <v>44342</v>
      </c>
      <c r="C322" s="1" t="n">
        <v>46081</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11663-2024</t>
        </is>
      </c>
      <c r="B323" s="1" t="n">
        <v>45373</v>
      </c>
      <c r="C323" s="1" t="n">
        <v>46081</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46081</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42623-2022</t>
        </is>
      </c>
      <c r="B325" s="1" t="n">
        <v>44831</v>
      </c>
      <c r="C325" s="1" t="n">
        <v>46081</v>
      </c>
      <c r="D325" t="inlineStr">
        <is>
          <t>ÖREBRO LÄN</t>
        </is>
      </c>
      <c r="E325" t="inlineStr">
        <is>
          <t>ÖREBRO</t>
        </is>
      </c>
      <c r="G325" t="n">
        <v>3.6</v>
      </c>
      <c r="H325" t="n">
        <v>0</v>
      </c>
      <c r="I325" t="n">
        <v>0</v>
      </c>
      <c r="J325" t="n">
        <v>0</v>
      </c>
      <c r="K325" t="n">
        <v>0</v>
      </c>
      <c r="L325" t="n">
        <v>0</v>
      </c>
      <c r="M325" t="n">
        <v>0</v>
      </c>
      <c r="N325" t="n">
        <v>0</v>
      </c>
      <c r="O325" t="n">
        <v>0</v>
      </c>
      <c r="P325" t="n">
        <v>0</v>
      </c>
      <c r="Q325" t="n">
        <v>0</v>
      </c>
      <c r="R325" s="2" t="inlineStr"/>
    </row>
    <row r="326" ht="15" customHeight="1">
      <c r="A326" t="inlineStr">
        <is>
          <t>A 3763-2025</t>
        </is>
      </c>
      <c r="B326" s="1" t="n">
        <v>45681</v>
      </c>
      <c r="C326" s="1" t="n">
        <v>46081</v>
      </c>
      <c r="D326" t="inlineStr">
        <is>
          <t>ÖREBRO LÄN</t>
        </is>
      </c>
      <c r="E326" t="inlineStr">
        <is>
          <t>ÖREBRO</t>
        </is>
      </c>
      <c r="G326" t="n">
        <v>10.1</v>
      </c>
      <c r="H326" t="n">
        <v>0</v>
      </c>
      <c r="I326" t="n">
        <v>0</v>
      </c>
      <c r="J326" t="n">
        <v>0</v>
      </c>
      <c r="K326" t="n">
        <v>0</v>
      </c>
      <c r="L326" t="n">
        <v>0</v>
      </c>
      <c r="M326" t="n">
        <v>0</v>
      </c>
      <c r="N326" t="n">
        <v>0</v>
      </c>
      <c r="O326" t="n">
        <v>0</v>
      </c>
      <c r="P326" t="n">
        <v>0</v>
      </c>
      <c r="Q326" t="n">
        <v>0</v>
      </c>
      <c r="R326" s="2" t="inlineStr"/>
    </row>
    <row r="327" ht="15" customHeight="1">
      <c r="A327" t="inlineStr">
        <is>
          <t>A 10829-2023</t>
        </is>
      </c>
      <c r="B327" s="1" t="n">
        <v>44990.88512731482</v>
      </c>
      <c r="C327" s="1" t="n">
        <v>46081</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10831-2023</t>
        </is>
      </c>
      <c r="B328" s="1" t="n">
        <v>44990.90357638889</v>
      </c>
      <c r="C328" s="1" t="n">
        <v>46081</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16165-2023</t>
        </is>
      </c>
      <c r="B329" s="1" t="n">
        <v>45027</v>
      </c>
      <c r="C329" s="1" t="n">
        <v>46081</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57247-2022</t>
        </is>
      </c>
      <c r="B330" s="1" t="n">
        <v>44895.73065972222</v>
      </c>
      <c r="C330" s="1" t="n">
        <v>46081</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38057-2025</t>
        </is>
      </c>
      <c r="B331" s="1" t="n">
        <v>45882.42570601852</v>
      </c>
      <c r="C331" s="1" t="n">
        <v>46081</v>
      </c>
      <c r="D331" t="inlineStr">
        <is>
          <t>ÖREBRO LÄN</t>
        </is>
      </c>
      <c r="E331" t="inlineStr">
        <is>
          <t>ÖREBRO</t>
        </is>
      </c>
      <c r="G331" t="n">
        <v>3</v>
      </c>
      <c r="H331" t="n">
        <v>0</v>
      </c>
      <c r="I331" t="n">
        <v>0</v>
      </c>
      <c r="J331" t="n">
        <v>0</v>
      </c>
      <c r="K331" t="n">
        <v>0</v>
      </c>
      <c r="L331" t="n">
        <v>0</v>
      </c>
      <c r="M331" t="n">
        <v>0</v>
      </c>
      <c r="N331" t="n">
        <v>0</v>
      </c>
      <c r="O331" t="n">
        <v>0</v>
      </c>
      <c r="P331" t="n">
        <v>0</v>
      </c>
      <c r="Q331" t="n">
        <v>0</v>
      </c>
      <c r="R331" s="2" t="inlineStr"/>
    </row>
    <row r="332" ht="15" customHeight="1">
      <c r="A332" t="inlineStr">
        <is>
          <t>A 46757-2021</t>
        </is>
      </c>
      <c r="B332" s="1" t="n">
        <v>44445</v>
      </c>
      <c r="C332" s="1" t="n">
        <v>46081</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30374-2023</t>
        </is>
      </c>
      <c r="B333" s="1" t="n">
        <v>45111</v>
      </c>
      <c r="C333" s="1" t="n">
        <v>46081</v>
      </c>
      <c r="D333" t="inlineStr">
        <is>
          <t>ÖREBRO LÄN</t>
        </is>
      </c>
      <c r="E333" t="inlineStr">
        <is>
          <t>ÖREBRO</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50311-2025</t>
        </is>
      </c>
      <c r="B334" s="1" t="n">
        <v>45944</v>
      </c>
      <c r="C334" s="1" t="n">
        <v>46081</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54678-2023</t>
        </is>
      </c>
      <c r="B335" s="1" t="n">
        <v>45235</v>
      </c>
      <c r="C335" s="1" t="n">
        <v>46081</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51249-2025</t>
        </is>
      </c>
      <c r="B336" s="1" t="n">
        <v>45948.45704861111</v>
      </c>
      <c r="C336" s="1" t="n">
        <v>46081</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58219-2024</t>
        </is>
      </c>
      <c r="B337" s="1" t="n">
        <v>45632</v>
      </c>
      <c r="C337" s="1" t="n">
        <v>46081</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51248-2025</t>
        </is>
      </c>
      <c r="B338" s="1" t="n">
        <v>45948.450625</v>
      </c>
      <c r="C338" s="1" t="n">
        <v>46081</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42518-2021</t>
        </is>
      </c>
      <c r="B339" s="1" t="n">
        <v>44427.81496527778</v>
      </c>
      <c r="C339" s="1" t="n">
        <v>46081</v>
      </c>
      <c r="D339" t="inlineStr">
        <is>
          <t>ÖREBRO LÄN</t>
        </is>
      </c>
      <c r="E339" t="inlineStr">
        <is>
          <t>ÖREBRO</t>
        </is>
      </c>
      <c r="G339" t="n">
        <v>4.5</v>
      </c>
      <c r="H339" t="n">
        <v>0</v>
      </c>
      <c r="I339" t="n">
        <v>0</v>
      </c>
      <c r="J339" t="n">
        <v>0</v>
      </c>
      <c r="K339" t="n">
        <v>0</v>
      </c>
      <c r="L339" t="n">
        <v>0</v>
      </c>
      <c r="M339" t="n">
        <v>0</v>
      </c>
      <c r="N339" t="n">
        <v>0</v>
      </c>
      <c r="O339" t="n">
        <v>0</v>
      </c>
      <c r="P339" t="n">
        <v>0</v>
      </c>
      <c r="Q339" t="n">
        <v>0</v>
      </c>
      <c r="R339" s="2" t="inlineStr"/>
    </row>
    <row r="340" ht="15" customHeight="1">
      <c r="A340" t="inlineStr">
        <is>
          <t>A 14545-2023</t>
        </is>
      </c>
      <c r="B340" s="1" t="n">
        <v>45013.34895833334</v>
      </c>
      <c r="C340" s="1" t="n">
        <v>46081</v>
      </c>
      <c r="D340" t="inlineStr">
        <is>
          <t>ÖREBRO LÄN</t>
        </is>
      </c>
      <c r="E340" t="inlineStr">
        <is>
          <t>ÖREBRO</t>
        </is>
      </c>
      <c r="G340" t="n">
        <v>2.5</v>
      </c>
      <c r="H340" t="n">
        <v>0</v>
      </c>
      <c r="I340" t="n">
        <v>0</v>
      </c>
      <c r="J340" t="n">
        <v>0</v>
      </c>
      <c r="K340" t="n">
        <v>0</v>
      </c>
      <c r="L340" t="n">
        <v>0</v>
      </c>
      <c r="M340" t="n">
        <v>0</v>
      </c>
      <c r="N340" t="n">
        <v>0</v>
      </c>
      <c r="O340" t="n">
        <v>0</v>
      </c>
      <c r="P340" t="n">
        <v>0</v>
      </c>
      <c r="Q340" t="n">
        <v>0</v>
      </c>
      <c r="R340" s="2" t="inlineStr"/>
    </row>
    <row r="341" ht="15" customHeight="1">
      <c r="A341" t="inlineStr">
        <is>
          <t>A 27112-2023</t>
        </is>
      </c>
      <c r="B341" s="1" t="n">
        <v>45096</v>
      </c>
      <c r="C341" s="1" t="n">
        <v>46081</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14524-2025</t>
        </is>
      </c>
      <c r="B342" s="1" t="n">
        <v>45741.64815972222</v>
      </c>
      <c r="C342" s="1" t="n">
        <v>46081</v>
      </c>
      <c r="D342" t="inlineStr">
        <is>
          <t>ÖREBRO LÄN</t>
        </is>
      </c>
      <c r="E342" t="inlineStr">
        <is>
          <t>ÖREBRO</t>
        </is>
      </c>
      <c r="G342" t="n">
        <v>2.8</v>
      </c>
      <c r="H342" t="n">
        <v>0</v>
      </c>
      <c r="I342" t="n">
        <v>0</v>
      </c>
      <c r="J342" t="n">
        <v>0</v>
      </c>
      <c r="K342" t="n">
        <v>0</v>
      </c>
      <c r="L342" t="n">
        <v>0</v>
      </c>
      <c r="M342" t="n">
        <v>0</v>
      </c>
      <c r="N342" t="n">
        <v>0</v>
      </c>
      <c r="O342" t="n">
        <v>0</v>
      </c>
      <c r="P342" t="n">
        <v>0</v>
      </c>
      <c r="Q342" t="n">
        <v>0</v>
      </c>
      <c r="R342" s="2" t="inlineStr"/>
    </row>
    <row r="343" ht="15" customHeight="1">
      <c r="A343" t="inlineStr">
        <is>
          <t>A 46834-2022</t>
        </is>
      </c>
      <c r="B343" s="1" t="n">
        <v>44851</v>
      </c>
      <c r="C343" s="1" t="n">
        <v>46081</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57638-2022</t>
        </is>
      </c>
      <c r="B344" s="1" t="n">
        <v>44897</v>
      </c>
      <c r="C344" s="1" t="n">
        <v>46081</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51925-2025</t>
        </is>
      </c>
      <c r="B345" s="1" t="n">
        <v>45952.49476851852</v>
      </c>
      <c r="C345" s="1" t="n">
        <v>46081</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51923-2025</t>
        </is>
      </c>
      <c r="B346" s="1" t="n">
        <v>45952.49300925926</v>
      </c>
      <c r="C346" s="1" t="n">
        <v>46081</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51937-2025</t>
        </is>
      </c>
      <c r="B347" s="1" t="n">
        <v>45952.51270833334</v>
      </c>
      <c r="C347" s="1" t="n">
        <v>46081</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2152-2023</t>
        </is>
      </c>
      <c r="B348" s="1" t="n">
        <v>44941.55056712963</v>
      </c>
      <c r="C348" s="1" t="n">
        <v>46081</v>
      </c>
      <c r="D348" t="inlineStr">
        <is>
          <t>ÖREBRO LÄN</t>
        </is>
      </c>
      <c r="E348" t="inlineStr">
        <is>
          <t>ÖREBRO</t>
        </is>
      </c>
      <c r="G348" t="n">
        <v>8</v>
      </c>
      <c r="H348" t="n">
        <v>0</v>
      </c>
      <c r="I348" t="n">
        <v>0</v>
      </c>
      <c r="J348" t="n">
        <v>0</v>
      </c>
      <c r="K348" t="n">
        <v>0</v>
      </c>
      <c r="L348" t="n">
        <v>0</v>
      </c>
      <c r="M348" t="n">
        <v>0</v>
      </c>
      <c r="N348" t="n">
        <v>0</v>
      </c>
      <c r="O348" t="n">
        <v>0</v>
      </c>
      <c r="P348" t="n">
        <v>0</v>
      </c>
      <c r="Q348" t="n">
        <v>0</v>
      </c>
      <c r="R348" s="2" t="inlineStr"/>
    </row>
    <row r="349" ht="15" customHeight="1">
      <c r="A349" t="inlineStr">
        <is>
          <t>A 55745-2023</t>
        </is>
      </c>
      <c r="B349" s="1" t="n">
        <v>45239.44811342593</v>
      </c>
      <c r="C349" s="1" t="n">
        <v>46081</v>
      </c>
      <c r="D349" t="inlineStr">
        <is>
          <t>ÖREBRO LÄN</t>
        </is>
      </c>
      <c r="E349" t="inlineStr">
        <is>
          <t>ÖREBRO</t>
        </is>
      </c>
      <c r="G349" t="n">
        <v>13.3</v>
      </c>
      <c r="H349" t="n">
        <v>0</v>
      </c>
      <c r="I349" t="n">
        <v>0</v>
      </c>
      <c r="J349" t="n">
        <v>0</v>
      </c>
      <c r="K349" t="n">
        <v>0</v>
      </c>
      <c r="L349" t="n">
        <v>0</v>
      </c>
      <c r="M349" t="n">
        <v>0</v>
      </c>
      <c r="N349" t="n">
        <v>0</v>
      </c>
      <c r="O349" t="n">
        <v>0</v>
      </c>
      <c r="P349" t="n">
        <v>0</v>
      </c>
      <c r="Q349" t="n">
        <v>0</v>
      </c>
      <c r="R349" s="2" t="inlineStr"/>
    </row>
    <row r="350" ht="15" customHeight="1">
      <c r="A350" t="inlineStr">
        <is>
          <t>A 52135-2025</t>
        </is>
      </c>
      <c r="B350" s="1" t="n">
        <v>45952.84231481481</v>
      </c>
      <c r="C350" s="1" t="n">
        <v>46081</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46081</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30743-2025</t>
        </is>
      </c>
      <c r="B352" s="1" t="n">
        <v>45831</v>
      </c>
      <c r="C352" s="1" t="n">
        <v>46081</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60289-2023</t>
        </is>
      </c>
      <c r="B353" s="1" t="n">
        <v>45257</v>
      </c>
      <c r="C353" s="1" t="n">
        <v>46081</v>
      </c>
      <c r="D353" t="inlineStr">
        <is>
          <t>ÖREBRO LÄN</t>
        </is>
      </c>
      <c r="E353" t="inlineStr">
        <is>
          <t>ÖREBRO</t>
        </is>
      </c>
      <c r="G353" t="n">
        <v>10.9</v>
      </c>
      <c r="H353" t="n">
        <v>0</v>
      </c>
      <c r="I353" t="n">
        <v>0</v>
      </c>
      <c r="J353" t="n">
        <v>0</v>
      </c>
      <c r="K353" t="n">
        <v>0</v>
      </c>
      <c r="L353" t="n">
        <v>0</v>
      </c>
      <c r="M353" t="n">
        <v>0</v>
      </c>
      <c r="N353" t="n">
        <v>0</v>
      </c>
      <c r="O353" t="n">
        <v>0</v>
      </c>
      <c r="P353" t="n">
        <v>0</v>
      </c>
      <c r="Q353" t="n">
        <v>0</v>
      </c>
      <c r="R353" s="2" t="inlineStr"/>
    </row>
    <row r="354" ht="15" customHeight="1">
      <c r="A354" t="inlineStr">
        <is>
          <t>A 52382-2025</t>
        </is>
      </c>
      <c r="B354" s="1" t="n">
        <v>45953.9559837963</v>
      </c>
      <c r="C354" s="1" t="n">
        <v>46081</v>
      </c>
      <c r="D354" t="inlineStr">
        <is>
          <t>ÖREBRO LÄN</t>
        </is>
      </c>
      <c r="E354" t="inlineStr">
        <is>
          <t>ÖREBRO</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12099-2023</t>
        </is>
      </c>
      <c r="B355" s="1" t="n">
        <v>44998.37043981482</v>
      </c>
      <c r="C355" s="1" t="n">
        <v>46081</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58277-2022</t>
        </is>
      </c>
      <c r="B356" s="1" t="n">
        <v>44901.48108796297</v>
      </c>
      <c r="C356" s="1" t="n">
        <v>46081</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46081</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53715-2025</t>
        </is>
      </c>
      <c r="B358" s="1" t="n">
        <v>45960.61763888889</v>
      </c>
      <c r="C358" s="1" t="n">
        <v>46081</v>
      </c>
      <c r="D358" t="inlineStr">
        <is>
          <t>ÖREBRO LÄN</t>
        </is>
      </c>
      <c r="E358" t="inlineStr">
        <is>
          <t>ÖREBRO</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53719-2025</t>
        </is>
      </c>
      <c r="B359" s="1" t="n">
        <v>45960.62042824074</v>
      </c>
      <c r="C359" s="1" t="n">
        <v>46081</v>
      </c>
      <c r="D359" t="inlineStr">
        <is>
          <t>ÖREBRO LÄN</t>
        </is>
      </c>
      <c r="E359" t="inlineStr">
        <is>
          <t>ÖREBRO</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53343-2025</t>
        </is>
      </c>
      <c r="B360" s="1" t="n">
        <v>45959.42025462963</v>
      </c>
      <c r="C360" s="1" t="n">
        <v>46081</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31906-2023</t>
        </is>
      </c>
      <c r="B361" s="1" t="n">
        <v>45118.8353125</v>
      </c>
      <c r="C361" s="1" t="n">
        <v>46081</v>
      </c>
      <c r="D361" t="inlineStr">
        <is>
          <t>ÖREBRO LÄN</t>
        </is>
      </c>
      <c r="E361" t="inlineStr">
        <is>
          <t>ÖREBRO</t>
        </is>
      </c>
      <c r="G361" t="n">
        <v>9</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46081</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53342-2025</t>
        </is>
      </c>
      <c r="B363" s="1" t="n">
        <v>45959.41769675926</v>
      </c>
      <c r="C363" s="1" t="n">
        <v>46081</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53443-2025</t>
        </is>
      </c>
      <c r="B364" s="1" t="n">
        <v>45959.6444675926</v>
      </c>
      <c r="C364" s="1" t="n">
        <v>46081</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10937-2024</t>
        </is>
      </c>
      <c r="B365" s="1" t="n">
        <v>45370.44461805555</v>
      </c>
      <c r="C365" s="1" t="n">
        <v>46081</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22079-2023</t>
        </is>
      </c>
      <c r="B366" s="1" t="n">
        <v>45069</v>
      </c>
      <c r="C366" s="1" t="n">
        <v>46081</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52447-2024</t>
        </is>
      </c>
      <c r="B367" s="1" t="n">
        <v>45609.49157407408</v>
      </c>
      <c r="C367" s="1" t="n">
        <v>46081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54205-2025</t>
        </is>
      </c>
      <c r="B368" s="1" t="n">
        <v>45964.58512731481</v>
      </c>
      <c r="C368" s="1" t="n">
        <v>46081</v>
      </c>
      <c r="D368" t="inlineStr">
        <is>
          <t>ÖREBRO LÄN</t>
        </is>
      </c>
      <c r="E368" t="inlineStr">
        <is>
          <t>ÖREBRO</t>
        </is>
      </c>
      <c r="G368" t="n">
        <v>24.3</v>
      </c>
      <c r="H368" t="n">
        <v>0</v>
      </c>
      <c r="I368" t="n">
        <v>0</v>
      </c>
      <c r="J368" t="n">
        <v>0</v>
      </c>
      <c r="K368" t="n">
        <v>0</v>
      </c>
      <c r="L368" t="n">
        <v>0</v>
      </c>
      <c r="M368" t="n">
        <v>0</v>
      </c>
      <c r="N368" t="n">
        <v>0</v>
      </c>
      <c r="O368" t="n">
        <v>0</v>
      </c>
      <c r="P368" t="n">
        <v>0</v>
      </c>
      <c r="Q368" t="n">
        <v>0</v>
      </c>
      <c r="R368" s="2" t="inlineStr"/>
    </row>
    <row r="369" ht="15" customHeight="1">
      <c r="A369" t="inlineStr">
        <is>
          <t>A 3841-2023</t>
        </is>
      </c>
      <c r="B369" s="1" t="n">
        <v>44951</v>
      </c>
      <c r="C369" s="1" t="n">
        <v>46081</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46081</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38489-2023</t>
        </is>
      </c>
      <c r="B371" s="1" t="n">
        <v>45162</v>
      </c>
      <c r="C371" s="1" t="n">
        <v>46081</v>
      </c>
      <c r="D371" t="inlineStr">
        <is>
          <t>ÖREBRO LÄN</t>
        </is>
      </c>
      <c r="E371" t="inlineStr">
        <is>
          <t>ÖREBRO</t>
        </is>
      </c>
      <c r="G371" t="n">
        <v>1.8</v>
      </c>
      <c r="H371" t="n">
        <v>0</v>
      </c>
      <c r="I371" t="n">
        <v>0</v>
      </c>
      <c r="J371" t="n">
        <v>0</v>
      </c>
      <c r="K371" t="n">
        <v>0</v>
      </c>
      <c r="L371" t="n">
        <v>0</v>
      </c>
      <c r="M371" t="n">
        <v>0</v>
      </c>
      <c r="N371" t="n">
        <v>0</v>
      </c>
      <c r="O371" t="n">
        <v>0</v>
      </c>
      <c r="P371" t="n">
        <v>0</v>
      </c>
      <c r="Q371" t="n">
        <v>0</v>
      </c>
      <c r="R371" s="2" t="inlineStr"/>
    </row>
    <row r="372" ht="15" customHeight="1">
      <c r="A372" t="inlineStr">
        <is>
          <t>A 70719-2021</t>
        </is>
      </c>
      <c r="B372" s="1" t="n">
        <v>44537</v>
      </c>
      <c r="C372" s="1" t="n">
        <v>46081</v>
      </c>
      <c r="D372" t="inlineStr">
        <is>
          <t>ÖREBRO LÄN</t>
        </is>
      </c>
      <c r="E372" t="inlineStr">
        <is>
          <t>ÖREBRO</t>
        </is>
      </c>
      <c r="G372" t="n">
        <v>4.3</v>
      </c>
      <c r="H372" t="n">
        <v>0</v>
      </c>
      <c r="I372" t="n">
        <v>0</v>
      </c>
      <c r="J372" t="n">
        <v>0</v>
      </c>
      <c r="K372" t="n">
        <v>0</v>
      </c>
      <c r="L372" t="n">
        <v>0</v>
      </c>
      <c r="M372" t="n">
        <v>0</v>
      </c>
      <c r="N372" t="n">
        <v>0</v>
      </c>
      <c r="O372" t="n">
        <v>0</v>
      </c>
      <c r="P372" t="n">
        <v>0</v>
      </c>
      <c r="Q372" t="n">
        <v>0</v>
      </c>
      <c r="R372" s="2" t="inlineStr"/>
    </row>
    <row r="373" ht="15" customHeight="1">
      <c r="A373" t="inlineStr">
        <is>
          <t>A 38573-2023</t>
        </is>
      </c>
      <c r="B373" s="1" t="n">
        <v>45162.61837962963</v>
      </c>
      <c r="C373" s="1" t="n">
        <v>46081</v>
      </c>
      <c r="D373" t="inlineStr">
        <is>
          <t>ÖREBRO LÄN</t>
        </is>
      </c>
      <c r="E373" t="inlineStr">
        <is>
          <t>ÖREBRO</t>
        </is>
      </c>
      <c r="G373" t="n">
        <v>2.2</v>
      </c>
      <c r="H373" t="n">
        <v>0</v>
      </c>
      <c r="I373" t="n">
        <v>0</v>
      </c>
      <c r="J373" t="n">
        <v>0</v>
      </c>
      <c r="K373" t="n">
        <v>0</v>
      </c>
      <c r="L373" t="n">
        <v>0</v>
      </c>
      <c r="M373" t="n">
        <v>0</v>
      </c>
      <c r="N373" t="n">
        <v>0</v>
      </c>
      <c r="O373" t="n">
        <v>0</v>
      </c>
      <c r="P373" t="n">
        <v>0</v>
      </c>
      <c r="Q373" t="n">
        <v>0</v>
      </c>
      <c r="R373" s="2" t="inlineStr"/>
    </row>
    <row r="374" ht="15" customHeight="1">
      <c r="A374" t="inlineStr">
        <is>
          <t>A 4757-2024</t>
        </is>
      </c>
      <c r="B374" s="1" t="n">
        <v>45328</v>
      </c>
      <c r="C374" s="1" t="n">
        <v>46081</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48140-2024</t>
        </is>
      </c>
      <c r="B375" s="1" t="n">
        <v>45589.66474537037</v>
      </c>
      <c r="C375" s="1" t="n">
        <v>46081</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2658-2023</t>
        </is>
      </c>
      <c r="B376" s="1" t="n">
        <v>44944</v>
      </c>
      <c r="C376" s="1" t="n">
        <v>46081</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11565-2023</t>
        </is>
      </c>
      <c r="B377" s="1" t="n">
        <v>44994</v>
      </c>
      <c r="C377" s="1" t="n">
        <v>46081</v>
      </c>
      <c r="D377" t="inlineStr">
        <is>
          <t>ÖREBRO LÄN</t>
        </is>
      </c>
      <c r="E377" t="inlineStr">
        <is>
          <t>ÖREBRO</t>
        </is>
      </c>
      <c r="G377" t="n">
        <v>4.7</v>
      </c>
      <c r="H377" t="n">
        <v>0</v>
      </c>
      <c r="I377" t="n">
        <v>0</v>
      </c>
      <c r="J377" t="n">
        <v>0</v>
      </c>
      <c r="K377" t="n">
        <v>0</v>
      </c>
      <c r="L377" t="n">
        <v>0</v>
      </c>
      <c r="M377" t="n">
        <v>0</v>
      </c>
      <c r="N377" t="n">
        <v>0</v>
      </c>
      <c r="O377" t="n">
        <v>0</v>
      </c>
      <c r="P377" t="n">
        <v>0</v>
      </c>
      <c r="Q377" t="n">
        <v>0</v>
      </c>
      <c r="R377" s="2" t="inlineStr"/>
    </row>
    <row r="378" ht="15" customHeight="1">
      <c r="A378" t="inlineStr">
        <is>
          <t>A 16736-2023</t>
        </is>
      </c>
      <c r="B378" s="1" t="n">
        <v>45030.72328703704</v>
      </c>
      <c r="C378" s="1" t="n">
        <v>46081</v>
      </c>
      <c r="D378" t="inlineStr">
        <is>
          <t>ÖREBRO LÄN</t>
        </is>
      </c>
      <c r="E378" t="inlineStr">
        <is>
          <t>ÖREBRO</t>
        </is>
      </c>
      <c r="G378" t="n">
        <v>4</v>
      </c>
      <c r="H378" t="n">
        <v>0</v>
      </c>
      <c r="I378" t="n">
        <v>0</v>
      </c>
      <c r="J378" t="n">
        <v>0</v>
      </c>
      <c r="K378" t="n">
        <v>0</v>
      </c>
      <c r="L378" t="n">
        <v>0</v>
      </c>
      <c r="M378" t="n">
        <v>0</v>
      </c>
      <c r="N378" t="n">
        <v>0</v>
      </c>
      <c r="O378" t="n">
        <v>0</v>
      </c>
      <c r="P378" t="n">
        <v>0</v>
      </c>
      <c r="Q378" t="n">
        <v>0</v>
      </c>
      <c r="R378" s="2" t="inlineStr"/>
    </row>
    <row r="379" ht="15" customHeight="1">
      <c r="A379" t="inlineStr">
        <is>
          <t>A 2630-2023</t>
        </is>
      </c>
      <c r="B379" s="1" t="n">
        <v>44944.39105324074</v>
      </c>
      <c r="C379" s="1" t="n">
        <v>46081</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55748-2025</t>
        </is>
      </c>
      <c r="B380" s="1" t="n">
        <v>45972.57893518519</v>
      </c>
      <c r="C380" s="1" t="n">
        <v>46081</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55750-2025</t>
        </is>
      </c>
      <c r="B381" s="1" t="n">
        <v>45972.58171296296</v>
      </c>
      <c r="C381" s="1" t="n">
        <v>46081</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30015-2023</t>
        </is>
      </c>
      <c r="B382" s="1" t="n">
        <v>45109</v>
      </c>
      <c r="C382" s="1" t="n">
        <v>46081</v>
      </c>
      <c r="D382" t="inlineStr">
        <is>
          <t>ÖREBRO LÄN</t>
        </is>
      </c>
      <c r="E382" t="inlineStr">
        <is>
          <t>ÖREBRO</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37968-2024</t>
        </is>
      </c>
      <c r="B383" s="1" t="n">
        <v>45544</v>
      </c>
      <c r="C383" s="1" t="n">
        <v>46081</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31326-2024</t>
        </is>
      </c>
      <c r="B384" s="1" t="n">
        <v>45504.5934375</v>
      </c>
      <c r="C384" s="1" t="n">
        <v>46081</v>
      </c>
      <c r="D384" t="inlineStr">
        <is>
          <t>ÖREBRO LÄN</t>
        </is>
      </c>
      <c r="E384" t="inlineStr">
        <is>
          <t>ÖREBRO</t>
        </is>
      </c>
      <c r="G384" t="n">
        <v>6.4</v>
      </c>
      <c r="H384" t="n">
        <v>0</v>
      </c>
      <c r="I384" t="n">
        <v>0</v>
      </c>
      <c r="J384" t="n">
        <v>0</v>
      </c>
      <c r="K384" t="n">
        <v>0</v>
      </c>
      <c r="L384" t="n">
        <v>0</v>
      </c>
      <c r="M384" t="n">
        <v>0</v>
      </c>
      <c r="N384" t="n">
        <v>0</v>
      </c>
      <c r="O384" t="n">
        <v>0</v>
      </c>
      <c r="P384" t="n">
        <v>0</v>
      </c>
      <c r="Q384" t="n">
        <v>0</v>
      </c>
      <c r="R384" s="2" t="inlineStr"/>
    </row>
    <row r="385" ht="15" customHeight="1">
      <c r="A385" t="inlineStr">
        <is>
          <t>A 55879-2025</t>
        </is>
      </c>
      <c r="B385" s="1" t="n">
        <v>45973.36508101852</v>
      </c>
      <c r="C385" s="1" t="n">
        <v>46081</v>
      </c>
      <c r="D385" t="inlineStr">
        <is>
          <t>ÖREBRO LÄN</t>
        </is>
      </c>
      <c r="E385" t="inlineStr">
        <is>
          <t>ÖREBRO</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55888-2025</t>
        </is>
      </c>
      <c r="B386" s="1" t="n">
        <v>45973.37163194444</v>
      </c>
      <c r="C386" s="1" t="n">
        <v>46081</v>
      </c>
      <c r="D386" t="inlineStr">
        <is>
          <t>ÖREBRO LÄN</t>
        </is>
      </c>
      <c r="E386" t="inlineStr">
        <is>
          <t>ÖREBRO</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22045-2024</t>
        </is>
      </c>
      <c r="B387" s="1" t="n">
        <v>45443.61171296296</v>
      </c>
      <c r="C387" s="1" t="n">
        <v>46081</v>
      </c>
      <c r="D387" t="inlineStr">
        <is>
          <t>ÖREBRO LÄN</t>
        </is>
      </c>
      <c r="E387" t="inlineStr">
        <is>
          <t>ÖREBRO</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58684-2023</t>
        </is>
      </c>
      <c r="B388" s="1" t="n">
        <v>45251</v>
      </c>
      <c r="C388" s="1" t="n">
        <v>46081</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57537-2025</t>
        </is>
      </c>
      <c r="B389" s="1" t="n">
        <v>45980.6446875</v>
      </c>
      <c r="C389" s="1" t="n">
        <v>46081</v>
      </c>
      <c r="D389" t="inlineStr">
        <is>
          <t>ÖREBRO LÄN</t>
        </is>
      </c>
      <c r="E389" t="inlineStr">
        <is>
          <t>ÖREBRO</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38898-2023</t>
        </is>
      </c>
      <c r="B390" s="1" t="n">
        <v>45163</v>
      </c>
      <c r="C390" s="1" t="n">
        <v>46081</v>
      </c>
      <c r="D390" t="inlineStr">
        <is>
          <t>ÖREBRO LÄN</t>
        </is>
      </c>
      <c r="E390" t="inlineStr">
        <is>
          <t>ÖREBRO</t>
        </is>
      </c>
      <c r="G390" t="n">
        <v>5.1</v>
      </c>
      <c r="H390" t="n">
        <v>0</v>
      </c>
      <c r="I390" t="n">
        <v>0</v>
      </c>
      <c r="J390" t="n">
        <v>0</v>
      </c>
      <c r="K390" t="n">
        <v>0</v>
      </c>
      <c r="L390" t="n">
        <v>0</v>
      </c>
      <c r="M390" t="n">
        <v>0</v>
      </c>
      <c r="N390" t="n">
        <v>0</v>
      </c>
      <c r="O390" t="n">
        <v>0</v>
      </c>
      <c r="P390" t="n">
        <v>0</v>
      </c>
      <c r="Q390" t="n">
        <v>0</v>
      </c>
      <c r="R390" s="2" t="inlineStr"/>
    </row>
    <row r="391" ht="15" customHeight="1">
      <c r="A391" t="inlineStr">
        <is>
          <t>A 13321-2024</t>
        </is>
      </c>
      <c r="B391" s="1" t="n">
        <v>45386.83142361111</v>
      </c>
      <c r="C391" s="1" t="n">
        <v>46081</v>
      </c>
      <c r="D391" t="inlineStr">
        <is>
          <t>ÖREBRO LÄN</t>
        </is>
      </c>
      <c r="E391" t="inlineStr">
        <is>
          <t>ÖREBRO</t>
        </is>
      </c>
      <c r="G391" t="n">
        <v>13.1</v>
      </c>
      <c r="H391" t="n">
        <v>0</v>
      </c>
      <c r="I391" t="n">
        <v>0</v>
      </c>
      <c r="J391" t="n">
        <v>0</v>
      </c>
      <c r="K391" t="n">
        <v>0</v>
      </c>
      <c r="L391" t="n">
        <v>0</v>
      </c>
      <c r="M391" t="n">
        <v>0</v>
      </c>
      <c r="N391" t="n">
        <v>0</v>
      </c>
      <c r="O391" t="n">
        <v>0</v>
      </c>
      <c r="P391" t="n">
        <v>0</v>
      </c>
      <c r="Q391" t="n">
        <v>0</v>
      </c>
      <c r="R391" s="2" t="inlineStr"/>
    </row>
    <row r="392" ht="15" customHeight="1">
      <c r="A392" t="inlineStr">
        <is>
          <t>A 38583-2023</t>
        </is>
      </c>
      <c r="B392" s="1" t="n">
        <v>45162.62861111111</v>
      </c>
      <c r="C392" s="1" t="n">
        <v>46081</v>
      </c>
      <c r="D392" t="inlineStr">
        <is>
          <t>ÖREBRO LÄN</t>
        </is>
      </c>
      <c r="E392" t="inlineStr">
        <is>
          <t>ÖREBRO</t>
        </is>
      </c>
      <c r="G392" t="n">
        <v>5.7</v>
      </c>
      <c r="H392" t="n">
        <v>0</v>
      </c>
      <c r="I392" t="n">
        <v>0</v>
      </c>
      <c r="J392" t="n">
        <v>0</v>
      </c>
      <c r="K392" t="n">
        <v>0</v>
      </c>
      <c r="L392" t="n">
        <v>0</v>
      </c>
      <c r="M392" t="n">
        <v>0</v>
      </c>
      <c r="N392" t="n">
        <v>0</v>
      </c>
      <c r="O392" t="n">
        <v>0</v>
      </c>
      <c r="P392" t="n">
        <v>0</v>
      </c>
      <c r="Q392" t="n">
        <v>0</v>
      </c>
      <c r="R392" s="2" t="inlineStr"/>
    </row>
    <row r="393" ht="15" customHeight="1">
      <c r="A393" t="inlineStr">
        <is>
          <t>A 14291-2023</t>
        </is>
      </c>
      <c r="B393" s="1" t="n">
        <v>45010</v>
      </c>
      <c r="C393" s="1" t="n">
        <v>46081</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58587-2025</t>
        </is>
      </c>
      <c r="B394" s="1" t="n">
        <v>45986.40208333333</v>
      </c>
      <c r="C394" s="1" t="n">
        <v>46081</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9314-2023</t>
        </is>
      </c>
      <c r="B395" s="1" t="n">
        <v>44980.67747685185</v>
      </c>
      <c r="C395" s="1" t="n">
        <v>46081</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33455-2023</t>
        </is>
      </c>
      <c r="B396" s="1" t="n">
        <v>45130.98962962963</v>
      </c>
      <c r="C396" s="1" t="n">
        <v>46081</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21306-2024</t>
        </is>
      </c>
      <c r="B397" s="1" t="n">
        <v>45440.67883101852</v>
      </c>
      <c r="C397" s="1" t="n">
        <v>46081</v>
      </c>
      <c r="D397" t="inlineStr">
        <is>
          <t>ÖREBRO LÄN</t>
        </is>
      </c>
      <c r="E397" t="inlineStr">
        <is>
          <t>ÖREBRO</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7634-2024</t>
        </is>
      </c>
      <c r="B398" s="1" t="n">
        <v>45348</v>
      </c>
      <c r="C398" s="1" t="n">
        <v>46081</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5324-2024</t>
        </is>
      </c>
      <c r="B399" s="1" t="n">
        <v>45331</v>
      </c>
      <c r="C399" s="1" t="n">
        <v>46081</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52401-2024</t>
        </is>
      </c>
      <c r="B400" s="1" t="n">
        <v>45609.44553240741</v>
      </c>
      <c r="C400" s="1" t="n">
        <v>46081</v>
      </c>
      <c r="D400" t="inlineStr">
        <is>
          <t>ÖREBRO LÄN</t>
        </is>
      </c>
      <c r="E400" t="inlineStr">
        <is>
          <t>ÖREBRO</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58230-2025</t>
        </is>
      </c>
      <c r="B401" s="1" t="n">
        <v>45985.38037037037</v>
      </c>
      <c r="C401" s="1" t="n">
        <v>46081</v>
      </c>
      <c r="D401" t="inlineStr">
        <is>
          <t>ÖREBRO LÄN</t>
        </is>
      </c>
      <c r="E401" t="inlineStr">
        <is>
          <t>ÖREBRO</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14963-2025</t>
        </is>
      </c>
      <c r="B402" s="1" t="n">
        <v>45743.58699074074</v>
      </c>
      <c r="C402" s="1" t="n">
        <v>46081</v>
      </c>
      <c r="D402" t="inlineStr">
        <is>
          <t>ÖREBRO LÄN</t>
        </is>
      </c>
      <c r="E402" t="inlineStr">
        <is>
          <t>ÖREBRO</t>
        </is>
      </c>
      <c r="G402" t="n">
        <v>9.1</v>
      </c>
      <c r="H402" t="n">
        <v>0</v>
      </c>
      <c r="I402" t="n">
        <v>0</v>
      </c>
      <c r="J402" t="n">
        <v>0</v>
      </c>
      <c r="K402" t="n">
        <v>0</v>
      </c>
      <c r="L402" t="n">
        <v>0</v>
      </c>
      <c r="M402" t="n">
        <v>0</v>
      </c>
      <c r="N402" t="n">
        <v>0</v>
      </c>
      <c r="O402" t="n">
        <v>0</v>
      </c>
      <c r="P402" t="n">
        <v>0</v>
      </c>
      <c r="Q402" t="n">
        <v>0</v>
      </c>
      <c r="R402" s="2" t="inlineStr"/>
    </row>
    <row r="403" ht="15" customHeight="1">
      <c r="A403" t="inlineStr">
        <is>
          <t>A 59145-2025</t>
        </is>
      </c>
      <c r="B403" s="1" t="n">
        <v>45988.52015046297</v>
      </c>
      <c r="C403" s="1" t="n">
        <v>46081</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46081</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55357-2024</t>
        </is>
      </c>
      <c r="B405" s="1" t="n">
        <v>45621.81126157408</v>
      </c>
      <c r="C405" s="1" t="n">
        <v>46081</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38422-2023</t>
        </is>
      </c>
      <c r="B406" s="1" t="n">
        <v>45162.36422453704</v>
      </c>
      <c r="C406" s="1" t="n">
        <v>46081</v>
      </c>
      <c r="D406" t="inlineStr">
        <is>
          <t>ÖREBRO LÄN</t>
        </is>
      </c>
      <c r="E406" t="inlineStr">
        <is>
          <t>ÖREBRO</t>
        </is>
      </c>
      <c r="G406" t="n">
        <v>8</v>
      </c>
      <c r="H406" t="n">
        <v>0</v>
      </c>
      <c r="I406" t="n">
        <v>0</v>
      </c>
      <c r="J406" t="n">
        <v>0</v>
      </c>
      <c r="K406" t="n">
        <v>0</v>
      </c>
      <c r="L406" t="n">
        <v>0</v>
      </c>
      <c r="M406" t="n">
        <v>0</v>
      </c>
      <c r="N406" t="n">
        <v>0</v>
      </c>
      <c r="O406" t="n">
        <v>0</v>
      </c>
      <c r="P406" t="n">
        <v>0</v>
      </c>
      <c r="Q406" t="n">
        <v>0</v>
      </c>
      <c r="R406" s="2" t="inlineStr"/>
    </row>
    <row r="407" ht="15" customHeight="1">
      <c r="A407" t="inlineStr">
        <is>
          <t>A 46518-2023</t>
        </is>
      </c>
      <c r="B407" s="1" t="n">
        <v>45197.72777777778</v>
      </c>
      <c r="C407" s="1" t="n">
        <v>46081</v>
      </c>
      <c r="D407" t="inlineStr">
        <is>
          <t>ÖREBRO LÄN</t>
        </is>
      </c>
      <c r="E407" t="inlineStr">
        <is>
          <t>ÖREBRO</t>
        </is>
      </c>
      <c r="G407" t="n">
        <v>2.2</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46081</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46081</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59856-2025</t>
        </is>
      </c>
      <c r="B410" s="1" t="n">
        <v>45992.74891203704</v>
      </c>
      <c r="C410" s="1" t="n">
        <v>46081</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59857-2025</t>
        </is>
      </c>
      <c r="B411" s="1" t="n">
        <v>45992.75820601852</v>
      </c>
      <c r="C411" s="1" t="n">
        <v>46081</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59858-2025</t>
        </is>
      </c>
      <c r="B412" s="1" t="n">
        <v>45992.76758101852</v>
      </c>
      <c r="C412" s="1" t="n">
        <v>46081</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59859-2025</t>
        </is>
      </c>
      <c r="B413" s="1" t="n">
        <v>45992.7803125</v>
      </c>
      <c r="C413" s="1" t="n">
        <v>46081</v>
      </c>
      <c r="D413" t="inlineStr">
        <is>
          <t>ÖREBRO LÄN</t>
        </is>
      </c>
      <c r="E413" t="inlineStr">
        <is>
          <t>ÖREBRO</t>
        </is>
      </c>
      <c r="G413" t="n">
        <v>0.4</v>
      </c>
      <c r="H413" t="n">
        <v>0</v>
      </c>
      <c r="I413" t="n">
        <v>0</v>
      </c>
      <c r="J413" t="n">
        <v>0</v>
      </c>
      <c r="K413" t="n">
        <v>0</v>
      </c>
      <c r="L413" t="n">
        <v>0</v>
      </c>
      <c r="M413" t="n">
        <v>0</v>
      </c>
      <c r="N413" t="n">
        <v>0</v>
      </c>
      <c r="O413" t="n">
        <v>0</v>
      </c>
      <c r="P413" t="n">
        <v>0</v>
      </c>
      <c r="Q413" t="n">
        <v>0</v>
      </c>
      <c r="R413" s="2" t="inlineStr"/>
    </row>
    <row r="414" ht="15" customHeight="1">
      <c r="A414" t="inlineStr">
        <is>
          <t>A 41703-2024</t>
        </is>
      </c>
      <c r="B414" s="1" t="n">
        <v>45560</v>
      </c>
      <c r="C414" s="1" t="n">
        <v>46081</v>
      </c>
      <c r="D414" t="inlineStr">
        <is>
          <t>ÖREBRO LÄN</t>
        </is>
      </c>
      <c r="E414" t="inlineStr">
        <is>
          <t>ÖREBRO</t>
        </is>
      </c>
      <c r="G414" t="n">
        <v>6.4</v>
      </c>
      <c r="H414" t="n">
        <v>0</v>
      </c>
      <c r="I414" t="n">
        <v>0</v>
      </c>
      <c r="J414" t="n">
        <v>0</v>
      </c>
      <c r="K414" t="n">
        <v>0</v>
      </c>
      <c r="L414" t="n">
        <v>0</v>
      </c>
      <c r="M414" t="n">
        <v>0</v>
      </c>
      <c r="N414" t="n">
        <v>0</v>
      </c>
      <c r="O414" t="n">
        <v>0</v>
      </c>
      <c r="P414" t="n">
        <v>0</v>
      </c>
      <c r="Q414" t="n">
        <v>0</v>
      </c>
      <c r="R414" s="2" t="inlineStr"/>
    </row>
    <row r="415" ht="15" customHeight="1">
      <c r="A415" t="inlineStr">
        <is>
          <t>A 19763-2024</t>
        </is>
      </c>
      <c r="B415" s="1" t="n">
        <v>45432</v>
      </c>
      <c r="C415" s="1" t="n">
        <v>46081</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59937-2025</t>
        </is>
      </c>
      <c r="B416" s="1" t="n">
        <v>45993.41934027777</v>
      </c>
      <c r="C416" s="1" t="n">
        <v>46081</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31247-2023</t>
        </is>
      </c>
      <c r="B417" s="1" t="n">
        <v>45114</v>
      </c>
      <c r="C417" s="1" t="n">
        <v>46081</v>
      </c>
      <c r="D417" t="inlineStr">
        <is>
          <t>ÖREBRO LÄN</t>
        </is>
      </c>
      <c r="E417" t="inlineStr">
        <is>
          <t>ÖREBRO</t>
        </is>
      </c>
      <c r="F417" t="inlineStr">
        <is>
          <t>Allmännings- och besparingsskogar</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59938-2025</t>
        </is>
      </c>
      <c r="B418" s="1" t="n">
        <v>45993.42108796296</v>
      </c>
      <c r="C418" s="1" t="n">
        <v>46081</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59860-2025</t>
        </is>
      </c>
      <c r="B419" s="1" t="n">
        <v>45992.78351851852</v>
      </c>
      <c r="C419" s="1" t="n">
        <v>46081</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60717-2025</t>
        </is>
      </c>
      <c r="B420" s="1" t="n">
        <v>45996.63673611111</v>
      </c>
      <c r="C420" s="1" t="n">
        <v>46081</v>
      </c>
      <c r="D420" t="inlineStr">
        <is>
          <t>ÖREBRO LÄN</t>
        </is>
      </c>
      <c r="E420" t="inlineStr">
        <is>
          <t>ÖREBRO</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60718-2025</t>
        </is>
      </c>
      <c r="B421" s="1" t="n">
        <v>45996.6384375</v>
      </c>
      <c r="C421" s="1" t="n">
        <v>46081</v>
      </c>
      <c r="D421" t="inlineStr">
        <is>
          <t>ÖREBRO LÄN</t>
        </is>
      </c>
      <c r="E421" t="inlineStr">
        <is>
          <t>ÖREBRO</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60721-2025</t>
        </is>
      </c>
      <c r="B422" s="1" t="n">
        <v>45996</v>
      </c>
      <c r="C422" s="1" t="n">
        <v>46081</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36635-2023</t>
        </is>
      </c>
      <c r="B423" s="1" t="n">
        <v>45153</v>
      </c>
      <c r="C423" s="1" t="n">
        <v>46081</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54149-2024</t>
        </is>
      </c>
      <c r="B424" s="1" t="n">
        <v>45616</v>
      </c>
      <c r="C424" s="1" t="n">
        <v>46081</v>
      </c>
      <c r="D424" t="inlineStr">
        <is>
          <t>ÖREBRO LÄN</t>
        </is>
      </c>
      <c r="E424" t="inlineStr">
        <is>
          <t>ÖREBRO</t>
        </is>
      </c>
      <c r="G424" t="n">
        <v>2.7</v>
      </c>
      <c r="H424" t="n">
        <v>0</v>
      </c>
      <c r="I424" t="n">
        <v>0</v>
      </c>
      <c r="J424" t="n">
        <v>0</v>
      </c>
      <c r="K424" t="n">
        <v>0</v>
      </c>
      <c r="L424" t="n">
        <v>0</v>
      </c>
      <c r="M424" t="n">
        <v>0</v>
      </c>
      <c r="N424" t="n">
        <v>0</v>
      </c>
      <c r="O424" t="n">
        <v>0</v>
      </c>
      <c r="P424" t="n">
        <v>0</v>
      </c>
      <c r="Q424" t="n">
        <v>0</v>
      </c>
      <c r="R424" s="2" t="inlineStr"/>
    </row>
    <row r="425" ht="15" customHeight="1">
      <c r="A425" t="inlineStr">
        <is>
          <t>A 60466-2025</t>
        </is>
      </c>
      <c r="B425" s="1" t="n">
        <v>45995.55927083334</v>
      </c>
      <c r="C425" s="1" t="n">
        <v>46081</v>
      </c>
      <c r="D425" t="inlineStr">
        <is>
          <t>ÖREBRO LÄN</t>
        </is>
      </c>
      <c r="E425" t="inlineStr">
        <is>
          <t>ÖREBRO</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60555-2025</t>
        </is>
      </c>
      <c r="B426" s="1" t="n">
        <v>45995.73722222223</v>
      </c>
      <c r="C426" s="1" t="n">
        <v>46081</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60551-2025</t>
        </is>
      </c>
      <c r="B427" s="1" t="n">
        <v>45995</v>
      </c>
      <c r="C427" s="1" t="n">
        <v>46081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60720-2025</t>
        </is>
      </c>
      <c r="B428" s="1" t="n">
        <v>45996.64050925926</v>
      </c>
      <c r="C428" s="1" t="n">
        <v>46081</v>
      </c>
      <c r="D428" t="inlineStr">
        <is>
          <t>ÖREBRO LÄN</t>
        </is>
      </c>
      <c r="E428" t="inlineStr">
        <is>
          <t>ÖREBRO</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49797-2024</t>
        </is>
      </c>
      <c r="B429" s="1" t="n">
        <v>45597.37265046296</v>
      </c>
      <c r="C429" s="1" t="n">
        <v>46081</v>
      </c>
      <c r="D429" t="inlineStr">
        <is>
          <t>ÖREBRO LÄN</t>
        </is>
      </c>
      <c r="E429" t="inlineStr">
        <is>
          <t>ÖREBRO</t>
        </is>
      </c>
      <c r="G429" t="n">
        <v>11.6</v>
      </c>
      <c r="H429" t="n">
        <v>0</v>
      </c>
      <c r="I429" t="n">
        <v>0</v>
      </c>
      <c r="J429" t="n">
        <v>0</v>
      </c>
      <c r="K429" t="n">
        <v>0</v>
      </c>
      <c r="L429" t="n">
        <v>0</v>
      </c>
      <c r="M429" t="n">
        <v>0</v>
      </c>
      <c r="N429" t="n">
        <v>0</v>
      </c>
      <c r="O429" t="n">
        <v>0</v>
      </c>
      <c r="P429" t="n">
        <v>0</v>
      </c>
      <c r="Q429" t="n">
        <v>0</v>
      </c>
      <c r="R429" s="2" t="inlineStr"/>
    </row>
    <row r="430" ht="15" customHeight="1">
      <c r="A430" t="inlineStr">
        <is>
          <t>A 32086-2023</t>
        </is>
      </c>
      <c r="B430" s="1" t="n">
        <v>45119.59789351852</v>
      </c>
      <c r="C430" s="1" t="n">
        <v>46081</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13856-2022</t>
        </is>
      </c>
      <c r="B431" s="1" t="n">
        <v>44649.6965162037</v>
      </c>
      <c r="C431" s="1" t="n">
        <v>46081</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3111-2026</t>
        </is>
      </c>
      <c r="B432" s="1" t="n">
        <v>46041.36004629629</v>
      </c>
      <c r="C432" s="1" t="n">
        <v>46081</v>
      </c>
      <c r="D432" t="inlineStr">
        <is>
          <t>ÖREBRO LÄN</t>
        </is>
      </c>
      <c r="E432" t="inlineStr">
        <is>
          <t>ÖREBRO</t>
        </is>
      </c>
      <c r="F432" t="inlineStr">
        <is>
          <t>Övriga Aktiebolag</t>
        </is>
      </c>
      <c r="G432" t="n">
        <v>8.6</v>
      </c>
      <c r="H432" t="n">
        <v>0</v>
      </c>
      <c r="I432" t="n">
        <v>0</v>
      </c>
      <c r="J432" t="n">
        <v>0</v>
      </c>
      <c r="K432" t="n">
        <v>0</v>
      </c>
      <c r="L432" t="n">
        <v>0</v>
      </c>
      <c r="M432" t="n">
        <v>0</v>
      </c>
      <c r="N432" t="n">
        <v>0</v>
      </c>
      <c r="O432" t="n">
        <v>0</v>
      </c>
      <c r="P432" t="n">
        <v>0</v>
      </c>
      <c r="Q432" t="n">
        <v>0</v>
      </c>
      <c r="R432" s="2" t="inlineStr"/>
    </row>
    <row r="433" ht="15" customHeight="1">
      <c r="A433" t="inlineStr">
        <is>
          <t>A 23863-2023</t>
        </is>
      </c>
      <c r="B433" s="1" t="n">
        <v>45078.48994212963</v>
      </c>
      <c r="C433" s="1" t="n">
        <v>46081</v>
      </c>
      <c r="D433" t="inlineStr">
        <is>
          <t>ÖREBRO LÄN</t>
        </is>
      </c>
      <c r="E433" t="inlineStr">
        <is>
          <t>ÖREBRO</t>
        </is>
      </c>
      <c r="F433" t="inlineStr">
        <is>
          <t>Övriga Aktiebolag</t>
        </is>
      </c>
      <c r="G433" t="n">
        <v>5.9</v>
      </c>
      <c r="H433" t="n">
        <v>0</v>
      </c>
      <c r="I433" t="n">
        <v>0</v>
      </c>
      <c r="J433" t="n">
        <v>0</v>
      </c>
      <c r="K433" t="n">
        <v>0</v>
      </c>
      <c r="L433" t="n">
        <v>0</v>
      </c>
      <c r="M433" t="n">
        <v>0</v>
      </c>
      <c r="N433" t="n">
        <v>0</v>
      </c>
      <c r="O433" t="n">
        <v>0</v>
      </c>
      <c r="P433" t="n">
        <v>0</v>
      </c>
      <c r="Q433" t="n">
        <v>0</v>
      </c>
      <c r="R433" s="2" t="inlineStr"/>
    </row>
    <row r="434" ht="15" customHeight="1">
      <c r="A434" t="inlineStr">
        <is>
          <t>A 39130-2023</t>
        </is>
      </c>
      <c r="B434" s="1" t="n">
        <v>45165</v>
      </c>
      <c r="C434" s="1" t="n">
        <v>46081</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3252-2026</t>
        </is>
      </c>
      <c r="B435" s="1" t="n">
        <v>46041.58626157408</v>
      </c>
      <c r="C435" s="1" t="n">
        <v>46081</v>
      </c>
      <c r="D435" t="inlineStr">
        <is>
          <t>ÖREBRO LÄN</t>
        </is>
      </c>
      <c r="E435" t="inlineStr">
        <is>
          <t>ÖREBRO</t>
        </is>
      </c>
      <c r="F435" t="inlineStr">
        <is>
          <t>Övriga Aktiebolag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60840-2025</t>
        </is>
      </c>
      <c r="B436" s="1" t="n">
        <v>45999.48547453704</v>
      </c>
      <c r="C436" s="1" t="n">
        <v>46081</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13599-2025</t>
        </is>
      </c>
      <c r="B437" s="1" t="n">
        <v>45736.60597222222</v>
      </c>
      <c r="C437" s="1" t="n">
        <v>46081</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3944-2026</t>
        </is>
      </c>
      <c r="B438" s="1" t="n">
        <v>46043.93358796297</v>
      </c>
      <c r="C438" s="1" t="n">
        <v>46081</v>
      </c>
      <c r="D438" t="inlineStr">
        <is>
          <t>ÖREBRO LÄN</t>
        </is>
      </c>
      <c r="E438" t="inlineStr">
        <is>
          <t>ÖREBRO</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46081</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50375-2024</t>
        </is>
      </c>
      <c r="B440" s="1" t="n">
        <v>45601.29311342593</v>
      </c>
      <c r="C440" s="1" t="n">
        <v>46081</v>
      </c>
      <c r="D440" t="inlineStr">
        <is>
          <t>ÖREBRO LÄN</t>
        </is>
      </c>
      <c r="E440" t="inlineStr">
        <is>
          <t>ÖREBRO</t>
        </is>
      </c>
      <c r="G440" t="n">
        <v>5</v>
      </c>
      <c r="H440" t="n">
        <v>0</v>
      </c>
      <c r="I440" t="n">
        <v>0</v>
      </c>
      <c r="J440" t="n">
        <v>0</v>
      </c>
      <c r="K440" t="n">
        <v>0</v>
      </c>
      <c r="L440" t="n">
        <v>0</v>
      </c>
      <c r="M440" t="n">
        <v>0</v>
      </c>
      <c r="N440" t="n">
        <v>0</v>
      </c>
      <c r="O440" t="n">
        <v>0</v>
      </c>
      <c r="P440" t="n">
        <v>0</v>
      </c>
      <c r="Q440" t="n">
        <v>0</v>
      </c>
      <c r="R440" s="2" t="inlineStr"/>
    </row>
    <row r="441" ht="15" customHeight="1">
      <c r="A441" t="inlineStr">
        <is>
          <t>A 52391-2024</t>
        </is>
      </c>
      <c r="B441" s="1" t="n">
        <v>45609.43180555556</v>
      </c>
      <c r="C441" s="1" t="n">
        <v>46081</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61930-2025</t>
        </is>
      </c>
      <c r="B442" s="1" t="n">
        <v>46003</v>
      </c>
      <c r="C442" s="1" t="n">
        <v>46081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46081</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46081</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46081</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46081</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46081</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46081</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16300-2022</t>
        </is>
      </c>
      <c r="B449" s="1" t="n">
        <v>44670</v>
      </c>
      <c r="C449" s="1" t="n">
        <v>46081</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62683-2025</t>
        </is>
      </c>
      <c r="B450" s="1" t="n">
        <v>46008.45796296297</v>
      </c>
      <c r="C450" s="1" t="n">
        <v>46081</v>
      </c>
      <c r="D450" t="inlineStr">
        <is>
          <t>ÖREBRO LÄN</t>
        </is>
      </c>
      <c r="E450" t="inlineStr">
        <is>
          <t>ÖREBRO</t>
        </is>
      </c>
      <c r="G450" t="n">
        <v>5.1</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46081</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55472-2023</t>
        </is>
      </c>
      <c r="B452" s="1" t="n">
        <v>45238</v>
      </c>
      <c r="C452" s="1" t="n">
        <v>46081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54925-2023</t>
        </is>
      </c>
      <c r="B453" s="1" t="n">
        <v>45229</v>
      </c>
      <c r="C453" s="1" t="n">
        <v>46081</v>
      </c>
      <c r="D453" t="inlineStr">
        <is>
          <t>ÖREBRO LÄN</t>
        </is>
      </c>
      <c r="E453" t="inlineStr">
        <is>
          <t>ÖREBRO</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16961-2022</t>
        </is>
      </c>
      <c r="B454" s="1" t="n">
        <v>44676</v>
      </c>
      <c r="C454" s="1" t="n">
        <v>46081</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15424-2022</t>
        </is>
      </c>
      <c r="B455" s="1" t="n">
        <v>44659</v>
      </c>
      <c r="C455" s="1" t="n">
        <v>46081</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55003-2025</t>
        </is>
      </c>
      <c r="B456" s="1" t="n">
        <v>45967</v>
      </c>
      <c r="C456" s="1" t="n">
        <v>46081</v>
      </c>
      <c r="D456" t="inlineStr">
        <is>
          <t>ÖREBRO LÄN</t>
        </is>
      </c>
      <c r="E456" t="inlineStr">
        <is>
          <t>ÖREBRO</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46081</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6220-2026</t>
        </is>
      </c>
      <c r="B458" s="1" t="n">
        <v>46055.43789351852</v>
      </c>
      <c r="C458" s="1" t="n">
        <v>46081</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13700-2024</t>
        </is>
      </c>
      <c r="B459" s="1" t="n">
        <v>45390.59277777778</v>
      </c>
      <c r="C459" s="1" t="n">
        <v>46081</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63657-2025</t>
        </is>
      </c>
      <c r="B460" s="1" t="n">
        <v>46014.44479166667</v>
      </c>
      <c r="C460" s="1" t="n">
        <v>46081</v>
      </c>
      <c r="D460" t="inlineStr">
        <is>
          <t>ÖREBRO LÄN</t>
        </is>
      </c>
      <c r="E460" t="inlineStr">
        <is>
          <t>ÖREBRO</t>
        </is>
      </c>
      <c r="F460" t="inlineStr">
        <is>
          <t>Allmännings- och besparingsskogar</t>
        </is>
      </c>
      <c r="G460" t="n">
        <v>3.9</v>
      </c>
      <c r="H460" t="n">
        <v>0</v>
      </c>
      <c r="I460" t="n">
        <v>0</v>
      </c>
      <c r="J460" t="n">
        <v>0</v>
      </c>
      <c r="K460" t="n">
        <v>0</v>
      </c>
      <c r="L460" t="n">
        <v>0</v>
      </c>
      <c r="M460" t="n">
        <v>0</v>
      </c>
      <c r="N460" t="n">
        <v>0</v>
      </c>
      <c r="O460" t="n">
        <v>0</v>
      </c>
      <c r="P460" t="n">
        <v>0</v>
      </c>
      <c r="Q460" t="n">
        <v>0</v>
      </c>
      <c r="R460" s="2" t="inlineStr"/>
    </row>
    <row r="461" ht="15" customHeight="1">
      <c r="A461" t="inlineStr">
        <is>
          <t>A 3659-2025</t>
        </is>
      </c>
      <c r="B461" s="1" t="n">
        <v>45681</v>
      </c>
      <c r="C461" s="1" t="n">
        <v>46081</v>
      </c>
      <c r="D461" t="inlineStr">
        <is>
          <t>ÖREBRO LÄN</t>
        </is>
      </c>
      <c r="E461" t="inlineStr">
        <is>
          <t>ÖREBRO</t>
        </is>
      </c>
      <c r="G461" t="n">
        <v>15.8</v>
      </c>
      <c r="H461" t="n">
        <v>0</v>
      </c>
      <c r="I461" t="n">
        <v>0</v>
      </c>
      <c r="J461" t="n">
        <v>0</v>
      </c>
      <c r="K461" t="n">
        <v>0</v>
      </c>
      <c r="L461" t="n">
        <v>0</v>
      </c>
      <c r="M461" t="n">
        <v>0</v>
      </c>
      <c r="N461" t="n">
        <v>0</v>
      </c>
      <c r="O461" t="n">
        <v>0</v>
      </c>
      <c r="P461" t="n">
        <v>0</v>
      </c>
      <c r="Q461" t="n">
        <v>0</v>
      </c>
      <c r="R461" s="2" t="inlineStr"/>
    </row>
    <row r="462" ht="15" customHeight="1">
      <c r="A462" t="inlineStr">
        <is>
          <t>A 1014-2024</t>
        </is>
      </c>
      <c r="B462" s="1" t="n">
        <v>45301</v>
      </c>
      <c r="C462" s="1" t="n">
        <v>46081</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63666-2025</t>
        </is>
      </c>
      <c r="B463" s="1" t="n">
        <v>46014.45650462963</v>
      </c>
      <c r="C463" s="1" t="n">
        <v>46081</v>
      </c>
      <c r="D463" t="inlineStr">
        <is>
          <t>ÖREBRO LÄN</t>
        </is>
      </c>
      <c r="E463" t="inlineStr">
        <is>
          <t>ÖREBRO</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7220-2026</t>
        </is>
      </c>
      <c r="B464" s="1" t="n">
        <v>46058.56126157408</v>
      </c>
      <c r="C464" s="1" t="n">
        <v>46081</v>
      </c>
      <c r="D464" t="inlineStr">
        <is>
          <t>ÖREBRO LÄN</t>
        </is>
      </c>
      <c r="E464" t="inlineStr">
        <is>
          <t>ÖREBRO</t>
        </is>
      </c>
      <c r="F464" t="inlineStr">
        <is>
          <t>Övriga Aktiebolag</t>
        </is>
      </c>
      <c r="G464" t="n">
        <v>2</v>
      </c>
      <c r="H464" t="n">
        <v>0</v>
      </c>
      <c r="I464" t="n">
        <v>0</v>
      </c>
      <c r="J464" t="n">
        <v>0</v>
      </c>
      <c r="K464" t="n">
        <v>0</v>
      </c>
      <c r="L464" t="n">
        <v>0</v>
      </c>
      <c r="M464" t="n">
        <v>0</v>
      </c>
      <c r="N464" t="n">
        <v>0</v>
      </c>
      <c r="O464" t="n">
        <v>0</v>
      </c>
      <c r="P464" t="n">
        <v>0</v>
      </c>
      <c r="Q464" t="n">
        <v>0</v>
      </c>
      <c r="R464" s="2" t="inlineStr"/>
    </row>
    <row r="465" ht="15" customHeight="1">
      <c r="A465" t="inlineStr">
        <is>
          <t>A 7227-2026</t>
        </is>
      </c>
      <c r="B465" s="1" t="n">
        <v>46058.56858796296</v>
      </c>
      <c r="C465" s="1" t="n">
        <v>46081</v>
      </c>
      <c r="D465" t="inlineStr">
        <is>
          <t>ÖREBRO LÄN</t>
        </is>
      </c>
      <c r="E465" t="inlineStr">
        <is>
          <t>ÖREBRO</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63662-2025</t>
        </is>
      </c>
      <c r="B466" s="1" t="n">
        <v>46014.45055555556</v>
      </c>
      <c r="C466" s="1" t="n">
        <v>46081</v>
      </c>
      <c r="D466" t="inlineStr">
        <is>
          <t>ÖREBRO LÄN</t>
        </is>
      </c>
      <c r="E466" t="inlineStr">
        <is>
          <t>ÖREBRO</t>
        </is>
      </c>
      <c r="F466" t="inlineStr">
        <is>
          <t>Allmännings- och besparingsskogar</t>
        </is>
      </c>
      <c r="G466" t="n">
        <v>3.2</v>
      </c>
      <c r="H466" t="n">
        <v>0</v>
      </c>
      <c r="I466" t="n">
        <v>0</v>
      </c>
      <c r="J466" t="n">
        <v>0</v>
      </c>
      <c r="K466" t="n">
        <v>0</v>
      </c>
      <c r="L466" t="n">
        <v>0</v>
      </c>
      <c r="M466" t="n">
        <v>0</v>
      </c>
      <c r="N466" t="n">
        <v>0</v>
      </c>
      <c r="O466" t="n">
        <v>0</v>
      </c>
      <c r="P466" t="n">
        <v>0</v>
      </c>
      <c r="Q466" t="n">
        <v>0</v>
      </c>
      <c r="R466" s="2" t="inlineStr"/>
    </row>
    <row r="467" ht="15" customHeight="1">
      <c r="A467" t="inlineStr">
        <is>
          <t>A 7275-2026</t>
        </is>
      </c>
      <c r="B467" s="1" t="n">
        <v>46058.6259375</v>
      </c>
      <c r="C467" s="1" t="n">
        <v>46081</v>
      </c>
      <c r="D467" t="inlineStr">
        <is>
          <t>ÖREBRO LÄN</t>
        </is>
      </c>
      <c r="E467" t="inlineStr">
        <is>
          <t>ÖREBRO</t>
        </is>
      </c>
      <c r="F467" t="inlineStr">
        <is>
          <t>Övriga Aktiebolag</t>
        </is>
      </c>
      <c r="G467" t="n">
        <v>5.2</v>
      </c>
      <c r="H467" t="n">
        <v>0</v>
      </c>
      <c r="I467" t="n">
        <v>0</v>
      </c>
      <c r="J467" t="n">
        <v>0</v>
      </c>
      <c r="K467" t="n">
        <v>0</v>
      </c>
      <c r="L467" t="n">
        <v>0</v>
      </c>
      <c r="M467" t="n">
        <v>0</v>
      </c>
      <c r="N467" t="n">
        <v>0</v>
      </c>
      <c r="O467" t="n">
        <v>0</v>
      </c>
      <c r="P467" t="n">
        <v>0</v>
      </c>
      <c r="Q467" t="n">
        <v>0</v>
      </c>
      <c r="R467" s="2" t="inlineStr"/>
    </row>
    <row r="468" ht="15" customHeight="1">
      <c r="A468" t="inlineStr">
        <is>
          <t>A 767-2024</t>
        </is>
      </c>
      <c r="B468" s="1" t="n">
        <v>45300.51892361111</v>
      </c>
      <c r="C468" s="1" t="n">
        <v>46081</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7550-2026</t>
        </is>
      </c>
      <c r="B469" s="1" t="n">
        <v>46059.68496527777</v>
      </c>
      <c r="C469" s="1" t="n">
        <v>46081</v>
      </c>
      <c r="D469" t="inlineStr">
        <is>
          <t>ÖREBRO LÄN</t>
        </is>
      </c>
      <c r="E469" t="inlineStr">
        <is>
          <t>ÖREBRO</t>
        </is>
      </c>
      <c r="G469" t="n">
        <v>1.9</v>
      </c>
      <c r="H469" t="n">
        <v>0</v>
      </c>
      <c r="I469" t="n">
        <v>0</v>
      </c>
      <c r="J469" t="n">
        <v>0</v>
      </c>
      <c r="K469" t="n">
        <v>0</v>
      </c>
      <c r="L469" t="n">
        <v>0</v>
      </c>
      <c r="M469" t="n">
        <v>0</v>
      </c>
      <c r="N469" t="n">
        <v>0</v>
      </c>
      <c r="O469" t="n">
        <v>0</v>
      </c>
      <c r="P469" t="n">
        <v>0</v>
      </c>
      <c r="Q469" t="n">
        <v>0</v>
      </c>
      <c r="R469" s="2" t="inlineStr"/>
    </row>
    <row r="470" ht="15" customHeight="1">
      <c r="A470" t="inlineStr">
        <is>
          <t>A 44511-2023</t>
        </is>
      </c>
      <c r="B470" s="1" t="n">
        <v>45189</v>
      </c>
      <c r="C470" s="1" t="n">
        <v>46081</v>
      </c>
      <c r="D470" t="inlineStr">
        <is>
          <t>ÖREBRO LÄN</t>
        </is>
      </c>
      <c r="E470" t="inlineStr">
        <is>
          <t>ÖREBRO</t>
        </is>
      </c>
      <c r="F470" t="inlineStr">
        <is>
          <t>Allmännings- och besparingsskogar</t>
        </is>
      </c>
      <c r="G470" t="n">
        <v>2.7</v>
      </c>
      <c r="H470" t="n">
        <v>0</v>
      </c>
      <c r="I470" t="n">
        <v>0</v>
      </c>
      <c r="J470" t="n">
        <v>0</v>
      </c>
      <c r="K470" t="n">
        <v>0</v>
      </c>
      <c r="L470" t="n">
        <v>0</v>
      </c>
      <c r="M470" t="n">
        <v>0</v>
      </c>
      <c r="N470" t="n">
        <v>0</v>
      </c>
      <c r="O470" t="n">
        <v>0</v>
      </c>
      <c r="P470" t="n">
        <v>0</v>
      </c>
      <c r="Q470" t="n">
        <v>0</v>
      </c>
      <c r="R470" s="2" t="inlineStr"/>
    </row>
    <row r="471" ht="15" customHeight="1">
      <c r="A471" t="inlineStr">
        <is>
          <t>A 53234-2023</t>
        </is>
      </c>
      <c r="B471" s="1" t="n">
        <v>45229</v>
      </c>
      <c r="C471" s="1" t="n">
        <v>46081</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8512-2025</t>
        </is>
      </c>
      <c r="B472" s="1" t="n">
        <v>45709.54873842592</v>
      </c>
      <c r="C472" s="1" t="n">
        <v>46081</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28054-2022</t>
        </is>
      </c>
      <c r="B473" s="1" t="n">
        <v>44746.41938657407</v>
      </c>
      <c r="C473" s="1" t="n">
        <v>46081</v>
      </c>
      <c r="D473" t="inlineStr">
        <is>
          <t>ÖREBRO LÄN</t>
        </is>
      </c>
      <c r="E473" t="inlineStr">
        <is>
          <t>ÖREBRO</t>
        </is>
      </c>
      <c r="G473" t="n">
        <v>1.2</v>
      </c>
      <c r="H473" t="n">
        <v>0</v>
      </c>
      <c r="I473" t="n">
        <v>0</v>
      </c>
      <c r="J473" t="n">
        <v>0</v>
      </c>
      <c r="K473" t="n">
        <v>0</v>
      </c>
      <c r="L473" t="n">
        <v>0</v>
      </c>
      <c r="M473" t="n">
        <v>0</v>
      </c>
      <c r="N473" t="n">
        <v>0</v>
      </c>
      <c r="O473" t="n">
        <v>0</v>
      </c>
      <c r="P473" t="n">
        <v>0</v>
      </c>
      <c r="Q473" t="n">
        <v>0</v>
      </c>
      <c r="R473" s="2" t="inlineStr"/>
    </row>
    <row r="474" ht="15" customHeight="1">
      <c r="A474" t="inlineStr">
        <is>
          <t>A 1647-2024</t>
        </is>
      </c>
      <c r="B474" s="1" t="n">
        <v>45306</v>
      </c>
      <c r="C474" s="1" t="n">
        <v>46081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57485-2023</t>
        </is>
      </c>
      <c r="B475" s="1" t="n">
        <v>45246</v>
      </c>
      <c r="C475" s="1" t="n">
        <v>46081</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58032-2023</t>
        </is>
      </c>
      <c r="B476" s="1" t="n">
        <v>45247</v>
      </c>
      <c r="C476" s="1" t="n">
        <v>46081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58035-2023</t>
        </is>
      </c>
      <c r="B477" s="1" t="n">
        <v>45247</v>
      </c>
      <c r="C477" s="1" t="n">
        <v>46081</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35829-2024</t>
        </is>
      </c>
      <c r="B478" s="1" t="n">
        <v>45532</v>
      </c>
      <c r="C478" s="1" t="n">
        <v>46081</v>
      </c>
      <c r="D478" t="inlineStr">
        <is>
          <t>ÖREBRO LÄN</t>
        </is>
      </c>
      <c r="E478" t="inlineStr">
        <is>
          <t>ÖREBRO</t>
        </is>
      </c>
      <c r="G478" t="n">
        <v>4.6</v>
      </c>
      <c r="H478" t="n">
        <v>0</v>
      </c>
      <c r="I478" t="n">
        <v>0</v>
      </c>
      <c r="J478" t="n">
        <v>0</v>
      </c>
      <c r="K478" t="n">
        <v>0</v>
      </c>
      <c r="L478" t="n">
        <v>0</v>
      </c>
      <c r="M478" t="n">
        <v>0</v>
      </c>
      <c r="N478" t="n">
        <v>0</v>
      </c>
      <c r="O478" t="n">
        <v>0</v>
      </c>
      <c r="P478" t="n">
        <v>0</v>
      </c>
      <c r="Q478" t="n">
        <v>0</v>
      </c>
      <c r="R478" s="2" t="inlineStr"/>
    </row>
    <row r="479" ht="15" customHeight="1">
      <c r="A479" t="inlineStr">
        <is>
          <t>A 35833-2024</t>
        </is>
      </c>
      <c r="B479" s="1" t="n">
        <v>45532.68699074074</v>
      </c>
      <c r="C479" s="1" t="n">
        <v>46081</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46081</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64018-2025</t>
        </is>
      </c>
      <c r="B481" s="1" t="n">
        <v>46021.4546412037</v>
      </c>
      <c r="C481" s="1" t="n">
        <v>46081</v>
      </c>
      <c r="D481" t="inlineStr">
        <is>
          <t>ÖREBRO LÄN</t>
        </is>
      </c>
      <c r="E481" t="inlineStr">
        <is>
          <t>ÖREBRO</t>
        </is>
      </c>
      <c r="G481" t="n">
        <v>2.9</v>
      </c>
      <c r="H481" t="n">
        <v>0</v>
      </c>
      <c r="I481" t="n">
        <v>0</v>
      </c>
      <c r="J481" t="n">
        <v>0</v>
      </c>
      <c r="K481" t="n">
        <v>0</v>
      </c>
      <c r="L481" t="n">
        <v>0</v>
      </c>
      <c r="M481" t="n">
        <v>0</v>
      </c>
      <c r="N481" t="n">
        <v>0</v>
      </c>
      <c r="O481" t="n">
        <v>0</v>
      </c>
      <c r="P481" t="n">
        <v>0</v>
      </c>
      <c r="Q481" t="n">
        <v>0</v>
      </c>
      <c r="R481" s="2" t="inlineStr"/>
    </row>
    <row r="482" ht="15" customHeight="1">
      <c r="A482" t="inlineStr">
        <is>
          <t>A 64019-2025</t>
        </is>
      </c>
      <c r="B482" s="1" t="n">
        <v>46021.45914351852</v>
      </c>
      <c r="C482" s="1" t="n">
        <v>46081</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14717-2024</t>
        </is>
      </c>
      <c r="B483" s="1" t="n">
        <v>45397.55104166667</v>
      </c>
      <c r="C483" s="1" t="n">
        <v>46081</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8461-2026</t>
        </is>
      </c>
      <c r="B484" s="1" t="n">
        <v>46065.42981481482</v>
      </c>
      <c r="C484" s="1" t="n">
        <v>46081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8662-2026</t>
        </is>
      </c>
      <c r="B485" s="1" t="n">
        <v>46066.38112268518</v>
      </c>
      <c r="C485" s="1" t="n">
        <v>46081</v>
      </c>
      <c r="D485" t="inlineStr">
        <is>
          <t>ÖREBRO LÄN</t>
        </is>
      </c>
      <c r="E485" t="inlineStr">
        <is>
          <t>ÖREBRO</t>
        </is>
      </c>
      <c r="G485" t="n">
        <v>3.2</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46081</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46081</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46081</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46081</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46081</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46081</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46081</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46081</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9318-2026</t>
        </is>
      </c>
      <c r="B494" s="1" t="n">
        <v>46070.62585648148</v>
      </c>
      <c r="C494" s="1" t="n">
        <v>46081</v>
      </c>
      <c r="D494" t="inlineStr">
        <is>
          <t>ÖREBRO LÄN</t>
        </is>
      </c>
      <c r="E494" t="inlineStr">
        <is>
          <t>ÖREBRO</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37021-2024</t>
        </is>
      </c>
      <c r="B495" s="1" t="n">
        <v>45539.38146990741</v>
      </c>
      <c r="C495" s="1" t="n">
        <v>46081</v>
      </c>
      <c r="D495" t="inlineStr">
        <is>
          <t>ÖREBRO LÄN</t>
        </is>
      </c>
      <c r="E495" t="inlineStr">
        <is>
          <t>ÖREBRO</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23573-2023</t>
        </is>
      </c>
      <c r="B496" s="1" t="n">
        <v>45077.41672453703</v>
      </c>
      <c r="C496" s="1" t="n">
        <v>46081</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13762-2023</t>
        </is>
      </c>
      <c r="B497" s="1" t="n">
        <v>45007.43729166667</v>
      </c>
      <c r="C497" s="1" t="n">
        <v>46081</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5129-2024</t>
        </is>
      </c>
      <c r="B498" s="1" t="n">
        <v>45330</v>
      </c>
      <c r="C498" s="1" t="n">
        <v>46081</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1492-2022</t>
        </is>
      </c>
      <c r="B499" s="1" t="n">
        <v>44573</v>
      </c>
      <c r="C499" s="1" t="n">
        <v>46081</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59026-2024</t>
        </is>
      </c>
      <c r="B500" s="1" t="n">
        <v>45636.6875</v>
      </c>
      <c r="C500" s="1" t="n">
        <v>46081</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18550-2025</t>
        </is>
      </c>
      <c r="B501" s="1" t="n">
        <v>45763</v>
      </c>
      <c r="C501" s="1" t="n">
        <v>46081</v>
      </c>
      <c r="D501" t="inlineStr">
        <is>
          <t>ÖREBRO LÄN</t>
        </is>
      </c>
      <c r="E501" t="inlineStr">
        <is>
          <t>ÖREBRO</t>
        </is>
      </c>
      <c r="G501" t="n">
        <v>11.5</v>
      </c>
      <c r="H501" t="n">
        <v>0</v>
      </c>
      <c r="I501" t="n">
        <v>0</v>
      </c>
      <c r="J501" t="n">
        <v>0</v>
      </c>
      <c r="K501" t="n">
        <v>0</v>
      </c>
      <c r="L501" t="n">
        <v>0</v>
      </c>
      <c r="M501" t="n">
        <v>0</v>
      </c>
      <c r="N501" t="n">
        <v>0</v>
      </c>
      <c r="O501" t="n">
        <v>0</v>
      </c>
      <c r="P501" t="n">
        <v>0</v>
      </c>
      <c r="Q501" t="n">
        <v>0</v>
      </c>
      <c r="R501" s="2" t="inlineStr"/>
    </row>
    <row r="502" ht="15" customHeight="1">
      <c r="A502" t="inlineStr">
        <is>
          <t>A 52623-2024</t>
        </is>
      </c>
      <c r="B502" s="1" t="n">
        <v>45609</v>
      </c>
      <c r="C502" s="1" t="n">
        <v>46081</v>
      </c>
      <c r="D502" t="inlineStr">
        <is>
          <t>ÖREBRO LÄN</t>
        </is>
      </c>
      <c r="E502" t="inlineStr">
        <is>
          <t>ÖREBRO</t>
        </is>
      </c>
      <c r="F502" t="inlineStr">
        <is>
          <t>Kommuner</t>
        </is>
      </c>
      <c r="G502" t="n">
        <v>1.7</v>
      </c>
      <c r="H502" t="n">
        <v>0</v>
      </c>
      <c r="I502" t="n">
        <v>0</v>
      </c>
      <c r="J502" t="n">
        <v>0</v>
      </c>
      <c r="K502" t="n">
        <v>0</v>
      </c>
      <c r="L502" t="n">
        <v>0</v>
      </c>
      <c r="M502" t="n">
        <v>0</v>
      </c>
      <c r="N502" t="n">
        <v>0</v>
      </c>
      <c r="O502" t="n">
        <v>0</v>
      </c>
      <c r="P502" t="n">
        <v>0</v>
      </c>
      <c r="Q502" t="n">
        <v>0</v>
      </c>
      <c r="R502" s="2" t="inlineStr"/>
    </row>
    <row r="503" ht="15" customHeight="1">
      <c r="A503" t="inlineStr">
        <is>
          <t>A 62511-2023</t>
        </is>
      </c>
      <c r="B503" s="1" t="n">
        <v>45268.61855324074</v>
      </c>
      <c r="C503" s="1" t="n">
        <v>46081</v>
      </c>
      <c r="D503" t="inlineStr">
        <is>
          <t>ÖREBRO LÄN</t>
        </is>
      </c>
      <c r="E503" t="inlineStr">
        <is>
          <t>ÖREBRO</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10108-2026</t>
        </is>
      </c>
      <c r="B504" s="1" t="n">
        <v>46074.64310185185</v>
      </c>
      <c r="C504" s="1" t="n">
        <v>46081</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1153-2026</t>
        </is>
      </c>
      <c r="B505" s="1" t="n">
        <v>46031.30899305556</v>
      </c>
      <c r="C505" s="1" t="n">
        <v>46081</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40522-2024</t>
        </is>
      </c>
      <c r="B506" s="1" t="n">
        <v>45555.59717592593</v>
      </c>
      <c r="C506" s="1" t="n">
        <v>46081</v>
      </c>
      <c r="D506" t="inlineStr">
        <is>
          <t>ÖREBRO LÄN</t>
        </is>
      </c>
      <c r="E506" t="inlineStr">
        <is>
          <t>ÖREBRO</t>
        </is>
      </c>
      <c r="G506" t="n">
        <v>5.1</v>
      </c>
      <c r="H506" t="n">
        <v>0</v>
      </c>
      <c r="I506" t="n">
        <v>0</v>
      </c>
      <c r="J506" t="n">
        <v>0</v>
      </c>
      <c r="K506" t="n">
        <v>0</v>
      </c>
      <c r="L506" t="n">
        <v>0</v>
      </c>
      <c r="M506" t="n">
        <v>0</v>
      </c>
      <c r="N506" t="n">
        <v>0</v>
      </c>
      <c r="O506" t="n">
        <v>0</v>
      </c>
      <c r="P506" t="n">
        <v>0</v>
      </c>
      <c r="Q506" t="n">
        <v>0</v>
      </c>
      <c r="R506" s="2" t="inlineStr"/>
    </row>
    <row r="507" ht="15" customHeight="1">
      <c r="A507" t="inlineStr">
        <is>
          <t>A 33577-2023</t>
        </is>
      </c>
      <c r="B507" s="1" t="n">
        <v>45131</v>
      </c>
      <c r="C507" s="1" t="n">
        <v>46081</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18360-2024</t>
        </is>
      </c>
      <c r="B508" s="1" t="n">
        <v>45422</v>
      </c>
      <c r="C508" s="1" t="n">
        <v>46081</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10816-2026</t>
        </is>
      </c>
      <c r="B509" s="1" t="n">
        <v>46078.61224537037</v>
      </c>
      <c r="C509" s="1" t="n">
        <v>46081</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46081</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13347-2023</t>
        </is>
      </c>
      <c r="B511" s="1" t="n">
        <v>45004</v>
      </c>
      <c r="C511" s="1" t="n">
        <v>46081</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187-2024</t>
        </is>
      </c>
      <c r="B512" s="1" t="n">
        <v>45294</v>
      </c>
      <c r="C512" s="1" t="n">
        <v>46081</v>
      </c>
      <c r="D512" t="inlineStr">
        <is>
          <t>ÖREBRO LÄN</t>
        </is>
      </c>
      <c r="E512" t="inlineStr">
        <is>
          <t>ÖREBRO</t>
        </is>
      </c>
      <c r="G512" t="n">
        <v>5.9</v>
      </c>
      <c r="H512" t="n">
        <v>0</v>
      </c>
      <c r="I512" t="n">
        <v>0</v>
      </c>
      <c r="J512" t="n">
        <v>0</v>
      </c>
      <c r="K512" t="n">
        <v>0</v>
      </c>
      <c r="L512" t="n">
        <v>0</v>
      </c>
      <c r="M512" t="n">
        <v>0</v>
      </c>
      <c r="N512" t="n">
        <v>0</v>
      </c>
      <c r="O512" t="n">
        <v>0</v>
      </c>
      <c r="P512" t="n">
        <v>0</v>
      </c>
      <c r="Q512" t="n">
        <v>0</v>
      </c>
      <c r="R512" s="2" t="inlineStr"/>
    </row>
    <row r="513" ht="15" customHeight="1">
      <c r="A513" t="inlineStr">
        <is>
          <t>A 10832-2023</t>
        </is>
      </c>
      <c r="B513" s="1" t="n">
        <v>44990.91711805556</v>
      </c>
      <c r="C513" s="1" t="n">
        <v>46081</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2596-2022</t>
        </is>
      </c>
      <c r="B514" s="1" t="n">
        <v>44580</v>
      </c>
      <c r="C514" s="1" t="n">
        <v>46081</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5338-2024</t>
        </is>
      </c>
      <c r="B515" s="1" t="n">
        <v>45331</v>
      </c>
      <c r="C515" s="1" t="n">
        <v>46081</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14487-2023</t>
        </is>
      </c>
      <c r="B516" s="1" t="n">
        <v>45012</v>
      </c>
      <c r="C516" s="1" t="n">
        <v>46081</v>
      </c>
      <c r="D516" t="inlineStr">
        <is>
          <t>ÖREBRO LÄN</t>
        </is>
      </c>
      <c r="E516" t="inlineStr">
        <is>
          <t>ÖREBRO</t>
        </is>
      </c>
      <c r="G516" t="n">
        <v>0.5</v>
      </c>
      <c r="H516" t="n">
        <v>0</v>
      </c>
      <c r="I516" t="n">
        <v>0</v>
      </c>
      <c r="J516" t="n">
        <v>0</v>
      </c>
      <c r="K516" t="n">
        <v>0</v>
      </c>
      <c r="L516" t="n">
        <v>0</v>
      </c>
      <c r="M516" t="n">
        <v>0</v>
      </c>
      <c r="N516" t="n">
        <v>0</v>
      </c>
      <c r="O516" t="n">
        <v>0</v>
      </c>
      <c r="P516" t="n">
        <v>0</v>
      </c>
      <c r="Q516" t="n">
        <v>0</v>
      </c>
      <c r="R516" s="2" t="inlineStr"/>
    </row>
    <row r="517" ht="15" customHeight="1">
      <c r="A517" t="inlineStr">
        <is>
          <t>A 4970-2022</t>
        </is>
      </c>
      <c r="B517" s="1" t="n">
        <v>44593.51175925926</v>
      </c>
      <c r="C517" s="1" t="n">
        <v>46081</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18047-2023</t>
        </is>
      </c>
      <c r="B518" s="1" t="n">
        <v>45040</v>
      </c>
      <c r="C518" s="1" t="n">
        <v>46081</v>
      </c>
      <c r="D518" t="inlineStr">
        <is>
          <t>ÖREBRO LÄN</t>
        </is>
      </c>
      <c r="E518" t="inlineStr">
        <is>
          <t>ÖREBRO</t>
        </is>
      </c>
      <c r="G518" t="n">
        <v>3.9</v>
      </c>
      <c r="H518" t="n">
        <v>0</v>
      </c>
      <c r="I518" t="n">
        <v>0</v>
      </c>
      <c r="J518" t="n">
        <v>0</v>
      </c>
      <c r="K518" t="n">
        <v>0</v>
      </c>
      <c r="L518" t="n">
        <v>0</v>
      </c>
      <c r="M518" t="n">
        <v>0</v>
      </c>
      <c r="N518" t="n">
        <v>0</v>
      </c>
      <c r="O518" t="n">
        <v>0</v>
      </c>
      <c r="P518" t="n">
        <v>0</v>
      </c>
      <c r="Q518" t="n">
        <v>0</v>
      </c>
      <c r="R518" s="2" t="inlineStr"/>
    </row>
    <row r="519" ht="15" customHeight="1">
      <c r="A519" t="inlineStr">
        <is>
          <t>A 2162-2026</t>
        </is>
      </c>
      <c r="B519" s="1" t="n">
        <v>46036.43479166667</v>
      </c>
      <c r="C519" s="1" t="n">
        <v>46081</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46081</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59515-2025</t>
        </is>
      </c>
      <c r="B521" s="1" t="n">
        <v>45989.65238425926</v>
      </c>
      <c r="C521" s="1" t="n">
        <v>46081</v>
      </c>
      <c r="D521" t="inlineStr">
        <is>
          <t>ÖREBRO LÄN</t>
        </is>
      </c>
      <c r="E521" t="inlineStr">
        <is>
          <t>ÖREBRO</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46081</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2970-2026</t>
        </is>
      </c>
      <c r="B523" s="1" t="n">
        <v>46038.6202662037</v>
      </c>
      <c r="C523" s="1" t="n">
        <v>46081</v>
      </c>
      <c r="D523" t="inlineStr">
        <is>
          <t>ÖREBRO LÄN</t>
        </is>
      </c>
      <c r="E523" t="inlineStr">
        <is>
          <t>ÖREBRO</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54917-2023</t>
        </is>
      </c>
      <c r="B524" s="1" t="n">
        <v>45229</v>
      </c>
      <c r="C524" s="1" t="n">
        <v>46081</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3031-2026</t>
        </is>
      </c>
      <c r="B525" s="1" t="n">
        <v>46038.71271990741</v>
      </c>
      <c r="C525" s="1" t="n">
        <v>46081</v>
      </c>
      <c r="D525" t="inlineStr">
        <is>
          <t>ÖREBRO LÄN</t>
        </is>
      </c>
      <c r="E525" t="inlineStr">
        <is>
          <t>ÖREBRO</t>
        </is>
      </c>
      <c r="F525" t="inlineStr">
        <is>
          <t>Övriga Aktiebolag</t>
        </is>
      </c>
      <c r="G525" t="n">
        <v>1.4</v>
      </c>
      <c r="H525" t="n">
        <v>0</v>
      </c>
      <c r="I525" t="n">
        <v>0</v>
      </c>
      <c r="J525" t="n">
        <v>0</v>
      </c>
      <c r="K525" t="n">
        <v>0</v>
      </c>
      <c r="L525" t="n">
        <v>0</v>
      </c>
      <c r="M525" t="n">
        <v>0</v>
      </c>
      <c r="N525" t="n">
        <v>0</v>
      </c>
      <c r="O525" t="n">
        <v>0</v>
      </c>
      <c r="P525" t="n">
        <v>0</v>
      </c>
      <c r="Q525" t="n">
        <v>0</v>
      </c>
      <c r="R525" s="2" t="inlineStr"/>
    </row>
    <row r="526" ht="15" customHeight="1">
      <c r="A526" t="inlineStr">
        <is>
          <t>A 3033-2026</t>
        </is>
      </c>
      <c r="B526" s="1" t="n">
        <v>46038.71920138889</v>
      </c>
      <c r="C526" s="1" t="n">
        <v>46081</v>
      </c>
      <c r="D526" t="inlineStr">
        <is>
          <t>ÖREBRO LÄN</t>
        </is>
      </c>
      <c r="E526" t="inlineStr">
        <is>
          <t>ÖREBRO</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72329-2021</t>
        </is>
      </c>
      <c r="B527" s="1" t="n">
        <v>44545.46072916667</v>
      </c>
      <c r="C527" s="1" t="n">
        <v>46081</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43803-2023</t>
        </is>
      </c>
      <c r="B528" s="1" t="n">
        <v>45187</v>
      </c>
      <c r="C528" s="1" t="n">
        <v>46081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10970-2026</t>
        </is>
      </c>
      <c r="B529" s="1" t="n">
        <v>46079.44788194444</v>
      </c>
      <c r="C529" s="1" t="n">
        <v>46081</v>
      </c>
      <c r="D529" t="inlineStr">
        <is>
          <t>ÖREBRO LÄN</t>
        </is>
      </c>
      <c r="E529" t="inlineStr">
        <is>
          <t>ÖREBRO</t>
        </is>
      </c>
      <c r="G529" t="n">
        <v>6.5</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46081</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46081</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10944-2026</t>
        </is>
      </c>
      <c r="B532" s="1" t="n">
        <v>46079.37659722222</v>
      </c>
      <c r="C532" s="1" t="n">
        <v>46081</v>
      </c>
      <c r="D532" t="inlineStr">
        <is>
          <t>ÖREBRO LÄN</t>
        </is>
      </c>
      <c r="E532" t="inlineStr">
        <is>
          <t>ÖREBRO</t>
        </is>
      </c>
      <c r="G532" t="n">
        <v>2.7</v>
      </c>
      <c r="H532" t="n">
        <v>0</v>
      </c>
      <c r="I532" t="n">
        <v>0</v>
      </c>
      <c r="J532" t="n">
        <v>0</v>
      </c>
      <c r="K532" t="n">
        <v>0</v>
      </c>
      <c r="L532" t="n">
        <v>0</v>
      </c>
      <c r="M532" t="n">
        <v>0</v>
      </c>
      <c r="N532" t="n">
        <v>0</v>
      </c>
      <c r="O532" t="n">
        <v>0</v>
      </c>
      <c r="P532" t="n">
        <v>0</v>
      </c>
      <c r="Q532" t="n">
        <v>0</v>
      </c>
      <c r="R532" s="2" t="inlineStr"/>
    </row>
    <row r="533" ht="15" customHeight="1">
      <c r="A533" t="inlineStr">
        <is>
          <t>A 3042-2026</t>
        </is>
      </c>
      <c r="B533" s="1" t="n">
        <v>46038.73467592592</v>
      </c>
      <c r="C533" s="1" t="n">
        <v>46081</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10972-2026</t>
        </is>
      </c>
      <c r="B534" s="1" t="n">
        <v>46079.45015046297</v>
      </c>
      <c r="C534" s="1" t="n">
        <v>46081</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59757-2023</t>
        </is>
      </c>
      <c r="B535" s="1" t="n">
        <v>45257.40833333333</v>
      </c>
      <c r="C535" s="1" t="n">
        <v>46081</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17869-2024</t>
        </is>
      </c>
      <c r="B536" s="1" t="n">
        <v>45419</v>
      </c>
      <c r="C536" s="1" t="n">
        <v>46081</v>
      </c>
      <c r="D536" t="inlineStr">
        <is>
          <t>ÖREBRO LÄN</t>
        </is>
      </c>
      <c r="E536" t="inlineStr">
        <is>
          <t>ÖREBRO</t>
        </is>
      </c>
      <c r="G536" t="n">
        <v>3.7</v>
      </c>
      <c r="H536" t="n">
        <v>0</v>
      </c>
      <c r="I536" t="n">
        <v>0</v>
      </c>
      <c r="J536" t="n">
        <v>0</v>
      </c>
      <c r="K536" t="n">
        <v>0</v>
      </c>
      <c r="L536" t="n">
        <v>0</v>
      </c>
      <c r="M536" t="n">
        <v>0</v>
      </c>
      <c r="N536" t="n">
        <v>0</v>
      </c>
      <c r="O536" t="n">
        <v>0</v>
      </c>
      <c r="P536" t="n">
        <v>0</v>
      </c>
      <c r="Q536" t="n">
        <v>0</v>
      </c>
      <c r="R536" s="2" t="inlineStr"/>
    </row>
    <row r="537" ht="15" customHeight="1">
      <c r="A537" t="inlineStr">
        <is>
          <t>A 71272-2021</t>
        </is>
      </c>
      <c r="B537" s="1" t="n">
        <v>44539.61571759259</v>
      </c>
      <c r="C537" s="1" t="n">
        <v>46081</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4557-2023</t>
        </is>
      </c>
      <c r="B538" s="1" t="n">
        <v>44956.6655787037</v>
      </c>
      <c r="C538" s="1" t="n">
        <v>46081</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60100-2022</t>
        </is>
      </c>
      <c r="B539" s="1" t="n">
        <v>44902</v>
      </c>
      <c r="C539" s="1" t="n">
        <v>46081</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17465-2023</t>
        </is>
      </c>
      <c r="B540" s="1" t="n">
        <v>45036</v>
      </c>
      <c r="C540" s="1" t="n">
        <v>46081</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46081</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52477-2024</t>
        </is>
      </c>
      <c r="B542" s="1" t="n">
        <v>45609</v>
      </c>
      <c r="C542" s="1" t="n">
        <v>46081</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53558-2023</t>
        </is>
      </c>
      <c r="B543" s="1" t="n">
        <v>45230.47266203703</v>
      </c>
      <c r="C543" s="1" t="n">
        <v>46081</v>
      </c>
      <c r="D543" t="inlineStr">
        <is>
          <t>ÖREBRO LÄN</t>
        </is>
      </c>
      <c r="E543" t="inlineStr">
        <is>
          <t>ÖREBRO</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35843-2022</t>
        </is>
      </c>
      <c r="B544" s="1" t="n">
        <v>44802</v>
      </c>
      <c r="C544" s="1" t="n">
        <v>46081</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46081</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1257-2022</t>
        </is>
      </c>
      <c r="B546" s="1" t="n">
        <v>44572</v>
      </c>
      <c r="C546" s="1" t="n">
        <v>46081</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40656-2023</t>
        </is>
      </c>
      <c r="B547" s="1" t="n">
        <v>45170</v>
      </c>
      <c r="C547" s="1" t="n">
        <v>46081</v>
      </c>
      <c r="D547" t="inlineStr">
        <is>
          <t>ÖREBRO LÄN</t>
        </is>
      </c>
      <c r="E547" t="inlineStr">
        <is>
          <t>ÖREBRO</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22677-2022</t>
        </is>
      </c>
      <c r="B548" s="1" t="n">
        <v>44714</v>
      </c>
      <c r="C548" s="1" t="n">
        <v>46081</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71288-2021</t>
        </is>
      </c>
      <c r="B549" s="1" t="n">
        <v>44539.62481481482</v>
      </c>
      <c r="C549" s="1" t="n">
        <v>46081</v>
      </c>
      <c r="D549" t="inlineStr">
        <is>
          <t>ÖREBRO LÄN</t>
        </is>
      </c>
      <c r="E549" t="inlineStr">
        <is>
          <t>ÖREBRO</t>
        </is>
      </c>
      <c r="G549" t="n">
        <v>3.9</v>
      </c>
      <c r="H549" t="n">
        <v>0</v>
      </c>
      <c r="I549" t="n">
        <v>0</v>
      </c>
      <c r="J549" t="n">
        <v>0</v>
      </c>
      <c r="K549" t="n">
        <v>0</v>
      </c>
      <c r="L549" t="n">
        <v>0</v>
      </c>
      <c r="M549" t="n">
        <v>0</v>
      </c>
      <c r="N549" t="n">
        <v>0</v>
      </c>
      <c r="O549" t="n">
        <v>0</v>
      </c>
      <c r="P549" t="n">
        <v>0</v>
      </c>
      <c r="Q549" t="n">
        <v>0</v>
      </c>
      <c r="R549" s="2" t="inlineStr"/>
    </row>
    <row r="550" ht="15" customHeight="1">
      <c r="A550" t="inlineStr">
        <is>
          <t>A 10830-2023</t>
        </is>
      </c>
      <c r="B550" s="1" t="n">
        <v>44990.89752314815</v>
      </c>
      <c r="C550" s="1" t="n">
        <v>46081</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7692-2023</t>
        </is>
      </c>
      <c r="B551" s="1" t="n">
        <v>44972.7762962963</v>
      </c>
      <c r="C551" s="1" t="n">
        <v>46081</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31240-2023</t>
        </is>
      </c>
      <c r="B552" s="1" t="n">
        <v>45114</v>
      </c>
      <c r="C552" s="1" t="n">
        <v>46081</v>
      </c>
      <c r="D552" t="inlineStr">
        <is>
          <t>ÖREBRO LÄN</t>
        </is>
      </c>
      <c r="E552" t="inlineStr">
        <is>
          <t>ÖREBRO</t>
        </is>
      </c>
      <c r="F552" t="inlineStr">
        <is>
          <t>Allmännings- och besparingsskogar</t>
        </is>
      </c>
      <c r="G552" t="n">
        <v>6.2</v>
      </c>
      <c r="H552" t="n">
        <v>0</v>
      </c>
      <c r="I552" t="n">
        <v>0</v>
      </c>
      <c r="J552" t="n">
        <v>0</v>
      </c>
      <c r="K552" t="n">
        <v>0</v>
      </c>
      <c r="L552" t="n">
        <v>0</v>
      </c>
      <c r="M552" t="n">
        <v>0</v>
      </c>
      <c r="N552" t="n">
        <v>0</v>
      </c>
      <c r="O552" t="n">
        <v>0</v>
      </c>
      <c r="P552" t="n">
        <v>0</v>
      </c>
      <c r="Q552" t="n">
        <v>0</v>
      </c>
      <c r="R552" s="2" t="inlineStr"/>
    </row>
    <row r="553" ht="15" customHeight="1">
      <c r="A553" t="inlineStr">
        <is>
          <t>A 50026-2024</t>
        </is>
      </c>
      <c r="B553" s="1" t="n">
        <v>45599.60541666667</v>
      </c>
      <c r="C553" s="1" t="n">
        <v>46081</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18449-2023</t>
        </is>
      </c>
      <c r="B554" s="1" t="n">
        <v>45042.5203125</v>
      </c>
      <c r="C554" s="1" t="n">
        <v>46081</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46081</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58145-2024</t>
        </is>
      </c>
      <c r="B556" s="1" t="n">
        <v>45632.43230324074</v>
      </c>
      <c r="C556" s="1" t="n">
        <v>46081</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64730-2023</t>
        </is>
      </c>
      <c r="B557" s="1" t="n">
        <v>45281</v>
      </c>
      <c r="C557" s="1" t="n">
        <v>46081</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44839.59194444444</v>
      </c>
      <c r="C558" s="1" t="n">
        <v>46081</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14544-2023</t>
        </is>
      </c>
      <c r="B559" s="1" t="n">
        <v>45013</v>
      </c>
      <c r="C559" s="1" t="n">
        <v>46081</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15682-2023</t>
        </is>
      </c>
      <c r="B560" s="1" t="n">
        <v>45021</v>
      </c>
      <c r="C560" s="1" t="n">
        <v>46081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4416-2023</t>
        </is>
      </c>
      <c r="B561" s="1" t="n">
        <v>44956</v>
      </c>
      <c r="C561" s="1" t="n">
        <v>46081</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49062-2023</t>
        </is>
      </c>
      <c r="B562" s="1" t="n">
        <v>45210.35119212963</v>
      </c>
      <c r="C562" s="1" t="n">
        <v>46081</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32321-2023</t>
        </is>
      </c>
      <c r="B563" s="1" t="n">
        <v>45120</v>
      </c>
      <c r="C563" s="1" t="n">
        <v>46081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2095-2025</t>
        </is>
      </c>
      <c r="B564" s="1" t="n">
        <v>45672</v>
      </c>
      <c r="C564" s="1" t="n">
        <v>46081</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71275-2021</t>
        </is>
      </c>
      <c r="B565" s="1" t="n">
        <v>44539</v>
      </c>
      <c r="C565" s="1" t="n">
        <v>46081</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46081</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2153-2023</t>
        </is>
      </c>
      <c r="B567" s="1" t="n">
        <v>44941</v>
      </c>
      <c r="C567" s="1" t="n">
        <v>46081</v>
      </c>
      <c r="D567" t="inlineStr">
        <is>
          <t>ÖREBRO LÄN</t>
        </is>
      </c>
      <c r="E567" t="inlineStr">
        <is>
          <t>ÖREBRO</t>
        </is>
      </c>
      <c r="G567" t="n">
        <v>6.3</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46081</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852-2025</t>
        </is>
      </c>
      <c r="B569" s="1" t="n">
        <v>45665.60148148148</v>
      </c>
      <c r="C569" s="1" t="n">
        <v>46081</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50398-2022</t>
        </is>
      </c>
      <c r="B570" s="1" t="n">
        <v>44861</v>
      </c>
      <c r="C570" s="1" t="n">
        <v>46081</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52441-2024</t>
        </is>
      </c>
      <c r="B571" s="1" t="n">
        <v>45609.48451388889</v>
      </c>
      <c r="C571" s="1" t="n">
        <v>46081</v>
      </c>
      <c r="D571" t="inlineStr">
        <is>
          <t>ÖREBRO LÄN</t>
        </is>
      </c>
      <c r="E571" t="inlineStr">
        <is>
          <t>ÖREBRO</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52499-2024</t>
        </is>
      </c>
      <c r="B572" s="1" t="n">
        <v>45609.58422453704</v>
      </c>
      <c r="C572" s="1" t="n">
        <v>46081</v>
      </c>
      <c r="D572" t="inlineStr">
        <is>
          <t>ÖREBRO LÄN</t>
        </is>
      </c>
      <c r="E572" t="inlineStr">
        <is>
          <t>ÖREBRO</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46081</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18181-2024</t>
        </is>
      </c>
      <c r="B574" s="1" t="n">
        <v>45420.64561342593</v>
      </c>
      <c r="C574" s="1" t="n">
        <v>46081</v>
      </c>
      <c r="D574" t="inlineStr">
        <is>
          <t>ÖREBRO LÄN</t>
        </is>
      </c>
      <c r="E574" t="inlineStr">
        <is>
          <t>ÖREBRO</t>
        </is>
      </c>
      <c r="G574" t="n">
        <v>7.6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46081</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46081</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9704-2023</t>
        </is>
      </c>
      <c r="B577" s="1" t="n">
        <v>44984</v>
      </c>
      <c r="C577" s="1" t="n">
        <v>46081</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19180-2025</t>
        </is>
      </c>
      <c r="B578" s="1" t="n">
        <v>45769.40133101852</v>
      </c>
      <c r="C578" s="1" t="n">
        <v>46081</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46052-2024</t>
        </is>
      </c>
      <c r="B579" s="1" t="n">
        <v>45580.89116898148</v>
      </c>
      <c r="C579" s="1" t="n">
        <v>46081</v>
      </c>
      <c r="D579" t="inlineStr">
        <is>
          <t>ÖREBRO LÄN</t>
        </is>
      </c>
      <c r="E579" t="inlineStr">
        <is>
          <t>ÖREBRO</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58527-2024</t>
        </is>
      </c>
      <c r="B580" s="1" t="n">
        <v>45635.44388888889</v>
      </c>
      <c r="C580" s="1" t="n">
        <v>46081</v>
      </c>
      <c r="D580" t="inlineStr">
        <is>
          <t>ÖREBRO LÄN</t>
        </is>
      </c>
      <c r="E580" t="inlineStr">
        <is>
          <t>ÖREBRO</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37022-2024</t>
        </is>
      </c>
      <c r="B581" s="1" t="n">
        <v>45539.3822337963</v>
      </c>
      <c r="C581" s="1" t="n">
        <v>46081</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37024-2024</t>
        </is>
      </c>
      <c r="B582" s="1" t="n">
        <v>45539.38329861111</v>
      </c>
      <c r="C582" s="1" t="n">
        <v>46081</v>
      </c>
      <c r="D582" t="inlineStr">
        <is>
          <t>ÖREBRO LÄN</t>
        </is>
      </c>
      <c r="E582" t="inlineStr">
        <is>
          <t>ÖREBRO</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38075-2022</t>
        </is>
      </c>
      <c r="B583" s="1" t="n">
        <v>44811</v>
      </c>
      <c r="C583" s="1" t="n">
        <v>46081</v>
      </c>
      <c r="D583" t="inlineStr">
        <is>
          <t>ÖREBRO LÄN</t>
        </is>
      </c>
      <c r="E583" t="inlineStr">
        <is>
          <t>ÖREBRO</t>
        </is>
      </c>
      <c r="G583" t="n">
        <v>0.2</v>
      </c>
      <c r="H583" t="n">
        <v>0</v>
      </c>
      <c r="I583" t="n">
        <v>0</v>
      </c>
      <c r="J583" t="n">
        <v>0</v>
      </c>
      <c r="K583" t="n">
        <v>0</v>
      </c>
      <c r="L583" t="n">
        <v>0</v>
      </c>
      <c r="M583" t="n">
        <v>0</v>
      </c>
      <c r="N583" t="n">
        <v>0</v>
      </c>
      <c r="O583" t="n">
        <v>0</v>
      </c>
      <c r="P583" t="n">
        <v>0</v>
      </c>
      <c r="Q583" t="n">
        <v>0</v>
      </c>
      <c r="R583" s="2" t="inlineStr"/>
    </row>
    <row r="584" ht="15" customHeight="1">
      <c r="A584" t="inlineStr">
        <is>
          <t>A 11382-2023</t>
        </is>
      </c>
      <c r="B584" s="1" t="n">
        <v>44993.45635416666</v>
      </c>
      <c r="C584" s="1" t="n">
        <v>46081</v>
      </c>
      <c r="D584" t="inlineStr">
        <is>
          <t>ÖREBRO LÄN</t>
        </is>
      </c>
      <c r="E584" t="inlineStr">
        <is>
          <t>ÖREBRO</t>
        </is>
      </c>
      <c r="G584" t="n">
        <v>3.3</v>
      </c>
      <c r="H584" t="n">
        <v>0</v>
      </c>
      <c r="I584" t="n">
        <v>0</v>
      </c>
      <c r="J584" t="n">
        <v>0</v>
      </c>
      <c r="K584" t="n">
        <v>0</v>
      </c>
      <c r="L584" t="n">
        <v>0</v>
      </c>
      <c r="M584" t="n">
        <v>0</v>
      </c>
      <c r="N584" t="n">
        <v>0</v>
      </c>
      <c r="O584" t="n">
        <v>0</v>
      </c>
      <c r="P584" t="n">
        <v>0</v>
      </c>
      <c r="Q584" t="n">
        <v>0</v>
      </c>
      <c r="R584" s="2" t="inlineStr"/>
    </row>
    <row r="585" ht="15" customHeight="1">
      <c r="A585" t="inlineStr">
        <is>
          <t>A 20121-2024</t>
        </is>
      </c>
      <c r="B585" s="1" t="n">
        <v>45434</v>
      </c>
      <c r="C585" s="1" t="n">
        <v>46081</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26117-2021</t>
        </is>
      </c>
      <c r="B586" s="1" t="n">
        <v>44345</v>
      </c>
      <c r="C586" s="1" t="n">
        <v>46081</v>
      </c>
      <c r="D586" t="inlineStr">
        <is>
          <t>ÖREBRO LÄN</t>
        </is>
      </c>
      <c r="E586" t="inlineStr">
        <is>
          <t>ÖREBRO</t>
        </is>
      </c>
      <c r="G586" t="n">
        <v>8.1</v>
      </c>
      <c r="H586" t="n">
        <v>0</v>
      </c>
      <c r="I586" t="n">
        <v>0</v>
      </c>
      <c r="J586" t="n">
        <v>0</v>
      </c>
      <c r="K586" t="n">
        <v>0</v>
      </c>
      <c r="L586" t="n">
        <v>0</v>
      </c>
      <c r="M586" t="n">
        <v>0</v>
      </c>
      <c r="N586" t="n">
        <v>0</v>
      </c>
      <c r="O586" t="n">
        <v>0</v>
      </c>
      <c r="P586" t="n">
        <v>0</v>
      </c>
      <c r="Q586" t="n">
        <v>0</v>
      </c>
      <c r="R586" s="2" t="inlineStr"/>
    </row>
    <row r="587" ht="15" customHeight="1">
      <c r="A587" t="inlineStr">
        <is>
          <t>A 55943-2024</t>
        </is>
      </c>
      <c r="B587" s="1" t="n">
        <v>45623.61278935185</v>
      </c>
      <c r="C587" s="1" t="n">
        <v>46081</v>
      </c>
      <c r="D587" t="inlineStr">
        <is>
          <t>ÖREBRO LÄN</t>
        </is>
      </c>
      <c r="E587" t="inlineStr">
        <is>
          <t>ÖREBRO</t>
        </is>
      </c>
      <c r="G587" t="n">
        <v>4.8</v>
      </c>
      <c r="H587" t="n">
        <v>0</v>
      </c>
      <c r="I587" t="n">
        <v>0</v>
      </c>
      <c r="J587" t="n">
        <v>0</v>
      </c>
      <c r="K587" t="n">
        <v>0</v>
      </c>
      <c r="L587" t="n">
        <v>0</v>
      </c>
      <c r="M587" t="n">
        <v>0</v>
      </c>
      <c r="N587" t="n">
        <v>0</v>
      </c>
      <c r="O587" t="n">
        <v>0</v>
      </c>
      <c r="P587" t="n">
        <v>0</v>
      </c>
      <c r="Q587" t="n">
        <v>0</v>
      </c>
      <c r="R587" s="2" t="inlineStr"/>
    </row>
    <row r="588" ht="15" customHeight="1">
      <c r="A588" t="inlineStr">
        <is>
          <t>A 1013-2024</t>
        </is>
      </c>
      <c r="B588" s="1" t="n">
        <v>45301</v>
      </c>
      <c r="C588" s="1" t="n">
        <v>46081</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13623-2024</t>
        </is>
      </c>
      <c r="B589" s="1" t="n">
        <v>45390.38626157407</v>
      </c>
      <c r="C589" s="1" t="n">
        <v>46081</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5330-2024</t>
        </is>
      </c>
      <c r="B590" s="1" t="n">
        <v>45331.4187962963</v>
      </c>
      <c r="C590" s="1" t="n">
        <v>46081</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6794-2025</t>
        </is>
      </c>
      <c r="B591" s="1" t="n">
        <v>45700.66429398148</v>
      </c>
      <c r="C591" s="1" t="n">
        <v>46081</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3-2024</t>
        </is>
      </c>
      <c r="B592" s="1" t="n">
        <v>45292</v>
      </c>
      <c r="C592" s="1" t="n">
        <v>46081</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5619-2023</t>
        </is>
      </c>
      <c r="B593" s="1" t="n">
        <v>44958</v>
      </c>
      <c r="C593" s="1" t="n">
        <v>46081</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5578-2024</t>
        </is>
      </c>
      <c r="B594" s="1" t="n">
        <v>45334.49104166667</v>
      </c>
      <c r="C594" s="1" t="n">
        <v>46081</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46081</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46081</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46081</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46081</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46081</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46081</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46081</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46081</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46081</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46081</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46081</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46081</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46081</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46081</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5762-2025</t>
        </is>
      </c>
      <c r="B609" s="1" t="n">
        <v>45694.57181712963</v>
      </c>
      <c r="C609" s="1" t="n">
        <v>46081</v>
      </c>
      <c r="D609" t="inlineStr">
        <is>
          <t>ÖREBRO LÄN</t>
        </is>
      </c>
      <c r="E609" t="inlineStr">
        <is>
          <t>ÖREBRO</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62794-2021</t>
        </is>
      </c>
      <c r="B610" s="1" t="n">
        <v>44504</v>
      </c>
      <c r="C610" s="1" t="n">
        <v>46081</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52612-2024</t>
        </is>
      </c>
      <c r="B611" s="1" t="n">
        <v>45609</v>
      </c>
      <c r="C611" s="1" t="n">
        <v>46081</v>
      </c>
      <c r="D611" t="inlineStr">
        <is>
          <t>ÖREBRO LÄN</t>
        </is>
      </c>
      <c r="E611" t="inlineStr">
        <is>
          <t>ÖREBRO</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5795-2024</t>
        </is>
      </c>
      <c r="B612" s="1" t="n">
        <v>45335.4531712963</v>
      </c>
      <c r="C612" s="1" t="n">
        <v>46081</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37771-2024</t>
        </is>
      </c>
      <c r="B613" s="1" t="n">
        <v>45542.31359953704</v>
      </c>
      <c r="C613" s="1" t="n">
        <v>46081</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15652-2025</t>
        </is>
      </c>
      <c r="B614" s="1" t="n">
        <v>45748</v>
      </c>
      <c r="C614" s="1" t="n">
        <v>46081</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2076-2025</t>
        </is>
      </c>
      <c r="B615" s="1" t="n">
        <v>45672</v>
      </c>
      <c r="C615" s="1" t="n">
        <v>46081</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14960-2025</t>
        </is>
      </c>
      <c r="B616" s="1" t="n">
        <v>45743.5853125</v>
      </c>
      <c r="C616" s="1" t="n">
        <v>46081</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60022-2024</t>
        </is>
      </c>
      <c r="B617" s="1" t="n">
        <v>45642</v>
      </c>
      <c r="C617" s="1" t="n">
        <v>46081</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46081</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46081</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46081</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46081</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46081</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21338-2025</t>
        </is>
      </c>
      <c r="B623" s="1" t="n">
        <v>45780</v>
      </c>
      <c r="C623" s="1" t="n">
        <v>46081</v>
      </c>
      <c r="D623" t="inlineStr">
        <is>
          <t>ÖREBRO LÄN</t>
        </is>
      </c>
      <c r="E623" t="inlineStr">
        <is>
          <t>ÖREBRO</t>
        </is>
      </c>
      <c r="G623" t="n">
        <v>3.2</v>
      </c>
      <c r="H623" t="n">
        <v>0</v>
      </c>
      <c r="I623" t="n">
        <v>0</v>
      </c>
      <c r="J623" t="n">
        <v>0</v>
      </c>
      <c r="K623" t="n">
        <v>0</v>
      </c>
      <c r="L623" t="n">
        <v>0</v>
      </c>
      <c r="M623" t="n">
        <v>0</v>
      </c>
      <c r="N623" t="n">
        <v>0</v>
      </c>
      <c r="O623" t="n">
        <v>0</v>
      </c>
      <c r="P623" t="n">
        <v>0</v>
      </c>
      <c r="Q623" t="n">
        <v>0</v>
      </c>
      <c r="R623" s="2" t="inlineStr"/>
    </row>
    <row r="624" ht="15" customHeight="1">
      <c r="A624" t="inlineStr">
        <is>
          <t>A 22755-2025</t>
        </is>
      </c>
      <c r="B624" s="1" t="n">
        <v>45789.61872685186</v>
      </c>
      <c r="C624" s="1" t="n">
        <v>46081</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44199-2024</t>
        </is>
      </c>
      <c r="B625" s="1" t="n">
        <v>45573</v>
      </c>
      <c r="C625" s="1" t="n">
        <v>46081</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46081</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26443-2024</t>
        </is>
      </c>
      <c r="B627" s="1" t="n">
        <v>45469.49901620371</v>
      </c>
      <c r="C627" s="1" t="n">
        <v>46081</v>
      </c>
      <c r="D627" t="inlineStr">
        <is>
          <t>ÖREBRO LÄN</t>
        </is>
      </c>
      <c r="E627" t="inlineStr">
        <is>
          <t>ÖREBRO</t>
        </is>
      </c>
      <c r="G627" t="n">
        <v>5.7</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46081</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22719-2025</t>
        </is>
      </c>
      <c r="B629" s="1" t="n">
        <v>45789</v>
      </c>
      <c r="C629" s="1" t="n">
        <v>46081</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30316-2024</t>
        </is>
      </c>
      <c r="B630" s="1" t="n">
        <v>45490</v>
      </c>
      <c r="C630" s="1" t="n">
        <v>46081</v>
      </c>
      <c r="D630" t="inlineStr">
        <is>
          <t>ÖREBRO LÄN</t>
        </is>
      </c>
      <c r="E630" t="inlineStr">
        <is>
          <t>ÖREBRO</t>
        </is>
      </c>
      <c r="G630" t="n">
        <v>5.5</v>
      </c>
      <c r="H630" t="n">
        <v>0</v>
      </c>
      <c r="I630" t="n">
        <v>0</v>
      </c>
      <c r="J630" t="n">
        <v>0</v>
      </c>
      <c r="K630" t="n">
        <v>0</v>
      </c>
      <c r="L630" t="n">
        <v>0</v>
      </c>
      <c r="M630" t="n">
        <v>0</v>
      </c>
      <c r="N630" t="n">
        <v>0</v>
      </c>
      <c r="O630" t="n">
        <v>0</v>
      </c>
      <c r="P630" t="n">
        <v>0</v>
      </c>
      <c r="Q630" t="n">
        <v>0</v>
      </c>
      <c r="R630" s="2" t="inlineStr"/>
    </row>
    <row r="631" ht="15" customHeight="1">
      <c r="A631" t="inlineStr">
        <is>
          <t>A 38790-2024</t>
        </is>
      </c>
      <c r="B631" s="1" t="n">
        <v>45547.48450231482</v>
      </c>
      <c r="C631" s="1" t="n">
        <v>46081</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61279-2024</t>
        </is>
      </c>
      <c r="B632" s="1" t="n">
        <v>45645</v>
      </c>
      <c r="C632" s="1" t="n">
        <v>46081</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71269-2021</t>
        </is>
      </c>
      <c r="B633" s="1" t="n">
        <v>44539</v>
      </c>
      <c r="C633" s="1" t="n">
        <v>46081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15555-2025</t>
        </is>
      </c>
      <c r="B634" s="1" t="n">
        <v>45747.67768518518</v>
      </c>
      <c r="C634" s="1" t="n">
        <v>46081</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46081</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4380-2025</t>
        </is>
      </c>
      <c r="B636" s="1" t="n">
        <v>45686.3959375</v>
      </c>
      <c r="C636" s="1" t="n">
        <v>46081</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34358-2022</t>
        </is>
      </c>
      <c r="B637" s="1" t="n">
        <v>44792.45494212963</v>
      </c>
      <c r="C637" s="1" t="n">
        <v>46081</v>
      </c>
      <c r="D637" t="inlineStr">
        <is>
          <t>ÖREBRO LÄN</t>
        </is>
      </c>
      <c r="E637" t="inlineStr">
        <is>
          <t>ÖREBRO</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46081</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5406-2025</t>
        </is>
      </c>
      <c r="B639" s="1" t="n">
        <v>45692.64821759259</v>
      </c>
      <c r="C639" s="1" t="n">
        <v>46081</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46081</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52018-2024</t>
        </is>
      </c>
      <c r="B641" s="1" t="n">
        <v>45607.82974537037</v>
      </c>
      <c r="C641" s="1" t="n">
        <v>46081</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46081</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46081</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46081</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5643-2025</t>
        </is>
      </c>
      <c r="B645" s="1" t="n">
        <v>45693</v>
      </c>
      <c r="C645" s="1" t="n">
        <v>46081</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11516-2024</t>
        </is>
      </c>
      <c r="B646" s="1" t="n">
        <v>45372</v>
      </c>
      <c r="C646" s="1" t="n">
        <v>46081</v>
      </c>
      <c r="D646" t="inlineStr">
        <is>
          <t>ÖREBRO LÄN</t>
        </is>
      </c>
      <c r="E646" t="inlineStr">
        <is>
          <t>ÖREBRO</t>
        </is>
      </c>
      <c r="G646" t="n">
        <v>10.7</v>
      </c>
      <c r="H646" t="n">
        <v>0</v>
      </c>
      <c r="I646" t="n">
        <v>0</v>
      </c>
      <c r="J646" t="n">
        <v>0</v>
      </c>
      <c r="K646" t="n">
        <v>0</v>
      </c>
      <c r="L646" t="n">
        <v>0</v>
      </c>
      <c r="M646" t="n">
        <v>0</v>
      </c>
      <c r="N646" t="n">
        <v>0</v>
      </c>
      <c r="O646" t="n">
        <v>0</v>
      </c>
      <c r="P646" t="n">
        <v>0</v>
      </c>
      <c r="Q646" t="n">
        <v>0</v>
      </c>
      <c r="R646" s="2" t="inlineStr"/>
    </row>
    <row r="647" ht="15" customHeight="1">
      <c r="A647" t="inlineStr">
        <is>
          <t>A 5342-2024</t>
        </is>
      </c>
      <c r="B647" s="1" t="n">
        <v>45331.44145833333</v>
      </c>
      <c r="C647" s="1" t="n">
        <v>46081</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46081</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46081</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2026-02-28T11:09:48Z</dcterms:created>
  <dcterms:modified xmlns:dcterms="http://purl.org/dc/terms/" xmlns:xsi="http://www.w3.org/2001/XMLSchema-instance" xsi:type="dcterms:W3CDTF">2026-02-28T11:09:48Z</dcterms:modified>
</cp:coreProperties>
</file>