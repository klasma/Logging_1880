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45473</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45473</v>
      </c>
      <c r="D3" t="inlineStr">
        <is>
          <t>ÖREBRO LÄN</t>
        </is>
      </c>
      <c r="E3" t="inlineStr">
        <is>
          <t>ÖREBRO</t>
        </is>
      </c>
      <c r="G3" t="n">
        <v>2.4</v>
      </c>
      <c r="H3" t="n">
        <v>1</v>
      </c>
      <c r="I3" t="n">
        <v>11</v>
      </c>
      <c r="J3" t="n">
        <v>6</v>
      </c>
      <c r="K3" t="n">
        <v>2</v>
      </c>
      <c r="L3" t="n">
        <v>0</v>
      </c>
      <c r="M3" t="n">
        <v>0</v>
      </c>
      <c r="N3" t="n">
        <v>0</v>
      </c>
      <c r="O3" t="n">
        <v>8</v>
      </c>
      <c r="P3" t="n">
        <v>2</v>
      </c>
      <c r="Q3" t="n">
        <v>19</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45473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45473</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45473</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45473</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45473</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24762-2021</t>
        </is>
      </c>
      <c r="B9" s="1" t="n">
        <v>44340</v>
      </c>
      <c r="C9" s="1" t="n">
        <v>45473</v>
      </c>
      <c r="D9" t="inlineStr">
        <is>
          <t>ÖREBRO LÄN</t>
        </is>
      </c>
      <c r="E9" t="inlineStr">
        <is>
          <t>ÖREBRO</t>
        </is>
      </c>
      <c r="F9" t="inlineStr">
        <is>
          <t>Kommuner</t>
        </is>
      </c>
      <c r="G9" t="n">
        <v>6.6</v>
      </c>
      <c r="H9" t="n">
        <v>1</v>
      </c>
      <c r="I9" t="n">
        <v>3</v>
      </c>
      <c r="J9" t="n">
        <v>3</v>
      </c>
      <c r="K9" t="n">
        <v>0</v>
      </c>
      <c r="L9" t="n">
        <v>0</v>
      </c>
      <c r="M9" t="n">
        <v>0</v>
      </c>
      <c r="N9" t="n">
        <v>0</v>
      </c>
      <c r="O9" t="n">
        <v>3</v>
      </c>
      <c r="P9" t="n">
        <v>0</v>
      </c>
      <c r="Q9" t="n">
        <v>7</v>
      </c>
      <c r="R9" s="2" t="inlineStr">
        <is>
          <t>Gul taggsvamp
Kärrvaxskinn
Svartvit taggsvamp
Fjällig taggsvamp s.str.
Rödgul trumpetsvamp
Skarp dropptaggsvamp
Fläcknycklar</t>
        </is>
      </c>
      <c r="S9">
        <f>HYPERLINK("https://klasma.github.io/Logging_1880/artfynd/A 24762-2021 artfynd.xlsx", "A 24762-2021")</f>
        <v/>
      </c>
      <c r="T9">
        <f>HYPERLINK("https://klasma.github.io/Logging_1880/kartor/A 24762-2021 karta.png", "A 24762-2021")</f>
        <v/>
      </c>
      <c r="V9">
        <f>HYPERLINK("https://klasma.github.io/Logging_1880/klagomål/A 24762-2021 FSC-klagomål.docx", "A 24762-2021")</f>
        <v/>
      </c>
      <c r="W9">
        <f>HYPERLINK("https://klasma.github.io/Logging_1880/klagomålsmail/A 24762-2021 FSC-klagomål mail.docx", "A 24762-2021")</f>
        <v/>
      </c>
      <c r="X9">
        <f>HYPERLINK("https://klasma.github.io/Logging_1880/tillsyn/A 24762-2021 tillsynsbegäran.docx", "A 24762-2021")</f>
        <v/>
      </c>
      <c r="Y9">
        <f>HYPERLINK("https://klasma.github.io/Logging_1880/tillsynsmail/A 24762-2021 tillsynsbegäran mail.docx", "A 24762-2021")</f>
        <v/>
      </c>
    </row>
    <row r="10" ht="15" customHeight="1">
      <c r="A10" t="inlineStr">
        <is>
          <t>A 26068-2019</t>
        </is>
      </c>
      <c r="B10" s="1" t="n">
        <v>43605</v>
      </c>
      <c r="C10" s="1" t="n">
        <v>45473</v>
      </c>
      <c r="D10" t="inlineStr">
        <is>
          <t>ÖREBRO LÄN</t>
        </is>
      </c>
      <c r="E10" t="inlineStr">
        <is>
          <t>ÖREBRO</t>
        </is>
      </c>
      <c r="G10" t="n">
        <v>9</v>
      </c>
      <c r="H10" t="n">
        <v>1</v>
      </c>
      <c r="I10" t="n">
        <v>4</v>
      </c>
      <c r="J10" t="n">
        <v>0</v>
      </c>
      <c r="K10" t="n">
        <v>1</v>
      </c>
      <c r="L10" t="n">
        <v>0</v>
      </c>
      <c r="M10" t="n">
        <v>0</v>
      </c>
      <c r="N10" t="n">
        <v>0</v>
      </c>
      <c r="O10" t="n">
        <v>1</v>
      </c>
      <c r="P10" t="n">
        <v>1</v>
      </c>
      <c r="Q10" t="n">
        <v>6</v>
      </c>
      <c r="R10" s="2" t="inlineStr">
        <is>
          <t>Flockig puderskivling
Aprikosfingersvamp
Cortinarius subpurpurascens
Gulfotsskölding
Toppvaxskivling
Hasselmus</t>
        </is>
      </c>
      <c r="S10">
        <f>HYPERLINK("https://klasma.github.io/Logging_1880/artfynd/A 26068-2019 artfynd.xlsx", "A 26068-2019")</f>
        <v/>
      </c>
      <c r="T10">
        <f>HYPERLINK("https://klasma.github.io/Logging_1880/kartor/A 26068-2019 karta.png", "A 26068-2019")</f>
        <v/>
      </c>
      <c r="V10">
        <f>HYPERLINK("https://klasma.github.io/Logging_1880/klagomål/A 26068-2019 FSC-klagomål.docx", "A 26068-2019")</f>
        <v/>
      </c>
      <c r="W10">
        <f>HYPERLINK("https://klasma.github.io/Logging_1880/klagomålsmail/A 26068-2019 FSC-klagomål mail.docx", "A 26068-2019")</f>
        <v/>
      </c>
      <c r="X10">
        <f>HYPERLINK("https://klasma.github.io/Logging_1880/tillsyn/A 26068-2019 tillsynsbegäran.docx", "A 26068-2019")</f>
        <v/>
      </c>
      <c r="Y10">
        <f>HYPERLINK("https://klasma.github.io/Logging_1880/tillsynsmail/A 26068-2019 tillsynsbegäran mail.docx", "A 26068-2019")</f>
        <v/>
      </c>
    </row>
    <row r="11" ht="15" customHeight="1">
      <c r="A11" t="inlineStr">
        <is>
          <t>A 40697-2019</t>
        </is>
      </c>
      <c r="B11" s="1" t="n">
        <v>43691</v>
      </c>
      <c r="C11" s="1" t="n">
        <v>45473</v>
      </c>
      <c r="D11" t="inlineStr">
        <is>
          <t>ÖREBRO LÄN</t>
        </is>
      </c>
      <c r="E11" t="inlineStr">
        <is>
          <t>ÖREBRO</t>
        </is>
      </c>
      <c r="F11" t="inlineStr">
        <is>
          <t>Kommuner</t>
        </is>
      </c>
      <c r="G11" t="n">
        <v>8.199999999999999</v>
      </c>
      <c r="H11" t="n">
        <v>1</v>
      </c>
      <c r="I11" t="n">
        <v>4</v>
      </c>
      <c r="J11" t="n">
        <v>1</v>
      </c>
      <c r="K11" t="n">
        <v>0</v>
      </c>
      <c r="L11" t="n">
        <v>0</v>
      </c>
      <c r="M11" t="n">
        <v>0</v>
      </c>
      <c r="N11" t="n">
        <v>0</v>
      </c>
      <c r="O11" t="n">
        <v>1</v>
      </c>
      <c r="P11" t="n">
        <v>0</v>
      </c>
      <c r="Q11" t="n">
        <v>6</v>
      </c>
      <c r="R11" s="2" t="inlineStr">
        <is>
          <t>Tallticka
Gullgröppa
Kattfotslav
Rödgul trumpetsvamp
Svavelriska
Fläcknycklar</t>
        </is>
      </c>
      <c r="S11">
        <f>HYPERLINK("https://klasma.github.io/Logging_1880/artfynd/A 40697-2019 artfynd.xlsx", "A 40697-2019")</f>
        <v/>
      </c>
      <c r="T11">
        <f>HYPERLINK("https://klasma.github.io/Logging_1880/kartor/A 40697-2019 karta.png",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63813-2019</t>
        </is>
      </c>
      <c r="B12" s="1" t="n">
        <v>43795</v>
      </c>
      <c r="C12" s="1" t="n">
        <v>45473</v>
      </c>
      <c r="D12" t="inlineStr">
        <is>
          <t>ÖREBRO LÄN</t>
        </is>
      </c>
      <c r="E12" t="inlineStr">
        <is>
          <t>ÖREBRO</t>
        </is>
      </c>
      <c r="F12" t="inlineStr">
        <is>
          <t>Övriga Aktiebolag</t>
        </is>
      </c>
      <c r="G12" t="n">
        <v>6.8</v>
      </c>
      <c r="H12" t="n">
        <v>0</v>
      </c>
      <c r="I12" t="n">
        <v>2</v>
      </c>
      <c r="J12" t="n">
        <v>3</v>
      </c>
      <c r="K12" t="n">
        <v>1</v>
      </c>
      <c r="L12" t="n">
        <v>0</v>
      </c>
      <c r="M12" t="n">
        <v>0</v>
      </c>
      <c r="N12" t="n">
        <v>0</v>
      </c>
      <c r="O12" t="n">
        <v>4</v>
      </c>
      <c r="P12" t="n">
        <v>1</v>
      </c>
      <c r="Q12" t="n">
        <v>6</v>
      </c>
      <c r="R12" s="2" t="inlineStr">
        <is>
          <t>Raggbock
Reliktbock
Tallticka
Vedskivlav
Björksplintborre
Mindre märgborre</t>
        </is>
      </c>
      <c r="S12">
        <f>HYPERLINK("https://klasma.github.io/Logging_1880/artfynd/A 63813-2019 artfynd.xlsx", "A 63813-2019")</f>
        <v/>
      </c>
      <c r="T12">
        <f>HYPERLINK("https://klasma.github.io/Logging_1880/kartor/A 63813-2019 karta.png", "A 63813-2019")</f>
        <v/>
      </c>
      <c r="V12">
        <f>HYPERLINK("https://klasma.github.io/Logging_1880/klagomål/A 63813-2019 FSC-klagomål.docx", "A 63813-2019")</f>
        <v/>
      </c>
      <c r="W12">
        <f>HYPERLINK("https://klasma.github.io/Logging_1880/klagomålsmail/A 63813-2019 FSC-klagomål mail.docx", "A 63813-2019")</f>
        <v/>
      </c>
      <c r="X12">
        <f>HYPERLINK("https://klasma.github.io/Logging_1880/tillsyn/A 63813-2019 tillsynsbegäran.docx", "A 63813-2019")</f>
        <v/>
      </c>
      <c r="Y12">
        <f>HYPERLINK("https://klasma.github.io/Logging_1880/tillsynsmail/A 63813-2019 tillsynsbegäran mail.docx", "A 63813-2019")</f>
        <v/>
      </c>
    </row>
    <row r="13" ht="15" customHeight="1">
      <c r="A13" t="inlineStr">
        <is>
          <t>A 13166-2021</t>
        </is>
      </c>
      <c r="B13" s="1" t="n">
        <v>44272</v>
      </c>
      <c r="C13" s="1" t="n">
        <v>45473</v>
      </c>
      <c r="D13" t="inlineStr">
        <is>
          <t>ÖREBRO LÄN</t>
        </is>
      </c>
      <c r="E13" t="inlineStr">
        <is>
          <t>ÖREBRO</t>
        </is>
      </c>
      <c r="G13" t="n">
        <v>3</v>
      </c>
      <c r="H13" t="n">
        <v>1</v>
      </c>
      <c r="I13" t="n">
        <v>5</v>
      </c>
      <c r="J13" t="n">
        <v>0</v>
      </c>
      <c r="K13" t="n">
        <v>0</v>
      </c>
      <c r="L13" t="n">
        <v>0</v>
      </c>
      <c r="M13" t="n">
        <v>0</v>
      </c>
      <c r="N13" t="n">
        <v>0</v>
      </c>
      <c r="O13" t="n">
        <v>0</v>
      </c>
      <c r="P13" t="n">
        <v>0</v>
      </c>
      <c r="Q13" t="n">
        <v>6</v>
      </c>
      <c r="R13" s="2" t="inlineStr">
        <is>
          <t>Bronshjon
Dropptaggsvamp
Kattfotslav
Klippfrullania
Stor revmossa
Revlummer</t>
        </is>
      </c>
      <c r="S13">
        <f>HYPERLINK("https://klasma.github.io/Logging_1880/artfynd/A 13166-2021 artfynd.xlsx", "A 13166-2021")</f>
        <v/>
      </c>
      <c r="T13">
        <f>HYPERLINK("https://klasma.github.io/Logging_1880/kartor/A 13166-2021 karta.png", "A 13166-2021")</f>
        <v/>
      </c>
      <c r="V13">
        <f>HYPERLINK("https://klasma.github.io/Logging_1880/klagomål/A 13166-2021 FSC-klagomål.docx", "A 13166-2021")</f>
        <v/>
      </c>
      <c r="W13">
        <f>HYPERLINK("https://klasma.github.io/Logging_1880/klagomålsmail/A 13166-2021 FSC-klagomål mail.docx", "A 13166-2021")</f>
        <v/>
      </c>
      <c r="X13">
        <f>HYPERLINK("https://klasma.github.io/Logging_1880/tillsyn/A 13166-2021 tillsynsbegäran.docx", "A 13166-2021")</f>
        <v/>
      </c>
      <c r="Y13">
        <f>HYPERLINK("https://klasma.github.io/Logging_1880/tillsynsmail/A 13166-2021 tillsynsbegäran mail.docx", "A 13166-2021")</f>
        <v/>
      </c>
    </row>
    <row r="14" ht="15" customHeight="1">
      <c r="A14" t="inlineStr">
        <is>
          <t>A 20563-2022</t>
        </is>
      </c>
      <c r="B14" s="1" t="n">
        <v>44700</v>
      </c>
      <c r="C14" s="1" t="n">
        <v>45473</v>
      </c>
      <c r="D14" t="inlineStr">
        <is>
          <t>ÖREBRO LÄN</t>
        </is>
      </c>
      <c r="E14" t="inlineStr">
        <is>
          <t>ÖREBRO</t>
        </is>
      </c>
      <c r="F14" t="inlineStr">
        <is>
          <t>Kommuner</t>
        </is>
      </c>
      <c r="G14" t="n">
        <v>5</v>
      </c>
      <c r="H14" t="n">
        <v>3</v>
      </c>
      <c r="I14" t="n">
        <v>0</v>
      </c>
      <c r="J14" t="n">
        <v>5</v>
      </c>
      <c r="K14" t="n">
        <v>0</v>
      </c>
      <c r="L14" t="n">
        <v>0</v>
      </c>
      <c r="M14" t="n">
        <v>0</v>
      </c>
      <c r="N14" t="n">
        <v>0</v>
      </c>
      <c r="O14" t="n">
        <v>5</v>
      </c>
      <c r="P14" t="n">
        <v>0</v>
      </c>
      <c r="Q14" t="n">
        <v>5</v>
      </c>
      <c r="R14" s="2" t="inlineStr">
        <is>
          <t>Fyrflikig jordstjärna
Grönsångare
Spillkråka
Talltita
Ullticka</t>
        </is>
      </c>
      <c r="S14">
        <f>HYPERLINK("https://klasma.github.io/Logging_1880/artfynd/A 20563-2022 artfynd.xlsx", "A 20563-2022")</f>
        <v/>
      </c>
      <c r="T14">
        <f>HYPERLINK("https://klasma.github.io/Logging_1880/kartor/A 20563-2022 karta.png", "A 20563-2022")</f>
        <v/>
      </c>
      <c r="V14">
        <f>HYPERLINK("https://klasma.github.io/Logging_1880/klagomål/A 20563-2022 FSC-klagomål.docx", "A 20563-2022")</f>
        <v/>
      </c>
      <c r="W14">
        <f>HYPERLINK("https://klasma.github.io/Logging_1880/klagomålsmail/A 20563-2022 FSC-klagomål mail.docx", "A 20563-2022")</f>
        <v/>
      </c>
      <c r="X14">
        <f>HYPERLINK("https://klasma.github.io/Logging_1880/tillsyn/A 20563-2022 tillsynsbegäran.docx", "A 20563-2022")</f>
        <v/>
      </c>
      <c r="Y14">
        <f>HYPERLINK("https://klasma.github.io/Logging_1880/tillsynsmail/A 20563-2022 tillsynsbegäran mail.docx", "A 20563-2022")</f>
        <v/>
      </c>
      <c r="Z14">
        <f>HYPERLINK("https://klasma.github.io/Logging_1880/fåglar/A 20563-2022 prioriterade fågelarter.docx", "A 20563-2022")</f>
        <v/>
      </c>
    </row>
    <row r="15" ht="15" customHeight="1">
      <c r="A15" t="inlineStr">
        <is>
          <t>A 15758-2023</t>
        </is>
      </c>
      <c r="B15" s="1" t="n">
        <v>45021</v>
      </c>
      <c r="C15" s="1" t="n">
        <v>45473</v>
      </c>
      <c r="D15" t="inlineStr">
        <is>
          <t>ÖREBRO LÄN</t>
        </is>
      </c>
      <c r="E15" t="inlineStr">
        <is>
          <t>ÖREBRO</t>
        </is>
      </c>
      <c r="G15" t="n">
        <v>2.6</v>
      </c>
      <c r="H15" t="n">
        <v>2</v>
      </c>
      <c r="I15" t="n">
        <v>2</v>
      </c>
      <c r="J15" t="n">
        <v>2</v>
      </c>
      <c r="K15" t="n">
        <v>1</v>
      </c>
      <c r="L15" t="n">
        <v>0</v>
      </c>
      <c r="M15" t="n">
        <v>0</v>
      </c>
      <c r="N15" t="n">
        <v>0</v>
      </c>
      <c r="O15" t="n">
        <v>3</v>
      </c>
      <c r="P15" t="n">
        <v>1</v>
      </c>
      <c r="Q15" t="n">
        <v>5</v>
      </c>
      <c r="R15" s="2" t="inlineStr">
        <is>
          <t>Knärot
Spillkråka
Ullticka
Grönpyrola
Gullgröppa</t>
        </is>
      </c>
      <c r="S15">
        <f>HYPERLINK("https://klasma.github.io/Logging_1880/artfynd/A 15758-2023 artfynd.xlsx", "A 15758-2023")</f>
        <v/>
      </c>
      <c r="T15">
        <f>HYPERLINK("https://klasma.github.io/Logging_1880/kartor/A 15758-2023 karta.png", "A 15758-2023")</f>
        <v/>
      </c>
      <c r="U15">
        <f>HYPERLINK("https://klasma.github.io/Logging_1880/knärot/A 15758-2023 karta knärot.png", "A 15758-2023")</f>
        <v/>
      </c>
      <c r="V15">
        <f>HYPERLINK("https://klasma.github.io/Logging_1880/klagomål/A 15758-2023 FSC-klagomål.docx", "A 15758-2023")</f>
        <v/>
      </c>
      <c r="W15">
        <f>HYPERLINK("https://klasma.github.io/Logging_1880/klagomålsmail/A 15758-2023 FSC-klagomål mail.docx", "A 15758-2023")</f>
        <v/>
      </c>
      <c r="X15">
        <f>HYPERLINK("https://klasma.github.io/Logging_1880/tillsyn/A 15758-2023 tillsynsbegäran.docx", "A 15758-2023")</f>
        <v/>
      </c>
      <c r="Y15">
        <f>HYPERLINK("https://klasma.github.io/Logging_1880/tillsynsmail/A 15758-2023 tillsynsbegäran mail.docx", "A 15758-2023")</f>
        <v/>
      </c>
      <c r="Z15">
        <f>HYPERLINK("https://klasma.github.io/Logging_1880/fåglar/A 15758-2023 prioriterade fågelarter.docx", "A 15758-2023")</f>
        <v/>
      </c>
    </row>
    <row r="16" ht="15" customHeight="1">
      <c r="A16" t="inlineStr">
        <is>
          <t>A 55197-2023</t>
        </is>
      </c>
      <c r="B16" s="1" t="n">
        <v>45237</v>
      </c>
      <c r="C16" s="1" t="n">
        <v>45473</v>
      </c>
      <c r="D16" t="inlineStr">
        <is>
          <t>ÖREBRO LÄN</t>
        </is>
      </c>
      <c r="E16" t="inlineStr">
        <is>
          <t>ÖREBRO</t>
        </is>
      </c>
      <c r="G16" t="n">
        <v>1.3</v>
      </c>
      <c r="H16" t="n">
        <v>3</v>
      </c>
      <c r="I16" t="n">
        <v>1</v>
      </c>
      <c r="J16" t="n">
        <v>4</v>
      </c>
      <c r="K16" t="n">
        <v>0</v>
      </c>
      <c r="L16" t="n">
        <v>0</v>
      </c>
      <c r="M16" t="n">
        <v>0</v>
      </c>
      <c r="N16" t="n">
        <v>0</v>
      </c>
      <c r="O16" t="n">
        <v>4</v>
      </c>
      <c r="P16" t="n">
        <v>0</v>
      </c>
      <c r="Q16" t="n">
        <v>5</v>
      </c>
      <c r="R16" s="2" t="inlineStr">
        <is>
          <t>Buskskvätta
Dånvivel
Entita
Gulsparv
Spindelbock</t>
        </is>
      </c>
      <c r="S16">
        <f>HYPERLINK("https://klasma.github.io/Logging_1880/artfynd/A 55197-2023 artfynd.xlsx", "A 55197-2023")</f>
        <v/>
      </c>
      <c r="T16">
        <f>HYPERLINK("https://klasma.github.io/Logging_1880/kartor/A 55197-2023 karta.png", "A 55197-2023")</f>
        <v/>
      </c>
      <c r="V16">
        <f>HYPERLINK("https://klasma.github.io/Logging_1880/klagomål/A 55197-2023 FSC-klagomål.docx", "A 55197-2023")</f>
        <v/>
      </c>
      <c r="W16">
        <f>HYPERLINK("https://klasma.github.io/Logging_1880/klagomålsmail/A 55197-2023 FSC-klagomål mail.docx", "A 55197-2023")</f>
        <v/>
      </c>
      <c r="X16">
        <f>HYPERLINK("https://klasma.github.io/Logging_1880/tillsyn/A 55197-2023 tillsynsbegäran.docx", "A 55197-2023")</f>
        <v/>
      </c>
      <c r="Y16">
        <f>HYPERLINK("https://klasma.github.io/Logging_1880/tillsynsmail/A 55197-2023 tillsynsbegäran mail.docx", "A 55197-2023")</f>
        <v/>
      </c>
      <c r="Z16">
        <f>HYPERLINK("https://klasma.github.io/Logging_1880/fåglar/A 55197-2023 prioriterade fågelarter.docx", "A 55197-2023")</f>
        <v/>
      </c>
    </row>
    <row r="17" ht="15" customHeight="1">
      <c r="A17" t="inlineStr">
        <is>
          <t>A 32593-2019</t>
        </is>
      </c>
      <c r="B17" s="1" t="n">
        <v>43643</v>
      </c>
      <c r="C17" s="1" t="n">
        <v>45473</v>
      </c>
      <c r="D17" t="inlineStr">
        <is>
          <t>ÖREBRO LÄN</t>
        </is>
      </c>
      <c r="E17" t="inlineStr">
        <is>
          <t>ÖREBRO</t>
        </is>
      </c>
      <c r="F17" t="inlineStr">
        <is>
          <t>Sveaskog</t>
        </is>
      </c>
      <c r="G17" t="n">
        <v>3.7</v>
      </c>
      <c r="H17" t="n">
        <v>3</v>
      </c>
      <c r="I17" t="n">
        <v>1</v>
      </c>
      <c r="J17" t="n">
        <v>1</v>
      </c>
      <c r="K17" t="n">
        <v>0</v>
      </c>
      <c r="L17" t="n">
        <v>0</v>
      </c>
      <c r="M17" t="n">
        <v>0</v>
      </c>
      <c r="N17" t="n">
        <v>0</v>
      </c>
      <c r="O17" t="n">
        <v>1</v>
      </c>
      <c r="P17" t="n">
        <v>0</v>
      </c>
      <c r="Q17" t="n">
        <v>4</v>
      </c>
      <c r="R17" s="2" t="inlineStr">
        <is>
          <t>Fyrflikig jordstjärna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19244-2020</t>
        </is>
      </c>
      <c r="B18" s="1" t="n">
        <v>43936</v>
      </c>
      <c r="C18" s="1" t="n">
        <v>45473</v>
      </c>
      <c r="D18" t="inlineStr">
        <is>
          <t>ÖREBRO LÄN</t>
        </is>
      </c>
      <c r="E18" t="inlineStr">
        <is>
          <t>ÖREBRO</t>
        </is>
      </c>
      <c r="F18" t="inlineStr">
        <is>
          <t>Kommuner</t>
        </is>
      </c>
      <c r="G18" t="n">
        <v>13.7</v>
      </c>
      <c r="H18" t="n">
        <v>1</v>
      </c>
      <c r="I18" t="n">
        <v>2</v>
      </c>
      <c r="J18" t="n">
        <v>2</v>
      </c>
      <c r="K18" t="n">
        <v>0</v>
      </c>
      <c r="L18" t="n">
        <v>0</v>
      </c>
      <c r="M18" t="n">
        <v>0</v>
      </c>
      <c r="N18" t="n">
        <v>0</v>
      </c>
      <c r="O18" t="n">
        <v>2</v>
      </c>
      <c r="P18" t="n">
        <v>0</v>
      </c>
      <c r="Q18" t="n">
        <v>4</v>
      </c>
      <c r="R18" s="2" t="inlineStr">
        <is>
          <t>Svartvit flugsnappare
Ullticka
Brandticka
Småskölding</t>
        </is>
      </c>
      <c r="S18">
        <f>HYPERLINK("https://klasma.github.io/Logging_1880/artfynd/A 19244-2020 artfynd.xlsx", "A 19244-2020")</f>
        <v/>
      </c>
      <c r="T18">
        <f>HYPERLINK("https://klasma.github.io/Logging_1880/kartor/A 19244-2020 karta.png", "A 19244-2020")</f>
        <v/>
      </c>
      <c r="V18">
        <f>HYPERLINK("https://klasma.github.io/Logging_1880/klagomål/A 19244-2020 FSC-klagomål.docx", "A 19244-2020")</f>
        <v/>
      </c>
      <c r="W18">
        <f>HYPERLINK("https://klasma.github.io/Logging_1880/klagomålsmail/A 19244-2020 FSC-klagomål mail.docx", "A 19244-2020")</f>
        <v/>
      </c>
      <c r="X18">
        <f>HYPERLINK("https://klasma.github.io/Logging_1880/tillsyn/A 19244-2020 tillsynsbegäran.docx", "A 19244-2020")</f>
        <v/>
      </c>
      <c r="Y18">
        <f>HYPERLINK("https://klasma.github.io/Logging_1880/tillsynsmail/A 19244-2020 tillsynsbegäran mail.docx", "A 19244-2020")</f>
        <v/>
      </c>
      <c r="Z18">
        <f>HYPERLINK("https://klasma.github.io/Logging_1880/fåglar/A 19244-2020 prioriterade fågelarter.docx", "A 19244-2020")</f>
        <v/>
      </c>
    </row>
    <row r="19" ht="15" customHeight="1">
      <c r="A19" t="inlineStr">
        <is>
          <t>A 28097-2020</t>
        </is>
      </c>
      <c r="B19" s="1" t="n">
        <v>43997</v>
      </c>
      <c r="C19" s="1" t="n">
        <v>45473</v>
      </c>
      <c r="D19" t="inlineStr">
        <is>
          <t>ÖREBRO LÄN</t>
        </is>
      </c>
      <c r="E19" t="inlineStr">
        <is>
          <t>ÖREBRO</t>
        </is>
      </c>
      <c r="G19" t="n">
        <v>1.2</v>
      </c>
      <c r="H19" t="n">
        <v>4</v>
      </c>
      <c r="I19" t="n">
        <v>0</v>
      </c>
      <c r="J19" t="n">
        <v>0</v>
      </c>
      <c r="K19" t="n">
        <v>2</v>
      </c>
      <c r="L19" t="n">
        <v>2</v>
      </c>
      <c r="M19" t="n">
        <v>0</v>
      </c>
      <c r="N19" t="n">
        <v>0</v>
      </c>
      <c r="O19" t="n">
        <v>4</v>
      </c>
      <c r="P19" t="n">
        <v>4</v>
      </c>
      <c r="Q19" t="n">
        <v>4</v>
      </c>
      <c r="R19" s="2" t="inlineStr">
        <is>
          <t>Grönfink
Tornseglare
Stare
Tofsvipa</t>
        </is>
      </c>
      <c r="S19">
        <f>HYPERLINK("https://klasma.github.io/Logging_1880/artfynd/A 28097-2020 artfynd.xlsx", "A 28097-2020")</f>
        <v/>
      </c>
      <c r="T19">
        <f>HYPERLINK("https://klasma.github.io/Logging_1880/kartor/A 28097-2020 karta.png", "A 28097-2020")</f>
        <v/>
      </c>
      <c r="V19">
        <f>HYPERLINK("https://klasma.github.io/Logging_1880/klagomål/A 28097-2020 FSC-klagomål.docx", "A 28097-2020")</f>
        <v/>
      </c>
      <c r="W19">
        <f>HYPERLINK("https://klasma.github.io/Logging_1880/klagomålsmail/A 28097-2020 FSC-klagomål mail.docx", "A 28097-2020")</f>
        <v/>
      </c>
      <c r="X19">
        <f>HYPERLINK("https://klasma.github.io/Logging_1880/tillsyn/A 28097-2020 tillsynsbegäran.docx", "A 28097-2020")</f>
        <v/>
      </c>
      <c r="Y19">
        <f>HYPERLINK("https://klasma.github.io/Logging_1880/tillsynsmail/A 28097-2020 tillsynsbegäran mail.docx", "A 28097-2020")</f>
        <v/>
      </c>
      <c r="Z19">
        <f>HYPERLINK("https://klasma.github.io/Logging_1880/fåglar/A 28097-2020 prioriterade fågelarter.docx", "A 28097-2020")</f>
        <v/>
      </c>
    </row>
    <row r="20" ht="15" customHeight="1">
      <c r="A20" t="inlineStr">
        <is>
          <t>A 8564-2021</t>
        </is>
      </c>
      <c r="B20" s="1" t="n">
        <v>44245</v>
      </c>
      <c r="C20" s="1" t="n">
        <v>45473</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45473</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45473</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45473</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45473</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20838-2021</t>
        </is>
      </c>
      <c r="B25" s="1" t="n">
        <v>44319</v>
      </c>
      <c r="C25" s="1" t="n">
        <v>45473</v>
      </c>
      <c r="D25" t="inlineStr">
        <is>
          <t>ÖREBRO LÄN</t>
        </is>
      </c>
      <c r="E25" t="inlineStr">
        <is>
          <t>ÖREBRO</t>
        </is>
      </c>
      <c r="G25" t="n">
        <v>1.9</v>
      </c>
      <c r="H25" t="n">
        <v>0</v>
      </c>
      <c r="I25" t="n">
        <v>3</v>
      </c>
      <c r="J25" t="n">
        <v>0</v>
      </c>
      <c r="K25" t="n">
        <v>0</v>
      </c>
      <c r="L25" t="n">
        <v>0</v>
      </c>
      <c r="M25" t="n">
        <v>0</v>
      </c>
      <c r="N25" t="n">
        <v>0</v>
      </c>
      <c r="O25" t="n">
        <v>0</v>
      </c>
      <c r="P25" t="n">
        <v>0</v>
      </c>
      <c r="Q25" t="n">
        <v>3</v>
      </c>
      <c r="R25" s="2" t="inlineStr">
        <is>
          <t>Fjällig taggsvamp s.str.
Rödgul trumpetsvamp
Toppvaxskivling</t>
        </is>
      </c>
      <c r="S25">
        <f>HYPERLINK("https://klasma.github.io/Logging_1880/artfynd/A 20838-2021 artfynd.xlsx", "A 20838-2021")</f>
        <v/>
      </c>
      <c r="T25">
        <f>HYPERLINK("https://klasma.github.io/Logging_1880/kartor/A 20838-2021 karta.png", "A 20838-2021")</f>
        <v/>
      </c>
      <c r="V25">
        <f>HYPERLINK("https://klasma.github.io/Logging_1880/klagomål/A 20838-2021 FSC-klagomål.docx", "A 20838-2021")</f>
        <v/>
      </c>
      <c r="W25">
        <f>HYPERLINK("https://klasma.github.io/Logging_1880/klagomålsmail/A 20838-2021 FSC-klagomål mail.docx", "A 20838-2021")</f>
        <v/>
      </c>
      <c r="X25">
        <f>HYPERLINK("https://klasma.github.io/Logging_1880/tillsyn/A 20838-2021 tillsynsbegäran.docx", "A 20838-2021")</f>
        <v/>
      </c>
      <c r="Y25">
        <f>HYPERLINK("https://klasma.github.io/Logging_1880/tillsynsmail/A 20838-2021 tillsynsbegäran mail.docx", "A 20838-2021")</f>
        <v/>
      </c>
    </row>
    <row r="26" ht="15" customHeight="1">
      <c r="A26" t="inlineStr">
        <is>
          <t>A 29487-2022</t>
        </is>
      </c>
      <c r="B26" s="1" t="n">
        <v>44753</v>
      </c>
      <c r="C26" s="1" t="n">
        <v>45473</v>
      </c>
      <c r="D26" t="inlineStr">
        <is>
          <t>ÖREBRO LÄN</t>
        </is>
      </c>
      <c r="E26" t="inlineStr">
        <is>
          <t>ÖREBRO</t>
        </is>
      </c>
      <c r="F26" t="inlineStr">
        <is>
          <t>Kommuner</t>
        </is>
      </c>
      <c r="G26" t="n">
        <v>0.7</v>
      </c>
      <c r="H26" t="n">
        <v>0</v>
      </c>
      <c r="I26" t="n">
        <v>2</v>
      </c>
      <c r="J26" t="n">
        <v>1</v>
      </c>
      <c r="K26" t="n">
        <v>0</v>
      </c>
      <c r="L26" t="n">
        <v>0</v>
      </c>
      <c r="M26" t="n">
        <v>0</v>
      </c>
      <c r="N26" t="n">
        <v>0</v>
      </c>
      <c r="O26" t="n">
        <v>1</v>
      </c>
      <c r="P26" t="n">
        <v>0</v>
      </c>
      <c r="Q26" t="n">
        <v>3</v>
      </c>
      <c r="R26" s="2" t="inlineStr">
        <is>
          <t>Svartvit taggsvamp
Fjällig taggsvamp s.str.
Rödgul trumpetsvamp</t>
        </is>
      </c>
      <c r="S26">
        <f>HYPERLINK("https://klasma.github.io/Logging_1880/artfynd/A 29487-2022 artfynd.xlsx", "A 29487-2022")</f>
        <v/>
      </c>
      <c r="T26">
        <f>HYPERLINK("https://klasma.github.io/Logging_1880/kartor/A 29487-2022 karta.png", "A 29487-2022")</f>
        <v/>
      </c>
      <c r="V26">
        <f>HYPERLINK("https://klasma.github.io/Logging_1880/klagomål/A 29487-2022 FSC-klagomål.docx", "A 29487-2022")</f>
        <v/>
      </c>
      <c r="W26">
        <f>HYPERLINK("https://klasma.github.io/Logging_1880/klagomålsmail/A 29487-2022 FSC-klagomål mail.docx", "A 29487-2022")</f>
        <v/>
      </c>
      <c r="X26">
        <f>HYPERLINK("https://klasma.github.io/Logging_1880/tillsyn/A 29487-2022 tillsynsbegäran.docx", "A 29487-2022")</f>
        <v/>
      </c>
      <c r="Y26">
        <f>HYPERLINK("https://klasma.github.io/Logging_1880/tillsynsmail/A 29487-2022 tillsynsbegäran mail.docx", "A 29487-2022")</f>
        <v/>
      </c>
    </row>
    <row r="27" ht="15" customHeight="1">
      <c r="A27" t="inlineStr">
        <is>
          <t>A 32782-2022</t>
        </is>
      </c>
      <c r="B27" s="1" t="n">
        <v>44783</v>
      </c>
      <c r="C27" s="1" t="n">
        <v>45473</v>
      </c>
      <c r="D27" t="inlineStr">
        <is>
          <t>ÖREBRO LÄN</t>
        </is>
      </c>
      <c r="E27" t="inlineStr">
        <is>
          <t>ÖREBRO</t>
        </is>
      </c>
      <c r="G27" t="n">
        <v>2.8</v>
      </c>
      <c r="H27" t="n">
        <v>2</v>
      </c>
      <c r="I27" t="n">
        <v>0</v>
      </c>
      <c r="J27" t="n">
        <v>1</v>
      </c>
      <c r="K27" t="n">
        <v>0</v>
      </c>
      <c r="L27" t="n">
        <v>0</v>
      </c>
      <c r="M27" t="n">
        <v>0</v>
      </c>
      <c r="N27" t="n">
        <v>0</v>
      </c>
      <c r="O27" t="n">
        <v>1</v>
      </c>
      <c r="P27" t="n">
        <v>0</v>
      </c>
      <c r="Q27" t="n">
        <v>3</v>
      </c>
      <c r="R27" s="2" t="inlineStr">
        <is>
          <t>Loppstarr
Blåsippa
Lopplummer</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3758-2023</t>
        </is>
      </c>
      <c r="B28" s="1" t="n">
        <v>44951</v>
      </c>
      <c r="C28" s="1" t="n">
        <v>45473</v>
      </c>
      <c r="D28" t="inlineStr">
        <is>
          <t>ÖREBRO LÄN</t>
        </is>
      </c>
      <c r="E28" t="inlineStr">
        <is>
          <t>ÖREBRO</t>
        </is>
      </c>
      <c r="G28" t="n">
        <v>6.5</v>
      </c>
      <c r="H28" t="n">
        <v>0</v>
      </c>
      <c r="I28" t="n">
        <v>2</v>
      </c>
      <c r="J28" t="n">
        <v>1</v>
      </c>
      <c r="K28" t="n">
        <v>0</v>
      </c>
      <c r="L28" t="n">
        <v>0</v>
      </c>
      <c r="M28" t="n">
        <v>0</v>
      </c>
      <c r="N28" t="n">
        <v>0</v>
      </c>
      <c r="O28" t="n">
        <v>1</v>
      </c>
      <c r="P28" t="n">
        <v>0</v>
      </c>
      <c r="Q28" t="n">
        <v>3</v>
      </c>
      <c r="R28" s="2" t="inlineStr">
        <is>
          <t>Hapalopilus aurantiacus
Granbarkgnagare
Kattfotslav</t>
        </is>
      </c>
      <c r="S28">
        <f>HYPERLINK("https://klasma.github.io/Logging_1880/artfynd/A 3758-2023 artfynd.xlsx", "A 3758-2023")</f>
        <v/>
      </c>
      <c r="T28">
        <f>HYPERLINK("https://klasma.github.io/Logging_1880/kartor/A 3758-2023 karta.png", "A 3758-2023")</f>
        <v/>
      </c>
      <c r="V28">
        <f>HYPERLINK("https://klasma.github.io/Logging_1880/klagomål/A 3758-2023 FSC-klagomål.docx", "A 3758-2023")</f>
        <v/>
      </c>
      <c r="W28">
        <f>HYPERLINK("https://klasma.github.io/Logging_1880/klagomålsmail/A 3758-2023 FSC-klagomål mail.docx", "A 3758-2023")</f>
        <v/>
      </c>
      <c r="X28">
        <f>HYPERLINK("https://klasma.github.io/Logging_1880/tillsyn/A 3758-2023 tillsynsbegäran.docx", "A 3758-2023")</f>
        <v/>
      </c>
      <c r="Y28">
        <f>HYPERLINK("https://klasma.github.io/Logging_1880/tillsynsmail/A 3758-2023 tillsynsbegäran mail.docx", "A 3758-2023")</f>
        <v/>
      </c>
    </row>
    <row r="29" ht="15" customHeight="1">
      <c r="A29" t="inlineStr">
        <is>
          <t>A 14408-2023</t>
        </is>
      </c>
      <c r="B29" s="1" t="n">
        <v>45012</v>
      </c>
      <c r="C29" s="1" t="n">
        <v>45473</v>
      </c>
      <c r="D29" t="inlineStr">
        <is>
          <t>ÖREBRO LÄN</t>
        </is>
      </c>
      <c r="E29" t="inlineStr">
        <is>
          <t>ÖREBRO</t>
        </is>
      </c>
      <c r="G29" t="n">
        <v>3.7</v>
      </c>
      <c r="H29" t="n">
        <v>1</v>
      </c>
      <c r="I29" t="n">
        <v>2</v>
      </c>
      <c r="J29" t="n">
        <v>1</v>
      </c>
      <c r="K29" t="n">
        <v>0</v>
      </c>
      <c r="L29" t="n">
        <v>0</v>
      </c>
      <c r="M29" t="n">
        <v>0</v>
      </c>
      <c r="N29" t="n">
        <v>0</v>
      </c>
      <c r="O29" t="n">
        <v>1</v>
      </c>
      <c r="P29" t="n">
        <v>0</v>
      </c>
      <c r="Q29" t="n">
        <v>3</v>
      </c>
      <c r="R29" s="2" t="inlineStr">
        <is>
          <t>Tretåig hackspett
Dropptaggsvamp
Vedticka</t>
        </is>
      </c>
      <c r="S29">
        <f>HYPERLINK("https://klasma.github.io/Logging_1880/artfynd/A 14408-2023 artfynd.xlsx", "A 14408-2023")</f>
        <v/>
      </c>
      <c r="T29">
        <f>HYPERLINK("https://klasma.github.io/Logging_1880/kartor/A 14408-2023 karta.png", "A 14408-2023")</f>
        <v/>
      </c>
      <c r="V29">
        <f>HYPERLINK("https://klasma.github.io/Logging_1880/klagomål/A 14408-2023 FSC-klagomål.docx", "A 14408-2023")</f>
        <v/>
      </c>
      <c r="W29">
        <f>HYPERLINK("https://klasma.github.io/Logging_1880/klagomålsmail/A 14408-2023 FSC-klagomål mail.docx", "A 14408-2023")</f>
        <v/>
      </c>
      <c r="X29">
        <f>HYPERLINK("https://klasma.github.io/Logging_1880/tillsyn/A 14408-2023 tillsynsbegäran.docx", "A 14408-2023")</f>
        <v/>
      </c>
      <c r="Y29">
        <f>HYPERLINK("https://klasma.github.io/Logging_1880/tillsynsmail/A 14408-2023 tillsynsbegäran mail.docx", "A 14408-2023")</f>
        <v/>
      </c>
      <c r="Z29">
        <f>HYPERLINK("https://klasma.github.io/Logging_1880/fåglar/A 14408-2023 prioriterade fågelarter.docx", "A 14408-2023")</f>
        <v/>
      </c>
    </row>
    <row r="30" ht="15" customHeight="1">
      <c r="A30" t="inlineStr">
        <is>
          <t>A 50096-2023</t>
        </is>
      </c>
      <c r="B30" s="1" t="n">
        <v>45215</v>
      </c>
      <c r="C30" s="1" t="n">
        <v>45473</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17074-2024</t>
        </is>
      </c>
      <c r="B31" s="1" t="n">
        <v>45412</v>
      </c>
      <c r="C31" s="1" t="n">
        <v>45473</v>
      </c>
      <c r="D31" t="inlineStr">
        <is>
          <t>ÖREBRO LÄN</t>
        </is>
      </c>
      <c r="E31" t="inlineStr">
        <is>
          <t>ÖREBRO</t>
        </is>
      </c>
      <c r="F31" t="inlineStr">
        <is>
          <t>Sveaskog</t>
        </is>
      </c>
      <c r="G31" t="n">
        <v>7.2</v>
      </c>
      <c r="H31" t="n">
        <v>1</v>
      </c>
      <c r="I31" t="n">
        <v>2</v>
      </c>
      <c r="J31" t="n">
        <v>0</v>
      </c>
      <c r="K31" t="n">
        <v>0</v>
      </c>
      <c r="L31" t="n">
        <v>1</v>
      </c>
      <c r="M31" t="n">
        <v>0</v>
      </c>
      <c r="N31" t="n">
        <v>0</v>
      </c>
      <c r="O31" t="n">
        <v>1</v>
      </c>
      <c r="P31" t="n">
        <v>1</v>
      </c>
      <c r="Q31" t="n">
        <v>3</v>
      </c>
      <c r="R31" s="2" t="inlineStr">
        <is>
          <t>Ask
Hässleklocka
Skogsknipprot</t>
        </is>
      </c>
      <c r="S31">
        <f>HYPERLINK("https://klasma.github.io/Logging_1880/artfynd/A 17074-2024 artfynd.xlsx", "A 17074-2024")</f>
        <v/>
      </c>
      <c r="T31">
        <f>HYPERLINK("https://klasma.github.io/Logging_1880/kartor/A 17074-2024 karta.png", "A 17074-2024")</f>
        <v/>
      </c>
      <c r="V31">
        <f>HYPERLINK("https://klasma.github.io/Logging_1880/klagomål/A 17074-2024 FSC-klagomål.docx", "A 17074-2024")</f>
        <v/>
      </c>
      <c r="W31">
        <f>HYPERLINK("https://klasma.github.io/Logging_1880/klagomålsmail/A 17074-2024 FSC-klagomål mail.docx", "A 17074-2024")</f>
        <v/>
      </c>
      <c r="X31">
        <f>HYPERLINK("https://klasma.github.io/Logging_1880/tillsyn/A 17074-2024 tillsynsbegäran.docx", "A 17074-2024")</f>
        <v/>
      </c>
      <c r="Y31">
        <f>HYPERLINK("https://klasma.github.io/Logging_1880/tillsynsmail/A 17074-2024 tillsynsbegäran mail.docx", "A 17074-2024")</f>
        <v/>
      </c>
    </row>
    <row r="32" ht="15" customHeight="1">
      <c r="A32" t="inlineStr">
        <is>
          <t>A 20603-2019</t>
        </is>
      </c>
      <c r="B32" s="1" t="n">
        <v>43572</v>
      </c>
      <c r="C32" s="1" t="n">
        <v>45473</v>
      </c>
      <c r="D32" t="inlineStr">
        <is>
          <t>ÖREBRO LÄN</t>
        </is>
      </c>
      <c r="E32" t="inlineStr">
        <is>
          <t>ÖREBRO</t>
        </is>
      </c>
      <c r="G32" t="n">
        <v>1.7</v>
      </c>
      <c r="H32" t="n">
        <v>1</v>
      </c>
      <c r="I32" t="n">
        <v>1</v>
      </c>
      <c r="J32" t="n">
        <v>0</v>
      </c>
      <c r="K32" t="n">
        <v>0</v>
      </c>
      <c r="L32" t="n">
        <v>0</v>
      </c>
      <c r="M32" t="n">
        <v>0</v>
      </c>
      <c r="N32" t="n">
        <v>0</v>
      </c>
      <c r="O32" t="n">
        <v>0</v>
      </c>
      <c r="P32" t="n">
        <v>0</v>
      </c>
      <c r="Q32" t="n">
        <v>2</v>
      </c>
      <c r="R32" s="2" t="inlineStr">
        <is>
          <t>Svart trolldruva
Blåsippa</t>
        </is>
      </c>
      <c r="S32">
        <f>HYPERLINK("https://klasma.github.io/Logging_1880/artfynd/A 20603-2019 artfynd.xlsx", "A 20603-2019")</f>
        <v/>
      </c>
      <c r="T32">
        <f>HYPERLINK("https://klasma.github.io/Logging_1880/kartor/A 20603-2019 karta.png", "A 20603-2019")</f>
        <v/>
      </c>
      <c r="V32">
        <f>HYPERLINK("https://klasma.github.io/Logging_1880/klagomål/A 20603-2019 FSC-klagomål.docx", "A 20603-2019")</f>
        <v/>
      </c>
      <c r="W32">
        <f>HYPERLINK("https://klasma.github.io/Logging_1880/klagomålsmail/A 20603-2019 FSC-klagomål mail.docx", "A 20603-2019")</f>
        <v/>
      </c>
      <c r="X32">
        <f>HYPERLINK("https://klasma.github.io/Logging_1880/tillsyn/A 20603-2019 tillsynsbegäran.docx", "A 20603-2019")</f>
        <v/>
      </c>
      <c r="Y32">
        <f>HYPERLINK("https://klasma.github.io/Logging_1880/tillsynsmail/A 20603-2019 tillsynsbegäran mail.docx", "A 20603-2019")</f>
        <v/>
      </c>
    </row>
    <row r="33" ht="15" customHeight="1">
      <c r="A33" t="inlineStr">
        <is>
          <t>A 46798-2019</t>
        </is>
      </c>
      <c r="B33" s="1" t="n">
        <v>43719</v>
      </c>
      <c r="C33" s="1" t="n">
        <v>45473</v>
      </c>
      <c r="D33" t="inlineStr">
        <is>
          <t>ÖREBRO LÄN</t>
        </is>
      </c>
      <c r="E33" t="inlineStr">
        <is>
          <t>ÖREBRO</t>
        </is>
      </c>
      <c r="F33" t="inlineStr">
        <is>
          <t>Kommuner</t>
        </is>
      </c>
      <c r="G33" t="n">
        <v>9.4</v>
      </c>
      <c r="H33" t="n">
        <v>0</v>
      </c>
      <c r="I33" t="n">
        <v>0</v>
      </c>
      <c r="J33" t="n">
        <v>1</v>
      </c>
      <c r="K33" t="n">
        <v>1</v>
      </c>
      <c r="L33" t="n">
        <v>0</v>
      </c>
      <c r="M33" t="n">
        <v>0</v>
      </c>
      <c r="N33" t="n">
        <v>0</v>
      </c>
      <c r="O33" t="n">
        <v>2</v>
      </c>
      <c r="P33" t="n">
        <v>1</v>
      </c>
      <c r="Q33" t="n">
        <v>2</v>
      </c>
      <c r="R33" s="2" t="inlineStr">
        <is>
          <t>Rynkskinn
Ullticka</t>
        </is>
      </c>
      <c r="S33">
        <f>HYPERLINK("https://klasma.github.io/Logging_1880/artfynd/A 46798-2019 artfynd.xlsx", "A 46798-2019")</f>
        <v/>
      </c>
      <c r="T33">
        <f>HYPERLINK("https://klasma.github.io/Logging_1880/kartor/A 46798-2019 karta.png", "A 46798-2019")</f>
        <v/>
      </c>
      <c r="V33">
        <f>HYPERLINK("https://klasma.github.io/Logging_1880/klagomål/A 46798-2019 FSC-klagomål.docx", "A 46798-2019")</f>
        <v/>
      </c>
      <c r="W33">
        <f>HYPERLINK("https://klasma.github.io/Logging_1880/klagomålsmail/A 46798-2019 FSC-klagomål mail.docx", "A 46798-2019")</f>
        <v/>
      </c>
      <c r="X33">
        <f>HYPERLINK("https://klasma.github.io/Logging_1880/tillsyn/A 46798-2019 tillsynsbegäran.docx", "A 46798-2019")</f>
        <v/>
      </c>
      <c r="Y33">
        <f>HYPERLINK("https://klasma.github.io/Logging_1880/tillsynsmail/A 46798-2019 tillsynsbegäran mail.docx", "A 46798-2019")</f>
        <v/>
      </c>
    </row>
    <row r="34" ht="15" customHeight="1">
      <c r="A34" t="inlineStr">
        <is>
          <t>A 4761-2020</t>
        </is>
      </c>
      <c r="B34" s="1" t="n">
        <v>43858</v>
      </c>
      <c r="C34" s="1" t="n">
        <v>45473</v>
      </c>
      <c r="D34" t="inlineStr">
        <is>
          <t>ÖREBRO LÄN</t>
        </is>
      </c>
      <c r="E34" t="inlineStr">
        <is>
          <t>ÖREBRO</t>
        </is>
      </c>
      <c r="F34" t="inlineStr">
        <is>
          <t>Kommuner</t>
        </is>
      </c>
      <c r="G34" t="n">
        <v>2.3</v>
      </c>
      <c r="H34" t="n">
        <v>1</v>
      </c>
      <c r="I34" t="n">
        <v>1</v>
      </c>
      <c r="J34" t="n">
        <v>0</v>
      </c>
      <c r="K34" t="n">
        <v>1</v>
      </c>
      <c r="L34" t="n">
        <v>0</v>
      </c>
      <c r="M34" t="n">
        <v>0</v>
      </c>
      <c r="N34" t="n">
        <v>0</v>
      </c>
      <c r="O34" t="n">
        <v>1</v>
      </c>
      <c r="P34" t="n">
        <v>1</v>
      </c>
      <c r="Q34" t="n">
        <v>2</v>
      </c>
      <c r="R34" s="2" t="inlineStr">
        <is>
          <t>Knärot
Zontaggsvamp</t>
        </is>
      </c>
      <c r="S34">
        <f>HYPERLINK("https://klasma.github.io/Logging_1880/artfynd/A 4761-2020 artfynd.xlsx", "A 4761-2020")</f>
        <v/>
      </c>
      <c r="T34">
        <f>HYPERLINK("https://klasma.github.io/Logging_1880/kartor/A 4761-2020 karta.png", "A 4761-2020")</f>
        <v/>
      </c>
      <c r="U34">
        <f>HYPERLINK("https://klasma.github.io/Logging_1880/knärot/A 4761-2020 karta knärot.png", "A 4761-2020")</f>
        <v/>
      </c>
      <c r="V34">
        <f>HYPERLINK("https://klasma.github.io/Logging_1880/klagomål/A 4761-2020 FSC-klagomål.docx", "A 4761-2020")</f>
        <v/>
      </c>
      <c r="W34">
        <f>HYPERLINK("https://klasma.github.io/Logging_1880/klagomålsmail/A 4761-2020 FSC-klagomål mail.docx", "A 4761-2020")</f>
        <v/>
      </c>
      <c r="X34">
        <f>HYPERLINK("https://klasma.github.io/Logging_1880/tillsyn/A 4761-2020 tillsynsbegäran.docx", "A 4761-2020")</f>
        <v/>
      </c>
      <c r="Y34">
        <f>HYPERLINK("https://klasma.github.io/Logging_1880/tillsynsmail/A 4761-2020 tillsynsbegäran mail.docx", "A 4761-2020")</f>
        <v/>
      </c>
    </row>
    <row r="35" ht="15" customHeight="1">
      <c r="A35" t="inlineStr">
        <is>
          <t>A 2586-2021</t>
        </is>
      </c>
      <c r="B35" s="1" t="n">
        <v>44214</v>
      </c>
      <c r="C35" s="1" t="n">
        <v>45473</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45473</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45473</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45473</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31234-2023</t>
        </is>
      </c>
      <c r="B39" s="1" t="n">
        <v>45114</v>
      </c>
      <c r="C39" s="1" t="n">
        <v>45473</v>
      </c>
      <c r="D39" t="inlineStr">
        <is>
          <t>ÖREBRO LÄN</t>
        </is>
      </c>
      <c r="E39" t="inlineStr">
        <is>
          <t>ÖREBRO</t>
        </is>
      </c>
      <c r="F39" t="inlineStr">
        <is>
          <t>Allmännings- och besparingsskogar</t>
        </is>
      </c>
      <c r="G39" t="n">
        <v>30.5</v>
      </c>
      <c r="H39" t="n">
        <v>2</v>
      </c>
      <c r="I39" t="n">
        <v>0</v>
      </c>
      <c r="J39" t="n">
        <v>2</v>
      </c>
      <c r="K39" t="n">
        <v>0</v>
      </c>
      <c r="L39" t="n">
        <v>0</v>
      </c>
      <c r="M39" t="n">
        <v>0</v>
      </c>
      <c r="N39" t="n">
        <v>0</v>
      </c>
      <c r="O39" t="n">
        <v>2</v>
      </c>
      <c r="P39" t="n">
        <v>0</v>
      </c>
      <c r="Q39" t="n">
        <v>2</v>
      </c>
      <c r="R39" s="2" t="inlineStr">
        <is>
          <t>Havsörn
Spillkråka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7608-2024</t>
        </is>
      </c>
      <c r="B40" s="1" t="n">
        <v>45348</v>
      </c>
      <c r="C40" s="1" t="n">
        <v>45473</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33605-2019</t>
        </is>
      </c>
      <c r="B41" s="1" t="n">
        <v>43644</v>
      </c>
      <c r="C41" s="1" t="n">
        <v>45473</v>
      </c>
      <c r="D41" t="inlineStr">
        <is>
          <t>ÖREBRO LÄN</t>
        </is>
      </c>
      <c r="E41" t="inlineStr">
        <is>
          <t>ÖREBRO</t>
        </is>
      </c>
      <c r="F41" t="inlineStr">
        <is>
          <t>Kommuner</t>
        </is>
      </c>
      <c r="G41" t="n">
        <v>1.5</v>
      </c>
      <c r="H41" t="n">
        <v>0</v>
      </c>
      <c r="I41" t="n">
        <v>0</v>
      </c>
      <c r="J41" t="n">
        <v>1</v>
      </c>
      <c r="K41" t="n">
        <v>0</v>
      </c>
      <c r="L41" t="n">
        <v>0</v>
      </c>
      <c r="M41" t="n">
        <v>0</v>
      </c>
      <c r="N41" t="n">
        <v>0</v>
      </c>
      <c r="O41" t="n">
        <v>1</v>
      </c>
      <c r="P41" t="n">
        <v>0</v>
      </c>
      <c r="Q41" t="n">
        <v>1</v>
      </c>
      <c r="R41" s="2" t="inlineStr">
        <is>
          <t>Tallticka</t>
        </is>
      </c>
      <c r="S41">
        <f>HYPERLINK("https://klasma.github.io/Logging_1880/artfynd/A 33605-2019 artfynd.xlsx", "A 33605-2019")</f>
        <v/>
      </c>
      <c r="T41">
        <f>HYPERLINK("https://klasma.github.io/Logging_1880/kartor/A 33605-2019 karta.png", "A 33605-2019")</f>
        <v/>
      </c>
      <c r="V41">
        <f>HYPERLINK("https://klasma.github.io/Logging_1880/klagomål/A 33605-2019 FSC-klagomål.docx", "A 33605-2019")</f>
        <v/>
      </c>
      <c r="W41">
        <f>HYPERLINK("https://klasma.github.io/Logging_1880/klagomålsmail/A 33605-2019 FSC-klagomål mail.docx", "A 33605-2019")</f>
        <v/>
      </c>
      <c r="X41">
        <f>HYPERLINK("https://klasma.github.io/Logging_1880/tillsyn/A 33605-2019 tillsynsbegäran.docx", "A 33605-2019")</f>
        <v/>
      </c>
      <c r="Y41">
        <f>HYPERLINK("https://klasma.github.io/Logging_1880/tillsynsmail/A 33605-2019 tillsynsbegäran mail.docx", "A 33605-2019")</f>
        <v/>
      </c>
    </row>
    <row r="42" ht="15" customHeight="1">
      <c r="A42" t="inlineStr">
        <is>
          <t>A 41505-2019</t>
        </is>
      </c>
      <c r="B42" s="1" t="n">
        <v>43696</v>
      </c>
      <c r="C42" s="1" t="n">
        <v>45473</v>
      </c>
      <c r="D42" t="inlineStr">
        <is>
          <t>ÖREBRO LÄN</t>
        </is>
      </c>
      <c r="E42" t="inlineStr">
        <is>
          <t>ÖREBRO</t>
        </is>
      </c>
      <c r="F42" t="inlineStr">
        <is>
          <t>Kommuner</t>
        </is>
      </c>
      <c r="G42" t="n">
        <v>2.9</v>
      </c>
      <c r="H42" t="n">
        <v>0</v>
      </c>
      <c r="I42" t="n">
        <v>0</v>
      </c>
      <c r="J42" t="n">
        <v>1</v>
      </c>
      <c r="K42" t="n">
        <v>0</v>
      </c>
      <c r="L42" t="n">
        <v>0</v>
      </c>
      <c r="M42" t="n">
        <v>0</v>
      </c>
      <c r="N42" t="n">
        <v>0</v>
      </c>
      <c r="O42" t="n">
        <v>1</v>
      </c>
      <c r="P42" t="n">
        <v>0</v>
      </c>
      <c r="Q42" t="n">
        <v>1</v>
      </c>
      <c r="R42" s="2" t="inlineStr">
        <is>
          <t>Tallticka</t>
        </is>
      </c>
      <c r="S42">
        <f>HYPERLINK("https://klasma.github.io/Logging_1880/artfynd/A 41505-2019 artfynd.xlsx", "A 41505-2019")</f>
        <v/>
      </c>
      <c r="T42">
        <f>HYPERLINK("https://klasma.github.io/Logging_1880/kartor/A 41505-2019 karta.png", "A 41505-2019")</f>
        <v/>
      </c>
      <c r="V42">
        <f>HYPERLINK("https://klasma.github.io/Logging_1880/klagomål/A 41505-2019 FSC-klagomål.docx", "A 41505-2019")</f>
        <v/>
      </c>
      <c r="W42">
        <f>HYPERLINK("https://klasma.github.io/Logging_1880/klagomålsmail/A 41505-2019 FSC-klagomål mail.docx", "A 41505-2019")</f>
        <v/>
      </c>
      <c r="X42">
        <f>HYPERLINK("https://klasma.github.io/Logging_1880/tillsyn/A 41505-2019 tillsynsbegäran.docx", "A 41505-2019")</f>
        <v/>
      </c>
      <c r="Y42">
        <f>HYPERLINK("https://klasma.github.io/Logging_1880/tillsynsmail/A 41505-2019 tillsynsbegäran mail.docx", "A 41505-2019")</f>
        <v/>
      </c>
    </row>
    <row r="43" ht="15" customHeight="1">
      <c r="A43" t="inlineStr">
        <is>
          <t>A 48989-2019</t>
        </is>
      </c>
      <c r="B43" s="1" t="n">
        <v>43729</v>
      </c>
      <c r="C43" s="1" t="n">
        <v>45473</v>
      </c>
      <c r="D43" t="inlineStr">
        <is>
          <t>ÖREBRO LÄN</t>
        </is>
      </c>
      <c r="E43" t="inlineStr">
        <is>
          <t>ÖREBRO</t>
        </is>
      </c>
      <c r="G43" t="n">
        <v>3.8</v>
      </c>
      <c r="H43" t="n">
        <v>1</v>
      </c>
      <c r="I43" t="n">
        <v>0</v>
      </c>
      <c r="J43" t="n">
        <v>1</v>
      </c>
      <c r="K43" t="n">
        <v>0</v>
      </c>
      <c r="L43" t="n">
        <v>0</v>
      </c>
      <c r="M43" t="n">
        <v>0</v>
      </c>
      <c r="N43" t="n">
        <v>0</v>
      </c>
      <c r="O43" t="n">
        <v>1</v>
      </c>
      <c r="P43" t="n">
        <v>0</v>
      </c>
      <c r="Q43" t="n">
        <v>1</v>
      </c>
      <c r="R43" s="2" t="inlineStr">
        <is>
          <t>Havsörn</t>
        </is>
      </c>
      <c r="S43">
        <f>HYPERLINK("https://klasma.github.io/Logging_1880/artfynd/A 48989-2019 artfynd.xlsx", "A 48989-2019")</f>
        <v/>
      </c>
      <c r="T43">
        <f>HYPERLINK("https://klasma.github.io/Logging_1880/kartor/A 48989-2019 karta.png", "A 48989-2019")</f>
        <v/>
      </c>
      <c r="V43">
        <f>HYPERLINK("https://klasma.github.io/Logging_1880/klagomål/A 48989-2019 FSC-klagomål.docx", "A 48989-2019")</f>
        <v/>
      </c>
      <c r="W43">
        <f>HYPERLINK("https://klasma.github.io/Logging_1880/klagomålsmail/A 48989-2019 FSC-klagomål mail.docx", "A 48989-2019")</f>
        <v/>
      </c>
      <c r="X43">
        <f>HYPERLINK("https://klasma.github.io/Logging_1880/tillsyn/A 48989-2019 tillsynsbegäran.docx", "A 48989-2019")</f>
        <v/>
      </c>
      <c r="Y43">
        <f>HYPERLINK("https://klasma.github.io/Logging_1880/tillsynsmail/A 48989-2019 tillsynsbegäran mail.docx", "A 48989-2019")</f>
        <v/>
      </c>
      <c r="Z43">
        <f>HYPERLINK("https://klasma.github.io/Logging_1880/fåglar/A 48989-2019 prioriterade fågelarter.docx", "A 48989-2019")</f>
        <v/>
      </c>
    </row>
    <row r="44" ht="15" customHeight="1">
      <c r="A44" t="inlineStr">
        <is>
          <t>A 1512-2020</t>
        </is>
      </c>
      <c r="B44" s="1" t="n">
        <v>43826</v>
      </c>
      <c r="C44" s="1" t="n">
        <v>45473</v>
      </c>
      <c r="D44" t="inlineStr">
        <is>
          <t>ÖREBRO LÄN</t>
        </is>
      </c>
      <c r="E44" t="inlineStr">
        <is>
          <t>ÖREBRO</t>
        </is>
      </c>
      <c r="G44" t="n">
        <v>6</v>
      </c>
      <c r="H44" t="n">
        <v>1</v>
      </c>
      <c r="I44" t="n">
        <v>0</v>
      </c>
      <c r="J44" t="n">
        <v>0</v>
      </c>
      <c r="K44" t="n">
        <v>0</v>
      </c>
      <c r="L44" t="n">
        <v>0</v>
      </c>
      <c r="M44" t="n">
        <v>0</v>
      </c>
      <c r="N44" t="n">
        <v>0</v>
      </c>
      <c r="O44" t="n">
        <v>0</v>
      </c>
      <c r="P44" t="n">
        <v>0</v>
      </c>
      <c r="Q44" t="n">
        <v>1</v>
      </c>
      <c r="R44" s="2" t="inlineStr">
        <is>
          <t>Revlummer</t>
        </is>
      </c>
      <c r="S44">
        <f>HYPERLINK("https://klasma.github.io/Logging_1880/artfynd/A 1512-2020 artfynd.xlsx", "A 1512-2020")</f>
        <v/>
      </c>
      <c r="T44">
        <f>HYPERLINK("https://klasma.github.io/Logging_1880/kartor/A 1512-2020 karta.png", "A 1512-2020")</f>
        <v/>
      </c>
      <c r="V44">
        <f>HYPERLINK("https://klasma.github.io/Logging_1880/klagomål/A 1512-2020 FSC-klagomål.docx", "A 1512-2020")</f>
        <v/>
      </c>
      <c r="W44">
        <f>HYPERLINK("https://klasma.github.io/Logging_1880/klagomålsmail/A 1512-2020 FSC-klagomål mail.docx", "A 1512-2020")</f>
        <v/>
      </c>
      <c r="X44">
        <f>HYPERLINK("https://klasma.github.io/Logging_1880/tillsyn/A 1512-2020 tillsynsbegäran.docx", "A 1512-2020")</f>
        <v/>
      </c>
      <c r="Y44">
        <f>HYPERLINK("https://klasma.github.io/Logging_1880/tillsynsmail/A 1512-2020 tillsynsbegäran mail.docx", "A 1512-2020")</f>
        <v/>
      </c>
    </row>
    <row r="45" ht="15" customHeight="1">
      <c r="A45" t="inlineStr">
        <is>
          <t>A 2697-2020</t>
        </is>
      </c>
      <c r="B45" s="1" t="n">
        <v>43843</v>
      </c>
      <c r="C45" s="1" t="n">
        <v>45473</v>
      </c>
      <c r="D45" t="inlineStr">
        <is>
          <t>ÖREBRO LÄN</t>
        </is>
      </c>
      <c r="E45" t="inlineStr">
        <is>
          <t>ÖREBRO</t>
        </is>
      </c>
      <c r="G45" t="n">
        <v>5</v>
      </c>
      <c r="H45" t="n">
        <v>0</v>
      </c>
      <c r="I45" t="n">
        <v>1</v>
      </c>
      <c r="J45" t="n">
        <v>0</v>
      </c>
      <c r="K45" t="n">
        <v>0</v>
      </c>
      <c r="L45" t="n">
        <v>0</v>
      </c>
      <c r="M45" t="n">
        <v>0</v>
      </c>
      <c r="N45" t="n">
        <v>0</v>
      </c>
      <c r="O45" t="n">
        <v>0</v>
      </c>
      <c r="P45" t="n">
        <v>0</v>
      </c>
      <c r="Q45" t="n">
        <v>1</v>
      </c>
      <c r="R45" s="2" t="inlineStr">
        <is>
          <t>Springkorn</t>
        </is>
      </c>
      <c r="S45">
        <f>HYPERLINK("https://klasma.github.io/Logging_1880/artfynd/A 2697-2020 artfynd.xlsx", "A 2697-2020")</f>
        <v/>
      </c>
      <c r="T45">
        <f>HYPERLINK("https://klasma.github.io/Logging_1880/kartor/A 2697-2020 karta.png", "A 2697-2020")</f>
        <v/>
      </c>
      <c r="V45">
        <f>HYPERLINK("https://klasma.github.io/Logging_1880/klagomål/A 2697-2020 FSC-klagomål.docx", "A 2697-2020")</f>
        <v/>
      </c>
      <c r="W45">
        <f>HYPERLINK("https://klasma.github.io/Logging_1880/klagomålsmail/A 2697-2020 FSC-klagomål mail.docx", "A 2697-2020")</f>
        <v/>
      </c>
      <c r="X45">
        <f>HYPERLINK("https://klasma.github.io/Logging_1880/tillsyn/A 2697-2020 tillsynsbegäran.docx", "A 2697-2020")</f>
        <v/>
      </c>
      <c r="Y45">
        <f>HYPERLINK("https://klasma.github.io/Logging_1880/tillsynsmail/A 2697-2020 tillsynsbegäran mail.docx", "A 2697-2020")</f>
        <v/>
      </c>
    </row>
    <row r="46" ht="15" customHeight="1">
      <c r="A46" t="inlineStr">
        <is>
          <t>A 1571-2020</t>
        </is>
      </c>
      <c r="B46" s="1" t="n">
        <v>43844</v>
      </c>
      <c r="C46" s="1" t="n">
        <v>45473</v>
      </c>
      <c r="D46" t="inlineStr">
        <is>
          <t>ÖREBRO LÄN</t>
        </is>
      </c>
      <c r="E46" t="inlineStr">
        <is>
          <t>ÖREBRO</t>
        </is>
      </c>
      <c r="G46" t="n">
        <v>2</v>
      </c>
      <c r="H46" t="n">
        <v>0</v>
      </c>
      <c r="I46" t="n">
        <v>0</v>
      </c>
      <c r="J46" t="n">
        <v>1</v>
      </c>
      <c r="K46" t="n">
        <v>0</v>
      </c>
      <c r="L46" t="n">
        <v>0</v>
      </c>
      <c r="M46" t="n">
        <v>0</v>
      </c>
      <c r="N46" t="n">
        <v>0</v>
      </c>
      <c r="O46" t="n">
        <v>1</v>
      </c>
      <c r="P46" t="n">
        <v>0</v>
      </c>
      <c r="Q46" t="n">
        <v>1</v>
      </c>
      <c r="R46" s="2" t="inlineStr">
        <is>
          <t>Ullticka</t>
        </is>
      </c>
      <c r="S46">
        <f>HYPERLINK("https://klasma.github.io/Logging_1880/artfynd/A 1571-2020 artfynd.xlsx", "A 1571-2020")</f>
        <v/>
      </c>
      <c r="T46">
        <f>HYPERLINK("https://klasma.github.io/Logging_1880/kartor/A 1571-2020 karta.png", "A 1571-2020")</f>
        <v/>
      </c>
      <c r="V46">
        <f>HYPERLINK("https://klasma.github.io/Logging_1880/klagomål/A 1571-2020 FSC-klagomål.docx", "A 1571-2020")</f>
        <v/>
      </c>
      <c r="W46">
        <f>HYPERLINK("https://klasma.github.io/Logging_1880/klagomålsmail/A 1571-2020 FSC-klagomål mail.docx", "A 1571-2020")</f>
        <v/>
      </c>
      <c r="X46">
        <f>HYPERLINK("https://klasma.github.io/Logging_1880/tillsyn/A 1571-2020 tillsynsbegäran.docx", "A 1571-2020")</f>
        <v/>
      </c>
      <c r="Y46">
        <f>HYPERLINK("https://klasma.github.io/Logging_1880/tillsynsmail/A 1571-2020 tillsynsbegäran mail.docx", "A 1571-2020")</f>
        <v/>
      </c>
    </row>
    <row r="47" ht="15" customHeight="1">
      <c r="A47" t="inlineStr">
        <is>
          <t>A 13831-2020</t>
        </is>
      </c>
      <c r="B47" s="1" t="n">
        <v>43905</v>
      </c>
      <c r="C47" s="1" t="n">
        <v>45473</v>
      </c>
      <c r="D47" t="inlineStr">
        <is>
          <t>ÖREBRO LÄN</t>
        </is>
      </c>
      <c r="E47" t="inlineStr">
        <is>
          <t>ÖREBRO</t>
        </is>
      </c>
      <c r="G47" t="n">
        <v>7.5</v>
      </c>
      <c r="H47" t="n">
        <v>0</v>
      </c>
      <c r="I47" t="n">
        <v>1</v>
      </c>
      <c r="J47" t="n">
        <v>0</v>
      </c>
      <c r="K47" t="n">
        <v>0</v>
      </c>
      <c r="L47" t="n">
        <v>0</v>
      </c>
      <c r="M47" t="n">
        <v>0</v>
      </c>
      <c r="N47" t="n">
        <v>0</v>
      </c>
      <c r="O47" t="n">
        <v>0</v>
      </c>
      <c r="P47" t="n">
        <v>0</v>
      </c>
      <c r="Q47" t="n">
        <v>1</v>
      </c>
      <c r="R47" s="2" t="inlineStr">
        <is>
          <t>Vätteros</t>
        </is>
      </c>
      <c r="S47">
        <f>HYPERLINK("https://klasma.github.io/Logging_1880/artfynd/A 13831-2020 artfynd.xlsx", "A 13831-2020")</f>
        <v/>
      </c>
      <c r="T47">
        <f>HYPERLINK("https://klasma.github.io/Logging_1880/kartor/A 13831-2020 karta.png", "A 13831-2020")</f>
        <v/>
      </c>
      <c r="V47">
        <f>HYPERLINK("https://klasma.github.io/Logging_1880/klagomål/A 13831-2020 FSC-klagomål.docx", "A 13831-2020")</f>
        <v/>
      </c>
      <c r="W47">
        <f>HYPERLINK("https://klasma.github.io/Logging_1880/klagomålsmail/A 13831-2020 FSC-klagomål mail.docx", "A 13831-2020")</f>
        <v/>
      </c>
      <c r="X47">
        <f>HYPERLINK("https://klasma.github.io/Logging_1880/tillsyn/A 13831-2020 tillsynsbegäran.docx", "A 13831-2020")</f>
        <v/>
      </c>
      <c r="Y47">
        <f>HYPERLINK("https://klasma.github.io/Logging_1880/tillsynsmail/A 13831-2020 tillsynsbegäran mail.docx", "A 13831-2020")</f>
        <v/>
      </c>
    </row>
    <row r="48" ht="15" customHeight="1">
      <c r="A48" t="inlineStr">
        <is>
          <t>A 25192-2020</t>
        </is>
      </c>
      <c r="B48" s="1" t="n">
        <v>43980</v>
      </c>
      <c r="C48" s="1" t="n">
        <v>45473</v>
      </c>
      <c r="D48" t="inlineStr">
        <is>
          <t>ÖREBRO LÄN</t>
        </is>
      </c>
      <c r="E48" t="inlineStr">
        <is>
          <t>ÖREBRO</t>
        </is>
      </c>
      <c r="F48" t="inlineStr">
        <is>
          <t>Övriga Aktiebolag</t>
        </is>
      </c>
      <c r="G48" t="n">
        <v>1.5</v>
      </c>
      <c r="H48" t="n">
        <v>1</v>
      </c>
      <c r="I48" t="n">
        <v>1</v>
      </c>
      <c r="J48" t="n">
        <v>0</v>
      </c>
      <c r="K48" t="n">
        <v>0</v>
      </c>
      <c r="L48" t="n">
        <v>0</v>
      </c>
      <c r="M48" t="n">
        <v>0</v>
      </c>
      <c r="N48" t="n">
        <v>0</v>
      </c>
      <c r="O48" t="n">
        <v>0</v>
      </c>
      <c r="P48" t="n">
        <v>0</v>
      </c>
      <c r="Q48" t="n">
        <v>1</v>
      </c>
      <c r="R48" s="2" t="inlineStr">
        <is>
          <t>Spindelblomster</t>
        </is>
      </c>
      <c r="S48">
        <f>HYPERLINK("https://klasma.github.io/Logging_1880/artfynd/A 25192-2020 artfynd.xlsx", "A 25192-2020")</f>
        <v/>
      </c>
      <c r="T48">
        <f>HYPERLINK("https://klasma.github.io/Logging_1880/kartor/A 25192-2020 karta.png", "A 25192-2020")</f>
        <v/>
      </c>
      <c r="V48">
        <f>HYPERLINK("https://klasma.github.io/Logging_1880/klagomål/A 25192-2020 FSC-klagomål.docx", "A 25192-2020")</f>
        <v/>
      </c>
      <c r="W48">
        <f>HYPERLINK("https://klasma.github.io/Logging_1880/klagomålsmail/A 25192-2020 FSC-klagomål mail.docx", "A 25192-2020")</f>
        <v/>
      </c>
      <c r="X48">
        <f>HYPERLINK("https://klasma.github.io/Logging_1880/tillsyn/A 25192-2020 tillsynsbegäran.docx", "A 25192-2020")</f>
        <v/>
      </c>
      <c r="Y48">
        <f>HYPERLINK("https://klasma.github.io/Logging_1880/tillsynsmail/A 25192-2020 tillsynsbegäran mail.docx", "A 25192-2020")</f>
        <v/>
      </c>
    </row>
    <row r="49" ht="15" customHeight="1">
      <c r="A49" t="inlineStr">
        <is>
          <t>A 26426-2020</t>
        </is>
      </c>
      <c r="B49" s="1" t="n">
        <v>43986</v>
      </c>
      <c r="C49" s="1" t="n">
        <v>45473</v>
      </c>
      <c r="D49" t="inlineStr">
        <is>
          <t>ÖREBRO LÄN</t>
        </is>
      </c>
      <c r="E49" t="inlineStr">
        <is>
          <t>ÖREBRO</t>
        </is>
      </c>
      <c r="G49" t="n">
        <v>1</v>
      </c>
      <c r="H49" t="n">
        <v>0</v>
      </c>
      <c r="I49" t="n">
        <v>0</v>
      </c>
      <c r="J49" t="n">
        <v>0</v>
      </c>
      <c r="K49" t="n">
        <v>1</v>
      </c>
      <c r="L49" t="n">
        <v>0</v>
      </c>
      <c r="M49" t="n">
        <v>0</v>
      </c>
      <c r="N49" t="n">
        <v>0</v>
      </c>
      <c r="O49" t="n">
        <v>1</v>
      </c>
      <c r="P49" t="n">
        <v>1</v>
      </c>
      <c r="Q49" t="n">
        <v>1</v>
      </c>
      <c r="R49" s="2" t="inlineStr">
        <is>
          <t>Slöjröksvamp</t>
        </is>
      </c>
      <c r="S49">
        <f>HYPERLINK("https://klasma.github.io/Logging_1880/artfynd/A 26426-2020 artfynd.xlsx", "A 26426-2020")</f>
        <v/>
      </c>
      <c r="T49">
        <f>HYPERLINK("https://klasma.github.io/Logging_1880/kartor/A 26426-2020 karta.png", "A 26426-2020")</f>
        <v/>
      </c>
      <c r="V49">
        <f>HYPERLINK("https://klasma.github.io/Logging_1880/klagomål/A 26426-2020 FSC-klagomål.docx", "A 26426-2020")</f>
        <v/>
      </c>
      <c r="W49">
        <f>HYPERLINK("https://klasma.github.io/Logging_1880/klagomålsmail/A 26426-2020 FSC-klagomål mail.docx", "A 26426-2020")</f>
        <v/>
      </c>
      <c r="X49">
        <f>HYPERLINK("https://klasma.github.io/Logging_1880/tillsyn/A 26426-2020 tillsynsbegäran.docx", "A 26426-2020")</f>
        <v/>
      </c>
      <c r="Y49">
        <f>HYPERLINK("https://klasma.github.io/Logging_1880/tillsynsmail/A 26426-2020 tillsynsbegäran mail.docx", "A 26426-2020")</f>
        <v/>
      </c>
    </row>
    <row r="50" ht="15" customHeight="1">
      <c r="A50" t="inlineStr">
        <is>
          <t>A 28103-2020</t>
        </is>
      </c>
      <c r="B50" s="1" t="n">
        <v>43997</v>
      </c>
      <c r="C50" s="1" t="n">
        <v>45473</v>
      </c>
      <c r="D50" t="inlineStr">
        <is>
          <t>ÖREBRO LÄN</t>
        </is>
      </c>
      <c r="E50" t="inlineStr">
        <is>
          <t>ÖREBRO</t>
        </is>
      </c>
      <c r="G50" t="n">
        <v>1.6</v>
      </c>
      <c r="H50" t="n">
        <v>1</v>
      </c>
      <c r="I50" t="n">
        <v>0</v>
      </c>
      <c r="J50" t="n">
        <v>0</v>
      </c>
      <c r="K50" t="n">
        <v>1</v>
      </c>
      <c r="L50" t="n">
        <v>0</v>
      </c>
      <c r="M50" t="n">
        <v>0</v>
      </c>
      <c r="N50" t="n">
        <v>0</v>
      </c>
      <c r="O50" t="n">
        <v>1</v>
      </c>
      <c r="P50" t="n">
        <v>1</v>
      </c>
      <c r="Q50" t="n">
        <v>1</v>
      </c>
      <c r="R50" s="2" t="inlineStr">
        <is>
          <t>Knärot</t>
        </is>
      </c>
      <c r="S50">
        <f>HYPERLINK("https://klasma.github.io/Logging_1880/artfynd/A 28103-2020 artfynd.xlsx", "A 28103-2020")</f>
        <v/>
      </c>
      <c r="T50">
        <f>HYPERLINK("https://klasma.github.io/Logging_1880/kartor/A 28103-2020 karta.png", "A 28103-2020")</f>
        <v/>
      </c>
      <c r="U50">
        <f>HYPERLINK("https://klasma.github.io/Logging_1880/knärot/A 28103-2020 karta knärot.png", "A 28103-2020")</f>
        <v/>
      </c>
      <c r="V50">
        <f>HYPERLINK("https://klasma.github.io/Logging_1880/klagomål/A 28103-2020 FSC-klagomål.docx", "A 28103-2020")</f>
        <v/>
      </c>
      <c r="W50">
        <f>HYPERLINK("https://klasma.github.io/Logging_1880/klagomålsmail/A 28103-2020 FSC-klagomål mail.docx", "A 28103-2020")</f>
        <v/>
      </c>
      <c r="X50">
        <f>HYPERLINK("https://klasma.github.io/Logging_1880/tillsyn/A 28103-2020 tillsynsbegäran.docx", "A 28103-2020")</f>
        <v/>
      </c>
      <c r="Y50">
        <f>HYPERLINK("https://klasma.github.io/Logging_1880/tillsynsmail/A 28103-2020 tillsynsbegäran mail.docx", "A 28103-2020")</f>
        <v/>
      </c>
    </row>
    <row r="51" ht="15" customHeight="1">
      <c r="A51" t="inlineStr">
        <is>
          <t>A 28710-2020</t>
        </is>
      </c>
      <c r="B51" s="1" t="n">
        <v>43998</v>
      </c>
      <c r="C51" s="1" t="n">
        <v>45473</v>
      </c>
      <c r="D51" t="inlineStr">
        <is>
          <t>ÖREBRO LÄN</t>
        </is>
      </c>
      <c r="E51" t="inlineStr">
        <is>
          <t>ÖREBRO</t>
        </is>
      </c>
      <c r="F51" t="inlineStr">
        <is>
          <t>Kommuner</t>
        </is>
      </c>
      <c r="G51" t="n">
        <v>1</v>
      </c>
      <c r="H51" t="n">
        <v>0</v>
      </c>
      <c r="I51" t="n">
        <v>0</v>
      </c>
      <c r="J51" t="n">
        <v>1</v>
      </c>
      <c r="K51" t="n">
        <v>0</v>
      </c>
      <c r="L51" t="n">
        <v>0</v>
      </c>
      <c r="M51" t="n">
        <v>0</v>
      </c>
      <c r="N51" t="n">
        <v>0</v>
      </c>
      <c r="O51" t="n">
        <v>1</v>
      </c>
      <c r="P51" t="n">
        <v>0</v>
      </c>
      <c r="Q51" t="n">
        <v>1</v>
      </c>
      <c r="R51" s="2" t="inlineStr">
        <is>
          <t>Ullticka</t>
        </is>
      </c>
      <c r="S51">
        <f>HYPERLINK("https://klasma.github.io/Logging_1880/artfynd/A 28710-2020 artfynd.xlsx", "A 28710-2020")</f>
        <v/>
      </c>
      <c r="T51">
        <f>HYPERLINK("https://klasma.github.io/Logging_1880/kartor/A 28710-2020 karta.png", "A 28710-2020")</f>
        <v/>
      </c>
      <c r="V51">
        <f>HYPERLINK("https://klasma.github.io/Logging_1880/klagomål/A 28710-2020 FSC-klagomål.docx", "A 28710-2020")</f>
        <v/>
      </c>
      <c r="W51">
        <f>HYPERLINK("https://klasma.github.io/Logging_1880/klagomålsmail/A 28710-2020 FSC-klagomål mail.docx", "A 28710-2020")</f>
        <v/>
      </c>
      <c r="X51">
        <f>HYPERLINK("https://klasma.github.io/Logging_1880/tillsyn/A 28710-2020 tillsynsbegäran.docx", "A 28710-2020")</f>
        <v/>
      </c>
      <c r="Y51">
        <f>HYPERLINK("https://klasma.github.io/Logging_1880/tillsynsmail/A 28710-2020 tillsynsbegäran mail.docx", "A 28710-2020")</f>
        <v/>
      </c>
    </row>
    <row r="52" ht="15" customHeight="1">
      <c r="A52" t="inlineStr">
        <is>
          <t>A 29454-2020</t>
        </is>
      </c>
      <c r="B52" s="1" t="n">
        <v>44004</v>
      </c>
      <c r="C52" s="1" t="n">
        <v>45473</v>
      </c>
      <c r="D52" t="inlineStr">
        <is>
          <t>ÖREBRO LÄN</t>
        </is>
      </c>
      <c r="E52" t="inlineStr">
        <is>
          <t>ÖREBRO</t>
        </is>
      </c>
      <c r="G52" t="n">
        <v>5</v>
      </c>
      <c r="H52" t="n">
        <v>0</v>
      </c>
      <c r="I52" t="n">
        <v>0</v>
      </c>
      <c r="J52" t="n">
        <v>1</v>
      </c>
      <c r="K52" t="n">
        <v>0</v>
      </c>
      <c r="L52" t="n">
        <v>0</v>
      </c>
      <c r="M52" t="n">
        <v>0</v>
      </c>
      <c r="N52" t="n">
        <v>0</v>
      </c>
      <c r="O52" t="n">
        <v>1</v>
      </c>
      <c r="P52" t="n">
        <v>0</v>
      </c>
      <c r="Q52" t="n">
        <v>1</v>
      </c>
      <c r="R52" s="2" t="inlineStr">
        <is>
          <t>Stornopping</t>
        </is>
      </c>
      <c r="S52">
        <f>HYPERLINK("https://klasma.github.io/Logging_1880/artfynd/A 29454-2020 artfynd.xlsx", "A 29454-2020")</f>
        <v/>
      </c>
      <c r="T52">
        <f>HYPERLINK("https://klasma.github.io/Logging_1880/kartor/A 29454-2020 karta.png", "A 29454-2020")</f>
        <v/>
      </c>
      <c r="V52">
        <f>HYPERLINK("https://klasma.github.io/Logging_1880/klagomål/A 29454-2020 FSC-klagomål.docx", "A 29454-2020")</f>
        <v/>
      </c>
      <c r="W52">
        <f>HYPERLINK("https://klasma.github.io/Logging_1880/klagomålsmail/A 29454-2020 FSC-klagomål mail.docx", "A 29454-2020")</f>
        <v/>
      </c>
      <c r="X52">
        <f>HYPERLINK("https://klasma.github.io/Logging_1880/tillsyn/A 29454-2020 tillsynsbegäran.docx", "A 29454-2020")</f>
        <v/>
      </c>
      <c r="Y52">
        <f>HYPERLINK("https://klasma.github.io/Logging_1880/tillsynsmail/A 29454-2020 tillsynsbegäran mail.docx", "A 29454-2020")</f>
        <v/>
      </c>
    </row>
    <row r="53" ht="15" customHeight="1">
      <c r="A53" t="inlineStr">
        <is>
          <t>A 58966-2020</t>
        </is>
      </c>
      <c r="B53" s="1" t="n">
        <v>44146</v>
      </c>
      <c r="C53" s="1" t="n">
        <v>45473</v>
      </c>
      <c r="D53" t="inlineStr">
        <is>
          <t>ÖREBRO LÄN</t>
        </is>
      </c>
      <c r="E53" t="inlineStr">
        <is>
          <t>ÖREBRO</t>
        </is>
      </c>
      <c r="F53" t="inlineStr">
        <is>
          <t>Övriga Aktiebolag</t>
        </is>
      </c>
      <c r="G53" t="n">
        <v>1.2</v>
      </c>
      <c r="H53" t="n">
        <v>1</v>
      </c>
      <c r="I53" t="n">
        <v>0</v>
      </c>
      <c r="J53" t="n">
        <v>1</v>
      </c>
      <c r="K53" t="n">
        <v>0</v>
      </c>
      <c r="L53" t="n">
        <v>0</v>
      </c>
      <c r="M53" t="n">
        <v>0</v>
      </c>
      <c r="N53" t="n">
        <v>0</v>
      </c>
      <c r="O53" t="n">
        <v>1</v>
      </c>
      <c r="P53" t="n">
        <v>0</v>
      </c>
      <c r="Q53" t="n">
        <v>1</v>
      </c>
      <c r="R53" s="2" t="inlineStr">
        <is>
          <t>Kråka</t>
        </is>
      </c>
      <c r="S53">
        <f>HYPERLINK("https://klasma.github.io/Logging_1880/artfynd/A 58966-2020 artfynd.xlsx", "A 58966-2020")</f>
        <v/>
      </c>
      <c r="T53">
        <f>HYPERLINK("https://klasma.github.io/Logging_1880/kartor/A 58966-2020 karta.png", "A 58966-2020")</f>
        <v/>
      </c>
      <c r="V53">
        <f>HYPERLINK("https://klasma.github.io/Logging_1880/klagomål/A 58966-2020 FSC-klagomål.docx", "A 58966-2020")</f>
        <v/>
      </c>
      <c r="W53">
        <f>HYPERLINK("https://klasma.github.io/Logging_1880/klagomålsmail/A 58966-2020 FSC-klagomål mail.docx", "A 58966-2020")</f>
        <v/>
      </c>
      <c r="X53">
        <f>HYPERLINK("https://klasma.github.io/Logging_1880/tillsyn/A 58966-2020 tillsynsbegäran.docx", "A 58966-2020")</f>
        <v/>
      </c>
      <c r="Y53">
        <f>HYPERLINK("https://klasma.github.io/Logging_1880/tillsynsmail/A 58966-2020 tillsynsbegäran mail.docx", "A 58966-2020")</f>
        <v/>
      </c>
      <c r="Z53">
        <f>HYPERLINK("https://klasma.github.io/Logging_1880/fåglar/A 58966-2020 prioriterade fågelarter.docx", "A 58966-2020")</f>
        <v/>
      </c>
    </row>
    <row r="54" ht="15" customHeight="1">
      <c r="A54" t="inlineStr">
        <is>
          <t>A 4014-2021</t>
        </is>
      </c>
      <c r="B54" s="1" t="n">
        <v>44218</v>
      </c>
      <c r="C54" s="1" t="n">
        <v>45473</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6926-2021</t>
        </is>
      </c>
      <c r="B55" s="1" t="n">
        <v>44237</v>
      </c>
      <c r="C55" s="1" t="n">
        <v>45473</v>
      </c>
      <c r="D55" t="inlineStr">
        <is>
          <t>ÖREBRO LÄN</t>
        </is>
      </c>
      <c r="E55" t="inlineStr">
        <is>
          <t>ÖREBRO</t>
        </is>
      </c>
      <c r="G55" t="n">
        <v>0.9</v>
      </c>
      <c r="H55" t="n">
        <v>1</v>
      </c>
      <c r="I55" t="n">
        <v>1</v>
      </c>
      <c r="J55" t="n">
        <v>0</v>
      </c>
      <c r="K55" t="n">
        <v>0</v>
      </c>
      <c r="L55" t="n">
        <v>0</v>
      </c>
      <c r="M55" t="n">
        <v>0</v>
      </c>
      <c r="N55" t="n">
        <v>0</v>
      </c>
      <c r="O55" t="n">
        <v>0</v>
      </c>
      <c r="P55" t="n">
        <v>0</v>
      </c>
      <c r="Q55" t="n">
        <v>1</v>
      </c>
      <c r="R55" s="2" t="inlineStr">
        <is>
          <t>Skogsknipprot</t>
        </is>
      </c>
      <c r="S55">
        <f>HYPERLINK("https://klasma.github.io/Logging_1880/artfynd/A 6926-2021 artfynd.xlsx", "A 6926-2021")</f>
        <v/>
      </c>
      <c r="T55">
        <f>HYPERLINK("https://klasma.github.io/Logging_1880/kartor/A 6926-2021 karta.png", "A 6926-2021")</f>
        <v/>
      </c>
      <c r="V55">
        <f>HYPERLINK("https://klasma.github.io/Logging_1880/klagomål/A 6926-2021 FSC-klagomål.docx", "A 6926-2021")</f>
        <v/>
      </c>
      <c r="W55">
        <f>HYPERLINK("https://klasma.github.io/Logging_1880/klagomålsmail/A 6926-2021 FSC-klagomål mail.docx", "A 6926-2021")</f>
        <v/>
      </c>
      <c r="X55">
        <f>HYPERLINK("https://klasma.github.io/Logging_1880/tillsyn/A 6926-2021 tillsynsbegäran.docx", "A 6926-2021")</f>
        <v/>
      </c>
      <c r="Y55">
        <f>HYPERLINK("https://klasma.github.io/Logging_1880/tillsynsmail/A 6926-2021 tillsynsbegäran mail.docx", "A 6926-2021")</f>
        <v/>
      </c>
    </row>
    <row r="56" ht="15" customHeight="1">
      <c r="A56" t="inlineStr">
        <is>
          <t>A 8256-2021</t>
        </is>
      </c>
      <c r="B56" s="1" t="n">
        <v>44244</v>
      </c>
      <c r="C56" s="1" t="n">
        <v>45473</v>
      </c>
      <c r="D56" t="inlineStr">
        <is>
          <t>ÖREBRO LÄN</t>
        </is>
      </c>
      <c r="E56" t="inlineStr">
        <is>
          <t>ÖREBRO</t>
        </is>
      </c>
      <c r="G56" t="n">
        <v>1</v>
      </c>
      <c r="H56" t="n">
        <v>0</v>
      </c>
      <c r="I56" t="n">
        <v>1</v>
      </c>
      <c r="J56" t="n">
        <v>0</v>
      </c>
      <c r="K56" t="n">
        <v>0</v>
      </c>
      <c r="L56" t="n">
        <v>0</v>
      </c>
      <c r="M56" t="n">
        <v>0</v>
      </c>
      <c r="N56" t="n">
        <v>0</v>
      </c>
      <c r="O56" t="n">
        <v>0</v>
      </c>
      <c r="P56" t="n">
        <v>0</v>
      </c>
      <c r="Q56" t="n">
        <v>1</v>
      </c>
      <c r="R56" s="2" t="inlineStr">
        <is>
          <t>Svart trolldruva</t>
        </is>
      </c>
      <c r="S56">
        <f>HYPERLINK("https://klasma.github.io/Logging_1880/artfynd/A 8256-2021 artfynd.xlsx", "A 8256-2021")</f>
        <v/>
      </c>
      <c r="T56">
        <f>HYPERLINK("https://klasma.github.io/Logging_1880/kartor/A 8256-2021 karta.png", "A 8256-2021")</f>
        <v/>
      </c>
      <c r="V56">
        <f>HYPERLINK("https://klasma.github.io/Logging_1880/klagomål/A 8256-2021 FSC-klagomål.docx", "A 8256-2021")</f>
        <v/>
      </c>
      <c r="W56">
        <f>HYPERLINK("https://klasma.github.io/Logging_1880/klagomålsmail/A 8256-2021 FSC-klagomål mail.docx", "A 8256-2021")</f>
        <v/>
      </c>
      <c r="X56">
        <f>HYPERLINK("https://klasma.github.io/Logging_1880/tillsyn/A 8256-2021 tillsynsbegäran.docx", "A 8256-2021")</f>
        <v/>
      </c>
      <c r="Y56">
        <f>HYPERLINK("https://klasma.github.io/Logging_1880/tillsynsmail/A 8256-2021 tillsynsbegäran mail.docx", "A 8256-2021")</f>
        <v/>
      </c>
    </row>
    <row r="57" ht="15" customHeight="1">
      <c r="A57" t="inlineStr">
        <is>
          <t>A 8577-2021</t>
        </is>
      </c>
      <c r="B57" s="1" t="n">
        <v>44245</v>
      </c>
      <c r="C57" s="1" t="n">
        <v>45473</v>
      </c>
      <c r="D57" t="inlineStr">
        <is>
          <t>ÖREBRO LÄN</t>
        </is>
      </c>
      <c r="E57" t="inlineStr">
        <is>
          <t>ÖREBRO</t>
        </is>
      </c>
      <c r="G57" t="n">
        <v>6.5</v>
      </c>
      <c r="H57" t="n">
        <v>0</v>
      </c>
      <c r="I57" t="n">
        <v>1</v>
      </c>
      <c r="J57" t="n">
        <v>0</v>
      </c>
      <c r="K57" t="n">
        <v>0</v>
      </c>
      <c r="L57" t="n">
        <v>0</v>
      </c>
      <c r="M57" t="n">
        <v>0</v>
      </c>
      <c r="N57" t="n">
        <v>0</v>
      </c>
      <c r="O57" t="n">
        <v>0</v>
      </c>
      <c r="P57" t="n">
        <v>0</v>
      </c>
      <c r="Q57" t="n">
        <v>1</v>
      </c>
      <c r="R57" s="2" t="inlineStr">
        <is>
          <t>Spädstarr</t>
        </is>
      </c>
      <c r="S57">
        <f>HYPERLINK("https://klasma.github.io/Logging_1880/artfynd/A 8577-2021 artfynd.xlsx", "A 8577-2021")</f>
        <v/>
      </c>
      <c r="T57">
        <f>HYPERLINK("https://klasma.github.io/Logging_1880/kartor/A 8577-2021 karta.png", "A 8577-2021")</f>
        <v/>
      </c>
      <c r="V57">
        <f>HYPERLINK("https://klasma.github.io/Logging_1880/klagomål/A 8577-2021 FSC-klagomål.docx", "A 8577-2021")</f>
        <v/>
      </c>
      <c r="W57">
        <f>HYPERLINK("https://klasma.github.io/Logging_1880/klagomålsmail/A 8577-2021 FSC-klagomål mail.docx", "A 8577-2021")</f>
        <v/>
      </c>
      <c r="X57">
        <f>HYPERLINK("https://klasma.github.io/Logging_1880/tillsyn/A 8577-2021 tillsynsbegäran.docx", "A 8577-2021")</f>
        <v/>
      </c>
      <c r="Y57">
        <f>HYPERLINK("https://klasma.github.io/Logging_1880/tillsynsmail/A 8577-2021 tillsynsbegäran mail.docx", "A 8577-2021")</f>
        <v/>
      </c>
    </row>
    <row r="58" ht="15" customHeight="1">
      <c r="A58" t="inlineStr">
        <is>
          <t>A 15621-2021</t>
        </is>
      </c>
      <c r="B58" s="1" t="n">
        <v>44285</v>
      </c>
      <c r="C58" s="1" t="n">
        <v>45473</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32595-2021</t>
        </is>
      </c>
      <c r="B59" s="1" t="n">
        <v>44375</v>
      </c>
      <c r="C59" s="1" t="n">
        <v>45473</v>
      </c>
      <c r="D59" t="inlineStr">
        <is>
          <t>ÖREBRO LÄN</t>
        </is>
      </c>
      <c r="E59" t="inlineStr">
        <is>
          <t>ÖREBRO</t>
        </is>
      </c>
      <c r="F59" t="inlineStr">
        <is>
          <t>Kommuner</t>
        </is>
      </c>
      <c r="G59" t="n">
        <v>2.7</v>
      </c>
      <c r="H59" t="n">
        <v>1</v>
      </c>
      <c r="I59" t="n">
        <v>1</v>
      </c>
      <c r="J59" t="n">
        <v>0</v>
      </c>
      <c r="K59" t="n">
        <v>0</v>
      </c>
      <c r="L59" t="n">
        <v>0</v>
      </c>
      <c r="M59" t="n">
        <v>0</v>
      </c>
      <c r="N59" t="n">
        <v>0</v>
      </c>
      <c r="O59" t="n">
        <v>0</v>
      </c>
      <c r="P59" t="n">
        <v>0</v>
      </c>
      <c r="Q59" t="n">
        <v>1</v>
      </c>
      <c r="R59" s="2" t="inlineStr">
        <is>
          <t>Purpurknipprot</t>
        </is>
      </c>
      <c r="S59">
        <f>HYPERLINK("https://klasma.github.io/Logging_1880/artfynd/A 32595-2021 artfynd.xlsx", "A 32595-2021")</f>
        <v/>
      </c>
      <c r="T59">
        <f>HYPERLINK("https://klasma.github.io/Logging_1880/kartor/A 32595-2021 karta.png", "A 32595-2021")</f>
        <v/>
      </c>
      <c r="V59">
        <f>HYPERLINK("https://klasma.github.io/Logging_1880/klagomål/A 32595-2021 FSC-klagomål.docx", "A 32595-2021")</f>
        <v/>
      </c>
      <c r="W59">
        <f>HYPERLINK("https://klasma.github.io/Logging_1880/klagomålsmail/A 32595-2021 FSC-klagomål mail.docx", "A 32595-2021")</f>
        <v/>
      </c>
      <c r="X59">
        <f>HYPERLINK("https://klasma.github.io/Logging_1880/tillsyn/A 32595-2021 tillsynsbegäran.docx", "A 32595-2021")</f>
        <v/>
      </c>
      <c r="Y59">
        <f>HYPERLINK("https://klasma.github.io/Logging_1880/tillsynsmail/A 32595-2021 tillsynsbegäran mail.docx", "A 32595-2021")</f>
        <v/>
      </c>
    </row>
    <row r="60" ht="15" customHeight="1">
      <c r="A60" t="inlineStr">
        <is>
          <t>A 44052-2021</t>
        </is>
      </c>
      <c r="B60" s="1" t="n">
        <v>44434</v>
      </c>
      <c r="C60" s="1" t="n">
        <v>45473</v>
      </c>
      <c r="D60" t="inlineStr">
        <is>
          <t>ÖREBRO LÄN</t>
        </is>
      </c>
      <c r="E60" t="inlineStr">
        <is>
          <t>ÖREBRO</t>
        </is>
      </c>
      <c r="G60" t="n">
        <v>2.5</v>
      </c>
      <c r="H60" t="n">
        <v>1</v>
      </c>
      <c r="I60" t="n">
        <v>0</v>
      </c>
      <c r="J60" t="n">
        <v>1</v>
      </c>
      <c r="K60" t="n">
        <v>0</v>
      </c>
      <c r="L60" t="n">
        <v>0</v>
      </c>
      <c r="M60" t="n">
        <v>0</v>
      </c>
      <c r="N60" t="n">
        <v>0</v>
      </c>
      <c r="O60" t="n">
        <v>1</v>
      </c>
      <c r="P60" t="n">
        <v>0</v>
      </c>
      <c r="Q60" t="n">
        <v>1</v>
      </c>
      <c r="R60" s="2" t="inlineStr">
        <is>
          <t>Spillkråka</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44389-2021</t>
        </is>
      </c>
      <c r="B61" s="1" t="n">
        <v>44435</v>
      </c>
      <c r="C61" s="1" t="n">
        <v>45473</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57108-2021</t>
        </is>
      </c>
      <c r="B62" s="1" t="n">
        <v>44482</v>
      </c>
      <c r="C62" s="1" t="n">
        <v>45473</v>
      </c>
      <c r="D62" t="inlineStr">
        <is>
          <t>ÖREBRO LÄN</t>
        </is>
      </c>
      <c r="E62" t="inlineStr">
        <is>
          <t>ÖREBRO</t>
        </is>
      </c>
      <c r="F62" t="inlineStr">
        <is>
          <t>Sveaskog</t>
        </is>
      </c>
      <c r="G62" t="n">
        <v>0.6</v>
      </c>
      <c r="H62" t="n">
        <v>1</v>
      </c>
      <c r="I62" t="n">
        <v>0</v>
      </c>
      <c r="J62" t="n">
        <v>0</v>
      </c>
      <c r="K62" t="n">
        <v>0</v>
      </c>
      <c r="L62" t="n">
        <v>0</v>
      </c>
      <c r="M62" t="n">
        <v>0</v>
      </c>
      <c r="N62" t="n">
        <v>0</v>
      </c>
      <c r="O62" t="n">
        <v>0</v>
      </c>
      <c r="P62" t="n">
        <v>0</v>
      </c>
      <c r="Q62" t="n">
        <v>1</v>
      </c>
      <c r="R62" s="2" t="inlineStr">
        <is>
          <t>Huggorm</t>
        </is>
      </c>
      <c r="S62">
        <f>HYPERLINK("https://klasma.github.io/Logging_1880/artfynd/A 57108-2021 artfynd.xlsx", "A 57108-2021")</f>
        <v/>
      </c>
      <c r="T62">
        <f>HYPERLINK("https://klasma.github.io/Logging_1880/kartor/A 57108-2021 karta.png", "A 57108-2021")</f>
        <v/>
      </c>
      <c r="V62">
        <f>HYPERLINK("https://klasma.github.io/Logging_1880/klagomål/A 57108-2021 FSC-klagomål.docx", "A 57108-2021")</f>
        <v/>
      </c>
      <c r="W62">
        <f>HYPERLINK("https://klasma.github.io/Logging_1880/klagomålsmail/A 57108-2021 FSC-klagomål mail.docx", "A 57108-2021")</f>
        <v/>
      </c>
      <c r="X62">
        <f>HYPERLINK("https://klasma.github.io/Logging_1880/tillsyn/A 57108-2021 tillsynsbegäran.docx", "A 57108-2021")</f>
        <v/>
      </c>
      <c r="Y62">
        <f>HYPERLINK("https://klasma.github.io/Logging_1880/tillsynsmail/A 57108-2021 tillsynsbegäran mail.docx", "A 57108-2021")</f>
        <v/>
      </c>
    </row>
    <row r="63" ht="15" customHeight="1">
      <c r="A63" t="inlineStr">
        <is>
          <t>A 4943-2022</t>
        </is>
      </c>
      <c r="B63" s="1" t="n">
        <v>44593</v>
      </c>
      <c r="C63" s="1" t="n">
        <v>45473</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Skinntagging</t>
        </is>
      </c>
      <c r="S63">
        <f>HYPERLINK("https://klasma.github.io/Logging_1880/artfynd/A 4943-2022 artfynd.xlsx", "A 4943-2022")</f>
        <v/>
      </c>
      <c r="T63">
        <f>HYPERLINK("https://klasma.github.io/Logging_1880/kartor/A 4943-2022 karta.png", "A 4943-2022")</f>
        <v/>
      </c>
      <c r="V63">
        <f>HYPERLINK("https://klasma.github.io/Logging_1880/klagomål/A 4943-2022 FSC-klagomål.docx", "A 4943-2022")</f>
        <v/>
      </c>
      <c r="W63">
        <f>HYPERLINK("https://klasma.github.io/Logging_1880/klagomålsmail/A 4943-2022 FSC-klagomål mail.docx", "A 4943-2022")</f>
        <v/>
      </c>
      <c r="X63">
        <f>HYPERLINK("https://klasma.github.io/Logging_1880/tillsyn/A 4943-2022 tillsynsbegäran.docx", "A 4943-2022")</f>
        <v/>
      </c>
      <c r="Y63">
        <f>HYPERLINK("https://klasma.github.io/Logging_1880/tillsynsmail/A 4943-2022 tillsynsbegäran mail.docx", "A 4943-2022")</f>
        <v/>
      </c>
    </row>
    <row r="64" ht="15" customHeight="1">
      <c r="A64" t="inlineStr">
        <is>
          <t>A 12974-2022</t>
        </is>
      </c>
      <c r="B64" s="1" t="n">
        <v>44643</v>
      </c>
      <c r="C64" s="1" t="n">
        <v>45473</v>
      </c>
      <c r="D64" t="inlineStr">
        <is>
          <t>ÖREBRO LÄN</t>
        </is>
      </c>
      <c r="E64" t="inlineStr">
        <is>
          <t>ÖREBRO</t>
        </is>
      </c>
      <c r="G64" t="n">
        <v>3.3</v>
      </c>
      <c r="H64" t="n">
        <v>1</v>
      </c>
      <c r="I64" t="n">
        <v>0</v>
      </c>
      <c r="J64" t="n">
        <v>1</v>
      </c>
      <c r="K64" t="n">
        <v>0</v>
      </c>
      <c r="L64" t="n">
        <v>0</v>
      </c>
      <c r="M64" t="n">
        <v>0</v>
      </c>
      <c r="N64" t="n">
        <v>0</v>
      </c>
      <c r="O64" t="n">
        <v>1</v>
      </c>
      <c r="P64" t="n">
        <v>0</v>
      </c>
      <c r="Q64" t="n">
        <v>1</v>
      </c>
      <c r="R64" s="2" t="inlineStr">
        <is>
          <t>Duvhök</t>
        </is>
      </c>
      <c r="S64">
        <f>HYPERLINK("https://klasma.github.io/Logging_1880/artfynd/A 12974-2022 artfynd.xlsx", "A 12974-2022")</f>
        <v/>
      </c>
      <c r="T64">
        <f>HYPERLINK("https://klasma.github.io/Logging_1880/kartor/A 12974-2022 karta.png", "A 12974-2022")</f>
        <v/>
      </c>
      <c r="V64">
        <f>HYPERLINK("https://klasma.github.io/Logging_1880/klagomål/A 12974-2022 FSC-klagomål.docx", "A 12974-2022")</f>
        <v/>
      </c>
      <c r="W64">
        <f>HYPERLINK("https://klasma.github.io/Logging_1880/klagomålsmail/A 12974-2022 FSC-klagomål mail.docx", "A 12974-2022")</f>
        <v/>
      </c>
      <c r="X64">
        <f>HYPERLINK("https://klasma.github.io/Logging_1880/tillsyn/A 12974-2022 tillsynsbegäran.docx", "A 12974-2022")</f>
        <v/>
      </c>
      <c r="Y64">
        <f>HYPERLINK("https://klasma.github.io/Logging_1880/tillsynsmail/A 12974-2022 tillsynsbegäran mail.docx", "A 12974-2022")</f>
        <v/>
      </c>
      <c r="Z64">
        <f>HYPERLINK("https://klasma.github.io/Logging_1880/fåglar/A 12974-2022 prioriterade fågelarter.docx", "A 12974-2022")</f>
        <v/>
      </c>
    </row>
    <row r="65" ht="15" customHeight="1">
      <c r="A65" t="inlineStr">
        <is>
          <t>A 26890-2022</t>
        </is>
      </c>
      <c r="B65" s="1" t="n">
        <v>44740</v>
      </c>
      <c r="C65" s="1" t="n">
        <v>45473</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29704-2022</t>
        </is>
      </c>
      <c r="B66" s="1" t="n">
        <v>44755</v>
      </c>
      <c r="C66" s="1" t="n">
        <v>45473</v>
      </c>
      <c r="D66" t="inlineStr">
        <is>
          <t>ÖREBRO LÄN</t>
        </is>
      </c>
      <c r="E66" t="inlineStr">
        <is>
          <t>ÖREBRO</t>
        </is>
      </c>
      <c r="F66" t="inlineStr">
        <is>
          <t>Kommuner</t>
        </is>
      </c>
      <c r="G66" t="n">
        <v>1.1</v>
      </c>
      <c r="H66" t="n">
        <v>0</v>
      </c>
      <c r="I66" t="n">
        <v>0</v>
      </c>
      <c r="J66" t="n">
        <v>1</v>
      </c>
      <c r="K66" t="n">
        <v>0</v>
      </c>
      <c r="L66" t="n">
        <v>0</v>
      </c>
      <c r="M66" t="n">
        <v>0</v>
      </c>
      <c r="N66" t="n">
        <v>0</v>
      </c>
      <c r="O66" t="n">
        <v>1</v>
      </c>
      <c r="P66" t="n">
        <v>0</v>
      </c>
      <c r="Q66" t="n">
        <v>1</v>
      </c>
      <c r="R66" s="2" t="inlineStr">
        <is>
          <t>Motaggsvamp</t>
        </is>
      </c>
      <c r="S66">
        <f>HYPERLINK("https://klasma.github.io/Logging_1880/artfynd/A 29704-2022 artfynd.xlsx", "A 29704-2022")</f>
        <v/>
      </c>
      <c r="T66">
        <f>HYPERLINK("https://klasma.github.io/Logging_1880/kartor/A 29704-2022 karta.png", "A 29704-2022")</f>
        <v/>
      </c>
      <c r="V66">
        <f>HYPERLINK("https://klasma.github.io/Logging_1880/klagomål/A 29704-2022 FSC-klagomål.docx", "A 29704-2022")</f>
        <v/>
      </c>
      <c r="W66">
        <f>HYPERLINK("https://klasma.github.io/Logging_1880/klagomålsmail/A 29704-2022 FSC-klagomål mail.docx", "A 29704-2022")</f>
        <v/>
      </c>
      <c r="X66">
        <f>HYPERLINK("https://klasma.github.io/Logging_1880/tillsyn/A 29704-2022 tillsynsbegäran.docx", "A 29704-2022")</f>
        <v/>
      </c>
      <c r="Y66">
        <f>HYPERLINK("https://klasma.github.io/Logging_1880/tillsynsmail/A 29704-2022 tillsynsbegäran mail.docx", "A 29704-2022")</f>
        <v/>
      </c>
    </row>
    <row r="67" ht="15" customHeight="1">
      <c r="A67" t="inlineStr">
        <is>
          <t>A 44361-2022</t>
        </is>
      </c>
      <c r="B67" s="1" t="n">
        <v>44839</v>
      </c>
      <c r="C67" s="1" t="n">
        <v>45473</v>
      </c>
      <c r="D67" t="inlineStr">
        <is>
          <t>ÖREBRO LÄN</t>
        </is>
      </c>
      <c r="E67" t="inlineStr">
        <is>
          <t>ÖREBRO</t>
        </is>
      </c>
      <c r="G67" t="n">
        <v>1.5</v>
      </c>
      <c r="H67" t="n">
        <v>1</v>
      </c>
      <c r="I67" t="n">
        <v>0</v>
      </c>
      <c r="J67" t="n">
        <v>0</v>
      </c>
      <c r="K67" t="n">
        <v>0</v>
      </c>
      <c r="L67" t="n">
        <v>0</v>
      </c>
      <c r="M67" t="n">
        <v>0</v>
      </c>
      <c r="N67" t="n">
        <v>0</v>
      </c>
      <c r="O67" t="n">
        <v>0</v>
      </c>
      <c r="P67" t="n">
        <v>0</v>
      </c>
      <c r="Q67" t="n">
        <v>1</v>
      </c>
      <c r="R67" s="2" t="inlineStr">
        <is>
          <t>Blåsippa</t>
        </is>
      </c>
      <c r="S67">
        <f>HYPERLINK("https://klasma.github.io/Logging_1880/artfynd/A 44361-2022 artfynd.xlsx", "A 44361-2022")</f>
        <v/>
      </c>
      <c r="T67">
        <f>HYPERLINK("https://klasma.github.io/Logging_1880/kartor/A 44361-2022 karta.png", "A 44361-2022")</f>
        <v/>
      </c>
      <c r="V67">
        <f>HYPERLINK("https://klasma.github.io/Logging_1880/klagomål/A 44361-2022 FSC-klagomål.docx", "A 44361-2022")</f>
        <v/>
      </c>
      <c r="W67">
        <f>HYPERLINK("https://klasma.github.io/Logging_1880/klagomålsmail/A 44361-2022 FSC-klagomål mail.docx", "A 44361-2022")</f>
        <v/>
      </c>
      <c r="X67">
        <f>HYPERLINK("https://klasma.github.io/Logging_1880/tillsyn/A 44361-2022 tillsynsbegäran.docx", "A 44361-2022")</f>
        <v/>
      </c>
      <c r="Y67">
        <f>HYPERLINK("https://klasma.github.io/Logging_1880/tillsynsmail/A 44361-2022 tillsynsbegäran mail.docx", "A 44361-2022")</f>
        <v/>
      </c>
    </row>
    <row r="68" ht="15" customHeight="1">
      <c r="A68" t="inlineStr">
        <is>
          <t>A 5097-2023</t>
        </is>
      </c>
      <c r="B68" s="1" t="n">
        <v>44958</v>
      </c>
      <c r="C68" s="1" t="n">
        <v>45473</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19939-2023</t>
        </is>
      </c>
      <c r="B69" s="1" t="n">
        <v>45054</v>
      </c>
      <c r="C69" s="1" t="n">
        <v>45473</v>
      </c>
      <c r="D69" t="inlineStr">
        <is>
          <t>ÖREBRO LÄN</t>
        </is>
      </c>
      <c r="E69" t="inlineStr">
        <is>
          <t>ÖREBRO</t>
        </is>
      </c>
      <c r="G69" t="n">
        <v>5.4</v>
      </c>
      <c r="H69" t="n">
        <v>0</v>
      </c>
      <c r="I69" t="n">
        <v>1</v>
      </c>
      <c r="J69" t="n">
        <v>0</v>
      </c>
      <c r="K69" t="n">
        <v>0</v>
      </c>
      <c r="L69" t="n">
        <v>0</v>
      </c>
      <c r="M69" t="n">
        <v>0</v>
      </c>
      <c r="N69" t="n">
        <v>0</v>
      </c>
      <c r="O69" t="n">
        <v>0</v>
      </c>
      <c r="P69" t="n">
        <v>0</v>
      </c>
      <c r="Q69" t="n">
        <v>1</v>
      </c>
      <c r="R69" s="2" t="inlineStr">
        <is>
          <t>Kambräken</t>
        </is>
      </c>
      <c r="S69">
        <f>HYPERLINK("https://klasma.github.io/Logging_1880/artfynd/A 19939-2023 artfynd.xlsx", "A 19939-2023")</f>
        <v/>
      </c>
      <c r="T69">
        <f>HYPERLINK("https://klasma.github.io/Logging_1880/kartor/A 19939-2023 karta.png", "A 19939-2023")</f>
        <v/>
      </c>
      <c r="V69">
        <f>HYPERLINK("https://klasma.github.io/Logging_1880/klagomål/A 19939-2023 FSC-klagomål.docx", "A 19939-2023")</f>
        <v/>
      </c>
      <c r="W69">
        <f>HYPERLINK("https://klasma.github.io/Logging_1880/klagomålsmail/A 19939-2023 FSC-klagomål mail.docx", "A 19939-2023")</f>
        <v/>
      </c>
      <c r="X69">
        <f>HYPERLINK("https://klasma.github.io/Logging_1880/tillsyn/A 19939-2023 tillsynsbegäran.docx", "A 19939-2023")</f>
        <v/>
      </c>
      <c r="Y69">
        <f>HYPERLINK("https://klasma.github.io/Logging_1880/tillsynsmail/A 19939-2023 tillsynsbegäran mail.docx", "A 19939-2023")</f>
        <v/>
      </c>
    </row>
    <row r="70" ht="15" customHeight="1">
      <c r="A70" t="inlineStr">
        <is>
          <t>A 20247-2023</t>
        </is>
      </c>
      <c r="B70" s="1" t="n">
        <v>45055</v>
      </c>
      <c r="C70" s="1" t="n">
        <v>45473</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22848-2023</t>
        </is>
      </c>
      <c r="B71" s="1" t="n">
        <v>45072</v>
      </c>
      <c r="C71" s="1" t="n">
        <v>45473</v>
      </c>
      <c r="D71" t="inlineStr">
        <is>
          <t>ÖREBRO LÄN</t>
        </is>
      </c>
      <c r="E71" t="inlineStr">
        <is>
          <t>ÖREBRO</t>
        </is>
      </c>
      <c r="G71" t="n">
        <v>3.6</v>
      </c>
      <c r="H71" t="n">
        <v>0</v>
      </c>
      <c r="I71" t="n">
        <v>1</v>
      </c>
      <c r="J71" t="n">
        <v>0</v>
      </c>
      <c r="K71" t="n">
        <v>0</v>
      </c>
      <c r="L71" t="n">
        <v>0</v>
      </c>
      <c r="M71" t="n">
        <v>0</v>
      </c>
      <c r="N71" t="n">
        <v>0</v>
      </c>
      <c r="O71" t="n">
        <v>0</v>
      </c>
      <c r="P71" t="n">
        <v>0</v>
      </c>
      <c r="Q71" t="n">
        <v>1</v>
      </c>
      <c r="R71" s="2" t="inlineStr">
        <is>
          <t>Blomkålssvamp</t>
        </is>
      </c>
      <c r="S71">
        <f>HYPERLINK("https://klasma.github.io/Logging_1880/artfynd/A 22848-2023 artfynd.xlsx", "A 22848-2023")</f>
        <v/>
      </c>
      <c r="T71">
        <f>HYPERLINK("https://klasma.github.io/Logging_1880/kartor/A 22848-2023 karta.png", "A 22848-2023")</f>
        <v/>
      </c>
      <c r="V71">
        <f>HYPERLINK("https://klasma.github.io/Logging_1880/klagomål/A 22848-2023 FSC-klagomål.docx", "A 22848-2023")</f>
        <v/>
      </c>
      <c r="W71">
        <f>HYPERLINK("https://klasma.github.io/Logging_1880/klagomålsmail/A 22848-2023 FSC-klagomål mail.docx", "A 22848-2023")</f>
        <v/>
      </c>
      <c r="X71">
        <f>HYPERLINK("https://klasma.github.io/Logging_1880/tillsyn/A 22848-2023 tillsynsbegäran.docx", "A 22848-2023")</f>
        <v/>
      </c>
      <c r="Y71">
        <f>HYPERLINK("https://klasma.github.io/Logging_1880/tillsynsmail/A 22848-2023 tillsynsbegäran mail.docx", "A 22848-2023")</f>
        <v/>
      </c>
    </row>
    <row r="72" ht="15" customHeight="1">
      <c r="A72" t="inlineStr">
        <is>
          <t>A 23608-2023</t>
        </is>
      </c>
      <c r="B72" s="1" t="n">
        <v>45077</v>
      </c>
      <c r="C72" s="1" t="n">
        <v>45473</v>
      </c>
      <c r="D72" t="inlineStr">
        <is>
          <t>ÖREBRO LÄN</t>
        </is>
      </c>
      <c r="E72" t="inlineStr">
        <is>
          <t>ÖREBRO</t>
        </is>
      </c>
      <c r="G72" t="n">
        <v>5.8</v>
      </c>
      <c r="H72" t="n">
        <v>1</v>
      </c>
      <c r="I72" t="n">
        <v>0</v>
      </c>
      <c r="J72" t="n">
        <v>1</v>
      </c>
      <c r="K72" t="n">
        <v>0</v>
      </c>
      <c r="L72" t="n">
        <v>0</v>
      </c>
      <c r="M72" t="n">
        <v>0</v>
      </c>
      <c r="N72" t="n">
        <v>0</v>
      </c>
      <c r="O72" t="n">
        <v>1</v>
      </c>
      <c r="P72" t="n">
        <v>0</v>
      </c>
      <c r="Q72" t="n">
        <v>1</v>
      </c>
      <c r="R72" s="2" t="inlineStr">
        <is>
          <t>Havsörn</t>
        </is>
      </c>
      <c r="S72">
        <f>HYPERLINK("https://klasma.github.io/Logging_1880/artfynd/A 23608-2023 artfynd.xlsx", "A 23608-2023")</f>
        <v/>
      </c>
      <c r="T72">
        <f>HYPERLINK("https://klasma.github.io/Logging_1880/kartor/A 23608-2023 karta.png", "A 23608-2023")</f>
        <v/>
      </c>
      <c r="V72">
        <f>HYPERLINK("https://klasma.github.io/Logging_1880/klagomål/A 23608-2023 FSC-klagomål.docx", "A 23608-2023")</f>
        <v/>
      </c>
      <c r="W72">
        <f>HYPERLINK("https://klasma.github.io/Logging_1880/klagomålsmail/A 23608-2023 FSC-klagomål mail.docx", "A 23608-2023")</f>
        <v/>
      </c>
      <c r="X72">
        <f>HYPERLINK("https://klasma.github.io/Logging_1880/tillsyn/A 23608-2023 tillsynsbegäran.docx", "A 23608-2023")</f>
        <v/>
      </c>
      <c r="Y72">
        <f>HYPERLINK("https://klasma.github.io/Logging_1880/tillsynsmail/A 23608-2023 tillsynsbegäran mail.docx", "A 23608-2023")</f>
        <v/>
      </c>
      <c r="Z72">
        <f>HYPERLINK("https://klasma.github.io/Logging_1880/fåglar/A 23608-2023 prioriterade fågelarter.docx", "A 23608-2023")</f>
        <v/>
      </c>
    </row>
    <row r="73" ht="15" customHeight="1">
      <c r="A73" t="inlineStr">
        <is>
          <t>A 32105-2023</t>
        </is>
      </c>
      <c r="B73" s="1" t="n">
        <v>45119</v>
      </c>
      <c r="C73" s="1" t="n">
        <v>45473</v>
      </c>
      <c r="D73" t="inlineStr">
        <is>
          <t>ÖREBRO LÄN</t>
        </is>
      </c>
      <c r="E73" t="inlineStr">
        <is>
          <t>ÖREBRO</t>
        </is>
      </c>
      <c r="G73" t="n">
        <v>1.3</v>
      </c>
      <c r="H73" t="n">
        <v>1</v>
      </c>
      <c r="I73" t="n">
        <v>0</v>
      </c>
      <c r="J73" t="n">
        <v>1</v>
      </c>
      <c r="K73" t="n">
        <v>0</v>
      </c>
      <c r="L73" t="n">
        <v>0</v>
      </c>
      <c r="M73" t="n">
        <v>0</v>
      </c>
      <c r="N73" t="n">
        <v>0</v>
      </c>
      <c r="O73" t="n">
        <v>1</v>
      </c>
      <c r="P73" t="n">
        <v>0</v>
      </c>
      <c r="Q73" t="n">
        <v>1</v>
      </c>
      <c r="R73" s="2" t="inlineStr">
        <is>
          <t>Rödvingetrast</t>
        </is>
      </c>
      <c r="S73">
        <f>HYPERLINK("https://klasma.github.io/Logging_1880/artfynd/A 32105-2023 artfynd.xlsx", "A 32105-2023")</f>
        <v/>
      </c>
      <c r="T73">
        <f>HYPERLINK("https://klasma.github.io/Logging_1880/kartor/A 32105-2023 karta.png", "A 32105-2023")</f>
        <v/>
      </c>
      <c r="V73">
        <f>HYPERLINK("https://klasma.github.io/Logging_1880/klagomål/A 32105-2023 FSC-klagomål.docx", "A 32105-2023")</f>
        <v/>
      </c>
      <c r="W73">
        <f>HYPERLINK("https://klasma.github.io/Logging_1880/klagomålsmail/A 32105-2023 FSC-klagomål mail.docx", "A 32105-2023")</f>
        <v/>
      </c>
      <c r="X73">
        <f>HYPERLINK("https://klasma.github.io/Logging_1880/tillsyn/A 32105-2023 tillsynsbegäran.docx", "A 32105-2023")</f>
        <v/>
      </c>
      <c r="Y73">
        <f>HYPERLINK("https://klasma.github.io/Logging_1880/tillsynsmail/A 32105-2023 tillsynsbegäran mail.docx", "A 32105-2023")</f>
        <v/>
      </c>
      <c r="Z73">
        <f>HYPERLINK("https://klasma.github.io/Logging_1880/fåglar/A 32105-2023 prioriterade fågelarter.docx", "A 32105-2023")</f>
        <v/>
      </c>
    </row>
    <row r="74" ht="15" customHeight="1">
      <c r="A74" t="inlineStr">
        <is>
          <t>A 3866-2024</t>
        </is>
      </c>
      <c r="B74" s="1" t="n">
        <v>45322</v>
      </c>
      <c r="C74" s="1" t="n">
        <v>45473</v>
      </c>
      <c r="D74" t="inlineStr">
        <is>
          <t>ÖREBRO LÄN</t>
        </is>
      </c>
      <c r="E74" t="inlineStr">
        <is>
          <t>ÖREBRO</t>
        </is>
      </c>
      <c r="F74" t="inlineStr">
        <is>
          <t>Övriga Aktiebolag</t>
        </is>
      </c>
      <c r="G74" t="n">
        <v>4.7</v>
      </c>
      <c r="H74" t="n">
        <v>1</v>
      </c>
      <c r="I74" t="n">
        <v>0</v>
      </c>
      <c r="J74" t="n">
        <v>0</v>
      </c>
      <c r="K74" t="n">
        <v>0</v>
      </c>
      <c r="L74" t="n">
        <v>1</v>
      </c>
      <c r="M74" t="n">
        <v>0</v>
      </c>
      <c r="N74" t="n">
        <v>0</v>
      </c>
      <c r="O74" t="n">
        <v>1</v>
      </c>
      <c r="P74" t="n">
        <v>1</v>
      </c>
      <c r="Q74" t="n">
        <v>1</v>
      </c>
      <c r="R74" s="2" t="inlineStr">
        <is>
          <t>Bredgentiana</t>
        </is>
      </c>
      <c r="S74">
        <f>HYPERLINK("https://klasma.github.io/Logging_1880/artfynd/A 3866-2024 artfynd.xlsx", "A 3866-2024")</f>
        <v/>
      </c>
      <c r="T74">
        <f>HYPERLINK("https://klasma.github.io/Logging_1880/kartor/A 3866-2024 karta.png", "A 3866-2024")</f>
        <v/>
      </c>
      <c r="V74">
        <f>HYPERLINK("https://klasma.github.io/Logging_1880/klagomål/A 3866-2024 FSC-klagomål.docx", "A 3866-2024")</f>
        <v/>
      </c>
      <c r="W74">
        <f>HYPERLINK("https://klasma.github.io/Logging_1880/klagomålsmail/A 3866-2024 FSC-klagomål mail.docx", "A 3866-2024")</f>
        <v/>
      </c>
      <c r="X74">
        <f>HYPERLINK("https://klasma.github.io/Logging_1880/tillsyn/A 3866-2024 tillsynsbegäran.docx", "A 3866-2024")</f>
        <v/>
      </c>
      <c r="Y74">
        <f>HYPERLINK("https://klasma.github.io/Logging_1880/tillsynsmail/A 3866-2024 tillsynsbegäran mail.docx", "A 3866-2024")</f>
        <v/>
      </c>
    </row>
    <row r="75" ht="15" customHeight="1">
      <c r="A75" t="inlineStr">
        <is>
          <t>A 5123-2024</t>
        </is>
      </c>
      <c r="B75" s="1" t="n">
        <v>45330</v>
      </c>
      <c r="C75" s="1" t="n">
        <v>45473</v>
      </c>
      <c r="D75" t="inlineStr">
        <is>
          <t>ÖREBRO LÄN</t>
        </is>
      </c>
      <c r="E75" t="inlineStr">
        <is>
          <t>ÖREBRO</t>
        </is>
      </c>
      <c r="G75" t="n">
        <v>1</v>
      </c>
      <c r="H75" t="n">
        <v>0</v>
      </c>
      <c r="I75" t="n">
        <v>1</v>
      </c>
      <c r="J75" t="n">
        <v>0</v>
      </c>
      <c r="K75" t="n">
        <v>0</v>
      </c>
      <c r="L75" t="n">
        <v>0</v>
      </c>
      <c r="M75" t="n">
        <v>0</v>
      </c>
      <c r="N75" t="n">
        <v>0</v>
      </c>
      <c r="O75" t="n">
        <v>0</v>
      </c>
      <c r="P75" t="n">
        <v>0</v>
      </c>
      <c r="Q75" t="n">
        <v>1</v>
      </c>
      <c r="R75" s="2" t="inlineStr">
        <is>
          <t>Svart trolldruva</t>
        </is>
      </c>
      <c r="S75">
        <f>HYPERLINK("https://klasma.github.io/Logging_1880/artfynd/A 5123-2024 artfynd.xlsx", "A 5123-2024")</f>
        <v/>
      </c>
      <c r="T75">
        <f>HYPERLINK("https://klasma.github.io/Logging_1880/kartor/A 5123-2024 karta.png", "A 5123-2024")</f>
        <v/>
      </c>
      <c r="V75">
        <f>HYPERLINK("https://klasma.github.io/Logging_1880/klagomål/A 5123-2024 FSC-klagomål.docx", "A 5123-2024")</f>
        <v/>
      </c>
      <c r="W75">
        <f>HYPERLINK("https://klasma.github.io/Logging_1880/klagomålsmail/A 5123-2024 FSC-klagomål mail.docx", "A 5123-2024")</f>
        <v/>
      </c>
      <c r="X75">
        <f>HYPERLINK("https://klasma.github.io/Logging_1880/tillsyn/A 5123-2024 tillsynsbegäran.docx", "A 5123-2024")</f>
        <v/>
      </c>
      <c r="Y75">
        <f>HYPERLINK("https://klasma.github.io/Logging_1880/tillsynsmail/A 5123-2024 tillsynsbegäran mail.docx", "A 5123-2024")</f>
        <v/>
      </c>
    </row>
    <row r="76" ht="15" customHeight="1">
      <c r="A76" t="inlineStr">
        <is>
          <t>A 8795-2024</t>
        </is>
      </c>
      <c r="B76" s="1" t="n">
        <v>45356</v>
      </c>
      <c r="C76" s="1" t="n">
        <v>45473</v>
      </c>
      <c r="D76" t="inlineStr">
        <is>
          <t>ÖREBRO LÄN</t>
        </is>
      </c>
      <c r="E76" t="inlineStr">
        <is>
          <t>ÖREBRO</t>
        </is>
      </c>
      <c r="G76" t="n">
        <v>3.1</v>
      </c>
      <c r="H76" t="n">
        <v>0</v>
      </c>
      <c r="I76" t="n">
        <v>0</v>
      </c>
      <c r="J76" t="n">
        <v>0</v>
      </c>
      <c r="K76" t="n">
        <v>1</v>
      </c>
      <c r="L76" t="n">
        <v>0</v>
      </c>
      <c r="M76" t="n">
        <v>0</v>
      </c>
      <c r="N76" t="n">
        <v>0</v>
      </c>
      <c r="O76" t="n">
        <v>1</v>
      </c>
      <c r="P76" t="n">
        <v>1</v>
      </c>
      <c r="Q76" t="n">
        <v>1</v>
      </c>
      <c r="R76" s="2" t="inlineStr">
        <is>
          <t>Violgubbe</t>
        </is>
      </c>
      <c r="S76">
        <f>HYPERLINK("https://klasma.github.io/Logging_1880/artfynd/A 8795-2024 artfynd.xlsx", "A 8795-2024")</f>
        <v/>
      </c>
      <c r="T76">
        <f>HYPERLINK("https://klasma.github.io/Logging_1880/kartor/A 8795-2024 karta.png", "A 8795-2024")</f>
        <v/>
      </c>
      <c r="V76">
        <f>HYPERLINK("https://klasma.github.io/Logging_1880/klagomål/A 8795-2024 FSC-klagomål.docx", "A 8795-2024")</f>
        <v/>
      </c>
      <c r="W76">
        <f>HYPERLINK("https://klasma.github.io/Logging_1880/klagomålsmail/A 8795-2024 FSC-klagomål mail.docx", "A 8795-2024")</f>
        <v/>
      </c>
      <c r="X76">
        <f>HYPERLINK("https://klasma.github.io/Logging_1880/tillsyn/A 8795-2024 tillsynsbegäran.docx", "A 8795-2024")</f>
        <v/>
      </c>
      <c r="Y76">
        <f>HYPERLINK("https://klasma.github.io/Logging_1880/tillsynsmail/A 8795-2024 tillsynsbegäran mail.docx", "A 8795-2024")</f>
        <v/>
      </c>
    </row>
    <row r="77" ht="15" customHeight="1">
      <c r="A77" t="inlineStr">
        <is>
          <t>A 13484-2024</t>
        </is>
      </c>
      <c r="B77" s="1" t="n">
        <v>45387</v>
      </c>
      <c r="C77" s="1" t="n">
        <v>45473</v>
      </c>
      <c r="D77" t="inlineStr">
        <is>
          <t>ÖREBRO LÄN</t>
        </is>
      </c>
      <c r="E77" t="inlineStr">
        <is>
          <t>ÖREBRO</t>
        </is>
      </c>
      <c r="G77" t="n">
        <v>9.1</v>
      </c>
      <c r="H77" t="n">
        <v>1</v>
      </c>
      <c r="I77" t="n">
        <v>0</v>
      </c>
      <c r="J77" t="n">
        <v>1</v>
      </c>
      <c r="K77" t="n">
        <v>0</v>
      </c>
      <c r="L77" t="n">
        <v>0</v>
      </c>
      <c r="M77" t="n">
        <v>0</v>
      </c>
      <c r="N77" t="n">
        <v>0</v>
      </c>
      <c r="O77" t="n">
        <v>1</v>
      </c>
      <c r="P77" t="n">
        <v>0</v>
      </c>
      <c r="Q77" t="n">
        <v>1</v>
      </c>
      <c r="R77" s="2" t="inlineStr">
        <is>
          <t>Spillkråka</t>
        </is>
      </c>
      <c r="S77">
        <f>HYPERLINK("https://klasma.github.io/Logging_1880/artfynd/A 13484-2024 artfynd.xlsx", "A 13484-2024")</f>
        <v/>
      </c>
      <c r="T77">
        <f>HYPERLINK("https://klasma.github.io/Logging_1880/kartor/A 13484-2024 karta.png", "A 13484-2024")</f>
        <v/>
      </c>
      <c r="V77">
        <f>HYPERLINK("https://klasma.github.io/Logging_1880/klagomål/A 13484-2024 FSC-klagomål.docx", "A 13484-2024")</f>
        <v/>
      </c>
      <c r="W77">
        <f>HYPERLINK("https://klasma.github.io/Logging_1880/klagomålsmail/A 13484-2024 FSC-klagomål mail.docx", "A 13484-2024")</f>
        <v/>
      </c>
      <c r="X77">
        <f>HYPERLINK("https://klasma.github.io/Logging_1880/tillsyn/A 13484-2024 tillsynsbegäran.docx", "A 13484-2024")</f>
        <v/>
      </c>
      <c r="Y77">
        <f>HYPERLINK("https://klasma.github.io/Logging_1880/tillsynsmail/A 13484-2024 tillsynsbegäran mail.docx", "A 13484-2024")</f>
        <v/>
      </c>
      <c r="Z77">
        <f>HYPERLINK("https://klasma.github.io/Logging_1880/fåglar/A 13484-2024 prioriterade fågelarter.docx", "A 13484-2024")</f>
        <v/>
      </c>
    </row>
    <row r="78" ht="15" customHeight="1">
      <c r="A78" t="inlineStr">
        <is>
          <t>A 22604-2024</t>
        </is>
      </c>
      <c r="B78" s="1" t="n">
        <v>45447</v>
      </c>
      <c r="C78" s="1" t="n">
        <v>45473</v>
      </c>
      <c r="D78" t="inlineStr">
        <is>
          <t>ÖREBRO LÄN</t>
        </is>
      </c>
      <c r="E78" t="inlineStr">
        <is>
          <t>ÖREBRO</t>
        </is>
      </c>
      <c r="G78" t="n">
        <v>4.4</v>
      </c>
      <c r="H78" t="n">
        <v>0</v>
      </c>
      <c r="I78" t="n">
        <v>0</v>
      </c>
      <c r="J78" t="n">
        <v>1</v>
      </c>
      <c r="K78" t="n">
        <v>0</v>
      </c>
      <c r="L78" t="n">
        <v>0</v>
      </c>
      <c r="M78" t="n">
        <v>0</v>
      </c>
      <c r="N78" t="n">
        <v>0</v>
      </c>
      <c r="O78" t="n">
        <v>1</v>
      </c>
      <c r="P78" t="n">
        <v>0</v>
      </c>
      <c r="Q78" t="n">
        <v>1</v>
      </c>
      <c r="R78" s="2" t="inlineStr">
        <is>
          <t>Månlåsbräken</t>
        </is>
      </c>
      <c r="S78">
        <f>HYPERLINK("https://klasma.github.io/Logging_1880/artfynd/A 22604-2024 artfynd.xlsx", "A 22604-2024")</f>
        <v/>
      </c>
      <c r="T78">
        <f>HYPERLINK("https://klasma.github.io/Logging_1880/kartor/A 22604-2024 karta.png", "A 22604-2024")</f>
        <v/>
      </c>
      <c r="V78">
        <f>HYPERLINK("https://klasma.github.io/Logging_1880/klagomål/A 22604-2024 FSC-klagomål.docx", "A 22604-2024")</f>
        <v/>
      </c>
      <c r="W78">
        <f>HYPERLINK("https://klasma.github.io/Logging_1880/klagomålsmail/A 22604-2024 FSC-klagomål mail.docx", "A 22604-2024")</f>
        <v/>
      </c>
      <c r="X78">
        <f>HYPERLINK("https://klasma.github.io/Logging_1880/tillsyn/A 22604-2024 tillsynsbegäran.docx", "A 22604-2024")</f>
        <v/>
      </c>
      <c r="Y78">
        <f>HYPERLINK("https://klasma.github.io/Logging_1880/tillsynsmail/A 22604-2024 tillsynsbegäran mail.docx", "A 22604-2024")</f>
        <v/>
      </c>
    </row>
    <row r="79" ht="15" customHeight="1">
      <c r="A79" t="inlineStr">
        <is>
          <t>A 18034-2019</t>
        </is>
      </c>
      <c r="B79" s="1" t="n">
        <v>43557</v>
      </c>
      <c r="C79" s="1" t="n">
        <v>45473</v>
      </c>
      <c r="D79" t="inlineStr">
        <is>
          <t>ÖREBRO LÄN</t>
        </is>
      </c>
      <c r="E79" t="inlineStr">
        <is>
          <t>ÖREBRO</t>
        </is>
      </c>
      <c r="G79" t="n">
        <v>1</v>
      </c>
      <c r="H79" t="n">
        <v>0</v>
      </c>
      <c r="I79" t="n">
        <v>0</v>
      </c>
      <c r="J79" t="n">
        <v>0</v>
      </c>
      <c r="K79" t="n">
        <v>0</v>
      </c>
      <c r="L79" t="n">
        <v>0</v>
      </c>
      <c r="M79" t="n">
        <v>0</v>
      </c>
      <c r="N79" t="n">
        <v>0</v>
      </c>
      <c r="O79" t="n">
        <v>0</v>
      </c>
      <c r="P79" t="n">
        <v>0</v>
      </c>
      <c r="Q79" t="n">
        <v>0</v>
      </c>
      <c r="R79" s="2" t="inlineStr"/>
    </row>
    <row r="80" ht="15" customHeight="1">
      <c r="A80" t="inlineStr">
        <is>
          <t>A 19042-2019</t>
        </is>
      </c>
      <c r="B80" s="1" t="n">
        <v>43563</v>
      </c>
      <c r="C80" s="1" t="n">
        <v>45473</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19047-2019</t>
        </is>
      </c>
      <c r="B81" s="1" t="n">
        <v>43563</v>
      </c>
      <c r="C81" s="1" t="n">
        <v>45473</v>
      </c>
      <c r="D81" t="inlineStr">
        <is>
          <t>ÖREBRO LÄN</t>
        </is>
      </c>
      <c r="E81" t="inlineStr">
        <is>
          <t>ÖREBRO</t>
        </is>
      </c>
      <c r="G81" t="n">
        <v>1.3</v>
      </c>
      <c r="H81" t="n">
        <v>0</v>
      </c>
      <c r="I81" t="n">
        <v>0</v>
      </c>
      <c r="J81" t="n">
        <v>0</v>
      </c>
      <c r="K81" t="n">
        <v>0</v>
      </c>
      <c r="L81" t="n">
        <v>0</v>
      </c>
      <c r="M81" t="n">
        <v>0</v>
      </c>
      <c r="N81" t="n">
        <v>0</v>
      </c>
      <c r="O81" t="n">
        <v>0</v>
      </c>
      <c r="P81" t="n">
        <v>0</v>
      </c>
      <c r="Q81" t="n">
        <v>0</v>
      </c>
      <c r="R81" s="2" t="inlineStr"/>
    </row>
    <row r="82" ht="15" customHeight="1">
      <c r="A82" t="inlineStr">
        <is>
          <t>A 19049-2019</t>
        </is>
      </c>
      <c r="B82" s="1" t="n">
        <v>43563</v>
      </c>
      <c r="C82" s="1" t="n">
        <v>45473</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19044-2019</t>
        </is>
      </c>
      <c r="B83" s="1" t="n">
        <v>43563</v>
      </c>
      <c r="C83" s="1" t="n">
        <v>45473</v>
      </c>
      <c r="D83" t="inlineStr">
        <is>
          <t>ÖREBRO LÄN</t>
        </is>
      </c>
      <c r="E83" t="inlineStr">
        <is>
          <t>ÖREBRO</t>
        </is>
      </c>
      <c r="G83" t="n">
        <v>0.8</v>
      </c>
      <c r="H83" t="n">
        <v>0</v>
      </c>
      <c r="I83" t="n">
        <v>0</v>
      </c>
      <c r="J83" t="n">
        <v>0</v>
      </c>
      <c r="K83" t="n">
        <v>0</v>
      </c>
      <c r="L83" t="n">
        <v>0</v>
      </c>
      <c r="M83" t="n">
        <v>0</v>
      </c>
      <c r="N83" t="n">
        <v>0</v>
      </c>
      <c r="O83" t="n">
        <v>0</v>
      </c>
      <c r="P83" t="n">
        <v>0</v>
      </c>
      <c r="Q83" t="n">
        <v>0</v>
      </c>
      <c r="R83" s="2" t="inlineStr"/>
    </row>
    <row r="84" ht="15" customHeight="1">
      <c r="A84" t="inlineStr">
        <is>
          <t>A 19048-2019</t>
        </is>
      </c>
      <c r="B84" s="1" t="n">
        <v>43563</v>
      </c>
      <c r="C84" s="1" t="n">
        <v>45473</v>
      </c>
      <c r="D84" t="inlineStr">
        <is>
          <t>ÖREBRO LÄN</t>
        </is>
      </c>
      <c r="E84" t="inlineStr">
        <is>
          <t>ÖREBRO</t>
        </is>
      </c>
      <c r="G84" t="n">
        <v>1.8</v>
      </c>
      <c r="H84" t="n">
        <v>0</v>
      </c>
      <c r="I84" t="n">
        <v>0</v>
      </c>
      <c r="J84" t="n">
        <v>0</v>
      </c>
      <c r="K84" t="n">
        <v>0</v>
      </c>
      <c r="L84" t="n">
        <v>0</v>
      </c>
      <c r="M84" t="n">
        <v>0</v>
      </c>
      <c r="N84" t="n">
        <v>0</v>
      </c>
      <c r="O84" t="n">
        <v>0</v>
      </c>
      <c r="P84" t="n">
        <v>0</v>
      </c>
      <c r="Q84" t="n">
        <v>0</v>
      </c>
      <c r="R84" s="2" t="inlineStr"/>
    </row>
    <row r="85" ht="15" customHeight="1">
      <c r="A85" t="inlineStr">
        <is>
          <t>A 19045-2019</t>
        </is>
      </c>
      <c r="B85" s="1" t="n">
        <v>43563</v>
      </c>
      <c r="C85" s="1" t="n">
        <v>45473</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19046-2019</t>
        </is>
      </c>
      <c r="B86" s="1" t="n">
        <v>43563</v>
      </c>
      <c r="C86" s="1" t="n">
        <v>45473</v>
      </c>
      <c r="D86" t="inlineStr">
        <is>
          <t>ÖREBRO LÄN</t>
        </is>
      </c>
      <c r="E86" t="inlineStr">
        <is>
          <t>ÖREBRO</t>
        </is>
      </c>
      <c r="G86" t="n">
        <v>1.5</v>
      </c>
      <c r="H86" t="n">
        <v>0</v>
      </c>
      <c r="I86" t="n">
        <v>0</v>
      </c>
      <c r="J86" t="n">
        <v>0</v>
      </c>
      <c r="K86" t="n">
        <v>0</v>
      </c>
      <c r="L86" t="n">
        <v>0</v>
      </c>
      <c r="M86" t="n">
        <v>0</v>
      </c>
      <c r="N86" t="n">
        <v>0</v>
      </c>
      <c r="O86" t="n">
        <v>0</v>
      </c>
      <c r="P86" t="n">
        <v>0</v>
      </c>
      <c r="Q86" t="n">
        <v>0</v>
      </c>
      <c r="R86" s="2" t="inlineStr"/>
    </row>
    <row r="87" ht="15" customHeight="1">
      <c r="A87" t="inlineStr">
        <is>
          <t>A 20232-2019</t>
        </is>
      </c>
      <c r="B87" s="1" t="n">
        <v>43571</v>
      </c>
      <c r="C87" s="1" t="n">
        <v>45473</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20609-2019</t>
        </is>
      </c>
      <c r="B88" s="1" t="n">
        <v>43572</v>
      </c>
      <c r="C88" s="1" t="n">
        <v>45473</v>
      </c>
      <c r="D88" t="inlineStr">
        <is>
          <t>ÖREBRO LÄN</t>
        </is>
      </c>
      <c r="E88" t="inlineStr">
        <is>
          <t>ÖREBRO</t>
        </is>
      </c>
      <c r="G88" t="n">
        <v>1.7</v>
      </c>
      <c r="H88" t="n">
        <v>0</v>
      </c>
      <c r="I88" t="n">
        <v>0</v>
      </c>
      <c r="J88" t="n">
        <v>0</v>
      </c>
      <c r="K88" t="n">
        <v>0</v>
      </c>
      <c r="L88" t="n">
        <v>0</v>
      </c>
      <c r="M88" t="n">
        <v>0</v>
      </c>
      <c r="N88" t="n">
        <v>0</v>
      </c>
      <c r="O88" t="n">
        <v>0</v>
      </c>
      <c r="P88" t="n">
        <v>0</v>
      </c>
      <c r="Q88" t="n">
        <v>0</v>
      </c>
      <c r="R88" s="2" t="inlineStr"/>
    </row>
    <row r="89" ht="15" customHeight="1">
      <c r="A89" t="inlineStr">
        <is>
          <t>A 21722-2019</t>
        </is>
      </c>
      <c r="B89" s="1" t="n">
        <v>43581</v>
      </c>
      <c r="C89" s="1" t="n">
        <v>45473</v>
      </c>
      <c r="D89" t="inlineStr">
        <is>
          <t>ÖREBRO LÄN</t>
        </is>
      </c>
      <c r="E89" t="inlineStr">
        <is>
          <t>ÖREBRO</t>
        </is>
      </c>
      <c r="G89" t="n">
        <v>11.3</v>
      </c>
      <c r="H89" t="n">
        <v>0</v>
      </c>
      <c r="I89" t="n">
        <v>0</v>
      </c>
      <c r="J89" t="n">
        <v>0</v>
      </c>
      <c r="K89" t="n">
        <v>0</v>
      </c>
      <c r="L89" t="n">
        <v>0</v>
      </c>
      <c r="M89" t="n">
        <v>0</v>
      </c>
      <c r="N89" t="n">
        <v>0</v>
      </c>
      <c r="O89" t="n">
        <v>0</v>
      </c>
      <c r="P89" t="n">
        <v>0</v>
      </c>
      <c r="Q89" t="n">
        <v>0</v>
      </c>
      <c r="R89" s="2" t="inlineStr"/>
    </row>
    <row r="90" ht="15" customHeight="1">
      <c r="A90" t="inlineStr">
        <is>
          <t>A 21830-2019</t>
        </is>
      </c>
      <c r="B90" s="1" t="n">
        <v>43584</v>
      </c>
      <c r="C90" s="1" t="n">
        <v>45473</v>
      </c>
      <c r="D90" t="inlineStr">
        <is>
          <t>ÖREBRO LÄN</t>
        </is>
      </c>
      <c r="E90" t="inlineStr">
        <is>
          <t>ÖREBRO</t>
        </is>
      </c>
      <c r="G90" t="n">
        <v>1.6</v>
      </c>
      <c r="H90" t="n">
        <v>0</v>
      </c>
      <c r="I90" t="n">
        <v>0</v>
      </c>
      <c r="J90" t="n">
        <v>0</v>
      </c>
      <c r="K90" t="n">
        <v>0</v>
      </c>
      <c r="L90" t="n">
        <v>0</v>
      </c>
      <c r="M90" t="n">
        <v>0</v>
      </c>
      <c r="N90" t="n">
        <v>0</v>
      </c>
      <c r="O90" t="n">
        <v>0</v>
      </c>
      <c r="P90" t="n">
        <v>0</v>
      </c>
      <c r="Q90" t="n">
        <v>0</v>
      </c>
      <c r="R90" s="2" t="inlineStr"/>
    </row>
    <row r="91" ht="15" customHeight="1">
      <c r="A91" t="inlineStr">
        <is>
          <t>A 21835-2019</t>
        </is>
      </c>
      <c r="B91" s="1" t="n">
        <v>43584</v>
      </c>
      <c r="C91" s="1" t="n">
        <v>45473</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22243-2019</t>
        </is>
      </c>
      <c r="B92" s="1" t="n">
        <v>43585</v>
      </c>
      <c r="C92" s="1" t="n">
        <v>45473</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23667-2019</t>
        </is>
      </c>
      <c r="B93" s="1" t="n">
        <v>43594</v>
      </c>
      <c r="C93" s="1" t="n">
        <v>45473</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24092-2019</t>
        </is>
      </c>
      <c r="B94" s="1" t="n">
        <v>43598</v>
      </c>
      <c r="C94" s="1" t="n">
        <v>45473</v>
      </c>
      <c r="D94" t="inlineStr">
        <is>
          <t>ÖREBRO LÄN</t>
        </is>
      </c>
      <c r="E94" t="inlineStr">
        <is>
          <t>ÖREBRO</t>
        </is>
      </c>
      <c r="G94" t="n">
        <v>3.9</v>
      </c>
      <c r="H94" t="n">
        <v>0</v>
      </c>
      <c r="I94" t="n">
        <v>0</v>
      </c>
      <c r="J94" t="n">
        <v>0</v>
      </c>
      <c r="K94" t="n">
        <v>0</v>
      </c>
      <c r="L94" t="n">
        <v>0</v>
      </c>
      <c r="M94" t="n">
        <v>0</v>
      </c>
      <c r="N94" t="n">
        <v>0</v>
      </c>
      <c r="O94" t="n">
        <v>0</v>
      </c>
      <c r="P94" t="n">
        <v>0</v>
      </c>
      <c r="Q94" t="n">
        <v>0</v>
      </c>
      <c r="R94" s="2" t="inlineStr"/>
    </row>
    <row r="95" ht="15" customHeight="1">
      <c r="A95" t="inlineStr">
        <is>
          <t>A 25186-2019</t>
        </is>
      </c>
      <c r="B95" s="1" t="n">
        <v>43605</v>
      </c>
      <c r="C95" s="1" t="n">
        <v>45473</v>
      </c>
      <c r="D95" t="inlineStr">
        <is>
          <t>ÖREBRO LÄN</t>
        </is>
      </c>
      <c r="E95" t="inlineStr">
        <is>
          <t>ÖREBRO</t>
        </is>
      </c>
      <c r="G95" t="n">
        <v>2.3</v>
      </c>
      <c r="H95" t="n">
        <v>0</v>
      </c>
      <c r="I95" t="n">
        <v>0</v>
      </c>
      <c r="J95" t="n">
        <v>0</v>
      </c>
      <c r="K95" t="n">
        <v>0</v>
      </c>
      <c r="L95" t="n">
        <v>0</v>
      </c>
      <c r="M95" t="n">
        <v>0</v>
      </c>
      <c r="N95" t="n">
        <v>0</v>
      </c>
      <c r="O95" t="n">
        <v>0</v>
      </c>
      <c r="P95" t="n">
        <v>0</v>
      </c>
      <c r="Q95" t="n">
        <v>0</v>
      </c>
      <c r="R95" s="2" t="inlineStr"/>
      <c r="U95">
        <f>HYPERLINK("https://klasma.github.io/Logging_1880/knärot/A 25186-2019 karta knärot.png", "A 25186-2019")</f>
        <v/>
      </c>
      <c r="V95">
        <f>HYPERLINK("https://klasma.github.io/Logging_1880/klagomål/A 25186-2019 FSC-klagomål.docx", "A 25186-2019")</f>
        <v/>
      </c>
      <c r="W95">
        <f>HYPERLINK("https://klasma.github.io/Logging_1880/klagomålsmail/A 25186-2019 FSC-klagomål mail.docx", "A 25186-2019")</f>
        <v/>
      </c>
      <c r="X95">
        <f>HYPERLINK("https://klasma.github.io/Logging_1880/tillsyn/A 25186-2019 tillsynsbegäran.docx", "A 25186-2019")</f>
        <v/>
      </c>
      <c r="Y95">
        <f>HYPERLINK("https://klasma.github.io/Logging_1880/tillsynsmail/A 25186-2019 tillsynsbegäran mail.docx", "A 25186-2019")</f>
        <v/>
      </c>
    </row>
    <row r="96" ht="15" customHeight="1">
      <c r="A96" t="inlineStr">
        <is>
          <t>A 26306-2019</t>
        </is>
      </c>
      <c r="B96" s="1" t="n">
        <v>43612</v>
      </c>
      <c r="C96" s="1" t="n">
        <v>45473</v>
      </c>
      <c r="D96" t="inlineStr">
        <is>
          <t>ÖREBRO LÄN</t>
        </is>
      </c>
      <c r="E96" t="inlineStr">
        <is>
          <t>ÖREBRO</t>
        </is>
      </c>
      <c r="G96" t="n">
        <v>3</v>
      </c>
      <c r="H96" t="n">
        <v>0</v>
      </c>
      <c r="I96" t="n">
        <v>0</v>
      </c>
      <c r="J96" t="n">
        <v>0</v>
      </c>
      <c r="K96" t="n">
        <v>0</v>
      </c>
      <c r="L96" t="n">
        <v>0</v>
      </c>
      <c r="M96" t="n">
        <v>0</v>
      </c>
      <c r="N96" t="n">
        <v>0</v>
      </c>
      <c r="O96" t="n">
        <v>0</v>
      </c>
      <c r="P96" t="n">
        <v>0</v>
      </c>
      <c r="Q96" t="n">
        <v>0</v>
      </c>
      <c r="R96" s="2" t="inlineStr"/>
    </row>
    <row r="97" ht="15" customHeight="1">
      <c r="A97" t="inlineStr">
        <is>
          <t>A 28925-2019</t>
        </is>
      </c>
      <c r="B97" s="1" t="n">
        <v>43619</v>
      </c>
      <c r="C97" s="1" t="n">
        <v>45473</v>
      </c>
      <c r="D97" t="inlineStr">
        <is>
          <t>ÖREBRO LÄN</t>
        </is>
      </c>
      <c r="E97" t="inlineStr">
        <is>
          <t>ÖREBRO</t>
        </is>
      </c>
      <c r="F97" t="inlineStr">
        <is>
          <t>Övriga Aktiebolag</t>
        </is>
      </c>
      <c r="G97" t="n">
        <v>17.9</v>
      </c>
      <c r="H97" t="n">
        <v>0</v>
      </c>
      <c r="I97" t="n">
        <v>0</v>
      </c>
      <c r="J97" t="n">
        <v>0</v>
      </c>
      <c r="K97" t="n">
        <v>0</v>
      </c>
      <c r="L97" t="n">
        <v>0</v>
      </c>
      <c r="M97" t="n">
        <v>0</v>
      </c>
      <c r="N97" t="n">
        <v>0</v>
      </c>
      <c r="O97" t="n">
        <v>0</v>
      </c>
      <c r="P97" t="n">
        <v>0</v>
      </c>
      <c r="Q97" t="n">
        <v>0</v>
      </c>
      <c r="R97" s="2" t="inlineStr"/>
    </row>
    <row r="98" ht="15" customHeight="1">
      <c r="A98" t="inlineStr">
        <is>
          <t>A 28660-2019</t>
        </is>
      </c>
      <c r="B98" s="1" t="n">
        <v>43627</v>
      </c>
      <c r="C98" s="1" t="n">
        <v>45473</v>
      </c>
      <c r="D98" t="inlineStr">
        <is>
          <t>ÖREBRO LÄN</t>
        </is>
      </c>
      <c r="E98" t="inlineStr">
        <is>
          <t>ÖREBRO</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31300-2019</t>
        </is>
      </c>
      <c r="B99" s="1" t="n">
        <v>43641</v>
      </c>
      <c r="C99" s="1" t="n">
        <v>45473</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31982-2019</t>
        </is>
      </c>
      <c r="B100" s="1" t="n">
        <v>43642</v>
      </c>
      <c r="C100" s="1" t="n">
        <v>45473</v>
      </c>
      <c r="D100" t="inlineStr">
        <is>
          <t>ÖREBRO LÄN</t>
        </is>
      </c>
      <c r="E100" t="inlineStr">
        <is>
          <t>ÖREBRO</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32410-2019</t>
        </is>
      </c>
      <c r="B101" s="1" t="n">
        <v>43644</v>
      </c>
      <c r="C101" s="1" t="n">
        <v>45473</v>
      </c>
      <c r="D101" t="inlineStr">
        <is>
          <t>ÖREBRO LÄN</t>
        </is>
      </c>
      <c r="E101" t="inlineStr">
        <is>
          <t>ÖREBRO</t>
        </is>
      </c>
      <c r="G101" t="n">
        <v>1.1</v>
      </c>
      <c r="H101" t="n">
        <v>0</v>
      </c>
      <c r="I101" t="n">
        <v>0</v>
      </c>
      <c r="J101" t="n">
        <v>0</v>
      </c>
      <c r="K101" t="n">
        <v>0</v>
      </c>
      <c r="L101" t="n">
        <v>0</v>
      </c>
      <c r="M101" t="n">
        <v>0</v>
      </c>
      <c r="N101" t="n">
        <v>0</v>
      </c>
      <c r="O101" t="n">
        <v>0</v>
      </c>
      <c r="P101" t="n">
        <v>0</v>
      </c>
      <c r="Q101" t="n">
        <v>0</v>
      </c>
      <c r="R101" s="2" t="inlineStr"/>
    </row>
    <row r="102" ht="15" customHeight="1">
      <c r="A102" t="inlineStr">
        <is>
          <t>A 32701-2019</t>
        </is>
      </c>
      <c r="B102" s="1" t="n">
        <v>43647</v>
      </c>
      <c r="C102" s="1" t="n">
        <v>45473</v>
      </c>
      <c r="D102" t="inlineStr">
        <is>
          <t>ÖREBRO LÄN</t>
        </is>
      </c>
      <c r="E102" t="inlineStr">
        <is>
          <t>ÖREBRO</t>
        </is>
      </c>
      <c r="F102" t="inlineStr">
        <is>
          <t>Övriga Aktiebolag</t>
        </is>
      </c>
      <c r="G102" t="n">
        <v>6.4</v>
      </c>
      <c r="H102" t="n">
        <v>0</v>
      </c>
      <c r="I102" t="n">
        <v>0</v>
      </c>
      <c r="J102" t="n">
        <v>0</v>
      </c>
      <c r="K102" t="n">
        <v>0</v>
      </c>
      <c r="L102" t="n">
        <v>0</v>
      </c>
      <c r="M102" t="n">
        <v>0</v>
      </c>
      <c r="N102" t="n">
        <v>0</v>
      </c>
      <c r="O102" t="n">
        <v>0</v>
      </c>
      <c r="P102" t="n">
        <v>0</v>
      </c>
      <c r="Q102" t="n">
        <v>0</v>
      </c>
      <c r="R102" s="2" t="inlineStr"/>
    </row>
    <row r="103" ht="15" customHeight="1">
      <c r="A103" t="inlineStr">
        <is>
          <t>A 32861-2019</t>
        </is>
      </c>
      <c r="B103" s="1" t="n">
        <v>43648</v>
      </c>
      <c r="C103" s="1" t="n">
        <v>45473</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33314-2019</t>
        </is>
      </c>
      <c r="B104" s="1" t="n">
        <v>43650</v>
      </c>
      <c r="C104" s="1" t="n">
        <v>45473</v>
      </c>
      <c r="D104" t="inlineStr">
        <is>
          <t>ÖREBRO LÄN</t>
        </is>
      </c>
      <c r="E104" t="inlineStr">
        <is>
          <t>ÖREBRO</t>
        </is>
      </c>
      <c r="G104" t="n">
        <v>3.6</v>
      </c>
      <c r="H104" t="n">
        <v>0</v>
      </c>
      <c r="I104" t="n">
        <v>0</v>
      </c>
      <c r="J104" t="n">
        <v>0</v>
      </c>
      <c r="K104" t="n">
        <v>0</v>
      </c>
      <c r="L104" t="n">
        <v>0</v>
      </c>
      <c r="M104" t="n">
        <v>0</v>
      </c>
      <c r="N104" t="n">
        <v>0</v>
      </c>
      <c r="O104" t="n">
        <v>0</v>
      </c>
      <c r="P104" t="n">
        <v>0</v>
      </c>
      <c r="Q104" t="n">
        <v>0</v>
      </c>
      <c r="R104" s="2" t="inlineStr"/>
    </row>
    <row r="105" ht="15" customHeight="1">
      <c r="A105" t="inlineStr">
        <is>
          <t>A 35557-2019</t>
        </is>
      </c>
      <c r="B105" s="1" t="n">
        <v>43654</v>
      </c>
      <c r="C105" s="1" t="n">
        <v>45473</v>
      </c>
      <c r="D105" t="inlineStr">
        <is>
          <t>ÖREBRO LÄN</t>
        </is>
      </c>
      <c r="E105" t="inlineStr">
        <is>
          <t>ÖREBRO</t>
        </is>
      </c>
      <c r="F105" t="inlineStr">
        <is>
          <t>Kommuner</t>
        </is>
      </c>
      <c r="G105" t="n">
        <v>1</v>
      </c>
      <c r="H105" t="n">
        <v>0</v>
      </c>
      <c r="I105" t="n">
        <v>0</v>
      </c>
      <c r="J105" t="n">
        <v>0</v>
      </c>
      <c r="K105" t="n">
        <v>0</v>
      </c>
      <c r="L105" t="n">
        <v>0</v>
      </c>
      <c r="M105" t="n">
        <v>0</v>
      </c>
      <c r="N105" t="n">
        <v>0</v>
      </c>
      <c r="O105" t="n">
        <v>0</v>
      </c>
      <c r="P105" t="n">
        <v>0</v>
      </c>
      <c r="Q105" t="n">
        <v>0</v>
      </c>
      <c r="R105" s="2" t="inlineStr"/>
    </row>
    <row r="106" ht="15" customHeight="1">
      <c r="A106" t="inlineStr">
        <is>
          <t>A 35625-2019</t>
        </is>
      </c>
      <c r="B106" s="1" t="n">
        <v>43655</v>
      </c>
      <c r="C106" s="1" t="n">
        <v>45473</v>
      </c>
      <c r="D106" t="inlineStr">
        <is>
          <t>ÖREBRO LÄN</t>
        </is>
      </c>
      <c r="E106" t="inlineStr">
        <is>
          <t>ÖREBRO</t>
        </is>
      </c>
      <c r="G106" t="n">
        <v>10.2</v>
      </c>
      <c r="H106" t="n">
        <v>0</v>
      </c>
      <c r="I106" t="n">
        <v>0</v>
      </c>
      <c r="J106" t="n">
        <v>0</v>
      </c>
      <c r="K106" t="n">
        <v>0</v>
      </c>
      <c r="L106" t="n">
        <v>0</v>
      </c>
      <c r="M106" t="n">
        <v>0</v>
      </c>
      <c r="N106" t="n">
        <v>0</v>
      </c>
      <c r="O106" t="n">
        <v>0</v>
      </c>
      <c r="P106" t="n">
        <v>0</v>
      </c>
      <c r="Q106" t="n">
        <v>0</v>
      </c>
      <c r="R106" s="2" t="inlineStr"/>
    </row>
    <row r="107" ht="15" customHeight="1">
      <c r="A107" t="inlineStr">
        <is>
          <t>A 35588-2019</t>
        </is>
      </c>
      <c r="B107" s="1" t="n">
        <v>43655</v>
      </c>
      <c r="C107" s="1" t="n">
        <v>45473</v>
      </c>
      <c r="D107" t="inlineStr">
        <is>
          <t>ÖREBRO LÄN</t>
        </is>
      </c>
      <c r="E107" t="inlineStr">
        <is>
          <t>ÖREBRO</t>
        </is>
      </c>
      <c r="G107" t="n">
        <v>4.6</v>
      </c>
      <c r="H107" t="n">
        <v>0</v>
      </c>
      <c r="I107" t="n">
        <v>0</v>
      </c>
      <c r="J107" t="n">
        <v>0</v>
      </c>
      <c r="K107" t="n">
        <v>0</v>
      </c>
      <c r="L107" t="n">
        <v>0</v>
      </c>
      <c r="M107" t="n">
        <v>0</v>
      </c>
      <c r="N107" t="n">
        <v>0</v>
      </c>
      <c r="O107" t="n">
        <v>0</v>
      </c>
      <c r="P107" t="n">
        <v>0</v>
      </c>
      <c r="Q107" t="n">
        <v>0</v>
      </c>
      <c r="R107" s="2" t="inlineStr"/>
    </row>
    <row r="108" ht="15" customHeight="1">
      <c r="A108" t="inlineStr">
        <is>
          <t>A 34895-2019</t>
        </is>
      </c>
      <c r="B108" s="1" t="n">
        <v>43658</v>
      </c>
      <c r="C108" s="1" t="n">
        <v>45473</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34965-2019</t>
        </is>
      </c>
      <c r="B109" s="1" t="n">
        <v>43658</v>
      </c>
      <c r="C109" s="1" t="n">
        <v>45473</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35846-2019</t>
        </is>
      </c>
      <c r="B110" s="1" t="n">
        <v>43665</v>
      </c>
      <c r="C110" s="1" t="n">
        <v>45473</v>
      </c>
      <c r="D110" t="inlineStr">
        <is>
          <t>ÖREBRO LÄN</t>
        </is>
      </c>
      <c r="E110" t="inlineStr">
        <is>
          <t>ÖREBRO</t>
        </is>
      </c>
      <c r="G110" t="n">
        <v>5</v>
      </c>
      <c r="H110" t="n">
        <v>0</v>
      </c>
      <c r="I110" t="n">
        <v>0</v>
      </c>
      <c r="J110" t="n">
        <v>0</v>
      </c>
      <c r="K110" t="n">
        <v>0</v>
      </c>
      <c r="L110" t="n">
        <v>0</v>
      </c>
      <c r="M110" t="n">
        <v>0</v>
      </c>
      <c r="N110" t="n">
        <v>0</v>
      </c>
      <c r="O110" t="n">
        <v>0</v>
      </c>
      <c r="P110" t="n">
        <v>0</v>
      </c>
      <c r="Q110" t="n">
        <v>0</v>
      </c>
      <c r="R110" s="2" t="inlineStr"/>
    </row>
    <row r="111" ht="15" customHeight="1">
      <c r="A111" t="inlineStr">
        <is>
          <t>A 36124-2019</t>
        </is>
      </c>
      <c r="B111" s="1" t="n">
        <v>43665</v>
      </c>
      <c r="C111" s="1" t="n">
        <v>45473</v>
      </c>
      <c r="D111" t="inlineStr">
        <is>
          <t>ÖREBRO LÄN</t>
        </is>
      </c>
      <c r="E111" t="inlineStr">
        <is>
          <t>ÖREBRO</t>
        </is>
      </c>
      <c r="G111" t="n">
        <v>2.8</v>
      </c>
      <c r="H111" t="n">
        <v>0</v>
      </c>
      <c r="I111" t="n">
        <v>0</v>
      </c>
      <c r="J111" t="n">
        <v>0</v>
      </c>
      <c r="K111" t="n">
        <v>0</v>
      </c>
      <c r="L111" t="n">
        <v>0</v>
      </c>
      <c r="M111" t="n">
        <v>0</v>
      </c>
      <c r="N111" t="n">
        <v>0</v>
      </c>
      <c r="O111" t="n">
        <v>0</v>
      </c>
      <c r="P111" t="n">
        <v>0</v>
      </c>
      <c r="Q111" t="n">
        <v>0</v>
      </c>
      <c r="R111" s="2" t="inlineStr"/>
    </row>
    <row r="112" ht="15" customHeight="1">
      <c r="A112" t="inlineStr">
        <is>
          <t>A 36282-2019</t>
        </is>
      </c>
      <c r="B112" s="1" t="n">
        <v>43669</v>
      </c>
      <c r="C112" s="1" t="n">
        <v>45473</v>
      </c>
      <c r="D112" t="inlineStr">
        <is>
          <t>ÖREBRO LÄN</t>
        </is>
      </c>
      <c r="E112" t="inlineStr">
        <is>
          <t>ÖREBRO</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36283-2019</t>
        </is>
      </c>
      <c r="B113" s="1" t="n">
        <v>43669</v>
      </c>
      <c r="C113" s="1" t="n">
        <v>45473</v>
      </c>
      <c r="D113" t="inlineStr">
        <is>
          <t>ÖREBRO LÄN</t>
        </is>
      </c>
      <c r="E113" t="inlineStr">
        <is>
          <t>ÖREBRO</t>
        </is>
      </c>
      <c r="G113" t="n">
        <v>3.2</v>
      </c>
      <c r="H113" t="n">
        <v>0</v>
      </c>
      <c r="I113" t="n">
        <v>0</v>
      </c>
      <c r="J113" t="n">
        <v>0</v>
      </c>
      <c r="K113" t="n">
        <v>0</v>
      </c>
      <c r="L113" t="n">
        <v>0</v>
      </c>
      <c r="M113" t="n">
        <v>0</v>
      </c>
      <c r="N113" t="n">
        <v>0</v>
      </c>
      <c r="O113" t="n">
        <v>0</v>
      </c>
      <c r="P113" t="n">
        <v>0</v>
      </c>
      <c r="Q113" t="n">
        <v>0</v>
      </c>
      <c r="R113" s="2" t="inlineStr"/>
    </row>
    <row r="114" ht="15" customHeight="1">
      <c r="A114" t="inlineStr">
        <is>
          <t>A 36284-2019</t>
        </is>
      </c>
      <c r="B114" s="1" t="n">
        <v>43669</v>
      </c>
      <c r="C114" s="1" t="n">
        <v>45473</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36990-2019</t>
        </is>
      </c>
      <c r="B115" s="1" t="n">
        <v>43676</v>
      </c>
      <c r="C115" s="1" t="n">
        <v>45473</v>
      </c>
      <c r="D115" t="inlineStr">
        <is>
          <t>ÖREBRO LÄN</t>
        </is>
      </c>
      <c r="E115" t="inlineStr">
        <is>
          <t>ÖREBRO</t>
        </is>
      </c>
      <c r="G115" t="n">
        <v>5.1</v>
      </c>
      <c r="H115" t="n">
        <v>0</v>
      </c>
      <c r="I115" t="n">
        <v>0</v>
      </c>
      <c r="J115" t="n">
        <v>0</v>
      </c>
      <c r="K115" t="n">
        <v>0</v>
      </c>
      <c r="L115" t="n">
        <v>0</v>
      </c>
      <c r="M115" t="n">
        <v>0</v>
      </c>
      <c r="N115" t="n">
        <v>0</v>
      </c>
      <c r="O115" t="n">
        <v>0</v>
      </c>
      <c r="P115" t="n">
        <v>0</v>
      </c>
      <c r="Q115" t="n">
        <v>0</v>
      </c>
      <c r="R115" s="2" t="inlineStr"/>
    </row>
    <row r="116" ht="15" customHeight="1">
      <c r="A116" t="inlineStr">
        <is>
          <t>A 37254-2019</t>
        </is>
      </c>
      <c r="B116" s="1" t="n">
        <v>43677</v>
      </c>
      <c r="C116" s="1" t="n">
        <v>45473</v>
      </c>
      <c r="D116" t="inlineStr">
        <is>
          <t>ÖREBRO LÄN</t>
        </is>
      </c>
      <c r="E116" t="inlineStr">
        <is>
          <t>ÖREBRO</t>
        </is>
      </c>
      <c r="G116" t="n">
        <v>10.3</v>
      </c>
      <c r="H116" t="n">
        <v>0</v>
      </c>
      <c r="I116" t="n">
        <v>0</v>
      </c>
      <c r="J116" t="n">
        <v>0</v>
      </c>
      <c r="K116" t="n">
        <v>0</v>
      </c>
      <c r="L116" t="n">
        <v>0</v>
      </c>
      <c r="M116" t="n">
        <v>0</v>
      </c>
      <c r="N116" t="n">
        <v>0</v>
      </c>
      <c r="O116" t="n">
        <v>0</v>
      </c>
      <c r="P116" t="n">
        <v>0</v>
      </c>
      <c r="Q116" t="n">
        <v>0</v>
      </c>
      <c r="R116" s="2" t="inlineStr"/>
    </row>
    <row r="117" ht="15" customHeight="1">
      <c r="A117" t="inlineStr">
        <is>
          <t>A 37258-2019</t>
        </is>
      </c>
      <c r="B117" s="1" t="n">
        <v>43677</v>
      </c>
      <c r="C117" s="1" t="n">
        <v>45473</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37278-2019</t>
        </is>
      </c>
      <c r="B118" s="1" t="n">
        <v>43677</v>
      </c>
      <c r="C118" s="1" t="n">
        <v>45473</v>
      </c>
      <c r="D118" t="inlineStr">
        <is>
          <t>ÖREBRO LÄN</t>
        </is>
      </c>
      <c r="E118" t="inlineStr">
        <is>
          <t>ÖREBRO</t>
        </is>
      </c>
      <c r="G118" t="n">
        <v>7.9</v>
      </c>
      <c r="H118" t="n">
        <v>0</v>
      </c>
      <c r="I118" t="n">
        <v>0</v>
      </c>
      <c r="J118" t="n">
        <v>0</v>
      </c>
      <c r="K118" t="n">
        <v>0</v>
      </c>
      <c r="L118" t="n">
        <v>0</v>
      </c>
      <c r="M118" t="n">
        <v>0</v>
      </c>
      <c r="N118" t="n">
        <v>0</v>
      </c>
      <c r="O118" t="n">
        <v>0</v>
      </c>
      <c r="P118" t="n">
        <v>0</v>
      </c>
      <c r="Q118" t="n">
        <v>0</v>
      </c>
      <c r="R118" s="2" t="inlineStr"/>
    </row>
    <row r="119" ht="15" customHeight="1">
      <c r="A119" t="inlineStr">
        <is>
          <t>A 37930-2019</t>
        </is>
      </c>
      <c r="B119" s="1" t="n">
        <v>43683</v>
      </c>
      <c r="C119" s="1" t="n">
        <v>45473</v>
      </c>
      <c r="D119" t="inlineStr">
        <is>
          <t>ÖREBRO LÄN</t>
        </is>
      </c>
      <c r="E119" t="inlineStr">
        <is>
          <t>ÖREBRO</t>
        </is>
      </c>
      <c r="G119" t="n">
        <v>4.8</v>
      </c>
      <c r="H119" t="n">
        <v>0</v>
      </c>
      <c r="I119" t="n">
        <v>0</v>
      </c>
      <c r="J119" t="n">
        <v>0</v>
      </c>
      <c r="K119" t="n">
        <v>0</v>
      </c>
      <c r="L119" t="n">
        <v>0</v>
      </c>
      <c r="M119" t="n">
        <v>0</v>
      </c>
      <c r="N119" t="n">
        <v>0</v>
      </c>
      <c r="O119" t="n">
        <v>0</v>
      </c>
      <c r="P119" t="n">
        <v>0</v>
      </c>
      <c r="Q119" t="n">
        <v>0</v>
      </c>
      <c r="R119" s="2" t="inlineStr"/>
    </row>
    <row r="120" ht="15" customHeight="1">
      <c r="A120" t="inlineStr">
        <is>
          <t>A 38372-2019</t>
        </is>
      </c>
      <c r="B120" s="1" t="n">
        <v>43683</v>
      </c>
      <c r="C120" s="1" t="n">
        <v>45473</v>
      </c>
      <c r="D120" t="inlineStr">
        <is>
          <t>ÖREBRO LÄN</t>
        </is>
      </c>
      <c r="E120" t="inlineStr">
        <is>
          <t>ÖREBRO</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38389-2019</t>
        </is>
      </c>
      <c r="B121" s="1" t="n">
        <v>43685</v>
      </c>
      <c r="C121" s="1" t="n">
        <v>45473</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38885-2019</t>
        </is>
      </c>
      <c r="B122" s="1" t="n">
        <v>43686</v>
      </c>
      <c r="C122" s="1" t="n">
        <v>45473</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38923-2019</t>
        </is>
      </c>
      <c r="B123" s="1" t="n">
        <v>43689</v>
      </c>
      <c r="C123" s="1" t="n">
        <v>45473</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38846-2019</t>
        </is>
      </c>
      <c r="B124" s="1" t="n">
        <v>43689</v>
      </c>
      <c r="C124" s="1" t="n">
        <v>45473</v>
      </c>
      <c r="D124" t="inlineStr">
        <is>
          <t>ÖREBRO LÄN</t>
        </is>
      </c>
      <c r="E124" t="inlineStr">
        <is>
          <t>ÖREBRO</t>
        </is>
      </c>
      <c r="G124" t="n">
        <v>3.8</v>
      </c>
      <c r="H124" t="n">
        <v>0</v>
      </c>
      <c r="I124" t="n">
        <v>0</v>
      </c>
      <c r="J124" t="n">
        <v>0</v>
      </c>
      <c r="K124" t="n">
        <v>0</v>
      </c>
      <c r="L124" t="n">
        <v>0</v>
      </c>
      <c r="M124" t="n">
        <v>0</v>
      </c>
      <c r="N124" t="n">
        <v>0</v>
      </c>
      <c r="O124" t="n">
        <v>0</v>
      </c>
      <c r="P124" t="n">
        <v>0</v>
      </c>
      <c r="Q124" t="n">
        <v>0</v>
      </c>
      <c r="R124" s="2" t="inlineStr"/>
    </row>
    <row r="125" ht="15" customHeight="1">
      <c r="A125" t="inlineStr">
        <is>
          <t>A 39303-2019</t>
        </is>
      </c>
      <c r="B125" s="1" t="n">
        <v>43690</v>
      </c>
      <c r="C125" s="1" t="n">
        <v>45473</v>
      </c>
      <c r="D125" t="inlineStr">
        <is>
          <t>ÖREBRO LÄN</t>
        </is>
      </c>
      <c r="E125" t="inlineStr">
        <is>
          <t>ÖREBRO</t>
        </is>
      </c>
      <c r="G125" t="n">
        <v>1.9</v>
      </c>
      <c r="H125" t="n">
        <v>0</v>
      </c>
      <c r="I125" t="n">
        <v>0</v>
      </c>
      <c r="J125" t="n">
        <v>0</v>
      </c>
      <c r="K125" t="n">
        <v>0</v>
      </c>
      <c r="L125" t="n">
        <v>0</v>
      </c>
      <c r="M125" t="n">
        <v>0</v>
      </c>
      <c r="N125" t="n">
        <v>0</v>
      </c>
      <c r="O125" t="n">
        <v>0</v>
      </c>
      <c r="P125" t="n">
        <v>0</v>
      </c>
      <c r="Q125" t="n">
        <v>0</v>
      </c>
      <c r="R125" s="2" t="inlineStr"/>
    </row>
    <row r="126" ht="15" customHeight="1">
      <c r="A126" t="inlineStr">
        <is>
          <t>A 39576-2019</t>
        </is>
      </c>
      <c r="B126" s="1" t="n">
        <v>43691</v>
      </c>
      <c r="C126" s="1" t="n">
        <v>45473</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39714-2019</t>
        </is>
      </c>
      <c r="B127" s="1" t="n">
        <v>43691</v>
      </c>
      <c r="C127" s="1" t="n">
        <v>45473</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40694-2019</t>
        </is>
      </c>
      <c r="B128" s="1" t="n">
        <v>43691</v>
      </c>
      <c r="C128" s="1" t="n">
        <v>45473</v>
      </c>
      <c r="D128" t="inlineStr">
        <is>
          <t>ÖREBRO LÄN</t>
        </is>
      </c>
      <c r="E128" t="inlineStr">
        <is>
          <t>ÖREBRO</t>
        </is>
      </c>
      <c r="F128" t="inlineStr">
        <is>
          <t>Kommuner</t>
        </is>
      </c>
      <c r="G128" t="n">
        <v>4</v>
      </c>
      <c r="H128" t="n">
        <v>0</v>
      </c>
      <c r="I128" t="n">
        <v>0</v>
      </c>
      <c r="J128" t="n">
        <v>0</v>
      </c>
      <c r="K128" t="n">
        <v>0</v>
      </c>
      <c r="L128" t="n">
        <v>0</v>
      </c>
      <c r="M128" t="n">
        <v>0</v>
      </c>
      <c r="N128" t="n">
        <v>0</v>
      </c>
      <c r="O128" t="n">
        <v>0</v>
      </c>
      <c r="P128" t="n">
        <v>0</v>
      </c>
      <c r="Q128" t="n">
        <v>0</v>
      </c>
      <c r="R128" s="2" t="inlineStr"/>
    </row>
    <row r="129" ht="15" customHeight="1">
      <c r="A129" t="inlineStr">
        <is>
          <t>A 40556-2019</t>
        </is>
      </c>
      <c r="B129" s="1" t="n">
        <v>43691</v>
      </c>
      <c r="C129" s="1" t="n">
        <v>45473</v>
      </c>
      <c r="D129" t="inlineStr">
        <is>
          <t>ÖREBRO LÄN</t>
        </is>
      </c>
      <c r="E129" t="inlineStr">
        <is>
          <t>ÖREBRO</t>
        </is>
      </c>
      <c r="G129" t="n">
        <v>6.5</v>
      </c>
      <c r="H129" t="n">
        <v>0</v>
      </c>
      <c r="I129" t="n">
        <v>0</v>
      </c>
      <c r="J129" t="n">
        <v>0</v>
      </c>
      <c r="K129" t="n">
        <v>0</v>
      </c>
      <c r="L129" t="n">
        <v>0</v>
      </c>
      <c r="M129" t="n">
        <v>0</v>
      </c>
      <c r="N129" t="n">
        <v>0</v>
      </c>
      <c r="O129" t="n">
        <v>0</v>
      </c>
      <c r="P129" t="n">
        <v>0</v>
      </c>
      <c r="Q129" t="n">
        <v>0</v>
      </c>
      <c r="R129" s="2" t="inlineStr"/>
    </row>
    <row r="130" ht="15" customHeight="1">
      <c r="A130" t="inlineStr">
        <is>
          <t>A 41063-2019</t>
        </is>
      </c>
      <c r="B130" s="1" t="n">
        <v>43698</v>
      </c>
      <c r="C130" s="1" t="n">
        <v>45473</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44039-2019</t>
        </is>
      </c>
      <c r="B131" s="1" t="n">
        <v>43704</v>
      </c>
      <c r="C131" s="1" t="n">
        <v>45473</v>
      </c>
      <c r="D131" t="inlineStr">
        <is>
          <t>ÖREBRO LÄN</t>
        </is>
      </c>
      <c r="E131" t="inlineStr">
        <is>
          <t>ÖREBRO</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43692-2019</t>
        </is>
      </c>
      <c r="B132" s="1" t="n">
        <v>43704</v>
      </c>
      <c r="C132" s="1" t="n">
        <v>45473</v>
      </c>
      <c r="D132" t="inlineStr">
        <is>
          <t>ÖREBRO LÄN</t>
        </is>
      </c>
      <c r="E132" t="inlineStr">
        <is>
          <t>ÖREBRO</t>
        </is>
      </c>
      <c r="G132" t="n">
        <v>0.9</v>
      </c>
      <c r="H132" t="n">
        <v>0</v>
      </c>
      <c r="I132" t="n">
        <v>0</v>
      </c>
      <c r="J132" t="n">
        <v>0</v>
      </c>
      <c r="K132" t="n">
        <v>0</v>
      </c>
      <c r="L132" t="n">
        <v>0</v>
      </c>
      <c r="M132" t="n">
        <v>0</v>
      </c>
      <c r="N132" t="n">
        <v>0</v>
      </c>
      <c r="O132" t="n">
        <v>0</v>
      </c>
      <c r="P132" t="n">
        <v>0</v>
      </c>
      <c r="Q132" t="n">
        <v>0</v>
      </c>
      <c r="R132" s="2" t="inlineStr"/>
    </row>
    <row r="133" ht="15" customHeight="1">
      <c r="A133" t="inlineStr">
        <is>
          <t>A 44034-2019</t>
        </is>
      </c>
      <c r="B133" s="1" t="n">
        <v>43704</v>
      </c>
      <c r="C133" s="1" t="n">
        <v>45473</v>
      </c>
      <c r="D133" t="inlineStr">
        <is>
          <t>ÖREBRO LÄN</t>
        </is>
      </c>
      <c r="E133" t="inlineStr">
        <is>
          <t>ÖREBRO</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44152-2019</t>
        </is>
      </c>
      <c r="B134" s="1" t="n">
        <v>43704</v>
      </c>
      <c r="C134" s="1" t="n">
        <v>45473</v>
      </c>
      <c r="D134" t="inlineStr">
        <is>
          <t>ÖREBRO LÄN</t>
        </is>
      </c>
      <c r="E134" t="inlineStr">
        <is>
          <t>ÖREBRO</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43632-2019</t>
        </is>
      </c>
      <c r="B135" s="1" t="n">
        <v>43704</v>
      </c>
      <c r="C135" s="1" t="n">
        <v>45473</v>
      </c>
      <c r="D135" t="inlineStr">
        <is>
          <t>ÖREBRO LÄN</t>
        </is>
      </c>
      <c r="E135" t="inlineStr">
        <is>
          <t>ÖREBRO</t>
        </is>
      </c>
      <c r="G135" t="n">
        <v>4.7</v>
      </c>
      <c r="H135" t="n">
        <v>0</v>
      </c>
      <c r="I135" t="n">
        <v>0</v>
      </c>
      <c r="J135" t="n">
        <v>0</v>
      </c>
      <c r="K135" t="n">
        <v>0</v>
      </c>
      <c r="L135" t="n">
        <v>0</v>
      </c>
      <c r="M135" t="n">
        <v>0</v>
      </c>
      <c r="N135" t="n">
        <v>0</v>
      </c>
      <c r="O135" t="n">
        <v>0</v>
      </c>
      <c r="P135" t="n">
        <v>0</v>
      </c>
      <c r="Q135" t="n">
        <v>0</v>
      </c>
      <c r="R135" s="2" t="inlineStr"/>
    </row>
    <row r="136" ht="15" customHeight="1">
      <c r="A136" t="inlineStr">
        <is>
          <t>A 43007-2019</t>
        </is>
      </c>
      <c r="B136" s="1" t="n">
        <v>43705</v>
      </c>
      <c r="C136" s="1" t="n">
        <v>45473</v>
      </c>
      <c r="D136" t="inlineStr">
        <is>
          <t>ÖREBRO LÄN</t>
        </is>
      </c>
      <c r="E136" t="inlineStr">
        <is>
          <t>ÖREBRO</t>
        </is>
      </c>
      <c r="G136" t="n">
        <v>7.5</v>
      </c>
      <c r="H136" t="n">
        <v>0</v>
      </c>
      <c r="I136" t="n">
        <v>0</v>
      </c>
      <c r="J136" t="n">
        <v>0</v>
      </c>
      <c r="K136" t="n">
        <v>0</v>
      </c>
      <c r="L136" t="n">
        <v>0</v>
      </c>
      <c r="M136" t="n">
        <v>0</v>
      </c>
      <c r="N136" t="n">
        <v>0</v>
      </c>
      <c r="O136" t="n">
        <v>0</v>
      </c>
      <c r="P136" t="n">
        <v>0</v>
      </c>
      <c r="Q136" t="n">
        <v>0</v>
      </c>
      <c r="R136" s="2" t="inlineStr"/>
    </row>
    <row r="137" ht="15" customHeight="1">
      <c r="A137" t="inlineStr">
        <is>
          <t>A 44153-2019</t>
        </is>
      </c>
      <c r="B137" s="1" t="n">
        <v>43710</v>
      </c>
      <c r="C137" s="1" t="n">
        <v>45473</v>
      </c>
      <c r="D137" t="inlineStr">
        <is>
          <t>ÖREBRO LÄN</t>
        </is>
      </c>
      <c r="E137" t="inlineStr">
        <is>
          <t>ÖREBRO</t>
        </is>
      </c>
      <c r="G137" t="n">
        <v>5.5</v>
      </c>
      <c r="H137" t="n">
        <v>0</v>
      </c>
      <c r="I137" t="n">
        <v>0</v>
      </c>
      <c r="J137" t="n">
        <v>0</v>
      </c>
      <c r="K137" t="n">
        <v>0</v>
      </c>
      <c r="L137" t="n">
        <v>0</v>
      </c>
      <c r="M137" t="n">
        <v>0</v>
      </c>
      <c r="N137" t="n">
        <v>0</v>
      </c>
      <c r="O137" t="n">
        <v>0</v>
      </c>
      <c r="P137" t="n">
        <v>0</v>
      </c>
      <c r="Q137" t="n">
        <v>0</v>
      </c>
      <c r="R137" s="2" t="inlineStr"/>
    </row>
    <row r="138" ht="15" customHeight="1">
      <c r="A138" t="inlineStr">
        <is>
          <t>A 44280-2019</t>
        </is>
      </c>
      <c r="B138" s="1" t="n">
        <v>43710</v>
      </c>
      <c r="C138" s="1" t="n">
        <v>45473</v>
      </c>
      <c r="D138" t="inlineStr">
        <is>
          <t>ÖREBRO LÄN</t>
        </is>
      </c>
      <c r="E138" t="inlineStr">
        <is>
          <t>ÖREBRO</t>
        </is>
      </c>
      <c r="G138" t="n">
        <v>0.8</v>
      </c>
      <c r="H138" t="n">
        <v>0</v>
      </c>
      <c r="I138" t="n">
        <v>0</v>
      </c>
      <c r="J138" t="n">
        <v>0</v>
      </c>
      <c r="K138" t="n">
        <v>0</v>
      </c>
      <c r="L138" t="n">
        <v>0</v>
      </c>
      <c r="M138" t="n">
        <v>0</v>
      </c>
      <c r="N138" t="n">
        <v>0</v>
      </c>
      <c r="O138" t="n">
        <v>0</v>
      </c>
      <c r="P138" t="n">
        <v>0</v>
      </c>
      <c r="Q138" t="n">
        <v>0</v>
      </c>
      <c r="R138" s="2" t="inlineStr"/>
    </row>
    <row r="139" ht="15" customHeight="1">
      <c r="A139" t="inlineStr">
        <is>
          <t>A 44277-2019</t>
        </is>
      </c>
      <c r="B139" s="1" t="n">
        <v>43710</v>
      </c>
      <c r="C139" s="1" t="n">
        <v>45473</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45309-2019</t>
        </is>
      </c>
      <c r="B140" s="1" t="n">
        <v>43710</v>
      </c>
      <c r="C140" s="1" t="n">
        <v>45473</v>
      </c>
      <c r="D140" t="inlineStr">
        <is>
          <t>ÖREBRO LÄN</t>
        </is>
      </c>
      <c r="E140" t="inlineStr">
        <is>
          <t>ÖREBRO</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44278-2019</t>
        </is>
      </c>
      <c r="B141" s="1" t="n">
        <v>43710</v>
      </c>
      <c r="C141" s="1" t="n">
        <v>45473</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45311-2019</t>
        </is>
      </c>
      <c r="B142" s="1" t="n">
        <v>43710</v>
      </c>
      <c r="C142" s="1" t="n">
        <v>45473</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44948-2019</t>
        </is>
      </c>
      <c r="B143" s="1" t="n">
        <v>43713</v>
      </c>
      <c r="C143" s="1" t="n">
        <v>45473</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45418-2019</t>
        </is>
      </c>
      <c r="B144" s="1" t="n">
        <v>43714</v>
      </c>
      <c r="C144" s="1" t="n">
        <v>45473</v>
      </c>
      <c r="D144" t="inlineStr">
        <is>
          <t>ÖREBRO LÄN</t>
        </is>
      </c>
      <c r="E144" t="inlineStr">
        <is>
          <t>ÖREBRO</t>
        </is>
      </c>
      <c r="G144" t="n">
        <v>9</v>
      </c>
      <c r="H144" t="n">
        <v>0</v>
      </c>
      <c r="I144" t="n">
        <v>0</v>
      </c>
      <c r="J144" t="n">
        <v>0</v>
      </c>
      <c r="K144" t="n">
        <v>0</v>
      </c>
      <c r="L144" t="n">
        <v>0</v>
      </c>
      <c r="M144" t="n">
        <v>0</v>
      </c>
      <c r="N144" t="n">
        <v>0</v>
      </c>
      <c r="O144" t="n">
        <v>0</v>
      </c>
      <c r="P144" t="n">
        <v>0</v>
      </c>
      <c r="Q144" t="n">
        <v>0</v>
      </c>
      <c r="R144" s="2" t="inlineStr"/>
    </row>
    <row r="145" ht="15" customHeight="1">
      <c r="A145" t="inlineStr">
        <is>
          <t>A 45420-2019</t>
        </is>
      </c>
      <c r="B145" s="1" t="n">
        <v>43714</v>
      </c>
      <c r="C145" s="1" t="n">
        <v>45473</v>
      </c>
      <c r="D145" t="inlineStr">
        <is>
          <t>ÖREBRO LÄN</t>
        </is>
      </c>
      <c r="E145" t="inlineStr">
        <is>
          <t>ÖREBRO</t>
        </is>
      </c>
      <c r="G145" t="n">
        <v>4.2</v>
      </c>
      <c r="H145" t="n">
        <v>0</v>
      </c>
      <c r="I145" t="n">
        <v>0</v>
      </c>
      <c r="J145" t="n">
        <v>0</v>
      </c>
      <c r="K145" t="n">
        <v>0</v>
      </c>
      <c r="L145" t="n">
        <v>0</v>
      </c>
      <c r="M145" t="n">
        <v>0</v>
      </c>
      <c r="N145" t="n">
        <v>0</v>
      </c>
      <c r="O145" t="n">
        <v>0</v>
      </c>
      <c r="P145" t="n">
        <v>0</v>
      </c>
      <c r="Q145" t="n">
        <v>0</v>
      </c>
      <c r="R145" s="2" t="inlineStr"/>
    </row>
    <row r="146" ht="15" customHeight="1">
      <c r="A146" t="inlineStr">
        <is>
          <t>A 45686-2019</t>
        </is>
      </c>
      <c r="B146" s="1" t="n">
        <v>43714</v>
      </c>
      <c r="C146" s="1" t="n">
        <v>45473</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46552-2019</t>
        </is>
      </c>
      <c r="B147" s="1" t="n">
        <v>43719</v>
      </c>
      <c r="C147" s="1" t="n">
        <v>45473</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46900-2019</t>
        </is>
      </c>
      <c r="B148" s="1" t="n">
        <v>43719</v>
      </c>
      <c r="C148" s="1" t="n">
        <v>45473</v>
      </c>
      <c r="D148" t="inlineStr">
        <is>
          <t>ÖREBRO LÄN</t>
        </is>
      </c>
      <c r="E148" t="inlineStr">
        <is>
          <t>ÖREBRO</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49926-2019</t>
        </is>
      </c>
      <c r="B149" s="1" t="n">
        <v>43733</v>
      </c>
      <c r="C149" s="1" t="n">
        <v>45473</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50074-2019</t>
        </is>
      </c>
      <c r="B150" s="1" t="n">
        <v>43734</v>
      </c>
      <c r="C150" s="1" t="n">
        <v>45473</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50080-2019</t>
        </is>
      </c>
      <c r="B151" s="1" t="n">
        <v>43734</v>
      </c>
      <c r="C151" s="1" t="n">
        <v>45473</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50148-2019</t>
        </is>
      </c>
      <c r="B152" s="1" t="n">
        <v>43734</v>
      </c>
      <c r="C152" s="1" t="n">
        <v>45473</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50366-2019</t>
        </is>
      </c>
      <c r="B153" s="1" t="n">
        <v>43735</v>
      </c>
      <c r="C153" s="1" t="n">
        <v>45473</v>
      </c>
      <c r="D153" t="inlineStr">
        <is>
          <t>ÖREBRO LÄN</t>
        </is>
      </c>
      <c r="E153" t="inlineStr">
        <is>
          <t>ÖREBRO</t>
        </is>
      </c>
      <c r="G153" t="n">
        <v>3.5</v>
      </c>
      <c r="H153" t="n">
        <v>0</v>
      </c>
      <c r="I153" t="n">
        <v>0</v>
      </c>
      <c r="J153" t="n">
        <v>0</v>
      </c>
      <c r="K153" t="n">
        <v>0</v>
      </c>
      <c r="L153" t="n">
        <v>0</v>
      </c>
      <c r="M153" t="n">
        <v>0</v>
      </c>
      <c r="N153" t="n">
        <v>0</v>
      </c>
      <c r="O153" t="n">
        <v>0</v>
      </c>
      <c r="P153" t="n">
        <v>0</v>
      </c>
      <c r="Q153" t="n">
        <v>0</v>
      </c>
      <c r="R153" s="2" t="inlineStr"/>
    </row>
    <row r="154" ht="15" customHeight="1">
      <c r="A154" t="inlineStr">
        <is>
          <t>A 50321-2019</t>
        </is>
      </c>
      <c r="B154" s="1" t="n">
        <v>43735</v>
      </c>
      <c r="C154" s="1" t="n">
        <v>45473</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52705-2019</t>
        </is>
      </c>
      <c r="B155" s="1" t="n">
        <v>43739</v>
      </c>
      <c r="C155" s="1" t="n">
        <v>45473</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51808-2019</t>
        </is>
      </c>
      <c r="B156" s="1" t="n">
        <v>43741</v>
      </c>
      <c r="C156" s="1" t="n">
        <v>45473</v>
      </c>
      <c r="D156" t="inlineStr">
        <is>
          <t>ÖREBRO LÄN</t>
        </is>
      </c>
      <c r="E156" t="inlineStr">
        <is>
          <t>ÖREBRO</t>
        </is>
      </c>
      <c r="G156" t="n">
        <v>1.4</v>
      </c>
      <c r="H156" t="n">
        <v>0</v>
      </c>
      <c r="I156" t="n">
        <v>0</v>
      </c>
      <c r="J156" t="n">
        <v>0</v>
      </c>
      <c r="K156" t="n">
        <v>0</v>
      </c>
      <c r="L156" t="n">
        <v>0</v>
      </c>
      <c r="M156" t="n">
        <v>0</v>
      </c>
      <c r="N156" t="n">
        <v>0</v>
      </c>
      <c r="O156" t="n">
        <v>0</v>
      </c>
      <c r="P156" t="n">
        <v>0</v>
      </c>
      <c r="Q156" t="n">
        <v>0</v>
      </c>
      <c r="R156" s="2" t="inlineStr"/>
    </row>
    <row r="157" ht="15" customHeight="1">
      <c r="A157" t="inlineStr">
        <is>
          <t>A 54181-2019</t>
        </is>
      </c>
      <c r="B157" s="1" t="n">
        <v>43745</v>
      </c>
      <c r="C157" s="1" t="n">
        <v>45473</v>
      </c>
      <c r="D157" t="inlineStr">
        <is>
          <t>ÖREBRO LÄN</t>
        </is>
      </c>
      <c r="E157" t="inlineStr">
        <is>
          <t>ÖREBRO</t>
        </is>
      </c>
      <c r="F157" t="inlineStr">
        <is>
          <t>Övriga Aktiebolag</t>
        </is>
      </c>
      <c r="G157" t="n">
        <v>7.6</v>
      </c>
      <c r="H157" t="n">
        <v>0</v>
      </c>
      <c r="I157" t="n">
        <v>0</v>
      </c>
      <c r="J157" t="n">
        <v>0</v>
      </c>
      <c r="K157" t="n">
        <v>0</v>
      </c>
      <c r="L157" t="n">
        <v>0</v>
      </c>
      <c r="M157" t="n">
        <v>0</v>
      </c>
      <c r="N157" t="n">
        <v>0</v>
      </c>
      <c r="O157" t="n">
        <v>0</v>
      </c>
      <c r="P157" t="n">
        <v>0</v>
      </c>
      <c r="Q157" t="n">
        <v>0</v>
      </c>
      <c r="R157" s="2" t="inlineStr"/>
    </row>
    <row r="158" ht="15" customHeight="1">
      <c r="A158" t="inlineStr">
        <is>
          <t>A 53446-2019</t>
        </is>
      </c>
      <c r="B158" s="1" t="n">
        <v>43748</v>
      </c>
      <c r="C158" s="1" t="n">
        <v>45473</v>
      </c>
      <c r="D158" t="inlineStr">
        <is>
          <t>ÖREBRO LÄN</t>
        </is>
      </c>
      <c r="E158" t="inlineStr">
        <is>
          <t>ÖREBRO</t>
        </is>
      </c>
      <c r="G158" t="n">
        <v>4.1</v>
      </c>
      <c r="H158" t="n">
        <v>0</v>
      </c>
      <c r="I158" t="n">
        <v>0</v>
      </c>
      <c r="J158" t="n">
        <v>0</v>
      </c>
      <c r="K158" t="n">
        <v>0</v>
      </c>
      <c r="L158" t="n">
        <v>0</v>
      </c>
      <c r="M158" t="n">
        <v>0</v>
      </c>
      <c r="N158" t="n">
        <v>0</v>
      </c>
      <c r="O158" t="n">
        <v>0</v>
      </c>
      <c r="P158" t="n">
        <v>0</v>
      </c>
      <c r="Q158" t="n">
        <v>0</v>
      </c>
      <c r="R158" s="2" t="inlineStr"/>
    </row>
    <row r="159" ht="15" customHeight="1">
      <c r="A159" t="inlineStr">
        <is>
          <t>A 54912-2019</t>
        </is>
      </c>
      <c r="B159" s="1" t="n">
        <v>43755</v>
      </c>
      <c r="C159" s="1" t="n">
        <v>45473</v>
      </c>
      <c r="D159" t="inlineStr">
        <is>
          <t>ÖREBRO LÄN</t>
        </is>
      </c>
      <c r="E159" t="inlineStr">
        <is>
          <t>ÖREBRO</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57706-2019</t>
        </is>
      </c>
      <c r="B160" s="1" t="n">
        <v>43761</v>
      </c>
      <c r="C160" s="1" t="n">
        <v>45473</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56963-2019</t>
        </is>
      </c>
      <c r="B161" s="1" t="n">
        <v>43766</v>
      </c>
      <c r="C161" s="1" t="n">
        <v>45473</v>
      </c>
      <c r="D161" t="inlineStr">
        <is>
          <t>ÖREBRO LÄN</t>
        </is>
      </c>
      <c r="E161" t="inlineStr">
        <is>
          <t>ÖREBRO</t>
        </is>
      </c>
      <c r="G161" t="n">
        <v>4</v>
      </c>
      <c r="H161" t="n">
        <v>0</v>
      </c>
      <c r="I161" t="n">
        <v>0</v>
      </c>
      <c r="J161" t="n">
        <v>0</v>
      </c>
      <c r="K161" t="n">
        <v>0</v>
      </c>
      <c r="L161" t="n">
        <v>0</v>
      </c>
      <c r="M161" t="n">
        <v>0</v>
      </c>
      <c r="N161" t="n">
        <v>0</v>
      </c>
      <c r="O161" t="n">
        <v>0</v>
      </c>
      <c r="P161" t="n">
        <v>0</v>
      </c>
      <c r="Q161" t="n">
        <v>0</v>
      </c>
      <c r="R161" s="2" t="inlineStr"/>
    </row>
    <row r="162" ht="15" customHeight="1">
      <c r="A162" t="inlineStr">
        <is>
          <t>A 57673-2019</t>
        </is>
      </c>
      <c r="B162" s="1" t="n">
        <v>43768</v>
      </c>
      <c r="C162" s="1" t="n">
        <v>45473</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58955-2019</t>
        </is>
      </c>
      <c r="B163" s="1" t="n">
        <v>43774</v>
      </c>
      <c r="C163" s="1" t="n">
        <v>45473</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59109-2019</t>
        </is>
      </c>
      <c r="B164" s="1" t="n">
        <v>43775</v>
      </c>
      <c r="C164" s="1" t="n">
        <v>45473</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59582-2019</t>
        </is>
      </c>
      <c r="B165" s="1" t="n">
        <v>43776</v>
      </c>
      <c r="C165" s="1" t="n">
        <v>45473</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60960-2019</t>
        </is>
      </c>
      <c r="B166" s="1" t="n">
        <v>43782</v>
      </c>
      <c r="C166" s="1" t="n">
        <v>45473</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61408-2019</t>
        </is>
      </c>
      <c r="B167" s="1" t="n">
        <v>43783</v>
      </c>
      <c r="C167" s="1" t="n">
        <v>45473</v>
      </c>
      <c r="D167" t="inlineStr">
        <is>
          <t>ÖREBRO LÄN</t>
        </is>
      </c>
      <c r="E167" t="inlineStr">
        <is>
          <t>ÖREBRO</t>
        </is>
      </c>
      <c r="F167" t="inlineStr">
        <is>
          <t>Övriga Aktiebolag</t>
        </is>
      </c>
      <c r="G167" t="n">
        <v>0.9</v>
      </c>
      <c r="H167" t="n">
        <v>0</v>
      </c>
      <c r="I167" t="n">
        <v>0</v>
      </c>
      <c r="J167" t="n">
        <v>0</v>
      </c>
      <c r="K167" t="n">
        <v>0</v>
      </c>
      <c r="L167" t="n">
        <v>0</v>
      </c>
      <c r="M167" t="n">
        <v>0</v>
      </c>
      <c r="N167" t="n">
        <v>0</v>
      </c>
      <c r="O167" t="n">
        <v>0</v>
      </c>
      <c r="P167" t="n">
        <v>0</v>
      </c>
      <c r="Q167" t="n">
        <v>0</v>
      </c>
      <c r="R167" s="2" t="inlineStr"/>
    </row>
    <row r="168" ht="15" customHeight="1">
      <c r="A168" t="inlineStr">
        <is>
          <t>A 61669-2019</t>
        </is>
      </c>
      <c r="B168" s="1" t="n">
        <v>43783</v>
      </c>
      <c r="C168" s="1" t="n">
        <v>45473</v>
      </c>
      <c r="D168" t="inlineStr">
        <is>
          <t>ÖREBRO LÄN</t>
        </is>
      </c>
      <c r="E168" t="inlineStr">
        <is>
          <t>ÖREBRO</t>
        </is>
      </c>
      <c r="F168" t="inlineStr">
        <is>
          <t>Kommuner</t>
        </is>
      </c>
      <c r="G168" t="n">
        <v>2.4</v>
      </c>
      <c r="H168" t="n">
        <v>0</v>
      </c>
      <c r="I168" t="n">
        <v>0</v>
      </c>
      <c r="J168" t="n">
        <v>0</v>
      </c>
      <c r="K168" t="n">
        <v>0</v>
      </c>
      <c r="L168" t="n">
        <v>0</v>
      </c>
      <c r="M168" t="n">
        <v>0</v>
      </c>
      <c r="N168" t="n">
        <v>0</v>
      </c>
      <c r="O168" t="n">
        <v>0</v>
      </c>
      <c r="P168" t="n">
        <v>0</v>
      </c>
      <c r="Q168" t="n">
        <v>0</v>
      </c>
      <c r="R168" s="2" t="inlineStr"/>
    </row>
    <row r="169" ht="15" customHeight="1">
      <c r="A169" t="inlineStr">
        <is>
          <t>A 61552-2019</t>
        </is>
      </c>
      <c r="B169" s="1" t="n">
        <v>43784</v>
      </c>
      <c r="C169" s="1" t="n">
        <v>45473</v>
      </c>
      <c r="D169" t="inlineStr">
        <is>
          <t>ÖREBRO LÄN</t>
        </is>
      </c>
      <c r="E169" t="inlineStr">
        <is>
          <t>ÖREBRO</t>
        </is>
      </c>
      <c r="G169" t="n">
        <v>1</v>
      </c>
      <c r="H169" t="n">
        <v>0</v>
      </c>
      <c r="I169" t="n">
        <v>0</v>
      </c>
      <c r="J169" t="n">
        <v>0</v>
      </c>
      <c r="K169" t="n">
        <v>0</v>
      </c>
      <c r="L169" t="n">
        <v>0</v>
      </c>
      <c r="M169" t="n">
        <v>0</v>
      </c>
      <c r="N169" t="n">
        <v>0</v>
      </c>
      <c r="O169" t="n">
        <v>0</v>
      </c>
      <c r="P169" t="n">
        <v>0</v>
      </c>
      <c r="Q169" t="n">
        <v>0</v>
      </c>
      <c r="R169" s="2" t="inlineStr"/>
    </row>
    <row r="170" ht="15" customHeight="1">
      <c r="A170" t="inlineStr">
        <is>
          <t>A 61812-2019</t>
        </is>
      </c>
      <c r="B170" s="1" t="n">
        <v>43786</v>
      </c>
      <c r="C170" s="1" t="n">
        <v>45473</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62131-2019</t>
        </is>
      </c>
      <c r="B171" s="1" t="n">
        <v>43787</v>
      </c>
      <c r="C171" s="1" t="n">
        <v>45473</v>
      </c>
      <c r="D171" t="inlineStr">
        <is>
          <t>ÖREBRO LÄN</t>
        </is>
      </c>
      <c r="E171" t="inlineStr">
        <is>
          <t>ÖREBRO</t>
        </is>
      </c>
      <c r="G171" t="n">
        <v>2.6</v>
      </c>
      <c r="H171" t="n">
        <v>0</v>
      </c>
      <c r="I171" t="n">
        <v>0</v>
      </c>
      <c r="J171" t="n">
        <v>0</v>
      </c>
      <c r="K171" t="n">
        <v>0</v>
      </c>
      <c r="L171" t="n">
        <v>0</v>
      </c>
      <c r="M171" t="n">
        <v>0</v>
      </c>
      <c r="N171" t="n">
        <v>0</v>
      </c>
      <c r="O171" t="n">
        <v>0</v>
      </c>
      <c r="P171" t="n">
        <v>0</v>
      </c>
      <c r="Q171" t="n">
        <v>0</v>
      </c>
      <c r="R171" s="2" t="inlineStr"/>
    </row>
    <row r="172" ht="15" customHeight="1">
      <c r="A172" t="inlineStr">
        <is>
          <t>A 63970-2019</t>
        </is>
      </c>
      <c r="B172" s="1" t="n">
        <v>43790</v>
      </c>
      <c r="C172" s="1" t="n">
        <v>45473</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63722-2019</t>
        </is>
      </c>
      <c r="B173" s="1" t="n">
        <v>43790</v>
      </c>
      <c r="C173" s="1" t="n">
        <v>45473</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63310-2019</t>
        </is>
      </c>
      <c r="B174" s="1" t="n">
        <v>43794</v>
      </c>
      <c r="C174" s="1" t="n">
        <v>45473</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64095-2019</t>
        </is>
      </c>
      <c r="B175" s="1" t="n">
        <v>43796</v>
      </c>
      <c r="C175" s="1" t="n">
        <v>45473</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64384-2019</t>
        </is>
      </c>
      <c r="B176" s="1" t="n">
        <v>43797</v>
      </c>
      <c r="C176" s="1" t="n">
        <v>45473</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65014-2019</t>
        </is>
      </c>
      <c r="B177" s="1" t="n">
        <v>43801</v>
      </c>
      <c r="C177" s="1" t="n">
        <v>45473</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64984-2019</t>
        </is>
      </c>
      <c r="B178" s="1" t="n">
        <v>43801</v>
      </c>
      <c r="C178" s="1" t="n">
        <v>45473</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65011-2019</t>
        </is>
      </c>
      <c r="B179" s="1" t="n">
        <v>43801</v>
      </c>
      <c r="C179" s="1" t="n">
        <v>45473</v>
      </c>
      <c r="D179" t="inlineStr">
        <is>
          <t>ÖREBRO LÄN</t>
        </is>
      </c>
      <c r="E179" t="inlineStr">
        <is>
          <t>ÖREBRO</t>
        </is>
      </c>
      <c r="G179" t="n">
        <v>0.3</v>
      </c>
      <c r="H179" t="n">
        <v>0</v>
      </c>
      <c r="I179" t="n">
        <v>0</v>
      </c>
      <c r="J179" t="n">
        <v>0</v>
      </c>
      <c r="K179" t="n">
        <v>0</v>
      </c>
      <c r="L179" t="n">
        <v>0</v>
      </c>
      <c r="M179" t="n">
        <v>0</v>
      </c>
      <c r="N179" t="n">
        <v>0</v>
      </c>
      <c r="O179" t="n">
        <v>0</v>
      </c>
      <c r="P179" t="n">
        <v>0</v>
      </c>
      <c r="Q179" t="n">
        <v>0</v>
      </c>
      <c r="R179" s="2" t="inlineStr"/>
    </row>
    <row r="180" ht="15" customHeight="1">
      <c r="A180" t="inlineStr">
        <is>
          <t>A 65937-2019</t>
        </is>
      </c>
      <c r="B180" s="1" t="n">
        <v>43801</v>
      </c>
      <c r="C180" s="1" t="n">
        <v>45473</v>
      </c>
      <c r="D180" t="inlineStr">
        <is>
          <t>ÖREBRO LÄN</t>
        </is>
      </c>
      <c r="E180" t="inlineStr">
        <is>
          <t>ÖREBRO</t>
        </is>
      </c>
      <c r="G180" t="n">
        <v>4.6</v>
      </c>
      <c r="H180" t="n">
        <v>0</v>
      </c>
      <c r="I180" t="n">
        <v>0</v>
      </c>
      <c r="J180" t="n">
        <v>0</v>
      </c>
      <c r="K180" t="n">
        <v>0</v>
      </c>
      <c r="L180" t="n">
        <v>0</v>
      </c>
      <c r="M180" t="n">
        <v>0</v>
      </c>
      <c r="N180" t="n">
        <v>0</v>
      </c>
      <c r="O180" t="n">
        <v>0</v>
      </c>
      <c r="P180" t="n">
        <v>0</v>
      </c>
      <c r="Q180" t="n">
        <v>0</v>
      </c>
      <c r="R180" s="2" t="inlineStr"/>
    </row>
    <row r="181" ht="15" customHeight="1">
      <c r="A181" t="inlineStr">
        <is>
          <t>A 65451-2019</t>
        </is>
      </c>
      <c r="B181" s="1" t="n">
        <v>43803</v>
      </c>
      <c r="C181" s="1" t="n">
        <v>45473</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65738-2019</t>
        </is>
      </c>
      <c r="B182" s="1" t="n">
        <v>43804</v>
      </c>
      <c r="C182" s="1" t="n">
        <v>45473</v>
      </c>
      <c r="D182" t="inlineStr">
        <is>
          <t>ÖREBRO LÄN</t>
        </is>
      </c>
      <c r="E182" t="inlineStr">
        <is>
          <t>ÖREBRO</t>
        </is>
      </c>
      <c r="G182" t="n">
        <v>6</v>
      </c>
      <c r="H182" t="n">
        <v>0</v>
      </c>
      <c r="I182" t="n">
        <v>0</v>
      </c>
      <c r="J182" t="n">
        <v>0</v>
      </c>
      <c r="K182" t="n">
        <v>0</v>
      </c>
      <c r="L182" t="n">
        <v>0</v>
      </c>
      <c r="M182" t="n">
        <v>0</v>
      </c>
      <c r="N182" t="n">
        <v>0</v>
      </c>
      <c r="O182" t="n">
        <v>0</v>
      </c>
      <c r="P182" t="n">
        <v>0</v>
      </c>
      <c r="Q182" t="n">
        <v>0</v>
      </c>
      <c r="R182" s="2" t="inlineStr"/>
    </row>
    <row r="183" ht="15" customHeight="1">
      <c r="A183" t="inlineStr">
        <is>
          <t>A 66581-2019</t>
        </is>
      </c>
      <c r="B183" s="1" t="n">
        <v>43809</v>
      </c>
      <c r="C183" s="1" t="n">
        <v>45473</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66562-2019</t>
        </is>
      </c>
      <c r="B184" s="1" t="n">
        <v>43809</v>
      </c>
      <c r="C184" s="1" t="n">
        <v>45473</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67939-2019</t>
        </is>
      </c>
      <c r="B185" s="1" t="n">
        <v>43810</v>
      </c>
      <c r="C185" s="1" t="n">
        <v>45473</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67471-2019</t>
        </is>
      </c>
      <c r="B186" s="1" t="n">
        <v>43814</v>
      </c>
      <c r="C186" s="1" t="n">
        <v>45473</v>
      </c>
      <c r="D186" t="inlineStr">
        <is>
          <t>ÖREBRO LÄN</t>
        </is>
      </c>
      <c r="E186" t="inlineStr">
        <is>
          <t>ÖREBRO</t>
        </is>
      </c>
      <c r="G186" t="n">
        <v>7</v>
      </c>
      <c r="H186" t="n">
        <v>0</v>
      </c>
      <c r="I186" t="n">
        <v>0</v>
      </c>
      <c r="J186" t="n">
        <v>0</v>
      </c>
      <c r="K186" t="n">
        <v>0</v>
      </c>
      <c r="L186" t="n">
        <v>0</v>
      </c>
      <c r="M186" t="n">
        <v>0</v>
      </c>
      <c r="N186" t="n">
        <v>0</v>
      </c>
      <c r="O186" t="n">
        <v>0</v>
      </c>
      <c r="P186" t="n">
        <v>0</v>
      </c>
      <c r="Q186" t="n">
        <v>0</v>
      </c>
      <c r="R186" s="2" t="inlineStr"/>
    </row>
    <row r="187" ht="15" customHeight="1">
      <c r="A187" t="inlineStr">
        <is>
          <t>A 67469-2019</t>
        </is>
      </c>
      <c r="B187" s="1" t="n">
        <v>43814</v>
      </c>
      <c r="C187" s="1" t="n">
        <v>45473</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67475-2019</t>
        </is>
      </c>
      <c r="B188" s="1" t="n">
        <v>43814</v>
      </c>
      <c r="C188" s="1" t="n">
        <v>45473</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67477-2019</t>
        </is>
      </c>
      <c r="B189" s="1" t="n">
        <v>43814</v>
      </c>
      <c r="C189" s="1" t="n">
        <v>45473</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68541-2019</t>
        </is>
      </c>
      <c r="B190" s="1" t="n">
        <v>43818</v>
      </c>
      <c r="C190" s="1" t="n">
        <v>45473</v>
      </c>
      <c r="D190" t="inlineStr">
        <is>
          <t>ÖREBRO LÄN</t>
        </is>
      </c>
      <c r="E190" t="inlineStr">
        <is>
          <t>ÖREBRO</t>
        </is>
      </c>
      <c r="G190" t="n">
        <v>5.9</v>
      </c>
      <c r="H190" t="n">
        <v>0</v>
      </c>
      <c r="I190" t="n">
        <v>0</v>
      </c>
      <c r="J190" t="n">
        <v>0</v>
      </c>
      <c r="K190" t="n">
        <v>0</v>
      </c>
      <c r="L190" t="n">
        <v>0</v>
      </c>
      <c r="M190" t="n">
        <v>0</v>
      </c>
      <c r="N190" t="n">
        <v>0</v>
      </c>
      <c r="O190" t="n">
        <v>0</v>
      </c>
      <c r="P190" t="n">
        <v>0</v>
      </c>
      <c r="Q190" t="n">
        <v>0</v>
      </c>
      <c r="R190" s="2" t="inlineStr"/>
    </row>
    <row r="191" ht="15" customHeight="1">
      <c r="A191" t="inlineStr">
        <is>
          <t>A 68554-2019</t>
        </is>
      </c>
      <c r="B191" s="1" t="n">
        <v>43818</v>
      </c>
      <c r="C191" s="1" t="n">
        <v>45473</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257-2020</t>
        </is>
      </c>
      <c r="B192" s="1" t="n">
        <v>43836</v>
      </c>
      <c r="C192" s="1" t="n">
        <v>45473</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760-2020</t>
        </is>
      </c>
      <c r="B193" s="1" t="n">
        <v>43838</v>
      </c>
      <c r="C193" s="1" t="n">
        <v>45473</v>
      </c>
      <c r="D193" t="inlineStr">
        <is>
          <t>ÖREBRO LÄN</t>
        </is>
      </c>
      <c r="E193" t="inlineStr">
        <is>
          <t>ÖREBRO</t>
        </is>
      </c>
      <c r="G193" t="n">
        <v>6.2</v>
      </c>
      <c r="H193" t="n">
        <v>0</v>
      </c>
      <c r="I193" t="n">
        <v>0</v>
      </c>
      <c r="J193" t="n">
        <v>0</v>
      </c>
      <c r="K193" t="n">
        <v>0</v>
      </c>
      <c r="L193" t="n">
        <v>0</v>
      </c>
      <c r="M193" t="n">
        <v>0</v>
      </c>
      <c r="N193" t="n">
        <v>0</v>
      </c>
      <c r="O193" t="n">
        <v>0</v>
      </c>
      <c r="P193" t="n">
        <v>0</v>
      </c>
      <c r="Q193" t="n">
        <v>0</v>
      </c>
      <c r="R193" s="2" t="inlineStr"/>
    </row>
    <row r="194" ht="15" customHeight="1">
      <c r="A194" t="inlineStr">
        <is>
          <t>A 2329-2020</t>
        </is>
      </c>
      <c r="B194" s="1" t="n">
        <v>43840</v>
      </c>
      <c r="C194" s="1" t="n">
        <v>45473</v>
      </c>
      <c r="D194" t="inlineStr">
        <is>
          <t>ÖREBRO LÄN</t>
        </is>
      </c>
      <c r="E194" t="inlineStr">
        <is>
          <t>ÖREBRO</t>
        </is>
      </c>
      <c r="F194" t="inlineStr">
        <is>
          <t>Kommuner</t>
        </is>
      </c>
      <c r="G194" t="n">
        <v>3.7</v>
      </c>
      <c r="H194" t="n">
        <v>0</v>
      </c>
      <c r="I194" t="n">
        <v>0</v>
      </c>
      <c r="J194" t="n">
        <v>0</v>
      </c>
      <c r="K194" t="n">
        <v>0</v>
      </c>
      <c r="L194" t="n">
        <v>0</v>
      </c>
      <c r="M194" t="n">
        <v>0</v>
      </c>
      <c r="N194" t="n">
        <v>0</v>
      </c>
      <c r="O194" t="n">
        <v>0</v>
      </c>
      <c r="P194" t="n">
        <v>0</v>
      </c>
      <c r="Q194" t="n">
        <v>0</v>
      </c>
      <c r="R194" s="2" t="inlineStr"/>
    </row>
    <row r="195" ht="15" customHeight="1">
      <c r="A195" t="inlineStr">
        <is>
          <t>A 1311-2020</t>
        </is>
      </c>
      <c r="B195" s="1" t="n">
        <v>43843</v>
      </c>
      <c r="C195" s="1" t="n">
        <v>45473</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1574-2020</t>
        </is>
      </c>
      <c r="B196" s="1" t="n">
        <v>43844</v>
      </c>
      <c r="C196" s="1" t="n">
        <v>45473</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1580-2020</t>
        </is>
      </c>
      <c r="B197" s="1" t="n">
        <v>43844</v>
      </c>
      <c r="C197" s="1" t="n">
        <v>45473</v>
      </c>
      <c r="D197" t="inlineStr">
        <is>
          <t>ÖREBRO LÄN</t>
        </is>
      </c>
      <c r="E197" t="inlineStr">
        <is>
          <t>ÖREBRO</t>
        </is>
      </c>
      <c r="G197" t="n">
        <v>1.3</v>
      </c>
      <c r="H197" t="n">
        <v>0</v>
      </c>
      <c r="I197" t="n">
        <v>0</v>
      </c>
      <c r="J197" t="n">
        <v>0</v>
      </c>
      <c r="K197" t="n">
        <v>0</v>
      </c>
      <c r="L197" t="n">
        <v>0</v>
      </c>
      <c r="M197" t="n">
        <v>0</v>
      </c>
      <c r="N197" t="n">
        <v>0</v>
      </c>
      <c r="O197" t="n">
        <v>0</v>
      </c>
      <c r="P197" t="n">
        <v>0</v>
      </c>
      <c r="Q197" t="n">
        <v>0</v>
      </c>
      <c r="R197" s="2" t="inlineStr"/>
    </row>
    <row r="198" ht="15" customHeight="1">
      <c r="A198" t="inlineStr">
        <is>
          <t>A 1577-2020</t>
        </is>
      </c>
      <c r="B198" s="1" t="n">
        <v>43844</v>
      </c>
      <c r="C198" s="1" t="n">
        <v>45473</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1582-2020</t>
        </is>
      </c>
      <c r="B199" s="1" t="n">
        <v>43844</v>
      </c>
      <c r="C199" s="1" t="n">
        <v>45473</v>
      </c>
      <c r="D199" t="inlineStr">
        <is>
          <t>ÖREBRO LÄN</t>
        </is>
      </c>
      <c r="E199" t="inlineStr">
        <is>
          <t>ÖREBRO</t>
        </is>
      </c>
      <c r="G199" t="n">
        <v>5.3</v>
      </c>
      <c r="H199" t="n">
        <v>0</v>
      </c>
      <c r="I199" t="n">
        <v>0</v>
      </c>
      <c r="J199" t="n">
        <v>0</v>
      </c>
      <c r="K199" t="n">
        <v>0</v>
      </c>
      <c r="L199" t="n">
        <v>0</v>
      </c>
      <c r="M199" t="n">
        <v>0</v>
      </c>
      <c r="N199" t="n">
        <v>0</v>
      </c>
      <c r="O199" t="n">
        <v>0</v>
      </c>
      <c r="P199" t="n">
        <v>0</v>
      </c>
      <c r="Q199" t="n">
        <v>0</v>
      </c>
      <c r="R199" s="2" t="inlineStr"/>
    </row>
    <row r="200" ht="15" customHeight="1">
      <c r="A200" t="inlineStr">
        <is>
          <t>A 1581-2020</t>
        </is>
      </c>
      <c r="B200" s="1" t="n">
        <v>43844</v>
      </c>
      <c r="C200" s="1" t="n">
        <v>45473</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1573-2020</t>
        </is>
      </c>
      <c r="B201" s="1" t="n">
        <v>43844</v>
      </c>
      <c r="C201" s="1" t="n">
        <v>45473</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1579-2020</t>
        </is>
      </c>
      <c r="B202" s="1" t="n">
        <v>43844</v>
      </c>
      <c r="C202" s="1" t="n">
        <v>45473</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1575-2020</t>
        </is>
      </c>
      <c r="B203" s="1" t="n">
        <v>43844</v>
      </c>
      <c r="C203" s="1" t="n">
        <v>45473</v>
      </c>
      <c r="D203" t="inlineStr">
        <is>
          <t>ÖREBRO LÄN</t>
        </is>
      </c>
      <c r="E203" t="inlineStr">
        <is>
          <t>ÖREBRO</t>
        </is>
      </c>
      <c r="G203" t="n">
        <v>2.3</v>
      </c>
      <c r="H203" t="n">
        <v>0</v>
      </c>
      <c r="I203" t="n">
        <v>0</v>
      </c>
      <c r="J203" t="n">
        <v>0</v>
      </c>
      <c r="K203" t="n">
        <v>0</v>
      </c>
      <c r="L203" t="n">
        <v>0</v>
      </c>
      <c r="M203" t="n">
        <v>0</v>
      </c>
      <c r="N203" t="n">
        <v>0</v>
      </c>
      <c r="O203" t="n">
        <v>0</v>
      </c>
      <c r="P203" t="n">
        <v>0</v>
      </c>
      <c r="Q203" t="n">
        <v>0</v>
      </c>
      <c r="R203" s="2" t="inlineStr"/>
    </row>
    <row r="204" ht="15" customHeight="1">
      <c r="A204" t="inlineStr">
        <is>
          <t>A 3022-2020</t>
        </is>
      </c>
      <c r="B204" s="1" t="n">
        <v>43851</v>
      </c>
      <c r="C204" s="1" t="n">
        <v>45473</v>
      </c>
      <c r="D204" t="inlineStr">
        <is>
          <t>ÖREBRO LÄN</t>
        </is>
      </c>
      <c r="E204" t="inlineStr">
        <is>
          <t>ÖREBRO</t>
        </is>
      </c>
      <c r="G204" t="n">
        <v>3.4</v>
      </c>
      <c r="H204" t="n">
        <v>0</v>
      </c>
      <c r="I204" t="n">
        <v>0</v>
      </c>
      <c r="J204" t="n">
        <v>0</v>
      </c>
      <c r="K204" t="n">
        <v>0</v>
      </c>
      <c r="L204" t="n">
        <v>0</v>
      </c>
      <c r="M204" t="n">
        <v>0</v>
      </c>
      <c r="N204" t="n">
        <v>0</v>
      </c>
      <c r="O204" t="n">
        <v>0</v>
      </c>
      <c r="P204" t="n">
        <v>0</v>
      </c>
      <c r="Q204" t="n">
        <v>0</v>
      </c>
      <c r="R204" s="2" t="inlineStr"/>
    </row>
    <row r="205" ht="15" customHeight="1">
      <c r="A205" t="inlineStr">
        <is>
          <t>A 3630-2020</t>
        </is>
      </c>
      <c r="B205" s="1" t="n">
        <v>43853</v>
      </c>
      <c r="C205" s="1" t="n">
        <v>45473</v>
      </c>
      <c r="D205" t="inlineStr">
        <is>
          <t>ÖREBRO LÄN</t>
        </is>
      </c>
      <c r="E205" t="inlineStr">
        <is>
          <t>ÖREBRO</t>
        </is>
      </c>
      <c r="G205" t="n">
        <v>7.9</v>
      </c>
      <c r="H205" t="n">
        <v>0</v>
      </c>
      <c r="I205" t="n">
        <v>0</v>
      </c>
      <c r="J205" t="n">
        <v>0</v>
      </c>
      <c r="K205" t="n">
        <v>0</v>
      </c>
      <c r="L205" t="n">
        <v>0</v>
      </c>
      <c r="M205" t="n">
        <v>0</v>
      </c>
      <c r="N205" t="n">
        <v>0</v>
      </c>
      <c r="O205" t="n">
        <v>0</v>
      </c>
      <c r="P205" t="n">
        <v>0</v>
      </c>
      <c r="Q205" t="n">
        <v>0</v>
      </c>
      <c r="R205" s="2" t="inlineStr"/>
    </row>
    <row r="206" ht="15" customHeight="1">
      <c r="A206" t="inlineStr">
        <is>
          <t>A 3628-2020</t>
        </is>
      </c>
      <c r="B206" s="1" t="n">
        <v>43853</v>
      </c>
      <c r="C206" s="1" t="n">
        <v>45473</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4990-2020</t>
        </is>
      </c>
      <c r="B207" s="1" t="n">
        <v>43853</v>
      </c>
      <c r="C207" s="1" t="n">
        <v>45473</v>
      </c>
      <c r="D207" t="inlineStr">
        <is>
          <t>ÖREBRO LÄN</t>
        </is>
      </c>
      <c r="E207" t="inlineStr">
        <is>
          <t>ÖREBRO</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3956-2020</t>
        </is>
      </c>
      <c r="B208" s="1" t="n">
        <v>43854</v>
      </c>
      <c r="C208" s="1" t="n">
        <v>45473</v>
      </c>
      <c r="D208" t="inlineStr">
        <is>
          <t>ÖREBRO LÄN</t>
        </is>
      </c>
      <c r="E208" t="inlineStr">
        <is>
          <t>ÖREBRO</t>
        </is>
      </c>
      <c r="G208" t="n">
        <v>4.1</v>
      </c>
      <c r="H208" t="n">
        <v>0</v>
      </c>
      <c r="I208" t="n">
        <v>0</v>
      </c>
      <c r="J208" t="n">
        <v>0</v>
      </c>
      <c r="K208" t="n">
        <v>0</v>
      </c>
      <c r="L208" t="n">
        <v>0</v>
      </c>
      <c r="M208" t="n">
        <v>0</v>
      </c>
      <c r="N208" t="n">
        <v>0</v>
      </c>
      <c r="O208" t="n">
        <v>0</v>
      </c>
      <c r="P208" t="n">
        <v>0</v>
      </c>
      <c r="Q208" t="n">
        <v>0</v>
      </c>
      <c r="R208" s="2" t="inlineStr"/>
    </row>
    <row r="209" ht="15" customHeight="1">
      <c r="A209" t="inlineStr">
        <is>
          <t>A 4343-2020</t>
        </is>
      </c>
      <c r="B209" s="1" t="n">
        <v>43857</v>
      </c>
      <c r="C209" s="1" t="n">
        <v>45473</v>
      </c>
      <c r="D209" t="inlineStr">
        <is>
          <t>ÖREBRO LÄN</t>
        </is>
      </c>
      <c r="E209" t="inlineStr">
        <is>
          <t>ÖREBRO</t>
        </is>
      </c>
      <c r="F209" t="inlineStr">
        <is>
          <t>Övriga Aktiebolag</t>
        </is>
      </c>
      <c r="G209" t="n">
        <v>1.3</v>
      </c>
      <c r="H209" t="n">
        <v>0</v>
      </c>
      <c r="I209" t="n">
        <v>0</v>
      </c>
      <c r="J209" t="n">
        <v>0</v>
      </c>
      <c r="K209" t="n">
        <v>0</v>
      </c>
      <c r="L209" t="n">
        <v>0</v>
      </c>
      <c r="M209" t="n">
        <v>0</v>
      </c>
      <c r="N209" t="n">
        <v>0</v>
      </c>
      <c r="O209" t="n">
        <v>0</v>
      </c>
      <c r="P209" t="n">
        <v>0</v>
      </c>
      <c r="Q209" t="n">
        <v>0</v>
      </c>
      <c r="R209" s="2" t="inlineStr"/>
    </row>
    <row r="210" ht="15" customHeight="1">
      <c r="A210" t="inlineStr">
        <is>
          <t>A 4751-2020</t>
        </is>
      </c>
      <c r="B210" s="1" t="n">
        <v>43858</v>
      </c>
      <c r="C210" s="1" t="n">
        <v>45473</v>
      </c>
      <c r="D210" t="inlineStr">
        <is>
          <t>ÖREBRO LÄN</t>
        </is>
      </c>
      <c r="E210" t="inlineStr">
        <is>
          <t>ÖREBRO</t>
        </is>
      </c>
      <c r="F210" t="inlineStr">
        <is>
          <t>Kommuner</t>
        </is>
      </c>
      <c r="G210" t="n">
        <v>2.9</v>
      </c>
      <c r="H210" t="n">
        <v>0</v>
      </c>
      <c r="I210" t="n">
        <v>0</v>
      </c>
      <c r="J210" t="n">
        <v>0</v>
      </c>
      <c r="K210" t="n">
        <v>0</v>
      </c>
      <c r="L210" t="n">
        <v>0</v>
      </c>
      <c r="M210" t="n">
        <v>0</v>
      </c>
      <c r="N210" t="n">
        <v>0</v>
      </c>
      <c r="O210" t="n">
        <v>0</v>
      </c>
      <c r="P210" t="n">
        <v>0</v>
      </c>
      <c r="Q210" t="n">
        <v>0</v>
      </c>
      <c r="R210" s="2" t="inlineStr"/>
      <c r="U210">
        <f>HYPERLINK("https://klasma.github.io/Logging_1880/knärot/A 4751-2020 karta knärot.png", "A 4751-2020")</f>
        <v/>
      </c>
      <c r="V210">
        <f>HYPERLINK("https://klasma.github.io/Logging_1880/klagomål/A 4751-2020 FSC-klagomål.docx", "A 4751-2020")</f>
        <v/>
      </c>
      <c r="W210">
        <f>HYPERLINK("https://klasma.github.io/Logging_1880/klagomålsmail/A 4751-2020 FSC-klagomål mail.docx", "A 4751-2020")</f>
        <v/>
      </c>
      <c r="X210">
        <f>HYPERLINK("https://klasma.github.io/Logging_1880/tillsyn/A 4751-2020 tillsynsbegäran.docx", "A 4751-2020")</f>
        <v/>
      </c>
      <c r="Y210">
        <f>HYPERLINK("https://klasma.github.io/Logging_1880/tillsynsmail/A 4751-2020 tillsynsbegäran mail.docx", "A 4751-2020")</f>
        <v/>
      </c>
    </row>
    <row r="211" ht="15" customHeight="1">
      <c r="A211" t="inlineStr">
        <is>
          <t>A 5076-2020</t>
        </is>
      </c>
      <c r="B211" s="1" t="n">
        <v>43859</v>
      </c>
      <c r="C211" s="1" t="n">
        <v>45473</v>
      </c>
      <c r="D211" t="inlineStr">
        <is>
          <t>ÖREBRO LÄN</t>
        </is>
      </c>
      <c r="E211" t="inlineStr">
        <is>
          <t>ÖREBRO</t>
        </is>
      </c>
      <c r="G211" t="n">
        <v>0.8</v>
      </c>
      <c r="H211" t="n">
        <v>0</v>
      </c>
      <c r="I211" t="n">
        <v>0</v>
      </c>
      <c r="J211" t="n">
        <v>0</v>
      </c>
      <c r="K211" t="n">
        <v>0</v>
      </c>
      <c r="L211" t="n">
        <v>0</v>
      </c>
      <c r="M211" t="n">
        <v>0</v>
      </c>
      <c r="N211" t="n">
        <v>0</v>
      </c>
      <c r="O211" t="n">
        <v>0</v>
      </c>
      <c r="P211" t="n">
        <v>0</v>
      </c>
      <c r="Q211" t="n">
        <v>0</v>
      </c>
      <c r="R211" s="2" t="inlineStr"/>
    </row>
    <row r="212" ht="15" customHeight="1">
      <c r="A212" t="inlineStr">
        <is>
          <t>A 6166-2020</t>
        </is>
      </c>
      <c r="B212" s="1" t="n">
        <v>43864</v>
      </c>
      <c r="C212" s="1" t="n">
        <v>45473</v>
      </c>
      <c r="D212" t="inlineStr">
        <is>
          <t>ÖREBRO LÄN</t>
        </is>
      </c>
      <c r="E212" t="inlineStr">
        <is>
          <t>ÖREBRO</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6247-2020</t>
        </is>
      </c>
      <c r="B213" s="1" t="n">
        <v>43864</v>
      </c>
      <c r="C213" s="1" t="n">
        <v>45473</v>
      </c>
      <c r="D213" t="inlineStr">
        <is>
          <t>ÖREBRO LÄN</t>
        </is>
      </c>
      <c r="E213" t="inlineStr">
        <is>
          <t>ÖREBRO</t>
        </is>
      </c>
      <c r="G213" t="n">
        <v>4.2</v>
      </c>
      <c r="H213" t="n">
        <v>0</v>
      </c>
      <c r="I213" t="n">
        <v>0</v>
      </c>
      <c r="J213" t="n">
        <v>0</v>
      </c>
      <c r="K213" t="n">
        <v>0</v>
      </c>
      <c r="L213" t="n">
        <v>0</v>
      </c>
      <c r="M213" t="n">
        <v>0</v>
      </c>
      <c r="N213" t="n">
        <v>0</v>
      </c>
      <c r="O213" t="n">
        <v>0</v>
      </c>
      <c r="P213" t="n">
        <v>0</v>
      </c>
      <c r="Q213" t="n">
        <v>0</v>
      </c>
      <c r="R213" s="2" t="inlineStr"/>
    </row>
    <row r="214" ht="15" customHeight="1">
      <c r="A214" t="inlineStr">
        <is>
          <t>A 6456-2020</t>
        </is>
      </c>
      <c r="B214" s="1" t="n">
        <v>43866</v>
      </c>
      <c r="C214" s="1" t="n">
        <v>45473</v>
      </c>
      <c r="D214" t="inlineStr">
        <is>
          <t>ÖREBRO LÄN</t>
        </is>
      </c>
      <c r="E214" t="inlineStr">
        <is>
          <t>ÖREBRO</t>
        </is>
      </c>
      <c r="F214" t="inlineStr">
        <is>
          <t>Övriga Aktiebolag</t>
        </is>
      </c>
      <c r="G214" t="n">
        <v>5.4</v>
      </c>
      <c r="H214" t="n">
        <v>0</v>
      </c>
      <c r="I214" t="n">
        <v>0</v>
      </c>
      <c r="J214" t="n">
        <v>0</v>
      </c>
      <c r="K214" t="n">
        <v>0</v>
      </c>
      <c r="L214" t="n">
        <v>0</v>
      </c>
      <c r="M214" t="n">
        <v>0</v>
      </c>
      <c r="N214" t="n">
        <v>0</v>
      </c>
      <c r="O214" t="n">
        <v>0</v>
      </c>
      <c r="P214" t="n">
        <v>0</v>
      </c>
      <c r="Q214" t="n">
        <v>0</v>
      </c>
      <c r="R214" s="2" t="inlineStr"/>
    </row>
    <row r="215" ht="15" customHeight="1">
      <c r="A215" t="inlineStr">
        <is>
          <t>A 6633-2020</t>
        </is>
      </c>
      <c r="B215" s="1" t="n">
        <v>43867</v>
      </c>
      <c r="C215" s="1" t="n">
        <v>45473</v>
      </c>
      <c r="D215" t="inlineStr">
        <is>
          <t>ÖREBRO LÄN</t>
        </is>
      </c>
      <c r="E215" t="inlineStr">
        <is>
          <t>ÖREBRO</t>
        </is>
      </c>
      <c r="G215" t="n">
        <v>0.9</v>
      </c>
      <c r="H215" t="n">
        <v>0</v>
      </c>
      <c r="I215" t="n">
        <v>0</v>
      </c>
      <c r="J215" t="n">
        <v>0</v>
      </c>
      <c r="K215" t="n">
        <v>0</v>
      </c>
      <c r="L215" t="n">
        <v>0</v>
      </c>
      <c r="M215" t="n">
        <v>0</v>
      </c>
      <c r="N215" t="n">
        <v>0</v>
      </c>
      <c r="O215" t="n">
        <v>0</v>
      </c>
      <c r="P215" t="n">
        <v>0</v>
      </c>
      <c r="Q215" t="n">
        <v>0</v>
      </c>
      <c r="R215" s="2" t="inlineStr"/>
    </row>
    <row r="216" ht="15" customHeight="1">
      <c r="A216" t="inlineStr">
        <is>
          <t>A 6792-2020</t>
        </is>
      </c>
      <c r="B216" s="1" t="n">
        <v>43867</v>
      </c>
      <c r="C216" s="1" t="n">
        <v>45473</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6924-2020</t>
        </is>
      </c>
      <c r="B217" s="1" t="n">
        <v>43868</v>
      </c>
      <c r="C217" s="1" t="n">
        <v>45473</v>
      </c>
      <c r="D217" t="inlineStr">
        <is>
          <t>ÖREBRO LÄN</t>
        </is>
      </c>
      <c r="E217" t="inlineStr">
        <is>
          <t>ÖREBRO</t>
        </is>
      </c>
      <c r="G217" t="n">
        <v>3.1</v>
      </c>
      <c r="H217" t="n">
        <v>0</v>
      </c>
      <c r="I217" t="n">
        <v>0</v>
      </c>
      <c r="J217" t="n">
        <v>0</v>
      </c>
      <c r="K217" t="n">
        <v>0</v>
      </c>
      <c r="L217" t="n">
        <v>0</v>
      </c>
      <c r="M217" t="n">
        <v>0</v>
      </c>
      <c r="N217" t="n">
        <v>0</v>
      </c>
      <c r="O217" t="n">
        <v>0</v>
      </c>
      <c r="P217" t="n">
        <v>0</v>
      </c>
      <c r="Q217" t="n">
        <v>0</v>
      </c>
      <c r="R217" s="2" t="inlineStr"/>
    </row>
    <row r="218" ht="15" customHeight="1">
      <c r="A218" t="inlineStr">
        <is>
          <t>A 6949-2020</t>
        </is>
      </c>
      <c r="B218" s="1" t="n">
        <v>43868</v>
      </c>
      <c r="C218" s="1" t="n">
        <v>45473</v>
      </c>
      <c r="D218" t="inlineStr">
        <is>
          <t>ÖREBRO LÄN</t>
        </is>
      </c>
      <c r="E218" t="inlineStr">
        <is>
          <t>ÖREBRO</t>
        </is>
      </c>
      <c r="G218" t="n">
        <v>3.4</v>
      </c>
      <c r="H218" t="n">
        <v>0</v>
      </c>
      <c r="I218" t="n">
        <v>0</v>
      </c>
      <c r="J218" t="n">
        <v>0</v>
      </c>
      <c r="K218" t="n">
        <v>0</v>
      </c>
      <c r="L218" t="n">
        <v>0</v>
      </c>
      <c r="M218" t="n">
        <v>0</v>
      </c>
      <c r="N218" t="n">
        <v>0</v>
      </c>
      <c r="O218" t="n">
        <v>0</v>
      </c>
      <c r="P218" t="n">
        <v>0</v>
      </c>
      <c r="Q218" t="n">
        <v>0</v>
      </c>
      <c r="R218" s="2" t="inlineStr"/>
    </row>
    <row r="219" ht="15" customHeight="1">
      <c r="A219" t="inlineStr">
        <is>
          <t>A 7583-2020</t>
        </is>
      </c>
      <c r="B219" s="1" t="n">
        <v>43872</v>
      </c>
      <c r="C219" s="1" t="n">
        <v>45473</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8563-2020</t>
        </is>
      </c>
      <c r="B220" s="1" t="n">
        <v>43877</v>
      </c>
      <c r="C220" s="1" t="n">
        <v>45473</v>
      </c>
      <c r="D220" t="inlineStr">
        <is>
          <t>ÖREBRO LÄN</t>
        </is>
      </c>
      <c r="E220" t="inlineStr">
        <is>
          <t>ÖREBRO</t>
        </is>
      </c>
      <c r="G220" t="n">
        <v>11.9</v>
      </c>
      <c r="H220" t="n">
        <v>0</v>
      </c>
      <c r="I220" t="n">
        <v>0</v>
      </c>
      <c r="J220" t="n">
        <v>0</v>
      </c>
      <c r="K220" t="n">
        <v>0</v>
      </c>
      <c r="L220" t="n">
        <v>0</v>
      </c>
      <c r="M220" t="n">
        <v>0</v>
      </c>
      <c r="N220" t="n">
        <v>0</v>
      </c>
      <c r="O220" t="n">
        <v>0</v>
      </c>
      <c r="P220" t="n">
        <v>0</v>
      </c>
      <c r="Q220" t="n">
        <v>0</v>
      </c>
      <c r="R220" s="2" t="inlineStr"/>
    </row>
    <row r="221" ht="15" customHeight="1">
      <c r="A221" t="inlineStr">
        <is>
          <t>A 8801-2020</t>
        </is>
      </c>
      <c r="B221" s="1" t="n">
        <v>43878</v>
      </c>
      <c r="C221" s="1" t="n">
        <v>45473</v>
      </c>
      <c r="D221" t="inlineStr">
        <is>
          <t>ÖREBRO LÄN</t>
        </is>
      </c>
      <c r="E221" t="inlineStr">
        <is>
          <t>ÖREBRO</t>
        </is>
      </c>
      <c r="G221" t="n">
        <v>3.2</v>
      </c>
      <c r="H221" t="n">
        <v>0</v>
      </c>
      <c r="I221" t="n">
        <v>0</v>
      </c>
      <c r="J221" t="n">
        <v>0</v>
      </c>
      <c r="K221" t="n">
        <v>0</v>
      </c>
      <c r="L221" t="n">
        <v>0</v>
      </c>
      <c r="M221" t="n">
        <v>0</v>
      </c>
      <c r="N221" t="n">
        <v>0</v>
      </c>
      <c r="O221" t="n">
        <v>0</v>
      </c>
      <c r="P221" t="n">
        <v>0</v>
      </c>
      <c r="Q221" t="n">
        <v>0</v>
      </c>
      <c r="R221" s="2" t="inlineStr"/>
    </row>
    <row r="222" ht="15" customHeight="1">
      <c r="A222" t="inlineStr">
        <is>
          <t>A 8893-2020</t>
        </is>
      </c>
      <c r="B222" s="1" t="n">
        <v>43878</v>
      </c>
      <c r="C222" s="1" t="n">
        <v>45473</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9572-2020</t>
        </is>
      </c>
      <c r="B223" s="1" t="n">
        <v>43881</v>
      </c>
      <c r="C223" s="1" t="n">
        <v>45473</v>
      </c>
      <c r="D223" t="inlineStr">
        <is>
          <t>ÖREBRO LÄN</t>
        </is>
      </c>
      <c r="E223" t="inlineStr">
        <is>
          <t>ÖREBRO</t>
        </is>
      </c>
      <c r="G223" t="n">
        <v>3.8</v>
      </c>
      <c r="H223" t="n">
        <v>0</v>
      </c>
      <c r="I223" t="n">
        <v>0</v>
      </c>
      <c r="J223" t="n">
        <v>0</v>
      </c>
      <c r="K223" t="n">
        <v>0</v>
      </c>
      <c r="L223" t="n">
        <v>0</v>
      </c>
      <c r="M223" t="n">
        <v>0</v>
      </c>
      <c r="N223" t="n">
        <v>0</v>
      </c>
      <c r="O223" t="n">
        <v>0</v>
      </c>
      <c r="P223" t="n">
        <v>0</v>
      </c>
      <c r="Q223" t="n">
        <v>0</v>
      </c>
      <c r="R223" s="2" t="inlineStr"/>
    </row>
    <row r="224" ht="15" customHeight="1">
      <c r="A224" t="inlineStr">
        <is>
          <t>A 9561-2020</t>
        </is>
      </c>
      <c r="B224" s="1" t="n">
        <v>43881</v>
      </c>
      <c r="C224" s="1" t="n">
        <v>45473</v>
      </c>
      <c r="D224" t="inlineStr">
        <is>
          <t>ÖREBRO LÄN</t>
        </is>
      </c>
      <c r="E224" t="inlineStr">
        <is>
          <t>ÖREBRO</t>
        </is>
      </c>
      <c r="G224" t="n">
        <v>8.6</v>
      </c>
      <c r="H224" t="n">
        <v>0</v>
      </c>
      <c r="I224" t="n">
        <v>0</v>
      </c>
      <c r="J224" t="n">
        <v>0</v>
      </c>
      <c r="K224" t="n">
        <v>0</v>
      </c>
      <c r="L224" t="n">
        <v>0</v>
      </c>
      <c r="M224" t="n">
        <v>0</v>
      </c>
      <c r="N224" t="n">
        <v>0</v>
      </c>
      <c r="O224" t="n">
        <v>0</v>
      </c>
      <c r="P224" t="n">
        <v>0</v>
      </c>
      <c r="Q224" t="n">
        <v>0</v>
      </c>
      <c r="R224" s="2" t="inlineStr"/>
    </row>
    <row r="225" ht="15" customHeight="1">
      <c r="A225" t="inlineStr">
        <is>
          <t>A 9655-2020</t>
        </is>
      </c>
      <c r="B225" s="1" t="n">
        <v>43881</v>
      </c>
      <c r="C225" s="1" t="n">
        <v>45473</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9893-2020</t>
        </is>
      </c>
      <c r="B226" s="1" t="n">
        <v>43881</v>
      </c>
      <c r="C226" s="1" t="n">
        <v>45473</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11956-2020</t>
        </is>
      </c>
      <c r="B227" s="1" t="n">
        <v>43894</v>
      </c>
      <c r="C227" s="1" t="n">
        <v>45473</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11957-2020</t>
        </is>
      </c>
      <c r="B228" s="1" t="n">
        <v>43894</v>
      </c>
      <c r="C228" s="1" t="n">
        <v>45473</v>
      </c>
      <c r="D228" t="inlineStr">
        <is>
          <t>ÖREBRO LÄN</t>
        </is>
      </c>
      <c r="E228" t="inlineStr">
        <is>
          <t>ÖREBRO</t>
        </is>
      </c>
      <c r="G228" t="n">
        <v>3.6</v>
      </c>
      <c r="H228" t="n">
        <v>0</v>
      </c>
      <c r="I228" t="n">
        <v>0</v>
      </c>
      <c r="J228" t="n">
        <v>0</v>
      </c>
      <c r="K228" t="n">
        <v>0</v>
      </c>
      <c r="L228" t="n">
        <v>0</v>
      </c>
      <c r="M228" t="n">
        <v>0</v>
      </c>
      <c r="N228" t="n">
        <v>0</v>
      </c>
      <c r="O228" t="n">
        <v>0</v>
      </c>
      <c r="P228" t="n">
        <v>0</v>
      </c>
      <c r="Q228" t="n">
        <v>0</v>
      </c>
      <c r="R228" s="2" t="inlineStr"/>
    </row>
    <row r="229" ht="15" customHeight="1">
      <c r="A229" t="inlineStr">
        <is>
          <t>A 12335-2020</t>
        </is>
      </c>
      <c r="B229" s="1" t="n">
        <v>43895</v>
      </c>
      <c r="C229" s="1" t="n">
        <v>45473</v>
      </c>
      <c r="D229" t="inlineStr">
        <is>
          <t>ÖREBRO LÄN</t>
        </is>
      </c>
      <c r="E229" t="inlineStr">
        <is>
          <t>ÖREBRO</t>
        </is>
      </c>
      <c r="G229" t="n">
        <v>6.9</v>
      </c>
      <c r="H229" t="n">
        <v>0</v>
      </c>
      <c r="I229" t="n">
        <v>0</v>
      </c>
      <c r="J229" t="n">
        <v>0</v>
      </c>
      <c r="K229" t="n">
        <v>0</v>
      </c>
      <c r="L229" t="n">
        <v>0</v>
      </c>
      <c r="M229" t="n">
        <v>0</v>
      </c>
      <c r="N229" t="n">
        <v>0</v>
      </c>
      <c r="O229" t="n">
        <v>0</v>
      </c>
      <c r="P229" t="n">
        <v>0</v>
      </c>
      <c r="Q229" t="n">
        <v>0</v>
      </c>
      <c r="R229" s="2" t="inlineStr"/>
    </row>
    <row r="230" ht="15" customHeight="1">
      <c r="A230" t="inlineStr">
        <is>
          <t>A 12548-2020</t>
        </is>
      </c>
      <c r="B230" s="1" t="n">
        <v>43897</v>
      </c>
      <c r="C230" s="1" t="n">
        <v>45473</v>
      </c>
      <c r="D230" t="inlineStr">
        <is>
          <t>ÖREBRO LÄN</t>
        </is>
      </c>
      <c r="E230" t="inlineStr">
        <is>
          <t>ÖREBRO</t>
        </is>
      </c>
      <c r="G230" t="n">
        <v>2.1</v>
      </c>
      <c r="H230" t="n">
        <v>0</v>
      </c>
      <c r="I230" t="n">
        <v>0</v>
      </c>
      <c r="J230" t="n">
        <v>0</v>
      </c>
      <c r="K230" t="n">
        <v>0</v>
      </c>
      <c r="L230" t="n">
        <v>0</v>
      </c>
      <c r="M230" t="n">
        <v>0</v>
      </c>
      <c r="N230" t="n">
        <v>0</v>
      </c>
      <c r="O230" t="n">
        <v>0</v>
      </c>
      <c r="P230" t="n">
        <v>0</v>
      </c>
      <c r="Q230" t="n">
        <v>0</v>
      </c>
      <c r="R230" s="2" t="inlineStr"/>
    </row>
    <row r="231" ht="15" customHeight="1">
      <c r="A231" t="inlineStr">
        <is>
          <t>A 12546-2020</t>
        </is>
      </c>
      <c r="B231" s="1" t="n">
        <v>43897</v>
      </c>
      <c r="C231" s="1" t="n">
        <v>45473</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13273-2020</t>
        </is>
      </c>
      <c r="B232" s="1" t="n">
        <v>43901</v>
      </c>
      <c r="C232" s="1" t="n">
        <v>45473</v>
      </c>
      <c r="D232" t="inlineStr">
        <is>
          <t>ÖREBRO LÄN</t>
        </is>
      </c>
      <c r="E232" t="inlineStr">
        <is>
          <t>ÖREBRO</t>
        </is>
      </c>
      <c r="G232" t="n">
        <v>2.6</v>
      </c>
      <c r="H232" t="n">
        <v>0</v>
      </c>
      <c r="I232" t="n">
        <v>0</v>
      </c>
      <c r="J232" t="n">
        <v>0</v>
      </c>
      <c r="K232" t="n">
        <v>0</v>
      </c>
      <c r="L232" t="n">
        <v>0</v>
      </c>
      <c r="M232" t="n">
        <v>0</v>
      </c>
      <c r="N232" t="n">
        <v>0</v>
      </c>
      <c r="O232" t="n">
        <v>0</v>
      </c>
      <c r="P232" t="n">
        <v>0</v>
      </c>
      <c r="Q232" t="n">
        <v>0</v>
      </c>
      <c r="R232" s="2" t="inlineStr"/>
    </row>
    <row r="233" ht="15" customHeight="1">
      <c r="A233" t="inlineStr">
        <is>
          <t>A 13328-2020</t>
        </is>
      </c>
      <c r="B233" s="1" t="n">
        <v>43902</v>
      </c>
      <c r="C233" s="1" t="n">
        <v>45473</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13830-2020</t>
        </is>
      </c>
      <c r="B234" s="1" t="n">
        <v>43905</v>
      </c>
      <c r="C234" s="1" t="n">
        <v>45473</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14209-2020</t>
        </is>
      </c>
      <c r="B235" s="1" t="n">
        <v>43907</v>
      </c>
      <c r="C235" s="1" t="n">
        <v>45473</v>
      </c>
      <c r="D235" t="inlineStr">
        <is>
          <t>ÖREBRO LÄN</t>
        </is>
      </c>
      <c r="E235" t="inlineStr">
        <is>
          <t>ÖREBRO</t>
        </is>
      </c>
      <c r="G235" t="n">
        <v>7.4</v>
      </c>
      <c r="H235" t="n">
        <v>0</v>
      </c>
      <c r="I235" t="n">
        <v>0</v>
      </c>
      <c r="J235" t="n">
        <v>0</v>
      </c>
      <c r="K235" t="n">
        <v>0</v>
      </c>
      <c r="L235" t="n">
        <v>0</v>
      </c>
      <c r="M235" t="n">
        <v>0</v>
      </c>
      <c r="N235" t="n">
        <v>0</v>
      </c>
      <c r="O235" t="n">
        <v>0</v>
      </c>
      <c r="P235" t="n">
        <v>0</v>
      </c>
      <c r="Q235" t="n">
        <v>0</v>
      </c>
      <c r="R235" s="2" t="inlineStr"/>
    </row>
    <row r="236" ht="15" customHeight="1">
      <c r="A236" t="inlineStr">
        <is>
          <t>A 16152-2020</t>
        </is>
      </c>
      <c r="B236" s="1" t="n">
        <v>43916</v>
      </c>
      <c r="C236" s="1" t="n">
        <v>45473</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16258-2020</t>
        </is>
      </c>
      <c r="B237" s="1" t="n">
        <v>43917</v>
      </c>
      <c r="C237" s="1" t="n">
        <v>45473</v>
      </c>
      <c r="D237" t="inlineStr">
        <is>
          <t>ÖREBRO LÄN</t>
        </is>
      </c>
      <c r="E237" t="inlineStr">
        <is>
          <t>ÖREBRO</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16682-2020</t>
        </is>
      </c>
      <c r="B238" s="1" t="n">
        <v>43920</v>
      </c>
      <c r="C238" s="1" t="n">
        <v>45473</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18136-2020</t>
        </is>
      </c>
      <c r="B239" s="1" t="n">
        <v>43927</v>
      </c>
      <c r="C239" s="1" t="n">
        <v>45473</v>
      </c>
      <c r="D239" t="inlineStr">
        <is>
          <t>ÖREBRO LÄN</t>
        </is>
      </c>
      <c r="E239" t="inlineStr">
        <is>
          <t>ÖREBRO</t>
        </is>
      </c>
      <c r="G239" t="n">
        <v>4.2</v>
      </c>
      <c r="H239" t="n">
        <v>0</v>
      </c>
      <c r="I239" t="n">
        <v>0</v>
      </c>
      <c r="J239" t="n">
        <v>0</v>
      </c>
      <c r="K239" t="n">
        <v>0</v>
      </c>
      <c r="L239" t="n">
        <v>0</v>
      </c>
      <c r="M239" t="n">
        <v>0</v>
      </c>
      <c r="N239" t="n">
        <v>0</v>
      </c>
      <c r="O239" t="n">
        <v>0</v>
      </c>
      <c r="P239" t="n">
        <v>0</v>
      </c>
      <c r="Q239" t="n">
        <v>0</v>
      </c>
      <c r="R239" s="2" t="inlineStr"/>
    </row>
    <row r="240" ht="15" customHeight="1">
      <c r="A240" t="inlineStr">
        <is>
          <t>A 18365-2020</t>
        </is>
      </c>
      <c r="B240" s="1" t="n">
        <v>43928</v>
      </c>
      <c r="C240" s="1" t="n">
        <v>45473</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19465-2020</t>
        </is>
      </c>
      <c r="B241" s="1" t="n">
        <v>43938</v>
      </c>
      <c r="C241" s="1" t="n">
        <v>45473</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20302-2020</t>
        </is>
      </c>
      <c r="B242" s="1" t="n">
        <v>43938</v>
      </c>
      <c r="C242" s="1" t="n">
        <v>45473</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21053-2020</t>
        </is>
      </c>
      <c r="B243" s="1" t="n">
        <v>43951</v>
      </c>
      <c r="C243" s="1" t="n">
        <v>45473</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22141-2020</t>
        </is>
      </c>
      <c r="B244" s="1" t="n">
        <v>43961</v>
      </c>
      <c r="C244" s="1" t="n">
        <v>45473</v>
      </c>
      <c r="D244" t="inlineStr">
        <is>
          <t>ÖREBRO LÄN</t>
        </is>
      </c>
      <c r="E244" t="inlineStr">
        <is>
          <t>ÖREBRO</t>
        </is>
      </c>
      <c r="G244" t="n">
        <v>2.9</v>
      </c>
      <c r="H244" t="n">
        <v>0</v>
      </c>
      <c r="I244" t="n">
        <v>0</v>
      </c>
      <c r="J244" t="n">
        <v>0</v>
      </c>
      <c r="K244" t="n">
        <v>0</v>
      </c>
      <c r="L244" t="n">
        <v>0</v>
      </c>
      <c r="M244" t="n">
        <v>0</v>
      </c>
      <c r="N244" t="n">
        <v>0</v>
      </c>
      <c r="O244" t="n">
        <v>0</v>
      </c>
      <c r="P244" t="n">
        <v>0</v>
      </c>
      <c r="Q244" t="n">
        <v>0</v>
      </c>
      <c r="R244" s="2" t="inlineStr"/>
    </row>
    <row r="245" ht="15" customHeight="1">
      <c r="A245" t="inlineStr">
        <is>
          <t>A 23849-2020</t>
        </is>
      </c>
      <c r="B245" s="1" t="n">
        <v>43971</v>
      </c>
      <c r="C245" s="1" t="n">
        <v>45473</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25437-2020</t>
        </is>
      </c>
      <c r="B246" s="1" t="n">
        <v>43983</v>
      </c>
      <c r="C246" s="1" t="n">
        <v>45473</v>
      </c>
      <c r="D246" t="inlineStr">
        <is>
          <t>ÖREBRO LÄN</t>
        </is>
      </c>
      <c r="E246" t="inlineStr">
        <is>
          <t>ÖREBRO</t>
        </is>
      </c>
      <c r="G246" t="n">
        <v>7.5</v>
      </c>
      <c r="H246" t="n">
        <v>0</v>
      </c>
      <c r="I246" t="n">
        <v>0</v>
      </c>
      <c r="J246" t="n">
        <v>0</v>
      </c>
      <c r="K246" t="n">
        <v>0</v>
      </c>
      <c r="L246" t="n">
        <v>0</v>
      </c>
      <c r="M246" t="n">
        <v>0</v>
      </c>
      <c r="N246" t="n">
        <v>0</v>
      </c>
      <c r="O246" t="n">
        <v>0</v>
      </c>
      <c r="P246" t="n">
        <v>0</v>
      </c>
      <c r="Q246" t="n">
        <v>0</v>
      </c>
      <c r="R246" s="2" t="inlineStr"/>
    </row>
    <row r="247" ht="15" customHeight="1">
      <c r="A247" t="inlineStr">
        <is>
          <t>A 25631-2020</t>
        </is>
      </c>
      <c r="B247" s="1" t="n">
        <v>43983</v>
      </c>
      <c r="C247" s="1" t="n">
        <v>45473</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26810-2020</t>
        </is>
      </c>
      <c r="B248" s="1" t="n">
        <v>43987</v>
      </c>
      <c r="C248" s="1" t="n">
        <v>45473</v>
      </c>
      <c r="D248" t="inlineStr">
        <is>
          <t>ÖREBRO LÄN</t>
        </is>
      </c>
      <c r="E248" t="inlineStr">
        <is>
          <t>ÖREBRO</t>
        </is>
      </c>
      <c r="G248" t="n">
        <v>1.6</v>
      </c>
      <c r="H248" t="n">
        <v>0</v>
      </c>
      <c r="I248" t="n">
        <v>0</v>
      </c>
      <c r="J248" t="n">
        <v>0</v>
      </c>
      <c r="K248" t="n">
        <v>0</v>
      </c>
      <c r="L248" t="n">
        <v>0</v>
      </c>
      <c r="M248" t="n">
        <v>0</v>
      </c>
      <c r="N248" t="n">
        <v>0</v>
      </c>
      <c r="O248" t="n">
        <v>0</v>
      </c>
      <c r="P248" t="n">
        <v>0</v>
      </c>
      <c r="Q248" t="n">
        <v>0</v>
      </c>
      <c r="R248" s="2" t="inlineStr"/>
    </row>
    <row r="249" ht="15" customHeight="1">
      <c r="A249" t="inlineStr">
        <is>
          <t>A 26862-2020</t>
        </is>
      </c>
      <c r="B249" s="1" t="n">
        <v>43990</v>
      </c>
      <c r="C249" s="1" t="n">
        <v>45473</v>
      </c>
      <c r="D249" t="inlineStr">
        <is>
          <t>ÖREBRO LÄN</t>
        </is>
      </c>
      <c r="E249" t="inlineStr">
        <is>
          <t>ÖREBRO</t>
        </is>
      </c>
      <c r="G249" t="n">
        <v>0.3</v>
      </c>
      <c r="H249" t="n">
        <v>0</v>
      </c>
      <c r="I249" t="n">
        <v>0</v>
      </c>
      <c r="J249" t="n">
        <v>0</v>
      </c>
      <c r="K249" t="n">
        <v>0</v>
      </c>
      <c r="L249" t="n">
        <v>0</v>
      </c>
      <c r="M249" t="n">
        <v>0</v>
      </c>
      <c r="N249" t="n">
        <v>0</v>
      </c>
      <c r="O249" t="n">
        <v>0</v>
      </c>
      <c r="P249" t="n">
        <v>0</v>
      </c>
      <c r="Q249" t="n">
        <v>0</v>
      </c>
      <c r="R249" s="2" t="inlineStr"/>
    </row>
    <row r="250" ht="15" customHeight="1">
      <c r="A250" t="inlineStr">
        <is>
          <t>A 27734-2020</t>
        </is>
      </c>
      <c r="B250" s="1" t="n">
        <v>43994</v>
      </c>
      <c r="C250" s="1" t="n">
        <v>45473</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27744-2020</t>
        </is>
      </c>
      <c r="B251" s="1" t="n">
        <v>43994</v>
      </c>
      <c r="C251" s="1" t="n">
        <v>45473</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28036-2020</t>
        </is>
      </c>
      <c r="B252" s="1" t="n">
        <v>43997</v>
      </c>
      <c r="C252" s="1" t="n">
        <v>45473</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28092-2020</t>
        </is>
      </c>
      <c r="B253" s="1" t="n">
        <v>43997</v>
      </c>
      <c r="C253" s="1" t="n">
        <v>45473</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28102-2020</t>
        </is>
      </c>
      <c r="B254" s="1" t="n">
        <v>43997</v>
      </c>
      <c r="C254" s="1" t="n">
        <v>45473</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28410-2020</t>
        </is>
      </c>
      <c r="B255" s="1" t="n">
        <v>43998</v>
      </c>
      <c r="C255" s="1" t="n">
        <v>45473</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28456-2020</t>
        </is>
      </c>
      <c r="B256" s="1" t="n">
        <v>43998</v>
      </c>
      <c r="C256" s="1" t="n">
        <v>45473</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29453-2020</t>
        </is>
      </c>
      <c r="B257" s="1" t="n">
        <v>44004</v>
      </c>
      <c r="C257" s="1" t="n">
        <v>45473</v>
      </c>
      <c r="D257" t="inlineStr">
        <is>
          <t>ÖREBRO LÄN</t>
        </is>
      </c>
      <c r="E257" t="inlineStr">
        <is>
          <t>ÖREBRO</t>
        </is>
      </c>
      <c r="G257" t="n">
        <v>6.2</v>
      </c>
      <c r="H257" t="n">
        <v>0</v>
      </c>
      <c r="I257" t="n">
        <v>0</v>
      </c>
      <c r="J257" t="n">
        <v>0</v>
      </c>
      <c r="K257" t="n">
        <v>0</v>
      </c>
      <c r="L257" t="n">
        <v>0</v>
      </c>
      <c r="M257" t="n">
        <v>0</v>
      </c>
      <c r="N257" t="n">
        <v>0</v>
      </c>
      <c r="O257" t="n">
        <v>0</v>
      </c>
      <c r="P257" t="n">
        <v>0</v>
      </c>
      <c r="Q257" t="n">
        <v>0</v>
      </c>
      <c r="R257" s="2" t="inlineStr"/>
    </row>
    <row r="258" ht="15" customHeight="1">
      <c r="A258" t="inlineStr">
        <is>
          <t>A 31120-2020</t>
        </is>
      </c>
      <c r="B258" s="1" t="n">
        <v>44012</v>
      </c>
      <c r="C258" s="1" t="n">
        <v>45473</v>
      </c>
      <c r="D258" t="inlineStr">
        <is>
          <t>ÖREBRO LÄN</t>
        </is>
      </c>
      <c r="E258" t="inlineStr">
        <is>
          <t>ÖREBRO</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31149-2020</t>
        </is>
      </c>
      <c r="B259" s="1" t="n">
        <v>44012</v>
      </c>
      <c r="C259" s="1" t="n">
        <v>45473</v>
      </c>
      <c r="D259" t="inlineStr">
        <is>
          <t>ÖREBRO LÄN</t>
        </is>
      </c>
      <c r="E259" t="inlineStr">
        <is>
          <t>ÖREBRO</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31397-2020</t>
        </is>
      </c>
      <c r="B260" s="1" t="n">
        <v>44012</v>
      </c>
      <c r="C260" s="1" t="n">
        <v>45473</v>
      </c>
      <c r="D260" t="inlineStr">
        <is>
          <t>ÖREBRO LÄN</t>
        </is>
      </c>
      <c r="E260" t="inlineStr">
        <is>
          <t>ÖREBRO</t>
        </is>
      </c>
      <c r="F260" t="inlineStr">
        <is>
          <t>Kommuner</t>
        </is>
      </c>
      <c r="G260" t="n">
        <v>4.2</v>
      </c>
      <c r="H260" t="n">
        <v>0</v>
      </c>
      <c r="I260" t="n">
        <v>0</v>
      </c>
      <c r="J260" t="n">
        <v>0</v>
      </c>
      <c r="K260" t="n">
        <v>0</v>
      </c>
      <c r="L260" t="n">
        <v>0</v>
      </c>
      <c r="M260" t="n">
        <v>0</v>
      </c>
      <c r="N260" t="n">
        <v>0</v>
      </c>
      <c r="O260" t="n">
        <v>0</v>
      </c>
      <c r="P260" t="n">
        <v>0</v>
      </c>
      <c r="Q260" t="n">
        <v>0</v>
      </c>
      <c r="R260" s="2" t="inlineStr"/>
    </row>
    <row r="261" ht="15" customHeight="1">
      <c r="A261" t="inlineStr">
        <is>
          <t>A 31933-2020</t>
        </is>
      </c>
      <c r="B261" s="1" t="n">
        <v>44014</v>
      </c>
      <c r="C261" s="1" t="n">
        <v>45473</v>
      </c>
      <c r="D261" t="inlineStr">
        <is>
          <t>ÖREBRO LÄN</t>
        </is>
      </c>
      <c r="E261" t="inlineStr">
        <is>
          <t>ÖREBRO</t>
        </is>
      </c>
      <c r="F261" t="inlineStr">
        <is>
          <t>Kommuner</t>
        </is>
      </c>
      <c r="G261" t="n">
        <v>6.8</v>
      </c>
      <c r="H261" t="n">
        <v>0</v>
      </c>
      <c r="I261" t="n">
        <v>0</v>
      </c>
      <c r="J261" t="n">
        <v>0</v>
      </c>
      <c r="K261" t="n">
        <v>0</v>
      </c>
      <c r="L261" t="n">
        <v>0</v>
      </c>
      <c r="M261" t="n">
        <v>0</v>
      </c>
      <c r="N261" t="n">
        <v>0</v>
      </c>
      <c r="O261" t="n">
        <v>0</v>
      </c>
      <c r="P261" t="n">
        <v>0</v>
      </c>
      <c r="Q261" t="n">
        <v>0</v>
      </c>
      <c r="R261" s="2" t="inlineStr"/>
    </row>
    <row r="262" ht="15" customHeight="1">
      <c r="A262" t="inlineStr">
        <is>
          <t>A 33125-2020</t>
        </is>
      </c>
      <c r="B262" s="1" t="n">
        <v>44020</v>
      </c>
      <c r="C262" s="1" t="n">
        <v>45473</v>
      </c>
      <c r="D262" t="inlineStr">
        <is>
          <t>ÖREBRO LÄN</t>
        </is>
      </c>
      <c r="E262" t="inlineStr">
        <is>
          <t>ÖREBRO</t>
        </is>
      </c>
      <c r="G262" t="n">
        <v>6.6</v>
      </c>
      <c r="H262" t="n">
        <v>0</v>
      </c>
      <c r="I262" t="n">
        <v>0</v>
      </c>
      <c r="J262" t="n">
        <v>0</v>
      </c>
      <c r="K262" t="n">
        <v>0</v>
      </c>
      <c r="L262" t="n">
        <v>0</v>
      </c>
      <c r="M262" t="n">
        <v>0</v>
      </c>
      <c r="N262" t="n">
        <v>0</v>
      </c>
      <c r="O262" t="n">
        <v>0</v>
      </c>
      <c r="P262" t="n">
        <v>0</v>
      </c>
      <c r="Q262" t="n">
        <v>0</v>
      </c>
      <c r="R262" s="2" t="inlineStr"/>
    </row>
    <row r="263" ht="15" customHeight="1">
      <c r="A263" t="inlineStr">
        <is>
          <t>A 33092-2020</t>
        </is>
      </c>
      <c r="B263" s="1" t="n">
        <v>44020</v>
      </c>
      <c r="C263" s="1" t="n">
        <v>45473</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33120-2020</t>
        </is>
      </c>
      <c r="B264" s="1" t="n">
        <v>44020</v>
      </c>
      <c r="C264" s="1" t="n">
        <v>45473</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33117-2020</t>
        </is>
      </c>
      <c r="B265" s="1" t="n">
        <v>44020</v>
      </c>
      <c r="C265" s="1" t="n">
        <v>45473</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35522-2020</t>
        </is>
      </c>
      <c r="B266" s="1" t="n">
        <v>44043</v>
      </c>
      <c r="C266" s="1" t="n">
        <v>45473</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36778-2020</t>
        </is>
      </c>
      <c r="B267" s="1" t="n">
        <v>44053</v>
      </c>
      <c r="C267" s="1" t="n">
        <v>45473</v>
      </c>
      <c r="D267" t="inlineStr">
        <is>
          <t>ÖREBRO LÄN</t>
        </is>
      </c>
      <c r="E267" t="inlineStr">
        <is>
          <t>ÖREBRO</t>
        </is>
      </c>
      <c r="F267" t="inlineStr">
        <is>
          <t>Allmännings- och besparingsskogar</t>
        </is>
      </c>
      <c r="G267" t="n">
        <v>26.4</v>
      </c>
      <c r="H267" t="n">
        <v>0</v>
      </c>
      <c r="I267" t="n">
        <v>0</v>
      </c>
      <c r="J267" t="n">
        <v>0</v>
      </c>
      <c r="K267" t="n">
        <v>0</v>
      </c>
      <c r="L267" t="n">
        <v>0</v>
      </c>
      <c r="M267" t="n">
        <v>0</v>
      </c>
      <c r="N267" t="n">
        <v>0</v>
      </c>
      <c r="O267" t="n">
        <v>0</v>
      </c>
      <c r="P267" t="n">
        <v>0</v>
      </c>
      <c r="Q267" t="n">
        <v>0</v>
      </c>
      <c r="R267" s="2" t="inlineStr"/>
    </row>
    <row r="268" ht="15" customHeight="1">
      <c r="A268" t="inlineStr">
        <is>
          <t>A 36762-2020</t>
        </is>
      </c>
      <c r="B268" s="1" t="n">
        <v>44053</v>
      </c>
      <c r="C268" s="1" t="n">
        <v>45473</v>
      </c>
      <c r="D268" t="inlineStr">
        <is>
          <t>ÖREBRO LÄN</t>
        </is>
      </c>
      <c r="E268" t="inlineStr">
        <is>
          <t>ÖREBRO</t>
        </is>
      </c>
      <c r="F268" t="inlineStr">
        <is>
          <t>Allmännings- och besparingsskogar</t>
        </is>
      </c>
      <c r="G268" t="n">
        <v>12.3</v>
      </c>
      <c r="H268" t="n">
        <v>0</v>
      </c>
      <c r="I268" t="n">
        <v>0</v>
      </c>
      <c r="J268" t="n">
        <v>0</v>
      </c>
      <c r="K268" t="n">
        <v>0</v>
      </c>
      <c r="L268" t="n">
        <v>0</v>
      </c>
      <c r="M268" t="n">
        <v>0</v>
      </c>
      <c r="N268" t="n">
        <v>0</v>
      </c>
      <c r="O268" t="n">
        <v>0</v>
      </c>
      <c r="P268" t="n">
        <v>0</v>
      </c>
      <c r="Q268" t="n">
        <v>0</v>
      </c>
      <c r="R268" s="2" t="inlineStr"/>
    </row>
    <row r="269" ht="15" customHeight="1">
      <c r="A269" t="inlineStr">
        <is>
          <t>A 37654-2020</t>
        </is>
      </c>
      <c r="B269" s="1" t="n">
        <v>44056</v>
      </c>
      <c r="C269" s="1" t="n">
        <v>45473</v>
      </c>
      <c r="D269" t="inlineStr">
        <is>
          <t>ÖREBRO LÄN</t>
        </is>
      </c>
      <c r="E269" t="inlineStr">
        <is>
          <t>ÖREBRO</t>
        </is>
      </c>
      <c r="G269" t="n">
        <v>6.1</v>
      </c>
      <c r="H269" t="n">
        <v>0</v>
      </c>
      <c r="I269" t="n">
        <v>0</v>
      </c>
      <c r="J269" t="n">
        <v>0</v>
      </c>
      <c r="K269" t="n">
        <v>0</v>
      </c>
      <c r="L269" t="n">
        <v>0</v>
      </c>
      <c r="M269" t="n">
        <v>0</v>
      </c>
      <c r="N269" t="n">
        <v>0</v>
      </c>
      <c r="O269" t="n">
        <v>0</v>
      </c>
      <c r="P269" t="n">
        <v>0</v>
      </c>
      <c r="Q269" t="n">
        <v>0</v>
      </c>
      <c r="R269" s="2" t="inlineStr"/>
    </row>
    <row r="270" ht="15" customHeight="1">
      <c r="A270" t="inlineStr">
        <is>
          <t>A 38532-2020</t>
        </is>
      </c>
      <c r="B270" s="1" t="n">
        <v>44061</v>
      </c>
      <c r="C270" s="1" t="n">
        <v>45473</v>
      </c>
      <c r="D270" t="inlineStr">
        <is>
          <t>ÖREBRO LÄN</t>
        </is>
      </c>
      <c r="E270" t="inlineStr">
        <is>
          <t>ÖREBRO</t>
        </is>
      </c>
      <c r="G270" t="n">
        <v>3.8</v>
      </c>
      <c r="H270" t="n">
        <v>0</v>
      </c>
      <c r="I270" t="n">
        <v>0</v>
      </c>
      <c r="J270" t="n">
        <v>0</v>
      </c>
      <c r="K270" t="n">
        <v>0</v>
      </c>
      <c r="L270" t="n">
        <v>0</v>
      </c>
      <c r="M270" t="n">
        <v>0</v>
      </c>
      <c r="N270" t="n">
        <v>0</v>
      </c>
      <c r="O270" t="n">
        <v>0</v>
      </c>
      <c r="P270" t="n">
        <v>0</v>
      </c>
      <c r="Q270" t="n">
        <v>0</v>
      </c>
      <c r="R270" s="2" t="inlineStr"/>
    </row>
    <row r="271" ht="15" customHeight="1">
      <c r="A271" t="inlineStr">
        <is>
          <t>A 38691-2020</t>
        </is>
      </c>
      <c r="B271" s="1" t="n">
        <v>44061</v>
      </c>
      <c r="C271" s="1" t="n">
        <v>45473</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38960-2020</t>
        </is>
      </c>
      <c r="B272" s="1" t="n">
        <v>44062</v>
      </c>
      <c r="C272" s="1" t="n">
        <v>45473</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39307-2020</t>
        </is>
      </c>
      <c r="B273" s="1" t="n">
        <v>44063</v>
      </c>
      <c r="C273" s="1" t="n">
        <v>45473</v>
      </c>
      <c r="D273" t="inlineStr">
        <is>
          <t>ÖREBRO LÄN</t>
        </is>
      </c>
      <c r="E273" t="inlineStr">
        <is>
          <t>ÖREBRO</t>
        </is>
      </c>
      <c r="G273" t="n">
        <v>3.9</v>
      </c>
      <c r="H273" t="n">
        <v>0</v>
      </c>
      <c r="I273" t="n">
        <v>0</v>
      </c>
      <c r="J273" t="n">
        <v>0</v>
      </c>
      <c r="K273" t="n">
        <v>0</v>
      </c>
      <c r="L273" t="n">
        <v>0</v>
      </c>
      <c r="M273" t="n">
        <v>0</v>
      </c>
      <c r="N273" t="n">
        <v>0</v>
      </c>
      <c r="O273" t="n">
        <v>0</v>
      </c>
      <c r="P273" t="n">
        <v>0</v>
      </c>
      <c r="Q273" t="n">
        <v>0</v>
      </c>
      <c r="R273" s="2" t="inlineStr"/>
    </row>
    <row r="274" ht="15" customHeight="1">
      <c r="A274" t="inlineStr">
        <is>
          <t>A 39514-2020</t>
        </is>
      </c>
      <c r="B274" s="1" t="n">
        <v>44064</v>
      </c>
      <c r="C274" s="1" t="n">
        <v>45473</v>
      </c>
      <c r="D274" t="inlineStr">
        <is>
          <t>ÖREBRO LÄN</t>
        </is>
      </c>
      <c r="E274" t="inlineStr">
        <is>
          <t>ÖREBRO</t>
        </is>
      </c>
      <c r="G274" t="n">
        <v>4.6</v>
      </c>
      <c r="H274" t="n">
        <v>0</v>
      </c>
      <c r="I274" t="n">
        <v>0</v>
      </c>
      <c r="J274" t="n">
        <v>0</v>
      </c>
      <c r="K274" t="n">
        <v>0</v>
      </c>
      <c r="L274" t="n">
        <v>0</v>
      </c>
      <c r="M274" t="n">
        <v>0</v>
      </c>
      <c r="N274" t="n">
        <v>0</v>
      </c>
      <c r="O274" t="n">
        <v>0</v>
      </c>
      <c r="P274" t="n">
        <v>0</v>
      </c>
      <c r="Q274" t="n">
        <v>0</v>
      </c>
      <c r="R274" s="2" t="inlineStr"/>
    </row>
    <row r="275" ht="15" customHeight="1">
      <c r="A275" t="inlineStr">
        <is>
          <t>A 39642-2020</t>
        </is>
      </c>
      <c r="B275" s="1" t="n">
        <v>44064</v>
      </c>
      <c r="C275" s="1" t="n">
        <v>45473</v>
      </c>
      <c r="D275" t="inlineStr">
        <is>
          <t>ÖREBRO LÄN</t>
        </is>
      </c>
      <c r="E275" t="inlineStr">
        <is>
          <t>ÖREBRO</t>
        </is>
      </c>
      <c r="G275" t="n">
        <v>6.4</v>
      </c>
      <c r="H275" t="n">
        <v>0</v>
      </c>
      <c r="I275" t="n">
        <v>0</v>
      </c>
      <c r="J275" t="n">
        <v>0</v>
      </c>
      <c r="K275" t="n">
        <v>0</v>
      </c>
      <c r="L275" t="n">
        <v>0</v>
      </c>
      <c r="M275" t="n">
        <v>0</v>
      </c>
      <c r="N275" t="n">
        <v>0</v>
      </c>
      <c r="O275" t="n">
        <v>0</v>
      </c>
      <c r="P275" t="n">
        <v>0</v>
      </c>
      <c r="Q275" t="n">
        <v>0</v>
      </c>
      <c r="R275" s="2" t="inlineStr"/>
    </row>
    <row r="276" ht="15" customHeight="1">
      <c r="A276" t="inlineStr">
        <is>
          <t>A 40356-2020</t>
        </is>
      </c>
      <c r="B276" s="1" t="n">
        <v>44067</v>
      </c>
      <c r="C276" s="1" t="n">
        <v>45473</v>
      </c>
      <c r="D276" t="inlineStr">
        <is>
          <t>ÖREBRO LÄN</t>
        </is>
      </c>
      <c r="E276" t="inlineStr">
        <is>
          <t>ÖREBRO</t>
        </is>
      </c>
      <c r="G276" t="n">
        <v>0.8</v>
      </c>
      <c r="H276" t="n">
        <v>0</v>
      </c>
      <c r="I276" t="n">
        <v>0</v>
      </c>
      <c r="J276" t="n">
        <v>0</v>
      </c>
      <c r="K276" t="n">
        <v>0</v>
      </c>
      <c r="L276" t="n">
        <v>0</v>
      </c>
      <c r="M276" t="n">
        <v>0</v>
      </c>
      <c r="N276" t="n">
        <v>0</v>
      </c>
      <c r="O276" t="n">
        <v>0</v>
      </c>
      <c r="P276" t="n">
        <v>0</v>
      </c>
      <c r="Q276" t="n">
        <v>0</v>
      </c>
      <c r="R276" s="2" t="inlineStr"/>
    </row>
    <row r="277" ht="15" customHeight="1">
      <c r="A277" t="inlineStr">
        <is>
          <t>A 40442-2020</t>
        </is>
      </c>
      <c r="B277" s="1" t="n">
        <v>44069</v>
      </c>
      <c r="C277" s="1" t="n">
        <v>45473</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40652-2020</t>
        </is>
      </c>
      <c r="B278" s="1" t="n">
        <v>44069</v>
      </c>
      <c r="C278" s="1" t="n">
        <v>45473</v>
      </c>
      <c r="D278" t="inlineStr">
        <is>
          <t>ÖREBRO LÄN</t>
        </is>
      </c>
      <c r="E278" t="inlineStr">
        <is>
          <t>ÖREBRO</t>
        </is>
      </c>
      <c r="F278" t="inlineStr">
        <is>
          <t>Övriga Aktiebolag</t>
        </is>
      </c>
      <c r="G278" t="n">
        <v>8.4</v>
      </c>
      <c r="H278" t="n">
        <v>0</v>
      </c>
      <c r="I278" t="n">
        <v>0</v>
      </c>
      <c r="J278" t="n">
        <v>0</v>
      </c>
      <c r="K278" t="n">
        <v>0</v>
      </c>
      <c r="L278" t="n">
        <v>0</v>
      </c>
      <c r="M278" t="n">
        <v>0</v>
      </c>
      <c r="N278" t="n">
        <v>0</v>
      </c>
      <c r="O278" t="n">
        <v>0</v>
      </c>
      <c r="P278" t="n">
        <v>0</v>
      </c>
      <c r="Q278" t="n">
        <v>0</v>
      </c>
      <c r="R278" s="2" t="inlineStr"/>
    </row>
    <row r="279" ht="15" customHeight="1">
      <c r="A279" t="inlineStr">
        <is>
          <t>A 41116-2020</t>
        </is>
      </c>
      <c r="B279" s="1" t="n">
        <v>44071</v>
      </c>
      <c r="C279" s="1" t="n">
        <v>45473</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42285-2020</t>
        </is>
      </c>
      <c r="B280" s="1" t="n">
        <v>44076</v>
      </c>
      <c r="C280" s="1" t="n">
        <v>45473</v>
      </c>
      <c r="D280" t="inlineStr">
        <is>
          <t>ÖREBRO LÄN</t>
        </is>
      </c>
      <c r="E280" t="inlineStr">
        <is>
          <t>ÖREBRO</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42865-2020</t>
        </is>
      </c>
      <c r="B281" s="1" t="n">
        <v>44078</v>
      </c>
      <c r="C281" s="1" t="n">
        <v>45473</v>
      </c>
      <c r="D281" t="inlineStr">
        <is>
          <t>ÖREBRO LÄN</t>
        </is>
      </c>
      <c r="E281" t="inlineStr">
        <is>
          <t>ÖREBRO</t>
        </is>
      </c>
      <c r="G281" t="n">
        <v>5.2</v>
      </c>
      <c r="H281" t="n">
        <v>0</v>
      </c>
      <c r="I281" t="n">
        <v>0</v>
      </c>
      <c r="J281" t="n">
        <v>0</v>
      </c>
      <c r="K281" t="n">
        <v>0</v>
      </c>
      <c r="L281" t="n">
        <v>0</v>
      </c>
      <c r="M281" t="n">
        <v>0</v>
      </c>
      <c r="N281" t="n">
        <v>0</v>
      </c>
      <c r="O281" t="n">
        <v>0</v>
      </c>
      <c r="P281" t="n">
        <v>0</v>
      </c>
      <c r="Q281" t="n">
        <v>0</v>
      </c>
      <c r="R281" s="2" t="inlineStr"/>
    </row>
    <row r="282" ht="15" customHeight="1">
      <c r="A282" t="inlineStr">
        <is>
          <t>A 42957-2020</t>
        </is>
      </c>
      <c r="B282" s="1" t="n">
        <v>44078</v>
      </c>
      <c r="C282" s="1" t="n">
        <v>45473</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44331-2020</t>
        </is>
      </c>
      <c r="B283" s="1" t="n">
        <v>44084</v>
      </c>
      <c r="C283" s="1" t="n">
        <v>45473</v>
      </c>
      <c r="D283" t="inlineStr">
        <is>
          <t>ÖREBRO LÄN</t>
        </is>
      </c>
      <c r="E283" t="inlineStr">
        <is>
          <t>ÖREBRO</t>
        </is>
      </c>
      <c r="G283" t="n">
        <v>5.3</v>
      </c>
      <c r="H283" t="n">
        <v>0</v>
      </c>
      <c r="I283" t="n">
        <v>0</v>
      </c>
      <c r="J283" t="n">
        <v>0</v>
      </c>
      <c r="K283" t="n">
        <v>0</v>
      </c>
      <c r="L283" t="n">
        <v>0</v>
      </c>
      <c r="M283" t="n">
        <v>0</v>
      </c>
      <c r="N283" t="n">
        <v>0</v>
      </c>
      <c r="O283" t="n">
        <v>0</v>
      </c>
      <c r="P283" t="n">
        <v>0</v>
      </c>
      <c r="Q283" t="n">
        <v>0</v>
      </c>
      <c r="R283" s="2" t="inlineStr"/>
    </row>
    <row r="284" ht="15" customHeight="1">
      <c r="A284" t="inlineStr">
        <is>
          <t>A 44514-2020</t>
        </is>
      </c>
      <c r="B284" s="1" t="n">
        <v>44085</v>
      </c>
      <c r="C284" s="1" t="n">
        <v>45473</v>
      </c>
      <c r="D284" t="inlineStr">
        <is>
          <t>ÖREBRO LÄN</t>
        </is>
      </c>
      <c r="E284" t="inlineStr">
        <is>
          <t>ÖREBRO</t>
        </is>
      </c>
      <c r="G284" t="n">
        <v>3</v>
      </c>
      <c r="H284" t="n">
        <v>0</v>
      </c>
      <c r="I284" t="n">
        <v>0</v>
      </c>
      <c r="J284" t="n">
        <v>0</v>
      </c>
      <c r="K284" t="n">
        <v>0</v>
      </c>
      <c r="L284" t="n">
        <v>0</v>
      </c>
      <c r="M284" t="n">
        <v>0</v>
      </c>
      <c r="N284" t="n">
        <v>0</v>
      </c>
      <c r="O284" t="n">
        <v>0</v>
      </c>
      <c r="P284" t="n">
        <v>0</v>
      </c>
      <c r="Q284" t="n">
        <v>0</v>
      </c>
      <c r="R284" s="2" t="inlineStr"/>
    </row>
    <row r="285" ht="15" customHeight="1">
      <c r="A285" t="inlineStr">
        <is>
          <t>A 44966-2020</t>
        </is>
      </c>
      <c r="B285" s="1" t="n">
        <v>44088</v>
      </c>
      <c r="C285" s="1" t="n">
        <v>45473</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45029-2020</t>
        </is>
      </c>
      <c r="B286" s="1" t="n">
        <v>44088</v>
      </c>
      <c r="C286" s="1" t="n">
        <v>45473</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46053-2020</t>
        </is>
      </c>
      <c r="B287" s="1" t="n">
        <v>44088</v>
      </c>
      <c r="C287" s="1" t="n">
        <v>45473</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46092-2020</t>
        </is>
      </c>
      <c r="B288" s="1" t="n">
        <v>44091</v>
      </c>
      <c r="C288" s="1" t="n">
        <v>45473</v>
      </c>
      <c r="D288" t="inlineStr">
        <is>
          <t>ÖREBRO LÄN</t>
        </is>
      </c>
      <c r="E288" t="inlineStr">
        <is>
          <t>ÖREBRO</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46607-2020</t>
        </is>
      </c>
      <c r="B289" s="1" t="n">
        <v>44095</v>
      </c>
      <c r="C289" s="1" t="n">
        <v>45473</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47993-2020</t>
        </is>
      </c>
      <c r="B290" s="1" t="n">
        <v>44095</v>
      </c>
      <c r="C290" s="1" t="n">
        <v>45473</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47517-2020</t>
        </is>
      </c>
      <c r="B291" s="1" t="n">
        <v>44095</v>
      </c>
      <c r="C291" s="1" t="n">
        <v>45473</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48109-2020</t>
        </is>
      </c>
      <c r="B292" s="1" t="n">
        <v>44101</v>
      </c>
      <c r="C292" s="1" t="n">
        <v>45473</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48889-2020</t>
        </is>
      </c>
      <c r="B293" s="1" t="n">
        <v>44104</v>
      </c>
      <c r="C293" s="1" t="n">
        <v>45473</v>
      </c>
      <c r="D293" t="inlineStr">
        <is>
          <t>ÖREBRO LÄN</t>
        </is>
      </c>
      <c r="E293" t="inlineStr">
        <is>
          <t>ÖREBRO</t>
        </is>
      </c>
      <c r="G293" t="n">
        <v>0.8</v>
      </c>
      <c r="H293" t="n">
        <v>0</v>
      </c>
      <c r="I293" t="n">
        <v>0</v>
      </c>
      <c r="J293" t="n">
        <v>0</v>
      </c>
      <c r="K293" t="n">
        <v>0</v>
      </c>
      <c r="L293" t="n">
        <v>0</v>
      </c>
      <c r="M293" t="n">
        <v>0</v>
      </c>
      <c r="N293" t="n">
        <v>0</v>
      </c>
      <c r="O293" t="n">
        <v>0</v>
      </c>
      <c r="P293" t="n">
        <v>0</v>
      </c>
      <c r="Q293" t="n">
        <v>0</v>
      </c>
      <c r="R293" s="2" t="inlineStr"/>
    </row>
    <row r="294" ht="15" customHeight="1">
      <c r="A294" t="inlineStr">
        <is>
          <t>A 48878-2020</t>
        </is>
      </c>
      <c r="B294" s="1" t="n">
        <v>44104</v>
      </c>
      <c r="C294" s="1" t="n">
        <v>45473</v>
      </c>
      <c r="D294" t="inlineStr">
        <is>
          <t>ÖREBRO LÄN</t>
        </is>
      </c>
      <c r="E294" t="inlineStr">
        <is>
          <t>ÖREBRO</t>
        </is>
      </c>
      <c r="G294" t="n">
        <v>12.7</v>
      </c>
      <c r="H294" t="n">
        <v>0</v>
      </c>
      <c r="I294" t="n">
        <v>0</v>
      </c>
      <c r="J294" t="n">
        <v>0</v>
      </c>
      <c r="K294" t="n">
        <v>0</v>
      </c>
      <c r="L294" t="n">
        <v>0</v>
      </c>
      <c r="M294" t="n">
        <v>0</v>
      </c>
      <c r="N294" t="n">
        <v>0</v>
      </c>
      <c r="O294" t="n">
        <v>0</v>
      </c>
      <c r="P294" t="n">
        <v>0</v>
      </c>
      <c r="Q294" t="n">
        <v>0</v>
      </c>
      <c r="R294" s="2" t="inlineStr"/>
    </row>
    <row r="295" ht="15" customHeight="1">
      <c r="A295" t="inlineStr">
        <is>
          <t>A 53003-2020</t>
        </is>
      </c>
      <c r="B295" s="1" t="n">
        <v>44119</v>
      </c>
      <c r="C295" s="1" t="n">
        <v>45473</v>
      </c>
      <c r="D295" t="inlineStr">
        <is>
          <t>ÖREBRO LÄN</t>
        </is>
      </c>
      <c r="E295" t="inlineStr">
        <is>
          <t>ÖREBRO</t>
        </is>
      </c>
      <c r="G295" t="n">
        <v>4.7</v>
      </c>
      <c r="H295" t="n">
        <v>0</v>
      </c>
      <c r="I295" t="n">
        <v>0</v>
      </c>
      <c r="J295" t="n">
        <v>0</v>
      </c>
      <c r="K295" t="n">
        <v>0</v>
      </c>
      <c r="L295" t="n">
        <v>0</v>
      </c>
      <c r="M295" t="n">
        <v>0</v>
      </c>
      <c r="N295" t="n">
        <v>0</v>
      </c>
      <c r="O295" t="n">
        <v>0</v>
      </c>
      <c r="P295" t="n">
        <v>0</v>
      </c>
      <c r="Q295" t="n">
        <v>0</v>
      </c>
      <c r="R295" s="2" t="inlineStr"/>
    </row>
    <row r="296" ht="15" customHeight="1">
      <c r="A296" t="inlineStr">
        <is>
          <t>A 54288-2020</t>
        </is>
      </c>
      <c r="B296" s="1" t="n">
        <v>44124</v>
      </c>
      <c r="C296" s="1" t="n">
        <v>45473</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54526-2020</t>
        </is>
      </c>
      <c r="B297" s="1" t="n">
        <v>44125</v>
      </c>
      <c r="C297" s="1" t="n">
        <v>45473</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55570-2020</t>
        </is>
      </c>
      <c r="B298" s="1" t="n">
        <v>44131</v>
      </c>
      <c r="C298" s="1" t="n">
        <v>45473</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56138-2020</t>
        </is>
      </c>
      <c r="B299" s="1" t="n">
        <v>44133</v>
      </c>
      <c r="C299" s="1" t="n">
        <v>45473</v>
      </c>
      <c r="D299" t="inlineStr">
        <is>
          <t>ÖREBRO LÄN</t>
        </is>
      </c>
      <c r="E299" t="inlineStr">
        <is>
          <t>ÖREBRO</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57241-2020</t>
        </is>
      </c>
      <c r="B300" s="1" t="n">
        <v>44139</v>
      </c>
      <c r="C300" s="1" t="n">
        <v>45473</v>
      </c>
      <c r="D300" t="inlineStr">
        <is>
          <t>ÖREBRO LÄN</t>
        </is>
      </c>
      <c r="E300" t="inlineStr">
        <is>
          <t>ÖREBRO</t>
        </is>
      </c>
      <c r="G300" t="n">
        <v>2.3</v>
      </c>
      <c r="H300" t="n">
        <v>0</v>
      </c>
      <c r="I300" t="n">
        <v>0</v>
      </c>
      <c r="J300" t="n">
        <v>0</v>
      </c>
      <c r="K300" t="n">
        <v>0</v>
      </c>
      <c r="L300" t="n">
        <v>0</v>
      </c>
      <c r="M300" t="n">
        <v>0</v>
      </c>
      <c r="N300" t="n">
        <v>0</v>
      </c>
      <c r="O300" t="n">
        <v>0</v>
      </c>
      <c r="P300" t="n">
        <v>0</v>
      </c>
      <c r="Q300" t="n">
        <v>0</v>
      </c>
      <c r="R300" s="2" t="inlineStr"/>
    </row>
    <row r="301" ht="15" customHeight="1">
      <c r="A301" t="inlineStr">
        <is>
          <t>A 58633-2020</t>
        </is>
      </c>
      <c r="B301" s="1" t="n">
        <v>44145</v>
      </c>
      <c r="C301" s="1" t="n">
        <v>45473</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59265-2020</t>
        </is>
      </c>
      <c r="B302" s="1" t="n">
        <v>44147</v>
      </c>
      <c r="C302" s="1" t="n">
        <v>45473</v>
      </c>
      <c r="D302" t="inlineStr">
        <is>
          <t>ÖREBRO LÄN</t>
        </is>
      </c>
      <c r="E302" t="inlineStr">
        <is>
          <t>ÖREBRO</t>
        </is>
      </c>
      <c r="G302" t="n">
        <v>2.4</v>
      </c>
      <c r="H302" t="n">
        <v>0</v>
      </c>
      <c r="I302" t="n">
        <v>0</v>
      </c>
      <c r="J302" t="n">
        <v>0</v>
      </c>
      <c r="K302" t="n">
        <v>0</v>
      </c>
      <c r="L302" t="n">
        <v>0</v>
      </c>
      <c r="M302" t="n">
        <v>0</v>
      </c>
      <c r="N302" t="n">
        <v>0</v>
      </c>
      <c r="O302" t="n">
        <v>0</v>
      </c>
      <c r="P302" t="n">
        <v>0</v>
      </c>
      <c r="Q302" t="n">
        <v>0</v>
      </c>
      <c r="R302" s="2" t="inlineStr"/>
    </row>
    <row r="303" ht="15" customHeight="1">
      <c r="A303" t="inlineStr">
        <is>
          <t>A 60311-2020</t>
        </is>
      </c>
      <c r="B303" s="1" t="n">
        <v>44151</v>
      </c>
      <c r="C303" s="1" t="n">
        <v>45473</v>
      </c>
      <c r="D303" t="inlineStr">
        <is>
          <t>ÖREBRO LÄN</t>
        </is>
      </c>
      <c r="E303" t="inlineStr">
        <is>
          <t>ÖREBRO</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60150-2020</t>
        </is>
      </c>
      <c r="B304" s="1" t="n">
        <v>44152</v>
      </c>
      <c r="C304" s="1" t="n">
        <v>45473</v>
      </c>
      <c r="D304" t="inlineStr">
        <is>
          <t>ÖREBRO LÄN</t>
        </is>
      </c>
      <c r="E304" t="inlineStr">
        <is>
          <t>ÖREBRO</t>
        </is>
      </c>
      <c r="G304" t="n">
        <v>1.6</v>
      </c>
      <c r="H304" t="n">
        <v>0</v>
      </c>
      <c r="I304" t="n">
        <v>0</v>
      </c>
      <c r="J304" t="n">
        <v>0</v>
      </c>
      <c r="K304" t="n">
        <v>0</v>
      </c>
      <c r="L304" t="n">
        <v>0</v>
      </c>
      <c r="M304" t="n">
        <v>0</v>
      </c>
      <c r="N304" t="n">
        <v>0</v>
      </c>
      <c r="O304" t="n">
        <v>0</v>
      </c>
      <c r="P304" t="n">
        <v>0</v>
      </c>
      <c r="Q304" t="n">
        <v>0</v>
      </c>
      <c r="R304" s="2" t="inlineStr"/>
    </row>
    <row r="305" ht="15" customHeight="1">
      <c r="A305" t="inlineStr">
        <is>
          <t>A 61965-2020</t>
        </is>
      </c>
      <c r="B305" s="1" t="n">
        <v>44155</v>
      </c>
      <c r="C305" s="1" t="n">
        <v>45473</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62651-2020</t>
        </is>
      </c>
      <c r="B306" s="1" t="n">
        <v>44161</v>
      </c>
      <c r="C306" s="1" t="n">
        <v>45473</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63013-2020</t>
        </is>
      </c>
      <c r="B307" s="1" t="n">
        <v>44162</v>
      </c>
      <c r="C307" s="1" t="n">
        <v>45473</v>
      </c>
      <c r="D307" t="inlineStr">
        <is>
          <t>ÖREBRO LÄN</t>
        </is>
      </c>
      <c r="E307" t="inlineStr">
        <is>
          <t>ÖREBRO</t>
        </is>
      </c>
      <c r="F307" t="inlineStr">
        <is>
          <t>Övriga Aktiebolag</t>
        </is>
      </c>
      <c r="G307" t="n">
        <v>6.9</v>
      </c>
      <c r="H307" t="n">
        <v>0</v>
      </c>
      <c r="I307" t="n">
        <v>0</v>
      </c>
      <c r="J307" t="n">
        <v>0</v>
      </c>
      <c r="K307" t="n">
        <v>0</v>
      </c>
      <c r="L307" t="n">
        <v>0</v>
      </c>
      <c r="M307" t="n">
        <v>0</v>
      </c>
      <c r="N307" t="n">
        <v>0</v>
      </c>
      <c r="O307" t="n">
        <v>0</v>
      </c>
      <c r="P307" t="n">
        <v>0</v>
      </c>
      <c r="Q307" t="n">
        <v>0</v>
      </c>
      <c r="R307" s="2" t="inlineStr"/>
    </row>
    <row r="308" ht="15" customHeight="1">
      <c r="A308" t="inlineStr">
        <is>
          <t>A 63074-2020</t>
        </is>
      </c>
      <c r="B308" s="1" t="n">
        <v>44162</v>
      </c>
      <c r="C308" s="1" t="n">
        <v>45473</v>
      </c>
      <c r="D308" t="inlineStr">
        <is>
          <t>ÖREBRO LÄN</t>
        </is>
      </c>
      <c r="E308" t="inlineStr">
        <is>
          <t>ÖREBRO</t>
        </is>
      </c>
      <c r="F308" t="inlineStr">
        <is>
          <t>Övriga Aktiebolag</t>
        </is>
      </c>
      <c r="G308" t="n">
        <v>6.8</v>
      </c>
      <c r="H308" t="n">
        <v>0</v>
      </c>
      <c r="I308" t="n">
        <v>0</v>
      </c>
      <c r="J308" t="n">
        <v>0</v>
      </c>
      <c r="K308" t="n">
        <v>0</v>
      </c>
      <c r="L308" t="n">
        <v>0</v>
      </c>
      <c r="M308" t="n">
        <v>0</v>
      </c>
      <c r="N308" t="n">
        <v>0</v>
      </c>
      <c r="O308" t="n">
        <v>0</v>
      </c>
      <c r="P308" t="n">
        <v>0</v>
      </c>
      <c r="Q308" t="n">
        <v>0</v>
      </c>
      <c r="R308" s="2" t="inlineStr"/>
    </row>
    <row r="309" ht="15" customHeight="1">
      <c r="A309" t="inlineStr">
        <is>
          <t>A 63016-2020</t>
        </is>
      </c>
      <c r="B309" s="1" t="n">
        <v>44162</v>
      </c>
      <c r="C309" s="1" t="n">
        <v>45473</v>
      </c>
      <c r="D309" t="inlineStr">
        <is>
          <t>ÖREBRO LÄN</t>
        </is>
      </c>
      <c r="E309" t="inlineStr">
        <is>
          <t>ÖREBRO</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64597-2020</t>
        </is>
      </c>
      <c r="B310" s="1" t="n">
        <v>44166</v>
      </c>
      <c r="C310" s="1" t="n">
        <v>45473</v>
      </c>
      <c r="D310" t="inlineStr">
        <is>
          <t>ÖREBRO LÄN</t>
        </is>
      </c>
      <c r="E310" t="inlineStr">
        <is>
          <t>ÖREBRO</t>
        </is>
      </c>
      <c r="G310" t="n">
        <v>2.6</v>
      </c>
      <c r="H310" t="n">
        <v>0</v>
      </c>
      <c r="I310" t="n">
        <v>0</v>
      </c>
      <c r="J310" t="n">
        <v>0</v>
      </c>
      <c r="K310" t="n">
        <v>0</v>
      </c>
      <c r="L310" t="n">
        <v>0</v>
      </c>
      <c r="M310" t="n">
        <v>0</v>
      </c>
      <c r="N310" t="n">
        <v>0</v>
      </c>
      <c r="O310" t="n">
        <v>0</v>
      </c>
      <c r="P310" t="n">
        <v>0</v>
      </c>
      <c r="Q310" t="n">
        <v>0</v>
      </c>
      <c r="R310" s="2" t="inlineStr"/>
    </row>
    <row r="311" ht="15" customHeight="1">
      <c r="A311" t="inlineStr">
        <is>
          <t>A 65592-2020</t>
        </is>
      </c>
      <c r="B311" s="1" t="n">
        <v>44173</v>
      </c>
      <c r="C311" s="1" t="n">
        <v>45473</v>
      </c>
      <c r="D311" t="inlineStr">
        <is>
          <t>ÖREBRO LÄN</t>
        </is>
      </c>
      <c r="E311" t="inlineStr">
        <is>
          <t>ÖREBRO</t>
        </is>
      </c>
      <c r="G311" t="n">
        <v>8.9</v>
      </c>
      <c r="H311" t="n">
        <v>0</v>
      </c>
      <c r="I311" t="n">
        <v>0</v>
      </c>
      <c r="J311" t="n">
        <v>0</v>
      </c>
      <c r="K311" t="n">
        <v>0</v>
      </c>
      <c r="L311" t="n">
        <v>0</v>
      </c>
      <c r="M311" t="n">
        <v>0</v>
      </c>
      <c r="N311" t="n">
        <v>0</v>
      </c>
      <c r="O311" t="n">
        <v>0</v>
      </c>
      <c r="P311" t="n">
        <v>0</v>
      </c>
      <c r="Q311" t="n">
        <v>0</v>
      </c>
      <c r="R311" s="2" t="inlineStr"/>
    </row>
    <row r="312" ht="15" customHeight="1">
      <c r="A312" t="inlineStr">
        <is>
          <t>A 66799-2020</t>
        </is>
      </c>
      <c r="B312" s="1" t="n">
        <v>44179</v>
      </c>
      <c r="C312" s="1" t="n">
        <v>45473</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67627-2020</t>
        </is>
      </c>
      <c r="B313" s="1" t="n">
        <v>44182</v>
      </c>
      <c r="C313" s="1" t="n">
        <v>45473</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69328-2020</t>
        </is>
      </c>
      <c r="B314" s="1" t="n">
        <v>44188</v>
      </c>
      <c r="C314" s="1" t="n">
        <v>45473</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69613-2020</t>
        </is>
      </c>
      <c r="B315" s="1" t="n">
        <v>44195</v>
      </c>
      <c r="C315" s="1" t="n">
        <v>45473</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3087-2021</t>
        </is>
      </c>
      <c r="B316" s="1" t="n">
        <v>44216</v>
      </c>
      <c r="C316" s="1" t="n">
        <v>45473</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3078-2021</t>
        </is>
      </c>
      <c r="B317" s="1" t="n">
        <v>44216</v>
      </c>
      <c r="C317" s="1" t="n">
        <v>45473</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3085-2021</t>
        </is>
      </c>
      <c r="B318" s="1" t="n">
        <v>44216</v>
      </c>
      <c r="C318" s="1" t="n">
        <v>45473</v>
      </c>
      <c r="D318" t="inlineStr">
        <is>
          <t>ÖREBRO LÄN</t>
        </is>
      </c>
      <c r="E318" t="inlineStr">
        <is>
          <t>ÖREBRO</t>
        </is>
      </c>
      <c r="G318" t="n">
        <v>2.9</v>
      </c>
      <c r="H318" t="n">
        <v>0</v>
      </c>
      <c r="I318" t="n">
        <v>0</v>
      </c>
      <c r="J318" t="n">
        <v>0</v>
      </c>
      <c r="K318" t="n">
        <v>0</v>
      </c>
      <c r="L318" t="n">
        <v>0</v>
      </c>
      <c r="M318" t="n">
        <v>0</v>
      </c>
      <c r="N318" t="n">
        <v>0</v>
      </c>
      <c r="O318" t="n">
        <v>0</v>
      </c>
      <c r="P318" t="n">
        <v>0</v>
      </c>
      <c r="Q318" t="n">
        <v>0</v>
      </c>
      <c r="R318" s="2" t="inlineStr"/>
    </row>
    <row r="319" ht="15" customHeight="1">
      <c r="A319" t="inlineStr">
        <is>
          <t>A 3081-2021</t>
        </is>
      </c>
      <c r="B319" s="1" t="n">
        <v>44216</v>
      </c>
      <c r="C319" s="1" t="n">
        <v>45473</v>
      </c>
      <c r="D319" t="inlineStr">
        <is>
          <t>ÖREBRO LÄN</t>
        </is>
      </c>
      <c r="E319" t="inlineStr">
        <is>
          <t>ÖREBRO</t>
        </is>
      </c>
      <c r="G319" t="n">
        <v>4.2</v>
      </c>
      <c r="H319" t="n">
        <v>0</v>
      </c>
      <c r="I319" t="n">
        <v>0</v>
      </c>
      <c r="J319" t="n">
        <v>0</v>
      </c>
      <c r="K319" t="n">
        <v>0</v>
      </c>
      <c r="L319" t="n">
        <v>0</v>
      </c>
      <c r="M319" t="n">
        <v>0</v>
      </c>
      <c r="N319" t="n">
        <v>0</v>
      </c>
      <c r="O319" t="n">
        <v>0</v>
      </c>
      <c r="P319" t="n">
        <v>0</v>
      </c>
      <c r="Q319" t="n">
        <v>0</v>
      </c>
      <c r="R319" s="2" t="inlineStr"/>
    </row>
    <row r="320" ht="15" customHeight="1">
      <c r="A320" t="inlineStr">
        <is>
          <t>A 4021-2021</t>
        </is>
      </c>
      <c r="B320" s="1" t="n">
        <v>44218</v>
      </c>
      <c r="C320" s="1" t="n">
        <v>45473</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5708-2021</t>
        </is>
      </c>
      <c r="B321" s="1" t="n">
        <v>44230</v>
      </c>
      <c r="C321" s="1" t="n">
        <v>45473</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5946-2021</t>
        </is>
      </c>
      <c r="B322" s="1" t="n">
        <v>44230</v>
      </c>
      <c r="C322" s="1" t="n">
        <v>45473</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6213-2021</t>
        </is>
      </c>
      <c r="B323" s="1" t="n">
        <v>44232</v>
      </c>
      <c r="C323" s="1" t="n">
        <v>45473</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6212-2021</t>
        </is>
      </c>
      <c r="B324" s="1" t="n">
        <v>44232</v>
      </c>
      <c r="C324" s="1" t="n">
        <v>45473</v>
      </c>
      <c r="D324" t="inlineStr">
        <is>
          <t>ÖREBRO LÄN</t>
        </is>
      </c>
      <c r="E324" t="inlineStr">
        <is>
          <t>ÖREBRO</t>
        </is>
      </c>
      <c r="G324" t="n">
        <v>4.1</v>
      </c>
      <c r="H324" t="n">
        <v>0</v>
      </c>
      <c r="I324" t="n">
        <v>0</v>
      </c>
      <c r="J324" t="n">
        <v>0</v>
      </c>
      <c r="K324" t="n">
        <v>0</v>
      </c>
      <c r="L324" t="n">
        <v>0</v>
      </c>
      <c r="M324" t="n">
        <v>0</v>
      </c>
      <c r="N324" t="n">
        <v>0</v>
      </c>
      <c r="O324" t="n">
        <v>0</v>
      </c>
      <c r="P324" t="n">
        <v>0</v>
      </c>
      <c r="Q324" t="n">
        <v>0</v>
      </c>
      <c r="R324" s="2" t="inlineStr"/>
    </row>
    <row r="325" ht="15" customHeight="1">
      <c r="A325" t="inlineStr">
        <is>
          <t>A 6387-2021</t>
        </is>
      </c>
      <c r="B325" s="1" t="n">
        <v>44235</v>
      </c>
      <c r="C325" s="1" t="n">
        <v>45473</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7117-2021</t>
        </is>
      </c>
      <c r="B326" s="1" t="n">
        <v>44238</v>
      </c>
      <c r="C326" s="1" t="n">
        <v>45473</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8263-2021</t>
        </is>
      </c>
      <c r="B327" s="1" t="n">
        <v>44244</v>
      </c>
      <c r="C327" s="1" t="n">
        <v>45473</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8331-2021</t>
        </is>
      </c>
      <c r="B328" s="1" t="n">
        <v>44244</v>
      </c>
      <c r="C328" s="1" t="n">
        <v>45473</v>
      </c>
      <c r="D328" t="inlineStr">
        <is>
          <t>ÖREBRO LÄN</t>
        </is>
      </c>
      <c r="E328" t="inlineStr">
        <is>
          <t>ÖREBRO</t>
        </is>
      </c>
      <c r="G328" t="n">
        <v>9.1</v>
      </c>
      <c r="H328" t="n">
        <v>0</v>
      </c>
      <c r="I328" t="n">
        <v>0</v>
      </c>
      <c r="J328" t="n">
        <v>0</v>
      </c>
      <c r="K328" t="n">
        <v>0</v>
      </c>
      <c r="L328" t="n">
        <v>0</v>
      </c>
      <c r="M328" t="n">
        <v>0</v>
      </c>
      <c r="N328" t="n">
        <v>0</v>
      </c>
      <c r="O328" t="n">
        <v>0</v>
      </c>
      <c r="P328" t="n">
        <v>0</v>
      </c>
      <c r="Q328" t="n">
        <v>0</v>
      </c>
      <c r="R328" s="2" t="inlineStr"/>
    </row>
    <row r="329" ht="15" customHeight="1">
      <c r="A329" t="inlineStr">
        <is>
          <t>A 8375-2021</t>
        </is>
      </c>
      <c r="B329" s="1" t="n">
        <v>44244</v>
      </c>
      <c r="C329" s="1" t="n">
        <v>45473</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8332-2021</t>
        </is>
      </c>
      <c r="B330" s="1" t="n">
        <v>44244</v>
      </c>
      <c r="C330" s="1" t="n">
        <v>45473</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8374-2021</t>
        </is>
      </c>
      <c r="B331" s="1" t="n">
        <v>44244</v>
      </c>
      <c r="C331" s="1" t="n">
        <v>45473</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8543-2021</t>
        </is>
      </c>
      <c r="B332" s="1" t="n">
        <v>44245</v>
      </c>
      <c r="C332" s="1" t="n">
        <v>45473</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8565-2021</t>
        </is>
      </c>
      <c r="B333" s="1" t="n">
        <v>44245</v>
      </c>
      <c r="C333" s="1" t="n">
        <v>45473</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8571-2021</t>
        </is>
      </c>
      <c r="B334" s="1" t="n">
        <v>44245</v>
      </c>
      <c r="C334" s="1" t="n">
        <v>45473</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8568-2021</t>
        </is>
      </c>
      <c r="B335" s="1" t="n">
        <v>44245</v>
      </c>
      <c r="C335" s="1" t="n">
        <v>45473</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8575-2021</t>
        </is>
      </c>
      <c r="B336" s="1" t="n">
        <v>44245</v>
      </c>
      <c r="C336" s="1" t="n">
        <v>45473</v>
      </c>
      <c r="D336" t="inlineStr">
        <is>
          <t>ÖREBRO LÄN</t>
        </is>
      </c>
      <c r="E336" t="inlineStr">
        <is>
          <t>ÖREBRO</t>
        </is>
      </c>
      <c r="G336" t="n">
        <v>3.4</v>
      </c>
      <c r="H336" t="n">
        <v>0</v>
      </c>
      <c r="I336" t="n">
        <v>0</v>
      </c>
      <c r="J336" t="n">
        <v>0</v>
      </c>
      <c r="K336" t="n">
        <v>0</v>
      </c>
      <c r="L336" t="n">
        <v>0</v>
      </c>
      <c r="M336" t="n">
        <v>0</v>
      </c>
      <c r="N336" t="n">
        <v>0</v>
      </c>
      <c r="O336" t="n">
        <v>0</v>
      </c>
      <c r="P336" t="n">
        <v>0</v>
      </c>
      <c r="Q336" t="n">
        <v>0</v>
      </c>
      <c r="R336" s="2" t="inlineStr"/>
    </row>
    <row r="337" ht="15" customHeight="1">
      <c r="A337" t="inlineStr">
        <is>
          <t>A 9406-2021</t>
        </is>
      </c>
      <c r="B337" s="1" t="n">
        <v>44251</v>
      </c>
      <c r="C337" s="1" t="n">
        <v>45473</v>
      </c>
      <c r="D337" t="inlineStr">
        <is>
          <t>ÖREBRO LÄN</t>
        </is>
      </c>
      <c r="E337" t="inlineStr">
        <is>
          <t>ÖREBRO</t>
        </is>
      </c>
      <c r="G337" t="n">
        <v>6.1</v>
      </c>
      <c r="H337" t="n">
        <v>0</v>
      </c>
      <c r="I337" t="n">
        <v>0</v>
      </c>
      <c r="J337" t="n">
        <v>0</v>
      </c>
      <c r="K337" t="n">
        <v>0</v>
      </c>
      <c r="L337" t="n">
        <v>0</v>
      </c>
      <c r="M337" t="n">
        <v>0</v>
      </c>
      <c r="N337" t="n">
        <v>0</v>
      </c>
      <c r="O337" t="n">
        <v>0</v>
      </c>
      <c r="P337" t="n">
        <v>0</v>
      </c>
      <c r="Q337" t="n">
        <v>0</v>
      </c>
      <c r="R337" s="2" t="inlineStr"/>
    </row>
    <row r="338" ht="15" customHeight="1">
      <c r="A338" t="inlineStr">
        <is>
          <t>A 10368-2021</t>
        </is>
      </c>
      <c r="B338" s="1" t="n">
        <v>44257</v>
      </c>
      <c r="C338" s="1" t="n">
        <v>45473</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12433-2021</t>
        </is>
      </c>
      <c r="B339" s="1" t="n">
        <v>44267</v>
      </c>
      <c r="C339" s="1" t="n">
        <v>45473</v>
      </c>
      <c r="D339" t="inlineStr">
        <is>
          <t>ÖREBRO LÄN</t>
        </is>
      </c>
      <c r="E339" t="inlineStr">
        <is>
          <t>ÖREBRO</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12871-2021</t>
        </is>
      </c>
      <c r="B340" s="1" t="n">
        <v>44271</v>
      </c>
      <c r="C340" s="1" t="n">
        <v>45473</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13193-2021</t>
        </is>
      </c>
      <c r="B341" s="1" t="n">
        <v>44272</v>
      </c>
      <c r="C341" s="1" t="n">
        <v>45473</v>
      </c>
      <c r="D341" t="inlineStr">
        <is>
          <t>ÖREBRO LÄN</t>
        </is>
      </c>
      <c r="E341" t="inlineStr">
        <is>
          <t>ÖREBRO</t>
        </is>
      </c>
      <c r="F341" t="inlineStr">
        <is>
          <t>Övriga Aktiebolag</t>
        </is>
      </c>
      <c r="G341" t="n">
        <v>4.1</v>
      </c>
      <c r="H341" t="n">
        <v>0</v>
      </c>
      <c r="I341" t="n">
        <v>0</v>
      </c>
      <c r="J341" t="n">
        <v>0</v>
      </c>
      <c r="K341" t="n">
        <v>0</v>
      </c>
      <c r="L341" t="n">
        <v>0</v>
      </c>
      <c r="M341" t="n">
        <v>0</v>
      </c>
      <c r="N341" t="n">
        <v>0</v>
      </c>
      <c r="O341" t="n">
        <v>0</v>
      </c>
      <c r="P341" t="n">
        <v>0</v>
      </c>
      <c r="Q341" t="n">
        <v>0</v>
      </c>
      <c r="R341" s="2" t="inlineStr"/>
    </row>
    <row r="342" ht="15" customHeight="1">
      <c r="A342" t="inlineStr">
        <is>
          <t>A 13760-2021</t>
        </is>
      </c>
      <c r="B342" s="1" t="n">
        <v>44274</v>
      </c>
      <c r="C342" s="1" t="n">
        <v>45473</v>
      </c>
      <c r="D342" t="inlineStr">
        <is>
          <t>ÖREBRO LÄN</t>
        </is>
      </c>
      <c r="E342" t="inlineStr">
        <is>
          <t>ÖREBRO</t>
        </is>
      </c>
      <c r="G342" t="n">
        <v>2.1</v>
      </c>
      <c r="H342" t="n">
        <v>0</v>
      </c>
      <c r="I342" t="n">
        <v>0</v>
      </c>
      <c r="J342" t="n">
        <v>0</v>
      </c>
      <c r="K342" t="n">
        <v>0</v>
      </c>
      <c r="L342" t="n">
        <v>0</v>
      </c>
      <c r="M342" t="n">
        <v>0</v>
      </c>
      <c r="N342" t="n">
        <v>0</v>
      </c>
      <c r="O342" t="n">
        <v>0</v>
      </c>
      <c r="P342" t="n">
        <v>0</v>
      </c>
      <c r="Q342" t="n">
        <v>0</v>
      </c>
      <c r="R342" s="2" t="inlineStr"/>
    </row>
    <row r="343" ht="15" customHeight="1">
      <c r="A343" t="inlineStr">
        <is>
          <t>A 14064-2021</t>
        </is>
      </c>
      <c r="B343" s="1" t="n">
        <v>44277</v>
      </c>
      <c r="C343" s="1" t="n">
        <v>45473</v>
      </c>
      <c r="D343" t="inlineStr">
        <is>
          <t>ÖREBRO LÄN</t>
        </is>
      </c>
      <c r="E343" t="inlineStr">
        <is>
          <t>ÖREBRO</t>
        </is>
      </c>
      <c r="G343" t="n">
        <v>0.3</v>
      </c>
      <c r="H343" t="n">
        <v>0</v>
      </c>
      <c r="I343" t="n">
        <v>0</v>
      </c>
      <c r="J343" t="n">
        <v>0</v>
      </c>
      <c r="K343" t="n">
        <v>0</v>
      </c>
      <c r="L343" t="n">
        <v>0</v>
      </c>
      <c r="M343" t="n">
        <v>0</v>
      </c>
      <c r="N343" t="n">
        <v>0</v>
      </c>
      <c r="O343" t="n">
        <v>0</v>
      </c>
      <c r="P343" t="n">
        <v>0</v>
      </c>
      <c r="Q343" t="n">
        <v>0</v>
      </c>
      <c r="R343" s="2" t="inlineStr"/>
    </row>
    <row r="344" ht="15" customHeight="1">
      <c r="A344" t="inlineStr">
        <is>
          <t>A 14239-2021</t>
        </is>
      </c>
      <c r="B344" s="1" t="n">
        <v>44278</v>
      </c>
      <c r="C344" s="1" t="n">
        <v>45473</v>
      </c>
      <c r="D344" t="inlineStr">
        <is>
          <t>ÖREBRO LÄN</t>
        </is>
      </c>
      <c r="E344" t="inlineStr">
        <is>
          <t>ÖREBRO</t>
        </is>
      </c>
      <c r="G344" t="n">
        <v>2.6</v>
      </c>
      <c r="H344" t="n">
        <v>0</v>
      </c>
      <c r="I344" t="n">
        <v>0</v>
      </c>
      <c r="J344" t="n">
        <v>0</v>
      </c>
      <c r="K344" t="n">
        <v>0</v>
      </c>
      <c r="L344" t="n">
        <v>0</v>
      </c>
      <c r="M344" t="n">
        <v>0</v>
      </c>
      <c r="N344" t="n">
        <v>0</v>
      </c>
      <c r="O344" t="n">
        <v>0</v>
      </c>
      <c r="P344" t="n">
        <v>0</v>
      </c>
      <c r="Q344" t="n">
        <v>0</v>
      </c>
      <c r="R344" s="2" t="inlineStr"/>
    </row>
    <row r="345" ht="15" customHeight="1">
      <c r="A345" t="inlineStr">
        <is>
          <t>A 15574-2021</t>
        </is>
      </c>
      <c r="B345" s="1" t="n">
        <v>44285</v>
      </c>
      <c r="C345" s="1" t="n">
        <v>45473</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15571-2021</t>
        </is>
      </c>
      <c r="B346" s="1" t="n">
        <v>44285</v>
      </c>
      <c r="C346" s="1" t="n">
        <v>45473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16260-2021</t>
        </is>
      </c>
      <c r="B347" s="1" t="n">
        <v>44292</v>
      </c>
      <c r="C347" s="1" t="n">
        <v>45473</v>
      </c>
      <c r="D347" t="inlineStr">
        <is>
          <t>ÖREBRO LÄN</t>
        </is>
      </c>
      <c r="E347" t="inlineStr">
        <is>
          <t>ÖREBRO</t>
        </is>
      </c>
      <c r="G347" t="n">
        <v>3.2</v>
      </c>
      <c r="H347" t="n">
        <v>0</v>
      </c>
      <c r="I347" t="n">
        <v>0</v>
      </c>
      <c r="J347" t="n">
        <v>0</v>
      </c>
      <c r="K347" t="n">
        <v>0</v>
      </c>
      <c r="L347" t="n">
        <v>0</v>
      </c>
      <c r="M347" t="n">
        <v>0</v>
      </c>
      <c r="N347" t="n">
        <v>0</v>
      </c>
      <c r="O347" t="n">
        <v>0</v>
      </c>
      <c r="P347" t="n">
        <v>0</v>
      </c>
      <c r="Q347" t="n">
        <v>0</v>
      </c>
      <c r="R347" s="2" t="inlineStr"/>
    </row>
    <row r="348" ht="15" customHeight="1">
      <c r="A348" t="inlineStr">
        <is>
          <t>A 16785-2021</t>
        </is>
      </c>
      <c r="B348" s="1" t="n">
        <v>44295</v>
      </c>
      <c r="C348" s="1" t="n">
        <v>45473</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19468-2021</t>
        </is>
      </c>
      <c r="B349" s="1" t="n">
        <v>44311</v>
      </c>
      <c r="C349" s="1" t="n">
        <v>45473</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19803-2021</t>
        </is>
      </c>
      <c r="B350" s="1" t="n">
        <v>44313</v>
      </c>
      <c r="C350" s="1" t="n">
        <v>45473</v>
      </c>
      <c r="D350" t="inlineStr">
        <is>
          <t>ÖREBRO LÄN</t>
        </is>
      </c>
      <c r="E350" t="inlineStr">
        <is>
          <t>ÖREBRO</t>
        </is>
      </c>
      <c r="G350" t="n">
        <v>2.5</v>
      </c>
      <c r="H350" t="n">
        <v>0</v>
      </c>
      <c r="I350" t="n">
        <v>0</v>
      </c>
      <c r="J350" t="n">
        <v>0</v>
      </c>
      <c r="K350" t="n">
        <v>0</v>
      </c>
      <c r="L350" t="n">
        <v>0</v>
      </c>
      <c r="M350" t="n">
        <v>0</v>
      </c>
      <c r="N350" t="n">
        <v>0</v>
      </c>
      <c r="O350" t="n">
        <v>0</v>
      </c>
      <c r="P350" t="n">
        <v>0</v>
      </c>
      <c r="Q350" t="n">
        <v>0</v>
      </c>
      <c r="R350" s="2" t="inlineStr"/>
    </row>
    <row r="351" ht="15" customHeight="1">
      <c r="A351" t="inlineStr">
        <is>
          <t>A 19831-2021</t>
        </is>
      </c>
      <c r="B351" s="1" t="n">
        <v>44313</v>
      </c>
      <c r="C351" s="1" t="n">
        <v>45473</v>
      </c>
      <c r="D351" t="inlineStr">
        <is>
          <t>ÖREBRO LÄN</t>
        </is>
      </c>
      <c r="E351" t="inlineStr">
        <is>
          <t>ÖREBRO</t>
        </is>
      </c>
      <c r="G351" t="n">
        <v>10.4</v>
      </c>
      <c r="H351" t="n">
        <v>0</v>
      </c>
      <c r="I351" t="n">
        <v>0</v>
      </c>
      <c r="J351" t="n">
        <v>0</v>
      </c>
      <c r="K351" t="n">
        <v>0</v>
      </c>
      <c r="L351" t="n">
        <v>0</v>
      </c>
      <c r="M351" t="n">
        <v>0</v>
      </c>
      <c r="N351" t="n">
        <v>0</v>
      </c>
      <c r="O351" t="n">
        <v>0</v>
      </c>
      <c r="P351" t="n">
        <v>0</v>
      </c>
      <c r="Q351" t="n">
        <v>0</v>
      </c>
      <c r="R351" s="2" t="inlineStr"/>
    </row>
    <row r="352" ht="15" customHeight="1">
      <c r="A352" t="inlineStr">
        <is>
          <t>A 21983-2021</t>
        </is>
      </c>
      <c r="B352" s="1" t="n">
        <v>44323</v>
      </c>
      <c r="C352" s="1" t="n">
        <v>45473</v>
      </c>
      <c r="D352" t="inlineStr">
        <is>
          <t>ÖREBRO LÄN</t>
        </is>
      </c>
      <c r="E352" t="inlineStr">
        <is>
          <t>ÖREBRO</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23606-2021</t>
        </is>
      </c>
      <c r="B353" s="1" t="n">
        <v>44334</v>
      </c>
      <c r="C353" s="1" t="n">
        <v>45473</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24818-2021</t>
        </is>
      </c>
      <c r="B354" s="1" t="n">
        <v>44340</v>
      </c>
      <c r="C354" s="1" t="n">
        <v>45473</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25407-2021</t>
        </is>
      </c>
      <c r="B355" s="1" t="n">
        <v>44342</v>
      </c>
      <c r="C355" s="1" t="n">
        <v>45473</v>
      </c>
      <c r="D355" t="inlineStr">
        <is>
          <t>ÖREBRO LÄN</t>
        </is>
      </c>
      <c r="E355" t="inlineStr">
        <is>
          <t>ÖREBRO</t>
        </is>
      </c>
      <c r="F355" t="inlineStr">
        <is>
          <t>Kommuner</t>
        </is>
      </c>
      <c r="G355" t="n">
        <v>7.2</v>
      </c>
      <c r="H355" t="n">
        <v>0</v>
      </c>
      <c r="I355" t="n">
        <v>0</v>
      </c>
      <c r="J355" t="n">
        <v>0</v>
      </c>
      <c r="K355" t="n">
        <v>0</v>
      </c>
      <c r="L355" t="n">
        <v>0</v>
      </c>
      <c r="M355" t="n">
        <v>0</v>
      </c>
      <c r="N355" t="n">
        <v>0</v>
      </c>
      <c r="O355" t="n">
        <v>0</v>
      </c>
      <c r="P355" t="n">
        <v>0</v>
      </c>
      <c r="Q355" t="n">
        <v>0</v>
      </c>
      <c r="R355" s="2" t="inlineStr"/>
    </row>
    <row r="356" ht="15" customHeight="1">
      <c r="A356" t="inlineStr">
        <is>
          <t>A 25443-2021</t>
        </is>
      </c>
      <c r="B356" s="1" t="n">
        <v>44342</v>
      </c>
      <c r="C356" s="1" t="n">
        <v>45473</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25660-2021</t>
        </is>
      </c>
      <c r="B357" s="1" t="n">
        <v>44343</v>
      </c>
      <c r="C357" s="1" t="n">
        <v>45473</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25778-2021</t>
        </is>
      </c>
      <c r="B358" s="1" t="n">
        <v>44343</v>
      </c>
      <c r="C358" s="1" t="n">
        <v>45473</v>
      </c>
      <c r="D358" t="inlineStr">
        <is>
          <t>ÖREBRO LÄN</t>
        </is>
      </c>
      <c r="E358" t="inlineStr">
        <is>
          <t>ÖREBRO</t>
        </is>
      </c>
      <c r="F358" t="inlineStr">
        <is>
          <t>Övriga Aktiebolag</t>
        </is>
      </c>
      <c r="G358" t="n">
        <v>11.3</v>
      </c>
      <c r="H358" t="n">
        <v>0</v>
      </c>
      <c r="I358" t="n">
        <v>0</v>
      </c>
      <c r="J358" t="n">
        <v>0</v>
      </c>
      <c r="K358" t="n">
        <v>0</v>
      </c>
      <c r="L358" t="n">
        <v>0</v>
      </c>
      <c r="M358" t="n">
        <v>0</v>
      </c>
      <c r="N358" t="n">
        <v>0</v>
      </c>
      <c r="O358" t="n">
        <v>0</v>
      </c>
      <c r="P358" t="n">
        <v>0</v>
      </c>
      <c r="Q358" t="n">
        <v>0</v>
      </c>
      <c r="R358" s="2" t="inlineStr"/>
    </row>
    <row r="359" ht="15" customHeight="1">
      <c r="A359" t="inlineStr">
        <is>
          <t>A 26118-2021</t>
        </is>
      </c>
      <c r="B359" s="1" t="n">
        <v>44345</v>
      </c>
      <c r="C359" s="1" t="n">
        <v>45473</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26119-2021</t>
        </is>
      </c>
      <c r="B360" s="1" t="n">
        <v>44345</v>
      </c>
      <c r="C360" s="1" t="n">
        <v>45473</v>
      </c>
      <c r="D360" t="inlineStr">
        <is>
          <t>ÖREBRO LÄN</t>
        </is>
      </c>
      <c r="E360" t="inlineStr">
        <is>
          <t>ÖREBRO</t>
        </is>
      </c>
      <c r="G360" t="n">
        <v>1.6</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45473</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26153-2021</t>
        </is>
      </c>
      <c r="B362" s="1" t="n">
        <v>44347</v>
      </c>
      <c r="C362" s="1" t="n">
        <v>45473</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26338-2021</t>
        </is>
      </c>
      <c r="B363" s="1" t="n">
        <v>44347</v>
      </c>
      <c r="C363" s="1" t="n">
        <v>45473</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26509-2021</t>
        </is>
      </c>
      <c r="B364" s="1" t="n">
        <v>44348</v>
      </c>
      <c r="C364" s="1" t="n">
        <v>45473</v>
      </c>
      <c r="D364" t="inlineStr">
        <is>
          <t>ÖREBRO LÄN</t>
        </is>
      </c>
      <c r="E364" t="inlineStr">
        <is>
          <t>ÖREBRO</t>
        </is>
      </c>
      <c r="G364" t="n">
        <v>2.5</v>
      </c>
      <c r="H364" t="n">
        <v>0</v>
      </c>
      <c r="I364" t="n">
        <v>0</v>
      </c>
      <c r="J364" t="n">
        <v>0</v>
      </c>
      <c r="K364" t="n">
        <v>0</v>
      </c>
      <c r="L364" t="n">
        <v>0</v>
      </c>
      <c r="M364" t="n">
        <v>0</v>
      </c>
      <c r="N364" t="n">
        <v>0</v>
      </c>
      <c r="O364" t="n">
        <v>0</v>
      </c>
      <c r="P364" t="n">
        <v>0</v>
      </c>
      <c r="Q364" t="n">
        <v>0</v>
      </c>
      <c r="R364" s="2" t="inlineStr"/>
    </row>
    <row r="365" ht="15" customHeight="1">
      <c r="A365" t="inlineStr">
        <is>
          <t>A 27141-2021</t>
        </is>
      </c>
      <c r="B365" s="1" t="n">
        <v>44350</v>
      </c>
      <c r="C365" s="1" t="n">
        <v>45473</v>
      </c>
      <c r="D365" t="inlineStr">
        <is>
          <t>ÖREBRO LÄN</t>
        </is>
      </c>
      <c r="E365" t="inlineStr">
        <is>
          <t>ÖREBRO</t>
        </is>
      </c>
      <c r="F365" t="inlineStr">
        <is>
          <t>Kommuner</t>
        </is>
      </c>
      <c r="G365" t="n">
        <v>1.6</v>
      </c>
      <c r="H365" t="n">
        <v>0</v>
      </c>
      <c r="I365" t="n">
        <v>0</v>
      </c>
      <c r="J365" t="n">
        <v>0</v>
      </c>
      <c r="K365" t="n">
        <v>0</v>
      </c>
      <c r="L365" t="n">
        <v>0</v>
      </c>
      <c r="M365" t="n">
        <v>0</v>
      </c>
      <c r="N365" t="n">
        <v>0</v>
      </c>
      <c r="O365" t="n">
        <v>0</v>
      </c>
      <c r="P365" t="n">
        <v>0</v>
      </c>
      <c r="Q365" t="n">
        <v>0</v>
      </c>
      <c r="R365" s="2" t="inlineStr"/>
    </row>
    <row r="366" ht="15" customHeight="1">
      <c r="A366" t="inlineStr">
        <is>
          <t>A 28689-2021</t>
        </is>
      </c>
      <c r="B366" s="1" t="n">
        <v>44357</v>
      </c>
      <c r="C366" s="1" t="n">
        <v>45473</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28870-2021</t>
        </is>
      </c>
      <c r="B367" s="1" t="n">
        <v>44357</v>
      </c>
      <c r="C367" s="1" t="n">
        <v>45473</v>
      </c>
      <c r="D367" t="inlineStr">
        <is>
          <t>ÖREBRO LÄN</t>
        </is>
      </c>
      <c r="E367" t="inlineStr">
        <is>
          <t>ÖREBRO</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29033-2021</t>
        </is>
      </c>
      <c r="B368" s="1" t="n">
        <v>44358</v>
      </c>
      <c r="C368" s="1" t="n">
        <v>45473</v>
      </c>
      <c r="D368" t="inlineStr">
        <is>
          <t>ÖREBRO LÄN</t>
        </is>
      </c>
      <c r="E368" t="inlineStr">
        <is>
          <t>ÖREBRO</t>
        </is>
      </c>
      <c r="F368" t="inlineStr">
        <is>
          <t>Kommuner</t>
        </is>
      </c>
      <c r="G368" t="n">
        <v>3.7</v>
      </c>
      <c r="H368" t="n">
        <v>0</v>
      </c>
      <c r="I368" t="n">
        <v>0</v>
      </c>
      <c r="J368" t="n">
        <v>0</v>
      </c>
      <c r="K368" t="n">
        <v>0</v>
      </c>
      <c r="L368" t="n">
        <v>0</v>
      </c>
      <c r="M368" t="n">
        <v>0</v>
      </c>
      <c r="N368" t="n">
        <v>0</v>
      </c>
      <c r="O368" t="n">
        <v>0</v>
      </c>
      <c r="P368" t="n">
        <v>0</v>
      </c>
      <c r="Q368" t="n">
        <v>0</v>
      </c>
      <c r="R368" s="2" t="inlineStr"/>
    </row>
    <row r="369" ht="15" customHeight="1">
      <c r="A369" t="inlineStr">
        <is>
          <t>A 31235-2021</t>
        </is>
      </c>
      <c r="B369" s="1" t="n">
        <v>44368</v>
      </c>
      <c r="C369" s="1" t="n">
        <v>45473</v>
      </c>
      <c r="D369" t="inlineStr">
        <is>
          <t>ÖREBRO LÄN</t>
        </is>
      </c>
      <c r="E369" t="inlineStr">
        <is>
          <t>ÖREBRO</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33779-2021</t>
        </is>
      </c>
      <c r="B370" s="1" t="n">
        <v>44378</v>
      </c>
      <c r="C370" s="1" t="n">
        <v>45473</v>
      </c>
      <c r="D370" t="inlineStr">
        <is>
          <t>ÖREBRO LÄN</t>
        </is>
      </c>
      <c r="E370" t="inlineStr">
        <is>
          <t>ÖREBRO</t>
        </is>
      </c>
      <c r="F370" t="inlineStr">
        <is>
          <t>Kommuner</t>
        </is>
      </c>
      <c r="G370" t="n">
        <v>4.5</v>
      </c>
      <c r="H370" t="n">
        <v>0</v>
      </c>
      <c r="I370" t="n">
        <v>0</v>
      </c>
      <c r="J370" t="n">
        <v>0</v>
      </c>
      <c r="K370" t="n">
        <v>0</v>
      </c>
      <c r="L370" t="n">
        <v>0</v>
      </c>
      <c r="M370" t="n">
        <v>0</v>
      </c>
      <c r="N370" t="n">
        <v>0</v>
      </c>
      <c r="O370" t="n">
        <v>0</v>
      </c>
      <c r="P370" t="n">
        <v>0</v>
      </c>
      <c r="Q370" t="n">
        <v>0</v>
      </c>
      <c r="R370" s="2" t="inlineStr"/>
    </row>
    <row r="371" ht="15" customHeight="1">
      <c r="A371" t="inlineStr">
        <is>
          <t>A 33814-2021</t>
        </is>
      </c>
      <c r="B371" s="1" t="n">
        <v>44378</v>
      </c>
      <c r="C371" s="1" t="n">
        <v>45473</v>
      </c>
      <c r="D371" t="inlineStr">
        <is>
          <t>ÖREBRO LÄN</t>
        </is>
      </c>
      <c r="E371" t="inlineStr">
        <is>
          <t>ÖREBRO</t>
        </is>
      </c>
      <c r="F371" t="inlineStr">
        <is>
          <t>Kommuner</t>
        </is>
      </c>
      <c r="G371" t="n">
        <v>1.2</v>
      </c>
      <c r="H371" t="n">
        <v>0</v>
      </c>
      <c r="I371" t="n">
        <v>0</v>
      </c>
      <c r="J371" t="n">
        <v>0</v>
      </c>
      <c r="K371" t="n">
        <v>0</v>
      </c>
      <c r="L371" t="n">
        <v>0</v>
      </c>
      <c r="M371" t="n">
        <v>0</v>
      </c>
      <c r="N371" t="n">
        <v>0</v>
      </c>
      <c r="O371" t="n">
        <v>0</v>
      </c>
      <c r="P371" t="n">
        <v>0</v>
      </c>
      <c r="Q371" t="n">
        <v>0</v>
      </c>
      <c r="R371" s="2" t="inlineStr"/>
    </row>
    <row r="372" ht="15" customHeight="1">
      <c r="A372" t="inlineStr">
        <is>
          <t>A 33865-2021</t>
        </is>
      </c>
      <c r="B372" s="1" t="n">
        <v>44378</v>
      </c>
      <c r="C372" s="1" t="n">
        <v>45473</v>
      </c>
      <c r="D372" t="inlineStr">
        <is>
          <t>ÖREBRO LÄN</t>
        </is>
      </c>
      <c r="E372" t="inlineStr">
        <is>
          <t>ÖREBRO</t>
        </is>
      </c>
      <c r="F372" t="inlineStr">
        <is>
          <t>Kommuner</t>
        </is>
      </c>
      <c r="G372" t="n">
        <v>2.8</v>
      </c>
      <c r="H372" t="n">
        <v>0</v>
      </c>
      <c r="I372" t="n">
        <v>0</v>
      </c>
      <c r="J372" t="n">
        <v>0</v>
      </c>
      <c r="K372" t="n">
        <v>0</v>
      </c>
      <c r="L372" t="n">
        <v>0</v>
      </c>
      <c r="M372" t="n">
        <v>0</v>
      </c>
      <c r="N372" t="n">
        <v>0</v>
      </c>
      <c r="O372" t="n">
        <v>0</v>
      </c>
      <c r="P372" t="n">
        <v>0</v>
      </c>
      <c r="Q372" t="n">
        <v>0</v>
      </c>
      <c r="R372" s="2" t="inlineStr"/>
    </row>
    <row r="373" ht="15" customHeight="1">
      <c r="A373" t="inlineStr">
        <is>
          <t>A 35836-2021</t>
        </is>
      </c>
      <c r="B373" s="1" t="n">
        <v>44386</v>
      </c>
      <c r="C373" s="1" t="n">
        <v>45473</v>
      </c>
      <c r="D373" t="inlineStr">
        <is>
          <t>ÖREBRO LÄN</t>
        </is>
      </c>
      <c r="E373" t="inlineStr">
        <is>
          <t>ÖREBRO</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37395-2021</t>
        </is>
      </c>
      <c r="B374" s="1" t="n">
        <v>44398</v>
      </c>
      <c r="C374" s="1" t="n">
        <v>45473</v>
      </c>
      <c r="D374" t="inlineStr">
        <is>
          <t>ÖREBRO LÄN</t>
        </is>
      </c>
      <c r="E374" t="inlineStr">
        <is>
          <t>ÖREBRO</t>
        </is>
      </c>
      <c r="G374" t="n">
        <v>3</v>
      </c>
      <c r="H374" t="n">
        <v>0</v>
      </c>
      <c r="I374" t="n">
        <v>0</v>
      </c>
      <c r="J374" t="n">
        <v>0</v>
      </c>
      <c r="K374" t="n">
        <v>0</v>
      </c>
      <c r="L374" t="n">
        <v>0</v>
      </c>
      <c r="M374" t="n">
        <v>0</v>
      </c>
      <c r="N374" t="n">
        <v>0</v>
      </c>
      <c r="O374" t="n">
        <v>0</v>
      </c>
      <c r="P374" t="n">
        <v>0</v>
      </c>
      <c r="Q374" t="n">
        <v>0</v>
      </c>
      <c r="R374" s="2" t="inlineStr"/>
    </row>
    <row r="375" ht="15" customHeight="1">
      <c r="A375" t="inlineStr">
        <is>
          <t>A 38133-2021</t>
        </is>
      </c>
      <c r="B375" s="1" t="n">
        <v>44404</v>
      </c>
      <c r="C375" s="1" t="n">
        <v>45473</v>
      </c>
      <c r="D375" t="inlineStr">
        <is>
          <t>ÖREBRO LÄN</t>
        </is>
      </c>
      <c r="E375" t="inlineStr">
        <is>
          <t>ÖREBRO</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40312-2021</t>
        </is>
      </c>
      <c r="B376" s="1" t="n">
        <v>44419</v>
      </c>
      <c r="C376" s="1" t="n">
        <v>45473</v>
      </c>
      <c r="D376" t="inlineStr">
        <is>
          <t>ÖREBRO LÄN</t>
        </is>
      </c>
      <c r="E376" t="inlineStr">
        <is>
          <t>ÖREBRO</t>
        </is>
      </c>
      <c r="F376" t="inlineStr">
        <is>
          <t>Övriga Aktiebolag</t>
        </is>
      </c>
      <c r="G376" t="n">
        <v>2.6</v>
      </c>
      <c r="H376" t="n">
        <v>0</v>
      </c>
      <c r="I376" t="n">
        <v>0</v>
      </c>
      <c r="J376" t="n">
        <v>0</v>
      </c>
      <c r="K376" t="n">
        <v>0</v>
      </c>
      <c r="L376" t="n">
        <v>0</v>
      </c>
      <c r="M376" t="n">
        <v>0</v>
      </c>
      <c r="N376" t="n">
        <v>0</v>
      </c>
      <c r="O376" t="n">
        <v>0</v>
      </c>
      <c r="P376" t="n">
        <v>0</v>
      </c>
      <c r="Q376" t="n">
        <v>0</v>
      </c>
      <c r="R376" s="2" t="inlineStr"/>
    </row>
    <row r="377" ht="15" customHeight="1">
      <c r="A377" t="inlineStr">
        <is>
          <t>A 40597-2021</t>
        </is>
      </c>
      <c r="B377" s="1" t="n">
        <v>44420</v>
      </c>
      <c r="C377" s="1" t="n">
        <v>45473</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40605-2021</t>
        </is>
      </c>
      <c r="B378" s="1" t="n">
        <v>44420</v>
      </c>
      <c r="C378" s="1" t="n">
        <v>45473</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40588-2021</t>
        </is>
      </c>
      <c r="B379" s="1" t="n">
        <v>44420</v>
      </c>
      <c r="C379" s="1" t="n">
        <v>45473</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41326-2021</t>
        </is>
      </c>
      <c r="B380" s="1" t="n">
        <v>44424</v>
      </c>
      <c r="C380" s="1" t="n">
        <v>45473</v>
      </c>
      <c r="D380" t="inlineStr">
        <is>
          <t>ÖREBRO LÄN</t>
        </is>
      </c>
      <c r="E380" t="inlineStr">
        <is>
          <t>ÖREBRO</t>
        </is>
      </c>
      <c r="G380" t="n">
        <v>5.9</v>
      </c>
      <c r="H380" t="n">
        <v>0</v>
      </c>
      <c r="I380" t="n">
        <v>0</v>
      </c>
      <c r="J380" t="n">
        <v>0</v>
      </c>
      <c r="K380" t="n">
        <v>0</v>
      </c>
      <c r="L380" t="n">
        <v>0</v>
      </c>
      <c r="M380" t="n">
        <v>0</v>
      </c>
      <c r="N380" t="n">
        <v>0</v>
      </c>
      <c r="O380" t="n">
        <v>0</v>
      </c>
      <c r="P380" t="n">
        <v>0</v>
      </c>
      <c r="Q380" t="n">
        <v>0</v>
      </c>
      <c r="R380" s="2" t="inlineStr"/>
    </row>
    <row r="381" ht="15" customHeight="1">
      <c r="A381" t="inlineStr">
        <is>
          <t>A 42518-2021</t>
        </is>
      </c>
      <c r="B381" s="1" t="n">
        <v>44427</v>
      </c>
      <c r="C381" s="1" t="n">
        <v>45473</v>
      </c>
      <c r="D381" t="inlineStr">
        <is>
          <t>ÖREBRO LÄN</t>
        </is>
      </c>
      <c r="E381" t="inlineStr">
        <is>
          <t>ÖREBRO</t>
        </is>
      </c>
      <c r="G381" t="n">
        <v>4.5</v>
      </c>
      <c r="H381" t="n">
        <v>0</v>
      </c>
      <c r="I381" t="n">
        <v>0</v>
      </c>
      <c r="J381" t="n">
        <v>0</v>
      </c>
      <c r="K381" t="n">
        <v>0</v>
      </c>
      <c r="L381" t="n">
        <v>0</v>
      </c>
      <c r="M381" t="n">
        <v>0</v>
      </c>
      <c r="N381" t="n">
        <v>0</v>
      </c>
      <c r="O381" t="n">
        <v>0</v>
      </c>
      <c r="P381" t="n">
        <v>0</v>
      </c>
      <c r="Q381" t="n">
        <v>0</v>
      </c>
      <c r="R381" s="2" t="inlineStr"/>
    </row>
    <row r="382" ht="15" customHeight="1">
      <c r="A382" t="inlineStr">
        <is>
          <t>A 42777-2021</t>
        </is>
      </c>
      <c r="B382" s="1" t="n">
        <v>44428</v>
      </c>
      <c r="C382" s="1" t="n">
        <v>45473</v>
      </c>
      <c r="D382" t="inlineStr">
        <is>
          <t>ÖREBRO LÄN</t>
        </is>
      </c>
      <c r="E382" t="inlineStr">
        <is>
          <t>ÖREBRO</t>
        </is>
      </c>
      <c r="F382" t="inlineStr">
        <is>
          <t>Övriga Aktiebolag</t>
        </is>
      </c>
      <c r="G382" t="n">
        <v>5.4</v>
      </c>
      <c r="H382" t="n">
        <v>0</v>
      </c>
      <c r="I382" t="n">
        <v>0</v>
      </c>
      <c r="J382" t="n">
        <v>0</v>
      </c>
      <c r="K382" t="n">
        <v>0</v>
      </c>
      <c r="L382" t="n">
        <v>0</v>
      </c>
      <c r="M382" t="n">
        <v>0</v>
      </c>
      <c r="N382" t="n">
        <v>0</v>
      </c>
      <c r="O382" t="n">
        <v>0</v>
      </c>
      <c r="P382" t="n">
        <v>0</v>
      </c>
      <c r="Q382" t="n">
        <v>0</v>
      </c>
      <c r="R382" s="2" t="inlineStr"/>
    </row>
    <row r="383" ht="15" customHeight="1">
      <c r="A383" t="inlineStr">
        <is>
          <t>A 44043-2021</t>
        </is>
      </c>
      <c r="B383" s="1" t="n">
        <v>44434</v>
      </c>
      <c r="C383" s="1" t="n">
        <v>45473</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44146-2021</t>
        </is>
      </c>
      <c r="B384" s="1" t="n">
        <v>44434</v>
      </c>
      <c r="C384" s="1" t="n">
        <v>45473</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44560-2021</t>
        </is>
      </c>
      <c r="B385" s="1" t="n">
        <v>44435</v>
      </c>
      <c r="C385" s="1" t="n">
        <v>45473</v>
      </c>
      <c r="D385" t="inlineStr">
        <is>
          <t>ÖREBRO LÄN</t>
        </is>
      </c>
      <c r="E385" t="inlineStr">
        <is>
          <t>ÖREBRO</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46757-2021</t>
        </is>
      </c>
      <c r="B386" s="1" t="n">
        <v>44445</v>
      </c>
      <c r="C386" s="1" t="n">
        <v>45473</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47130-2021</t>
        </is>
      </c>
      <c r="B387" s="1" t="n">
        <v>44446</v>
      </c>
      <c r="C387" s="1" t="n">
        <v>45473</v>
      </c>
      <c r="D387" t="inlineStr">
        <is>
          <t>ÖREBRO LÄN</t>
        </is>
      </c>
      <c r="E387" t="inlineStr">
        <is>
          <t>ÖREBRO</t>
        </is>
      </c>
      <c r="G387" t="n">
        <v>7.9</v>
      </c>
      <c r="H387" t="n">
        <v>0</v>
      </c>
      <c r="I387" t="n">
        <v>0</v>
      </c>
      <c r="J387" t="n">
        <v>0</v>
      </c>
      <c r="K387" t="n">
        <v>0</v>
      </c>
      <c r="L387" t="n">
        <v>0</v>
      </c>
      <c r="M387" t="n">
        <v>0</v>
      </c>
      <c r="N387" t="n">
        <v>0</v>
      </c>
      <c r="O387" t="n">
        <v>0</v>
      </c>
      <c r="P387" t="n">
        <v>0</v>
      </c>
      <c r="Q387" t="n">
        <v>0</v>
      </c>
      <c r="R387" s="2" t="inlineStr"/>
    </row>
    <row r="388" ht="15" customHeight="1">
      <c r="A388" t="inlineStr">
        <is>
          <t>A 47973-2021</t>
        </is>
      </c>
      <c r="B388" s="1" t="n">
        <v>44449</v>
      </c>
      <c r="C388" s="1" t="n">
        <v>45473</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49016-2021</t>
        </is>
      </c>
      <c r="B389" s="1" t="n">
        <v>44453</v>
      </c>
      <c r="C389" s="1" t="n">
        <v>45473</v>
      </c>
      <c r="D389" t="inlineStr">
        <is>
          <t>ÖREBRO LÄN</t>
        </is>
      </c>
      <c r="E389" t="inlineStr">
        <is>
          <t>ÖREBRO</t>
        </is>
      </c>
      <c r="G389" t="n">
        <v>4.5</v>
      </c>
      <c r="H389" t="n">
        <v>0</v>
      </c>
      <c r="I389" t="n">
        <v>0</v>
      </c>
      <c r="J389" t="n">
        <v>0</v>
      </c>
      <c r="K389" t="n">
        <v>0</v>
      </c>
      <c r="L389" t="n">
        <v>0</v>
      </c>
      <c r="M389" t="n">
        <v>0</v>
      </c>
      <c r="N389" t="n">
        <v>0</v>
      </c>
      <c r="O389" t="n">
        <v>0</v>
      </c>
      <c r="P389" t="n">
        <v>0</v>
      </c>
      <c r="Q389" t="n">
        <v>0</v>
      </c>
      <c r="R389" s="2" t="inlineStr"/>
    </row>
    <row r="390" ht="15" customHeight="1">
      <c r="A390" t="inlineStr">
        <is>
          <t>A 51429-2021</t>
        </is>
      </c>
      <c r="B390" s="1" t="n">
        <v>44462</v>
      </c>
      <c r="C390" s="1" t="n">
        <v>45473</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52352-2021</t>
        </is>
      </c>
      <c r="B391" s="1" t="n">
        <v>44464</v>
      </c>
      <c r="C391" s="1" t="n">
        <v>45473</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55487-2021</t>
        </is>
      </c>
      <c r="B392" s="1" t="n">
        <v>44475</v>
      </c>
      <c r="C392" s="1" t="n">
        <v>45473</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57343-2021</t>
        </is>
      </c>
      <c r="B393" s="1" t="n">
        <v>44482</v>
      </c>
      <c r="C393" s="1" t="n">
        <v>45473</v>
      </c>
      <c r="D393" t="inlineStr">
        <is>
          <t>ÖREBRO LÄN</t>
        </is>
      </c>
      <c r="E393" t="inlineStr">
        <is>
          <t>ÖREBRO</t>
        </is>
      </c>
      <c r="G393" t="n">
        <v>3.3</v>
      </c>
      <c r="H393" t="n">
        <v>0</v>
      </c>
      <c r="I393" t="n">
        <v>0</v>
      </c>
      <c r="J393" t="n">
        <v>0</v>
      </c>
      <c r="K393" t="n">
        <v>0</v>
      </c>
      <c r="L393" t="n">
        <v>0</v>
      </c>
      <c r="M393" t="n">
        <v>0</v>
      </c>
      <c r="N393" t="n">
        <v>0</v>
      </c>
      <c r="O393" t="n">
        <v>0</v>
      </c>
      <c r="P393" t="n">
        <v>0</v>
      </c>
      <c r="Q393" t="n">
        <v>0</v>
      </c>
      <c r="R393" s="2" t="inlineStr"/>
    </row>
    <row r="394" ht="15" customHeight="1">
      <c r="A394" t="inlineStr">
        <is>
          <t>A 57498-2021</t>
        </is>
      </c>
      <c r="B394" s="1" t="n">
        <v>44483</v>
      </c>
      <c r="C394" s="1" t="n">
        <v>45473</v>
      </c>
      <c r="D394" t="inlineStr">
        <is>
          <t>ÖREBRO LÄN</t>
        </is>
      </c>
      <c r="E394" t="inlineStr">
        <is>
          <t>ÖREBRO</t>
        </is>
      </c>
      <c r="F394" t="inlineStr">
        <is>
          <t>Övriga Aktiebolag</t>
        </is>
      </c>
      <c r="G394" t="n">
        <v>2.7</v>
      </c>
      <c r="H394" t="n">
        <v>0</v>
      </c>
      <c r="I394" t="n">
        <v>0</v>
      </c>
      <c r="J394" t="n">
        <v>0</v>
      </c>
      <c r="K394" t="n">
        <v>0</v>
      </c>
      <c r="L394" t="n">
        <v>0</v>
      </c>
      <c r="M394" t="n">
        <v>0</v>
      </c>
      <c r="N394" t="n">
        <v>0</v>
      </c>
      <c r="O394" t="n">
        <v>0</v>
      </c>
      <c r="P394" t="n">
        <v>0</v>
      </c>
      <c r="Q394" t="n">
        <v>0</v>
      </c>
      <c r="R394" s="2" t="inlineStr"/>
    </row>
    <row r="395" ht="15" customHeight="1">
      <c r="A395" t="inlineStr">
        <is>
          <t>A 58138-2021</t>
        </is>
      </c>
      <c r="B395" s="1" t="n">
        <v>44487</v>
      </c>
      <c r="C395" s="1" t="n">
        <v>45473</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59584-2021</t>
        </is>
      </c>
      <c r="B396" s="1" t="n">
        <v>44491</v>
      </c>
      <c r="C396" s="1" t="n">
        <v>45473</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61232-2021</t>
        </is>
      </c>
      <c r="B397" s="1" t="n">
        <v>44498</v>
      </c>
      <c r="C397" s="1" t="n">
        <v>45473</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62794-2021</t>
        </is>
      </c>
      <c r="B398" s="1" t="n">
        <v>44504</v>
      </c>
      <c r="C398" s="1" t="n">
        <v>45473</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63247-2021</t>
        </is>
      </c>
      <c r="B399" s="1" t="n">
        <v>44505</v>
      </c>
      <c r="C399" s="1" t="n">
        <v>45473</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63890-2021</t>
        </is>
      </c>
      <c r="B400" s="1" t="n">
        <v>44509</v>
      </c>
      <c r="C400" s="1" t="n">
        <v>45473</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64523-2021</t>
        </is>
      </c>
      <c r="B401" s="1" t="n">
        <v>44511</v>
      </c>
      <c r="C401" s="1" t="n">
        <v>45473</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66000-2021</t>
        </is>
      </c>
      <c r="B402" s="1" t="n">
        <v>44517</v>
      </c>
      <c r="C402" s="1" t="n">
        <v>45473</v>
      </c>
      <c r="D402" t="inlineStr">
        <is>
          <t>ÖREBRO LÄN</t>
        </is>
      </c>
      <c r="E402" t="inlineStr">
        <is>
          <t>ÖREBRO</t>
        </is>
      </c>
      <c r="G402" t="n">
        <v>3.8</v>
      </c>
      <c r="H402" t="n">
        <v>0</v>
      </c>
      <c r="I402" t="n">
        <v>0</v>
      </c>
      <c r="J402" t="n">
        <v>0</v>
      </c>
      <c r="K402" t="n">
        <v>0</v>
      </c>
      <c r="L402" t="n">
        <v>0</v>
      </c>
      <c r="M402" t="n">
        <v>0</v>
      </c>
      <c r="N402" t="n">
        <v>0</v>
      </c>
      <c r="O402" t="n">
        <v>0</v>
      </c>
      <c r="P402" t="n">
        <v>0</v>
      </c>
      <c r="Q402" t="n">
        <v>0</v>
      </c>
      <c r="R402" s="2" t="inlineStr"/>
    </row>
    <row r="403" ht="15" customHeight="1">
      <c r="A403" t="inlineStr">
        <is>
          <t>A 66559-2021</t>
        </is>
      </c>
      <c r="B403" s="1" t="n">
        <v>44519</v>
      </c>
      <c r="C403" s="1" t="n">
        <v>45473</v>
      </c>
      <c r="D403" t="inlineStr">
        <is>
          <t>ÖREBRO LÄN</t>
        </is>
      </c>
      <c r="E403" t="inlineStr">
        <is>
          <t>ÖREBRO</t>
        </is>
      </c>
      <c r="F403" t="inlineStr">
        <is>
          <t>Allmännings- och besparingsskogar</t>
        </is>
      </c>
      <c r="G403" t="n">
        <v>4.3</v>
      </c>
      <c r="H403" t="n">
        <v>0</v>
      </c>
      <c r="I403" t="n">
        <v>0</v>
      </c>
      <c r="J403" t="n">
        <v>0</v>
      </c>
      <c r="K403" t="n">
        <v>0</v>
      </c>
      <c r="L403" t="n">
        <v>0</v>
      </c>
      <c r="M403" t="n">
        <v>0</v>
      </c>
      <c r="N403" t="n">
        <v>0</v>
      </c>
      <c r="O403" t="n">
        <v>0</v>
      </c>
      <c r="P403" t="n">
        <v>0</v>
      </c>
      <c r="Q403" t="n">
        <v>0</v>
      </c>
      <c r="R403" s="2" t="inlineStr"/>
    </row>
    <row r="404" ht="15" customHeight="1">
      <c r="A404" t="inlineStr">
        <is>
          <t>A 66936-2021</t>
        </is>
      </c>
      <c r="B404" s="1" t="n">
        <v>44522</v>
      </c>
      <c r="C404" s="1" t="n">
        <v>45473</v>
      </c>
      <c r="D404" t="inlineStr">
        <is>
          <t>ÖREBRO LÄN</t>
        </is>
      </c>
      <c r="E404" t="inlineStr">
        <is>
          <t>ÖREBRO</t>
        </is>
      </c>
      <c r="G404" t="n">
        <v>6.8</v>
      </c>
      <c r="H404" t="n">
        <v>0</v>
      </c>
      <c r="I404" t="n">
        <v>0</v>
      </c>
      <c r="J404" t="n">
        <v>0</v>
      </c>
      <c r="K404" t="n">
        <v>0</v>
      </c>
      <c r="L404" t="n">
        <v>0</v>
      </c>
      <c r="M404" t="n">
        <v>0</v>
      </c>
      <c r="N404" t="n">
        <v>0</v>
      </c>
      <c r="O404" t="n">
        <v>0</v>
      </c>
      <c r="P404" t="n">
        <v>0</v>
      </c>
      <c r="Q404" t="n">
        <v>0</v>
      </c>
      <c r="R404" s="2" t="inlineStr"/>
    </row>
    <row r="405" ht="15" customHeight="1">
      <c r="A405" t="inlineStr">
        <is>
          <t>A 66970-2021</t>
        </is>
      </c>
      <c r="B405" s="1" t="n">
        <v>44522</v>
      </c>
      <c r="C405" s="1" t="n">
        <v>45473</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69733-2021</t>
        </is>
      </c>
      <c r="B406" s="1" t="n">
        <v>44532</v>
      </c>
      <c r="C406" s="1" t="n">
        <v>45473</v>
      </c>
      <c r="D406" t="inlineStr">
        <is>
          <t>ÖREBRO LÄN</t>
        </is>
      </c>
      <c r="E406" t="inlineStr">
        <is>
          <t>ÖREBRO</t>
        </is>
      </c>
      <c r="F406" t="inlineStr">
        <is>
          <t>Allmännings- och besparingsskogar</t>
        </is>
      </c>
      <c r="G406" t="n">
        <v>14.7</v>
      </c>
      <c r="H406" t="n">
        <v>0</v>
      </c>
      <c r="I406" t="n">
        <v>0</v>
      </c>
      <c r="J406" t="n">
        <v>0</v>
      </c>
      <c r="K406" t="n">
        <v>0</v>
      </c>
      <c r="L406" t="n">
        <v>0</v>
      </c>
      <c r="M406" t="n">
        <v>0</v>
      </c>
      <c r="N406" t="n">
        <v>0</v>
      </c>
      <c r="O406" t="n">
        <v>0</v>
      </c>
      <c r="P406" t="n">
        <v>0</v>
      </c>
      <c r="Q406" t="n">
        <v>0</v>
      </c>
      <c r="R406" s="2" t="inlineStr"/>
    </row>
    <row r="407" ht="15" customHeight="1">
      <c r="A407" t="inlineStr">
        <is>
          <t>A 70199-2021</t>
        </is>
      </c>
      <c r="B407" s="1" t="n">
        <v>44534</v>
      </c>
      <c r="C407" s="1" t="n">
        <v>45473</v>
      </c>
      <c r="D407" t="inlineStr">
        <is>
          <t>ÖREBRO LÄN</t>
        </is>
      </c>
      <c r="E407" t="inlineStr">
        <is>
          <t>ÖREBRO</t>
        </is>
      </c>
      <c r="G407" t="n">
        <v>4.1</v>
      </c>
      <c r="H407" t="n">
        <v>0</v>
      </c>
      <c r="I407" t="n">
        <v>0</v>
      </c>
      <c r="J407" t="n">
        <v>0</v>
      </c>
      <c r="K407" t="n">
        <v>0</v>
      </c>
      <c r="L407" t="n">
        <v>0</v>
      </c>
      <c r="M407" t="n">
        <v>0</v>
      </c>
      <c r="N407" t="n">
        <v>0</v>
      </c>
      <c r="O407" t="n">
        <v>0</v>
      </c>
      <c r="P407" t="n">
        <v>0</v>
      </c>
      <c r="Q407" t="n">
        <v>0</v>
      </c>
      <c r="R407" s="2" t="inlineStr"/>
    </row>
    <row r="408" ht="15" customHeight="1">
      <c r="A408" t="inlineStr">
        <is>
          <t>A 70289-2021</t>
        </is>
      </c>
      <c r="B408" s="1" t="n">
        <v>44536</v>
      </c>
      <c r="C408" s="1" t="n">
        <v>45473</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70707-2021</t>
        </is>
      </c>
      <c r="B409" s="1" t="n">
        <v>44537</v>
      </c>
      <c r="C409" s="1" t="n">
        <v>45473</v>
      </c>
      <c r="D409" t="inlineStr">
        <is>
          <t>ÖREBRO LÄN</t>
        </is>
      </c>
      <c r="E409" t="inlineStr">
        <is>
          <t>ÖREBRO</t>
        </is>
      </c>
      <c r="G409" t="n">
        <v>13.2</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45473</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70540-2021</t>
        </is>
      </c>
      <c r="B411" s="1" t="n">
        <v>44537</v>
      </c>
      <c r="C411" s="1" t="n">
        <v>45473</v>
      </c>
      <c r="D411" t="inlineStr">
        <is>
          <t>ÖREBRO LÄN</t>
        </is>
      </c>
      <c r="E411" t="inlineStr">
        <is>
          <t>ÖREBRO</t>
        </is>
      </c>
      <c r="G411" t="n">
        <v>7.1</v>
      </c>
      <c r="H411" t="n">
        <v>0</v>
      </c>
      <c r="I411" t="n">
        <v>0</v>
      </c>
      <c r="J411" t="n">
        <v>0</v>
      </c>
      <c r="K411" t="n">
        <v>0</v>
      </c>
      <c r="L411" t="n">
        <v>0</v>
      </c>
      <c r="M411" t="n">
        <v>0</v>
      </c>
      <c r="N411" t="n">
        <v>0</v>
      </c>
      <c r="O411" t="n">
        <v>0</v>
      </c>
      <c r="P411" t="n">
        <v>0</v>
      </c>
      <c r="Q411" t="n">
        <v>0</v>
      </c>
      <c r="R411" s="2" t="inlineStr"/>
    </row>
    <row r="412" ht="15" customHeight="1">
      <c r="A412" t="inlineStr">
        <is>
          <t>A 70871-2021</t>
        </is>
      </c>
      <c r="B412" s="1" t="n">
        <v>44538</v>
      </c>
      <c r="C412" s="1" t="n">
        <v>45473</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71206-2021</t>
        </is>
      </c>
      <c r="B413" s="1" t="n">
        <v>44539</v>
      </c>
      <c r="C413" s="1" t="n">
        <v>45473</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71269-2021</t>
        </is>
      </c>
      <c r="B414" s="1" t="n">
        <v>44539</v>
      </c>
      <c r="C414" s="1" t="n">
        <v>45473</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71293-2021</t>
        </is>
      </c>
      <c r="B415" s="1" t="n">
        <v>44539</v>
      </c>
      <c r="C415" s="1" t="n">
        <v>45473</v>
      </c>
      <c r="D415" t="inlineStr">
        <is>
          <t>ÖREBRO LÄN</t>
        </is>
      </c>
      <c r="E415" t="inlineStr">
        <is>
          <t>ÖREBRO</t>
        </is>
      </c>
      <c r="G415" t="n">
        <v>3.9</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45473</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71266-2021</t>
        </is>
      </c>
      <c r="B417" s="1" t="n">
        <v>44539</v>
      </c>
      <c r="C417" s="1" t="n">
        <v>45473</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71275-2021</t>
        </is>
      </c>
      <c r="B418" s="1" t="n">
        <v>44539</v>
      </c>
      <c r="C418" s="1" t="n">
        <v>45473</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71288-2021</t>
        </is>
      </c>
      <c r="B419" s="1" t="n">
        <v>44539</v>
      </c>
      <c r="C419" s="1" t="n">
        <v>45473</v>
      </c>
      <c r="D419" t="inlineStr">
        <is>
          <t>ÖREBRO LÄN</t>
        </is>
      </c>
      <c r="E419" t="inlineStr">
        <is>
          <t>ÖREBRO</t>
        </is>
      </c>
      <c r="G419" t="n">
        <v>3.9</v>
      </c>
      <c r="H419" t="n">
        <v>0</v>
      </c>
      <c r="I419" t="n">
        <v>0</v>
      </c>
      <c r="J419" t="n">
        <v>0</v>
      </c>
      <c r="K419" t="n">
        <v>0</v>
      </c>
      <c r="L419" t="n">
        <v>0</v>
      </c>
      <c r="M419" t="n">
        <v>0</v>
      </c>
      <c r="N419" t="n">
        <v>0</v>
      </c>
      <c r="O419" t="n">
        <v>0</v>
      </c>
      <c r="P419" t="n">
        <v>0</v>
      </c>
      <c r="Q419" t="n">
        <v>0</v>
      </c>
      <c r="R419" s="2" t="inlineStr"/>
    </row>
    <row r="420" ht="15" customHeight="1">
      <c r="A420" t="inlineStr">
        <is>
          <t>A 71272-2021</t>
        </is>
      </c>
      <c r="B420" s="1" t="n">
        <v>44539</v>
      </c>
      <c r="C420" s="1" t="n">
        <v>45473</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71285-2021</t>
        </is>
      </c>
      <c r="B421" s="1" t="n">
        <v>44539</v>
      </c>
      <c r="C421" s="1" t="n">
        <v>45473</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71295-2021</t>
        </is>
      </c>
      <c r="B422" s="1" t="n">
        <v>44539</v>
      </c>
      <c r="C422" s="1" t="n">
        <v>45473</v>
      </c>
      <c r="D422" t="inlineStr">
        <is>
          <t>ÖREBRO LÄN</t>
        </is>
      </c>
      <c r="E422" t="inlineStr">
        <is>
          <t>ÖREBRO</t>
        </is>
      </c>
      <c r="G422" t="n">
        <v>2.3</v>
      </c>
      <c r="H422" t="n">
        <v>0</v>
      </c>
      <c r="I422" t="n">
        <v>0</v>
      </c>
      <c r="J422" t="n">
        <v>0</v>
      </c>
      <c r="K422" t="n">
        <v>0</v>
      </c>
      <c r="L422" t="n">
        <v>0</v>
      </c>
      <c r="M422" t="n">
        <v>0</v>
      </c>
      <c r="N422" t="n">
        <v>0</v>
      </c>
      <c r="O422" t="n">
        <v>0</v>
      </c>
      <c r="P422" t="n">
        <v>0</v>
      </c>
      <c r="Q422" t="n">
        <v>0</v>
      </c>
      <c r="R422" s="2" t="inlineStr"/>
    </row>
    <row r="423" ht="15" customHeight="1">
      <c r="A423" t="inlineStr">
        <is>
          <t>A 71280-2021</t>
        </is>
      </c>
      <c r="B423" s="1" t="n">
        <v>44539</v>
      </c>
      <c r="C423" s="1" t="n">
        <v>45473</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71291-2021</t>
        </is>
      </c>
      <c r="B424" s="1" t="n">
        <v>44539</v>
      </c>
      <c r="C424" s="1" t="n">
        <v>45473</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72329-2021</t>
        </is>
      </c>
      <c r="B425" s="1" t="n">
        <v>44545</v>
      </c>
      <c r="C425" s="1" t="n">
        <v>45473</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72338-2021</t>
        </is>
      </c>
      <c r="B426" s="1" t="n">
        <v>44545</v>
      </c>
      <c r="C426" s="1" t="n">
        <v>45473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73946-2021</t>
        </is>
      </c>
      <c r="B427" s="1" t="n">
        <v>44552</v>
      </c>
      <c r="C427" s="1" t="n">
        <v>45473</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797-2022</t>
        </is>
      </c>
      <c r="B428" s="1" t="n">
        <v>44566</v>
      </c>
      <c r="C428" s="1" t="n">
        <v>45473</v>
      </c>
      <c r="D428" t="inlineStr">
        <is>
          <t>ÖREBRO LÄN</t>
        </is>
      </c>
      <c r="E428" t="inlineStr">
        <is>
          <t>ÖREBRO</t>
        </is>
      </c>
      <c r="G428" t="n">
        <v>0.1</v>
      </c>
      <c r="H428" t="n">
        <v>0</v>
      </c>
      <c r="I428" t="n">
        <v>0</v>
      </c>
      <c r="J428" t="n">
        <v>0</v>
      </c>
      <c r="K428" t="n">
        <v>0</v>
      </c>
      <c r="L428" t="n">
        <v>0</v>
      </c>
      <c r="M428" t="n">
        <v>0</v>
      </c>
      <c r="N428" t="n">
        <v>0</v>
      </c>
      <c r="O428" t="n">
        <v>0</v>
      </c>
      <c r="P428" t="n">
        <v>0</v>
      </c>
      <c r="Q428" t="n">
        <v>0</v>
      </c>
      <c r="R428" s="2" t="inlineStr"/>
    </row>
    <row r="429" ht="15" customHeight="1">
      <c r="A429" t="inlineStr">
        <is>
          <t>A 1257-2022</t>
        </is>
      </c>
      <c r="B429" s="1" t="n">
        <v>44572</v>
      </c>
      <c r="C429" s="1" t="n">
        <v>45473</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1492-2022</t>
        </is>
      </c>
      <c r="B430" s="1" t="n">
        <v>44573</v>
      </c>
      <c r="C430" s="1" t="n">
        <v>45473</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2596-2022</t>
        </is>
      </c>
      <c r="B431" s="1" t="n">
        <v>44580</v>
      </c>
      <c r="C431" s="1" t="n">
        <v>45473</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3120-2022</t>
        </is>
      </c>
      <c r="B432" s="1" t="n">
        <v>44582</v>
      </c>
      <c r="C432" s="1" t="n">
        <v>45473</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3563-2022</t>
        </is>
      </c>
      <c r="B433" s="1" t="n">
        <v>44585</v>
      </c>
      <c r="C433" s="1" t="n">
        <v>45473</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3652-2022</t>
        </is>
      </c>
      <c r="B434" s="1" t="n">
        <v>44586</v>
      </c>
      <c r="C434" s="1" t="n">
        <v>45473</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4761-2022</t>
        </is>
      </c>
      <c r="B435" s="1" t="n">
        <v>44592</v>
      </c>
      <c r="C435" s="1" t="n">
        <v>45473</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4766-2022</t>
        </is>
      </c>
      <c r="B436" s="1" t="n">
        <v>44592</v>
      </c>
      <c r="C436" s="1" t="n">
        <v>45473</v>
      </c>
      <c r="D436" t="inlineStr">
        <is>
          <t>ÖREBRO LÄN</t>
        </is>
      </c>
      <c r="E436" t="inlineStr">
        <is>
          <t>ÖREBRO</t>
        </is>
      </c>
      <c r="G436" t="n">
        <v>2.9</v>
      </c>
      <c r="H436" t="n">
        <v>0</v>
      </c>
      <c r="I436" t="n">
        <v>0</v>
      </c>
      <c r="J436" t="n">
        <v>0</v>
      </c>
      <c r="K436" t="n">
        <v>0</v>
      </c>
      <c r="L436" t="n">
        <v>0</v>
      </c>
      <c r="M436" t="n">
        <v>0</v>
      </c>
      <c r="N436" t="n">
        <v>0</v>
      </c>
      <c r="O436" t="n">
        <v>0</v>
      </c>
      <c r="P436" t="n">
        <v>0</v>
      </c>
      <c r="Q436" t="n">
        <v>0</v>
      </c>
      <c r="R436" s="2" t="inlineStr"/>
    </row>
    <row r="437" ht="15" customHeight="1">
      <c r="A437" t="inlineStr">
        <is>
          <t>A 4956-2022</t>
        </is>
      </c>
      <c r="B437" s="1" t="n">
        <v>44593</v>
      </c>
      <c r="C437" s="1" t="n">
        <v>45473</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4961-2022</t>
        </is>
      </c>
      <c r="B438" s="1" t="n">
        <v>44593</v>
      </c>
      <c r="C438" s="1" t="n">
        <v>45473</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4887-2022</t>
        </is>
      </c>
      <c r="B439" s="1" t="n">
        <v>44593</v>
      </c>
      <c r="C439" s="1" t="n">
        <v>45473</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4970-2022</t>
        </is>
      </c>
      <c r="B440" s="1" t="n">
        <v>44593</v>
      </c>
      <c r="C440" s="1" t="n">
        <v>45473</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5026-2022</t>
        </is>
      </c>
      <c r="B441" s="1" t="n">
        <v>44593</v>
      </c>
      <c r="C441" s="1" t="n">
        <v>45473</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5401-2022</t>
        </is>
      </c>
      <c r="B442" s="1" t="n">
        <v>44595</v>
      </c>
      <c r="C442" s="1" t="n">
        <v>45473</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5398-2022</t>
        </is>
      </c>
      <c r="B443" s="1" t="n">
        <v>44595</v>
      </c>
      <c r="C443" s="1" t="n">
        <v>45473</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5764-2022</t>
        </is>
      </c>
      <c r="B444" s="1" t="n">
        <v>44596</v>
      </c>
      <c r="C444" s="1" t="n">
        <v>45473</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6638-2022</t>
        </is>
      </c>
      <c r="B445" s="1" t="n">
        <v>44601</v>
      </c>
      <c r="C445" s="1" t="n">
        <v>45473</v>
      </c>
      <c r="D445" t="inlineStr">
        <is>
          <t>ÖREBRO LÄN</t>
        </is>
      </c>
      <c r="E445" t="inlineStr">
        <is>
          <t>ÖREBRO</t>
        </is>
      </c>
      <c r="G445" t="n">
        <v>3.3</v>
      </c>
      <c r="H445" t="n">
        <v>0</v>
      </c>
      <c r="I445" t="n">
        <v>0</v>
      </c>
      <c r="J445" t="n">
        <v>0</v>
      </c>
      <c r="K445" t="n">
        <v>0</v>
      </c>
      <c r="L445" t="n">
        <v>0</v>
      </c>
      <c r="M445" t="n">
        <v>0</v>
      </c>
      <c r="N445" t="n">
        <v>0</v>
      </c>
      <c r="O445" t="n">
        <v>0</v>
      </c>
      <c r="P445" t="n">
        <v>0</v>
      </c>
      <c r="Q445" t="n">
        <v>0</v>
      </c>
      <c r="R445" s="2" t="inlineStr"/>
    </row>
    <row r="446" ht="15" customHeight="1">
      <c r="A446" t="inlineStr">
        <is>
          <t>A 6752-2022</t>
        </is>
      </c>
      <c r="B446" s="1" t="n">
        <v>44602</v>
      </c>
      <c r="C446" s="1" t="n">
        <v>45473</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7365-2022</t>
        </is>
      </c>
      <c r="B447" s="1" t="n">
        <v>44606</v>
      </c>
      <c r="C447" s="1" t="n">
        <v>45473</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8022-2022</t>
        </is>
      </c>
      <c r="B448" s="1" t="n">
        <v>44609</v>
      </c>
      <c r="C448" s="1" t="n">
        <v>45473</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8159-2022</t>
        </is>
      </c>
      <c r="B449" s="1" t="n">
        <v>44609</v>
      </c>
      <c r="C449" s="1" t="n">
        <v>45473</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8163-2022</t>
        </is>
      </c>
      <c r="B450" s="1" t="n">
        <v>44609</v>
      </c>
      <c r="C450" s="1" t="n">
        <v>45473</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8156-2022</t>
        </is>
      </c>
      <c r="B451" s="1" t="n">
        <v>44609</v>
      </c>
      <c r="C451" s="1" t="n">
        <v>45473</v>
      </c>
      <c r="D451" t="inlineStr">
        <is>
          <t>ÖREBRO LÄN</t>
        </is>
      </c>
      <c r="E451" t="inlineStr">
        <is>
          <t>ÖREBRO</t>
        </is>
      </c>
      <c r="G451" t="n">
        <v>3</v>
      </c>
      <c r="H451" t="n">
        <v>0</v>
      </c>
      <c r="I451" t="n">
        <v>0</v>
      </c>
      <c r="J451" t="n">
        <v>0</v>
      </c>
      <c r="K451" t="n">
        <v>0</v>
      </c>
      <c r="L451" t="n">
        <v>0</v>
      </c>
      <c r="M451" t="n">
        <v>0</v>
      </c>
      <c r="N451" t="n">
        <v>0</v>
      </c>
      <c r="O451" t="n">
        <v>0</v>
      </c>
      <c r="P451" t="n">
        <v>0</v>
      </c>
      <c r="Q451" t="n">
        <v>0</v>
      </c>
      <c r="R451" s="2" t="inlineStr"/>
    </row>
    <row r="452" ht="15" customHeight="1">
      <c r="A452" t="inlineStr">
        <is>
          <t>A 8884-2022</t>
        </is>
      </c>
      <c r="B452" s="1" t="n">
        <v>44614</v>
      </c>
      <c r="C452" s="1" t="n">
        <v>45473</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9395-2022</t>
        </is>
      </c>
      <c r="B453" s="1" t="n">
        <v>44616</v>
      </c>
      <c r="C453" s="1" t="n">
        <v>45473</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9362-2022</t>
        </is>
      </c>
      <c r="B454" s="1" t="n">
        <v>44616</v>
      </c>
      <c r="C454" s="1" t="n">
        <v>45473</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9392-2022</t>
        </is>
      </c>
      <c r="B455" s="1" t="n">
        <v>44616</v>
      </c>
      <c r="C455" s="1" t="n">
        <v>45473</v>
      </c>
      <c r="D455" t="inlineStr">
        <is>
          <t>ÖREBRO LÄN</t>
        </is>
      </c>
      <c r="E455" t="inlineStr">
        <is>
          <t>ÖREBRO</t>
        </is>
      </c>
      <c r="G455" t="n">
        <v>10.9</v>
      </c>
      <c r="H455" t="n">
        <v>0</v>
      </c>
      <c r="I455" t="n">
        <v>0</v>
      </c>
      <c r="J455" t="n">
        <v>0</v>
      </c>
      <c r="K455" t="n">
        <v>0</v>
      </c>
      <c r="L455" t="n">
        <v>0</v>
      </c>
      <c r="M455" t="n">
        <v>0</v>
      </c>
      <c r="N455" t="n">
        <v>0</v>
      </c>
      <c r="O455" t="n">
        <v>0</v>
      </c>
      <c r="P455" t="n">
        <v>0</v>
      </c>
      <c r="Q455" t="n">
        <v>0</v>
      </c>
      <c r="R455" s="2" t="inlineStr"/>
    </row>
    <row r="456" ht="15" customHeight="1">
      <c r="A456" t="inlineStr">
        <is>
          <t>A 9397-2022</t>
        </is>
      </c>
      <c r="B456" s="1" t="n">
        <v>44616</v>
      </c>
      <c r="C456" s="1" t="n">
        <v>45473</v>
      </c>
      <c r="D456" t="inlineStr">
        <is>
          <t>ÖREBRO LÄN</t>
        </is>
      </c>
      <c r="E456" t="inlineStr">
        <is>
          <t>ÖREBRO</t>
        </is>
      </c>
      <c r="G456" t="n">
        <v>7.9</v>
      </c>
      <c r="H456" t="n">
        <v>0</v>
      </c>
      <c r="I456" t="n">
        <v>0</v>
      </c>
      <c r="J456" t="n">
        <v>0</v>
      </c>
      <c r="K456" t="n">
        <v>0</v>
      </c>
      <c r="L456" t="n">
        <v>0</v>
      </c>
      <c r="M456" t="n">
        <v>0</v>
      </c>
      <c r="N456" t="n">
        <v>0</v>
      </c>
      <c r="O456" t="n">
        <v>0</v>
      </c>
      <c r="P456" t="n">
        <v>0</v>
      </c>
      <c r="Q456" t="n">
        <v>0</v>
      </c>
      <c r="R456" s="2" t="inlineStr"/>
    </row>
    <row r="457" ht="15" customHeight="1">
      <c r="A457" t="inlineStr">
        <is>
          <t>A 10019-2022</t>
        </is>
      </c>
      <c r="B457" s="1" t="n">
        <v>44621</v>
      </c>
      <c r="C457" s="1" t="n">
        <v>45473</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11594-2022</t>
        </is>
      </c>
      <c r="B458" s="1" t="n">
        <v>44631</v>
      </c>
      <c r="C458" s="1" t="n">
        <v>45473</v>
      </c>
      <c r="D458" t="inlineStr">
        <is>
          <t>ÖREBRO LÄN</t>
        </is>
      </c>
      <c r="E458" t="inlineStr">
        <is>
          <t>ÖREBRO</t>
        </is>
      </c>
      <c r="G458" t="n">
        <v>2.2</v>
      </c>
      <c r="H458" t="n">
        <v>0</v>
      </c>
      <c r="I458" t="n">
        <v>0</v>
      </c>
      <c r="J458" t="n">
        <v>0</v>
      </c>
      <c r="K458" t="n">
        <v>0</v>
      </c>
      <c r="L458" t="n">
        <v>0</v>
      </c>
      <c r="M458" t="n">
        <v>0</v>
      </c>
      <c r="N458" t="n">
        <v>0</v>
      </c>
      <c r="O458" t="n">
        <v>0</v>
      </c>
      <c r="P458" t="n">
        <v>0</v>
      </c>
      <c r="Q458" t="n">
        <v>0</v>
      </c>
      <c r="R458" s="2" t="inlineStr"/>
    </row>
    <row r="459" ht="15" customHeight="1">
      <c r="A459" t="inlineStr">
        <is>
          <t>A 11899-2022</t>
        </is>
      </c>
      <c r="B459" s="1" t="n">
        <v>44635</v>
      </c>
      <c r="C459" s="1" t="n">
        <v>45473</v>
      </c>
      <c r="D459" t="inlineStr">
        <is>
          <t>ÖREBRO LÄN</t>
        </is>
      </c>
      <c r="E459" t="inlineStr">
        <is>
          <t>ÖREBRO</t>
        </is>
      </c>
      <c r="G459" t="n">
        <v>2.5</v>
      </c>
      <c r="H459" t="n">
        <v>0</v>
      </c>
      <c r="I459" t="n">
        <v>0</v>
      </c>
      <c r="J459" t="n">
        <v>0</v>
      </c>
      <c r="K459" t="n">
        <v>0</v>
      </c>
      <c r="L459" t="n">
        <v>0</v>
      </c>
      <c r="M459" t="n">
        <v>0</v>
      </c>
      <c r="N459" t="n">
        <v>0</v>
      </c>
      <c r="O459" t="n">
        <v>0</v>
      </c>
      <c r="P459" t="n">
        <v>0</v>
      </c>
      <c r="Q459" t="n">
        <v>0</v>
      </c>
      <c r="R459" s="2" t="inlineStr"/>
    </row>
    <row r="460" ht="15" customHeight="1">
      <c r="A460" t="inlineStr">
        <is>
          <t>A 12478-2022</t>
        </is>
      </c>
      <c r="B460" s="1" t="n">
        <v>44638</v>
      </c>
      <c r="C460" s="1" t="n">
        <v>45473</v>
      </c>
      <c r="D460" t="inlineStr">
        <is>
          <t>ÖREBRO LÄN</t>
        </is>
      </c>
      <c r="E460" t="inlineStr">
        <is>
          <t>ÖREBRO</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12990-2022</t>
        </is>
      </c>
      <c r="B461" s="1" t="n">
        <v>44643</v>
      </c>
      <c r="C461" s="1" t="n">
        <v>45473</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13045-2022</t>
        </is>
      </c>
      <c r="B462" s="1" t="n">
        <v>44643</v>
      </c>
      <c r="C462" s="1" t="n">
        <v>45473</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13511-2022</t>
        </is>
      </c>
      <c r="B463" s="1" t="n">
        <v>44647</v>
      </c>
      <c r="C463" s="1" t="n">
        <v>45473</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13631-2022</t>
        </is>
      </c>
      <c r="B464" s="1" t="n">
        <v>44648</v>
      </c>
      <c r="C464" s="1" t="n">
        <v>45473</v>
      </c>
      <c r="D464" t="inlineStr">
        <is>
          <t>ÖREBRO LÄN</t>
        </is>
      </c>
      <c r="E464" t="inlineStr">
        <is>
          <t>ÖREBRO</t>
        </is>
      </c>
      <c r="G464" t="n">
        <v>10.4</v>
      </c>
      <c r="H464" t="n">
        <v>0</v>
      </c>
      <c r="I464" t="n">
        <v>0</v>
      </c>
      <c r="J464" t="n">
        <v>0</v>
      </c>
      <c r="K464" t="n">
        <v>0</v>
      </c>
      <c r="L464" t="n">
        <v>0</v>
      </c>
      <c r="M464" t="n">
        <v>0</v>
      </c>
      <c r="N464" t="n">
        <v>0</v>
      </c>
      <c r="O464" t="n">
        <v>0</v>
      </c>
      <c r="P464" t="n">
        <v>0</v>
      </c>
      <c r="Q464" t="n">
        <v>0</v>
      </c>
      <c r="R464" s="2" t="inlineStr"/>
    </row>
    <row r="465" ht="15" customHeight="1">
      <c r="A465" t="inlineStr">
        <is>
          <t>A 13856-2022</t>
        </is>
      </c>
      <c r="B465" s="1" t="n">
        <v>44649</v>
      </c>
      <c r="C465" s="1" t="n">
        <v>45473</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13857-2022</t>
        </is>
      </c>
      <c r="B466" s="1" t="n">
        <v>44649</v>
      </c>
      <c r="C466" s="1" t="n">
        <v>45473</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14562-2022</t>
        </is>
      </c>
      <c r="B467" s="1" t="n">
        <v>44655</v>
      </c>
      <c r="C467" s="1" t="n">
        <v>45473</v>
      </c>
      <c r="D467" t="inlineStr">
        <is>
          <t>ÖREBRO LÄN</t>
        </is>
      </c>
      <c r="E467" t="inlineStr">
        <is>
          <t>ÖREBRO</t>
        </is>
      </c>
      <c r="G467" t="n">
        <v>3.6</v>
      </c>
      <c r="H467" t="n">
        <v>0</v>
      </c>
      <c r="I467" t="n">
        <v>0</v>
      </c>
      <c r="J467" t="n">
        <v>0</v>
      </c>
      <c r="K467" t="n">
        <v>0</v>
      </c>
      <c r="L467" t="n">
        <v>0</v>
      </c>
      <c r="M467" t="n">
        <v>0</v>
      </c>
      <c r="N467" t="n">
        <v>0</v>
      </c>
      <c r="O467" t="n">
        <v>0</v>
      </c>
      <c r="P467" t="n">
        <v>0</v>
      </c>
      <c r="Q467" t="n">
        <v>0</v>
      </c>
      <c r="R467" s="2" t="inlineStr"/>
    </row>
    <row r="468" ht="15" customHeight="1">
      <c r="A468" t="inlineStr">
        <is>
          <t>A 14878-2022</t>
        </is>
      </c>
      <c r="B468" s="1" t="n">
        <v>44656</v>
      </c>
      <c r="C468" s="1" t="n">
        <v>45473</v>
      </c>
      <c r="D468" t="inlineStr">
        <is>
          <t>ÖREBRO LÄN</t>
        </is>
      </c>
      <c r="E468" t="inlineStr">
        <is>
          <t>ÖREBRO</t>
        </is>
      </c>
      <c r="G468" t="n">
        <v>5.4</v>
      </c>
      <c r="H468" t="n">
        <v>0</v>
      </c>
      <c r="I468" t="n">
        <v>0</v>
      </c>
      <c r="J468" t="n">
        <v>0</v>
      </c>
      <c r="K468" t="n">
        <v>0</v>
      </c>
      <c r="L468" t="n">
        <v>0</v>
      </c>
      <c r="M468" t="n">
        <v>0</v>
      </c>
      <c r="N468" t="n">
        <v>0</v>
      </c>
      <c r="O468" t="n">
        <v>0</v>
      </c>
      <c r="P468" t="n">
        <v>0</v>
      </c>
      <c r="Q468" t="n">
        <v>0</v>
      </c>
      <c r="R468" s="2" t="inlineStr"/>
    </row>
    <row r="469" ht="15" customHeight="1">
      <c r="A469" t="inlineStr">
        <is>
          <t>A 14877-2022</t>
        </is>
      </c>
      <c r="B469" s="1" t="n">
        <v>44656</v>
      </c>
      <c r="C469" s="1" t="n">
        <v>45473</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45473</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15422-2022</t>
        </is>
      </c>
      <c r="B471" s="1" t="n">
        <v>44659</v>
      </c>
      <c r="C471" s="1" t="n">
        <v>45473</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15624-2022</t>
        </is>
      </c>
      <c r="B472" s="1" t="n">
        <v>44662</v>
      </c>
      <c r="C472" s="1" t="n">
        <v>45473</v>
      </c>
      <c r="D472" t="inlineStr">
        <is>
          <t>ÖREBRO LÄN</t>
        </is>
      </c>
      <c r="E472" t="inlineStr">
        <is>
          <t>ÖREBRO</t>
        </is>
      </c>
      <c r="F472" t="inlineStr">
        <is>
          <t>Övriga Aktiebolag</t>
        </is>
      </c>
      <c r="G472" t="n">
        <v>18.8</v>
      </c>
      <c r="H472" t="n">
        <v>0</v>
      </c>
      <c r="I472" t="n">
        <v>0</v>
      </c>
      <c r="J472" t="n">
        <v>0</v>
      </c>
      <c r="K472" t="n">
        <v>0</v>
      </c>
      <c r="L472" t="n">
        <v>0</v>
      </c>
      <c r="M472" t="n">
        <v>0</v>
      </c>
      <c r="N472" t="n">
        <v>0</v>
      </c>
      <c r="O472" t="n">
        <v>0</v>
      </c>
      <c r="P472" t="n">
        <v>0</v>
      </c>
      <c r="Q472" t="n">
        <v>0</v>
      </c>
      <c r="R472" s="2" t="inlineStr"/>
    </row>
    <row r="473" ht="15" customHeight="1">
      <c r="A473" t="inlineStr">
        <is>
          <t>A 15896-2022</t>
        </is>
      </c>
      <c r="B473" s="1" t="n">
        <v>44664</v>
      </c>
      <c r="C473" s="1" t="n">
        <v>45473</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15866-2022</t>
        </is>
      </c>
      <c r="B474" s="1" t="n">
        <v>44664</v>
      </c>
      <c r="C474" s="1" t="n">
        <v>45473</v>
      </c>
      <c r="D474" t="inlineStr">
        <is>
          <t>ÖREBRO LÄN</t>
        </is>
      </c>
      <c r="E474" t="inlineStr">
        <is>
          <t>ÖREBRO</t>
        </is>
      </c>
      <c r="G474" t="n">
        <v>4</v>
      </c>
      <c r="H474" t="n">
        <v>0</v>
      </c>
      <c r="I474" t="n">
        <v>0</v>
      </c>
      <c r="J474" t="n">
        <v>0</v>
      </c>
      <c r="K474" t="n">
        <v>0</v>
      </c>
      <c r="L474" t="n">
        <v>0</v>
      </c>
      <c r="M474" t="n">
        <v>0</v>
      </c>
      <c r="N474" t="n">
        <v>0</v>
      </c>
      <c r="O474" t="n">
        <v>0</v>
      </c>
      <c r="P474" t="n">
        <v>0</v>
      </c>
      <c r="Q474" t="n">
        <v>0</v>
      </c>
      <c r="R474" s="2" t="inlineStr"/>
    </row>
    <row r="475" ht="15" customHeight="1">
      <c r="A475" t="inlineStr">
        <is>
          <t>A 16094-2022</t>
        </is>
      </c>
      <c r="B475" s="1" t="n">
        <v>44665</v>
      </c>
      <c r="C475" s="1" t="n">
        <v>45473</v>
      </c>
      <c r="D475" t="inlineStr">
        <is>
          <t>ÖREBRO LÄN</t>
        </is>
      </c>
      <c r="E475" t="inlineStr">
        <is>
          <t>ÖREBRO</t>
        </is>
      </c>
      <c r="F475" t="inlineStr">
        <is>
          <t>Allmännings- och besparingsskogar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16258-2022</t>
        </is>
      </c>
      <c r="B476" s="1" t="n">
        <v>44670</v>
      </c>
      <c r="C476" s="1" t="n">
        <v>45473</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16261-2022</t>
        </is>
      </c>
      <c r="B477" s="1" t="n">
        <v>44670</v>
      </c>
      <c r="C477" s="1" t="n">
        <v>45473</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16300-2022</t>
        </is>
      </c>
      <c r="B478" s="1" t="n">
        <v>44670</v>
      </c>
      <c r="C478" s="1" t="n">
        <v>45473</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16374-2022</t>
        </is>
      </c>
      <c r="B479" s="1" t="n">
        <v>44671</v>
      </c>
      <c r="C479" s="1" t="n">
        <v>45473</v>
      </c>
      <c r="D479" t="inlineStr">
        <is>
          <t>ÖREBRO LÄN</t>
        </is>
      </c>
      <c r="E479" t="inlineStr">
        <is>
          <t>ÖREBRO</t>
        </is>
      </c>
      <c r="F479" t="inlineStr">
        <is>
          <t>Övriga Aktiebolag</t>
        </is>
      </c>
      <c r="G479" t="n">
        <v>30.3</v>
      </c>
      <c r="H479" t="n">
        <v>0</v>
      </c>
      <c r="I479" t="n">
        <v>0</v>
      </c>
      <c r="J479" t="n">
        <v>0</v>
      </c>
      <c r="K479" t="n">
        <v>0</v>
      </c>
      <c r="L479" t="n">
        <v>0</v>
      </c>
      <c r="M479" t="n">
        <v>0</v>
      </c>
      <c r="N479" t="n">
        <v>0</v>
      </c>
      <c r="O479" t="n">
        <v>0</v>
      </c>
      <c r="P479" t="n">
        <v>0</v>
      </c>
      <c r="Q479" t="n">
        <v>0</v>
      </c>
      <c r="R479" s="2" t="inlineStr"/>
    </row>
    <row r="480" ht="15" customHeight="1">
      <c r="A480" t="inlineStr">
        <is>
          <t>A 16759-2022</t>
        </is>
      </c>
      <c r="B480" s="1" t="n">
        <v>44673</v>
      </c>
      <c r="C480" s="1" t="n">
        <v>45473</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16732-2022</t>
        </is>
      </c>
      <c r="B481" s="1" t="n">
        <v>44673</v>
      </c>
      <c r="C481" s="1" t="n">
        <v>45473</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16739-2022</t>
        </is>
      </c>
      <c r="B482" s="1" t="n">
        <v>44673</v>
      </c>
      <c r="C482" s="1" t="n">
        <v>45473</v>
      </c>
      <c r="D482" t="inlineStr">
        <is>
          <t>ÖREBRO LÄN</t>
        </is>
      </c>
      <c r="E482" t="inlineStr">
        <is>
          <t>ÖREBRO</t>
        </is>
      </c>
      <c r="G482" t="n">
        <v>4.7</v>
      </c>
      <c r="H482" t="n">
        <v>0</v>
      </c>
      <c r="I482" t="n">
        <v>0</v>
      </c>
      <c r="J482" t="n">
        <v>0</v>
      </c>
      <c r="K482" t="n">
        <v>0</v>
      </c>
      <c r="L482" t="n">
        <v>0</v>
      </c>
      <c r="M482" t="n">
        <v>0</v>
      </c>
      <c r="N482" t="n">
        <v>0</v>
      </c>
      <c r="O482" t="n">
        <v>0</v>
      </c>
      <c r="P482" t="n">
        <v>0</v>
      </c>
      <c r="Q482" t="n">
        <v>0</v>
      </c>
      <c r="R482" s="2" t="inlineStr"/>
    </row>
    <row r="483" ht="15" customHeight="1">
      <c r="A483" t="inlineStr">
        <is>
          <t>A 16958-2022</t>
        </is>
      </c>
      <c r="B483" s="1" t="n">
        <v>44676</v>
      </c>
      <c r="C483" s="1" t="n">
        <v>45473</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16969-2022</t>
        </is>
      </c>
      <c r="B484" s="1" t="n">
        <v>44676</v>
      </c>
      <c r="C484" s="1" t="n">
        <v>45473</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16961-2022</t>
        </is>
      </c>
      <c r="B485" s="1" t="n">
        <v>44676</v>
      </c>
      <c r="C485" s="1" t="n">
        <v>45473</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17840-2022</t>
        </is>
      </c>
      <c r="B486" s="1" t="n">
        <v>44683</v>
      </c>
      <c r="C486" s="1" t="n">
        <v>45473</v>
      </c>
      <c r="D486" t="inlineStr">
        <is>
          <t>ÖREBRO LÄN</t>
        </is>
      </c>
      <c r="E486" t="inlineStr">
        <is>
          <t>ÖREBRO</t>
        </is>
      </c>
      <c r="G486" t="n">
        <v>3.7</v>
      </c>
      <c r="H486" t="n">
        <v>0</v>
      </c>
      <c r="I486" t="n">
        <v>0</v>
      </c>
      <c r="J486" t="n">
        <v>0</v>
      </c>
      <c r="K486" t="n">
        <v>0</v>
      </c>
      <c r="L486" t="n">
        <v>0</v>
      </c>
      <c r="M486" t="n">
        <v>0</v>
      </c>
      <c r="N486" t="n">
        <v>0</v>
      </c>
      <c r="O486" t="n">
        <v>0</v>
      </c>
      <c r="P486" t="n">
        <v>0</v>
      </c>
      <c r="Q486" t="n">
        <v>0</v>
      </c>
      <c r="R486" s="2" t="inlineStr"/>
    </row>
    <row r="487" ht="15" customHeight="1">
      <c r="A487" t="inlineStr">
        <is>
          <t>A 18047-2022</t>
        </is>
      </c>
      <c r="B487" s="1" t="n">
        <v>44684</v>
      </c>
      <c r="C487" s="1" t="n">
        <v>45473</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18321-2022</t>
        </is>
      </c>
      <c r="B488" s="1" t="n">
        <v>44685</v>
      </c>
      <c r="C488" s="1" t="n">
        <v>45473</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18498-2022</t>
        </is>
      </c>
      <c r="B489" s="1" t="n">
        <v>44686</v>
      </c>
      <c r="C489" s="1" t="n">
        <v>45473</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18674-2022</t>
        </is>
      </c>
      <c r="B490" s="1" t="n">
        <v>44687</v>
      </c>
      <c r="C490" s="1" t="n">
        <v>45473</v>
      </c>
      <c r="D490" t="inlineStr">
        <is>
          <t>ÖREBRO LÄN</t>
        </is>
      </c>
      <c r="E490" t="inlineStr">
        <is>
          <t>ÖREBRO</t>
        </is>
      </c>
      <c r="G490" t="n">
        <v>0.3</v>
      </c>
      <c r="H490" t="n">
        <v>0</v>
      </c>
      <c r="I490" t="n">
        <v>0</v>
      </c>
      <c r="J490" t="n">
        <v>0</v>
      </c>
      <c r="K490" t="n">
        <v>0</v>
      </c>
      <c r="L490" t="n">
        <v>0</v>
      </c>
      <c r="M490" t="n">
        <v>0</v>
      </c>
      <c r="N490" t="n">
        <v>0</v>
      </c>
      <c r="O490" t="n">
        <v>0</v>
      </c>
      <c r="P490" t="n">
        <v>0</v>
      </c>
      <c r="Q490" t="n">
        <v>0</v>
      </c>
      <c r="R490" s="2" t="inlineStr"/>
    </row>
    <row r="491" ht="15" customHeight="1">
      <c r="A491" t="inlineStr">
        <is>
          <t>A 19049-2022</t>
        </is>
      </c>
      <c r="B491" s="1" t="n">
        <v>44691</v>
      </c>
      <c r="C491" s="1" t="n">
        <v>45473</v>
      </c>
      <c r="D491" t="inlineStr">
        <is>
          <t>ÖREBRO LÄN</t>
        </is>
      </c>
      <c r="E491" t="inlineStr">
        <is>
          <t>ÖREBRO</t>
        </is>
      </c>
      <c r="G491" t="n">
        <v>3.5</v>
      </c>
      <c r="H491" t="n">
        <v>0</v>
      </c>
      <c r="I491" t="n">
        <v>0</v>
      </c>
      <c r="J491" t="n">
        <v>0</v>
      </c>
      <c r="K491" t="n">
        <v>0</v>
      </c>
      <c r="L491" t="n">
        <v>0</v>
      </c>
      <c r="M491" t="n">
        <v>0</v>
      </c>
      <c r="N491" t="n">
        <v>0</v>
      </c>
      <c r="O491" t="n">
        <v>0</v>
      </c>
      <c r="P491" t="n">
        <v>0</v>
      </c>
      <c r="Q491" t="n">
        <v>0</v>
      </c>
      <c r="R491" s="2" t="inlineStr"/>
    </row>
    <row r="492" ht="15" customHeight="1">
      <c r="A492" t="inlineStr">
        <is>
          <t>A 19458-2022</t>
        </is>
      </c>
      <c r="B492" s="1" t="n">
        <v>44693</v>
      </c>
      <c r="C492" s="1" t="n">
        <v>45473</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19832-2022</t>
        </is>
      </c>
      <c r="B493" s="1" t="n">
        <v>44695</v>
      </c>
      <c r="C493" s="1" t="n">
        <v>45473</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19863-2022</t>
        </is>
      </c>
      <c r="B494" s="1" t="n">
        <v>44696</v>
      </c>
      <c r="C494" s="1" t="n">
        <v>45473</v>
      </c>
      <c r="D494" t="inlineStr">
        <is>
          <t>ÖREBRO LÄN</t>
        </is>
      </c>
      <c r="E494" t="inlineStr">
        <is>
          <t>ÖREBRO</t>
        </is>
      </c>
      <c r="G494" t="n">
        <v>4.6</v>
      </c>
      <c r="H494" t="n">
        <v>0</v>
      </c>
      <c r="I494" t="n">
        <v>0</v>
      </c>
      <c r="J494" t="n">
        <v>0</v>
      </c>
      <c r="K494" t="n">
        <v>0</v>
      </c>
      <c r="L494" t="n">
        <v>0</v>
      </c>
      <c r="M494" t="n">
        <v>0</v>
      </c>
      <c r="N494" t="n">
        <v>0</v>
      </c>
      <c r="O494" t="n">
        <v>0</v>
      </c>
      <c r="P494" t="n">
        <v>0</v>
      </c>
      <c r="Q494" t="n">
        <v>0</v>
      </c>
      <c r="R494" s="2" t="inlineStr"/>
    </row>
    <row r="495" ht="15" customHeight="1">
      <c r="A495" t="inlineStr">
        <is>
          <t>A 20922-2022</t>
        </is>
      </c>
      <c r="B495" s="1" t="n">
        <v>44701</v>
      </c>
      <c r="C495" s="1" t="n">
        <v>45473</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21109-2022</t>
        </is>
      </c>
      <c r="B496" s="1" t="n">
        <v>44704</v>
      </c>
      <c r="C496" s="1" t="n">
        <v>45473</v>
      </c>
      <c r="D496" t="inlineStr">
        <is>
          <t>ÖREBRO LÄN</t>
        </is>
      </c>
      <c r="E496" t="inlineStr">
        <is>
          <t>ÖREBRO</t>
        </is>
      </c>
      <c r="G496" t="n">
        <v>3.2</v>
      </c>
      <c r="H496" t="n">
        <v>0</v>
      </c>
      <c r="I496" t="n">
        <v>0</v>
      </c>
      <c r="J496" t="n">
        <v>0</v>
      </c>
      <c r="K496" t="n">
        <v>0</v>
      </c>
      <c r="L496" t="n">
        <v>0</v>
      </c>
      <c r="M496" t="n">
        <v>0</v>
      </c>
      <c r="N496" t="n">
        <v>0</v>
      </c>
      <c r="O496" t="n">
        <v>0</v>
      </c>
      <c r="P496" t="n">
        <v>0</v>
      </c>
      <c r="Q496" t="n">
        <v>0</v>
      </c>
      <c r="R496" s="2" t="inlineStr"/>
    </row>
    <row r="497" ht="15" customHeight="1">
      <c r="A497" t="inlineStr">
        <is>
          <t>A 21567-2022</t>
        </is>
      </c>
      <c r="B497" s="1" t="n">
        <v>44706</v>
      </c>
      <c r="C497" s="1" t="n">
        <v>45473</v>
      </c>
      <c r="D497" t="inlineStr">
        <is>
          <t>ÖREBRO LÄN</t>
        </is>
      </c>
      <c r="E497" t="inlineStr">
        <is>
          <t>ÖREBRO</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22153-2022</t>
        </is>
      </c>
      <c r="B498" s="1" t="n">
        <v>44712</v>
      </c>
      <c r="C498" s="1" t="n">
        <v>45473</v>
      </c>
      <c r="D498" t="inlineStr">
        <is>
          <t>ÖREBRO LÄN</t>
        </is>
      </c>
      <c r="E498" t="inlineStr">
        <is>
          <t>ÖREBRO</t>
        </is>
      </c>
      <c r="G498" t="n">
        <v>2.7</v>
      </c>
      <c r="H498" t="n">
        <v>0</v>
      </c>
      <c r="I498" t="n">
        <v>0</v>
      </c>
      <c r="J498" t="n">
        <v>0</v>
      </c>
      <c r="K498" t="n">
        <v>0</v>
      </c>
      <c r="L498" t="n">
        <v>0</v>
      </c>
      <c r="M498" t="n">
        <v>0</v>
      </c>
      <c r="N498" t="n">
        <v>0</v>
      </c>
      <c r="O498" t="n">
        <v>0</v>
      </c>
      <c r="P498" t="n">
        <v>0</v>
      </c>
      <c r="Q498" t="n">
        <v>0</v>
      </c>
      <c r="R498" s="2" t="inlineStr"/>
    </row>
    <row r="499" ht="15" customHeight="1">
      <c r="A499" t="inlineStr">
        <is>
          <t>A 22677-2022</t>
        </is>
      </c>
      <c r="B499" s="1" t="n">
        <v>44714</v>
      </c>
      <c r="C499" s="1" t="n">
        <v>45473</v>
      </c>
      <c r="D499" t="inlineStr">
        <is>
          <t>ÖREBRO LÄN</t>
        </is>
      </c>
      <c r="E499" t="inlineStr">
        <is>
          <t>ÖREBRO</t>
        </is>
      </c>
      <c r="G499" t="n">
        <v>2.3</v>
      </c>
      <c r="H499" t="n">
        <v>0</v>
      </c>
      <c r="I499" t="n">
        <v>0</v>
      </c>
      <c r="J499" t="n">
        <v>0</v>
      </c>
      <c r="K499" t="n">
        <v>0</v>
      </c>
      <c r="L499" t="n">
        <v>0</v>
      </c>
      <c r="M499" t="n">
        <v>0</v>
      </c>
      <c r="N499" t="n">
        <v>0</v>
      </c>
      <c r="O499" t="n">
        <v>0</v>
      </c>
      <c r="P499" t="n">
        <v>0</v>
      </c>
      <c r="Q499" t="n">
        <v>0</v>
      </c>
      <c r="R499" s="2" t="inlineStr"/>
    </row>
    <row r="500" ht="15" customHeight="1">
      <c r="A500" t="inlineStr">
        <is>
          <t>A 23459-2022</t>
        </is>
      </c>
      <c r="B500" s="1" t="n">
        <v>44721</v>
      </c>
      <c r="C500" s="1" t="n">
        <v>45473</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23710-2022</t>
        </is>
      </c>
      <c r="B501" s="1" t="n">
        <v>44722</v>
      </c>
      <c r="C501" s="1" t="n">
        <v>45473</v>
      </c>
      <c r="D501" t="inlineStr">
        <is>
          <t>ÖREBRO LÄN</t>
        </is>
      </c>
      <c r="E501" t="inlineStr">
        <is>
          <t>ÖREBRO</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23741-2022</t>
        </is>
      </c>
      <c r="B502" s="1" t="n">
        <v>44722</v>
      </c>
      <c r="C502" s="1" t="n">
        <v>45473</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23939-2022</t>
        </is>
      </c>
      <c r="B503" s="1" t="n">
        <v>44722</v>
      </c>
      <c r="C503" s="1" t="n">
        <v>45473</v>
      </c>
      <c r="D503" t="inlineStr">
        <is>
          <t>ÖREBRO LÄN</t>
        </is>
      </c>
      <c r="E503" t="inlineStr">
        <is>
          <t>ÖREBRO</t>
        </is>
      </c>
      <c r="G503" t="n">
        <v>5.5</v>
      </c>
      <c r="H503" t="n">
        <v>0</v>
      </c>
      <c r="I503" t="n">
        <v>0</v>
      </c>
      <c r="J503" t="n">
        <v>0</v>
      </c>
      <c r="K503" t="n">
        <v>0</v>
      </c>
      <c r="L503" t="n">
        <v>0</v>
      </c>
      <c r="M503" t="n">
        <v>0</v>
      </c>
      <c r="N503" t="n">
        <v>0</v>
      </c>
      <c r="O503" t="n">
        <v>0</v>
      </c>
      <c r="P503" t="n">
        <v>0</v>
      </c>
      <c r="Q503" t="n">
        <v>0</v>
      </c>
      <c r="R503" s="2" t="inlineStr"/>
    </row>
    <row r="504" ht="15" customHeight="1">
      <c r="A504" t="inlineStr">
        <is>
          <t>A 24672-2022</t>
        </is>
      </c>
      <c r="B504" s="1" t="n">
        <v>44727</v>
      </c>
      <c r="C504" s="1" t="n">
        <v>45473</v>
      </c>
      <c r="D504" t="inlineStr">
        <is>
          <t>ÖREBRO LÄN</t>
        </is>
      </c>
      <c r="E504" t="inlineStr">
        <is>
          <t>ÖREBRO</t>
        </is>
      </c>
      <c r="G504" t="n">
        <v>6.9</v>
      </c>
      <c r="H504" t="n">
        <v>0</v>
      </c>
      <c r="I504" t="n">
        <v>0</v>
      </c>
      <c r="J504" t="n">
        <v>0</v>
      </c>
      <c r="K504" t="n">
        <v>0</v>
      </c>
      <c r="L504" t="n">
        <v>0</v>
      </c>
      <c r="M504" t="n">
        <v>0</v>
      </c>
      <c r="N504" t="n">
        <v>0</v>
      </c>
      <c r="O504" t="n">
        <v>0</v>
      </c>
      <c r="P504" t="n">
        <v>0</v>
      </c>
      <c r="Q504" t="n">
        <v>0</v>
      </c>
      <c r="R504" s="2" t="inlineStr"/>
    </row>
    <row r="505" ht="15" customHeight="1">
      <c r="A505" t="inlineStr">
        <is>
          <t>A 25597-2022</t>
        </is>
      </c>
      <c r="B505" s="1" t="n">
        <v>44732</v>
      </c>
      <c r="C505" s="1" t="n">
        <v>45473</v>
      </c>
      <c r="D505" t="inlineStr">
        <is>
          <t>ÖREBRO LÄN</t>
        </is>
      </c>
      <c r="E505" t="inlineStr">
        <is>
          <t>ÖREBRO</t>
        </is>
      </c>
      <c r="G505" t="n">
        <v>2.6</v>
      </c>
      <c r="H505" t="n">
        <v>0</v>
      </c>
      <c r="I505" t="n">
        <v>0</v>
      </c>
      <c r="J505" t="n">
        <v>0</v>
      </c>
      <c r="K505" t="n">
        <v>0</v>
      </c>
      <c r="L505" t="n">
        <v>0</v>
      </c>
      <c r="M505" t="n">
        <v>0</v>
      </c>
      <c r="N505" t="n">
        <v>0</v>
      </c>
      <c r="O505" t="n">
        <v>0</v>
      </c>
      <c r="P505" t="n">
        <v>0</v>
      </c>
      <c r="Q505" t="n">
        <v>0</v>
      </c>
      <c r="R505" s="2" t="inlineStr"/>
    </row>
    <row r="506" ht="15" customHeight="1">
      <c r="A506" t="inlineStr">
        <is>
          <t>A 25746-2022</t>
        </is>
      </c>
      <c r="B506" s="1" t="n">
        <v>44733</v>
      </c>
      <c r="C506" s="1" t="n">
        <v>45473</v>
      </c>
      <c r="D506" t="inlineStr">
        <is>
          <t>ÖREBRO LÄN</t>
        </is>
      </c>
      <c r="E506" t="inlineStr">
        <is>
          <t>ÖREBRO</t>
        </is>
      </c>
      <c r="G506" t="n">
        <v>4.7</v>
      </c>
      <c r="H506" t="n">
        <v>0</v>
      </c>
      <c r="I506" t="n">
        <v>0</v>
      </c>
      <c r="J506" t="n">
        <v>0</v>
      </c>
      <c r="K506" t="n">
        <v>0</v>
      </c>
      <c r="L506" t="n">
        <v>0</v>
      </c>
      <c r="M506" t="n">
        <v>0</v>
      </c>
      <c r="N506" t="n">
        <v>0</v>
      </c>
      <c r="O506" t="n">
        <v>0</v>
      </c>
      <c r="P506" t="n">
        <v>0</v>
      </c>
      <c r="Q506" t="n">
        <v>0</v>
      </c>
      <c r="R506" s="2" t="inlineStr"/>
    </row>
    <row r="507" ht="15" customHeight="1">
      <c r="A507" t="inlineStr">
        <is>
          <t>A 26101-2022</t>
        </is>
      </c>
      <c r="B507" s="1" t="n">
        <v>44734</v>
      </c>
      <c r="C507" s="1" t="n">
        <v>45473</v>
      </c>
      <c r="D507" t="inlineStr">
        <is>
          <t>ÖREBRO LÄN</t>
        </is>
      </c>
      <c r="E507" t="inlineStr">
        <is>
          <t>ÖREBRO</t>
        </is>
      </c>
      <c r="G507" t="n">
        <v>15.8</v>
      </c>
      <c r="H507" t="n">
        <v>0</v>
      </c>
      <c r="I507" t="n">
        <v>0</v>
      </c>
      <c r="J507" t="n">
        <v>0</v>
      </c>
      <c r="K507" t="n">
        <v>0</v>
      </c>
      <c r="L507" t="n">
        <v>0</v>
      </c>
      <c r="M507" t="n">
        <v>0</v>
      </c>
      <c r="N507" t="n">
        <v>0</v>
      </c>
      <c r="O507" t="n">
        <v>0</v>
      </c>
      <c r="P507" t="n">
        <v>0</v>
      </c>
      <c r="Q507" t="n">
        <v>0</v>
      </c>
      <c r="R507" s="2" t="inlineStr"/>
    </row>
    <row r="508" ht="15" customHeight="1">
      <c r="A508" t="inlineStr">
        <is>
          <t>A 28054-2022</t>
        </is>
      </c>
      <c r="B508" s="1" t="n">
        <v>44746</v>
      </c>
      <c r="C508" s="1" t="n">
        <v>45473</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28706-2022</t>
        </is>
      </c>
      <c r="B509" s="1" t="n">
        <v>44748</v>
      </c>
      <c r="C509" s="1" t="n">
        <v>45473</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29108-2022</t>
        </is>
      </c>
      <c r="B510" s="1" t="n">
        <v>44750</v>
      </c>
      <c r="C510" s="1" t="n">
        <v>45473</v>
      </c>
      <c r="D510" t="inlineStr">
        <is>
          <t>ÖREBRO LÄN</t>
        </is>
      </c>
      <c r="E510" t="inlineStr">
        <is>
          <t>ÖREBRO</t>
        </is>
      </c>
      <c r="G510" t="n">
        <v>5.1</v>
      </c>
      <c r="H510" t="n">
        <v>0</v>
      </c>
      <c r="I510" t="n">
        <v>0</v>
      </c>
      <c r="J510" t="n">
        <v>0</v>
      </c>
      <c r="K510" t="n">
        <v>0</v>
      </c>
      <c r="L510" t="n">
        <v>0</v>
      </c>
      <c r="M510" t="n">
        <v>0</v>
      </c>
      <c r="N510" t="n">
        <v>0</v>
      </c>
      <c r="O510" t="n">
        <v>0</v>
      </c>
      <c r="P510" t="n">
        <v>0</v>
      </c>
      <c r="Q510" t="n">
        <v>0</v>
      </c>
      <c r="R510" s="2" t="inlineStr"/>
    </row>
    <row r="511" ht="15" customHeight="1">
      <c r="A511" t="inlineStr">
        <is>
          <t>A 29138-2022</t>
        </is>
      </c>
      <c r="B511" s="1" t="n">
        <v>44750</v>
      </c>
      <c r="C511" s="1" t="n">
        <v>45473</v>
      </c>
      <c r="D511" t="inlineStr">
        <is>
          <t>ÖREBRO LÄN</t>
        </is>
      </c>
      <c r="E511" t="inlineStr">
        <is>
          <t>ÖREBRO</t>
        </is>
      </c>
      <c r="G511" t="n">
        <v>3.3</v>
      </c>
      <c r="H511" t="n">
        <v>0</v>
      </c>
      <c r="I511" t="n">
        <v>0</v>
      </c>
      <c r="J511" t="n">
        <v>0</v>
      </c>
      <c r="K511" t="n">
        <v>0</v>
      </c>
      <c r="L511" t="n">
        <v>0</v>
      </c>
      <c r="M511" t="n">
        <v>0</v>
      </c>
      <c r="N511" t="n">
        <v>0</v>
      </c>
      <c r="O511" t="n">
        <v>0</v>
      </c>
      <c r="P511" t="n">
        <v>0</v>
      </c>
      <c r="Q511" t="n">
        <v>0</v>
      </c>
      <c r="R511" s="2" t="inlineStr"/>
    </row>
    <row r="512" ht="15" customHeight="1">
      <c r="A512" t="inlineStr">
        <is>
          <t>A 29243-2022</t>
        </is>
      </c>
      <c r="B512" s="1" t="n">
        <v>44750</v>
      </c>
      <c r="C512" s="1" t="n">
        <v>45473</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29246-2022</t>
        </is>
      </c>
      <c r="B513" s="1" t="n">
        <v>44750</v>
      </c>
      <c r="C513" s="1" t="n">
        <v>45473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29143-2022</t>
        </is>
      </c>
      <c r="B514" s="1" t="n">
        <v>44750</v>
      </c>
      <c r="C514" s="1" t="n">
        <v>45473</v>
      </c>
      <c r="D514" t="inlineStr">
        <is>
          <t>ÖREBRO LÄN</t>
        </is>
      </c>
      <c r="E514" t="inlineStr">
        <is>
          <t>ÖREBRO</t>
        </is>
      </c>
      <c r="G514" t="n">
        <v>5.6</v>
      </c>
      <c r="H514" t="n">
        <v>0</v>
      </c>
      <c r="I514" t="n">
        <v>0</v>
      </c>
      <c r="J514" t="n">
        <v>0</v>
      </c>
      <c r="K514" t="n">
        <v>0</v>
      </c>
      <c r="L514" t="n">
        <v>0</v>
      </c>
      <c r="M514" t="n">
        <v>0</v>
      </c>
      <c r="N514" t="n">
        <v>0</v>
      </c>
      <c r="O514" t="n">
        <v>0</v>
      </c>
      <c r="P514" t="n">
        <v>0</v>
      </c>
      <c r="Q514" t="n">
        <v>0</v>
      </c>
      <c r="R514" s="2" t="inlineStr"/>
    </row>
    <row r="515" ht="15" customHeight="1">
      <c r="A515" t="inlineStr">
        <is>
          <t>A 29490-2022</t>
        </is>
      </c>
      <c r="B515" s="1" t="n">
        <v>44753</v>
      </c>
      <c r="C515" s="1" t="n">
        <v>45473</v>
      </c>
      <c r="D515" t="inlineStr">
        <is>
          <t>ÖREBRO LÄN</t>
        </is>
      </c>
      <c r="E515" t="inlineStr">
        <is>
          <t>ÖREBRO</t>
        </is>
      </c>
      <c r="F515" t="inlineStr">
        <is>
          <t>Kommuner</t>
        </is>
      </c>
      <c r="G515" t="n">
        <v>0.3</v>
      </c>
      <c r="H515" t="n">
        <v>0</v>
      </c>
      <c r="I515" t="n">
        <v>0</v>
      </c>
      <c r="J515" t="n">
        <v>0</v>
      </c>
      <c r="K515" t="n">
        <v>0</v>
      </c>
      <c r="L515" t="n">
        <v>0</v>
      </c>
      <c r="M515" t="n">
        <v>0</v>
      </c>
      <c r="N515" t="n">
        <v>0</v>
      </c>
      <c r="O515" t="n">
        <v>0</v>
      </c>
      <c r="P515" t="n">
        <v>0</v>
      </c>
      <c r="Q515" t="n">
        <v>0</v>
      </c>
      <c r="R515" s="2" t="inlineStr"/>
    </row>
    <row r="516" ht="15" customHeight="1">
      <c r="A516" t="inlineStr">
        <is>
          <t>A 29751-2022</t>
        </is>
      </c>
      <c r="B516" s="1" t="n">
        <v>44755</v>
      </c>
      <c r="C516" s="1" t="n">
        <v>45473</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30472-2022</t>
        </is>
      </c>
      <c r="B517" s="1" t="n">
        <v>44761</v>
      </c>
      <c r="C517" s="1" t="n">
        <v>45473</v>
      </c>
      <c r="D517" t="inlineStr">
        <is>
          <t>ÖREBRO LÄN</t>
        </is>
      </c>
      <c r="E517" t="inlineStr">
        <is>
          <t>ÖREBRO</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30760-2022</t>
        </is>
      </c>
      <c r="B518" s="1" t="n">
        <v>44764</v>
      </c>
      <c r="C518" s="1" t="n">
        <v>45473</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30782-2022</t>
        </is>
      </c>
      <c r="B519" s="1" t="n">
        <v>44764</v>
      </c>
      <c r="C519" s="1" t="n">
        <v>45473</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32231-2022</t>
        </is>
      </c>
      <c r="B520" s="1" t="n">
        <v>44781</v>
      </c>
      <c r="C520" s="1" t="n">
        <v>45473</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32274-2022</t>
        </is>
      </c>
      <c r="B521" s="1" t="n">
        <v>44781</v>
      </c>
      <c r="C521" s="1" t="n">
        <v>45473</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32247-2022</t>
        </is>
      </c>
      <c r="B522" s="1" t="n">
        <v>44781</v>
      </c>
      <c r="C522" s="1" t="n">
        <v>45473</v>
      </c>
      <c r="D522" t="inlineStr">
        <is>
          <t>ÖREBRO LÄN</t>
        </is>
      </c>
      <c r="E522" t="inlineStr">
        <is>
          <t>ÖREBRO</t>
        </is>
      </c>
      <c r="G522" t="n">
        <v>3</v>
      </c>
      <c r="H522" t="n">
        <v>0</v>
      </c>
      <c r="I522" t="n">
        <v>0</v>
      </c>
      <c r="J522" t="n">
        <v>0</v>
      </c>
      <c r="K522" t="n">
        <v>0</v>
      </c>
      <c r="L522" t="n">
        <v>0</v>
      </c>
      <c r="M522" t="n">
        <v>0</v>
      </c>
      <c r="N522" t="n">
        <v>0</v>
      </c>
      <c r="O522" t="n">
        <v>0</v>
      </c>
      <c r="P522" t="n">
        <v>0</v>
      </c>
      <c r="Q522" t="n">
        <v>0</v>
      </c>
      <c r="R522" s="2" t="inlineStr"/>
    </row>
    <row r="523" ht="15" customHeight="1">
      <c r="A523" t="inlineStr">
        <is>
          <t>A 34358-2022</t>
        </is>
      </c>
      <c r="B523" s="1" t="n">
        <v>44792</v>
      </c>
      <c r="C523" s="1" t="n">
        <v>45473</v>
      </c>
      <c r="D523" t="inlineStr">
        <is>
          <t>ÖREBRO LÄN</t>
        </is>
      </c>
      <c r="E523" t="inlineStr">
        <is>
          <t>ÖREBRO</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34578-2022</t>
        </is>
      </c>
      <c r="B524" s="1" t="n">
        <v>44795</v>
      </c>
      <c r="C524" s="1" t="n">
        <v>45473</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34874-2022</t>
        </is>
      </c>
      <c r="B525" s="1" t="n">
        <v>44796</v>
      </c>
      <c r="C525" s="1" t="n">
        <v>45473</v>
      </c>
      <c r="D525" t="inlineStr">
        <is>
          <t>ÖREBRO LÄN</t>
        </is>
      </c>
      <c r="E525" t="inlineStr">
        <is>
          <t>ÖREBRO</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45473</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36794-2022</t>
        </is>
      </c>
      <c r="B527" s="1" t="n">
        <v>44805</v>
      </c>
      <c r="C527" s="1" t="n">
        <v>45473</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37270-2022</t>
        </is>
      </c>
      <c r="B528" s="1" t="n">
        <v>44807</v>
      </c>
      <c r="C528" s="1" t="n">
        <v>45473</v>
      </c>
      <c r="D528" t="inlineStr">
        <is>
          <t>ÖREBRO LÄN</t>
        </is>
      </c>
      <c r="E528" t="inlineStr">
        <is>
          <t>ÖREBRO</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37277-2022</t>
        </is>
      </c>
      <c r="B529" s="1" t="n">
        <v>44807</v>
      </c>
      <c r="C529" s="1" t="n">
        <v>45473</v>
      </c>
      <c r="D529" t="inlineStr">
        <is>
          <t>ÖREBRO LÄN</t>
        </is>
      </c>
      <c r="E529" t="inlineStr">
        <is>
          <t>ÖREBRO</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37272-2022</t>
        </is>
      </c>
      <c r="B530" s="1" t="n">
        <v>44807</v>
      </c>
      <c r="C530" s="1" t="n">
        <v>45473</v>
      </c>
      <c r="D530" t="inlineStr">
        <is>
          <t>ÖREBRO LÄN</t>
        </is>
      </c>
      <c r="E530" t="inlineStr">
        <is>
          <t>ÖREBRO</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37271-2022</t>
        </is>
      </c>
      <c r="B531" s="1" t="n">
        <v>44807</v>
      </c>
      <c r="C531" s="1" t="n">
        <v>45473</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37268-2022</t>
        </is>
      </c>
      <c r="B532" s="1" t="n">
        <v>44807</v>
      </c>
      <c r="C532" s="1" t="n">
        <v>45473</v>
      </c>
      <c r="D532" t="inlineStr">
        <is>
          <t>ÖREBRO LÄN</t>
        </is>
      </c>
      <c r="E532" t="inlineStr">
        <is>
          <t>ÖREBRO</t>
        </is>
      </c>
      <c r="F532" t="inlineStr">
        <is>
          <t>Sveaskog</t>
        </is>
      </c>
      <c r="G532" t="n">
        <v>4.1</v>
      </c>
      <c r="H532" t="n">
        <v>0</v>
      </c>
      <c r="I532" t="n">
        <v>0</v>
      </c>
      <c r="J532" t="n">
        <v>0</v>
      </c>
      <c r="K532" t="n">
        <v>0</v>
      </c>
      <c r="L532" t="n">
        <v>0</v>
      </c>
      <c r="M532" t="n">
        <v>0</v>
      </c>
      <c r="N532" t="n">
        <v>0</v>
      </c>
      <c r="O532" t="n">
        <v>0</v>
      </c>
      <c r="P532" t="n">
        <v>0</v>
      </c>
      <c r="Q532" t="n">
        <v>0</v>
      </c>
      <c r="R532" s="2" t="inlineStr"/>
    </row>
    <row r="533" ht="15" customHeight="1">
      <c r="A533" t="inlineStr">
        <is>
          <t>A 37276-2022</t>
        </is>
      </c>
      <c r="B533" s="1" t="n">
        <v>44807</v>
      </c>
      <c r="C533" s="1" t="n">
        <v>45473</v>
      </c>
      <c r="D533" t="inlineStr">
        <is>
          <t>ÖREBRO LÄN</t>
        </is>
      </c>
      <c r="E533" t="inlineStr">
        <is>
          <t>ÖREBRO</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38075-2022</t>
        </is>
      </c>
      <c r="B534" s="1" t="n">
        <v>44811</v>
      </c>
      <c r="C534" s="1" t="n">
        <v>45473</v>
      </c>
      <c r="D534" t="inlineStr">
        <is>
          <t>ÖREBRO LÄN</t>
        </is>
      </c>
      <c r="E534" t="inlineStr">
        <is>
          <t>ÖREBRO</t>
        </is>
      </c>
      <c r="G534" t="n">
        <v>0.2</v>
      </c>
      <c r="H534" t="n">
        <v>0</v>
      </c>
      <c r="I534" t="n">
        <v>0</v>
      </c>
      <c r="J534" t="n">
        <v>0</v>
      </c>
      <c r="K534" t="n">
        <v>0</v>
      </c>
      <c r="L534" t="n">
        <v>0</v>
      </c>
      <c r="M534" t="n">
        <v>0</v>
      </c>
      <c r="N534" t="n">
        <v>0</v>
      </c>
      <c r="O534" t="n">
        <v>0</v>
      </c>
      <c r="P534" t="n">
        <v>0</v>
      </c>
      <c r="Q534" t="n">
        <v>0</v>
      </c>
      <c r="R534" s="2" t="inlineStr"/>
    </row>
    <row r="535" ht="15" customHeight="1">
      <c r="A535" t="inlineStr">
        <is>
          <t>A 38864-2022</t>
        </is>
      </c>
      <c r="B535" s="1" t="n">
        <v>44814</v>
      </c>
      <c r="C535" s="1" t="n">
        <v>45473</v>
      </c>
      <c r="D535" t="inlineStr">
        <is>
          <t>ÖREBRO LÄN</t>
        </is>
      </c>
      <c r="E535" t="inlineStr">
        <is>
          <t>ÖREBRO</t>
        </is>
      </c>
      <c r="G535" t="n">
        <v>2.5</v>
      </c>
      <c r="H535" t="n">
        <v>0</v>
      </c>
      <c r="I535" t="n">
        <v>0</v>
      </c>
      <c r="J535" t="n">
        <v>0</v>
      </c>
      <c r="K535" t="n">
        <v>0</v>
      </c>
      <c r="L535" t="n">
        <v>0</v>
      </c>
      <c r="M535" t="n">
        <v>0</v>
      </c>
      <c r="N535" t="n">
        <v>0</v>
      </c>
      <c r="O535" t="n">
        <v>0</v>
      </c>
      <c r="P535" t="n">
        <v>0</v>
      </c>
      <c r="Q535" t="n">
        <v>0</v>
      </c>
      <c r="R535" s="2" t="inlineStr"/>
    </row>
    <row r="536" ht="15" customHeight="1">
      <c r="A536" t="inlineStr">
        <is>
          <t>A 38842-2022</t>
        </is>
      </c>
      <c r="B536" s="1" t="n">
        <v>44814</v>
      </c>
      <c r="C536" s="1" t="n">
        <v>45473</v>
      </c>
      <c r="D536" t="inlineStr">
        <is>
          <t>ÖREBRO LÄN</t>
        </is>
      </c>
      <c r="E536" t="inlineStr">
        <is>
          <t>ÖREBRO</t>
        </is>
      </c>
      <c r="G536" t="n">
        <v>5</v>
      </c>
      <c r="H536" t="n">
        <v>0</v>
      </c>
      <c r="I536" t="n">
        <v>0</v>
      </c>
      <c r="J536" t="n">
        <v>0</v>
      </c>
      <c r="K536" t="n">
        <v>0</v>
      </c>
      <c r="L536" t="n">
        <v>0</v>
      </c>
      <c r="M536" t="n">
        <v>0</v>
      </c>
      <c r="N536" t="n">
        <v>0</v>
      </c>
      <c r="O536" t="n">
        <v>0</v>
      </c>
      <c r="P536" t="n">
        <v>0</v>
      </c>
      <c r="Q536" t="n">
        <v>0</v>
      </c>
      <c r="R536" s="2" t="inlineStr"/>
    </row>
    <row r="537" ht="15" customHeight="1">
      <c r="A537" t="inlineStr">
        <is>
          <t>A 40231-2022</t>
        </is>
      </c>
      <c r="B537" s="1" t="n">
        <v>44820</v>
      </c>
      <c r="C537" s="1" t="n">
        <v>45473</v>
      </c>
      <c r="D537" t="inlineStr">
        <is>
          <t>ÖREBRO LÄN</t>
        </is>
      </c>
      <c r="E537" t="inlineStr">
        <is>
          <t>ÖREBRO</t>
        </is>
      </c>
      <c r="F537" t="inlineStr">
        <is>
          <t>Allmännings- och besparingsskogar</t>
        </is>
      </c>
      <c r="G537" t="n">
        <v>2.2</v>
      </c>
      <c r="H537" t="n">
        <v>0</v>
      </c>
      <c r="I537" t="n">
        <v>0</v>
      </c>
      <c r="J537" t="n">
        <v>0</v>
      </c>
      <c r="K537" t="n">
        <v>0</v>
      </c>
      <c r="L537" t="n">
        <v>0</v>
      </c>
      <c r="M537" t="n">
        <v>0</v>
      </c>
      <c r="N537" t="n">
        <v>0</v>
      </c>
      <c r="O537" t="n">
        <v>0</v>
      </c>
      <c r="P537" t="n">
        <v>0</v>
      </c>
      <c r="Q537" t="n">
        <v>0</v>
      </c>
      <c r="R537" s="2" t="inlineStr"/>
    </row>
    <row r="538" ht="15" customHeight="1">
      <c r="A538" t="inlineStr">
        <is>
          <t>A 41553-2022</t>
        </is>
      </c>
      <c r="B538" s="1" t="n">
        <v>44827</v>
      </c>
      <c r="C538" s="1" t="n">
        <v>45473</v>
      </c>
      <c r="D538" t="inlineStr">
        <is>
          <t>ÖREBRO LÄN</t>
        </is>
      </c>
      <c r="E538" t="inlineStr">
        <is>
          <t>ÖREBRO</t>
        </is>
      </c>
      <c r="G538" t="n">
        <v>3.7</v>
      </c>
      <c r="H538" t="n">
        <v>0</v>
      </c>
      <c r="I538" t="n">
        <v>0</v>
      </c>
      <c r="J538" t="n">
        <v>0</v>
      </c>
      <c r="K538" t="n">
        <v>0</v>
      </c>
      <c r="L538" t="n">
        <v>0</v>
      </c>
      <c r="M538" t="n">
        <v>0</v>
      </c>
      <c r="N538" t="n">
        <v>0</v>
      </c>
      <c r="O538" t="n">
        <v>0</v>
      </c>
      <c r="P538" t="n">
        <v>0</v>
      </c>
      <c r="Q538" t="n">
        <v>0</v>
      </c>
      <c r="R538" s="2" t="inlineStr"/>
    </row>
    <row r="539" ht="15" customHeight="1">
      <c r="A539" t="inlineStr">
        <is>
          <t>A 41894-2022</t>
        </is>
      </c>
      <c r="B539" s="1" t="n">
        <v>44830</v>
      </c>
      <c r="C539" s="1" t="n">
        <v>45473</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41892-2022</t>
        </is>
      </c>
      <c r="B540" s="1" t="n">
        <v>44830</v>
      </c>
      <c r="C540" s="1" t="n">
        <v>45473</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42618-2022</t>
        </is>
      </c>
      <c r="B541" s="1" t="n">
        <v>44831</v>
      </c>
      <c r="C541" s="1" t="n">
        <v>45473</v>
      </c>
      <c r="D541" t="inlineStr">
        <is>
          <t>ÖREBRO LÄN</t>
        </is>
      </c>
      <c r="E541" t="inlineStr">
        <is>
          <t>ÖREBRO</t>
        </is>
      </c>
      <c r="G541" t="n">
        <v>3</v>
      </c>
      <c r="H541" t="n">
        <v>0</v>
      </c>
      <c r="I541" t="n">
        <v>0</v>
      </c>
      <c r="J541" t="n">
        <v>0</v>
      </c>
      <c r="K541" t="n">
        <v>0</v>
      </c>
      <c r="L541" t="n">
        <v>0</v>
      </c>
      <c r="M541" t="n">
        <v>0</v>
      </c>
      <c r="N541" t="n">
        <v>0</v>
      </c>
      <c r="O541" t="n">
        <v>0</v>
      </c>
      <c r="P541" t="n">
        <v>0</v>
      </c>
      <c r="Q541" t="n">
        <v>0</v>
      </c>
      <c r="R541" s="2" t="inlineStr"/>
    </row>
    <row r="542" ht="15" customHeight="1">
      <c r="A542" t="inlineStr">
        <is>
          <t>A 42623-2022</t>
        </is>
      </c>
      <c r="B542" s="1" t="n">
        <v>44831</v>
      </c>
      <c r="C542" s="1" t="n">
        <v>45473</v>
      </c>
      <c r="D542" t="inlineStr">
        <is>
          <t>ÖREBRO LÄN</t>
        </is>
      </c>
      <c r="E542" t="inlineStr">
        <is>
          <t>ÖREBRO</t>
        </is>
      </c>
      <c r="G542" t="n">
        <v>3.6</v>
      </c>
      <c r="H542" t="n">
        <v>0</v>
      </c>
      <c r="I542" t="n">
        <v>0</v>
      </c>
      <c r="J542" t="n">
        <v>0</v>
      </c>
      <c r="K542" t="n">
        <v>0</v>
      </c>
      <c r="L542" t="n">
        <v>0</v>
      </c>
      <c r="M542" t="n">
        <v>0</v>
      </c>
      <c r="N542" t="n">
        <v>0</v>
      </c>
      <c r="O542" t="n">
        <v>0</v>
      </c>
      <c r="P542" t="n">
        <v>0</v>
      </c>
      <c r="Q542" t="n">
        <v>0</v>
      </c>
      <c r="R542" s="2" t="inlineStr"/>
    </row>
    <row r="543" ht="15" customHeight="1">
      <c r="A543" t="inlineStr">
        <is>
          <t>A 43332-2022</t>
        </is>
      </c>
      <c r="B543" s="1" t="n">
        <v>44834</v>
      </c>
      <c r="C543" s="1" t="n">
        <v>45473</v>
      </c>
      <c r="D543" t="inlineStr">
        <is>
          <t>ÖREBRO LÄN</t>
        </is>
      </c>
      <c r="E543" t="inlineStr">
        <is>
          <t>ÖREBRO</t>
        </is>
      </c>
      <c r="G543" t="n">
        <v>2.3</v>
      </c>
      <c r="H543" t="n">
        <v>0</v>
      </c>
      <c r="I543" t="n">
        <v>0</v>
      </c>
      <c r="J543" t="n">
        <v>0</v>
      </c>
      <c r="K543" t="n">
        <v>0</v>
      </c>
      <c r="L543" t="n">
        <v>0</v>
      </c>
      <c r="M543" t="n">
        <v>0</v>
      </c>
      <c r="N543" t="n">
        <v>0</v>
      </c>
      <c r="O543" t="n">
        <v>0</v>
      </c>
      <c r="P543" t="n">
        <v>0</v>
      </c>
      <c r="Q543" t="n">
        <v>0</v>
      </c>
      <c r="R543" s="2" t="inlineStr"/>
    </row>
    <row r="544" ht="15" customHeight="1">
      <c r="A544" t="inlineStr">
        <is>
          <t>A 43391-2022</t>
        </is>
      </c>
      <c r="B544" s="1" t="n">
        <v>44834</v>
      </c>
      <c r="C544" s="1" t="n">
        <v>45473</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43399-2022</t>
        </is>
      </c>
      <c r="B545" s="1" t="n">
        <v>44834</v>
      </c>
      <c r="C545" s="1" t="n">
        <v>45473</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45473</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44165-2022</t>
        </is>
      </c>
      <c r="B547" s="1" t="n">
        <v>44839</v>
      </c>
      <c r="C547" s="1" t="n">
        <v>45473</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44271-2022</t>
        </is>
      </c>
      <c r="B548" s="1" t="n">
        <v>44839</v>
      </c>
      <c r="C548" s="1" t="n">
        <v>45473</v>
      </c>
      <c r="D548" t="inlineStr">
        <is>
          <t>ÖREBRO LÄN</t>
        </is>
      </c>
      <c r="E548" t="inlineStr">
        <is>
          <t>ÖREBRO</t>
        </is>
      </c>
      <c r="G548" t="n">
        <v>2.9</v>
      </c>
      <c r="H548" t="n">
        <v>0</v>
      </c>
      <c r="I548" t="n">
        <v>0</v>
      </c>
      <c r="J548" t="n">
        <v>0</v>
      </c>
      <c r="K548" t="n">
        <v>0</v>
      </c>
      <c r="L548" t="n">
        <v>0</v>
      </c>
      <c r="M548" t="n">
        <v>0</v>
      </c>
      <c r="N548" t="n">
        <v>0</v>
      </c>
      <c r="O548" t="n">
        <v>0</v>
      </c>
      <c r="P548" t="n">
        <v>0</v>
      </c>
      <c r="Q548" t="n">
        <v>0</v>
      </c>
      <c r="R548" s="2" t="inlineStr"/>
    </row>
    <row r="549" ht="15" customHeight="1">
      <c r="A549" t="inlineStr">
        <is>
          <t>A 44295-2022</t>
        </is>
      </c>
      <c r="B549" s="1" t="n">
        <v>44839</v>
      </c>
      <c r="C549" s="1" t="n">
        <v>45473</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44364-2022</t>
        </is>
      </c>
      <c r="B550" s="1" t="n">
        <v>44839</v>
      </c>
      <c r="C550" s="1" t="n">
        <v>45473</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44131-2022</t>
        </is>
      </c>
      <c r="B551" s="1" t="n">
        <v>44839</v>
      </c>
      <c r="C551" s="1" t="n">
        <v>45473</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44279-2022</t>
        </is>
      </c>
      <c r="B552" s="1" t="n">
        <v>44839</v>
      </c>
      <c r="C552" s="1" t="n">
        <v>45473</v>
      </c>
      <c r="D552" t="inlineStr">
        <is>
          <t>ÖREBRO LÄN</t>
        </is>
      </c>
      <c r="E552" t="inlineStr">
        <is>
          <t>ÖREBRO</t>
        </is>
      </c>
      <c r="G552" t="n">
        <v>2.4</v>
      </c>
      <c r="H552" t="n">
        <v>0</v>
      </c>
      <c r="I552" t="n">
        <v>0</v>
      </c>
      <c r="J552" t="n">
        <v>0</v>
      </c>
      <c r="K552" t="n">
        <v>0</v>
      </c>
      <c r="L552" t="n">
        <v>0</v>
      </c>
      <c r="M552" t="n">
        <v>0</v>
      </c>
      <c r="N552" t="n">
        <v>0</v>
      </c>
      <c r="O552" t="n">
        <v>0</v>
      </c>
      <c r="P552" t="n">
        <v>0</v>
      </c>
      <c r="Q552" t="n">
        <v>0</v>
      </c>
      <c r="R552" s="2" t="inlineStr"/>
    </row>
    <row r="553" ht="15" customHeight="1">
      <c r="A553" t="inlineStr">
        <is>
          <t>A 44284-2022</t>
        </is>
      </c>
      <c r="B553" s="1" t="n">
        <v>44839</v>
      </c>
      <c r="C553" s="1" t="n">
        <v>45473</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46266-2022</t>
        </is>
      </c>
      <c r="B554" s="1" t="n">
        <v>44847</v>
      </c>
      <c r="C554" s="1" t="n">
        <v>45473</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46271-2022</t>
        </is>
      </c>
      <c r="B555" s="1" t="n">
        <v>44847</v>
      </c>
      <c r="C555" s="1" t="n">
        <v>45473</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46834-2022</t>
        </is>
      </c>
      <c r="B556" s="1" t="n">
        <v>44851</v>
      </c>
      <c r="C556" s="1" t="n">
        <v>45473</v>
      </c>
      <c r="D556" t="inlineStr">
        <is>
          <t>ÖREBRO LÄN</t>
        </is>
      </c>
      <c r="E556" t="inlineStr">
        <is>
          <t>ÖREBRO</t>
        </is>
      </c>
      <c r="G556" t="n">
        <v>1.6</v>
      </c>
      <c r="H556" t="n">
        <v>0</v>
      </c>
      <c r="I556" t="n">
        <v>0</v>
      </c>
      <c r="J556" t="n">
        <v>0</v>
      </c>
      <c r="K556" t="n">
        <v>0</v>
      </c>
      <c r="L556" t="n">
        <v>0</v>
      </c>
      <c r="M556" t="n">
        <v>0</v>
      </c>
      <c r="N556" t="n">
        <v>0</v>
      </c>
      <c r="O556" t="n">
        <v>0</v>
      </c>
      <c r="P556" t="n">
        <v>0</v>
      </c>
      <c r="Q556" t="n">
        <v>0</v>
      </c>
      <c r="R556" s="2" t="inlineStr"/>
    </row>
    <row r="557" ht="15" customHeight="1">
      <c r="A557" t="inlineStr">
        <is>
          <t>A 47047-2022</t>
        </is>
      </c>
      <c r="B557" s="1" t="n">
        <v>44852</v>
      </c>
      <c r="C557" s="1" t="n">
        <v>45473</v>
      </c>
      <c r="D557" t="inlineStr">
        <is>
          <t>ÖREBRO LÄN</t>
        </is>
      </c>
      <c r="E557" t="inlineStr">
        <is>
          <t>ÖREBRO</t>
        </is>
      </c>
      <c r="G557" t="n">
        <v>1.6</v>
      </c>
      <c r="H557" t="n">
        <v>0</v>
      </c>
      <c r="I557" t="n">
        <v>0</v>
      </c>
      <c r="J557" t="n">
        <v>0</v>
      </c>
      <c r="K557" t="n">
        <v>0</v>
      </c>
      <c r="L557" t="n">
        <v>0</v>
      </c>
      <c r="M557" t="n">
        <v>0</v>
      </c>
      <c r="N557" t="n">
        <v>0</v>
      </c>
      <c r="O557" t="n">
        <v>0</v>
      </c>
      <c r="P557" t="n">
        <v>0</v>
      </c>
      <c r="Q557" t="n">
        <v>0</v>
      </c>
      <c r="R557" s="2" t="inlineStr"/>
    </row>
    <row r="558" ht="15" customHeight="1">
      <c r="A558" t="inlineStr">
        <is>
          <t>A 48008-2022</t>
        </is>
      </c>
      <c r="B558" s="1" t="n">
        <v>44855</v>
      </c>
      <c r="C558" s="1" t="n">
        <v>45473</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48021-2022</t>
        </is>
      </c>
      <c r="B559" s="1" t="n">
        <v>44855</v>
      </c>
      <c r="C559" s="1" t="n">
        <v>45473</v>
      </c>
      <c r="D559" t="inlineStr">
        <is>
          <t>ÖREBRO LÄN</t>
        </is>
      </c>
      <c r="E559" t="inlineStr">
        <is>
          <t>ÖREBRO</t>
        </is>
      </c>
      <c r="G559" t="n">
        <v>4.5</v>
      </c>
      <c r="H559" t="n">
        <v>0</v>
      </c>
      <c r="I559" t="n">
        <v>0</v>
      </c>
      <c r="J559" t="n">
        <v>0</v>
      </c>
      <c r="K559" t="n">
        <v>0</v>
      </c>
      <c r="L559" t="n">
        <v>0</v>
      </c>
      <c r="M559" t="n">
        <v>0</v>
      </c>
      <c r="N559" t="n">
        <v>0</v>
      </c>
      <c r="O559" t="n">
        <v>0</v>
      </c>
      <c r="P559" t="n">
        <v>0</v>
      </c>
      <c r="Q559" t="n">
        <v>0</v>
      </c>
      <c r="R559" s="2" t="inlineStr"/>
    </row>
    <row r="560" ht="15" customHeight="1">
      <c r="A560" t="inlineStr">
        <is>
          <t>A 49228-2022</t>
        </is>
      </c>
      <c r="B560" s="1" t="n">
        <v>44861</v>
      </c>
      <c r="C560" s="1" t="n">
        <v>45473</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49495-2022</t>
        </is>
      </c>
      <c r="B561" s="1" t="n">
        <v>44861</v>
      </c>
      <c r="C561" s="1" t="n">
        <v>45473</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50398-2022</t>
        </is>
      </c>
      <c r="B562" s="1" t="n">
        <v>44861</v>
      </c>
      <c r="C562" s="1" t="n">
        <v>45473</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49552-2022</t>
        </is>
      </c>
      <c r="B563" s="1" t="n">
        <v>44862</v>
      </c>
      <c r="C563" s="1" t="n">
        <v>45473</v>
      </c>
      <c r="D563" t="inlineStr">
        <is>
          <t>ÖREBRO LÄN</t>
        </is>
      </c>
      <c r="E563" t="inlineStr">
        <is>
          <t>ÖREBRO</t>
        </is>
      </c>
      <c r="G563" t="n">
        <v>2.1</v>
      </c>
      <c r="H563" t="n">
        <v>0</v>
      </c>
      <c r="I563" t="n">
        <v>0</v>
      </c>
      <c r="J563" t="n">
        <v>0</v>
      </c>
      <c r="K563" t="n">
        <v>0</v>
      </c>
      <c r="L563" t="n">
        <v>0</v>
      </c>
      <c r="M563" t="n">
        <v>0</v>
      </c>
      <c r="N563" t="n">
        <v>0</v>
      </c>
      <c r="O563" t="n">
        <v>0</v>
      </c>
      <c r="P563" t="n">
        <v>0</v>
      </c>
      <c r="Q563" t="n">
        <v>0</v>
      </c>
      <c r="R563" s="2" t="inlineStr"/>
    </row>
    <row r="564" ht="15" customHeight="1">
      <c r="A564" t="inlineStr">
        <is>
          <t>A 51103-2022</t>
        </is>
      </c>
      <c r="B564" s="1" t="n">
        <v>44868</v>
      </c>
      <c r="C564" s="1" t="n">
        <v>45473</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51268-2022</t>
        </is>
      </c>
      <c r="B565" s="1" t="n">
        <v>44868</v>
      </c>
      <c r="C565" s="1" t="n">
        <v>45473</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52309-2022</t>
        </is>
      </c>
      <c r="B566" s="1" t="n">
        <v>44873</v>
      </c>
      <c r="C566" s="1" t="n">
        <v>45473</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53578-2022</t>
        </is>
      </c>
      <c r="B567" s="1" t="n">
        <v>44879</v>
      </c>
      <c r="C567" s="1" t="n">
        <v>45473</v>
      </c>
      <c r="D567" t="inlineStr">
        <is>
          <t>ÖREBRO LÄN</t>
        </is>
      </c>
      <c r="E567" t="inlineStr">
        <is>
          <t>ÖREBRO</t>
        </is>
      </c>
      <c r="G567" t="n">
        <v>2.8</v>
      </c>
      <c r="H567" t="n">
        <v>0</v>
      </c>
      <c r="I567" t="n">
        <v>0</v>
      </c>
      <c r="J567" t="n">
        <v>0</v>
      </c>
      <c r="K567" t="n">
        <v>0</v>
      </c>
      <c r="L567" t="n">
        <v>0</v>
      </c>
      <c r="M567" t="n">
        <v>0</v>
      </c>
      <c r="N567" t="n">
        <v>0</v>
      </c>
      <c r="O567" t="n">
        <v>0</v>
      </c>
      <c r="P567" t="n">
        <v>0</v>
      </c>
      <c r="Q567" t="n">
        <v>0</v>
      </c>
      <c r="R567" s="2" t="inlineStr"/>
    </row>
    <row r="568" ht="15" customHeight="1">
      <c r="A568" t="inlineStr">
        <is>
          <t>A 55012-2022</t>
        </is>
      </c>
      <c r="B568" s="1" t="n">
        <v>44886</v>
      </c>
      <c r="C568" s="1" t="n">
        <v>45473</v>
      </c>
      <c r="D568" t="inlineStr">
        <is>
          <t>ÖREBRO LÄN</t>
        </is>
      </c>
      <c r="E568" t="inlineStr">
        <is>
          <t>ÖREBRO</t>
        </is>
      </c>
      <c r="G568" t="n">
        <v>5.1</v>
      </c>
      <c r="H568" t="n">
        <v>0</v>
      </c>
      <c r="I568" t="n">
        <v>0</v>
      </c>
      <c r="J568" t="n">
        <v>0</v>
      </c>
      <c r="K568" t="n">
        <v>0</v>
      </c>
      <c r="L568" t="n">
        <v>0</v>
      </c>
      <c r="M568" t="n">
        <v>0</v>
      </c>
      <c r="N568" t="n">
        <v>0</v>
      </c>
      <c r="O568" t="n">
        <v>0</v>
      </c>
      <c r="P568" t="n">
        <v>0</v>
      </c>
      <c r="Q568" t="n">
        <v>0</v>
      </c>
      <c r="R568" s="2" t="inlineStr"/>
    </row>
    <row r="569" ht="15" customHeight="1">
      <c r="A569" t="inlineStr">
        <is>
          <t>A 55593-2022</t>
        </is>
      </c>
      <c r="B569" s="1" t="n">
        <v>44888</v>
      </c>
      <c r="C569" s="1" t="n">
        <v>45473</v>
      </c>
      <c r="D569" t="inlineStr">
        <is>
          <t>ÖREBRO LÄN</t>
        </is>
      </c>
      <c r="E569" t="inlineStr">
        <is>
          <t>ÖREBRO</t>
        </is>
      </c>
      <c r="G569" t="n">
        <v>3.6</v>
      </c>
      <c r="H569" t="n">
        <v>0</v>
      </c>
      <c r="I569" t="n">
        <v>0</v>
      </c>
      <c r="J569" t="n">
        <v>0</v>
      </c>
      <c r="K569" t="n">
        <v>0</v>
      </c>
      <c r="L569" t="n">
        <v>0</v>
      </c>
      <c r="M569" t="n">
        <v>0</v>
      </c>
      <c r="N569" t="n">
        <v>0</v>
      </c>
      <c r="O569" t="n">
        <v>0</v>
      </c>
      <c r="P569" t="n">
        <v>0</v>
      </c>
      <c r="Q569" t="n">
        <v>0</v>
      </c>
      <c r="R569" s="2" t="inlineStr"/>
    </row>
    <row r="570" ht="15" customHeight="1">
      <c r="A570" t="inlineStr">
        <is>
          <t>A 56077-2022</t>
        </is>
      </c>
      <c r="B570" s="1" t="n">
        <v>44889</v>
      </c>
      <c r="C570" s="1" t="n">
        <v>45473</v>
      </c>
      <c r="D570" t="inlineStr">
        <is>
          <t>ÖREBRO LÄN</t>
        </is>
      </c>
      <c r="E570" t="inlineStr">
        <is>
          <t>ÖREBRO</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57247-2022</t>
        </is>
      </c>
      <c r="B571" s="1" t="n">
        <v>44895</v>
      </c>
      <c r="C571" s="1" t="n">
        <v>45473</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57243-2022</t>
        </is>
      </c>
      <c r="B572" s="1" t="n">
        <v>44895</v>
      </c>
      <c r="C572" s="1" t="n">
        <v>45473</v>
      </c>
      <c r="D572" t="inlineStr">
        <is>
          <t>ÖREBRO LÄN</t>
        </is>
      </c>
      <c r="E572" t="inlineStr">
        <is>
          <t>ÖREBRO</t>
        </is>
      </c>
      <c r="G572" t="n">
        <v>6</v>
      </c>
      <c r="H572" t="n">
        <v>0</v>
      </c>
      <c r="I572" t="n">
        <v>0</v>
      </c>
      <c r="J572" t="n">
        <v>0</v>
      </c>
      <c r="K572" t="n">
        <v>0</v>
      </c>
      <c r="L572" t="n">
        <v>0</v>
      </c>
      <c r="M572" t="n">
        <v>0</v>
      </c>
      <c r="N572" t="n">
        <v>0</v>
      </c>
      <c r="O572" t="n">
        <v>0</v>
      </c>
      <c r="P572" t="n">
        <v>0</v>
      </c>
      <c r="Q572" t="n">
        <v>0</v>
      </c>
      <c r="R572" s="2" t="inlineStr"/>
    </row>
    <row r="573" ht="15" customHeight="1">
      <c r="A573" t="inlineStr">
        <is>
          <t>A 57638-2022</t>
        </is>
      </c>
      <c r="B573" s="1" t="n">
        <v>44897</v>
      </c>
      <c r="C573" s="1" t="n">
        <v>45473</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58277-2022</t>
        </is>
      </c>
      <c r="B574" s="1" t="n">
        <v>44901</v>
      </c>
      <c r="C574" s="1" t="n">
        <v>45473</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58551-2022</t>
        </is>
      </c>
      <c r="B575" s="1" t="n">
        <v>44902</v>
      </c>
      <c r="C575" s="1" t="n">
        <v>45473</v>
      </c>
      <c r="D575" t="inlineStr">
        <is>
          <t>ÖREBRO LÄN</t>
        </is>
      </c>
      <c r="E575" t="inlineStr">
        <is>
          <t>ÖREBRO</t>
        </is>
      </c>
      <c r="G575" t="n">
        <v>1.4</v>
      </c>
      <c r="H575" t="n">
        <v>0</v>
      </c>
      <c r="I575" t="n">
        <v>0</v>
      </c>
      <c r="J575" t="n">
        <v>0</v>
      </c>
      <c r="K575" t="n">
        <v>0</v>
      </c>
      <c r="L575" t="n">
        <v>0</v>
      </c>
      <c r="M575" t="n">
        <v>0</v>
      </c>
      <c r="N575" t="n">
        <v>0</v>
      </c>
      <c r="O575" t="n">
        <v>0</v>
      </c>
      <c r="P575" t="n">
        <v>0</v>
      </c>
      <c r="Q575" t="n">
        <v>0</v>
      </c>
      <c r="R575" s="2" t="inlineStr"/>
    </row>
    <row r="576" ht="15" customHeight="1">
      <c r="A576" t="inlineStr">
        <is>
          <t>A 60100-2022</t>
        </is>
      </c>
      <c r="B576" s="1" t="n">
        <v>44902</v>
      </c>
      <c r="C576" s="1" t="n">
        <v>45473</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58595-2022</t>
        </is>
      </c>
      <c r="B577" s="1" t="n">
        <v>44902</v>
      </c>
      <c r="C577" s="1" t="n">
        <v>45473</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58598-2022</t>
        </is>
      </c>
      <c r="B578" s="1" t="n">
        <v>44902</v>
      </c>
      <c r="C578" s="1" t="n">
        <v>45473</v>
      </c>
      <c r="D578" t="inlineStr">
        <is>
          <t>ÖREBRO LÄN</t>
        </is>
      </c>
      <c r="E578" t="inlineStr">
        <is>
          <t>ÖREBRO</t>
        </is>
      </c>
      <c r="G578" t="n">
        <v>0.4</v>
      </c>
      <c r="H578" t="n">
        <v>0</v>
      </c>
      <c r="I578" t="n">
        <v>0</v>
      </c>
      <c r="J578" t="n">
        <v>0</v>
      </c>
      <c r="K578" t="n">
        <v>0</v>
      </c>
      <c r="L578" t="n">
        <v>0</v>
      </c>
      <c r="M578" t="n">
        <v>0</v>
      </c>
      <c r="N578" t="n">
        <v>0</v>
      </c>
      <c r="O578" t="n">
        <v>0</v>
      </c>
      <c r="P578" t="n">
        <v>0</v>
      </c>
      <c r="Q578" t="n">
        <v>0</v>
      </c>
      <c r="R578" s="2" t="inlineStr"/>
    </row>
    <row r="579" ht="15" customHeight="1">
      <c r="A579" t="inlineStr">
        <is>
          <t>A 60262-2022</t>
        </is>
      </c>
      <c r="B579" s="1" t="n">
        <v>44910</v>
      </c>
      <c r="C579" s="1" t="n">
        <v>45473</v>
      </c>
      <c r="D579" t="inlineStr">
        <is>
          <t>ÖREBRO LÄN</t>
        </is>
      </c>
      <c r="E579" t="inlineStr">
        <is>
          <t>ÖREBRO</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60769-2022</t>
        </is>
      </c>
      <c r="B580" s="1" t="n">
        <v>44914</v>
      </c>
      <c r="C580" s="1" t="n">
        <v>45473</v>
      </c>
      <c r="D580" t="inlineStr">
        <is>
          <t>ÖREBRO LÄN</t>
        </is>
      </c>
      <c r="E580" t="inlineStr">
        <is>
          <t>ÖREBRO</t>
        </is>
      </c>
      <c r="G580" t="n">
        <v>3.4</v>
      </c>
      <c r="H580" t="n">
        <v>0</v>
      </c>
      <c r="I580" t="n">
        <v>0</v>
      </c>
      <c r="J580" t="n">
        <v>0</v>
      </c>
      <c r="K580" t="n">
        <v>0</v>
      </c>
      <c r="L580" t="n">
        <v>0</v>
      </c>
      <c r="M580" t="n">
        <v>0</v>
      </c>
      <c r="N580" t="n">
        <v>0</v>
      </c>
      <c r="O580" t="n">
        <v>0</v>
      </c>
      <c r="P580" t="n">
        <v>0</v>
      </c>
      <c r="Q580" t="n">
        <v>0</v>
      </c>
      <c r="R580" s="2" t="inlineStr"/>
    </row>
    <row r="581" ht="15" customHeight="1">
      <c r="A581" t="inlineStr">
        <is>
          <t>A 61123-2022</t>
        </is>
      </c>
      <c r="B581" s="1" t="n">
        <v>44915</v>
      </c>
      <c r="C581" s="1" t="n">
        <v>45473</v>
      </c>
      <c r="D581" t="inlineStr">
        <is>
          <t>ÖREBRO LÄN</t>
        </is>
      </c>
      <c r="E581" t="inlineStr">
        <is>
          <t>ÖREBRO</t>
        </is>
      </c>
      <c r="G581" t="n">
        <v>7.7</v>
      </c>
      <c r="H581" t="n">
        <v>0</v>
      </c>
      <c r="I581" t="n">
        <v>0</v>
      </c>
      <c r="J581" t="n">
        <v>0</v>
      </c>
      <c r="K581" t="n">
        <v>0</v>
      </c>
      <c r="L581" t="n">
        <v>0</v>
      </c>
      <c r="M581" t="n">
        <v>0</v>
      </c>
      <c r="N581" t="n">
        <v>0</v>
      </c>
      <c r="O581" t="n">
        <v>0</v>
      </c>
      <c r="P581" t="n">
        <v>0</v>
      </c>
      <c r="Q581" t="n">
        <v>0</v>
      </c>
      <c r="R581" s="2" t="inlineStr"/>
    </row>
    <row r="582" ht="15" customHeight="1">
      <c r="A582" t="inlineStr">
        <is>
          <t>A 5118-2023</t>
        </is>
      </c>
      <c r="B582" s="1" t="n">
        <v>44922</v>
      </c>
      <c r="C582" s="1" t="n">
        <v>45473</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1346-2023</t>
        </is>
      </c>
      <c r="B583" s="1" t="n">
        <v>44936</v>
      </c>
      <c r="C583" s="1" t="n">
        <v>45473</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1767-2023</t>
        </is>
      </c>
      <c r="B584" s="1" t="n">
        <v>44938</v>
      </c>
      <c r="C584" s="1" t="n">
        <v>45473</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2077-2023</t>
        </is>
      </c>
      <c r="B585" s="1" t="n">
        <v>44939</v>
      </c>
      <c r="C585" s="1" t="n">
        <v>45473</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2152-2023</t>
        </is>
      </c>
      <c r="B586" s="1" t="n">
        <v>44941</v>
      </c>
      <c r="C586" s="1" t="n">
        <v>45473</v>
      </c>
      <c r="D586" t="inlineStr">
        <is>
          <t>ÖREBRO LÄN</t>
        </is>
      </c>
      <c r="E586" t="inlineStr">
        <is>
          <t>ÖREBRO</t>
        </is>
      </c>
      <c r="G586" t="n">
        <v>8</v>
      </c>
      <c r="H586" t="n">
        <v>0</v>
      </c>
      <c r="I586" t="n">
        <v>0</v>
      </c>
      <c r="J586" t="n">
        <v>0</v>
      </c>
      <c r="K586" t="n">
        <v>0</v>
      </c>
      <c r="L586" t="n">
        <v>0</v>
      </c>
      <c r="M586" t="n">
        <v>0</v>
      </c>
      <c r="N586" t="n">
        <v>0</v>
      </c>
      <c r="O586" t="n">
        <v>0</v>
      </c>
      <c r="P586" t="n">
        <v>0</v>
      </c>
      <c r="Q586" t="n">
        <v>0</v>
      </c>
      <c r="R586" s="2" t="inlineStr"/>
    </row>
    <row r="587" ht="15" customHeight="1">
      <c r="A587" t="inlineStr">
        <is>
          <t>A 2153-2023</t>
        </is>
      </c>
      <c r="B587" s="1" t="n">
        <v>44941</v>
      </c>
      <c r="C587" s="1" t="n">
        <v>45473</v>
      </c>
      <c r="D587" t="inlineStr">
        <is>
          <t>ÖREBRO LÄN</t>
        </is>
      </c>
      <c r="E587" t="inlineStr">
        <is>
          <t>ÖREBRO</t>
        </is>
      </c>
      <c r="G587" t="n">
        <v>6.3</v>
      </c>
      <c r="H587" t="n">
        <v>0</v>
      </c>
      <c r="I587" t="n">
        <v>0</v>
      </c>
      <c r="J587" t="n">
        <v>0</v>
      </c>
      <c r="K587" t="n">
        <v>0</v>
      </c>
      <c r="L587" t="n">
        <v>0</v>
      </c>
      <c r="M587" t="n">
        <v>0</v>
      </c>
      <c r="N587" t="n">
        <v>0</v>
      </c>
      <c r="O587" t="n">
        <v>0</v>
      </c>
      <c r="P587" t="n">
        <v>0</v>
      </c>
      <c r="Q587" t="n">
        <v>0</v>
      </c>
      <c r="R587" s="2" t="inlineStr"/>
    </row>
    <row r="588" ht="15" customHeight="1">
      <c r="A588" t="inlineStr">
        <is>
          <t>A 2318-2023</t>
        </is>
      </c>
      <c r="B588" s="1" t="n">
        <v>44942</v>
      </c>
      <c r="C588" s="1" t="n">
        <v>45473</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2288-2023</t>
        </is>
      </c>
      <c r="B589" s="1" t="n">
        <v>44942</v>
      </c>
      <c r="C589" s="1" t="n">
        <v>45473</v>
      </c>
      <c r="D589" t="inlineStr">
        <is>
          <t>ÖREBRO LÄN</t>
        </is>
      </c>
      <c r="E589" t="inlineStr">
        <is>
          <t>ÖREBRO</t>
        </is>
      </c>
      <c r="G589" t="n">
        <v>2.9</v>
      </c>
      <c r="H589" t="n">
        <v>0</v>
      </c>
      <c r="I589" t="n">
        <v>0</v>
      </c>
      <c r="J589" t="n">
        <v>0</v>
      </c>
      <c r="K589" t="n">
        <v>0</v>
      </c>
      <c r="L589" t="n">
        <v>0</v>
      </c>
      <c r="M589" t="n">
        <v>0</v>
      </c>
      <c r="N589" t="n">
        <v>0</v>
      </c>
      <c r="O589" t="n">
        <v>0</v>
      </c>
      <c r="P589" t="n">
        <v>0</v>
      </c>
      <c r="Q589" t="n">
        <v>0</v>
      </c>
      <c r="R589" s="2" t="inlineStr"/>
    </row>
    <row r="590" ht="15" customHeight="1">
      <c r="A590" t="inlineStr">
        <is>
          <t>A 2630-2023</t>
        </is>
      </c>
      <c r="B590" s="1" t="n">
        <v>44944</v>
      </c>
      <c r="C590" s="1" t="n">
        <v>45473</v>
      </c>
      <c r="D590" t="inlineStr">
        <is>
          <t>ÖREBRO LÄN</t>
        </is>
      </c>
      <c r="E590" t="inlineStr">
        <is>
          <t>ÖREBRO</t>
        </is>
      </c>
      <c r="G590" t="n">
        <v>6.1</v>
      </c>
      <c r="H590" t="n">
        <v>0</v>
      </c>
      <c r="I590" t="n">
        <v>0</v>
      </c>
      <c r="J590" t="n">
        <v>0</v>
      </c>
      <c r="K590" t="n">
        <v>0</v>
      </c>
      <c r="L590" t="n">
        <v>0</v>
      </c>
      <c r="M590" t="n">
        <v>0</v>
      </c>
      <c r="N590" t="n">
        <v>0</v>
      </c>
      <c r="O590" t="n">
        <v>0</v>
      </c>
      <c r="P590" t="n">
        <v>0</v>
      </c>
      <c r="Q590" t="n">
        <v>0</v>
      </c>
      <c r="R590" s="2" t="inlineStr"/>
    </row>
    <row r="591" ht="15" customHeight="1">
      <c r="A591" t="inlineStr">
        <is>
          <t>A 2658-2023</t>
        </is>
      </c>
      <c r="B591" s="1" t="n">
        <v>44944</v>
      </c>
      <c r="C591" s="1" t="n">
        <v>45473</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2771-2023</t>
        </is>
      </c>
      <c r="B592" s="1" t="n">
        <v>44944</v>
      </c>
      <c r="C592" s="1" t="n">
        <v>45473</v>
      </c>
      <c r="D592" t="inlineStr">
        <is>
          <t>ÖREBRO LÄN</t>
        </is>
      </c>
      <c r="E592" t="inlineStr">
        <is>
          <t>ÖREBRO</t>
        </is>
      </c>
      <c r="G592" t="n">
        <v>15.4</v>
      </c>
      <c r="H592" t="n">
        <v>0</v>
      </c>
      <c r="I592" t="n">
        <v>0</v>
      </c>
      <c r="J592" t="n">
        <v>0</v>
      </c>
      <c r="K592" t="n">
        <v>0</v>
      </c>
      <c r="L592" t="n">
        <v>0</v>
      </c>
      <c r="M592" t="n">
        <v>0</v>
      </c>
      <c r="N592" t="n">
        <v>0</v>
      </c>
      <c r="O592" t="n">
        <v>0</v>
      </c>
      <c r="P592" t="n">
        <v>0</v>
      </c>
      <c r="Q592" t="n">
        <v>0</v>
      </c>
      <c r="R592" s="2" t="inlineStr"/>
    </row>
    <row r="593" ht="15" customHeight="1">
      <c r="A593" t="inlineStr">
        <is>
          <t>A 3791-2023</t>
        </is>
      </c>
      <c r="B593" s="1" t="n">
        <v>44951</v>
      </c>
      <c r="C593" s="1" t="n">
        <v>45473</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3789-2023</t>
        </is>
      </c>
      <c r="B594" s="1" t="n">
        <v>44951</v>
      </c>
      <c r="C594" s="1" t="n">
        <v>45473</v>
      </c>
      <c r="D594" t="inlineStr">
        <is>
          <t>ÖREBRO LÄN</t>
        </is>
      </c>
      <c r="E594" t="inlineStr">
        <is>
          <t>ÖREBRO</t>
        </is>
      </c>
      <c r="G594" t="n">
        <v>7.5</v>
      </c>
      <c r="H594" t="n">
        <v>0</v>
      </c>
      <c r="I594" t="n">
        <v>0</v>
      </c>
      <c r="J594" t="n">
        <v>0</v>
      </c>
      <c r="K594" t="n">
        <v>0</v>
      </c>
      <c r="L594" t="n">
        <v>0</v>
      </c>
      <c r="M594" t="n">
        <v>0</v>
      </c>
      <c r="N594" t="n">
        <v>0</v>
      </c>
      <c r="O594" t="n">
        <v>0</v>
      </c>
      <c r="P594" t="n">
        <v>0</v>
      </c>
      <c r="Q594" t="n">
        <v>0</v>
      </c>
      <c r="R594" s="2" t="inlineStr"/>
    </row>
    <row r="595" ht="15" customHeight="1">
      <c r="A595" t="inlineStr">
        <is>
          <t>A 3835-2023</t>
        </is>
      </c>
      <c r="B595" s="1" t="n">
        <v>44951</v>
      </c>
      <c r="C595" s="1" t="n">
        <v>45473</v>
      </c>
      <c r="D595" t="inlineStr">
        <is>
          <t>ÖREBRO LÄN</t>
        </is>
      </c>
      <c r="E595" t="inlineStr">
        <is>
          <t>ÖREBRO</t>
        </is>
      </c>
      <c r="G595" t="n">
        <v>7.4</v>
      </c>
      <c r="H595" t="n">
        <v>0</v>
      </c>
      <c r="I595" t="n">
        <v>0</v>
      </c>
      <c r="J595" t="n">
        <v>0</v>
      </c>
      <c r="K595" t="n">
        <v>0</v>
      </c>
      <c r="L595" t="n">
        <v>0</v>
      </c>
      <c r="M595" t="n">
        <v>0</v>
      </c>
      <c r="N595" t="n">
        <v>0</v>
      </c>
      <c r="O595" t="n">
        <v>0</v>
      </c>
      <c r="P595" t="n">
        <v>0</v>
      </c>
      <c r="Q595" t="n">
        <v>0</v>
      </c>
      <c r="R595" s="2" t="inlineStr"/>
    </row>
    <row r="596" ht="15" customHeight="1">
      <c r="A596" t="inlineStr">
        <is>
          <t>A 3841-2023</t>
        </is>
      </c>
      <c r="B596" s="1" t="n">
        <v>44951</v>
      </c>
      <c r="C596" s="1" t="n">
        <v>45473</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3967-2023</t>
        </is>
      </c>
      <c r="B597" s="1" t="n">
        <v>44952</v>
      </c>
      <c r="C597" s="1" t="n">
        <v>45473</v>
      </c>
      <c r="D597" t="inlineStr">
        <is>
          <t>ÖREBRO LÄN</t>
        </is>
      </c>
      <c r="E597" t="inlineStr">
        <is>
          <t>ÖREBRO</t>
        </is>
      </c>
      <c r="G597" t="n">
        <v>5.2</v>
      </c>
      <c r="H597" t="n">
        <v>0</v>
      </c>
      <c r="I597" t="n">
        <v>0</v>
      </c>
      <c r="J597" t="n">
        <v>0</v>
      </c>
      <c r="K597" t="n">
        <v>0</v>
      </c>
      <c r="L597" t="n">
        <v>0</v>
      </c>
      <c r="M597" t="n">
        <v>0</v>
      </c>
      <c r="N597" t="n">
        <v>0</v>
      </c>
      <c r="O597" t="n">
        <v>0</v>
      </c>
      <c r="P597" t="n">
        <v>0</v>
      </c>
      <c r="Q597" t="n">
        <v>0</v>
      </c>
      <c r="R597" s="2" t="inlineStr"/>
    </row>
    <row r="598" ht="15" customHeight="1">
      <c r="A598" t="inlineStr">
        <is>
          <t>A 3964-2023</t>
        </is>
      </c>
      <c r="B598" s="1" t="n">
        <v>44952</v>
      </c>
      <c r="C598" s="1" t="n">
        <v>45473</v>
      </c>
      <c r="D598" t="inlineStr">
        <is>
          <t>ÖREBRO LÄN</t>
        </is>
      </c>
      <c r="E598" t="inlineStr">
        <is>
          <t>ÖREBRO</t>
        </is>
      </c>
      <c r="G598" t="n">
        <v>9.9</v>
      </c>
      <c r="H598" t="n">
        <v>0</v>
      </c>
      <c r="I598" t="n">
        <v>0</v>
      </c>
      <c r="J598" t="n">
        <v>0</v>
      </c>
      <c r="K598" t="n">
        <v>0</v>
      </c>
      <c r="L598" t="n">
        <v>0</v>
      </c>
      <c r="M598" t="n">
        <v>0</v>
      </c>
      <c r="N598" t="n">
        <v>0</v>
      </c>
      <c r="O598" t="n">
        <v>0</v>
      </c>
      <c r="P598" t="n">
        <v>0</v>
      </c>
      <c r="Q598" t="n">
        <v>0</v>
      </c>
      <c r="R598" s="2" t="inlineStr"/>
    </row>
    <row r="599" ht="15" customHeight="1">
      <c r="A599" t="inlineStr">
        <is>
          <t>A 3968-2023</t>
        </is>
      </c>
      <c r="B599" s="1" t="n">
        <v>44952</v>
      </c>
      <c r="C599" s="1" t="n">
        <v>45473</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3958-2023</t>
        </is>
      </c>
      <c r="B600" s="1" t="n">
        <v>44952</v>
      </c>
      <c r="C600" s="1" t="n">
        <v>45473</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5120-2023</t>
        </is>
      </c>
      <c r="B601" s="1" t="n">
        <v>44953</v>
      </c>
      <c r="C601" s="1" t="n">
        <v>45473</v>
      </c>
      <c r="D601" t="inlineStr">
        <is>
          <t>ÖREBRO LÄN</t>
        </is>
      </c>
      <c r="E601" t="inlineStr">
        <is>
          <t>ÖREBRO</t>
        </is>
      </c>
      <c r="G601" t="n">
        <v>1.7</v>
      </c>
      <c r="H601" t="n">
        <v>0</v>
      </c>
      <c r="I601" t="n">
        <v>0</v>
      </c>
      <c r="J601" t="n">
        <v>0</v>
      </c>
      <c r="K601" t="n">
        <v>0</v>
      </c>
      <c r="L601" t="n">
        <v>0</v>
      </c>
      <c r="M601" t="n">
        <v>0</v>
      </c>
      <c r="N601" t="n">
        <v>0</v>
      </c>
      <c r="O601" t="n">
        <v>0</v>
      </c>
      <c r="P601" t="n">
        <v>0</v>
      </c>
      <c r="Q601" t="n">
        <v>0</v>
      </c>
      <c r="R601" s="2" t="inlineStr"/>
    </row>
    <row r="602" ht="15" customHeight="1">
      <c r="A602" t="inlineStr">
        <is>
          <t>A 4557-2023</t>
        </is>
      </c>
      <c r="B602" s="1" t="n">
        <v>44956</v>
      </c>
      <c r="C602" s="1" t="n">
        <v>45473</v>
      </c>
      <c r="D602" t="inlineStr">
        <is>
          <t>ÖREBRO LÄN</t>
        </is>
      </c>
      <c r="E602" t="inlineStr">
        <is>
          <t>ÖREBRO</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4416-2023</t>
        </is>
      </c>
      <c r="B603" s="1" t="n">
        <v>44956</v>
      </c>
      <c r="C603" s="1" t="n">
        <v>45473</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5619-2023</t>
        </is>
      </c>
      <c r="B604" s="1" t="n">
        <v>44958</v>
      </c>
      <c r="C604" s="1" t="n">
        <v>45473</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5847-2023</t>
        </is>
      </c>
      <c r="B605" s="1" t="n">
        <v>44963</v>
      </c>
      <c r="C605" s="1" t="n">
        <v>45473</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5883-2023</t>
        </is>
      </c>
      <c r="B606" s="1" t="n">
        <v>44963</v>
      </c>
      <c r="C606" s="1" t="n">
        <v>45473</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6513-2023</t>
        </is>
      </c>
      <c r="B607" s="1" t="n">
        <v>44966</v>
      </c>
      <c r="C607" s="1" t="n">
        <v>45473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6522-2023</t>
        </is>
      </c>
      <c r="B608" s="1" t="n">
        <v>44966</v>
      </c>
      <c r="C608" s="1" t="n">
        <v>45473</v>
      </c>
      <c r="D608" t="inlineStr">
        <is>
          <t>ÖREBRO LÄN</t>
        </is>
      </c>
      <c r="E608" t="inlineStr">
        <is>
          <t>ÖREBRO</t>
        </is>
      </c>
      <c r="G608" t="n">
        <v>4.4</v>
      </c>
      <c r="H608" t="n">
        <v>0</v>
      </c>
      <c r="I608" t="n">
        <v>0</v>
      </c>
      <c r="J608" t="n">
        <v>0</v>
      </c>
      <c r="K608" t="n">
        <v>0</v>
      </c>
      <c r="L608" t="n">
        <v>0</v>
      </c>
      <c r="M608" t="n">
        <v>0</v>
      </c>
      <c r="N608" t="n">
        <v>0</v>
      </c>
      <c r="O608" t="n">
        <v>0</v>
      </c>
      <c r="P608" t="n">
        <v>0</v>
      </c>
      <c r="Q608" t="n">
        <v>0</v>
      </c>
      <c r="R608" s="2" t="inlineStr"/>
    </row>
    <row r="609" ht="15" customHeight="1">
      <c r="A609" t="inlineStr">
        <is>
          <t>A 6528-2023</t>
        </is>
      </c>
      <c r="B609" s="1" t="n">
        <v>44966</v>
      </c>
      <c r="C609" s="1" t="n">
        <v>45473</v>
      </c>
      <c r="D609" t="inlineStr">
        <is>
          <t>ÖREBRO LÄN</t>
        </is>
      </c>
      <c r="E609" t="inlineStr">
        <is>
          <t>ÖREBRO</t>
        </is>
      </c>
      <c r="G609" t="n">
        <v>2.4</v>
      </c>
      <c r="H609" t="n">
        <v>0</v>
      </c>
      <c r="I609" t="n">
        <v>0</v>
      </c>
      <c r="J609" t="n">
        <v>0</v>
      </c>
      <c r="K609" t="n">
        <v>0</v>
      </c>
      <c r="L609" t="n">
        <v>0</v>
      </c>
      <c r="M609" t="n">
        <v>0</v>
      </c>
      <c r="N609" t="n">
        <v>0</v>
      </c>
      <c r="O609" t="n">
        <v>0</v>
      </c>
      <c r="P609" t="n">
        <v>0</v>
      </c>
      <c r="Q609" t="n">
        <v>0</v>
      </c>
      <c r="R609" s="2" t="inlineStr"/>
    </row>
    <row r="610" ht="15" customHeight="1">
      <c r="A610" t="inlineStr">
        <is>
          <t>A 8584-2023</t>
        </is>
      </c>
      <c r="B610" s="1" t="n">
        <v>44977</v>
      </c>
      <c r="C610" s="1" t="n">
        <v>45473</v>
      </c>
      <c r="D610" t="inlineStr">
        <is>
          <t>ÖREBRO LÄN</t>
        </is>
      </c>
      <c r="E610" t="inlineStr">
        <is>
          <t>ÖREBRO</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9314-2023</t>
        </is>
      </c>
      <c r="B611" s="1" t="n">
        <v>44980</v>
      </c>
      <c r="C611" s="1" t="n">
        <v>45473</v>
      </c>
      <c r="D611" t="inlineStr">
        <is>
          <t>ÖREBRO LÄN</t>
        </is>
      </c>
      <c r="E611" t="inlineStr">
        <is>
          <t>ÖREBRO</t>
        </is>
      </c>
      <c r="G611" t="n">
        <v>0.8</v>
      </c>
      <c r="H611" t="n">
        <v>0</v>
      </c>
      <c r="I611" t="n">
        <v>0</v>
      </c>
      <c r="J611" t="n">
        <v>0</v>
      </c>
      <c r="K611" t="n">
        <v>0</v>
      </c>
      <c r="L611" t="n">
        <v>0</v>
      </c>
      <c r="M611" t="n">
        <v>0</v>
      </c>
      <c r="N611" t="n">
        <v>0</v>
      </c>
      <c r="O611" t="n">
        <v>0</v>
      </c>
      <c r="P611" t="n">
        <v>0</v>
      </c>
      <c r="Q611" t="n">
        <v>0</v>
      </c>
      <c r="R611" s="2" t="inlineStr"/>
    </row>
    <row r="612" ht="15" customHeight="1">
      <c r="A612" t="inlineStr">
        <is>
          <t>A 9609-2023</t>
        </is>
      </c>
      <c r="B612" s="1" t="n">
        <v>44983</v>
      </c>
      <c r="C612" s="1" t="n">
        <v>45473</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9704-2023</t>
        </is>
      </c>
      <c r="B613" s="1" t="n">
        <v>44984</v>
      </c>
      <c r="C613" s="1" t="n">
        <v>45473</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10339-2023</t>
        </is>
      </c>
      <c r="B614" s="1" t="n">
        <v>44987</v>
      </c>
      <c r="C614" s="1" t="n">
        <v>45473</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10832-2023</t>
        </is>
      </c>
      <c r="B615" s="1" t="n">
        <v>44990</v>
      </c>
      <c r="C615" s="1" t="n">
        <v>45473</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10829-2023</t>
        </is>
      </c>
      <c r="B616" s="1" t="n">
        <v>44990</v>
      </c>
      <c r="C616" s="1" t="n">
        <v>45473</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10831-2023</t>
        </is>
      </c>
      <c r="B617" s="1" t="n">
        <v>44990</v>
      </c>
      <c r="C617" s="1" t="n">
        <v>45473</v>
      </c>
      <c r="D617" t="inlineStr">
        <is>
          <t>ÖREBRO LÄN</t>
        </is>
      </c>
      <c r="E617" t="inlineStr">
        <is>
          <t>ÖREBRO</t>
        </is>
      </c>
      <c r="G617" t="n">
        <v>1.9</v>
      </c>
      <c r="H617" t="n">
        <v>0</v>
      </c>
      <c r="I617" t="n">
        <v>0</v>
      </c>
      <c r="J617" t="n">
        <v>0</v>
      </c>
      <c r="K617" t="n">
        <v>0</v>
      </c>
      <c r="L617" t="n">
        <v>0</v>
      </c>
      <c r="M617" t="n">
        <v>0</v>
      </c>
      <c r="N617" t="n">
        <v>0</v>
      </c>
      <c r="O617" t="n">
        <v>0</v>
      </c>
      <c r="P617" t="n">
        <v>0</v>
      </c>
      <c r="Q617" t="n">
        <v>0</v>
      </c>
      <c r="R617" s="2" t="inlineStr"/>
    </row>
    <row r="618" ht="15" customHeight="1">
      <c r="A618" t="inlineStr">
        <is>
          <t>A 10830-2023</t>
        </is>
      </c>
      <c r="B618" s="1" t="n">
        <v>44990</v>
      </c>
      <c r="C618" s="1" t="n">
        <v>45473</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11118-2023</t>
        </is>
      </c>
      <c r="B619" s="1" t="n">
        <v>44992</v>
      </c>
      <c r="C619" s="1" t="n">
        <v>45473</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11473-2023</t>
        </is>
      </c>
      <c r="B620" s="1" t="n">
        <v>44993</v>
      </c>
      <c r="C620" s="1" t="n">
        <v>45473</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11382-2023</t>
        </is>
      </c>
      <c r="B621" s="1" t="n">
        <v>44993</v>
      </c>
      <c r="C621" s="1" t="n">
        <v>45473</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11391-2023</t>
        </is>
      </c>
      <c r="B622" s="1" t="n">
        <v>44993</v>
      </c>
      <c r="C622" s="1" t="n">
        <v>45473</v>
      </c>
      <c r="D622" t="inlineStr">
        <is>
          <t>ÖREBRO LÄN</t>
        </is>
      </c>
      <c r="E622" t="inlineStr">
        <is>
          <t>ÖREBRO</t>
        </is>
      </c>
      <c r="G622" t="n">
        <v>0.6</v>
      </c>
      <c r="H622" t="n">
        <v>0</v>
      </c>
      <c r="I622" t="n">
        <v>0</v>
      </c>
      <c r="J622" t="n">
        <v>0</v>
      </c>
      <c r="K622" t="n">
        <v>0</v>
      </c>
      <c r="L622" t="n">
        <v>0</v>
      </c>
      <c r="M622" t="n">
        <v>0</v>
      </c>
      <c r="N622" t="n">
        <v>0</v>
      </c>
      <c r="O622" t="n">
        <v>0</v>
      </c>
      <c r="P622" t="n">
        <v>0</v>
      </c>
      <c r="Q622" t="n">
        <v>0</v>
      </c>
      <c r="R622" s="2" t="inlineStr"/>
    </row>
    <row r="623" ht="15" customHeight="1">
      <c r="A623" t="inlineStr">
        <is>
          <t>A 11565-2023</t>
        </is>
      </c>
      <c r="B623" s="1" t="n">
        <v>44994</v>
      </c>
      <c r="C623" s="1" t="n">
        <v>45473</v>
      </c>
      <c r="D623" t="inlineStr">
        <is>
          <t>ÖREBRO LÄN</t>
        </is>
      </c>
      <c r="E623" t="inlineStr">
        <is>
          <t>ÖREBRO</t>
        </is>
      </c>
      <c r="G623" t="n">
        <v>4.7</v>
      </c>
      <c r="H623" t="n">
        <v>0</v>
      </c>
      <c r="I623" t="n">
        <v>0</v>
      </c>
      <c r="J623" t="n">
        <v>0</v>
      </c>
      <c r="K623" t="n">
        <v>0</v>
      </c>
      <c r="L623" t="n">
        <v>0</v>
      </c>
      <c r="M623" t="n">
        <v>0</v>
      </c>
      <c r="N623" t="n">
        <v>0</v>
      </c>
      <c r="O623" t="n">
        <v>0</v>
      </c>
      <c r="P623" t="n">
        <v>0</v>
      </c>
      <c r="Q623" t="n">
        <v>0</v>
      </c>
      <c r="R623" s="2" t="inlineStr"/>
    </row>
    <row r="624" ht="15" customHeight="1">
      <c r="A624" t="inlineStr">
        <is>
          <t>A 12099-2023</t>
        </is>
      </c>
      <c r="B624" s="1" t="n">
        <v>44998</v>
      </c>
      <c r="C624" s="1" t="n">
        <v>45473</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12102-2023</t>
        </is>
      </c>
      <c r="B625" s="1" t="n">
        <v>44998</v>
      </c>
      <c r="C625" s="1" t="n">
        <v>45473</v>
      </c>
      <c r="D625" t="inlineStr">
        <is>
          <t>ÖREBRO LÄN</t>
        </is>
      </c>
      <c r="E625" t="inlineStr">
        <is>
          <t>ÖREBRO</t>
        </is>
      </c>
      <c r="G625" t="n">
        <v>3.5</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v>
      </c>
      <c r="C626" s="1" t="n">
        <v>45473</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12638-2023</t>
        </is>
      </c>
      <c r="B627" s="1" t="n">
        <v>45000</v>
      </c>
      <c r="C627" s="1" t="n">
        <v>45473</v>
      </c>
      <c r="D627" t="inlineStr">
        <is>
          <t>ÖREBRO LÄN</t>
        </is>
      </c>
      <c r="E627" t="inlineStr">
        <is>
          <t>ÖREBRO</t>
        </is>
      </c>
      <c r="F627" t="inlineStr">
        <is>
          <t>Övriga Aktiebolag</t>
        </is>
      </c>
      <c r="G627" t="n">
        <v>6.3</v>
      </c>
      <c r="H627" t="n">
        <v>0</v>
      </c>
      <c r="I627" t="n">
        <v>0</v>
      </c>
      <c r="J627" t="n">
        <v>0</v>
      </c>
      <c r="K627" t="n">
        <v>0</v>
      </c>
      <c r="L627" t="n">
        <v>0</v>
      </c>
      <c r="M627" t="n">
        <v>0</v>
      </c>
      <c r="N627" t="n">
        <v>0</v>
      </c>
      <c r="O627" t="n">
        <v>0</v>
      </c>
      <c r="P627" t="n">
        <v>0</v>
      </c>
      <c r="Q627" t="n">
        <v>0</v>
      </c>
      <c r="R627" s="2" t="inlineStr"/>
    </row>
    <row r="628" ht="15" customHeight="1">
      <c r="A628" t="inlineStr">
        <is>
          <t>A 12682-2023</t>
        </is>
      </c>
      <c r="B628" s="1" t="n">
        <v>45000</v>
      </c>
      <c r="C628" s="1" t="n">
        <v>45473</v>
      </c>
      <c r="D628" t="inlineStr">
        <is>
          <t>ÖREBRO LÄN</t>
        </is>
      </c>
      <c r="E628" t="inlineStr">
        <is>
          <t>ÖREBRO</t>
        </is>
      </c>
      <c r="F628" t="inlineStr">
        <is>
          <t>Övriga Aktiebolag</t>
        </is>
      </c>
      <c r="G628" t="n">
        <v>4.4</v>
      </c>
      <c r="H628" t="n">
        <v>0</v>
      </c>
      <c r="I628" t="n">
        <v>0</v>
      </c>
      <c r="J628" t="n">
        <v>0</v>
      </c>
      <c r="K628" t="n">
        <v>0</v>
      </c>
      <c r="L628" t="n">
        <v>0</v>
      </c>
      <c r="M628" t="n">
        <v>0</v>
      </c>
      <c r="N628" t="n">
        <v>0</v>
      </c>
      <c r="O628" t="n">
        <v>0</v>
      </c>
      <c r="P628" t="n">
        <v>0</v>
      </c>
      <c r="Q628" t="n">
        <v>0</v>
      </c>
      <c r="R628" s="2" t="inlineStr"/>
    </row>
    <row r="629" ht="15" customHeight="1">
      <c r="A629" t="inlineStr">
        <is>
          <t>A 13181-2023</t>
        </is>
      </c>
      <c r="B629" s="1" t="n">
        <v>45002</v>
      </c>
      <c r="C629" s="1" t="n">
        <v>45473</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13355-2023</t>
        </is>
      </c>
      <c r="B630" s="1" t="n">
        <v>45004</v>
      </c>
      <c r="C630" s="1" t="n">
        <v>45473</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13347-2023</t>
        </is>
      </c>
      <c r="B631" s="1" t="n">
        <v>45004</v>
      </c>
      <c r="C631" s="1" t="n">
        <v>45473</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13592-2023</t>
        </is>
      </c>
      <c r="B632" s="1" t="n">
        <v>45006</v>
      </c>
      <c r="C632" s="1" t="n">
        <v>45473</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13762-2023</t>
        </is>
      </c>
      <c r="B633" s="1" t="n">
        <v>45007</v>
      </c>
      <c r="C633" s="1" t="n">
        <v>45473</v>
      </c>
      <c r="D633" t="inlineStr">
        <is>
          <t>ÖREBRO LÄN</t>
        </is>
      </c>
      <c r="E633" t="inlineStr">
        <is>
          <t>ÖREBRO</t>
        </is>
      </c>
      <c r="G633" t="n">
        <v>1.3</v>
      </c>
      <c r="H633" t="n">
        <v>0</v>
      </c>
      <c r="I633" t="n">
        <v>0</v>
      </c>
      <c r="J633" t="n">
        <v>0</v>
      </c>
      <c r="K633" t="n">
        <v>0</v>
      </c>
      <c r="L633" t="n">
        <v>0</v>
      </c>
      <c r="M633" t="n">
        <v>0</v>
      </c>
      <c r="N633" t="n">
        <v>0</v>
      </c>
      <c r="O633" t="n">
        <v>0</v>
      </c>
      <c r="P633" t="n">
        <v>0</v>
      </c>
      <c r="Q633" t="n">
        <v>0</v>
      </c>
      <c r="R633" s="2" t="inlineStr"/>
    </row>
    <row r="634" ht="15" customHeight="1">
      <c r="A634" t="inlineStr">
        <is>
          <t>A 13763-2023</t>
        </is>
      </c>
      <c r="B634" s="1" t="n">
        <v>45007</v>
      </c>
      <c r="C634" s="1" t="n">
        <v>45473</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13764-2023</t>
        </is>
      </c>
      <c r="B635" s="1" t="n">
        <v>45007</v>
      </c>
      <c r="C635" s="1" t="n">
        <v>45473</v>
      </c>
      <c r="D635" t="inlineStr">
        <is>
          <t>ÖREBRO LÄN</t>
        </is>
      </c>
      <c r="E635" t="inlineStr">
        <is>
          <t>ÖREBRO</t>
        </is>
      </c>
      <c r="G635" t="n">
        <v>0.9</v>
      </c>
      <c r="H635" t="n">
        <v>0</v>
      </c>
      <c r="I635" t="n">
        <v>0</v>
      </c>
      <c r="J635" t="n">
        <v>0</v>
      </c>
      <c r="K635" t="n">
        <v>0</v>
      </c>
      <c r="L635" t="n">
        <v>0</v>
      </c>
      <c r="M635" t="n">
        <v>0</v>
      </c>
      <c r="N635" t="n">
        <v>0</v>
      </c>
      <c r="O635" t="n">
        <v>0</v>
      </c>
      <c r="P635" t="n">
        <v>0</v>
      </c>
      <c r="Q635" t="n">
        <v>0</v>
      </c>
      <c r="R635" s="2" t="inlineStr"/>
    </row>
    <row r="636" ht="15" customHeight="1">
      <c r="A636" t="inlineStr">
        <is>
          <t>A 14003-2023</t>
        </is>
      </c>
      <c r="B636" s="1" t="n">
        <v>45007</v>
      </c>
      <c r="C636" s="1" t="n">
        <v>45473</v>
      </c>
      <c r="D636" t="inlineStr">
        <is>
          <t>ÖREBRO LÄN</t>
        </is>
      </c>
      <c r="E636" t="inlineStr">
        <is>
          <t>ÖREBRO</t>
        </is>
      </c>
      <c r="G636" t="n">
        <v>3.1</v>
      </c>
      <c r="H636" t="n">
        <v>0</v>
      </c>
      <c r="I636" t="n">
        <v>0</v>
      </c>
      <c r="J636" t="n">
        <v>0</v>
      </c>
      <c r="K636" t="n">
        <v>0</v>
      </c>
      <c r="L636" t="n">
        <v>0</v>
      </c>
      <c r="M636" t="n">
        <v>0</v>
      </c>
      <c r="N636" t="n">
        <v>0</v>
      </c>
      <c r="O636" t="n">
        <v>0</v>
      </c>
      <c r="P636" t="n">
        <v>0</v>
      </c>
      <c r="Q636" t="n">
        <v>0</v>
      </c>
      <c r="R636" s="2" t="inlineStr"/>
    </row>
    <row r="637" ht="15" customHeight="1">
      <c r="A637" t="inlineStr">
        <is>
          <t>A 13912-2023</t>
        </is>
      </c>
      <c r="B637" s="1" t="n">
        <v>45008</v>
      </c>
      <c r="C637" s="1" t="n">
        <v>45473</v>
      </c>
      <c r="D637" t="inlineStr">
        <is>
          <t>ÖREBRO LÄN</t>
        </is>
      </c>
      <c r="E637" t="inlineStr">
        <is>
          <t>ÖREBRO</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14289-2023</t>
        </is>
      </c>
      <c r="B638" s="1" t="n">
        <v>45010</v>
      </c>
      <c r="C638" s="1" t="n">
        <v>45473</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14291-2023</t>
        </is>
      </c>
      <c r="B639" s="1" t="n">
        <v>45010</v>
      </c>
      <c r="C639" s="1" t="n">
        <v>45473</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14290-2023</t>
        </is>
      </c>
      <c r="B640" s="1" t="n">
        <v>45010</v>
      </c>
      <c r="C640" s="1" t="n">
        <v>45473</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14469-2023</t>
        </is>
      </c>
      <c r="B641" s="1" t="n">
        <v>45012</v>
      </c>
      <c r="C641" s="1" t="n">
        <v>45473</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14432-2023</t>
        </is>
      </c>
      <c r="B642" s="1" t="n">
        <v>45012</v>
      </c>
      <c r="C642" s="1" t="n">
        <v>45473</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14487-2023</t>
        </is>
      </c>
      <c r="B643" s="1" t="n">
        <v>45012</v>
      </c>
      <c r="C643" s="1" t="n">
        <v>45473</v>
      </c>
      <c r="D643" t="inlineStr">
        <is>
          <t>ÖREBRO LÄN</t>
        </is>
      </c>
      <c r="E643" t="inlineStr">
        <is>
          <t>ÖREBRO</t>
        </is>
      </c>
      <c r="G643" t="n">
        <v>0.5</v>
      </c>
      <c r="H643" t="n">
        <v>0</v>
      </c>
      <c r="I643" t="n">
        <v>0</v>
      </c>
      <c r="J643" t="n">
        <v>0</v>
      </c>
      <c r="K643" t="n">
        <v>0</v>
      </c>
      <c r="L643" t="n">
        <v>0</v>
      </c>
      <c r="M643" t="n">
        <v>0</v>
      </c>
      <c r="N643" t="n">
        <v>0</v>
      </c>
      <c r="O643" t="n">
        <v>0</v>
      </c>
      <c r="P643" t="n">
        <v>0</v>
      </c>
      <c r="Q643" t="n">
        <v>0</v>
      </c>
      <c r="R643" s="2" t="inlineStr"/>
    </row>
    <row r="644" ht="15" customHeight="1">
      <c r="A644" t="inlineStr">
        <is>
          <t>A 14543-2023</t>
        </is>
      </c>
      <c r="B644" s="1" t="n">
        <v>45013</v>
      </c>
      <c r="C644" s="1" t="n">
        <v>45473</v>
      </c>
      <c r="D644" t="inlineStr">
        <is>
          <t>ÖREBRO LÄN</t>
        </is>
      </c>
      <c r="E644" t="inlineStr">
        <is>
          <t>ÖREBRO</t>
        </is>
      </c>
      <c r="G644" t="n">
        <v>4.5</v>
      </c>
      <c r="H644" t="n">
        <v>0</v>
      </c>
      <c r="I644" t="n">
        <v>0</v>
      </c>
      <c r="J644" t="n">
        <v>0</v>
      </c>
      <c r="K644" t="n">
        <v>0</v>
      </c>
      <c r="L644" t="n">
        <v>0</v>
      </c>
      <c r="M644" t="n">
        <v>0</v>
      </c>
      <c r="N644" t="n">
        <v>0</v>
      </c>
      <c r="O644" t="n">
        <v>0</v>
      </c>
      <c r="P644" t="n">
        <v>0</v>
      </c>
      <c r="Q644" t="n">
        <v>0</v>
      </c>
      <c r="R644" s="2" t="inlineStr"/>
    </row>
    <row r="645" ht="15" customHeight="1">
      <c r="A645" t="inlineStr">
        <is>
          <t>A 14544-2023</t>
        </is>
      </c>
      <c r="B645" s="1" t="n">
        <v>45013</v>
      </c>
      <c r="C645" s="1" t="n">
        <v>45473</v>
      </c>
      <c r="D645" t="inlineStr">
        <is>
          <t>ÖREBRO LÄN</t>
        </is>
      </c>
      <c r="E645" t="inlineStr">
        <is>
          <t>ÖREBRO</t>
        </is>
      </c>
      <c r="G645" t="n">
        <v>0.5</v>
      </c>
      <c r="H645" t="n">
        <v>0</v>
      </c>
      <c r="I645" t="n">
        <v>0</v>
      </c>
      <c r="J645" t="n">
        <v>0</v>
      </c>
      <c r="K645" t="n">
        <v>0</v>
      </c>
      <c r="L645" t="n">
        <v>0</v>
      </c>
      <c r="M645" t="n">
        <v>0</v>
      </c>
      <c r="N645" t="n">
        <v>0</v>
      </c>
      <c r="O645" t="n">
        <v>0</v>
      </c>
      <c r="P645" t="n">
        <v>0</v>
      </c>
      <c r="Q645" t="n">
        <v>0</v>
      </c>
      <c r="R645" s="2" t="inlineStr"/>
    </row>
    <row r="646" ht="15" customHeight="1">
      <c r="A646" t="inlineStr">
        <is>
          <t>A 14571-2023</t>
        </is>
      </c>
      <c r="B646" s="1" t="n">
        <v>45013</v>
      </c>
      <c r="C646" s="1" t="n">
        <v>45473</v>
      </c>
      <c r="D646" t="inlineStr">
        <is>
          <t>ÖREBRO LÄN</t>
        </is>
      </c>
      <c r="E646" t="inlineStr">
        <is>
          <t>ÖREBRO</t>
        </is>
      </c>
      <c r="G646" t="n">
        <v>3</v>
      </c>
      <c r="H646" t="n">
        <v>0</v>
      </c>
      <c r="I646" t="n">
        <v>0</v>
      </c>
      <c r="J646" t="n">
        <v>0</v>
      </c>
      <c r="K646" t="n">
        <v>0</v>
      </c>
      <c r="L646" t="n">
        <v>0</v>
      </c>
      <c r="M646" t="n">
        <v>0</v>
      </c>
      <c r="N646" t="n">
        <v>0</v>
      </c>
      <c r="O646" t="n">
        <v>0</v>
      </c>
      <c r="P646" t="n">
        <v>0</v>
      </c>
      <c r="Q646" t="n">
        <v>0</v>
      </c>
      <c r="R646" s="2" t="inlineStr"/>
    </row>
    <row r="647" ht="15" customHeight="1">
      <c r="A647" t="inlineStr">
        <is>
          <t>A 14545-2023</t>
        </is>
      </c>
      <c r="B647" s="1" t="n">
        <v>45013</v>
      </c>
      <c r="C647" s="1" t="n">
        <v>45473</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14630-2023</t>
        </is>
      </c>
      <c r="B648" s="1" t="n">
        <v>45013</v>
      </c>
      <c r="C648" s="1" t="n">
        <v>45473</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15473-2023</t>
        </is>
      </c>
      <c r="B649" s="1" t="n">
        <v>45016</v>
      </c>
      <c r="C649" s="1" t="n">
        <v>45473</v>
      </c>
      <c r="D649" t="inlineStr">
        <is>
          <t>ÖREBRO LÄN</t>
        </is>
      </c>
      <c r="E649" t="inlineStr">
        <is>
          <t>ÖREBRO</t>
        </is>
      </c>
      <c r="G649" t="n">
        <v>3.8</v>
      </c>
      <c r="H649" t="n">
        <v>0</v>
      </c>
      <c r="I649" t="n">
        <v>0</v>
      </c>
      <c r="J649" t="n">
        <v>0</v>
      </c>
      <c r="K649" t="n">
        <v>0</v>
      </c>
      <c r="L649" t="n">
        <v>0</v>
      </c>
      <c r="M649" t="n">
        <v>0</v>
      </c>
      <c r="N649" t="n">
        <v>0</v>
      </c>
      <c r="O649" t="n">
        <v>0</v>
      </c>
      <c r="P649" t="n">
        <v>0</v>
      </c>
      <c r="Q649" t="n">
        <v>0</v>
      </c>
      <c r="R649" s="2" t="inlineStr"/>
    </row>
    <row r="650" ht="15" customHeight="1">
      <c r="A650" t="inlineStr">
        <is>
          <t>A 15679-2023</t>
        </is>
      </c>
      <c r="B650" s="1" t="n">
        <v>45021</v>
      </c>
      <c r="C650" s="1" t="n">
        <v>45473</v>
      </c>
      <c r="D650" t="inlineStr">
        <is>
          <t>ÖREBRO LÄN</t>
        </is>
      </c>
      <c r="E650" t="inlineStr">
        <is>
          <t>ÖREBRO</t>
        </is>
      </c>
      <c r="G650" t="n">
        <v>4.2</v>
      </c>
      <c r="H650" t="n">
        <v>0</v>
      </c>
      <c r="I650" t="n">
        <v>0</v>
      </c>
      <c r="J650" t="n">
        <v>0</v>
      </c>
      <c r="K650" t="n">
        <v>0</v>
      </c>
      <c r="L650" t="n">
        <v>0</v>
      </c>
      <c r="M650" t="n">
        <v>0</v>
      </c>
      <c r="N650" t="n">
        <v>0</v>
      </c>
      <c r="O650" t="n">
        <v>0</v>
      </c>
      <c r="P650" t="n">
        <v>0</v>
      </c>
      <c r="Q650" t="n">
        <v>0</v>
      </c>
      <c r="R650" s="2" t="inlineStr"/>
    </row>
    <row r="651" ht="15" customHeight="1">
      <c r="A651" t="inlineStr">
        <is>
          <t>A 15789-2023</t>
        </is>
      </c>
      <c r="B651" s="1" t="n">
        <v>45021</v>
      </c>
      <c r="C651" s="1" t="n">
        <v>45473</v>
      </c>
      <c r="D651" t="inlineStr">
        <is>
          <t>ÖREBRO LÄN</t>
        </is>
      </c>
      <c r="E651" t="inlineStr">
        <is>
          <t>ÖREBRO</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15682-2023</t>
        </is>
      </c>
      <c r="B652" s="1" t="n">
        <v>45021</v>
      </c>
      <c r="C652" s="1" t="n">
        <v>45473</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16140-2023</t>
        </is>
      </c>
      <c r="B653" s="1" t="n">
        <v>45027</v>
      </c>
      <c r="C653" s="1" t="n">
        <v>45473</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16165-2023</t>
        </is>
      </c>
      <c r="B654" s="1" t="n">
        <v>45027</v>
      </c>
      <c r="C654" s="1" t="n">
        <v>45473</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16908-2023</t>
        </is>
      </c>
      <c r="B655" s="1" t="n">
        <v>45028</v>
      </c>
      <c r="C655" s="1" t="n">
        <v>45473</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16498-2023</t>
        </is>
      </c>
      <c r="B656" s="1" t="n">
        <v>45029</v>
      </c>
      <c r="C656" s="1" t="n">
        <v>45473</v>
      </c>
      <c r="D656" t="inlineStr">
        <is>
          <t>ÖREBRO LÄN</t>
        </is>
      </c>
      <c r="E656" t="inlineStr">
        <is>
          <t>ÖREBRO</t>
        </is>
      </c>
      <c r="G656" t="n">
        <v>9.1</v>
      </c>
      <c r="H656" t="n">
        <v>0</v>
      </c>
      <c r="I656" t="n">
        <v>0</v>
      </c>
      <c r="J656" t="n">
        <v>0</v>
      </c>
      <c r="K656" t="n">
        <v>0</v>
      </c>
      <c r="L656" t="n">
        <v>0</v>
      </c>
      <c r="M656" t="n">
        <v>0</v>
      </c>
      <c r="N656" t="n">
        <v>0</v>
      </c>
      <c r="O656" t="n">
        <v>0</v>
      </c>
      <c r="P656" t="n">
        <v>0</v>
      </c>
      <c r="Q656" t="n">
        <v>0</v>
      </c>
      <c r="R656" s="2" t="inlineStr"/>
    </row>
    <row r="657" ht="15" customHeight="1">
      <c r="A657" t="inlineStr">
        <is>
          <t>A 16739-2023</t>
        </is>
      </c>
      <c r="B657" s="1" t="n">
        <v>45030</v>
      </c>
      <c r="C657" s="1" t="n">
        <v>45473</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16737-2023</t>
        </is>
      </c>
      <c r="B658" s="1" t="n">
        <v>45030</v>
      </c>
      <c r="C658" s="1" t="n">
        <v>45473</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16736-2023</t>
        </is>
      </c>
      <c r="B659" s="1" t="n">
        <v>45030</v>
      </c>
      <c r="C659" s="1" t="n">
        <v>45473</v>
      </c>
      <c r="D659" t="inlineStr">
        <is>
          <t>ÖREBRO LÄN</t>
        </is>
      </c>
      <c r="E659" t="inlineStr">
        <is>
          <t>ÖREBRO</t>
        </is>
      </c>
      <c r="G659" t="n">
        <v>4</v>
      </c>
      <c r="H659" t="n">
        <v>0</v>
      </c>
      <c r="I659" t="n">
        <v>0</v>
      </c>
      <c r="J659" t="n">
        <v>0</v>
      </c>
      <c r="K659" t="n">
        <v>0</v>
      </c>
      <c r="L659" t="n">
        <v>0</v>
      </c>
      <c r="M659" t="n">
        <v>0</v>
      </c>
      <c r="N659" t="n">
        <v>0</v>
      </c>
      <c r="O659" t="n">
        <v>0</v>
      </c>
      <c r="P659" t="n">
        <v>0</v>
      </c>
      <c r="Q659" t="n">
        <v>0</v>
      </c>
      <c r="R659" s="2" t="inlineStr"/>
    </row>
    <row r="660" ht="15" customHeight="1">
      <c r="A660" t="inlineStr">
        <is>
          <t>A 16742-2023</t>
        </is>
      </c>
      <c r="B660" s="1" t="n">
        <v>45030</v>
      </c>
      <c r="C660" s="1" t="n">
        <v>45473</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16936-2023</t>
        </is>
      </c>
      <c r="B661" s="1" t="n">
        <v>45033</v>
      </c>
      <c r="C661" s="1" t="n">
        <v>45473</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17465-2023</t>
        </is>
      </c>
      <c r="B662" s="1" t="n">
        <v>45036</v>
      </c>
      <c r="C662" s="1" t="n">
        <v>45473</v>
      </c>
      <c r="D662" t="inlineStr">
        <is>
          <t>ÖREBRO LÄN</t>
        </is>
      </c>
      <c r="E662" t="inlineStr">
        <is>
          <t>ÖREBRO</t>
        </is>
      </c>
      <c r="G662" t="n">
        <v>0.8</v>
      </c>
      <c r="H662" t="n">
        <v>0</v>
      </c>
      <c r="I662" t="n">
        <v>0</v>
      </c>
      <c r="J662" t="n">
        <v>0</v>
      </c>
      <c r="K662" t="n">
        <v>0</v>
      </c>
      <c r="L662" t="n">
        <v>0</v>
      </c>
      <c r="M662" t="n">
        <v>0</v>
      </c>
      <c r="N662" t="n">
        <v>0</v>
      </c>
      <c r="O662" t="n">
        <v>0</v>
      </c>
      <c r="P662" t="n">
        <v>0</v>
      </c>
      <c r="Q662" t="n">
        <v>0</v>
      </c>
      <c r="R662" s="2" t="inlineStr"/>
    </row>
    <row r="663" ht="15" customHeight="1">
      <c r="A663" t="inlineStr">
        <is>
          <t>A 17476-2023</t>
        </is>
      </c>
      <c r="B663" s="1" t="n">
        <v>45036</v>
      </c>
      <c r="C663" s="1" t="n">
        <v>45473</v>
      </c>
      <c r="D663" t="inlineStr">
        <is>
          <t>ÖREBRO LÄN</t>
        </is>
      </c>
      <c r="E663" t="inlineStr">
        <is>
          <t>ÖREBRO</t>
        </is>
      </c>
      <c r="G663" t="n">
        <v>2.5</v>
      </c>
      <c r="H663" t="n">
        <v>0</v>
      </c>
      <c r="I663" t="n">
        <v>0</v>
      </c>
      <c r="J663" t="n">
        <v>0</v>
      </c>
      <c r="K663" t="n">
        <v>0</v>
      </c>
      <c r="L663" t="n">
        <v>0</v>
      </c>
      <c r="M663" t="n">
        <v>0</v>
      </c>
      <c r="N663" t="n">
        <v>0</v>
      </c>
      <c r="O663" t="n">
        <v>0</v>
      </c>
      <c r="P663" t="n">
        <v>0</v>
      </c>
      <c r="Q663" t="n">
        <v>0</v>
      </c>
      <c r="R663" s="2" t="inlineStr"/>
    </row>
    <row r="664" ht="15" customHeight="1">
      <c r="A664" t="inlineStr">
        <is>
          <t>A 18047-2023</t>
        </is>
      </c>
      <c r="B664" s="1" t="n">
        <v>45040</v>
      </c>
      <c r="C664" s="1" t="n">
        <v>45473</v>
      </c>
      <c r="D664" t="inlineStr">
        <is>
          <t>ÖREBRO LÄN</t>
        </is>
      </c>
      <c r="E664" t="inlineStr">
        <is>
          <t>ÖREBRO</t>
        </is>
      </c>
      <c r="G664" t="n">
        <v>3.9</v>
      </c>
      <c r="H664" t="n">
        <v>0</v>
      </c>
      <c r="I664" t="n">
        <v>0</v>
      </c>
      <c r="J664" t="n">
        <v>0</v>
      </c>
      <c r="K664" t="n">
        <v>0</v>
      </c>
      <c r="L664" t="n">
        <v>0</v>
      </c>
      <c r="M664" t="n">
        <v>0</v>
      </c>
      <c r="N664" t="n">
        <v>0</v>
      </c>
      <c r="O664" t="n">
        <v>0</v>
      </c>
      <c r="P664" t="n">
        <v>0</v>
      </c>
      <c r="Q664" t="n">
        <v>0</v>
      </c>
      <c r="R664" s="2" t="inlineStr"/>
    </row>
    <row r="665" ht="15" customHeight="1">
      <c r="A665" t="inlineStr">
        <is>
          <t>A 18449-2023</t>
        </is>
      </c>
      <c r="B665" s="1" t="n">
        <v>45042</v>
      </c>
      <c r="C665" s="1" t="n">
        <v>45473</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18480-2023</t>
        </is>
      </c>
      <c r="B666" s="1" t="n">
        <v>45042</v>
      </c>
      <c r="C666" s="1" t="n">
        <v>45473</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18396-2023</t>
        </is>
      </c>
      <c r="B667" s="1" t="n">
        <v>45042</v>
      </c>
      <c r="C667" s="1" t="n">
        <v>45473</v>
      </c>
      <c r="D667" t="inlineStr">
        <is>
          <t>ÖREBRO LÄN</t>
        </is>
      </c>
      <c r="E667" t="inlineStr">
        <is>
          <t>ÖREBRO</t>
        </is>
      </c>
      <c r="G667" t="n">
        <v>26.8</v>
      </c>
      <c r="H667" t="n">
        <v>0</v>
      </c>
      <c r="I667" t="n">
        <v>0</v>
      </c>
      <c r="J667" t="n">
        <v>0</v>
      </c>
      <c r="K667" t="n">
        <v>0</v>
      </c>
      <c r="L667" t="n">
        <v>0</v>
      </c>
      <c r="M667" t="n">
        <v>0</v>
      </c>
      <c r="N667" t="n">
        <v>0</v>
      </c>
      <c r="O667" t="n">
        <v>0</v>
      </c>
      <c r="P667" t="n">
        <v>0</v>
      </c>
      <c r="Q667" t="n">
        <v>0</v>
      </c>
      <c r="R667" s="2" t="inlineStr"/>
    </row>
    <row r="668" ht="15" customHeight="1">
      <c r="A668" t="inlineStr">
        <is>
          <t>A 18450-2023</t>
        </is>
      </c>
      <c r="B668" s="1" t="n">
        <v>45042</v>
      </c>
      <c r="C668" s="1" t="n">
        <v>45473</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18716-2023</t>
        </is>
      </c>
      <c r="B669" s="1" t="n">
        <v>45043</v>
      </c>
      <c r="C669" s="1" t="n">
        <v>45473</v>
      </c>
      <c r="D669" t="inlineStr">
        <is>
          <t>ÖREBRO LÄN</t>
        </is>
      </c>
      <c r="E669" t="inlineStr">
        <is>
          <t>ÖREBRO</t>
        </is>
      </c>
      <c r="G669" t="n">
        <v>0.7</v>
      </c>
      <c r="H669" t="n">
        <v>0</v>
      </c>
      <c r="I669" t="n">
        <v>0</v>
      </c>
      <c r="J669" t="n">
        <v>0</v>
      </c>
      <c r="K669" t="n">
        <v>0</v>
      </c>
      <c r="L669" t="n">
        <v>0</v>
      </c>
      <c r="M669" t="n">
        <v>0</v>
      </c>
      <c r="N669" t="n">
        <v>0</v>
      </c>
      <c r="O669" t="n">
        <v>0</v>
      </c>
      <c r="P669" t="n">
        <v>0</v>
      </c>
      <c r="Q669" t="n">
        <v>0</v>
      </c>
      <c r="R669" s="2" t="inlineStr"/>
    </row>
    <row r="670" ht="15" customHeight="1">
      <c r="A670" t="inlineStr">
        <is>
          <t>A 18747-2023</t>
        </is>
      </c>
      <c r="B670" s="1" t="n">
        <v>45043</v>
      </c>
      <c r="C670" s="1" t="n">
        <v>45473</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19553-2023</t>
        </is>
      </c>
      <c r="B671" s="1" t="n">
        <v>45050</v>
      </c>
      <c r="C671" s="1" t="n">
        <v>45473</v>
      </c>
      <c r="D671" t="inlineStr">
        <is>
          <t>ÖREBRO LÄN</t>
        </is>
      </c>
      <c r="E671" t="inlineStr">
        <is>
          <t>ÖREBRO</t>
        </is>
      </c>
      <c r="G671" t="n">
        <v>2.1</v>
      </c>
      <c r="H671" t="n">
        <v>0</v>
      </c>
      <c r="I671" t="n">
        <v>0</v>
      </c>
      <c r="J671" t="n">
        <v>0</v>
      </c>
      <c r="K671" t="n">
        <v>0</v>
      </c>
      <c r="L671" t="n">
        <v>0</v>
      </c>
      <c r="M671" t="n">
        <v>0</v>
      </c>
      <c r="N671" t="n">
        <v>0</v>
      </c>
      <c r="O671" t="n">
        <v>0</v>
      </c>
      <c r="P671" t="n">
        <v>0</v>
      </c>
      <c r="Q671" t="n">
        <v>0</v>
      </c>
      <c r="R671" s="2" t="inlineStr"/>
    </row>
    <row r="672" ht="15" customHeight="1">
      <c r="A672" t="inlineStr">
        <is>
          <t>A 20032-2023</t>
        </is>
      </c>
      <c r="B672" s="1" t="n">
        <v>45054</v>
      </c>
      <c r="C672" s="1" t="n">
        <v>45473</v>
      </c>
      <c r="D672" t="inlineStr">
        <is>
          <t>ÖREBRO LÄN</t>
        </is>
      </c>
      <c r="E672" t="inlineStr">
        <is>
          <t>ÖREBRO</t>
        </is>
      </c>
      <c r="G672" t="n">
        <v>2.6</v>
      </c>
      <c r="H672" t="n">
        <v>0</v>
      </c>
      <c r="I672" t="n">
        <v>0</v>
      </c>
      <c r="J672" t="n">
        <v>0</v>
      </c>
      <c r="K672" t="n">
        <v>0</v>
      </c>
      <c r="L672" t="n">
        <v>0</v>
      </c>
      <c r="M672" t="n">
        <v>0</v>
      </c>
      <c r="N672" t="n">
        <v>0</v>
      </c>
      <c r="O672" t="n">
        <v>0</v>
      </c>
      <c r="P672" t="n">
        <v>0</v>
      </c>
      <c r="Q672" t="n">
        <v>0</v>
      </c>
      <c r="R672" s="2" t="inlineStr"/>
    </row>
    <row r="673" ht="15" customHeight="1">
      <c r="A673" t="inlineStr">
        <is>
          <t>A 20245-2023</t>
        </is>
      </c>
      <c r="B673" s="1" t="n">
        <v>45055</v>
      </c>
      <c r="C673" s="1" t="n">
        <v>45473</v>
      </c>
      <c r="D673" t="inlineStr">
        <is>
          <t>ÖREBRO LÄN</t>
        </is>
      </c>
      <c r="E673" t="inlineStr">
        <is>
          <t>ÖREBRO</t>
        </is>
      </c>
      <c r="F673" t="inlineStr">
        <is>
          <t>Övriga Aktiebolag</t>
        </is>
      </c>
      <c r="G673" t="n">
        <v>11.7</v>
      </c>
      <c r="H673" t="n">
        <v>0</v>
      </c>
      <c r="I673" t="n">
        <v>0</v>
      </c>
      <c r="J673" t="n">
        <v>0</v>
      </c>
      <c r="K673" t="n">
        <v>0</v>
      </c>
      <c r="L673" t="n">
        <v>0</v>
      </c>
      <c r="M673" t="n">
        <v>0</v>
      </c>
      <c r="N673" t="n">
        <v>0</v>
      </c>
      <c r="O673" t="n">
        <v>0</v>
      </c>
      <c r="P673" t="n">
        <v>0</v>
      </c>
      <c r="Q673" t="n">
        <v>0</v>
      </c>
      <c r="R673" s="2" t="inlineStr"/>
    </row>
    <row r="674" ht="15" customHeight="1">
      <c r="A674" t="inlineStr">
        <is>
          <t>A 20249-2023</t>
        </is>
      </c>
      <c r="B674" s="1" t="n">
        <v>45055</v>
      </c>
      <c r="C674" s="1" t="n">
        <v>45473</v>
      </c>
      <c r="D674" t="inlineStr">
        <is>
          <t>ÖREBRO LÄN</t>
        </is>
      </c>
      <c r="E674" t="inlineStr">
        <is>
          <t>ÖREBRO</t>
        </is>
      </c>
      <c r="F674" t="inlineStr">
        <is>
          <t>Övriga Aktiebolag</t>
        </is>
      </c>
      <c r="G674" t="n">
        <v>6.7</v>
      </c>
      <c r="H674" t="n">
        <v>0</v>
      </c>
      <c r="I674" t="n">
        <v>0</v>
      </c>
      <c r="J674" t="n">
        <v>0</v>
      </c>
      <c r="K674" t="n">
        <v>0</v>
      </c>
      <c r="L674" t="n">
        <v>0</v>
      </c>
      <c r="M674" t="n">
        <v>0</v>
      </c>
      <c r="N674" t="n">
        <v>0</v>
      </c>
      <c r="O674" t="n">
        <v>0</v>
      </c>
      <c r="P674" t="n">
        <v>0</v>
      </c>
      <c r="Q674" t="n">
        <v>0</v>
      </c>
      <c r="R674" s="2" t="inlineStr"/>
    </row>
    <row r="675" ht="15" customHeight="1">
      <c r="A675" t="inlineStr">
        <is>
          <t>A 20289-2023</t>
        </is>
      </c>
      <c r="B675" s="1" t="n">
        <v>45056</v>
      </c>
      <c r="C675" s="1" t="n">
        <v>45473</v>
      </c>
      <c r="D675" t="inlineStr">
        <is>
          <t>ÖREBRO LÄN</t>
        </is>
      </c>
      <c r="E675" t="inlineStr">
        <is>
          <t>ÖREBRO</t>
        </is>
      </c>
      <c r="F675" t="inlineStr">
        <is>
          <t>Allmännings- och besparingsskogar</t>
        </is>
      </c>
      <c r="G675" t="n">
        <v>3</v>
      </c>
      <c r="H675" t="n">
        <v>0</v>
      </c>
      <c r="I675" t="n">
        <v>0</v>
      </c>
      <c r="J675" t="n">
        <v>0</v>
      </c>
      <c r="K675" t="n">
        <v>0</v>
      </c>
      <c r="L675" t="n">
        <v>0</v>
      </c>
      <c r="M675" t="n">
        <v>0</v>
      </c>
      <c r="N675" t="n">
        <v>0</v>
      </c>
      <c r="O675" t="n">
        <v>0</v>
      </c>
      <c r="P675" t="n">
        <v>0</v>
      </c>
      <c r="Q675" t="n">
        <v>0</v>
      </c>
      <c r="R675" s="2" t="inlineStr"/>
    </row>
    <row r="676" ht="15" customHeight="1">
      <c r="A676" t="inlineStr">
        <is>
          <t>A 21602-2023</t>
        </is>
      </c>
      <c r="B676" s="1" t="n">
        <v>45063</v>
      </c>
      <c r="C676" s="1" t="n">
        <v>45473</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22079-2023</t>
        </is>
      </c>
      <c r="B677" s="1" t="n">
        <v>45069</v>
      </c>
      <c r="C677" s="1" t="n">
        <v>45473</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22047-2023</t>
        </is>
      </c>
      <c r="B678" s="1" t="n">
        <v>45069</v>
      </c>
      <c r="C678" s="1" t="n">
        <v>45473</v>
      </c>
      <c r="D678" t="inlineStr">
        <is>
          <t>ÖREBRO LÄN</t>
        </is>
      </c>
      <c r="E678" t="inlineStr">
        <is>
          <t>ÖREBRO</t>
        </is>
      </c>
      <c r="G678" t="n">
        <v>3.8</v>
      </c>
      <c r="H678" t="n">
        <v>0</v>
      </c>
      <c r="I678" t="n">
        <v>0</v>
      </c>
      <c r="J678" t="n">
        <v>0</v>
      </c>
      <c r="K678" t="n">
        <v>0</v>
      </c>
      <c r="L678" t="n">
        <v>0</v>
      </c>
      <c r="M678" t="n">
        <v>0</v>
      </c>
      <c r="N678" t="n">
        <v>0</v>
      </c>
      <c r="O678" t="n">
        <v>0</v>
      </c>
      <c r="P678" t="n">
        <v>0</v>
      </c>
      <c r="Q678" t="n">
        <v>0</v>
      </c>
      <c r="R678" s="2" t="inlineStr"/>
    </row>
    <row r="679" ht="15" customHeight="1">
      <c r="A679" t="inlineStr">
        <is>
          <t>A 22298-2023</t>
        </is>
      </c>
      <c r="B679" s="1" t="n">
        <v>45070</v>
      </c>
      <c r="C679" s="1" t="n">
        <v>45473</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22451-2023</t>
        </is>
      </c>
      <c r="B680" s="1" t="n">
        <v>45070</v>
      </c>
      <c r="C680" s="1" t="n">
        <v>45473</v>
      </c>
      <c r="D680" t="inlineStr">
        <is>
          <t>ÖREBRO LÄN</t>
        </is>
      </c>
      <c r="E680" t="inlineStr">
        <is>
          <t>ÖREBRO</t>
        </is>
      </c>
      <c r="G680" t="n">
        <v>8</v>
      </c>
      <c r="H680" t="n">
        <v>0</v>
      </c>
      <c r="I680" t="n">
        <v>0</v>
      </c>
      <c r="J680" t="n">
        <v>0</v>
      </c>
      <c r="K680" t="n">
        <v>0</v>
      </c>
      <c r="L680" t="n">
        <v>0</v>
      </c>
      <c r="M680" t="n">
        <v>0</v>
      </c>
      <c r="N680" t="n">
        <v>0</v>
      </c>
      <c r="O680" t="n">
        <v>0</v>
      </c>
      <c r="P680" t="n">
        <v>0</v>
      </c>
      <c r="Q680" t="n">
        <v>0</v>
      </c>
      <c r="R680" s="2" t="inlineStr"/>
    </row>
    <row r="681" ht="15" customHeight="1">
      <c r="A681" t="inlineStr">
        <is>
          <t>A 22639-2023</t>
        </is>
      </c>
      <c r="B681" s="1" t="n">
        <v>45071</v>
      </c>
      <c r="C681" s="1" t="n">
        <v>45473</v>
      </c>
      <c r="D681" t="inlineStr">
        <is>
          <t>ÖREBRO LÄN</t>
        </is>
      </c>
      <c r="E681" t="inlineStr">
        <is>
          <t>ÖREBRO</t>
        </is>
      </c>
      <c r="G681" t="n">
        <v>3.7</v>
      </c>
      <c r="H681" t="n">
        <v>0</v>
      </c>
      <c r="I681" t="n">
        <v>0</v>
      </c>
      <c r="J681" t="n">
        <v>0</v>
      </c>
      <c r="K681" t="n">
        <v>0</v>
      </c>
      <c r="L681" t="n">
        <v>0</v>
      </c>
      <c r="M681" t="n">
        <v>0</v>
      </c>
      <c r="N681" t="n">
        <v>0</v>
      </c>
      <c r="O681" t="n">
        <v>0</v>
      </c>
      <c r="P681" t="n">
        <v>0</v>
      </c>
      <c r="Q681" t="n">
        <v>0</v>
      </c>
      <c r="R681" s="2" t="inlineStr"/>
    </row>
    <row r="682" ht="15" customHeight="1">
      <c r="A682" t="inlineStr">
        <is>
          <t>A 23179-2023</t>
        </is>
      </c>
      <c r="B682" s="1" t="n">
        <v>45075</v>
      </c>
      <c r="C682" s="1" t="n">
        <v>45473</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23573-2023</t>
        </is>
      </c>
      <c r="B683" s="1" t="n">
        <v>45077</v>
      </c>
      <c r="C683" s="1" t="n">
        <v>45473</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23594-2023</t>
        </is>
      </c>
      <c r="B684" s="1" t="n">
        <v>45077</v>
      </c>
      <c r="C684" s="1" t="n">
        <v>45473</v>
      </c>
      <c r="D684" t="inlineStr">
        <is>
          <t>ÖREBRO LÄN</t>
        </is>
      </c>
      <c r="E684" t="inlineStr">
        <is>
          <t>ÖREBRO</t>
        </is>
      </c>
      <c r="G684" t="n">
        <v>9.9</v>
      </c>
      <c r="H684" t="n">
        <v>0</v>
      </c>
      <c r="I684" t="n">
        <v>0</v>
      </c>
      <c r="J684" t="n">
        <v>0</v>
      </c>
      <c r="K684" t="n">
        <v>0</v>
      </c>
      <c r="L684" t="n">
        <v>0</v>
      </c>
      <c r="M684" t="n">
        <v>0</v>
      </c>
      <c r="N684" t="n">
        <v>0</v>
      </c>
      <c r="O684" t="n">
        <v>0</v>
      </c>
      <c r="P684" t="n">
        <v>0</v>
      </c>
      <c r="Q684" t="n">
        <v>0</v>
      </c>
      <c r="R684" s="2" t="inlineStr"/>
    </row>
    <row r="685" ht="15" customHeight="1">
      <c r="A685" t="inlineStr">
        <is>
          <t>A 23732-2023</t>
        </is>
      </c>
      <c r="B685" s="1" t="n">
        <v>45077</v>
      </c>
      <c r="C685" s="1" t="n">
        <v>45473</v>
      </c>
      <c r="D685" t="inlineStr">
        <is>
          <t>ÖREBRO LÄN</t>
        </is>
      </c>
      <c r="E685" t="inlineStr">
        <is>
          <t>ÖREBRO</t>
        </is>
      </c>
      <c r="F685" t="inlineStr">
        <is>
          <t>Övriga Aktiebolag</t>
        </is>
      </c>
      <c r="G685" t="n">
        <v>7.4</v>
      </c>
      <c r="H685" t="n">
        <v>0</v>
      </c>
      <c r="I685" t="n">
        <v>0</v>
      </c>
      <c r="J685" t="n">
        <v>0</v>
      </c>
      <c r="K685" t="n">
        <v>0</v>
      </c>
      <c r="L685" t="n">
        <v>0</v>
      </c>
      <c r="M685" t="n">
        <v>0</v>
      </c>
      <c r="N685" t="n">
        <v>0</v>
      </c>
      <c r="O685" t="n">
        <v>0</v>
      </c>
      <c r="P685" t="n">
        <v>0</v>
      </c>
      <c r="Q685" t="n">
        <v>0</v>
      </c>
      <c r="R685" s="2" t="inlineStr"/>
    </row>
    <row r="686" ht="15" customHeight="1">
      <c r="A686" t="inlineStr">
        <is>
          <t>A 23738-2023</t>
        </is>
      </c>
      <c r="B686" s="1" t="n">
        <v>45077</v>
      </c>
      <c r="C686" s="1" t="n">
        <v>45473</v>
      </c>
      <c r="D686" t="inlineStr">
        <is>
          <t>ÖREBRO LÄN</t>
        </is>
      </c>
      <c r="E686" t="inlineStr">
        <is>
          <t>ÖREBRO</t>
        </is>
      </c>
      <c r="F686" t="inlineStr">
        <is>
          <t>Övriga Aktiebolag</t>
        </is>
      </c>
      <c r="G686" t="n">
        <v>4.7</v>
      </c>
      <c r="H686" t="n">
        <v>0</v>
      </c>
      <c r="I686" t="n">
        <v>0</v>
      </c>
      <c r="J686" t="n">
        <v>0</v>
      </c>
      <c r="K686" t="n">
        <v>0</v>
      </c>
      <c r="L686" t="n">
        <v>0</v>
      </c>
      <c r="M686" t="n">
        <v>0</v>
      </c>
      <c r="N686" t="n">
        <v>0</v>
      </c>
      <c r="O686" t="n">
        <v>0</v>
      </c>
      <c r="P686" t="n">
        <v>0</v>
      </c>
      <c r="Q686" t="n">
        <v>0</v>
      </c>
      <c r="R686" s="2" t="inlineStr"/>
    </row>
    <row r="687" ht="15" customHeight="1">
      <c r="A687" t="inlineStr">
        <is>
          <t>A 23863-2023</t>
        </is>
      </c>
      <c r="B687" s="1" t="n">
        <v>45078</v>
      </c>
      <c r="C687" s="1" t="n">
        <v>45473</v>
      </c>
      <c r="D687" t="inlineStr">
        <is>
          <t>ÖREBRO LÄN</t>
        </is>
      </c>
      <c r="E687" t="inlineStr">
        <is>
          <t>ÖREBRO</t>
        </is>
      </c>
      <c r="F687" t="inlineStr">
        <is>
          <t>Övriga Aktiebolag</t>
        </is>
      </c>
      <c r="G687" t="n">
        <v>5.9</v>
      </c>
      <c r="H687" t="n">
        <v>0</v>
      </c>
      <c r="I687" t="n">
        <v>0</v>
      </c>
      <c r="J687" t="n">
        <v>0</v>
      </c>
      <c r="K687" t="n">
        <v>0</v>
      </c>
      <c r="L687" t="n">
        <v>0</v>
      </c>
      <c r="M687" t="n">
        <v>0</v>
      </c>
      <c r="N687" t="n">
        <v>0</v>
      </c>
      <c r="O687" t="n">
        <v>0</v>
      </c>
      <c r="P687" t="n">
        <v>0</v>
      </c>
      <c r="Q687" t="n">
        <v>0</v>
      </c>
      <c r="R687" s="2" t="inlineStr"/>
    </row>
    <row r="688" ht="15" customHeight="1">
      <c r="A688" t="inlineStr">
        <is>
          <t>A 24143-2023</t>
        </is>
      </c>
      <c r="B688" s="1" t="n">
        <v>45079</v>
      </c>
      <c r="C688" s="1" t="n">
        <v>45473</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25247-2023</t>
        </is>
      </c>
      <c r="B689" s="1" t="n">
        <v>45086</v>
      </c>
      <c r="C689" s="1" t="n">
        <v>45473</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25487-2023</t>
        </is>
      </c>
      <c r="B690" s="1" t="n">
        <v>45089</v>
      </c>
      <c r="C690" s="1" t="n">
        <v>45473</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26765-2023</t>
        </is>
      </c>
      <c r="B691" s="1" t="n">
        <v>45093</v>
      </c>
      <c r="C691" s="1" t="n">
        <v>45473</v>
      </c>
      <c r="D691" t="inlineStr">
        <is>
          <t>ÖREBRO LÄN</t>
        </is>
      </c>
      <c r="E691" t="inlineStr">
        <is>
          <t>ÖREBRO</t>
        </is>
      </c>
      <c r="G691" t="n">
        <v>1</v>
      </c>
      <c r="H691" t="n">
        <v>0</v>
      </c>
      <c r="I691" t="n">
        <v>0</v>
      </c>
      <c r="J691" t="n">
        <v>0</v>
      </c>
      <c r="K691" t="n">
        <v>0</v>
      </c>
      <c r="L691" t="n">
        <v>0</v>
      </c>
      <c r="M691" t="n">
        <v>0</v>
      </c>
      <c r="N691" t="n">
        <v>0</v>
      </c>
      <c r="O691" t="n">
        <v>0</v>
      </c>
      <c r="P691" t="n">
        <v>0</v>
      </c>
      <c r="Q691" t="n">
        <v>0</v>
      </c>
      <c r="R691" s="2" t="inlineStr"/>
    </row>
    <row r="692" ht="15" customHeight="1">
      <c r="A692" t="inlineStr">
        <is>
          <t>A 27112-2023</t>
        </is>
      </c>
      <c r="B692" s="1" t="n">
        <v>45096</v>
      </c>
      <c r="C692" s="1" t="n">
        <v>45473</v>
      </c>
      <c r="D692" t="inlineStr">
        <is>
          <t>ÖREBRO LÄN</t>
        </is>
      </c>
      <c r="E692" t="inlineStr">
        <is>
          <t>ÖREBRO</t>
        </is>
      </c>
      <c r="G692" t="n">
        <v>0.7</v>
      </c>
      <c r="H692" t="n">
        <v>0</v>
      </c>
      <c r="I692" t="n">
        <v>0</v>
      </c>
      <c r="J692" t="n">
        <v>0</v>
      </c>
      <c r="K692" t="n">
        <v>0</v>
      </c>
      <c r="L692" t="n">
        <v>0</v>
      </c>
      <c r="M692" t="n">
        <v>0</v>
      </c>
      <c r="N692" t="n">
        <v>0</v>
      </c>
      <c r="O692" t="n">
        <v>0</v>
      </c>
      <c r="P692" t="n">
        <v>0</v>
      </c>
      <c r="Q692" t="n">
        <v>0</v>
      </c>
      <c r="R692" s="2" t="inlineStr"/>
    </row>
    <row r="693" ht="15" customHeight="1">
      <c r="A693" t="inlineStr">
        <is>
          <t>A 27956-2023</t>
        </is>
      </c>
      <c r="B693" s="1" t="n">
        <v>45098</v>
      </c>
      <c r="C693" s="1" t="n">
        <v>45473</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28632-2023</t>
        </is>
      </c>
      <c r="B694" s="1" t="n">
        <v>45103</v>
      </c>
      <c r="C694" s="1" t="n">
        <v>45473</v>
      </c>
      <c r="D694" t="inlineStr">
        <is>
          <t>ÖREBRO LÄN</t>
        </is>
      </c>
      <c r="E694" t="inlineStr">
        <is>
          <t>ÖREBRO</t>
        </is>
      </c>
      <c r="G694" t="n">
        <v>4.8</v>
      </c>
      <c r="H694" t="n">
        <v>0</v>
      </c>
      <c r="I694" t="n">
        <v>0</v>
      </c>
      <c r="J694" t="n">
        <v>0</v>
      </c>
      <c r="K694" t="n">
        <v>0</v>
      </c>
      <c r="L694" t="n">
        <v>0</v>
      </c>
      <c r="M694" t="n">
        <v>0</v>
      </c>
      <c r="N694" t="n">
        <v>0</v>
      </c>
      <c r="O694" t="n">
        <v>0</v>
      </c>
      <c r="P694" t="n">
        <v>0</v>
      </c>
      <c r="Q694" t="n">
        <v>0</v>
      </c>
      <c r="R694" s="2" t="inlineStr"/>
    </row>
    <row r="695" ht="15" customHeight="1">
      <c r="A695" t="inlineStr">
        <is>
          <t>A 29012-2023</t>
        </is>
      </c>
      <c r="B695" s="1" t="n">
        <v>45104</v>
      </c>
      <c r="C695" s="1" t="n">
        <v>45473</v>
      </c>
      <c r="D695" t="inlineStr">
        <is>
          <t>ÖREBRO LÄN</t>
        </is>
      </c>
      <c r="E695" t="inlineStr">
        <is>
          <t>ÖREBRO</t>
        </is>
      </c>
      <c r="G695" t="n">
        <v>2.8</v>
      </c>
      <c r="H695" t="n">
        <v>0</v>
      </c>
      <c r="I695" t="n">
        <v>0</v>
      </c>
      <c r="J695" t="n">
        <v>0</v>
      </c>
      <c r="K695" t="n">
        <v>0</v>
      </c>
      <c r="L695" t="n">
        <v>0</v>
      </c>
      <c r="M695" t="n">
        <v>0</v>
      </c>
      <c r="N695" t="n">
        <v>0</v>
      </c>
      <c r="O695" t="n">
        <v>0</v>
      </c>
      <c r="P695" t="n">
        <v>0</v>
      </c>
      <c r="Q695" t="n">
        <v>0</v>
      </c>
      <c r="R695" s="2" t="inlineStr"/>
    </row>
    <row r="696" ht="15" customHeight="1">
      <c r="A696" t="inlineStr">
        <is>
          <t>A 30015-2023</t>
        </is>
      </c>
      <c r="B696" s="1" t="n">
        <v>45109</v>
      </c>
      <c r="C696" s="1" t="n">
        <v>45473</v>
      </c>
      <c r="D696" t="inlineStr">
        <is>
          <t>ÖREBRO LÄN</t>
        </is>
      </c>
      <c r="E696" t="inlineStr">
        <is>
          <t>ÖREBRO</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30362-2023</t>
        </is>
      </c>
      <c r="B697" s="1" t="n">
        <v>45111</v>
      </c>
      <c r="C697" s="1" t="n">
        <v>45473</v>
      </c>
      <c r="D697" t="inlineStr">
        <is>
          <t>ÖREBRO LÄN</t>
        </is>
      </c>
      <c r="E697" t="inlineStr">
        <is>
          <t>ÖREBRO</t>
        </is>
      </c>
      <c r="F697" t="inlineStr">
        <is>
          <t>Övriga Aktiebolag</t>
        </is>
      </c>
      <c r="G697" t="n">
        <v>6.8</v>
      </c>
      <c r="H697" t="n">
        <v>0</v>
      </c>
      <c r="I697" t="n">
        <v>0</v>
      </c>
      <c r="J697" t="n">
        <v>0</v>
      </c>
      <c r="K697" t="n">
        <v>0</v>
      </c>
      <c r="L697" t="n">
        <v>0</v>
      </c>
      <c r="M697" t="n">
        <v>0</v>
      </c>
      <c r="N697" t="n">
        <v>0</v>
      </c>
      <c r="O697" t="n">
        <v>0</v>
      </c>
      <c r="P697" t="n">
        <v>0</v>
      </c>
      <c r="Q697" t="n">
        <v>0</v>
      </c>
      <c r="R697" s="2" t="inlineStr"/>
    </row>
    <row r="698" ht="15" customHeight="1">
      <c r="A698" t="inlineStr">
        <is>
          <t>A 30403-2023</t>
        </is>
      </c>
      <c r="B698" s="1" t="n">
        <v>45111</v>
      </c>
      <c r="C698" s="1" t="n">
        <v>45473</v>
      </c>
      <c r="D698" t="inlineStr">
        <is>
          <t>ÖREBRO LÄN</t>
        </is>
      </c>
      <c r="E698" t="inlineStr">
        <is>
          <t>ÖREBRO</t>
        </is>
      </c>
      <c r="F698" t="inlineStr">
        <is>
          <t>Övriga Aktiebolag</t>
        </is>
      </c>
      <c r="G698" t="n">
        <v>3</v>
      </c>
      <c r="H698" t="n">
        <v>0</v>
      </c>
      <c r="I698" t="n">
        <v>0</v>
      </c>
      <c r="J698" t="n">
        <v>0</v>
      </c>
      <c r="K698" t="n">
        <v>0</v>
      </c>
      <c r="L698" t="n">
        <v>0</v>
      </c>
      <c r="M698" t="n">
        <v>0</v>
      </c>
      <c r="N698" t="n">
        <v>0</v>
      </c>
      <c r="O698" t="n">
        <v>0</v>
      </c>
      <c r="P698" t="n">
        <v>0</v>
      </c>
      <c r="Q698" t="n">
        <v>0</v>
      </c>
      <c r="R698" s="2" t="inlineStr"/>
    </row>
    <row r="699" ht="15" customHeight="1">
      <c r="A699" t="inlineStr">
        <is>
          <t>A 30374-2023</t>
        </is>
      </c>
      <c r="B699" s="1" t="n">
        <v>45111</v>
      </c>
      <c r="C699" s="1" t="n">
        <v>45473</v>
      </c>
      <c r="D699" t="inlineStr">
        <is>
          <t>ÖREBRO LÄN</t>
        </is>
      </c>
      <c r="E699" t="inlineStr">
        <is>
          <t>ÖREBRO</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30708-2023</t>
        </is>
      </c>
      <c r="B700" s="1" t="n">
        <v>45112</v>
      </c>
      <c r="C700" s="1" t="n">
        <v>45473</v>
      </c>
      <c r="D700" t="inlineStr">
        <is>
          <t>ÖREBRO LÄN</t>
        </is>
      </c>
      <c r="E700" t="inlineStr">
        <is>
          <t>ÖREBRO</t>
        </is>
      </c>
      <c r="G700" t="n">
        <v>3</v>
      </c>
      <c r="H700" t="n">
        <v>0</v>
      </c>
      <c r="I700" t="n">
        <v>0</v>
      </c>
      <c r="J700" t="n">
        <v>0</v>
      </c>
      <c r="K700" t="n">
        <v>0</v>
      </c>
      <c r="L700" t="n">
        <v>0</v>
      </c>
      <c r="M700" t="n">
        <v>0</v>
      </c>
      <c r="N700" t="n">
        <v>0</v>
      </c>
      <c r="O700" t="n">
        <v>0</v>
      </c>
      <c r="P700" t="n">
        <v>0</v>
      </c>
      <c r="Q700" t="n">
        <v>0</v>
      </c>
      <c r="R700" s="2" t="inlineStr"/>
    </row>
    <row r="701" ht="15" customHeight="1">
      <c r="A701" t="inlineStr">
        <is>
          <t>A 30725-2023</t>
        </is>
      </c>
      <c r="B701" s="1" t="n">
        <v>45112</v>
      </c>
      <c r="C701" s="1" t="n">
        <v>45473</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30665-2023</t>
        </is>
      </c>
      <c r="B702" s="1" t="n">
        <v>45112</v>
      </c>
      <c r="C702" s="1" t="n">
        <v>45473</v>
      </c>
      <c r="D702" t="inlineStr">
        <is>
          <t>ÖREBRO LÄN</t>
        </is>
      </c>
      <c r="E702" t="inlineStr">
        <is>
          <t>ÖREBRO</t>
        </is>
      </c>
      <c r="G702" t="n">
        <v>5</v>
      </c>
      <c r="H702" t="n">
        <v>0</v>
      </c>
      <c r="I702" t="n">
        <v>0</v>
      </c>
      <c r="J702" t="n">
        <v>0</v>
      </c>
      <c r="K702" t="n">
        <v>0</v>
      </c>
      <c r="L702" t="n">
        <v>0</v>
      </c>
      <c r="M702" t="n">
        <v>0</v>
      </c>
      <c r="N702" t="n">
        <v>0</v>
      </c>
      <c r="O702" t="n">
        <v>0</v>
      </c>
      <c r="P702" t="n">
        <v>0</v>
      </c>
      <c r="Q702" t="n">
        <v>0</v>
      </c>
      <c r="R702" s="2" t="inlineStr"/>
    </row>
    <row r="703" ht="15" customHeight="1">
      <c r="A703" t="inlineStr">
        <is>
          <t>A 31247-2023</t>
        </is>
      </c>
      <c r="B703" s="1" t="n">
        <v>45114</v>
      </c>
      <c r="C703" s="1" t="n">
        <v>45473</v>
      </c>
      <c r="D703" t="inlineStr">
        <is>
          <t>ÖREBRO LÄN</t>
        </is>
      </c>
      <c r="E703" t="inlineStr">
        <is>
          <t>ÖREBRO</t>
        </is>
      </c>
      <c r="F703" t="inlineStr">
        <is>
          <t>Allmännings- och besparingsskogar</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31267-2023</t>
        </is>
      </c>
      <c r="B704" s="1" t="n">
        <v>45114</v>
      </c>
      <c r="C704" s="1" t="n">
        <v>45473</v>
      </c>
      <c r="D704" t="inlineStr">
        <is>
          <t>ÖREBRO LÄN</t>
        </is>
      </c>
      <c r="E704" t="inlineStr">
        <is>
          <t>ÖREBRO</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31258-2023</t>
        </is>
      </c>
      <c r="B705" s="1" t="n">
        <v>45114</v>
      </c>
      <c r="C705" s="1" t="n">
        <v>45473</v>
      </c>
      <c r="D705" t="inlineStr">
        <is>
          <t>ÖREBRO LÄN</t>
        </is>
      </c>
      <c r="E705" t="inlineStr">
        <is>
          <t>ÖREBRO</t>
        </is>
      </c>
      <c r="F705" t="inlineStr">
        <is>
          <t>Allmännings- och besparingsskogar</t>
        </is>
      </c>
      <c r="G705" t="n">
        <v>4.7</v>
      </c>
      <c r="H705" t="n">
        <v>0</v>
      </c>
      <c r="I705" t="n">
        <v>0</v>
      </c>
      <c r="J705" t="n">
        <v>0</v>
      </c>
      <c r="K705" t="n">
        <v>0</v>
      </c>
      <c r="L705" t="n">
        <v>0</v>
      </c>
      <c r="M705" t="n">
        <v>0</v>
      </c>
      <c r="N705" t="n">
        <v>0</v>
      </c>
      <c r="O705" t="n">
        <v>0</v>
      </c>
      <c r="P705" t="n">
        <v>0</v>
      </c>
      <c r="Q705" t="n">
        <v>0</v>
      </c>
      <c r="R705" s="2" t="inlineStr"/>
    </row>
    <row r="706" ht="15" customHeight="1">
      <c r="A706" t="inlineStr">
        <is>
          <t>A 31270-2023</t>
        </is>
      </c>
      <c r="B706" s="1" t="n">
        <v>45114</v>
      </c>
      <c r="C706" s="1" t="n">
        <v>45473</v>
      </c>
      <c r="D706" t="inlineStr">
        <is>
          <t>ÖREBRO LÄN</t>
        </is>
      </c>
      <c r="E706" t="inlineStr">
        <is>
          <t>ÖREBRO</t>
        </is>
      </c>
      <c r="F706" t="inlineStr">
        <is>
          <t>Allmännings- och besparingsskogar</t>
        </is>
      </c>
      <c r="G706" t="n">
        <v>1</v>
      </c>
      <c r="H706" t="n">
        <v>0</v>
      </c>
      <c r="I706" t="n">
        <v>0</v>
      </c>
      <c r="J706" t="n">
        <v>0</v>
      </c>
      <c r="K706" t="n">
        <v>0</v>
      </c>
      <c r="L706" t="n">
        <v>0</v>
      </c>
      <c r="M706" t="n">
        <v>0</v>
      </c>
      <c r="N706" t="n">
        <v>0</v>
      </c>
      <c r="O706" t="n">
        <v>0</v>
      </c>
      <c r="P706" t="n">
        <v>0</v>
      </c>
      <c r="Q706" t="n">
        <v>0</v>
      </c>
      <c r="R706" s="2" t="inlineStr"/>
    </row>
    <row r="707" ht="15" customHeight="1">
      <c r="A707" t="inlineStr">
        <is>
          <t>A 31240-2023</t>
        </is>
      </c>
      <c r="B707" s="1" t="n">
        <v>45114</v>
      </c>
      <c r="C707" s="1" t="n">
        <v>45473</v>
      </c>
      <c r="D707" t="inlineStr">
        <is>
          <t>ÖREBRO LÄN</t>
        </is>
      </c>
      <c r="E707" t="inlineStr">
        <is>
          <t>ÖREBRO</t>
        </is>
      </c>
      <c r="F707" t="inlineStr">
        <is>
          <t>Allmännings- och besparingsskogar</t>
        </is>
      </c>
      <c r="G707" t="n">
        <v>6.2</v>
      </c>
      <c r="H707" t="n">
        <v>0</v>
      </c>
      <c r="I707" t="n">
        <v>0</v>
      </c>
      <c r="J707" t="n">
        <v>0</v>
      </c>
      <c r="K707" t="n">
        <v>0</v>
      </c>
      <c r="L707" t="n">
        <v>0</v>
      </c>
      <c r="M707" t="n">
        <v>0</v>
      </c>
      <c r="N707" t="n">
        <v>0</v>
      </c>
      <c r="O707" t="n">
        <v>0</v>
      </c>
      <c r="P707" t="n">
        <v>0</v>
      </c>
      <c r="Q707" t="n">
        <v>0</v>
      </c>
      <c r="R707" s="2" t="inlineStr"/>
    </row>
    <row r="708" ht="15" customHeight="1">
      <c r="A708" t="inlineStr">
        <is>
          <t>A 31447-2023</t>
        </is>
      </c>
      <c r="B708" s="1" t="n">
        <v>45114</v>
      </c>
      <c r="C708" s="1" t="n">
        <v>45473</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31905-2023</t>
        </is>
      </c>
      <c r="B709" s="1" t="n">
        <v>45118</v>
      </c>
      <c r="C709" s="1" t="n">
        <v>45473</v>
      </c>
      <c r="D709" t="inlineStr">
        <is>
          <t>ÖREBRO LÄN</t>
        </is>
      </c>
      <c r="E709" t="inlineStr">
        <is>
          <t>ÖREBRO</t>
        </is>
      </c>
      <c r="G709" t="n">
        <v>2.1</v>
      </c>
      <c r="H709" t="n">
        <v>0</v>
      </c>
      <c r="I709" t="n">
        <v>0</v>
      </c>
      <c r="J709" t="n">
        <v>0</v>
      </c>
      <c r="K709" t="n">
        <v>0</v>
      </c>
      <c r="L709" t="n">
        <v>0</v>
      </c>
      <c r="M709" t="n">
        <v>0</v>
      </c>
      <c r="N709" t="n">
        <v>0</v>
      </c>
      <c r="O709" t="n">
        <v>0</v>
      </c>
      <c r="P709" t="n">
        <v>0</v>
      </c>
      <c r="Q709" t="n">
        <v>0</v>
      </c>
      <c r="R709" s="2" t="inlineStr"/>
    </row>
    <row r="710" ht="15" customHeight="1">
      <c r="A710" t="inlineStr">
        <is>
          <t>A 31906-2023</t>
        </is>
      </c>
      <c r="B710" s="1" t="n">
        <v>45118</v>
      </c>
      <c r="C710" s="1" t="n">
        <v>45473</v>
      </c>
      <c r="D710" t="inlineStr">
        <is>
          <t>ÖREBRO LÄN</t>
        </is>
      </c>
      <c r="E710" t="inlineStr">
        <is>
          <t>ÖREBRO</t>
        </is>
      </c>
      <c r="G710" t="n">
        <v>9</v>
      </c>
      <c r="H710" t="n">
        <v>0</v>
      </c>
      <c r="I710" t="n">
        <v>0</v>
      </c>
      <c r="J710" t="n">
        <v>0</v>
      </c>
      <c r="K710" t="n">
        <v>0</v>
      </c>
      <c r="L710" t="n">
        <v>0</v>
      </c>
      <c r="M710" t="n">
        <v>0</v>
      </c>
      <c r="N710" t="n">
        <v>0</v>
      </c>
      <c r="O710" t="n">
        <v>0</v>
      </c>
      <c r="P710" t="n">
        <v>0</v>
      </c>
      <c r="Q710" t="n">
        <v>0</v>
      </c>
      <c r="R710" s="2" t="inlineStr"/>
    </row>
    <row r="711" ht="15" customHeight="1">
      <c r="A711" t="inlineStr">
        <is>
          <t>A 31904-2023</t>
        </is>
      </c>
      <c r="B711" s="1" t="n">
        <v>45118</v>
      </c>
      <c r="C711" s="1" t="n">
        <v>45473</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32113-2023</t>
        </is>
      </c>
      <c r="B712" s="1" t="n">
        <v>45119</v>
      </c>
      <c r="C712" s="1" t="n">
        <v>45473</v>
      </c>
      <c r="D712" t="inlineStr">
        <is>
          <t>ÖREBRO LÄN</t>
        </is>
      </c>
      <c r="E712" t="inlineStr">
        <is>
          <t>ÖREBRO</t>
        </is>
      </c>
      <c r="G712" t="n">
        <v>2.2</v>
      </c>
      <c r="H712" t="n">
        <v>0</v>
      </c>
      <c r="I712" t="n">
        <v>0</v>
      </c>
      <c r="J712" t="n">
        <v>0</v>
      </c>
      <c r="K712" t="n">
        <v>0</v>
      </c>
      <c r="L712" t="n">
        <v>0</v>
      </c>
      <c r="M712" t="n">
        <v>0</v>
      </c>
      <c r="N712" t="n">
        <v>0</v>
      </c>
      <c r="O712" t="n">
        <v>0</v>
      </c>
      <c r="P712" t="n">
        <v>0</v>
      </c>
      <c r="Q712" t="n">
        <v>0</v>
      </c>
      <c r="R712" s="2" t="inlineStr"/>
    </row>
    <row r="713" ht="15" customHeight="1">
      <c r="A713" t="inlineStr">
        <is>
          <t>A 32152-2023</t>
        </is>
      </c>
      <c r="B713" s="1" t="n">
        <v>45119</v>
      </c>
      <c r="C713" s="1" t="n">
        <v>45473</v>
      </c>
      <c r="D713" t="inlineStr">
        <is>
          <t>ÖREBRO LÄN</t>
        </is>
      </c>
      <c r="E713" t="inlineStr">
        <is>
          <t>ÖREBRO</t>
        </is>
      </c>
      <c r="F713" t="inlineStr">
        <is>
          <t>Övriga Aktiebolag</t>
        </is>
      </c>
      <c r="G713" t="n">
        <v>3.6</v>
      </c>
      <c r="H713" t="n">
        <v>0</v>
      </c>
      <c r="I713" t="n">
        <v>0</v>
      </c>
      <c r="J713" t="n">
        <v>0</v>
      </c>
      <c r="K713" t="n">
        <v>0</v>
      </c>
      <c r="L713" t="n">
        <v>0</v>
      </c>
      <c r="M713" t="n">
        <v>0</v>
      </c>
      <c r="N713" t="n">
        <v>0</v>
      </c>
      <c r="O713" t="n">
        <v>0</v>
      </c>
      <c r="P713" t="n">
        <v>0</v>
      </c>
      <c r="Q713" t="n">
        <v>0</v>
      </c>
      <c r="R713" s="2" t="inlineStr"/>
    </row>
    <row r="714" ht="15" customHeight="1">
      <c r="A714" t="inlineStr">
        <is>
          <t>A 32157-2023</t>
        </is>
      </c>
      <c r="B714" s="1" t="n">
        <v>45119</v>
      </c>
      <c r="C714" s="1" t="n">
        <v>45473</v>
      </c>
      <c r="D714" t="inlineStr">
        <is>
          <t>ÖREBRO LÄN</t>
        </is>
      </c>
      <c r="E714" t="inlineStr">
        <is>
          <t>ÖREBRO</t>
        </is>
      </c>
      <c r="F714" t="inlineStr">
        <is>
          <t>Övriga Aktiebolag</t>
        </is>
      </c>
      <c r="G714" t="n">
        <v>1.4</v>
      </c>
      <c r="H714" t="n">
        <v>0</v>
      </c>
      <c r="I714" t="n">
        <v>0</v>
      </c>
      <c r="J714" t="n">
        <v>0</v>
      </c>
      <c r="K714" t="n">
        <v>0</v>
      </c>
      <c r="L714" t="n">
        <v>0</v>
      </c>
      <c r="M714" t="n">
        <v>0</v>
      </c>
      <c r="N714" t="n">
        <v>0</v>
      </c>
      <c r="O714" t="n">
        <v>0</v>
      </c>
      <c r="P714" t="n">
        <v>0</v>
      </c>
      <c r="Q714" t="n">
        <v>0</v>
      </c>
      <c r="R714" s="2" t="inlineStr"/>
    </row>
    <row r="715" ht="15" customHeight="1">
      <c r="A715" t="inlineStr">
        <is>
          <t>A 32176-2023</t>
        </is>
      </c>
      <c r="B715" s="1" t="n">
        <v>45119</v>
      </c>
      <c r="C715" s="1" t="n">
        <v>45473</v>
      </c>
      <c r="D715" t="inlineStr">
        <is>
          <t>ÖREBRO LÄN</t>
        </is>
      </c>
      <c r="E715" t="inlineStr">
        <is>
          <t>ÖREBRO</t>
        </is>
      </c>
      <c r="G715" t="n">
        <v>0.8</v>
      </c>
      <c r="H715" t="n">
        <v>0</v>
      </c>
      <c r="I715" t="n">
        <v>0</v>
      </c>
      <c r="J715" t="n">
        <v>0</v>
      </c>
      <c r="K715" t="n">
        <v>0</v>
      </c>
      <c r="L715" t="n">
        <v>0</v>
      </c>
      <c r="M715" t="n">
        <v>0</v>
      </c>
      <c r="N715" t="n">
        <v>0</v>
      </c>
      <c r="O715" t="n">
        <v>0</v>
      </c>
      <c r="P715" t="n">
        <v>0</v>
      </c>
      <c r="Q715" t="n">
        <v>0</v>
      </c>
      <c r="R715" s="2" t="inlineStr"/>
    </row>
    <row r="716" ht="15" customHeight="1">
      <c r="A716" t="inlineStr">
        <is>
          <t>A 32076-2023</t>
        </is>
      </c>
      <c r="B716" s="1" t="n">
        <v>45119</v>
      </c>
      <c r="C716" s="1" t="n">
        <v>45473</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32086-2023</t>
        </is>
      </c>
      <c r="B717" s="1" t="n">
        <v>45119</v>
      </c>
      <c r="C717" s="1" t="n">
        <v>45473</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32125-2023</t>
        </is>
      </c>
      <c r="B718" s="1" t="n">
        <v>45119</v>
      </c>
      <c r="C718" s="1" t="n">
        <v>45473</v>
      </c>
      <c r="D718" t="inlineStr">
        <is>
          <t>ÖREBRO LÄN</t>
        </is>
      </c>
      <c r="E718" t="inlineStr">
        <is>
          <t>ÖREBRO</t>
        </is>
      </c>
      <c r="G718" t="n">
        <v>10.6</v>
      </c>
      <c r="H718" t="n">
        <v>0</v>
      </c>
      <c r="I718" t="n">
        <v>0</v>
      </c>
      <c r="J718" t="n">
        <v>0</v>
      </c>
      <c r="K718" t="n">
        <v>0</v>
      </c>
      <c r="L718" t="n">
        <v>0</v>
      </c>
      <c r="M718" t="n">
        <v>0</v>
      </c>
      <c r="N718" t="n">
        <v>0</v>
      </c>
      <c r="O718" t="n">
        <v>0</v>
      </c>
      <c r="P718" t="n">
        <v>0</v>
      </c>
      <c r="Q718" t="n">
        <v>0</v>
      </c>
      <c r="R718" s="2" t="inlineStr"/>
    </row>
    <row r="719" ht="15" customHeight="1">
      <c r="A719" t="inlineStr">
        <is>
          <t>A 32067-2023</t>
        </is>
      </c>
      <c r="B719" s="1" t="n">
        <v>45119</v>
      </c>
      <c r="C719" s="1" t="n">
        <v>45473</v>
      </c>
      <c r="D719" t="inlineStr">
        <is>
          <t>ÖREBRO LÄN</t>
        </is>
      </c>
      <c r="E719" t="inlineStr">
        <is>
          <t>ÖREBRO</t>
        </is>
      </c>
      <c r="G719" t="n">
        <v>2.9</v>
      </c>
      <c r="H719" t="n">
        <v>0</v>
      </c>
      <c r="I719" t="n">
        <v>0</v>
      </c>
      <c r="J719" t="n">
        <v>0</v>
      </c>
      <c r="K719" t="n">
        <v>0</v>
      </c>
      <c r="L719" t="n">
        <v>0</v>
      </c>
      <c r="M719" t="n">
        <v>0</v>
      </c>
      <c r="N719" t="n">
        <v>0</v>
      </c>
      <c r="O719" t="n">
        <v>0</v>
      </c>
      <c r="P719" t="n">
        <v>0</v>
      </c>
      <c r="Q719" t="n">
        <v>0</v>
      </c>
      <c r="R719" s="2" t="inlineStr"/>
    </row>
    <row r="720" ht="15" customHeight="1">
      <c r="A720" t="inlineStr">
        <is>
          <t>A 32321-2023</t>
        </is>
      </c>
      <c r="B720" s="1" t="n">
        <v>45120</v>
      </c>
      <c r="C720" s="1" t="n">
        <v>45473</v>
      </c>
      <c r="D720" t="inlineStr">
        <is>
          <t>ÖREBRO LÄN</t>
        </is>
      </c>
      <c r="E720" t="inlineStr">
        <is>
          <t>ÖREBRO</t>
        </is>
      </c>
      <c r="G720" t="n">
        <v>3.4</v>
      </c>
      <c r="H720" t="n">
        <v>0</v>
      </c>
      <c r="I720" t="n">
        <v>0</v>
      </c>
      <c r="J720" t="n">
        <v>0</v>
      </c>
      <c r="K720" t="n">
        <v>0</v>
      </c>
      <c r="L720" t="n">
        <v>0</v>
      </c>
      <c r="M720" t="n">
        <v>0</v>
      </c>
      <c r="N720" t="n">
        <v>0</v>
      </c>
      <c r="O720" t="n">
        <v>0</v>
      </c>
      <c r="P720" t="n">
        <v>0</v>
      </c>
      <c r="Q720" t="n">
        <v>0</v>
      </c>
      <c r="R720" s="2" t="inlineStr"/>
    </row>
    <row r="721" ht="15" customHeight="1">
      <c r="A721" t="inlineStr">
        <is>
          <t>A 33005-2023</t>
        </is>
      </c>
      <c r="B721" s="1" t="n">
        <v>45125</v>
      </c>
      <c r="C721" s="1" t="n">
        <v>45473</v>
      </c>
      <c r="D721" t="inlineStr">
        <is>
          <t>ÖREBRO LÄN</t>
        </is>
      </c>
      <c r="E721" t="inlineStr">
        <is>
          <t>ÖREBRO</t>
        </is>
      </c>
      <c r="F721" t="inlineStr">
        <is>
          <t>Övriga Aktiebolag</t>
        </is>
      </c>
      <c r="G721" t="n">
        <v>14.9</v>
      </c>
      <c r="H721" t="n">
        <v>0</v>
      </c>
      <c r="I721" t="n">
        <v>0</v>
      </c>
      <c r="J721" t="n">
        <v>0</v>
      </c>
      <c r="K721" t="n">
        <v>0</v>
      </c>
      <c r="L721" t="n">
        <v>0</v>
      </c>
      <c r="M721" t="n">
        <v>0</v>
      </c>
      <c r="N721" t="n">
        <v>0</v>
      </c>
      <c r="O721" t="n">
        <v>0</v>
      </c>
      <c r="P721" t="n">
        <v>0</v>
      </c>
      <c r="Q721" t="n">
        <v>0</v>
      </c>
      <c r="R721" s="2" t="inlineStr"/>
    </row>
    <row r="722" ht="15" customHeight="1">
      <c r="A722" t="inlineStr">
        <is>
          <t>A 33292-2023</t>
        </is>
      </c>
      <c r="B722" s="1" t="n">
        <v>45127</v>
      </c>
      <c r="C722" s="1" t="n">
        <v>45473</v>
      </c>
      <c r="D722" t="inlineStr">
        <is>
          <t>ÖREBRO LÄN</t>
        </is>
      </c>
      <c r="E722" t="inlineStr">
        <is>
          <t>ÖREBRO</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33294-2023</t>
        </is>
      </c>
      <c r="B723" s="1" t="n">
        <v>45127</v>
      </c>
      <c r="C723" s="1" t="n">
        <v>45473</v>
      </c>
      <c r="D723" t="inlineStr">
        <is>
          <t>ÖREBRO LÄN</t>
        </is>
      </c>
      <c r="E723" t="inlineStr">
        <is>
          <t>ÖREBRO</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33282-2023</t>
        </is>
      </c>
      <c r="B724" s="1" t="n">
        <v>45127</v>
      </c>
      <c r="C724" s="1" t="n">
        <v>45473</v>
      </c>
      <c r="D724" t="inlineStr">
        <is>
          <t>ÖREBRO LÄN</t>
        </is>
      </c>
      <c r="E724" t="inlineStr">
        <is>
          <t>ÖREBRO</t>
        </is>
      </c>
      <c r="F724" t="inlineStr">
        <is>
          <t>Övriga Aktiebolag</t>
        </is>
      </c>
      <c r="G724" t="n">
        <v>4.7</v>
      </c>
      <c r="H724" t="n">
        <v>0</v>
      </c>
      <c r="I724" t="n">
        <v>0</v>
      </c>
      <c r="J724" t="n">
        <v>0</v>
      </c>
      <c r="K724" t="n">
        <v>0</v>
      </c>
      <c r="L724" t="n">
        <v>0</v>
      </c>
      <c r="M724" t="n">
        <v>0</v>
      </c>
      <c r="N724" t="n">
        <v>0</v>
      </c>
      <c r="O724" t="n">
        <v>0</v>
      </c>
      <c r="P724" t="n">
        <v>0</v>
      </c>
      <c r="Q724" t="n">
        <v>0</v>
      </c>
      <c r="R724" s="2" t="inlineStr"/>
    </row>
    <row r="725" ht="15" customHeight="1">
      <c r="A725" t="inlineStr">
        <is>
          <t>A 33456-2023</t>
        </is>
      </c>
      <c r="B725" s="1" t="n">
        <v>45131</v>
      </c>
      <c r="C725" s="1" t="n">
        <v>45473</v>
      </c>
      <c r="D725" t="inlineStr">
        <is>
          <t>ÖREBRO LÄN</t>
        </is>
      </c>
      <c r="E725" t="inlineStr">
        <is>
          <t>ÖREBRO</t>
        </is>
      </c>
      <c r="G725" t="n">
        <v>0.9</v>
      </c>
      <c r="H725" t="n">
        <v>0</v>
      </c>
      <c r="I725" t="n">
        <v>0</v>
      </c>
      <c r="J725" t="n">
        <v>0</v>
      </c>
      <c r="K725" t="n">
        <v>0</v>
      </c>
      <c r="L725" t="n">
        <v>0</v>
      </c>
      <c r="M725" t="n">
        <v>0</v>
      </c>
      <c r="N725" t="n">
        <v>0</v>
      </c>
      <c r="O725" t="n">
        <v>0</v>
      </c>
      <c r="P725" t="n">
        <v>0</v>
      </c>
      <c r="Q725" t="n">
        <v>0</v>
      </c>
      <c r="R725" s="2" t="inlineStr"/>
    </row>
    <row r="726" ht="15" customHeight="1">
      <c r="A726" t="inlineStr">
        <is>
          <t>A 33455-2023</t>
        </is>
      </c>
      <c r="B726" s="1" t="n">
        <v>45131</v>
      </c>
      <c r="C726" s="1" t="n">
        <v>45473</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33457-2023</t>
        </is>
      </c>
      <c r="B727" s="1" t="n">
        <v>45131</v>
      </c>
      <c r="C727" s="1" t="n">
        <v>45473</v>
      </c>
      <c r="D727" t="inlineStr">
        <is>
          <t>ÖREBRO LÄN</t>
        </is>
      </c>
      <c r="E727" t="inlineStr">
        <is>
          <t>ÖREBRO</t>
        </is>
      </c>
      <c r="G727" t="n">
        <v>0.5</v>
      </c>
      <c r="H727" t="n">
        <v>0</v>
      </c>
      <c r="I727" t="n">
        <v>0</v>
      </c>
      <c r="J727" t="n">
        <v>0</v>
      </c>
      <c r="K727" t="n">
        <v>0</v>
      </c>
      <c r="L727" t="n">
        <v>0</v>
      </c>
      <c r="M727" t="n">
        <v>0</v>
      </c>
      <c r="N727" t="n">
        <v>0</v>
      </c>
      <c r="O727" t="n">
        <v>0</v>
      </c>
      <c r="P727" t="n">
        <v>0</v>
      </c>
      <c r="Q727" t="n">
        <v>0</v>
      </c>
      <c r="R727" s="2" t="inlineStr"/>
    </row>
    <row r="728" ht="15" customHeight="1">
      <c r="A728" t="inlineStr">
        <is>
          <t>A 33522-2023</t>
        </is>
      </c>
      <c r="B728" s="1" t="n">
        <v>45131</v>
      </c>
      <c r="C728" s="1" t="n">
        <v>45473</v>
      </c>
      <c r="D728" t="inlineStr">
        <is>
          <t>ÖREBRO LÄN</t>
        </is>
      </c>
      <c r="E728" t="inlineStr">
        <is>
          <t>ÖREBRO</t>
        </is>
      </c>
      <c r="F728" t="inlineStr">
        <is>
          <t>Övriga Aktiebolag</t>
        </is>
      </c>
      <c r="G728" t="n">
        <v>14.9</v>
      </c>
      <c r="H728" t="n">
        <v>0</v>
      </c>
      <c r="I728" t="n">
        <v>0</v>
      </c>
      <c r="J728" t="n">
        <v>0</v>
      </c>
      <c r="K728" t="n">
        <v>0</v>
      </c>
      <c r="L728" t="n">
        <v>0</v>
      </c>
      <c r="M728" t="n">
        <v>0</v>
      </c>
      <c r="N728" t="n">
        <v>0</v>
      </c>
      <c r="O728" t="n">
        <v>0</v>
      </c>
      <c r="P728" t="n">
        <v>0</v>
      </c>
      <c r="Q728" t="n">
        <v>0</v>
      </c>
      <c r="R728" s="2" t="inlineStr"/>
    </row>
    <row r="729" ht="15" customHeight="1">
      <c r="A729" t="inlineStr">
        <is>
          <t>A 33577-2023</t>
        </is>
      </c>
      <c r="B729" s="1" t="n">
        <v>45131</v>
      </c>
      <c r="C729" s="1" t="n">
        <v>45473</v>
      </c>
      <c r="D729" t="inlineStr">
        <is>
          <t>ÖREBRO LÄN</t>
        </is>
      </c>
      <c r="E729" t="inlineStr">
        <is>
          <t>ÖREBRO</t>
        </is>
      </c>
      <c r="G729" t="n">
        <v>2</v>
      </c>
      <c r="H729" t="n">
        <v>0</v>
      </c>
      <c r="I729" t="n">
        <v>0</v>
      </c>
      <c r="J729" t="n">
        <v>0</v>
      </c>
      <c r="K729" t="n">
        <v>0</v>
      </c>
      <c r="L729" t="n">
        <v>0</v>
      </c>
      <c r="M729" t="n">
        <v>0</v>
      </c>
      <c r="N729" t="n">
        <v>0</v>
      </c>
      <c r="O729" t="n">
        <v>0</v>
      </c>
      <c r="P729" t="n">
        <v>0</v>
      </c>
      <c r="Q729" t="n">
        <v>0</v>
      </c>
      <c r="R729" s="2" t="inlineStr"/>
    </row>
    <row r="730" ht="15" customHeight="1">
      <c r="A730" t="inlineStr">
        <is>
          <t>A 33634-2023</t>
        </is>
      </c>
      <c r="B730" s="1" t="n">
        <v>45132</v>
      </c>
      <c r="C730" s="1" t="n">
        <v>45473</v>
      </c>
      <c r="D730" t="inlineStr">
        <is>
          <t>ÖREBRO LÄN</t>
        </is>
      </c>
      <c r="E730" t="inlineStr">
        <is>
          <t>ÖREBRO</t>
        </is>
      </c>
      <c r="G730" t="n">
        <v>1.2</v>
      </c>
      <c r="H730" t="n">
        <v>0</v>
      </c>
      <c r="I730" t="n">
        <v>0</v>
      </c>
      <c r="J730" t="n">
        <v>0</v>
      </c>
      <c r="K730" t="n">
        <v>0</v>
      </c>
      <c r="L730" t="n">
        <v>0</v>
      </c>
      <c r="M730" t="n">
        <v>0</v>
      </c>
      <c r="N730" t="n">
        <v>0</v>
      </c>
      <c r="O730" t="n">
        <v>0</v>
      </c>
      <c r="P730" t="n">
        <v>0</v>
      </c>
      <c r="Q730" t="n">
        <v>0</v>
      </c>
      <c r="R730" s="2" t="inlineStr"/>
    </row>
    <row r="731" ht="15" customHeight="1">
      <c r="A731" t="inlineStr">
        <is>
          <t>A 33628-2023</t>
        </is>
      </c>
      <c r="B731" s="1" t="n">
        <v>45132</v>
      </c>
      <c r="C731" s="1" t="n">
        <v>45473</v>
      </c>
      <c r="D731" t="inlineStr">
        <is>
          <t>ÖREBRO LÄN</t>
        </is>
      </c>
      <c r="E731" t="inlineStr">
        <is>
          <t>ÖREBRO</t>
        </is>
      </c>
      <c r="G731" t="n">
        <v>0.8</v>
      </c>
      <c r="H731" t="n">
        <v>0</v>
      </c>
      <c r="I731" t="n">
        <v>0</v>
      </c>
      <c r="J731" t="n">
        <v>0</v>
      </c>
      <c r="K731" t="n">
        <v>0</v>
      </c>
      <c r="L731" t="n">
        <v>0</v>
      </c>
      <c r="M731" t="n">
        <v>0</v>
      </c>
      <c r="N731" t="n">
        <v>0</v>
      </c>
      <c r="O731" t="n">
        <v>0</v>
      </c>
      <c r="P731" t="n">
        <v>0</v>
      </c>
      <c r="Q731" t="n">
        <v>0</v>
      </c>
      <c r="R731" s="2" t="inlineStr"/>
    </row>
    <row r="732" ht="15" customHeight="1">
      <c r="A732" t="inlineStr">
        <is>
          <t>A 33632-2023</t>
        </is>
      </c>
      <c r="B732" s="1" t="n">
        <v>45132</v>
      </c>
      <c r="C732" s="1" t="n">
        <v>45473</v>
      </c>
      <c r="D732" t="inlineStr">
        <is>
          <t>ÖREBRO LÄN</t>
        </is>
      </c>
      <c r="E732" t="inlineStr">
        <is>
          <t>ÖREBRO</t>
        </is>
      </c>
      <c r="G732" t="n">
        <v>4.4</v>
      </c>
      <c r="H732" t="n">
        <v>0</v>
      </c>
      <c r="I732" t="n">
        <v>0</v>
      </c>
      <c r="J732" t="n">
        <v>0</v>
      </c>
      <c r="K732" t="n">
        <v>0</v>
      </c>
      <c r="L732" t="n">
        <v>0</v>
      </c>
      <c r="M732" t="n">
        <v>0</v>
      </c>
      <c r="N732" t="n">
        <v>0</v>
      </c>
      <c r="O732" t="n">
        <v>0</v>
      </c>
      <c r="P732" t="n">
        <v>0</v>
      </c>
      <c r="Q732" t="n">
        <v>0</v>
      </c>
      <c r="R732" s="2" t="inlineStr"/>
    </row>
    <row r="733" ht="15" customHeight="1">
      <c r="A733" t="inlineStr">
        <is>
          <t>A 33980-2023</t>
        </is>
      </c>
      <c r="B733" s="1" t="n">
        <v>45134</v>
      </c>
      <c r="C733" s="1" t="n">
        <v>45473</v>
      </c>
      <c r="D733" t="inlineStr">
        <is>
          <t>ÖREBRO LÄN</t>
        </is>
      </c>
      <c r="E733" t="inlineStr">
        <is>
          <t>ÖREBRO</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33984-2023</t>
        </is>
      </c>
      <c r="B734" s="1" t="n">
        <v>45134</v>
      </c>
      <c r="C734" s="1" t="n">
        <v>45473</v>
      </c>
      <c r="D734" t="inlineStr">
        <is>
          <t>ÖREBRO LÄN</t>
        </is>
      </c>
      <c r="E734" t="inlineStr">
        <is>
          <t>ÖREBRO</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34056-2023</t>
        </is>
      </c>
      <c r="B735" s="1" t="n">
        <v>45135</v>
      </c>
      <c r="C735" s="1" t="n">
        <v>45473</v>
      </c>
      <c r="D735" t="inlineStr">
        <is>
          <t>ÖREBRO LÄN</t>
        </is>
      </c>
      <c r="E735" t="inlineStr">
        <is>
          <t>ÖREBRO</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34076-2023</t>
        </is>
      </c>
      <c r="B736" s="1" t="n">
        <v>45135</v>
      </c>
      <c r="C736" s="1" t="n">
        <v>45473</v>
      </c>
      <c r="D736" t="inlineStr">
        <is>
          <t>ÖREBRO LÄN</t>
        </is>
      </c>
      <c r="E736" t="inlineStr">
        <is>
          <t>ÖREBRO</t>
        </is>
      </c>
      <c r="F736" t="inlineStr">
        <is>
          <t>Övriga Aktiebolag</t>
        </is>
      </c>
      <c r="G736" t="n">
        <v>2</v>
      </c>
      <c r="H736" t="n">
        <v>0</v>
      </c>
      <c r="I736" t="n">
        <v>0</v>
      </c>
      <c r="J736" t="n">
        <v>0</v>
      </c>
      <c r="K736" t="n">
        <v>0</v>
      </c>
      <c r="L736" t="n">
        <v>0</v>
      </c>
      <c r="M736" t="n">
        <v>0</v>
      </c>
      <c r="N736" t="n">
        <v>0</v>
      </c>
      <c r="O736" t="n">
        <v>0</v>
      </c>
      <c r="P736" t="n">
        <v>0</v>
      </c>
      <c r="Q736" t="n">
        <v>0</v>
      </c>
      <c r="R736" s="2" t="inlineStr"/>
    </row>
    <row r="737" ht="15" customHeight="1">
      <c r="A737" t="inlineStr">
        <is>
          <t>A 34037-2023</t>
        </is>
      </c>
      <c r="B737" s="1" t="n">
        <v>45135</v>
      </c>
      <c r="C737" s="1" t="n">
        <v>45473</v>
      </c>
      <c r="D737" t="inlineStr">
        <is>
          <t>ÖREBRO LÄN</t>
        </is>
      </c>
      <c r="E737" t="inlineStr">
        <is>
          <t>ÖREBRO</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34251-2023</t>
        </is>
      </c>
      <c r="B738" s="1" t="n">
        <v>45138</v>
      </c>
      <c r="C738" s="1" t="n">
        <v>45473</v>
      </c>
      <c r="D738" t="inlineStr">
        <is>
          <t>ÖREBRO LÄN</t>
        </is>
      </c>
      <c r="E738" t="inlineStr">
        <is>
          <t>ÖREBRO</t>
        </is>
      </c>
      <c r="G738" t="n">
        <v>1.9</v>
      </c>
      <c r="H738" t="n">
        <v>0</v>
      </c>
      <c r="I738" t="n">
        <v>0</v>
      </c>
      <c r="J738" t="n">
        <v>0</v>
      </c>
      <c r="K738" t="n">
        <v>0</v>
      </c>
      <c r="L738" t="n">
        <v>0</v>
      </c>
      <c r="M738" t="n">
        <v>0</v>
      </c>
      <c r="N738" t="n">
        <v>0</v>
      </c>
      <c r="O738" t="n">
        <v>0</v>
      </c>
      <c r="P738" t="n">
        <v>0</v>
      </c>
      <c r="Q738" t="n">
        <v>0</v>
      </c>
      <c r="R738" s="2" t="inlineStr"/>
    </row>
    <row r="739" ht="15" customHeight="1">
      <c r="A739" t="inlineStr">
        <is>
          <t>A 34769-2023</t>
        </is>
      </c>
      <c r="B739" s="1" t="n">
        <v>45141</v>
      </c>
      <c r="C739" s="1" t="n">
        <v>45473</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35187-2023</t>
        </is>
      </c>
      <c r="B740" s="1" t="n">
        <v>45145</v>
      </c>
      <c r="C740" s="1" t="n">
        <v>45473</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35707-2023</t>
        </is>
      </c>
      <c r="B741" s="1" t="n">
        <v>45147</v>
      </c>
      <c r="C741" s="1" t="n">
        <v>45473</v>
      </c>
      <c r="D741" t="inlineStr">
        <is>
          <t>ÖREBRO LÄN</t>
        </is>
      </c>
      <c r="E741" t="inlineStr">
        <is>
          <t>ÖREBRO</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35717-2023</t>
        </is>
      </c>
      <c r="B742" s="1" t="n">
        <v>45147</v>
      </c>
      <c r="C742" s="1" t="n">
        <v>45473</v>
      </c>
      <c r="D742" t="inlineStr">
        <is>
          <t>ÖREBRO LÄN</t>
        </is>
      </c>
      <c r="E742" t="inlineStr">
        <is>
          <t>ÖREBRO</t>
        </is>
      </c>
      <c r="F742" t="inlineStr">
        <is>
          <t>Övriga Aktiebolag</t>
        </is>
      </c>
      <c r="G742" t="n">
        <v>1.5</v>
      </c>
      <c r="H742" t="n">
        <v>0</v>
      </c>
      <c r="I742" t="n">
        <v>0</v>
      </c>
      <c r="J742" t="n">
        <v>0</v>
      </c>
      <c r="K742" t="n">
        <v>0</v>
      </c>
      <c r="L742" t="n">
        <v>0</v>
      </c>
      <c r="M742" t="n">
        <v>0</v>
      </c>
      <c r="N742" t="n">
        <v>0</v>
      </c>
      <c r="O742" t="n">
        <v>0</v>
      </c>
      <c r="P742" t="n">
        <v>0</v>
      </c>
      <c r="Q742" t="n">
        <v>0</v>
      </c>
      <c r="R742" s="2" t="inlineStr"/>
    </row>
    <row r="743" ht="15" customHeight="1">
      <c r="A743" t="inlineStr">
        <is>
          <t>A 36080-2023</t>
        </is>
      </c>
      <c r="B743" s="1" t="n">
        <v>45149</v>
      </c>
      <c r="C743" s="1" t="n">
        <v>45473</v>
      </c>
      <c r="D743" t="inlineStr">
        <is>
          <t>ÖREBRO LÄN</t>
        </is>
      </c>
      <c r="E743" t="inlineStr">
        <is>
          <t>ÖREBRO</t>
        </is>
      </c>
      <c r="G743" t="n">
        <v>5</v>
      </c>
      <c r="H743" t="n">
        <v>0</v>
      </c>
      <c r="I743" t="n">
        <v>0</v>
      </c>
      <c r="J743" t="n">
        <v>0</v>
      </c>
      <c r="K743" t="n">
        <v>0</v>
      </c>
      <c r="L743" t="n">
        <v>0</v>
      </c>
      <c r="M743" t="n">
        <v>0</v>
      </c>
      <c r="N743" t="n">
        <v>0</v>
      </c>
      <c r="O743" t="n">
        <v>0</v>
      </c>
      <c r="P743" t="n">
        <v>0</v>
      </c>
      <c r="Q743" t="n">
        <v>0</v>
      </c>
      <c r="R743" s="2" t="inlineStr"/>
    </row>
    <row r="744" ht="15" customHeight="1">
      <c r="A744" t="inlineStr">
        <is>
          <t>A 36445-2023</t>
        </is>
      </c>
      <c r="B744" s="1" t="n">
        <v>45152</v>
      </c>
      <c r="C744" s="1" t="n">
        <v>45473</v>
      </c>
      <c r="D744" t="inlineStr">
        <is>
          <t>ÖREBRO LÄN</t>
        </is>
      </c>
      <c r="E744" t="inlineStr">
        <is>
          <t>ÖREBRO</t>
        </is>
      </c>
      <c r="G744" t="n">
        <v>2</v>
      </c>
      <c r="H744" t="n">
        <v>0</v>
      </c>
      <c r="I744" t="n">
        <v>0</v>
      </c>
      <c r="J744" t="n">
        <v>0</v>
      </c>
      <c r="K744" t="n">
        <v>0</v>
      </c>
      <c r="L744" t="n">
        <v>0</v>
      </c>
      <c r="M744" t="n">
        <v>0</v>
      </c>
      <c r="N744" t="n">
        <v>0</v>
      </c>
      <c r="O744" t="n">
        <v>0</v>
      </c>
      <c r="P744" t="n">
        <v>0</v>
      </c>
      <c r="Q744" t="n">
        <v>0</v>
      </c>
      <c r="R744" s="2" t="inlineStr"/>
    </row>
    <row r="745" ht="15" customHeight="1">
      <c r="A745" t="inlineStr">
        <is>
          <t>A 36635-2023</t>
        </is>
      </c>
      <c r="B745" s="1" t="n">
        <v>45153</v>
      </c>
      <c r="C745" s="1" t="n">
        <v>45473</v>
      </c>
      <c r="D745" t="inlineStr">
        <is>
          <t>ÖREBRO LÄN</t>
        </is>
      </c>
      <c r="E745" t="inlineStr">
        <is>
          <t>ÖREBRO</t>
        </is>
      </c>
      <c r="G745" t="n">
        <v>1.9</v>
      </c>
      <c r="H745" t="n">
        <v>0</v>
      </c>
      <c r="I745" t="n">
        <v>0</v>
      </c>
      <c r="J745" t="n">
        <v>0</v>
      </c>
      <c r="K745" t="n">
        <v>0</v>
      </c>
      <c r="L745" t="n">
        <v>0</v>
      </c>
      <c r="M745" t="n">
        <v>0</v>
      </c>
      <c r="N745" t="n">
        <v>0</v>
      </c>
      <c r="O745" t="n">
        <v>0</v>
      </c>
      <c r="P745" t="n">
        <v>0</v>
      </c>
      <c r="Q745" t="n">
        <v>0</v>
      </c>
      <c r="R745" s="2" t="inlineStr"/>
    </row>
    <row r="746" ht="15" customHeight="1">
      <c r="A746" t="inlineStr">
        <is>
          <t>A 38223-2023</t>
        </is>
      </c>
      <c r="B746" s="1" t="n">
        <v>45161</v>
      </c>
      <c r="C746" s="1" t="n">
        <v>45473</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38415-2023</t>
        </is>
      </c>
      <c r="B747" s="1" t="n">
        <v>45162</v>
      </c>
      <c r="C747" s="1" t="n">
        <v>45473</v>
      </c>
      <c r="D747" t="inlineStr">
        <is>
          <t>ÖREBRO LÄN</t>
        </is>
      </c>
      <c r="E747" t="inlineStr">
        <is>
          <t>ÖREBRO</t>
        </is>
      </c>
      <c r="G747" t="n">
        <v>2.6</v>
      </c>
      <c r="H747" t="n">
        <v>0</v>
      </c>
      <c r="I747" t="n">
        <v>0</v>
      </c>
      <c r="J747" t="n">
        <v>0</v>
      </c>
      <c r="K747" t="n">
        <v>0</v>
      </c>
      <c r="L747" t="n">
        <v>0</v>
      </c>
      <c r="M747" t="n">
        <v>0</v>
      </c>
      <c r="N747" t="n">
        <v>0</v>
      </c>
      <c r="O747" t="n">
        <v>0</v>
      </c>
      <c r="P747" t="n">
        <v>0</v>
      </c>
      <c r="Q747" t="n">
        <v>0</v>
      </c>
      <c r="R747" s="2" t="inlineStr"/>
    </row>
    <row r="748" ht="15" customHeight="1">
      <c r="A748" t="inlineStr">
        <is>
          <t>A 38422-2023</t>
        </is>
      </c>
      <c r="B748" s="1" t="n">
        <v>45162</v>
      </c>
      <c r="C748" s="1" t="n">
        <v>45473</v>
      </c>
      <c r="D748" t="inlineStr">
        <is>
          <t>ÖREBRO LÄN</t>
        </is>
      </c>
      <c r="E748" t="inlineStr">
        <is>
          <t>ÖREBRO</t>
        </is>
      </c>
      <c r="G748" t="n">
        <v>8</v>
      </c>
      <c r="H748" t="n">
        <v>0</v>
      </c>
      <c r="I748" t="n">
        <v>0</v>
      </c>
      <c r="J748" t="n">
        <v>0</v>
      </c>
      <c r="K748" t="n">
        <v>0</v>
      </c>
      <c r="L748" t="n">
        <v>0</v>
      </c>
      <c r="M748" t="n">
        <v>0</v>
      </c>
      <c r="N748" t="n">
        <v>0</v>
      </c>
      <c r="O748" t="n">
        <v>0</v>
      </c>
      <c r="P748" t="n">
        <v>0</v>
      </c>
      <c r="Q748" t="n">
        <v>0</v>
      </c>
      <c r="R748" s="2" t="inlineStr"/>
    </row>
    <row r="749" ht="15" customHeight="1">
      <c r="A749" t="inlineStr">
        <is>
          <t>A 38489-2023</t>
        </is>
      </c>
      <c r="B749" s="1" t="n">
        <v>45162</v>
      </c>
      <c r="C749" s="1" t="n">
        <v>45473</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38573-2023</t>
        </is>
      </c>
      <c r="B750" s="1" t="n">
        <v>45162</v>
      </c>
      <c r="C750" s="1" t="n">
        <v>45473</v>
      </c>
      <c r="D750" t="inlineStr">
        <is>
          <t>ÖREBRO LÄN</t>
        </is>
      </c>
      <c r="E750" t="inlineStr">
        <is>
          <t>ÖREBRO</t>
        </is>
      </c>
      <c r="G750" t="n">
        <v>2.2</v>
      </c>
      <c r="H750" t="n">
        <v>0</v>
      </c>
      <c r="I750" t="n">
        <v>0</v>
      </c>
      <c r="J750" t="n">
        <v>0</v>
      </c>
      <c r="K750" t="n">
        <v>0</v>
      </c>
      <c r="L750" t="n">
        <v>0</v>
      </c>
      <c r="M750" t="n">
        <v>0</v>
      </c>
      <c r="N750" t="n">
        <v>0</v>
      </c>
      <c r="O750" t="n">
        <v>0</v>
      </c>
      <c r="P750" t="n">
        <v>0</v>
      </c>
      <c r="Q750" t="n">
        <v>0</v>
      </c>
      <c r="R750" s="2" t="inlineStr"/>
    </row>
    <row r="751" ht="15" customHeight="1">
      <c r="A751" t="inlineStr">
        <is>
          <t>A 38583-2023</t>
        </is>
      </c>
      <c r="B751" s="1" t="n">
        <v>45162</v>
      </c>
      <c r="C751" s="1" t="n">
        <v>45473</v>
      </c>
      <c r="D751" t="inlineStr">
        <is>
          <t>ÖREBRO LÄN</t>
        </is>
      </c>
      <c r="E751" t="inlineStr">
        <is>
          <t>ÖREBRO</t>
        </is>
      </c>
      <c r="G751" t="n">
        <v>5.7</v>
      </c>
      <c r="H751" t="n">
        <v>0</v>
      </c>
      <c r="I751" t="n">
        <v>0</v>
      </c>
      <c r="J751" t="n">
        <v>0</v>
      </c>
      <c r="K751" t="n">
        <v>0</v>
      </c>
      <c r="L751" t="n">
        <v>0</v>
      </c>
      <c r="M751" t="n">
        <v>0</v>
      </c>
      <c r="N751" t="n">
        <v>0</v>
      </c>
      <c r="O751" t="n">
        <v>0</v>
      </c>
      <c r="P751" t="n">
        <v>0</v>
      </c>
      <c r="Q751" t="n">
        <v>0</v>
      </c>
      <c r="R751" s="2" t="inlineStr"/>
    </row>
    <row r="752" ht="15" customHeight="1">
      <c r="A752" t="inlineStr">
        <is>
          <t>A 38898-2023</t>
        </is>
      </c>
      <c r="B752" s="1" t="n">
        <v>45163</v>
      </c>
      <c r="C752" s="1" t="n">
        <v>45473</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39130-2023</t>
        </is>
      </c>
      <c r="B753" s="1" t="n">
        <v>45165</v>
      </c>
      <c r="C753" s="1" t="n">
        <v>45473</v>
      </c>
      <c r="D753" t="inlineStr">
        <is>
          <t>ÖREBRO LÄN</t>
        </is>
      </c>
      <c r="E753" t="inlineStr">
        <is>
          <t>ÖREBRO</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39696-2023</t>
        </is>
      </c>
      <c r="B754" s="1" t="n">
        <v>45167</v>
      </c>
      <c r="C754" s="1" t="n">
        <v>45473</v>
      </c>
      <c r="D754" t="inlineStr">
        <is>
          <t>ÖREBRO LÄN</t>
        </is>
      </c>
      <c r="E754" t="inlineStr">
        <is>
          <t>ÖREBRO</t>
        </is>
      </c>
      <c r="G754" t="n">
        <v>4.7</v>
      </c>
      <c r="H754" t="n">
        <v>0</v>
      </c>
      <c r="I754" t="n">
        <v>0</v>
      </c>
      <c r="J754" t="n">
        <v>0</v>
      </c>
      <c r="K754" t="n">
        <v>0</v>
      </c>
      <c r="L754" t="n">
        <v>0</v>
      </c>
      <c r="M754" t="n">
        <v>0</v>
      </c>
      <c r="N754" t="n">
        <v>0</v>
      </c>
      <c r="O754" t="n">
        <v>0</v>
      </c>
      <c r="P754" t="n">
        <v>0</v>
      </c>
      <c r="Q754" t="n">
        <v>0</v>
      </c>
      <c r="R754" s="2" t="inlineStr"/>
    </row>
    <row r="755" ht="15" customHeight="1">
      <c r="A755" t="inlineStr">
        <is>
          <t>A 39782-2023</t>
        </is>
      </c>
      <c r="B755" s="1" t="n">
        <v>45167</v>
      </c>
      <c r="C755" s="1" t="n">
        <v>45473</v>
      </c>
      <c r="D755" t="inlineStr">
        <is>
          <t>ÖREBRO LÄN</t>
        </is>
      </c>
      <c r="E755" t="inlineStr">
        <is>
          <t>ÖREBRO</t>
        </is>
      </c>
      <c r="G755" t="n">
        <v>1.4</v>
      </c>
      <c r="H755" t="n">
        <v>0</v>
      </c>
      <c r="I755" t="n">
        <v>0</v>
      </c>
      <c r="J755" t="n">
        <v>0</v>
      </c>
      <c r="K755" t="n">
        <v>0</v>
      </c>
      <c r="L755" t="n">
        <v>0</v>
      </c>
      <c r="M755" t="n">
        <v>0</v>
      </c>
      <c r="N755" t="n">
        <v>0</v>
      </c>
      <c r="O755" t="n">
        <v>0</v>
      </c>
      <c r="P755" t="n">
        <v>0</v>
      </c>
      <c r="Q755" t="n">
        <v>0</v>
      </c>
      <c r="R755" s="2" t="inlineStr"/>
    </row>
    <row r="756" ht="15" customHeight="1">
      <c r="A756" t="inlineStr">
        <is>
          <t>A 40656-2023</t>
        </is>
      </c>
      <c r="B756" s="1" t="n">
        <v>45170</v>
      </c>
      <c r="C756" s="1" t="n">
        <v>45473</v>
      </c>
      <c r="D756" t="inlineStr">
        <is>
          <t>ÖREBRO LÄN</t>
        </is>
      </c>
      <c r="E756" t="inlineStr">
        <is>
          <t>ÖREBRO</t>
        </is>
      </c>
      <c r="F756" t="inlineStr">
        <is>
          <t>Övriga Aktiebolag</t>
        </is>
      </c>
      <c r="G756" t="n">
        <v>0.8</v>
      </c>
      <c r="H756" t="n">
        <v>0</v>
      </c>
      <c r="I756" t="n">
        <v>0</v>
      </c>
      <c r="J756" t="n">
        <v>0</v>
      </c>
      <c r="K756" t="n">
        <v>0</v>
      </c>
      <c r="L756" t="n">
        <v>0</v>
      </c>
      <c r="M756" t="n">
        <v>0</v>
      </c>
      <c r="N756" t="n">
        <v>0</v>
      </c>
      <c r="O756" t="n">
        <v>0</v>
      </c>
      <c r="P756" t="n">
        <v>0</v>
      </c>
      <c r="Q756" t="n">
        <v>0</v>
      </c>
      <c r="R756" s="2" t="inlineStr"/>
    </row>
    <row r="757" ht="15" customHeight="1">
      <c r="A757" t="inlineStr">
        <is>
          <t>A 41255-2023</t>
        </is>
      </c>
      <c r="B757" s="1" t="n">
        <v>45174</v>
      </c>
      <c r="C757" s="1" t="n">
        <v>45473</v>
      </c>
      <c r="D757" t="inlineStr">
        <is>
          <t>ÖREBRO LÄN</t>
        </is>
      </c>
      <c r="E757" t="inlineStr">
        <is>
          <t>ÖREBRO</t>
        </is>
      </c>
      <c r="G757" t="n">
        <v>2.5</v>
      </c>
      <c r="H757" t="n">
        <v>0</v>
      </c>
      <c r="I757" t="n">
        <v>0</v>
      </c>
      <c r="J757" t="n">
        <v>0</v>
      </c>
      <c r="K757" t="n">
        <v>0</v>
      </c>
      <c r="L757" t="n">
        <v>0</v>
      </c>
      <c r="M757" t="n">
        <v>0</v>
      </c>
      <c r="N757" t="n">
        <v>0</v>
      </c>
      <c r="O757" t="n">
        <v>0</v>
      </c>
      <c r="P757" t="n">
        <v>0</v>
      </c>
      <c r="Q757" t="n">
        <v>0</v>
      </c>
      <c r="R757" s="2" t="inlineStr"/>
    </row>
    <row r="758" ht="15" customHeight="1">
      <c r="A758" t="inlineStr">
        <is>
          <t>A 41455-2023</t>
        </is>
      </c>
      <c r="B758" s="1" t="n">
        <v>45175</v>
      </c>
      <c r="C758" s="1" t="n">
        <v>45473</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41593-2023</t>
        </is>
      </c>
      <c r="B759" s="1" t="n">
        <v>45175</v>
      </c>
      <c r="C759" s="1" t="n">
        <v>45473</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41466-2023</t>
        </is>
      </c>
      <c r="B760" s="1" t="n">
        <v>45175</v>
      </c>
      <c r="C760" s="1" t="n">
        <v>45473</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41974-2023</t>
        </is>
      </c>
      <c r="B761" s="1" t="n">
        <v>45177</v>
      </c>
      <c r="C761" s="1" t="n">
        <v>45473</v>
      </c>
      <c r="D761" t="inlineStr">
        <is>
          <t>ÖREBRO LÄN</t>
        </is>
      </c>
      <c r="E761" t="inlineStr">
        <is>
          <t>ÖREBRO</t>
        </is>
      </c>
      <c r="G761" t="n">
        <v>3.4</v>
      </c>
      <c r="H761" t="n">
        <v>0</v>
      </c>
      <c r="I761" t="n">
        <v>0</v>
      </c>
      <c r="J761" t="n">
        <v>0</v>
      </c>
      <c r="K761" t="n">
        <v>0</v>
      </c>
      <c r="L761" t="n">
        <v>0</v>
      </c>
      <c r="M761" t="n">
        <v>0</v>
      </c>
      <c r="N761" t="n">
        <v>0</v>
      </c>
      <c r="O761" t="n">
        <v>0</v>
      </c>
      <c r="P761" t="n">
        <v>0</v>
      </c>
      <c r="Q761" t="n">
        <v>0</v>
      </c>
      <c r="R761" s="2" t="inlineStr"/>
    </row>
    <row r="762" ht="15" customHeight="1">
      <c r="A762" t="inlineStr">
        <is>
          <t>A 41992-2023</t>
        </is>
      </c>
      <c r="B762" s="1" t="n">
        <v>45177</v>
      </c>
      <c r="C762" s="1" t="n">
        <v>45473</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43273-2023</t>
        </is>
      </c>
      <c r="B763" s="1" t="n">
        <v>45180</v>
      </c>
      <c r="C763" s="1" t="n">
        <v>45473</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43255-2023</t>
        </is>
      </c>
      <c r="B764" s="1" t="n">
        <v>45180</v>
      </c>
      <c r="C764" s="1" t="n">
        <v>45473</v>
      </c>
      <c r="D764" t="inlineStr">
        <is>
          <t>ÖREBRO LÄN</t>
        </is>
      </c>
      <c r="E764" t="inlineStr">
        <is>
          <t>ÖREBRO</t>
        </is>
      </c>
      <c r="G764" t="n">
        <v>4.8</v>
      </c>
      <c r="H764" t="n">
        <v>0</v>
      </c>
      <c r="I764" t="n">
        <v>0</v>
      </c>
      <c r="J764" t="n">
        <v>0</v>
      </c>
      <c r="K764" t="n">
        <v>0</v>
      </c>
      <c r="L764" t="n">
        <v>0</v>
      </c>
      <c r="M764" t="n">
        <v>0</v>
      </c>
      <c r="N764" t="n">
        <v>0</v>
      </c>
      <c r="O764" t="n">
        <v>0</v>
      </c>
      <c r="P764" t="n">
        <v>0</v>
      </c>
      <c r="Q764" t="n">
        <v>0</v>
      </c>
      <c r="R764" s="2" t="inlineStr"/>
    </row>
    <row r="765" ht="15" customHeight="1">
      <c r="A765" t="inlineStr">
        <is>
          <t>A 42636-2023</t>
        </is>
      </c>
      <c r="B765" s="1" t="n">
        <v>45181</v>
      </c>
      <c r="C765" s="1" t="n">
        <v>45473</v>
      </c>
      <c r="D765" t="inlineStr">
        <is>
          <t>ÖREBRO LÄN</t>
        </is>
      </c>
      <c r="E765" t="inlineStr">
        <is>
          <t>ÖREBRO</t>
        </is>
      </c>
      <c r="G765" t="n">
        <v>1.7</v>
      </c>
      <c r="H765" t="n">
        <v>0</v>
      </c>
      <c r="I765" t="n">
        <v>0</v>
      </c>
      <c r="J765" t="n">
        <v>0</v>
      </c>
      <c r="K765" t="n">
        <v>0</v>
      </c>
      <c r="L765" t="n">
        <v>0</v>
      </c>
      <c r="M765" t="n">
        <v>0</v>
      </c>
      <c r="N765" t="n">
        <v>0</v>
      </c>
      <c r="O765" t="n">
        <v>0</v>
      </c>
      <c r="P765" t="n">
        <v>0</v>
      </c>
      <c r="Q765" t="n">
        <v>0</v>
      </c>
      <c r="R765" s="2" t="inlineStr"/>
    </row>
    <row r="766" ht="15" customHeight="1">
      <c r="A766" t="inlineStr">
        <is>
          <t>A 43520-2023</t>
        </is>
      </c>
      <c r="B766" s="1" t="n">
        <v>45184</v>
      </c>
      <c r="C766" s="1" t="n">
        <v>45473</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43803-2023</t>
        </is>
      </c>
      <c r="B767" s="1" t="n">
        <v>45187</v>
      </c>
      <c r="C767" s="1" t="n">
        <v>45473</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44511-2023</t>
        </is>
      </c>
      <c r="B768" s="1" t="n">
        <v>45189</v>
      </c>
      <c r="C768" s="1" t="n">
        <v>45473</v>
      </c>
      <c r="D768" t="inlineStr">
        <is>
          <t>ÖREBRO LÄN</t>
        </is>
      </c>
      <c r="E768" t="inlineStr">
        <is>
          <t>ÖREBRO</t>
        </is>
      </c>
      <c r="F768" t="inlineStr">
        <is>
          <t>Allmännings- och besparingsskogar</t>
        </is>
      </c>
      <c r="G768" t="n">
        <v>2.7</v>
      </c>
      <c r="H768" t="n">
        <v>0</v>
      </c>
      <c r="I768" t="n">
        <v>0</v>
      </c>
      <c r="J768" t="n">
        <v>0</v>
      </c>
      <c r="K768" t="n">
        <v>0</v>
      </c>
      <c r="L768" t="n">
        <v>0</v>
      </c>
      <c r="M768" t="n">
        <v>0</v>
      </c>
      <c r="N768" t="n">
        <v>0</v>
      </c>
      <c r="O768" t="n">
        <v>0</v>
      </c>
      <c r="P768" t="n">
        <v>0</v>
      </c>
      <c r="Q768" t="n">
        <v>0</v>
      </c>
      <c r="R768" s="2" t="inlineStr"/>
    </row>
    <row r="769" ht="15" customHeight="1">
      <c r="A769" t="inlineStr">
        <is>
          <t>A 45897-2023</t>
        </is>
      </c>
      <c r="B769" s="1" t="n">
        <v>45189</v>
      </c>
      <c r="C769" s="1" t="n">
        <v>45473</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45237-2023</t>
        </is>
      </c>
      <c r="B770" s="1" t="n">
        <v>45191</v>
      </c>
      <c r="C770" s="1" t="n">
        <v>45473</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45517-2023</t>
        </is>
      </c>
      <c r="B771" s="1" t="n">
        <v>45194</v>
      </c>
      <c r="C771" s="1" t="n">
        <v>45473</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46182-2023</t>
        </is>
      </c>
      <c r="B772" s="1" t="n">
        <v>45196</v>
      </c>
      <c r="C772" s="1" t="n">
        <v>45473</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46496-2023</t>
        </is>
      </c>
      <c r="B773" s="1" t="n">
        <v>45197</v>
      </c>
      <c r="C773" s="1" t="n">
        <v>45473</v>
      </c>
      <c r="D773" t="inlineStr">
        <is>
          <t>ÖREBRO LÄN</t>
        </is>
      </c>
      <c r="E773" t="inlineStr">
        <is>
          <t>ÖREBRO</t>
        </is>
      </c>
      <c r="G773" t="n">
        <v>3</v>
      </c>
      <c r="H773" t="n">
        <v>0</v>
      </c>
      <c r="I773" t="n">
        <v>0</v>
      </c>
      <c r="J773" t="n">
        <v>0</v>
      </c>
      <c r="K773" t="n">
        <v>0</v>
      </c>
      <c r="L773" t="n">
        <v>0</v>
      </c>
      <c r="M773" t="n">
        <v>0</v>
      </c>
      <c r="N773" t="n">
        <v>0</v>
      </c>
      <c r="O773" t="n">
        <v>0</v>
      </c>
      <c r="P773" t="n">
        <v>0</v>
      </c>
      <c r="Q773" t="n">
        <v>0</v>
      </c>
      <c r="R773" s="2" t="inlineStr"/>
    </row>
    <row r="774" ht="15" customHeight="1">
      <c r="A774" t="inlineStr">
        <is>
          <t>A 46502-2023</t>
        </is>
      </c>
      <c r="B774" s="1" t="n">
        <v>45197</v>
      </c>
      <c r="C774" s="1" t="n">
        <v>45473</v>
      </c>
      <c r="D774" t="inlineStr">
        <is>
          <t>ÖREBRO LÄN</t>
        </is>
      </c>
      <c r="E774" t="inlineStr">
        <is>
          <t>ÖREBRO</t>
        </is>
      </c>
      <c r="G774" t="n">
        <v>7.7</v>
      </c>
      <c r="H774" t="n">
        <v>0</v>
      </c>
      <c r="I774" t="n">
        <v>0</v>
      </c>
      <c r="J774" t="n">
        <v>0</v>
      </c>
      <c r="K774" t="n">
        <v>0</v>
      </c>
      <c r="L774" t="n">
        <v>0</v>
      </c>
      <c r="M774" t="n">
        <v>0</v>
      </c>
      <c r="N774" t="n">
        <v>0</v>
      </c>
      <c r="O774" t="n">
        <v>0</v>
      </c>
      <c r="P774" t="n">
        <v>0</v>
      </c>
      <c r="Q774" t="n">
        <v>0</v>
      </c>
      <c r="R774" s="2" t="inlineStr"/>
    </row>
    <row r="775" ht="15" customHeight="1">
      <c r="A775" t="inlineStr">
        <is>
          <t>A 46514-2023</t>
        </is>
      </c>
      <c r="B775" s="1" t="n">
        <v>45197</v>
      </c>
      <c r="C775" s="1" t="n">
        <v>45473</v>
      </c>
      <c r="D775" t="inlineStr">
        <is>
          <t>ÖREBRO LÄN</t>
        </is>
      </c>
      <c r="E775" t="inlineStr">
        <is>
          <t>ÖREBRO</t>
        </is>
      </c>
      <c r="G775" t="n">
        <v>10.9</v>
      </c>
      <c r="H775" t="n">
        <v>0</v>
      </c>
      <c r="I775" t="n">
        <v>0</v>
      </c>
      <c r="J775" t="n">
        <v>0</v>
      </c>
      <c r="K775" t="n">
        <v>0</v>
      </c>
      <c r="L775" t="n">
        <v>0</v>
      </c>
      <c r="M775" t="n">
        <v>0</v>
      </c>
      <c r="N775" t="n">
        <v>0</v>
      </c>
      <c r="O775" t="n">
        <v>0</v>
      </c>
      <c r="P775" t="n">
        <v>0</v>
      </c>
      <c r="Q775" t="n">
        <v>0</v>
      </c>
      <c r="R775" s="2" t="inlineStr"/>
    </row>
    <row r="776" ht="15" customHeight="1">
      <c r="A776" t="inlineStr">
        <is>
          <t>A 46518-2023</t>
        </is>
      </c>
      <c r="B776" s="1" t="n">
        <v>45197</v>
      </c>
      <c r="C776" s="1" t="n">
        <v>45473</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47193-2023</t>
        </is>
      </c>
      <c r="B777" s="1" t="n">
        <v>45202</v>
      </c>
      <c r="C777" s="1" t="n">
        <v>45473</v>
      </c>
      <c r="D777" t="inlineStr">
        <is>
          <t>ÖREBRO LÄN</t>
        </is>
      </c>
      <c r="E777" t="inlineStr">
        <is>
          <t>ÖREBRO</t>
        </is>
      </c>
      <c r="G777" t="n">
        <v>2.4</v>
      </c>
      <c r="H777" t="n">
        <v>0</v>
      </c>
      <c r="I777" t="n">
        <v>0</v>
      </c>
      <c r="J777" t="n">
        <v>0</v>
      </c>
      <c r="K777" t="n">
        <v>0</v>
      </c>
      <c r="L777" t="n">
        <v>0</v>
      </c>
      <c r="M777" t="n">
        <v>0</v>
      </c>
      <c r="N777" t="n">
        <v>0</v>
      </c>
      <c r="O777" t="n">
        <v>0</v>
      </c>
      <c r="P777" t="n">
        <v>0</v>
      </c>
      <c r="Q777" t="n">
        <v>0</v>
      </c>
      <c r="R777" s="2" t="inlineStr"/>
    </row>
    <row r="778" ht="15" customHeight="1">
      <c r="A778" t="inlineStr">
        <is>
          <t>A 48350-2023</t>
        </is>
      </c>
      <c r="B778" s="1" t="n">
        <v>45205</v>
      </c>
      <c r="C778" s="1" t="n">
        <v>45473</v>
      </c>
      <c r="D778" t="inlineStr">
        <is>
          <t>ÖREBRO LÄN</t>
        </is>
      </c>
      <c r="E778" t="inlineStr">
        <is>
          <t>ÖREBRO</t>
        </is>
      </c>
      <c r="G778" t="n">
        <v>3.2</v>
      </c>
      <c r="H778" t="n">
        <v>0</v>
      </c>
      <c r="I778" t="n">
        <v>0</v>
      </c>
      <c r="J778" t="n">
        <v>0</v>
      </c>
      <c r="K778" t="n">
        <v>0</v>
      </c>
      <c r="L778" t="n">
        <v>0</v>
      </c>
      <c r="M778" t="n">
        <v>0</v>
      </c>
      <c r="N778" t="n">
        <v>0</v>
      </c>
      <c r="O778" t="n">
        <v>0</v>
      </c>
      <c r="P778" t="n">
        <v>0</v>
      </c>
      <c r="Q778" t="n">
        <v>0</v>
      </c>
      <c r="R778" s="2" t="inlineStr"/>
    </row>
    <row r="779" ht="15" customHeight="1">
      <c r="A779" t="inlineStr">
        <is>
          <t>A 49062-2023</t>
        </is>
      </c>
      <c r="B779" s="1" t="n">
        <v>45210</v>
      </c>
      <c r="C779" s="1" t="n">
        <v>45473</v>
      </c>
      <c r="D779" t="inlineStr">
        <is>
          <t>ÖREBRO LÄN</t>
        </is>
      </c>
      <c r="E779" t="inlineStr">
        <is>
          <t>ÖREBRO</t>
        </is>
      </c>
      <c r="G779" t="n">
        <v>1.6</v>
      </c>
      <c r="H779" t="n">
        <v>0</v>
      </c>
      <c r="I779" t="n">
        <v>0</v>
      </c>
      <c r="J779" t="n">
        <v>0</v>
      </c>
      <c r="K779" t="n">
        <v>0</v>
      </c>
      <c r="L779" t="n">
        <v>0</v>
      </c>
      <c r="M779" t="n">
        <v>0</v>
      </c>
      <c r="N779" t="n">
        <v>0</v>
      </c>
      <c r="O779" t="n">
        <v>0</v>
      </c>
      <c r="P779" t="n">
        <v>0</v>
      </c>
      <c r="Q779" t="n">
        <v>0</v>
      </c>
      <c r="R779" s="2" t="inlineStr"/>
    </row>
    <row r="780" ht="15" customHeight="1">
      <c r="A780" t="inlineStr">
        <is>
          <t>A 49215-2023</t>
        </is>
      </c>
      <c r="B780" s="1" t="n">
        <v>45210</v>
      </c>
      <c r="C780" s="1" t="n">
        <v>45473</v>
      </c>
      <c r="D780" t="inlineStr">
        <is>
          <t>ÖREBRO LÄN</t>
        </is>
      </c>
      <c r="E780" t="inlineStr">
        <is>
          <t>ÖREBRO</t>
        </is>
      </c>
      <c r="F780" t="inlineStr">
        <is>
          <t>Övriga Aktiebolag</t>
        </is>
      </c>
      <c r="G780" t="n">
        <v>4.2</v>
      </c>
      <c r="H780" t="n">
        <v>0</v>
      </c>
      <c r="I780" t="n">
        <v>0</v>
      </c>
      <c r="J780" t="n">
        <v>0</v>
      </c>
      <c r="K780" t="n">
        <v>0</v>
      </c>
      <c r="L780" t="n">
        <v>0</v>
      </c>
      <c r="M780" t="n">
        <v>0</v>
      </c>
      <c r="N780" t="n">
        <v>0</v>
      </c>
      <c r="O780" t="n">
        <v>0</v>
      </c>
      <c r="P780" t="n">
        <v>0</v>
      </c>
      <c r="Q780" t="n">
        <v>0</v>
      </c>
      <c r="R780" s="2" t="inlineStr"/>
    </row>
    <row r="781" ht="15" customHeight="1">
      <c r="A781" t="inlineStr">
        <is>
          <t>A 51373-2023</t>
        </is>
      </c>
      <c r="B781" s="1" t="n">
        <v>45213</v>
      </c>
      <c r="C781" s="1" t="n">
        <v>45473</v>
      </c>
      <c r="D781" t="inlineStr">
        <is>
          <t>ÖREBRO LÄN</t>
        </is>
      </c>
      <c r="E781" t="inlineStr">
        <is>
          <t>ÖREBRO</t>
        </is>
      </c>
      <c r="G781" t="n">
        <v>5.9</v>
      </c>
      <c r="H781" t="n">
        <v>0</v>
      </c>
      <c r="I781" t="n">
        <v>0</v>
      </c>
      <c r="J781" t="n">
        <v>0</v>
      </c>
      <c r="K781" t="n">
        <v>0</v>
      </c>
      <c r="L781" t="n">
        <v>0</v>
      </c>
      <c r="M781" t="n">
        <v>0</v>
      </c>
      <c r="N781" t="n">
        <v>0</v>
      </c>
      <c r="O781" t="n">
        <v>0</v>
      </c>
      <c r="P781" t="n">
        <v>0</v>
      </c>
      <c r="Q781" t="n">
        <v>0</v>
      </c>
      <c r="R781" s="2" t="inlineStr"/>
    </row>
    <row r="782" ht="15" customHeight="1">
      <c r="A782" t="inlineStr">
        <is>
          <t>A 50450-2023</t>
        </is>
      </c>
      <c r="B782" s="1" t="n">
        <v>45216</v>
      </c>
      <c r="C782" s="1" t="n">
        <v>45473</v>
      </c>
      <c r="D782" t="inlineStr">
        <is>
          <t>ÖREBRO LÄN</t>
        </is>
      </c>
      <c r="E782" t="inlineStr">
        <is>
          <t>ÖREBRO</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50446-2023</t>
        </is>
      </c>
      <c r="B783" s="1" t="n">
        <v>45216</v>
      </c>
      <c r="C783" s="1" t="n">
        <v>45473</v>
      </c>
      <c r="D783" t="inlineStr">
        <is>
          <t>ÖREBRO LÄN</t>
        </is>
      </c>
      <c r="E783" t="inlineStr">
        <is>
          <t>ÖREBRO</t>
        </is>
      </c>
      <c r="F783" t="inlineStr">
        <is>
          <t>Övriga Aktiebolag</t>
        </is>
      </c>
      <c r="G783" t="n">
        <v>2.8</v>
      </c>
      <c r="H783" t="n">
        <v>0</v>
      </c>
      <c r="I783" t="n">
        <v>0</v>
      </c>
      <c r="J783" t="n">
        <v>0</v>
      </c>
      <c r="K783" t="n">
        <v>0</v>
      </c>
      <c r="L783" t="n">
        <v>0</v>
      </c>
      <c r="M783" t="n">
        <v>0</v>
      </c>
      <c r="N783" t="n">
        <v>0</v>
      </c>
      <c r="O783" t="n">
        <v>0</v>
      </c>
      <c r="P783" t="n">
        <v>0</v>
      </c>
      <c r="Q783" t="n">
        <v>0</v>
      </c>
      <c r="R783" s="2" t="inlineStr"/>
    </row>
    <row r="784" ht="15" customHeight="1">
      <c r="A784" t="inlineStr">
        <is>
          <t>A 51315-2023</t>
        </is>
      </c>
      <c r="B784" s="1" t="n">
        <v>45219</v>
      </c>
      <c r="C784" s="1" t="n">
        <v>45473</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51180-2023</t>
        </is>
      </c>
      <c r="B785" s="1" t="n">
        <v>45219</v>
      </c>
      <c r="C785" s="1" t="n">
        <v>45473</v>
      </c>
      <c r="D785" t="inlineStr">
        <is>
          <t>ÖREBRO LÄN</t>
        </is>
      </c>
      <c r="E785" t="inlineStr">
        <is>
          <t>ÖREBRO</t>
        </is>
      </c>
      <c r="G785" t="n">
        <v>6.5</v>
      </c>
      <c r="H785" t="n">
        <v>0</v>
      </c>
      <c r="I785" t="n">
        <v>0</v>
      </c>
      <c r="J785" t="n">
        <v>0</v>
      </c>
      <c r="K785" t="n">
        <v>0</v>
      </c>
      <c r="L785" t="n">
        <v>0</v>
      </c>
      <c r="M785" t="n">
        <v>0</v>
      </c>
      <c r="N785" t="n">
        <v>0</v>
      </c>
      <c r="O785" t="n">
        <v>0</v>
      </c>
      <c r="P785" t="n">
        <v>0</v>
      </c>
      <c r="Q785" t="n">
        <v>0</v>
      </c>
      <c r="R785" s="2" t="inlineStr"/>
    </row>
    <row r="786" ht="15" customHeight="1">
      <c r="A786" t="inlineStr">
        <is>
          <t>A 51297-2023</t>
        </is>
      </c>
      <c r="B786" s="1" t="n">
        <v>45219</v>
      </c>
      <c r="C786" s="1" t="n">
        <v>45473</v>
      </c>
      <c r="D786" t="inlineStr">
        <is>
          <t>ÖREBRO LÄN</t>
        </is>
      </c>
      <c r="E786" t="inlineStr">
        <is>
          <t>ÖREBRO</t>
        </is>
      </c>
      <c r="G786" t="n">
        <v>3.6</v>
      </c>
      <c r="H786" t="n">
        <v>0</v>
      </c>
      <c r="I786" t="n">
        <v>0</v>
      </c>
      <c r="J786" t="n">
        <v>0</v>
      </c>
      <c r="K786" t="n">
        <v>0</v>
      </c>
      <c r="L786" t="n">
        <v>0</v>
      </c>
      <c r="M786" t="n">
        <v>0</v>
      </c>
      <c r="N786" t="n">
        <v>0</v>
      </c>
      <c r="O786" t="n">
        <v>0</v>
      </c>
      <c r="P786" t="n">
        <v>0</v>
      </c>
      <c r="Q786" t="n">
        <v>0</v>
      </c>
      <c r="R786" s="2" t="inlineStr"/>
    </row>
    <row r="787" ht="15" customHeight="1">
      <c r="A787" t="inlineStr">
        <is>
          <t>A 51327-2023</t>
        </is>
      </c>
      <c r="B787" s="1" t="n">
        <v>45219</v>
      </c>
      <c r="C787" s="1" t="n">
        <v>45473</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51331-2023</t>
        </is>
      </c>
      <c r="B788" s="1" t="n">
        <v>45219</v>
      </c>
      <c r="C788" s="1" t="n">
        <v>45473</v>
      </c>
      <c r="D788" t="inlineStr">
        <is>
          <t>ÖREBRO LÄN</t>
        </is>
      </c>
      <c r="E788" t="inlineStr">
        <is>
          <t>ÖREBRO</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51962-2023</t>
        </is>
      </c>
      <c r="B789" s="1" t="n">
        <v>45223</v>
      </c>
      <c r="C789" s="1" t="n">
        <v>45473</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52005-2023</t>
        </is>
      </c>
      <c r="B790" s="1" t="n">
        <v>45223</v>
      </c>
      <c r="C790" s="1" t="n">
        <v>45473</v>
      </c>
      <c r="D790" t="inlineStr">
        <is>
          <t>ÖREBRO LÄN</t>
        </is>
      </c>
      <c r="E790" t="inlineStr">
        <is>
          <t>ÖREBRO</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52256-2023</t>
        </is>
      </c>
      <c r="B791" s="1" t="n">
        <v>45224</v>
      </c>
      <c r="C791" s="1" t="n">
        <v>45473</v>
      </c>
      <c r="D791" t="inlineStr">
        <is>
          <t>ÖREBRO LÄN</t>
        </is>
      </c>
      <c r="E791" t="inlineStr">
        <is>
          <t>ÖREBRO</t>
        </is>
      </c>
      <c r="G791" t="n">
        <v>2.8</v>
      </c>
      <c r="H791" t="n">
        <v>0</v>
      </c>
      <c r="I791" t="n">
        <v>0</v>
      </c>
      <c r="J791" t="n">
        <v>0</v>
      </c>
      <c r="K791" t="n">
        <v>0</v>
      </c>
      <c r="L791" t="n">
        <v>0</v>
      </c>
      <c r="M791" t="n">
        <v>0</v>
      </c>
      <c r="N791" t="n">
        <v>0</v>
      </c>
      <c r="O791" t="n">
        <v>0</v>
      </c>
      <c r="P791" t="n">
        <v>0</v>
      </c>
      <c r="Q791" t="n">
        <v>0</v>
      </c>
      <c r="R791" s="2" t="inlineStr"/>
    </row>
    <row r="792" ht="15" customHeight="1">
      <c r="A792" t="inlineStr">
        <is>
          <t>A 53234-2023</t>
        </is>
      </c>
      <c r="B792" s="1" t="n">
        <v>45229</v>
      </c>
      <c r="C792" s="1" t="n">
        <v>45473</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53143-2023</t>
        </is>
      </c>
      <c r="B793" s="1" t="n">
        <v>45229</v>
      </c>
      <c r="C793" s="1" t="n">
        <v>45473</v>
      </c>
      <c r="D793" t="inlineStr">
        <is>
          <t>ÖREBRO LÄN</t>
        </is>
      </c>
      <c r="E793" t="inlineStr">
        <is>
          <t>ÖREBRO</t>
        </is>
      </c>
      <c r="G793" t="n">
        <v>3.3</v>
      </c>
      <c r="H793" t="n">
        <v>0</v>
      </c>
      <c r="I793" t="n">
        <v>0</v>
      </c>
      <c r="J793" t="n">
        <v>0</v>
      </c>
      <c r="K793" t="n">
        <v>0</v>
      </c>
      <c r="L793" t="n">
        <v>0</v>
      </c>
      <c r="M793" t="n">
        <v>0</v>
      </c>
      <c r="N793" t="n">
        <v>0</v>
      </c>
      <c r="O793" t="n">
        <v>0</v>
      </c>
      <c r="P793" t="n">
        <v>0</v>
      </c>
      <c r="Q793" t="n">
        <v>0</v>
      </c>
      <c r="R793" s="2" t="inlineStr"/>
    </row>
    <row r="794" ht="15" customHeight="1">
      <c r="A794" t="inlineStr">
        <is>
          <t>A 53170-2023</t>
        </is>
      </c>
      <c r="B794" s="1" t="n">
        <v>45229</v>
      </c>
      <c r="C794" s="1" t="n">
        <v>45473</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54925-2023</t>
        </is>
      </c>
      <c r="B795" s="1" t="n">
        <v>45229</v>
      </c>
      <c r="C795" s="1" t="n">
        <v>45473</v>
      </c>
      <c r="D795" t="inlineStr">
        <is>
          <t>ÖREBRO LÄN</t>
        </is>
      </c>
      <c r="E795" t="inlineStr">
        <is>
          <t>ÖREBRO</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54917-2023</t>
        </is>
      </c>
      <c r="B796" s="1" t="n">
        <v>45229</v>
      </c>
      <c r="C796" s="1" t="n">
        <v>45473</v>
      </c>
      <c r="D796" t="inlineStr">
        <is>
          <t>ÖREBRO LÄN</t>
        </is>
      </c>
      <c r="E796" t="inlineStr">
        <is>
          <t>ÖREBRO</t>
        </is>
      </c>
      <c r="G796" t="n">
        <v>3.1</v>
      </c>
      <c r="H796" t="n">
        <v>0</v>
      </c>
      <c r="I796" t="n">
        <v>0</v>
      </c>
      <c r="J796" t="n">
        <v>0</v>
      </c>
      <c r="K796" t="n">
        <v>0</v>
      </c>
      <c r="L796" t="n">
        <v>0</v>
      </c>
      <c r="M796" t="n">
        <v>0</v>
      </c>
      <c r="N796" t="n">
        <v>0</v>
      </c>
      <c r="O796" t="n">
        <v>0</v>
      </c>
      <c r="P796" t="n">
        <v>0</v>
      </c>
      <c r="Q796" t="n">
        <v>0</v>
      </c>
      <c r="R796" s="2" t="inlineStr"/>
    </row>
    <row r="797" ht="15" customHeight="1">
      <c r="A797" t="inlineStr">
        <is>
          <t>A 53598-2023</t>
        </is>
      </c>
      <c r="B797" s="1" t="n">
        <v>45230</v>
      </c>
      <c r="C797" s="1" t="n">
        <v>45473</v>
      </c>
      <c r="D797" t="inlineStr">
        <is>
          <t>ÖREBRO LÄN</t>
        </is>
      </c>
      <c r="E797" t="inlineStr">
        <is>
          <t>ÖREBRO</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53802-2023</t>
        </is>
      </c>
      <c r="B798" s="1" t="n">
        <v>45230</v>
      </c>
      <c r="C798" s="1" t="n">
        <v>45473</v>
      </c>
      <c r="D798" t="inlineStr">
        <is>
          <t>ÖREBRO LÄN</t>
        </is>
      </c>
      <c r="E798" t="inlineStr">
        <is>
          <t>ÖREBRO</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53558-2023</t>
        </is>
      </c>
      <c r="B799" s="1" t="n">
        <v>45230</v>
      </c>
      <c r="C799" s="1" t="n">
        <v>45473</v>
      </c>
      <c r="D799" t="inlineStr">
        <is>
          <t>ÖREBRO LÄN</t>
        </is>
      </c>
      <c r="E799" t="inlineStr">
        <is>
          <t>ÖREBRO</t>
        </is>
      </c>
      <c r="F799" t="inlineStr">
        <is>
          <t>Övriga Aktiebolag</t>
        </is>
      </c>
      <c r="G799" t="n">
        <v>4.7</v>
      </c>
      <c r="H799" t="n">
        <v>0</v>
      </c>
      <c r="I799" t="n">
        <v>0</v>
      </c>
      <c r="J799" t="n">
        <v>0</v>
      </c>
      <c r="K799" t="n">
        <v>0</v>
      </c>
      <c r="L799" t="n">
        <v>0</v>
      </c>
      <c r="M799" t="n">
        <v>0</v>
      </c>
      <c r="N799" t="n">
        <v>0</v>
      </c>
      <c r="O799" t="n">
        <v>0</v>
      </c>
      <c r="P799" t="n">
        <v>0</v>
      </c>
      <c r="Q799" t="n">
        <v>0</v>
      </c>
      <c r="R799" s="2" t="inlineStr"/>
    </row>
    <row r="800" ht="15" customHeight="1">
      <c r="A800" t="inlineStr">
        <is>
          <t>A 54561-2023</t>
        </is>
      </c>
      <c r="B800" s="1" t="n">
        <v>45233</v>
      </c>
      <c r="C800" s="1" t="n">
        <v>45473</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54505-2023</t>
        </is>
      </c>
      <c r="B801" s="1" t="n">
        <v>45233</v>
      </c>
      <c r="C801" s="1" t="n">
        <v>45473</v>
      </c>
      <c r="D801" t="inlineStr">
        <is>
          <t>ÖREBRO LÄN</t>
        </is>
      </c>
      <c r="E801" t="inlineStr">
        <is>
          <t>ÖREBRO</t>
        </is>
      </c>
      <c r="F801" t="inlineStr">
        <is>
          <t>Övriga Aktiebolag</t>
        </is>
      </c>
      <c r="G801" t="n">
        <v>7.2</v>
      </c>
      <c r="H801" t="n">
        <v>0</v>
      </c>
      <c r="I801" t="n">
        <v>0</v>
      </c>
      <c r="J801" t="n">
        <v>0</v>
      </c>
      <c r="K801" t="n">
        <v>0</v>
      </c>
      <c r="L801" t="n">
        <v>0</v>
      </c>
      <c r="M801" t="n">
        <v>0</v>
      </c>
      <c r="N801" t="n">
        <v>0</v>
      </c>
      <c r="O801" t="n">
        <v>0</v>
      </c>
      <c r="P801" t="n">
        <v>0</v>
      </c>
      <c r="Q801" t="n">
        <v>0</v>
      </c>
      <c r="R801" s="2" t="inlineStr"/>
    </row>
    <row r="802" ht="15" customHeight="1">
      <c r="A802" t="inlineStr">
        <is>
          <t>A 54558-2023</t>
        </is>
      </c>
      <c r="B802" s="1" t="n">
        <v>45233</v>
      </c>
      <c r="C802" s="1" t="n">
        <v>45473</v>
      </c>
      <c r="D802" t="inlineStr">
        <is>
          <t>ÖREBRO LÄN</t>
        </is>
      </c>
      <c r="E802" t="inlineStr">
        <is>
          <t>ÖREBRO</t>
        </is>
      </c>
      <c r="G802" t="n">
        <v>0.9</v>
      </c>
      <c r="H802" t="n">
        <v>0</v>
      </c>
      <c r="I802" t="n">
        <v>0</v>
      </c>
      <c r="J802" t="n">
        <v>0</v>
      </c>
      <c r="K802" t="n">
        <v>0</v>
      </c>
      <c r="L802" t="n">
        <v>0</v>
      </c>
      <c r="M802" t="n">
        <v>0</v>
      </c>
      <c r="N802" t="n">
        <v>0</v>
      </c>
      <c r="O802" t="n">
        <v>0</v>
      </c>
      <c r="P802" t="n">
        <v>0</v>
      </c>
      <c r="Q802" t="n">
        <v>0</v>
      </c>
      <c r="R802" s="2" t="inlineStr"/>
    </row>
    <row r="803" ht="15" customHeight="1">
      <c r="A803" t="inlineStr">
        <is>
          <t>A 54678-2023</t>
        </is>
      </c>
      <c r="B803" s="1" t="n">
        <v>45235</v>
      </c>
      <c r="C803" s="1" t="n">
        <v>45473</v>
      </c>
      <c r="D803" t="inlineStr">
        <is>
          <t>ÖREBRO LÄN</t>
        </is>
      </c>
      <c r="E803" t="inlineStr">
        <is>
          <t>ÖREBRO</t>
        </is>
      </c>
      <c r="G803" t="n">
        <v>1.7</v>
      </c>
      <c r="H803" t="n">
        <v>0</v>
      </c>
      <c r="I803" t="n">
        <v>0</v>
      </c>
      <c r="J803" t="n">
        <v>0</v>
      </c>
      <c r="K803" t="n">
        <v>0</v>
      </c>
      <c r="L803" t="n">
        <v>0</v>
      </c>
      <c r="M803" t="n">
        <v>0</v>
      </c>
      <c r="N803" t="n">
        <v>0</v>
      </c>
      <c r="O803" t="n">
        <v>0</v>
      </c>
      <c r="P803" t="n">
        <v>0</v>
      </c>
      <c r="Q803" t="n">
        <v>0</v>
      </c>
      <c r="R803" s="2" t="inlineStr"/>
    </row>
    <row r="804" ht="15" customHeight="1">
      <c r="A804" t="inlineStr">
        <is>
          <t>A 54865-2023</t>
        </is>
      </c>
      <c r="B804" s="1" t="n">
        <v>45236</v>
      </c>
      <c r="C804" s="1" t="n">
        <v>45473</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55008-2023</t>
        </is>
      </c>
      <c r="B805" s="1" t="n">
        <v>45236</v>
      </c>
      <c r="C805" s="1" t="n">
        <v>45473</v>
      </c>
      <c r="D805" t="inlineStr">
        <is>
          <t>ÖREBRO LÄN</t>
        </is>
      </c>
      <c r="E805" t="inlineStr">
        <is>
          <t>ÖREBRO</t>
        </is>
      </c>
      <c r="G805" t="n">
        <v>4</v>
      </c>
      <c r="H805" t="n">
        <v>0</v>
      </c>
      <c r="I805" t="n">
        <v>0</v>
      </c>
      <c r="J805" t="n">
        <v>0</v>
      </c>
      <c r="K805" t="n">
        <v>0</v>
      </c>
      <c r="L805" t="n">
        <v>0</v>
      </c>
      <c r="M805" t="n">
        <v>0</v>
      </c>
      <c r="N805" t="n">
        <v>0</v>
      </c>
      <c r="O805" t="n">
        <v>0</v>
      </c>
      <c r="P805" t="n">
        <v>0</v>
      </c>
      <c r="Q805" t="n">
        <v>0</v>
      </c>
      <c r="R805" s="2" t="inlineStr"/>
    </row>
    <row r="806" ht="15" customHeight="1">
      <c r="A806" t="inlineStr">
        <is>
          <t>A 55472-2023</t>
        </is>
      </c>
      <c r="B806" s="1" t="n">
        <v>45238</v>
      </c>
      <c r="C806" s="1" t="n">
        <v>45473</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55692-2023</t>
        </is>
      </c>
      <c r="B807" s="1" t="n">
        <v>45239</v>
      </c>
      <c r="C807" s="1" t="n">
        <v>45473</v>
      </c>
      <c r="D807" t="inlineStr">
        <is>
          <t>ÖREBRO LÄN</t>
        </is>
      </c>
      <c r="E807" t="inlineStr">
        <is>
          <t>ÖREBRO</t>
        </is>
      </c>
      <c r="F807" t="inlineStr">
        <is>
          <t>Övriga Aktiebolag</t>
        </is>
      </c>
      <c r="G807" t="n">
        <v>0.4</v>
      </c>
      <c r="H807" t="n">
        <v>0</v>
      </c>
      <c r="I807" t="n">
        <v>0</v>
      </c>
      <c r="J807" t="n">
        <v>0</v>
      </c>
      <c r="K807" t="n">
        <v>0</v>
      </c>
      <c r="L807" t="n">
        <v>0</v>
      </c>
      <c r="M807" t="n">
        <v>0</v>
      </c>
      <c r="N807" t="n">
        <v>0</v>
      </c>
      <c r="O807" t="n">
        <v>0</v>
      </c>
      <c r="P807" t="n">
        <v>0</v>
      </c>
      <c r="Q807" t="n">
        <v>0</v>
      </c>
      <c r="R807" s="2" t="inlineStr"/>
    </row>
    <row r="808" ht="15" customHeight="1">
      <c r="A808" t="inlineStr">
        <is>
          <t>A 55745-2023</t>
        </is>
      </c>
      <c r="B808" s="1" t="n">
        <v>45239</v>
      </c>
      <c r="C808" s="1" t="n">
        <v>45473</v>
      </c>
      <c r="D808" t="inlineStr">
        <is>
          <t>ÖREBRO LÄN</t>
        </is>
      </c>
      <c r="E808" t="inlineStr">
        <is>
          <t>ÖREBRO</t>
        </is>
      </c>
      <c r="G808" t="n">
        <v>13.3</v>
      </c>
      <c r="H808" t="n">
        <v>0</v>
      </c>
      <c r="I808" t="n">
        <v>0</v>
      </c>
      <c r="J808" t="n">
        <v>0</v>
      </c>
      <c r="K808" t="n">
        <v>0</v>
      </c>
      <c r="L808" t="n">
        <v>0</v>
      </c>
      <c r="M808" t="n">
        <v>0</v>
      </c>
      <c r="N808" t="n">
        <v>0</v>
      </c>
      <c r="O808" t="n">
        <v>0</v>
      </c>
      <c r="P808" t="n">
        <v>0</v>
      </c>
      <c r="Q808" t="n">
        <v>0</v>
      </c>
      <c r="R808" s="2" t="inlineStr"/>
    </row>
    <row r="809" ht="15" customHeight="1">
      <c r="A809" t="inlineStr">
        <is>
          <t>A 57312-2023</t>
        </is>
      </c>
      <c r="B809" s="1" t="n">
        <v>45245</v>
      </c>
      <c r="C809" s="1" t="n">
        <v>45473</v>
      </c>
      <c r="D809" t="inlineStr">
        <is>
          <t>ÖREBRO LÄN</t>
        </is>
      </c>
      <c r="E809" t="inlineStr">
        <is>
          <t>ÖREBRO</t>
        </is>
      </c>
      <c r="G809" t="n">
        <v>12.5</v>
      </c>
      <c r="H809" t="n">
        <v>0</v>
      </c>
      <c r="I809" t="n">
        <v>0</v>
      </c>
      <c r="J809" t="n">
        <v>0</v>
      </c>
      <c r="K809" t="n">
        <v>0</v>
      </c>
      <c r="L809" t="n">
        <v>0</v>
      </c>
      <c r="M809" t="n">
        <v>0</v>
      </c>
      <c r="N809" t="n">
        <v>0</v>
      </c>
      <c r="O809" t="n">
        <v>0</v>
      </c>
      <c r="P809" t="n">
        <v>0</v>
      </c>
      <c r="Q809" t="n">
        <v>0</v>
      </c>
      <c r="R809" s="2" t="inlineStr"/>
    </row>
    <row r="810" ht="15" customHeight="1">
      <c r="A810" t="inlineStr">
        <is>
          <t>A 57604-2023</t>
        </is>
      </c>
      <c r="B810" s="1" t="n">
        <v>45246</v>
      </c>
      <c r="C810" s="1" t="n">
        <v>45473</v>
      </c>
      <c r="D810" t="inlineStr">
        <is>
          <t>ÖREBRO LÄN</t>
        </is>
      </c>
      <c r="E810" t="inlineStr">
        <is>
          <t>ÖREBRO</t>
        </is>
      </c>
      <c r="G810" t="n">
        <v>3.7</v>
      </c>
      <c r="H810" t="n">
        <v>0</v>
      </c>
      <c r="I810" t="n">
        <v>0</v>
      </c>
      <c r="J810" t="n">
        <v>0</v>
      </c>
      <c r="K810" t="n">
        <v>0</v>
      </c>
      <c r="L810" t="n">
        <v>0</v>
      </c>
      <c r="M810" t="n">
        <v>0</v>
      </c>
      <c r="N810" t="n">
        <v>0</v>
      </c>
      <c r="O810" t="n">
        <v>0</v>
      </c>
      <c r="P810" t="n">
        <v>0</v>
      </c>
      <c r="Q810" t="n">
        <v>0</v>
      </c>
      <c r="R810" s="2" t="inlineStr"/>
    </row>
    <row r="811" ht="15" customHeight="1">
      <c r="A811" t="inlineStr">
        <is>
          <t>A 57485-2023</t>
        </is>
      </c>
      <c r="B811" s="1" t="n">
        <v>45246</v>
      </c>
      <c r="C811" s="1" t="n">
        <v>45473</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57553-2023</t>
        </is>
      </c>
      <c r="B812" s="1" t="n">
        <v>45246</v>
      </c>
      <c r="C812" s="1" t="n">
        <v>45473</v>
      </c>
      <c r="D812" t="inlineStr">
        <is>
          <t>ÖREBRO LÄN</t>
        </is>
      </c>
      <c r="E812" t="inlineStr">
        <is>
          <t>ÖREBRO</t>
        </is>
      </c>
      <c r="G812" t="n">
        <v>4.5</v>
      </c>
      <c r="H812" t="n">
        <v>0</v>
      </c>
      <c r="I812" t="n">
        <v>0</v>
      </c>
      <c r="J812" t="n">
        <v>0</v>
      </c>
      <c r="K812" t="n">
        <v>0</v>
      </c>
      <c r="L812" t="n">
        <v>0</v>
      </c>
      <c r="M812" t="n">
        <v>0</v>
      </c>
      <c r="N812" t="n">
        <v>0</v>
      </c>
      <c r="O812" t="n">
        <v>0</v>
      </c>
      <c r="P812" t="n">
        <v>0</v>
      </c>
      <c r="Q812" t="n">
        <v>0</v>
      </c>
      <c r="R812" s="2" t="inlineStr"/>
    </row>
    <row r="813" ht="15" customHeight="1">
      <c r="A813" t="inlineStr">
        <is>
          <t>A 58032-2023</t>
        </is>
      </c>
      <c r="B813" s="1" t="n">
        <v>45247</v>
      </c>
      <c r="C813" s="1" t="n">
        <v>45473</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58035-2023</t>
        </is>
      </c>
      <c r="B814" s="1" t="n">
        <v>45247</v>
      </c>
      <c r="C814" s="1" t="n">
        <v>45473</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58516-2023</t>
        </is>
      </c>
      <c r="B815" s="1" t="n">
        <v>45251</v>
      </c>
      <c r="C815" s="1" t="n">
        <v>45473</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58504-2023</t>
        </is>
      </c>
      <c r="B816" s="1" t="n">
        <v>45251</v>
      </c>
      <c r="C816" s="1" t="n">
        <v>45473</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58644-2023</t>
        </is>
      </c>
      <c r="B817" s="1" t="n">
        <v>45251</v>
      </c>
      <c r="C817" s="1" t="n">
        <v>45473</v>
      </c>
      <c r="D817" t="inlineStr">
        <is>
          <t>ÖREBRO LÄN</t>
        </is>
      </c>
      <c r="E817" t="inlineStr">
        <is>
          <t>ÖREBRO</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58682-2023</t>
        </is>
      </c>
      <c r="B818" s="1" t="n">
        <v>45251</v>
      </c>
      <c r="C818" s="1" t="n">
        <v>45473</v>
      </c>
      <c r="D818" t="inlineStr">
        <is>
          <t>ÖREBRO LÄN</t>
        </is>
      </c>
      <c r="E818" t="inlineStr">
        <is>
          <t>ÖREBRO</t>
        </is>
      </c>
      <c r="G818" t="n">
        <v>1.3</v>
      </c>
      <c r="H818" t="n">
        <v>0</v>
      </c>
      <c r="I818" t="n">
        <v>0</v>
      </c>
      <c r="J818" t="n">
        <v>0</v>
      </c>
      <c r="K818" t="n">
        <v>0</v>
      </c>
      <c r="L818" t="n">
        <v>0</v>
      </c>
      <c r="M818" t="n">
        <v>0</v>
      </c>
      <c r="N818" t="n">
        <v>0</v>
      </c>
      <c r="O818" t="n">
        <v>0</v>
      </c>
      <c r="P818" t="n">
        <v>0</v>
      </c>
      <c r="Q818" t="n">
        <v>0</v>
      </c>
      <c r="R818" s="2" t="inlineStr"/>
    </row>
    <row r="819" ht="15" customHeight="1">
      <c r="A819" t="inlineStr">
        <is>
          <t>A 58684-2023</t>
        </is>
      </c>
      <c r="B819" s="1" t="n">
        <v>45251</v>
      </c>
      <c r="C819" s="1" t="n">
        <v>45473</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58889-2023</t>
        </is>
      </c>
      <c r="B820" s="1" t="n">
        <v>45252</v>
      </c>
      <c r="C820" s="1" t="n">
        <v>45473</v>
      </c>
      <c r="D820" t="inlineStr">
        <is>
          <t>ÖREBRO LÄN</t>
        </is>
      </c>
      <c r="E820" t="inlineStr">
        <is>
          <t>ÖREBRO</t>
        </is>
      </c>
      <c r="G820" t="n">
        <v>0.8</v>
      </c>
      <c r="H820" t="n">
        <v>0</v>
      </c>
      <c r="I820" t="n">
        <v>0</v>
      </c>
      <c r="J820" t="n">
        <v>0</v>
      </c>
      <c r="K820" t="n">
        <v>0</v>
      </c>
      <c r="L820" t="n">
        <v>0</v>
      </c>
      <c r="M820" t="n">
        <v>0</v>
      </c>
      <c r="N820" t="n">
        <v>0</v>
      </c>
      <c r="O820" t="n">
        <v>0</v>
      </c>
      <c r="P820" t="n">
        <v>0</v>
      </c>
      <c r="Q820" t="n">
        <v>0</v>
      </c>
      <c r="R820" s="2" t="inlineStr"/>
    </row>
    <row r="821" ht="15" customHeight="1">
      <c r="A821" t="inlineStr">
        <is>
          <t>A 59037-2023</t>
        </is>
      </c>
      <c r="B821" s="1" t="n">
        <v>45252</v>
      </c>
      <c r="C821" s="1" t="n">
        <v>45473</v>
      </c>
      <c r="D821" t="inlineStr">
        <is>
          <t>ÖREBRO LÄN</t>
        </is>
      </c>
      <c r="E821" t="inlineStr">
        <is>
          <t>ÖREBRO</t>
        </is>
      </c>
      <c r="G821" t="n">
        <v>2.7</v>
      </c>
      <c r="H821" t="n">
        <v>0</v>
      </c>
      <c r="I821" t="n">
        <v>0</v>
      </c>
      <c r="J821" t="n">
        <v>0</v>
      </c>
      <c r="K821" t="n">
        <v>0</v>
      </c>
      <c r="L821" t="n">
        <v>0</v>
      </c>
      <c r="M821" t="n">
        <v>0</v>
      </c>
      <c r="N821" t="n">
        <v>0</v>
      </c>
      <c r="O821" t="n">
        <v>0</v>
      </c>
      <c r="P821" t="n">
        <v>0</v>
      </c>
      <c r="Q821" t="n">
        <v>0</v>
      </c>
      <c r="R821" s="2" t="inlineStr"/>
    </row>
    <row r="822" ht="15" customHeight="1">
      <c r="A822" t="inlineStr">
        <is>
          <t>A 59623-2023</t>
        </is>
      </c>
      <c r="B822" s="1" t="n">
        <v>45254</v>
      </c>
      <c r="C822" s="1" t="n">
        <v>45473</v>
      </c>
      <c r="D822" t="inlineStr">
        <is>
          <t>ÖREBRO LÄN</t>
        </is>
      </c>
      <c r="E822" t="inlineStr">
        <is>
          <t>ÖREBRO</t>
        </is>
      </c>
      <c r="G822" t="n">
        <v>4.6</v>
      </c>
      <c r="H822" t="n">
        <v>0</v>
      </c>
      <c r="I822" t="n">
        <v>0</v>
      </c>
      <c r="J822" t="n">
        <v>0</v>
      </c>
      <c r="K822" t="n">
        <v>0</v>
      </c>
      <c r="L822" t="n">
        <v>0</v>
      </c>
      <c r="M822" t="n">
        <v>0</v>
      </c>
      <c r="N822" t="n">
        <v>0</v>
      </c>
      <c r="O822" t="n">
        <v>0</v>
      </c>
      <c r="P822" t="n">
        <v>0</v>
      </c>
      <c r="Q822" t="n">
        <v>0</v>
      </c>
      <c r="R822" s="2" t="inlineStr"/>
    </row>
    <row r="823" ht="15" customHeight="1">
      <c r="A823" t="inlineStr">
        <is>
          <t>A 59736-2023</t>
        </is>
      </c>
      <c r="B823" s="1" t="n">
        <v>45257</v>
      </c>
      <c r="C823" s="1" t="n">
        <v>45473</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59749-2023</t>
        </is>
      </c>
      <c r="B824" s="1" t="n">
        <v>45257</v>
      </c>
      <c r="C824" s="1" t="n">
        <v>45473</v>
      </c>
      <c r="D824" t="inlineStr">
        <is>
          <t>ÖREBRO LÄN</t>
        </is>
      </c>
      <c r="E824" t="inlineStr">
        <is>
          <t>ÖREBRO</t>
        </is>
      </c>
      <c r="G824" t="n">
        <v>5</v>
      </c>
      <c r="H824" t="n">
        <v>0</v>
      </c>
      <c r="I824" t="n">
        <v>0</v>
      </c>
      <c r="J824" t="n">
        <v>0</v>
      </c>
      <c r="K824" t="n">
        <v>0</v>
      </c>
      <c r="L824" t="n">
        <v>0</v>
      </c>
      <c r="M824" t="n">
        <v>0</v>
      </c>
      <c r="N824" t="n">
        <v>0</v>
      </c>
      <c r="O824" t="n">
        <v>0</v>
      </c>
      <c r="P824" t="n">
        <v>0</v>
      </c>
      <c r="Q824" t="n">
        <v>0</v>
      </c>
      <c r="R824" s="2" t="inlineStr"/>
    </row>
    <row r="825" ht="15" customHeight="1">
      <c r="A825" t="inlineStr">
        <is>
          <t>A 59873-2023</t>
        </is>
      </c>
      <c r="B825" s="1" t="n">
        <v>45257</v>
      </c>
      <c r="C825" s="1" t="n">
        <v>45473</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59757-2023</t>
        </is>
      </c>
      <c r="B826" s="1" t="n">
        <v>45257</v>
      </c>
      <c r="C826" s="1" t="n">
        <v>45473</v>
      </c>
      <c r="D826" t="inlineStr">
        <is>
          <t>ÖREBRO LÄN</t>
        </is>
      </c>
      <c r="E826" t="inlineStr">
        <is>
          <t>ÖREBRO</t>
        </is>
      </c>
      <c r="G826" t="n">
        <v>1</v>
      </c>
      <c r="H826" t="n">
        <v>0</v>
      </c>
      <c r="I826" t="n">
        <v>0</v>
      </c>
      <c r="J826" t="n">
        <v>0</v>
      </c>
      <c r="K826" t="n">
        <v>0</v>
      </c>
      <c r="L826" t="n">
        <v>0</v>
      </c>
      <c r="M826" t="n">
        <v>0</v>
      </c>
      <c r="N826" t="n">
        <v>0</v>
      </c>
      <c r="O826" t="n">
        <v>0</v>
      </c>
      <c r="P826" t="n">
        <v>0</v>
      </c>
      <c r="Q826" t="n">
        <v>0</v>
      </c>
      <c r="R826" s="2" t="inlineStr"/>
    </row>
    <row r="827" ht="15" customHeight="1">
      <c r="A827" t="inlineStr">
        <is>
          <t>A 60289-2023</t>
        </is>
      </c>
      <c r="B827" s="1" t="n">
        <v>45257</v>
      </c>
      <c r="C827" s="1" t="n">
        <v>45473</v>
      </c>
      <c r="D827" t="inlineStr">
        <is>
          <t>ÖREBRO LÄN</t>
        </is>
      </c>
      <c r="E827" t="inlineStr">
        <is>
          <t>ÖREBRO</t>
        </is>
      </c>
      <c r="G827" t="n">
        <v>10.9</v>
      </c>
      <c r="H827" t="n">
        <v>0</v>
      </c>
      <c r="I827" t="n">
        <v>0</v>
      </c>
      <c r="J827" t="n">
        <v>0</v>
      </c>
      <c r="K827" t="n">
        <v>0</v>
      </c>
      <c r="L827" t="n">
        <v>0</v>
      </c>
      <c r="M827" t="n">
        <v>0</v>
      </c>
      <c r="N827" t="n">
        <v>0</v>
      </c>
      <c r="O827" t="n">
        <v>0</v>
      </c>
      <c r="P827" t="n">
        <v>0</v>
      </c>
      <c r="Q827" t="n">
        <v>0</v>
      </c>
      <c r="R827" s="2" t="inlineStr"/>
    </row>
    <row r="828" ht="15" customHeight="1">
      <c r="A828" t="inlineStr">
        <is>
          <t>A 60126-2023</t>
        </is>
      </c>
      <c r="B828" s="1" t="n">
        <v>45258</v>
      </c>
      <c r="C828" s="1" t="n">
        <v>45473</v>
      </c>
      <c r="D828" t="inlineStr">
        <is>
          <t>ÖREBRO LÄN</t>
        </is>
      </c>
      <c r="E828" t="inlineStr">
        <is>
          <t>ÖREBRO</t>
        </is>
      </c>
      <c r="G828" t="n">
        <v>1.5</v>
      </c>
      <c r="H828" t="n">
        <v>0</v>
      </c>
      <c r="I828" t="n">
        <v>0</v>
      </c>
      <c r="J828" t="n">
        <v>0</v>
      </c>
      <c r="K828" t="n">
        <v>0</v>
      </c>
      <c r="L828" t="n">
        <v>0</v>
      </c>
      <c r="M828" t="n">
        <v>0</v>
      </c>
      <c r="N828" t="n">
        <v>0</v>
      </c>
      <c r="O828" t="n">
        <v>0</v>
      </c>
      <c r="P828" t="n">
        <v>0</v>
      </c>
      <c r="Q828" t="n">
        <v>0</v>
      </c>
      <c r="R828" s="2" t="inlineStr"/>
    </row>
    <row r="829" ht="15" customHeight="1">
      <c r="A829" t="inlineStr">
        <is>
          <t>A 60059-2023</t>
        </is>
      </c>
      <c r="B829" s="1" t="n">
        <v>45258</v>
      </c>
      <c r="C829" s="1" t="n">
        <v>45473</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60128-2023</t>
        </is>
      </c>
      <c r="B830" s="1" t="n">
        <v>45258</v>
      </c>
      <c r="C830" s="1" t="n">
        <v>45473</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60312-2023</t>
        </is>
      </c>
      <c r="B831" s="1" t="n">
        <v>45258</v>
      </c>
      <c r="C831" s="1" t="n">
        <v>45473</v>
      </c>
      <c r="D831" t="inlineStr">
        <is>
          <t>ÖREBRO LÄN</t>
        </is>
      </c>
      <c r="E831" t="inlineStr">
        <is>
          <t>ÖREBRO</t>
        </is>
      </c>
      <c r="G831" t="n">
        <v>2</v>
      </c>
      <c r="H831" t="n">
        <v>0</v>
      </c>
      <c r="I831" t="n">
        <v>0</v>
      </c>
      <c r="J831" t="n">
        <v>0</v>
      </c>
      <c r="K831" t="n">
        <v>0</v>
      </c>
      <c r="L831" t="n">
        <v>0</v>
      </c>
      <c r="M831" t="n">
        <v>0</v>
      </c>
      <c r="N831" t="n">
        <v>0</v>
      </c>
      <c r="O831" t="n">
        <v>0</v>
      </c>
      <c r="P831" t="n">
        <v>0</v>
      </c>
      <c r="Q831" t="n">
        <v>0</v>
      </c>
      <c r="R831" s="2" t="inlineStr"/>
    </row>
    <row r="832" ht="15" customHeight="1">
      <c r="A832" t="inlineStr">
        <is>
          <t>A 60352-2023</t>
        </is>
      </c>
      <c r="B832" s="1" t="n">
        <v>45258</v>
      </c>
      <c r="C832" s="1" t="n">
        <v>45473</v>
      </c>
      <c r="D832" t="inlineStr">
        <is>
          <t>ÖREBRO LÄN</t>
        </is>
      </c>
      <c r="E832" t="inlineStr">
        <is>
          <t>ÖREBRO</t>
        </is>
      </c>
      <c r="G832" t="n">
        <v>13.7</v>
      </c>
      <c r="H832" t="n">
        <v>0</v>
      </c>
      <c r="I832" t="n">
        <v>0</v>
      </c>
      <c r="J832" t="n">
        <v>0</v>
      </c>
      <c r="K832" t="n">
        <v>0</v>
      </c>
      <c r="L832" t="n">
        <v>0</v>
      </c>
      <c r="M832" t="n">
        <v>0</v>
      </c>
      <c r="N832" t="n">
        <v>0</v>
      </c>
      <c r="O832" t="n">
        <v>0</v>
      </c>
      <c r="P832" t="n">
        <v>0</v>
      </c>
      <c r="Q832" t="n">
        <v>0</v>
      </c>
      <c r="R832" s="2" t="inlineStr"/>
    </row>
    <row r="833" ht="15" customHeight="1">
      <c r="A833" t="inlineStr">
        <is>
          <t>A 61593-2023</t>
        </is>
      </c>
      <c r="B833" s="1" t="n">
        <v>45265</v>
      </c>
      <c r="C833" s="1" t="n">
        <v>45473</v>
      </c>
      <c r="D833" t="inlineStr">
        <is>
          <t>ÖREBRO LÄN</t>
        </is>
      </c>
      <c r="E833" t="inlineStr">
        <is>
          <t>ÖREBRO</t>
        </is>
      </c>
      <c r="G833" t="n">
        <v>2.5</v>
      </c>
      <c r="H833" t="n">
        <v>0</v>
      </c>
      <c r="I833" t="n">
        <v>0</v>
      </c>
      <c r="J833" t="n">
        <v>0</v>
      </c>
      <c r="K833" t="n">
        <v>0</v>
      </c>
      <c r="L833" t="n">
        <v>0</v>
      </c>
      <c r="M833" t="n">
        <v>0</v>
      </c>
      <c r="N833" t="n">
        <v>0</v>
      </c>
      <c r="O833" t="n">
        <v>0</v>
      </c>
      <c r="P833" t="n">
        <v>0</v>
      </c>
      <c r="Q833" t="n">
        <v>0</v>
      </c>
      <c r="R833" s="2" t="inlineStr"/>
    </row>
    <row r="834" ht="15" customHeight="1">
      <c r="A834" t="inlineStr">
        <is>
          <t>A 62511-2023</t>
        </is>
      </c>
      <c r="B834" s="1" t="n">
        <v>45268</v>
      </c>
      <c r="C834" s="1" t="n">
        <v>45473</v>
      </c>
      <c r="D834" t="inlineStr">
        <is>
          <t>ÖREBRO LÄN</t>
        </is>
      </c>
      <c r="E834" t="inlineStr">
        <is>
          <t>ÖREBRO</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62497-2023</t>
        </is>
      </c>
      <c r="B835" s="1" t="n">
        <v>45268</v>
      </c>
      <c r="C835" s="1" t="n">
        <v>45473</v>
      </c>
      <c r="D835" t="inlineStr">
        <is>
          <t>ÖREBRO LÄN</t>
        </is>
      </c>
      <c r="E835" t="inlineStr">
        <is>
          <t>ÖREBRO</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62995-2023</t>
        </is>
      </c>
      <c r="B836" s="1" t="n">
        <v>45272</v>
      </c>
      <c r="C836" s="1" t="n">
        <v>45473</v>
      </c>
      <c r="D836" t="inlineStr">
        <is>
          <t>ÖREBRO LÄN</t>
        </is>
      </c>
      <c r="E836" t="inlineStr">
        <is>
          <t>ÖREBRO</t>
        </is>
      </c>
      <c r="G836" t="n">
        <v>2.6</v>
      </c>
      <c r="H836" t="n">
        <v>0</v>
      </c>
      <c r="I836" t="n">
        <v>0</v>
      </c>
      <c r="J836" t="n">
        <v>0</v>
      </c>
      <c r="K836" t="n">
        <v>0</v>
      </c>
      <c r="L836" t="n">
        <v>0</v>
      </c>
      <c r="M836" t="n">
        <v>0</v>
      </c>
      <c r="N836" t="n">
        <v>0</v>
      </c>
      <c r="O836" t="n">
        <v>0</v>
      </c>
      <c r="P836" t="n">
        <v>0</v>
      </c>
      <c r="Q836" t="n">
        <v>0</v>
      </c>
      <c r="R836" s="2" t="inlineStr"/>
    </row>
    <row r="837" ht="15" customHeight="1">
      <c r="A837" t="inlineStr">
        <is>
          <t>A 63142-2023</t>
        </is>
      </c>
      <c r="B837" s="1" t="n">
        <v>45273</v>
      </c>
      <c r="C837" s="1" t="n">
        <v>45473</v>
      </c>
      <c r="D837" t="inlineStr">
        <is>
          <t>ÖREBRO LÄN</t>
        </is>
      </c>
      <c r="E837" t="inlineStr">
        <is>
          <t>ÖREBRO</t>
        </is>
      </c>
      <c r="G837" t="n">
        <v>1.8</v>
      </c>
      <c r="H837" t="n">
        <v>0</v>
      </c>
      <c r="I837" t="n">
        <v>0</v>
      </c>
      <c r="J837" t="n">
        <v>0</v>
      </c>
      <c r="K837" t="n">
        <v>0</v>
      </c>
      <c r="L837" t="n">
        <v>0</v>
      </c>
      <c r="M837" t="n">
        <v>0</v>
      </c>
      <c r="N837" t="n">
        <v>0</v>
      </c>
      <c r="O837" t="n">
        <v>0</v>
      </c>
      <c r="P837" t="n">
        <v>0</v>
      </c>
      <c r="Q837" t="n">
        <v>0</v>
      </c>
      <c r="R837" s="2" t="inlineStr"/>
    </row>
    <row r="838" ht="15" customHeight="1">
      <c r="A838" t="inlineStr">
        <is>
          <t>A 63342-2023</t>
        </is>
      </c>
      <c r="B838" s="1" t="n">
        <v>45274</v>
      </c>
      <c r="C838" s="1" t="n">
        <v>45473</v>
      </c>
      <c r="D838" t="inlineStr">
        <is>
          <t>ÖREBRO LÄN</t>
        </is>
      </c>
      <c r="E838" t="inlineStr">
        <is>
          <t>ÖREBRO</t>
        </is>
      </c>
      <c r="G838" t="n">
        <v>1.9</v>
      </c>
      <c r="H838" t="n">
        <v>0</v>
      </c>
      <c r="I838" t="n">
        <v>0</v>
      </c>
      <c r="J838" t="n">
        <v>0</v>
      </c>
      <c r="K838" t="n">
        <v>0</v>
      </c>
      <c r="L838" t="n">
        <v>0</v>
      </c>
      <c r="M838" t="n">
        <v>0</v>
      </c>
      <c r="N838" t="n">
        <v>0</v>
      </c>
      <c r="O838" t="n">
        <v>0</v>
      </c>
      <c r="P838" t="n">
        <v>0</v>
      </c>
      <c r="Q838" t="n">
        <v>0</v>
      </c>
      <c r="R838" s="2" t="inlineStr"/>
    </row>
    <row r="839" ht="15" customHeight="1">
      <c r="A839" t="inlineStr">
        <is>
          <t>A 64611-2023</t>
        </is>
      </c>
      <c r="B839" s="1" t="n">
        <v>45281</v>
      </c>
      <c r="C839" s="1" t="n">
        <v>45473</v>
      </c>
      <c r="D839" t="inlineStr">
        <is>
          <t>ÖREBRO LÄN</t>
        </is>
      </c>
      <c r="E839" t="inlineStr">
        <is>
          <t>ÖREBRO</t>
        </is>
      </c>
      <c r="G839" t="n">
        <v>9.4</v>
      </c>
      <c r="H839" t="n">
        <v>0</v>
      </c>
      <c r="I839" t="n">
        <v>0</v>
      </c>
      <c r="J839" t="n">
        <v>0</v>
      </c>
      <c r="K839" t="n">
        <v>0</v>
      </c>
      <c r="L839" t="n">
        <v>0</v>
      </c>
      <c r="M839" t="n">
        <v>0</v>
      </c>
      <c r="N839" t="n">
        <v>0</v>
      </c>
      <c r="O839" t="n">
        <v>0</v>
      </c>
      <c r="P839" t="n">
        <v>0</v>
      </c>
      <c r="Q839" t="n">
        <v>0</v>
      </c>
      <c r="R839" s="2" t="inlineStr"/>
    </row>
    <row r="840" ht="15" customHeight="1">
      <c r="A840" t="inlineStr">
        <is>
          <t>A 64730-2023</t>
        </is>
      </c>
      <c r="B840" s="1" t="n">
        <v>45281</v>
      </c>
      <c r="C840" s="1" t="n">
        <v>45473</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64968-2023</t>
        </is>
      </c>
      <c r="B841" s="1" t="n">
        <v>45283</v>
      </c>
      <c r="C841" s="1" t="n">
        <v>45473</v>
      </c>
      <c r="D841" t="inlineStr">
        <is>
          <t>ÖREBRO LÄN</t>
        </is>
      </c>
      <c r="E841" t="inlineStr">
        <is>
          <t>ÖREBRO</t>
        </is>
      </c>
      <c r="G841" t="n">
        <v>2.1</v>
      </c>
      <c r="H841" t="n">
        <v>0</v>
      </c>
      <c r="I841" t="n">
        <v>0</v>
      </c>
      <c r="J841" t="n">
        <v>0</v>
      </c>
      <c r="K841" t="n">
        <v>0</v>
      </c>
      <c r="L841" t="n">
        <v>0</v>
      </c>
      <c r="M841" t="n">
        <v>0</v>
      </c>
      <c r="N841" t="n">
        <v>0</v>
      </c>
      <c r="O841" t="n">
        <v>0</v>
      </c>
      <c r="P841" t="n">
        <v>0</v>
      </c>
      <c r="Q841" t="n">
        <v>0</v>
      </c>
      <c r="R841" s="2" t="inlineStr"/>
    </row>
    <row r="842" ht="15" customHeight="1">
      <c r="A842" t="inlineStr">
        <is>
          <t>A 65025-2023</t>
        </is>
      </c>
      <c r="B842" s="1" t="n">
        <v>45287</v>
      </c>
      <c r="C842" s="1" t="n">
        <v>45473</v>
      </c>
      <c r="D842" t="inlineStr">
        <is>
          <t>ÖREBRO LÄN</t>
        </is>
      </c>
      <c r="E842" t="inlineStr">
        <is>
          <t>ÖREBRO</t>
        </is>
      </c>
      <c r="G842" t="n">
        <v>8.9</v>
      </c>
      <c r="H842" t="n">
        <v>0</v>
      </c>
      <c r="I842" t="n">
        <v>0</v>
      </c>
      <c r="J842" t="n">
        <v>0</v>
      </c>
      <c r="K842" t="n">
        <v>0</v>
      </c>
      <c r="L842" t="n">
        <v>0</v>
      </c>
      <c r="M842" t="n">
        <v>0</v>
      </c>
      <c r="N842" t="n">
        <v>0</v>
      </c>
      <c r="O842" t="n">
        <v>0</v>
      </c>
      <c r="P842" t="n">
        <v>0</v>
      </c>
      <c r="Q842" t="n">
        <v>0</v>
      </c>
      <c r="R842" s="2" t="inlineStr"/>
    </row>
    <row r="843" ht="15" customHeight="1">
      <c r="A843" t="inlineStr">
        <is>
          <t>A 65257-2023</t>
        </is>
      </c>
      <c r="B843" s="1" t="n">
        <v>45290</v>
      </c>
      <c r="C843" s="1" t="n">
        <v>45473</v>
      </c>
      <c r="D843" t="inlineStr">
        <is>
          <t>ÖREBRO LÄN</t>
        </is>
      </c>
      <c r="E843" t="inlineStr">
        <is>
          <t>ÖREBRO</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65256-2023</t>
        </is>
      </c>
      <c r="B844" s="1" t="n">
        <v>45290</v>
      </c>
      <c r="C844" s="1" t="n">
        <v>45473</v>
      </c>
      <c r="D844" t="inlineStr">
        <is>
          <t>ÖREBRO LÄN</t>
        </is>
      </c>
      <c r="E844" t="inlineStr">
        <is>
          <t>ÖREBRO</t>
        </is>
      </c>
      <c r="F844" t="inlineStr">
        <is>
          <t>Övriga Aktiebolag</t>
        </is>
      </c>
      <c r="G844" t="n">
        <v>1.2</v>
      </c>
      <c r="H844" t="n">
        <v>0</v>
      </c>
      <c r="I844" t="n">
        <v>0</v>
      </c>
      <c r="J844" t="n">
        <v>0</v>
      </c>
      <c r="K844" t="n">
        <v>0</v>
      </c>
      <c r="L844" t="n">
        <v>0</v>
      </c>
      <c r="M844" t="n">
        <v>0</v>
      </c>
      <c r="N844" t="n">
        <v>0</v>
      </c>
      <c r="O844" t="n">
        <v>0</v>
      </c>
      <c r="P844" t="n">
        <v>0</v>
      </c>
      <c r="Q844" t="n">
        <v>0</v>
      </c>
      <c r="R844" s="2" t="inlineStr"/>
    </row>
    <row r="845" ht="15" customHeight="1">
      <c r="A845" t="inlineStr">
        <is>
          <t>A 3-2024</t>
        </is>
      </c>
      <c r="B845" s="1" t="n">
        <v>45292</v>
      </c>
      <c r="C845" s="1" t="n">
        <v>45473</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187-2024</t>
        </is>
      </c>
      <c r="B846" s="1" t="n">
        <v>45294</v>
      </c>
      <c r="C846" s="1" t="n">
        <v>45473</v>
      </c>
      <c r="D846" t="inlineStr">
        <is>
          <t>ÖREBRO LÄN</t>
        </is>
      </c>
      <c r="E846" t="inlineStr">
        <is>
          <t>ÖREBRO</t>
        </is>
      </c>
      <c r="G846" t="n">
        <v>5.9</v>
      </c>
      <c r="H846" t="n">
        <v>0</v>
      </c>
      <c r="I846" t="n">
        <v>0</v>
      </c>
      <c r="J846" t="n">
        <v>0</v>
      </c>
      <c r="K846" t="n">
        <v>0</v>
      </c>
      <c r="L846" t="n">
        <v>0</v>
      </c>
      <c r="M846" t="n">
        <v>0</v>
      </c>
      <c r="N846" t="n">
        <v>0</v>
      </c>
      <c r="O846" t="n">
        <v>0</v>
      </c>
      <c r="P846" t="n">
        <v>0</v>
      </c>
      <c r="Q846" t="n">
        <v>0</v>
      </c>
      <c r="R846" s="2" t="inlineStr"/>
    </row>
    <row r="847" ht="15" customHeight="1">
      <c r="A847" t="inlineStr">
        <is>
          <t>A 190-2024</t>
        </is>
      </c>
      <c r="B847" s="1" t="n">
        <v>45294</v>
      </c>
      <c r="C847" s="1" t="n">
        <v>45473</v>
      </c>
      <c r="D847" t="inlineStr">
        <is>
          <t>ÖREBRO LÄN</t>
        </is>
      </c>
      <c r="E847" t="inlineStr">
        <is>
          <t>ÖREBRO</t>
        </is>
      </c>
      <c r="G847" t="n">
        <v>2.4</v>
      </c>
      <c r="H847" t="n">
        <v>0</v>
      </c>
      <c r="I847" t="n">
        <v>0</v>
      </c>
      <c r="J847" t="n">
        <v>0</v>
      </c>
      <c r="K847" t="n">
        <v>0</v>
      </c>
      <c r="L847" t="n">
        <v>0</v>
      </c>
      <c r="M847" t="n">
        <v>0</v>
      </c>
      <c r="N847" t="n">
        <v>0</v>
      </c>
      <c r="O847" t="n">
        <v>0</v>
      </c>
      <c r="P847" t="n">
        <v>0</v>
      </c>
      <c r="Q847" t="n">
        <v>0</v>
      </c>
      <c r="R847" s="2" t="inlineStr"/>
    </row>
    <row r="848" ht="15" customHeight="1">
      <c r="A848" t="inlineStr">
        <is>
          <t>A 575-2024</t>
        </is>
      </c>
      <c r="B848" s="1" t="n">
        <v>45299</v>
      </c>
      <c r="C848" s="1" t="n">
        <v>45473</v>
      </c>
      <c r="D848" t="inlineStr">
        <is>
          <t>ÖREBRO LÄN</t>
        </is>
      </c>
      <c r="E848" t="inlineStr">
        <is>
          <t>ÖREBRO</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587-2024</t>
        </is>
      </c>
      <c r="B849" s="1" t="n">
        <v>45299</v>
      </c>
      <c r="C849" s="1" t="n">
        <v>45473</v>
      </c>
      <c r="D849" t="inlineStr">
        <is>
          <t>ÖREBRO LÄN</t>
        </is>
      </c>
      <c r="E849" t="inlineStr">
        <is>
          <t>ÖREBRO</t>
        </is>
      </c>
      <c r="F849" t="inlineStr">
        <is>
          <t>Övriga Aktiebolag</t>
        </is>
      </c>
      <c r="G849" t="n">
        <v>6.4</v>
      </c>
      <c r="H849" t="n">
        <v>0</v>
      </c>
      <c r="I849" t="n">
        <v>0</v>
      </c>
      <c r="J849" t="n">
        <v>0</v>
      </c>
      <c r="K849" t="n">
        <v>0</v>
      </c>
      <c r="L849" t="n">
        <v>0</v>
      </c>
      <c r="M849" t="n">
        <v>0</v>
      </c>
      <c r="N849" t="n">
        <v>0</v>
      </c>
      <c r="O849" t="n">
        <v>0</v>
      </c>
      <c r="P849" t="n">
        <v>0</v>
      </c>
      <c r="Q849" t="n">
        <v>0</v>
      </c>
      <c r="R849" s="2" t="inlineStr"/>
    </row>
    <row r="850" ht="15" customHeight="1">
      <c r="A850" t="inlineStr">
        <is>
          <t>A 681-2024</t>
        </is>
      </c>
      <c r="B850" s="1" t="n">
        <v>45300</v>
      </c>
      <c r="C850" s="1" t="n">
        <v>45473</v>
      </c>
      <c r="D850" t="inlineStr">
        <is>
          <t>ÖREBRO LÄN</t>
        </is>
      </c>
      <c r="E850" t="inlineStr">
        <is>
          <t>ÖREBRO</t>
        </is>
      </c>
      <c r="G850" t="n">
        <v>3.3</v>
      </c>
      <c r="H850" t="n">
        <v>0</v>
      </c>
      <c r="I850" t="n">
        <v>0</v>
      </c>
      <c r="J850" t="n">
        <v>0</v>
      </c>
      <c r="K850" t="n">
        <v>0</v>
      </c>
      <c r="L850" t="n">
        <v>0</v>
      </c>
      <c r="M850" t="n">
        <v>0</v>
      </c>
      <c r="N850" t="n">
        <v>0</v>
      </c>
      <c r="O850" t="n">
        <v>0</v>
      </c>
      <c r="P850" t="n">
        <v>0</v>
      </c>
      <c r="Q850" t="n">
        <v>0</v>
      </c>
      <c r="R850" s="2" t="inlineStr"/>
    </row>
    <row r="851" ht="15" customHeight="1">
      <c r="A851" t="inlineStr">
        <is>
          <t>A 767-2024</t>
        </is>
      </c>
      <c r="B851" s="1" t="n">
        <v>45300</v>
      </c>
      <c r="C851" s="1" t="n">
        <v>45473</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764-2024</t>
        </is>
      </c>
      <c r="B852" s="1" t="n">
        <v>45300</v>
      </c>
      <c r="C852" s="1" t="n">
        <v>45473</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1013-2024</t>
        </is>
      </c>
      <c r="B853" s="1" t="n">
        <v>45301</v>
      </c>
      <c r="C853" s="1" t="n">
        <v>45473</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1014-2024</t>
        </is>
      </c>
      <c r="B854" s="1" t="n">
        <v>45301</v>
      </c>
      <c r="C854" s="1" t="n">
        <v>45473</v>
      </c>
      <c r="D854" t="inlineStr">
        <is>
          <t>ÖREBRO LÄN</t>
        </is>
      </c>
      <c r="E854" t="inlineStr">
        <is>
          <t>ÖREBRO</t>
        </is>
      </c>
      <c r="G854" t="n">
        <v>1.4</v>
      </c>
      <c r="H854" t="n">
        <v>0</v>
      </c>
      <c r="I854" t="n">
        <v>0</v>
      </c>
      <c r="J854" t="n">
        <v>0</v>
      </c>
      <c r="K854" t="n">
        <v>0</v>
      </c>
      <c r="L854" t="n">
        <v>0</v>
      </c>
      <c r="M854" t="n">
        <v>0</v>
      </c>
      <c r="N854" t="n">
        <v>0</v>
      </c>
      <c r="O854" t="n">
        <v>0</v>
      </c>
      <c r="P854" t="n">
        <v>0</v>
      </c>
      <c r="Q854" t="n">
        <v>0</v>
      </c>
      <c r="R854" s="2" t="inlineStr"/>
    </row>
    <row r="855" ht="15" customHeight="1">
      <c r="A855" t="inlineStr">
        <is>
          <t>A 1262-2024</t>
        </is>
      </c>
      <c r="B855" s="1" t="n">
        <v>45302</v>
      </c>
      <c r="C855" s="1" t="n">
        <v>45473</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1261-2024</t>
        </is>
      </c>
      <c r="B856" s="1" t="n">
        <v>45302</v>
      </c>
      <c r="C856" s="1" t="n">
        <v>45473</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1260-2024</t>
        </is>
      </c>
      <c r="B857" s="1" t="n">
        <v>45302</v>
      </c>
      <c r="C857" s="1" t="n">
        <v>45473</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1647-2024</t>
        </is>
      </c>
      <c r="B858" s="1" t="n">
        <v>45306</v>
      </c>
      <c r="C858" s="1" t="n">
        <v>45473</v>
      </c>
      <c r="D858" t="inlineStr">
        <is>
          <t>ÖREBRO LÄN</t>
        </is>
      </c>
      <c r="E858" t="inlineStr">
        <is>
          <t>ÖREBRO</t>
        </is>
      </c>
      <c r="G858" t="n">
        <v>1.3</v>
      </c>
      <c r="H858" t="n">
        <v>0</v>
      </c>
      <c r="I858" t="n">
        <v>0</v>
      </c>
      <c r="J858" t="n">
        <v>0</v>
      </c>
      <c r="K858" t="n">
        <v>0</v>
      </c>
      <c r="L858" t="n">
        <v>0</v>
      </c>
      <c r="M858" t="n">
        <v>0</v>
      </c>
      <c r="N858" t="n">
        <v>0</v>
      </c>
      <c r="O858" t="n">
        <v>0</v>
      </c>
      <c r="P858" t="n">
        <v>0</v>
      </c>
      <c r="Q858" t="n">
        <v>0</v>
      </c>
      <c r="R858" s="2" t="inlineStr"/>
    </row>
    <row r="859" ht="15" customHeight="1">
      <c r="A859" t="inlineStr">
        <is>
          <t>A 1800-2024</t>
        </is>
      </c>
      <c r="B859" s="1" t="n">
        <v>45307</v>
      </c>
      <c r="C859" s="1" t="n">
        <v>45473</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3767-2024</t>
        </is>
      </c>
      <c r="B860" s="1" t="n">
        <v>45321</v>
      </c>
      <c r="C860" s="1" t="n">
        <v>45473</v>
      </c>
      <c r="D860" t="inlineStr">
        <is>
          <t>ÖREBRO LÄN</t>
        </is>
      </c>
      <c r="E860" t="inlineStr">
        <is>
          <t>ÖREBRO</t>
        </is>
      </c>
      <c r="G860" t="n">
        <v>5.2</v>
      </c>
      <c r="H860" t="n">
        <v>0</v>
      </c>
      <c r="I860" t="n">
        <v>0</v>
      </c>
      <c r="J860" t="n">
        <v>0</v>
      </c>
      <c r="K860" t="n">
        <v>0</v>
      </c>
      <c r="L860" t="n">
        <v>0</v>
      </c>
      <c r="M860" t="n">
        <v>0</v>
      </c>
      <c r="N860" t="n">
        <v>0</v>
      </c>
      <c r="O860" t="n">
        <v>0</v>
      </c>
      <c r="P860" t="n">
        <v>0</v>
      </c>
      <c r="Q860" t="n">
        <v>0</v>
      </c>
      <c r="R860" s="2" t="inlineStr"/>
    </row>
    <row r="861" ht="15" customHeight="1">
      <c r="A861" t="inlineStr">
        <is>
          <t>A 3891-2024</t>
        </is>
      </c>
      <c r="B861" s="1" t="n">
        <v>45322</v>
      </c>
      <c r="C861" s="1" t="n">
        <v>45473</v>
      </c>
      <c r="D861" t="inlineStr">
        <is>
          <t>ÖREBRO LÄN</t>
        </is>
      </c>
      <c r="E861" t="inlineStr">
        <is>
          <t>ÖREBRO</t>
        </is>
      </c>
      <c r="F861" t="inlineStr">
        <is>
          <t>Övriga Aktiebolag</t>
        </is>
      </c>
      <c r="G861" t="n">
        <v>5.3</v>
      </c>
      <c r="H861" t="n">
        <v>0</v>
      </c>
      <c r="I861" t="n">
        <v>0</v>
      </c>
      <c r="J861" t="n">
        <v>0</v>
      </c>
      <c r="K861" t="n">
        <v>0</v>
      </c>
      <c r="L861" t="n">
        <v>0</v>
      </c>
      <c r="M861" t="n">
        <v>0</v>
      </c>
      <c r="N861" t="n">
        <v>0</v>
      </c>
      <c r="O861" t="n">
        <v>0</v>
      </c>
      <c r="P861" t="n">
        <v>0</v>
      </c>
      <c r="Q861" t="n">
        <v>0</v>
      </c>
      <c r="R861" s="2" t="inlineStr"/>
    </row>
    <row r="862" ht="15" customHeight="1">
      <c r="A862" t="inlineStr">
        <is>
          <t>A 4757-2024</t>
        </is>
      </c>
      <c r="B862" s="1" t="n">
        <v>45328</v>
      </c>
      <c r="C862" s="1" t="n">
        <v>45473</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5127-2024</t>
        </is>
      </c>
      <c r="B863" s="1" t="n">
        <v>45330</v>
      </c>
      <c r="C863" s="1" t="n">
        <v>45473</v>
      </c>
      <c r="D863" t="inlineStr">
        <is>
          <t>ÖREBRO LÄN</t>
        </is>
      </c>
      <c r="E863" t="inlineStr">
        <is>
          <t>ÖREBRO</t>
        </is>
      </c>
      <c r="G863" t="n">
        <v>2.2</v>
      </c>
      <c r="H863" t="n">
        <v>0</v>
      </c>
      <c r="I863" t="n">
        <v>0</v>
      </c>
      <c r="J863" t="n">
        <v>0</v>
      </c>
      <c r="K863" t="n">
        <v>0</v>
      </c>
      <c r="L863" t="n">
        <v>0</v>
      </c>
      <c r="M863" t="n">
        <v>0</v>
      </c>
      <c r="N863" t="n">
        <v>0</v>
      </c>
      <c r="O863" t="n">
        <v>0</v>
      </c>
      <c r="P863" t="n">
        <v>0</v>
      </c>
      <c r="Q863" t="n">
        <v>0</v>
      </c>
      <c r="R863" s="2" t="inlineStr"/>
    </row>
    <row r="864" ht="15" customHeight="1">
      <c r="A864" t="inlineStr">
        <is>
          <t>A 5135-2024</t>
        </is>
      </c>
      <c r="B864" s="1" t="n">
        <v>45330</v>
      </c>
      <c r="C864" s="1" t="n">
        <v>45473</v>
      </c>
      <c r="D864" t="inlineStr">
        <is>
          <t>ÖREBRO LÄN</t>
        </is>
      </c>
      <c r="E864" t="inlineStr">
        <is>
          <t>ÖREBRO</t>
        </is>
      </c>
      <c r="G864" t="n">
        <v>0.8</v>
      </c>
      <c r="H864" t="n">
        <v>0</v>
      </c>
      <c r="I864" t="n">
        <v>0</v>
      </c>
      <c r="J864" t="n">
        <v>0</v>
      </c>
      <c r="K864" t="n">
        <v>0</v>
      </c>
      <c r="L864" t="n">
        <v>0</v>
      </c>
      <c r="M864" t="n">
        <v>0</v>
      </c>
      <c r="N864" t="n">
        <v>0</v>
      </c>
      <c r="O864" t="n">
        <v>0</v>
      </c>
      <c r="P864" t="n">
        <v>0</v>
      </c>
      <c r="Q864" t="n">
        <v>0</v>
      </c>
      <c r="R864" s="2" t="inlineStr"/>
    </row>
    <row r="865" ht="15" customHeight="1">
      <c r="A865" t="inlineStr">
        <is>
          <t>A 5136-2024</t>
        </is>
      </c>
      <c r="B865" s="1" t="n">
        <v>45330</v>
      </c>
      <c r="C865" s="1" t="n">
        <v>45473</v>
      </c>
      <c r="D865" t="inlineStr">
        <is>
          <t>ÖREBRO LÄN</t>
        </is>
      </c>
      <c r="E865" t="inlineStr">
        <is>
          <t>ÖREBRO</t>
        </is>
      </c>
      <c r="G865" t="n">
        <v>2.1</v>
      </c>
      <c r="H865" t="n">
        <v>0</v>
      </c>
      <c r="I865" t="n">
        <v>0</v>
      </c>
      <c r="J865" t="n">
        <v>0</v>
      </c>
      <c r="K865" t="n">
        <v>0</v>
      </c>
      <c r="L865" t="n">
        <v>0</v>
      </c>
      <c r="M865" t="n">
        <v>0</v>
      </c>
      <c r="N865" t="n">
        <v>0</v>
      </c>
      <c r="O865" t="n">
        <v>0</v>
      </c>
      <c r="P865" t="n">
        <v>0</v>
      </c>
      <c r="Q865" t="n">
        <v>0</v>
      </c>
      <c r="R865" s="2" t="inlineStr"/>
    </row>
    <row r="866" ht="15" customHeight="1">
      <c r="A866" t="inlineStr">
        <is>
          <t>A 5113-2024</t>
        </is>
      </c>
      <c r="B866" s="1" t="n">
        <v>45330</v>
      </c>
      <c r="C866" s="1" t="n">
        <v>45473</v>
      </c>
      <c r="D866" t="inlineStr">
        <is>
          <t>ÖREBRO LÄN</t>
        </is>
      </c>
      <c r="E866" t="inlineStr">
        <is>
          <t>ÖREBRO</t>
        </is>
      </c>
      <c r="G866" t="n">
        <v>1.7</v>
      </c>
      <c r="H866" t="n">
        <v>0</v>
      </c>
      <c r="I866" t="n">
        <v>0</v>
      </c>
      <c r="J866" t="n">
        <v>0</v>
      </c>
      <c r="K866" t="n">
        <v>0</v>
      </c>
      <c r="L866" t="n">
        <v>0</v>
      </c>
      <c r="M866" t="n">
        <v>0</v>
      </c>
      <c r="N866" t="n">
        <v>0</v>
      </c>
      <c r="O866" t="n">
        <v>0</v>
      </c>
      <c r="P866" t="n">
        <v>0</v>
      </c>
      <c r="Q866" t="n">
        <v>0</v>
      </c>
      <c r="R866" s="2" t="inlineStr"/>
    </row>
    <row r="867" ht="15" customHeight="1">
      <c r="A867" t="inlineStr">
        <is>
          <t>A 5125-2024</t>
        </is>
      </c>
      <c r="B867" s="1" t="n">
        <v>45330</v>
      </c>
      <c r="C867" s="1" t="n">
        <v>45473</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5129-2024</t>
        </is>
      </c>
      <c r="B868" s="1" t="n">
        <v>45330</v>
      </c>
      <c r="C868" s="1" t="n">
        <v>45473</v>
      </c>
      <c r="D868" t="inlineStr">
        <is>
          <t>ÖREBRO LÄN</t>
        </is>
      </c>
      <c r="E868" t="inlineStr">
        <is>
          <t>ÖREBRO</t>
        </is>
      </c>
      <c r="G868" t="n">
        <v>0.5</v>
      </c>
      <c r="H868" t="n">
        <v>0</v>
      </c>
      <c r="I868" t="n">
        <v>0</v>
      </c>
      <c r="J868" t="n">
        <v>0</v>
      </c>
      <c r="K868" t="n">
        <v>0</v>
      </c>
      <c r="L868" t="n">
        <v>0</v>
      </c>
      <c r="M868" t="n">
        <v>0</v>
      </c>
      <c r="N868" t="n">
        <v>0</v>
      </c>
      <c r="O868" t="n">
        <v>0</v>
      </c>
      <c r="P868" t="n">
        <v>0</v>
      </c>
      <c r="Q868" t="n">
        <v>0</v>
      </c>
      <c r="R868" s="2" t="inlineStr"/>
    </row>
    <row r="869" ht="15" customHeight="1">
      <c r="A869" t="inlineStr">
        <is>
          <t>A 5133-2024</t>
        </is>
      </c>
      <c r="B869" s="1" t="n">
        <v>45330</v>
      </c>
      <c r="C869" s="1" t="n">
        <v>45473</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5324-2024</t>
        </is>
      </c>
      <c r="B870" s="1" t="n">
        <v>45331</v>
      </c>
      <c r="C870" s="1" t="n">
        <v>45473</v>
      </c>
      <c r="D870" t="inlineStr">
        <is>
          <t>ÖREBRO LÄN</t>
        </is>
      </c>
      <c r="E870" t="inlineStr">
        <is>
          <t>ÖREBRO</t>
        </is>
      </c>
      <c r="G870" t="n">
        <v>1.5</v>
      </c>
      <c r="H870" t="n">
        <v>0</v>
      </c>
      <c r="I870" t="n">
        <v>0</v>
      </c>
      <c r="J870" t="n">
        <v>0</v>
      </c>
      <c r="K870" t="n">
        <v>0</v>
      </c>
      <c r="L870" t="n">
        <v>0</v>
      </c>
      <c r="M870" t="n">
        <v>0</v>
      </c>
      <c r="N870" t="n">
        <v>0</v>
      </c>
      <c r="O870" t="n">
        <v>0</v>
      </c>
      <c r="P870" t="n">
        <v>0</v>
      </c>
      <c r="Q870" t="n">
        <v>0</v>
      </c>
      <c r="R870" s="2" t="inlineStr"/>
    </row>
    <row r="871" ht="15" customHeight="1">
      <c r="A871" t="inlineStr">
        <is>
          <t>A 5342-2024</t>
        </is>
      </c>
      <c r="B871" s="1" t="n">
        <v>45331</v>
      </c>
      <c r="C871" s="1" t="n">
        <v>45473</v>
      </c>
      <c r="D871" t="inlineStr">
        <is>
          <t>ÖREBRO LÄN</t>
        </is>
      </c>
      <c r="E871" t="inlineStr">
        <is>
          <t>ÖREBRO</t>
        </is>
      </c>
      <c r="G871" t="n">
        <v>2.5</v>
      </c>
      <c r="H871" t="n">
        <v>0</v>
      </c>
      <c r="I871" t="n">
        <v>0</v>
      </c>
      <c r="J871" t="n">
        <v>0</v>
      </c>
      <c r="K871" t="n">
        <v>0</v>
      </c>
      <c r="L871" t="n">
        <v>0</v>
      </c>
      <c r="M871" t="n">
        <v>0</v>
      </c>
      <c r="N871" t="n">
        <v>0</v>
      </c>
      <c r="O871" t="n">
        <v>0</v>
      </c>
      <c r="P871" t="n">
        <v>0</v>
      </c>
      <c r="Q871" t="n">
        <v>0</v>
      </c>
      <c r="R871" s="2" t="inlineStr"/>
    </row>
    <row r="872" ht="15" customHeight="1">
      <c r="A872" t="inlineStr">
        <is>
          <t>A 5352-2024</t>
        </is>
      </c>
      <c r="B872" s="1" t="n">
        <v>45331</v>
      </c>
      <c r="C872" s="1" t="n">
        <v>45473</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5330-2024</t>
        </is>
      </c>
      <c r="B873" s="1" t="n">
        <v>45331</v>
      </c>
      <c r="C873" s="1" t="n">
        <v>45473</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5338-2024</t>
        </is>
      </c>
      <c r="B874" s="1" t="n">
        <v>45331</v>
      </c>
      <c r="C874" s="1" t="n">
        <v>45473</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5357-2024</t>
        </is>
      </c>
      <c r="B875" s="1" t="n">
        <v>45331</v>
      </c>
      <c r="C875" s="1" t="n">
        <v>45473</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5578-2024</t>
        </is>
      </c>
      <c r="B876" s="1" t="n">
        <v>45334</v>
      </c>
      <c r="C876" s="1" t="n">
        <v>45473</v>
      </c>
      <c r="D876" t="inlineStr">
        <is>
          <t>ÖREBRO LÄN</t>
        </is>
      </c>
      <c r="E876" t="inlineStr">
        <is>
          <t>ÖREBRO</t>
        </is>
      </c>
      <c r="G876" t="n">
        <v>2.4</v>
      </c>
      <c r="H876" t="n">
        <v>0</v>
      </c>
      <c r="I876" t="n">
        <v>0</v>
      </c>
      <c r="J876" t="n">
        <v>0</v>
      </c>
      <c r="K876" t="n">
        <v>0</v>
      </c>
      <c r="L876" t="n">
        <v>0</v>
      </c>
      <c r="M876" t="n">
        <v>0</v>
      </c>
      <c r="N876" t="n">
        <v>0</v>
      </c>
      <c r="O876" t="n">
        <v>0</v>
      </c>
      <c r="P876" t="n">
        <v>0</v>
      </c>
      <c r="Q876" t="n">
        <v>0</v>
      </c>
      <c r="R876" s="2" t="inlineStr"/>
    </row>
    <row r="877" ht="15" customHeight="1">
      <c r="A877" t="inlineStr">
        <is>
          <t>A 5795-2024</t>
        </is>
      </c>
      <c r="B877" s="1" t="n">
        <v>45335</v>
      </c>
      <c r="C877" s="1" t="n">
        <v>45473</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6586-2024</t>
        </is>
      </c>
      <c r="B878" s="1" t="n">
        <v>45341</v>
      </c>
      <c r="C878" s="1" t="n">
        <v>45473</v>
      </c>
      <c r="D878" t="inlineStr">
        <is>
          <t>ÖREBRO LÄN</t>
        </is>
      </c>
      <c r="E878" t="inlineStr">
        <is>
          <t>ÖREBRO</t>
        </is>
      </c>
      <c r="F878" t="inlineStr">
        <is>
          <t>Övriga Aktiebolag</t>
        </is>
      </c>
      <c r="G878" t="n">
        <v>6.9</v>
      </c>
      <c r="H878" t="n">
        <v>0</v>
      </c>
      <c r="I878" t="n">
        <v>0</v>
      </c>
      <c r="J878" t="n">
        <v>0</v>
      </c>
      <c r="K878" t="n">
        <v>0</v>
      </c>
      <c r="L878" t="n">
        <v>0</v>
      </c>
      <c r="M878" t="n">
        <v>0</v>
      </c>
      <c r="N878" t="n">
        <v>0</v>
      </c>
      <c r="O878" t="n">
        <v>0</v>
      </c>
      <c r="P878" t="n">
        <v>0</v>
      </c>
      <c r="Q878" t="n">
        <v>0</v>
      </c>
      <c r="R878" s="2" t="inlineStr"/>
    </row>
    <row r="879" ht="15" customHeight="1">
      <c r="A879" t="inlineStr">
        <is>
          <t>A 6592-2024</t>
        </is>
      </c>
      <c r="B879" s="1" t="n">
        <v>45341</v>
      </c>
      <c r="C879" s="1" t="n">
        <v>45473</v>
      </c>
      <c r="D879" t="inlineStr">
        <is>
          <t>ÖREBRO LÄN</t>
        </is>
      </c>
      <c r="E879" t="inlineStr">
        <is>
          <t>ÖREBRO</t>
        </is>
      </c>
      <c r="F879" t="inlineStr">
        <is>
          <t>Övriga Aktiebolag</t>
        </is>
      </c>
      <c r="G879" t="n">
        <v>3.2</v>
      </c>
      <c r="H879" t="n">
        <v>0</v>
      </c>
      <c r="I879" t="n">
        <v>0</v>
      </c>
      <c r="J879" t="n">
        <v>0</v>
      </c>
      <c r="K879" t="n">
        <v>0</v>
      </c>
      <c r="L879" t="n">
        <v>0</v>
      </c>
      <c r="M879" t="n">
        <v>0</v>
      </c>
      <c r="N879" t="n">
        <v>0</v>
      </c>
      <c r="O879" t="n">
        <v>0</v>
      </c>
      <c r="P879" t="n">
        <v>0</v>
      </c>
      <c r="Q879" t="n">
        <v>0</v>
      </c>
      <c r="R879" s="2" t="inlineStr"/>
    </row>
    <row r="880" ht="15" customHeight="1">
      <c r="A880" t="inlineStr">
        <is>
          <t>A 6879-2024</t>
        </is>
      </c>
      <c r="B880" s="1" t="n">
        <v>45342</v>
      </c>
      <c r="C880" s="1" t="n">
        <v>45473</v>
      </c>
      <c r="D880" t="inlineStr">
        <is>
          <t>ÖREBRO LÄN</t>
        </is>
      </c>
      <c r="E880" t="inlineStr">
        <is>
          <t>ÖREBRO</t>
        </is>
      </c>
      <c r="G880" t="n">
        <v>1.6</v>
      </c>
      <c r="H880" t="n">
        <v>0</v>
      </c>
      <c r="I880" t="n">
        <v>0</v>
      </c>
      <c r="J880" t="n">
        <v>0</v>
      </c>
      <c r="K880" t="n">
        <v>0</v>
      </c>
      <c r="L880" t="n">
        <v>0</v>
      </c>
      <c r="M880" t="n">
        <v>0</v>
      </c>
      <c r="N880" t="n">
        <v>0</v>
      </c>
      <c r="O880" t="n">
        <v>0</v>
      </c>
      <c r="P880" t="n">
        <v>0</v>
      </c>
      <c r="Q880" t="n">
        <v>0</v>
      </c>
      <c r="R880" s="2" t="inlineStr"/>
    </row>
    <row r="881" ht="15" customHeight="1">
      <c r="A881" t="inlineStr">
        <is>
          <t>A 7609-2024</t>
        </is>
      </c>
      <c r="B881" s="1" t="n">
        <v>45348</v>
      </c>
      <c r="C881" s="1" t="n">
        <v>45473</v>
      </c>
      <c r="D881" t="inlineStr">
        <is>
          <t>ÖREBRO LÄN</t>
        </is>
      </c>
      <c r="E881" t="inlineStr">
        <is>
          <t>ÖREBRO</t>
        </is>
      </c>
      <c r="G881" t="n">
        <v>1</v>
      </c>
      <c r="H881" t="n">
        <v>0</v>
      </c>
      <c r="I881" t="n">
        <v>0</v>
      </c>
      <c r="J881" t="n">
        <v>0</v>
      </c>
      <c r="K881" t="n">
        <v>0</v>
      </c>
      <c r="L881" t="n">
        <v>0</v>
      </c>
      <c r="M881" t="n">
        <v>0</v>
      </c>
      <c r="N881" t="n">
        <v>0</v>
      </c>
      <c r="O881" t="n">
        <v>0</v>
      </c>
      <c r="P881" t="n">
        <v>0</v>
      </c>
      <c r="Q881" t="n">
        <v>0</v>
      </c>
      <c r="R881" s="2" t="inlineStr"/>
    </row>
    <row r="882" ht="15" customHeight="1">
      <c r="A882" t="inlineStr">
        <is>
          <t>A 7634-2024</t>
        </is>
      </c>
      <c r="B882" s="1" t="n">
        <v>45348</v>
      </c>
      <c r="C882" s="1" t="n">
        <v>45473</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7611-2024</t>
        </is>
      </c>
      <c r="B883" s="1" t="n">
        <v>45348</v>
      </c>
      <c r="C883" s="1" t="n">
        <v>45473</v>
      </c>
      <c r="D883" t="inlineStr">
        <is>
          <t>ÖREBRO LÄN</t>
        </is>
      </c>
      <c r="E883" t="inlineStr">
        <is>
          <t>ÖREBRO</t>
        </is>
      </c>
      <c r="G883" t="n">
        <v>4.2</v>
      </c>
      <c r="H883" t="n">
        <v>0</v>
      </c>
      <c r="I883" t="n">
        <v>0</v>
      </c>
      <c r="J883" t="n">
        <v>0</v>
      </c>
      <c r="K883" t="n">
        <v>0</v>
      </c>
      <c r="L883" t="n">
        <v>0</v>
      </c>
      <c r="M883" t="n">
        <v>0</v>
      </c>
      <c r="N883" t="n">
        <v>0</v>
      </c>
      <c r="O883" t="n">
        <v>0</v>
      </c>
      <c r="P883" t="n">
        <v>0</v>
      </c>
      <c r="Q883" t="n">
        <v>0</v>
      </c>
      <c r="R883" s="2" t="inlineStr"/>
    </row>
    <row r="884" ht="15" customHeight="1">
      <c r="A884" t="inlineStr">
        <is>
          <t>A 8005-2024</t>
        </is>
      </c>
      <c r="B884" s="1" t="n">
        <v>45350</v>
      </c>
      <c r="C884" s="1" t="n">
        <v>45473</v>
      </c>
      <c r="D884" t="inlineStr">
        <is>
          <t>ÖREBRO LÄN</t>
        </is>
      </c>
      <c r="E884" t="inlineStr">
        <is>
          <t>ÖREBRO</t>
        </is>
      </c>
      <c r="G884" t="n">
        <v>1.6</v>
      </c>
      <c r="H884" t="n">
        <v>0</v>
      </c>
      <c r="I884" t="n">
        <v>0</v>
      </c>
      <c r="J884" t="n">
        <v>0</v>
      </c>
      <c r="K884" t="n">
        <v>0</v>
      </c>
      <c r="L884" t="n">
        <v>0</v>
      </c>
      <c r="M884" t="n">
        <v>0</v>
      </c>
      <c r="N884" t="n">
        <v>0</v>
      </c>
      <c r="O884" t="n">
        <v>0</v>
      </c>
      <c r="P884" t="n">
        <v>0</v>
      </c>
      <c r="Q884" t="n">
        <v>0</v>
      </c>
      <c r="R884" s="2" t="inlineStr"/>
    </row>
    <row r="885" ht="15" customHeight="1">
      <c r="A885" t="inlineStr">
        <is>
          <t>A 8008-2024</t>
        </is>
      </c>
      <c r="B885" s="1" t="n">
        <v>45350</v>
      </c>
      <c r="C885" s="1" t="n">
        <v>45473</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9379-2024</t>
        </is>
      </c>
      <c r="B886" s="1" t="n">
        <v>45359</v>
      </c>
      <c r="C886" s="1" t="n">
        <v>45473</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9458-2024</t>
        </is>
      </c>
      <c r="B887" s="1" t="n">
        <v>45359</v>
      </c>
      <c r="C887" s="1" t="n">
        <v>45473</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9670-2024</t>
        </is>
      </c>
      <c r="B888" s="1" t="n">
        <v>45362</v>
      </c>
      <c r="C888" s="1" t="n">
        <v>45473</v>
      </c>
      <c r="D888" t="inlineStr">
        <is>
          <t>ÖREBRO LÄN</t>
        </is>
      </c>
      <c r="E888" t="inlineStr">
        <is>
          <t>ÖREBRO</t>
        </is>
      </c>
      <c r="G888" t="n">
        <v>1.6</v>
      </c>
      <c r="H888" t="n">
        <v>0</v>
      </c>
      <c r="I888" t="n">
        <v>0</v>
      </c>
      <c r="J888" t="n">
        <v>0</v>
      </c>
      <c r="K888" t="n">
        <v>0</v>
      </c>
      <c r="L888" t="n">
        <v>0</v>
      </c>
      <c r="M888" t="n">
        <v>0</v>
      </c>
      <c r="N888" t="n">
        <v>0</v>
      </c>
      <c r="O888" t="n">
        <v>0</v>
      </c>
      <c r="P888" t="n">
        <v>0</v>
      </c>
      <c r="Q888" t="n">
        <v>0</v>
      </c>
      <c r="R888" s="2" t="inlineStr"/>
    </row>
    <row r="889" ht="15" customHeight="1">
      <c r="A889" t="inlineStr">
        <is>
          <t>A 9677-2024</t>
        </is>
      </c>
      <c r="B889" s="1" t="n">
        <v>45362</v>
      </c>
      <c r="C889" s="1" t="n">
        <v>45473</v>
      </c>
      <c r="D889" t="inlineStr">
        <is>
          <t>ÖREBRO LÄN</t>
        </is>
      </c>
      <c r="E889" t="inlineStr">
        <is>
          <t>ÖREBRO</t>
        </is>
      </c>
      <c r="G889" t="n">
        <v>1</v>
      </c>
      <c r="H889" t="n">
        <v>0</v>
      </c>
      <c r="I889" t="n">
        <v>0</v>
      </c>
      <c r="J889" t="n">
        <v>0</v>
      </c>
      <c r="K889" t="n">
        <v>0</v>
      </c>
      <c r="L889" t="n">
        <v>0</v>
      </c>
      <c r="M889" t="n">
        <v>0</v>
      </c>
      <c r="N889" t="n">
        <v>0</v>
      </c>
      <c r="O889" t="n">
        <v>0</v>
      </c>
      <c r="P889" t="n">
        <v>0</v>
      </c>
      <c r="Q889" t="n">
        <v>0</v>
      </c>
      <c r="R889" s="2" t="inlineStr"/>
    </row>
    <row r="890" ht="15" customHeight="1">
      <c r="A890" t="inlineStr">
        <is>
          <t>A 10291-2024</t>
        </is>
      </c>
      <c r="B890" s="1" t="n">
        <v>45365</v>
      </c>
      <c r="C890" s="1" t="n">
        <v>45473</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10544-2024</t>
        </is>
      </c>
      <c r="B891" s="1" t="n">
        <v>45366</v>
      </c>
      <c r="C891" s="1" t="n">
        <v>45473</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10799-2024</t>
        </is>
      </c>
      <c r="B892" s="1" t="n">
        <v>45369</v>
      </c>
      <c r="C892" s="1" t="n">
        <v>45473</v>
      </c>
      <c r="D892" t="inlineStr">
        <is>
          <t>ÖREBRO LÄN</t>
        </is>
      </c>
      <c r="E892" t="inlineStr">
        <is>
          <t>ÖREBRO</t>
        </is>
      </c>
      <c r="G892" t="n">
        <v>5.8</v>
      </c>
      <c r="H892" t="n">
        <v>0</v>
      </c>
      <c r="I892" t="n">
        <v>0</v>
      </c>
      <c r="J892" t="n">
        <v>0</v>
      </c>
      <c r="K892" t="n">
        <v>0</v>
      </c>
      <c r="L892" t="n">
        <v>0</v>
      </c>
      <c r="M892" t="n">
        <v>0</v>
      </c>
      <c r="N892" t="n">
        <v>0</v>
      </c>
      <c r="O892" t="n">
        <v>0</v>
      </c>
      <c r="P892" t="n">
        <v>0</v>
      </c>
      <c r="Q892" t="n">
        <v>0</v>
      </c>
      <c r="R892" s="2" t="inlineStr"/>
    </row>
    <row r="893" ht="15" customHeight="1">
      <c r="A893" t="inlineStr">
        <is>
          <t>A 10937-2024</t>
        </is>
      </c>
      <c r="B893" s="1" t="n">
        <v>45370</v>
      </c>
      <c r="C893" s="1" t="n">
        <v>45473</v>
      </c>
      <c r="D893" t="inlineStr">
        <is>
          <t>ÖREBRO LÄN</t>
        </is>
      </c>
      <c r="E893" t="inlineStr">
        <is>
          <t>ÖREBRO</t>
        </is>
      </c>
      <c r="G893" t="n">
        <v>4.3</v>
      </c>
      <c r="H893" t="n">
        <v>0</v>
      </c>
      <c r="I893" t="n">
        <v>0</v>
      </c>
      <c r="J893" t="n">
        <v>0</v>
      </c>
      <c r="K893" t="n">
        <v>0</v>
      </c>
      <c r="L893" t="n">
        <v>0</v>
      </c>
      <c r="M893" t="n">
        <v>0</v>
      </c>
      <c r="N893" t="n">
        <v>0</v>
      </c>
      <c r="O893" t="n">
        <v>0</v>
      </c>
      <c r="P893" t="n">
        <v>0</v>
      </c>
      <c r="Q893" t="n">
        <v>0</v>
      </c>
      <c r="R893" s="2" t="inlineStr"/>
    </row>
    <row r="894" ht="15" customHeight="1">
      <c r="A894" t="inlineStr">
        <is>
          <t>A 11516-2024</t>
        </is>
      </c>
      <c r="B894" s="1" t="n">
        <v>45372</v>
      </c>
      <c r="C894" s="1" t="n">
        <v>45473</v>
      </c>
      <c r="D894" t="inlineStr">
        <is>
          <t>ÖREBRO LÄN</t>
        </is>
      </c>
      <c r="E894" t="inlineStr">
        <is>
          <t>ÖREBRO</t>
        </is>
      </c>
      <c r="G894" t="n">
        <v>10.7</v>
      </c>
      <c r="H894" t="n">
        <v>0</v>
      </c>
      <c r="I894" t="n">
        <v>0</v>
      </c>
      <c r="J894" t="n">
        <v>0</v>
      </c>
      <c r="K894" t="n">
        <v>0</v>
      </c>
      <c r="L894" t="n">
        <v>0</v>
      </c>
      <c r="M894" t="n">
        <v>0</v>
      </c>
      <c r="N894" t="n">
        <v>0</v>
      </c>
      <c r="O894" t="n">
        <v>0</v>
      </c>
      <c r="P894" t="n">
        <v>0</v>
      </c>
      <c r="Q894" t="n">
        <v>0</v>
      </c>
      <c r="R894" s="2" t="inlineStr"/>
    </row>
    <row r="895" ht="15" customHeight="1">
      <c r="A895" t="inlineStr">
        <is>
          <t>A 11663-2024</t>
        </is>
      </c>
      <c r="B895" s="1" t="n">
        <v>45373</v>
      </c>
      <c r="C895" s="1" t="n">
        <v>45473</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11940-2024</t>
        </is>
      </c>
      <c r="B896" s="1" t="n">
        <v>45376</v>
      </c>
      <c r="C896" s="1" t="n">
        <v>45473</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12017-2024</t>
        </is>
      </c>
      <c r="B897" s="1" t="n">
        <v>45377</v>
      </c>
      <c r="C897" s="1" t="n">
        <v>45473</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13169-2024</t>
        </is>
      </c>
      <c r="B898" s="1" t="n">
        <v>45386</v>
      </c>
      <c r="C898" s="1" t="n">
        <v>45473</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13321-2024</t>
        </is>
      </c>
      <c r="B899" s="1" t="n">
        <v>45386</v>
      </c>
      <c r="C899" s="1" t="n">
        <v>45473</v>
      </c>
      <c r="D899" t="inlineStr">
        <is>
          <t>ÖREBRO LÄN</t>
        </is>
      </c>
      <c r="E899" t="inlineStr">
        <is>
          <t>ÖREBRO</t>
        </is>
      </c>
      <c r="G899" t="n">
        <v>13.1</v>
      </c>
      <c r="H899" t="n">
        <v>0</v>
      </c>
      <c r="I899" t="n">
        <v>0</v>
      </c>
      <c r="J899" t="n">
        <v>0</v>
      </c>
      <c r="K899" t="n">
        <v>0</v>
      </c>
      <c r="L899" t="n">
        <v>0</v>
      </c>
      <c r="M899" t="n">
        <v>0</v>
      </c>
      <c r="N899" t="n">
        <v>0</v>
      </c>
      <c r="O899" t="n">
        <v>0</v>
      </c>
      <c r="P899" t="n">
        <v>0</v>
      </c>
      <c r="Q899" t="n">
        <v>0</v>
      </c>
      <c r="R899" s="2" t="inlineStr"/>
    </row>
    <row r="900" ht="15" customHeight="1">
      <c r="A900" t="inlineStr">
        <is>
          <t>A 13158-2024</t>
        </is>
      </c>
      <c r="B900" s="1" t="n">
        <v>45386</v>
      </c>
      <c r="C900" s="1" t="n">
        <v>45473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13453-2024</t>
        </is>
      </c>
      <c r="B901" s="1" t="n">
        <v>45387</v>
      </c>
      <c r="C901" s="1" t="n">
        <v>45473</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13418-2024</t>
        </is>
      </c>
      <c r="B902" s="1" t="n">
        <v>45387</v>
      </c>
      <c r="C902" s="1" t="n">
        <v>45473</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13395-2024</t>
        </is>
      </c>
      <c r="B903" s="1" t="n">
        <v>45387</v>
      </c>
      <c r="C903" s="1" t="n">
        <v>45473</v>
      </c>
      <c r="D903" t="inlineStr">
        <is>
          <t>ÖREBRO LÄN</t>
        </is>
      </c>
      <c r="E903" t="inlineStr">
        <is>
          <t>ÖREBRO</t>
        </is>
      </c>
      <c r="G903" t="n">
        <v>1.9</v>
      </c>
      <c r="H903" t="n">
        <v>0</v>
      </c>
      <c r="I903" t="n">
        <v>0</v>
      </c>
      <c r="J903" t="n">
        <v>0</v>
      </c>
      <c r="K903" t="n">
        <v>0</v>
      </c>
      <c r="L903" t="n">
        <v>0</v>
      </c>
      <c r="M903" t="n">
        <v>0</v>
      </c>
      <c r="N903" t="n">
        <v>0</v>
      </c>
      <c r="O903" t="n">
        <v>0</v>
      </c>
      <c r="P903" t="n">
        <v>0</v>
      </c>
      <c r="Q903" t="n">
        <v>0</v>
      </c>
      <c r="R903" s="2" t="inlineStr"/>
    </row>
    <row r="904" ht="15" customHeight="1">
      <c r="A904" t="inlineStr">
        <is>
          <t>A 13458-2024</t>
        </is>
      </c>
      <c r="B904" s="1" t="n">
        <v>45387</v>
      </c>
      <c r="C904" s="1" t="n">
        <v>45473</v>
      </c>
      <c r="D904" t="inlineStr">
        <is>
          <t>ÖREBRO LÄN</t>
        </is>
      </c>
      <c r="E904" t="inlineStr">
        <is>
          <t>ÖREBRO</t>
        </is>
      </c>
      <c r="G904" t="n">
        <v>1.8</v>
      </c>
      <c r="H904" t="n">
        <v>0</v>
      </c>
      <c r="I904" t="n">
        <v>0</v>
      </c>
      <c r="J904" t="n">
        <v>0</v>
      </c>
      <c r="K904" t="n">
        <v>0</v>
      </c>
      <c r="L904" t="n">
        <v>0</v>
      </c>
      <c r="M904" t="n">
        <v>0</v>
      </c>
      <c r="N904" t="n">
        <v>0</v>
      </c>
      <c r="O904" t="n">
        <v>0</v>
      </c>
      <c r="P904" t="n">
        <v>0</v>
      </c>
      <c r="Q904" t="n">
        <v>0</v>
      </c>
      <c r="R904" s="2" t="inlineStr"/>
    </row>
    <row r="905" ht="15" customHeight="1">
      <c r="A905" t="inlineStr">
        <is>
          <t>A 13625-2024</t>
        </is>
      </c>
      <c r="B905" s="1" t="n">
        <v>45390</v>
      </c>
      <c r="C905" s="1" t="n">
        <v>45473</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13623-2024</t>
        </is>
      </c>
      <c r="B906" s="1" t="n">
        <v>45390</v>
      </c>
      <c r="C906" s="1" t="n">
        <v>45473</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13700-2024</t>
        </is>
      </c>
      <c r="B907" s="1" t="n">
        <v>45390</v>
      </c>
      <c r="C907" s="1" t="n">
        <v>45473</v>
      </c>
      <c r="D907" t="inlineStr">
        <is>
          <t>ÖREBRO LÄN</t>
        </is>
      </c>
      <c r="E907" t="inlineStr">
        <is>
          <t>ÖREBRO</t>
        </is>
      </c>
      <c r="G907" t="n">
        <v>1.2</v>
      </c>
      <c r="H907" t="n">
        <v>0</v>
      </c>
      <c r="I907" t="n">
        <v>0</v>
      </c>
      <c r="J907" t="n">
        <v>0</v>
      </c>
      <c r="K907" t="n">
        <v>0</v>
      </c>
      <c r="L907" t="n">
        <v>0</v>
      </c>
      <c r="M907" t="n">
        <v>0</v>
      </c>
      <c r="N907" t="n">
        <v>0</v>
      </c>
      <c r="O907" t="n">
        <v>0</v>
      </c>
      <c r="P907" t="n">
        <v>0</v>
      </c>
      <c r="Q907" t="n">
        <v>0</v>
      </c>
      <c r="R907" s="2" t="inlineStr"/>
    </row>
    <row r="908" ht="15" customHeight="1">
      <c r="A908" t="inlineStr">
        <is>
          <t>A 14173-2024</t>
        </is>
      </c>
      <c r="B908" s="1" t="n">
        <v>45393</v>
      </c>
      <c r="C908" s="1" t="n">
        <v>45473</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14234-2024</t>
        </is>
      </c>
      <c r="B909" s="1" t="n">
        <v>45393</v>
      </c>
      <c r="C909" s="1" t="n">
        <v>45473</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14279-2024</t>
        </is>
      </c>
      <c r="B910" s="1" t="n">
        <v>45393</v>
      </c>
      <c r="C910" s="1" t="n">
        <v>45473</v>
      </c>
      <c r="D910" t="inlineStr">
        <is>
          <t>ÖREBRO LÄN</t>
        </is>
      </c>
      <c r="E910" t="inlineStr">
        <is>
          <t>ÖREBRO</t>
        </is>
      </c>
      <c r="G910" t="n">
        <v>2.6</v>
      </c>
      <c r="H910" t="n">
        <v>0</v>
      </c>
      <c r="I910" t="n">
        <v>0</v>
      </c>
      <c r="J910" t="n">
        <v>0</v>
      </c>
      <c r="K910" t="n">
        <v>0</v>
      </c>
      <c r="L910" t="n">
        <v>0</v>
      </c>
      <c r="M910" t="n">
        <v>0</v>
      </c>
      <c r="N910" t="n">
        <v>0</v>
      </c>
      <c r="O910" t="n">
        <v>0</v>
      </c>
      <c r="P910" t="n">
        <v>0</v>
      </c>
      <c r="Q910" t="n">
        <v>0</v>
      </c>
      <c r="R910" s="2" t="inlineStr"/>
    </row>
    <row r="911" ht="15" customHeight="1">
      <c r="A911" t="inlineStr">
        <is>
          <t>A 14717-2024</t>
        </is>
      </c>
      <c r="B911" s="1" t="n">
        <v>45397</v>
      </c>
      <c r="C911" s="1" t="n">
        <v>45473</v>
      </c>
      <c r="D911" t="inlineStr">
        <is>
          <t>ÖREBRO LÄN</t>
        </is>
      </c>
      <c r="E911" t="inlineStr">
        <is>
          <t>ÖREBRO</t>
        </is>
      </c>
      <c r="G911" t="n">
        <v>0.7</v>
      </c>
      <c r="H911" t="n">
        <v>0</v>
      </c>
      <c r="I911" t="n">
        <v>0</v>
      </c>
      <c r="J911" t="n">
        <v>0</v>
      </c>
      <c r="K911" t="n">
        <v>0</v>
      </c>
      <c r="L911" t="n">
        <v>0</v>
      </c>
      <c r="M911" t="n">
        <v>0</v>
      </c>
      <c r="N911" t="n">
        <v>0</v>
      </c>
      <c r="O911" t="n">
        <v>0</v>
      </c>
      <c r="P911" t="n">
        <v>0</v>
      </c>
      <c r="Q911" t="n">
        <v>0</v>
      </c>
      <c r="R911" s="2" t="inlineStr"/>
    </row>
    <row r="912" ht="15" customHeight="1">
      <c r="A912" t="inlineStr">
        <is>
          <t>A 14715-2024</t>
        </is>
      </c>
      <c r="B912" s="1" t="n">
        <v>45397</v>
      </c>
      <c r="C912" s="1" t="n">
        <v>45473</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15354-2024</t>
        </is>
      </c>
      <c r="B913" s="1" t="n">
        <v>45400</v>
      </c>
      <c r="C913" s="1" t="n">
        <v>45473</v>
      </c>
      <c r="D913" t="inlineStr">
        <is>
          <t>ÖREBRO LÄN</t>
        </is>
      </c>
      <c r="E913" t="inlineStr">
        <is>
          <t>ÖREBRO</t>
        </is>
      </c>
      <c r="G913" t="n">
        <v>0.7</v>
      </c>
      <c r="H913" t="n">
        <v>0</v>
      </c>
      <c r="I913" t="n">
        <v>0</v>
      </c>
      <c r="J913" t="n">
        <v>0</v>
      </c>
      <c r="K913" t="n">
        <v>0</v>
      </c>
      <c r="L913" t="n">
        <v>0</v>
      </c>
      <c r="M913" t="n">
        <v>0</v>
      </c>
      <c r="N913" t="n">
        <v>0</v>
      </c>
      <c r="O913" t="n">
        <v>0</v>
      </c>
      <c r="P913" t="n">
        <v>0</v>
      </c>
      <c r="Q913" t="n">
        <v>0</v>
      </c>
      <c r="R913" s="2" t="inlineStr"/>
    </row>
    <row r="914" ht="15" customHeight="1">
      <c r="A914" t="inlineStr">
        <is>
          <t>A 15698-2024</t>
        </is>
      </c>
      <c r="B914" s="1" t="n">
        <v>45404</v>
      </c>
      <c r="C914" s="1" t="n">
        <v>45473</v>
      </c>
      <c r="D914" t="inlineStr">
        <is>
          <t>ÖREBRO LÄN</t>
        </is>
      </c>
      <c r="E914" t="inlineStr">
        <is>
          <t>ÖREBRO</t>
        </is>
      </c>
      <c r="G914" t="n">
        <v>6.9</v>
      </c>
      <c r="H914" t="n">
        <v>0</v>
      </c>
      <c r="I914" t="n">
        <v>0</v>
      </c>
      <c r="J914" t="n">
        <v>0</v>
      </c>
      <c r="K914" t="n">
        <v>0</v>
      </c>
      <c r="L914" t="n">
        <v>0</v>
      </c>
      <c r="M914" t="n">
        <v>0</v>
      </c>
      <c r="N914" t="n">
        <v>0</v>
      </c>
      <c r="O914" t="n">
        <v>0</v>
      </c>
      <c r="P914" t="n">
        <v>0</v>
      </c>
      <c r="Q914" t="n">
        <v>0</v>
      </c>
      <c r="R914" s="2" t="inlineStr"/>
    </row>
    <row r="915" ht="15" customHeight="1">
      <c r="A915" t="inlineStr">
        <is>
          <t>A 15689-2024</t>
        </is>
      </c>
      <c r="B915" s="1" t="n">
        <v>45404</v>
      </c>
      <c r="C915" s="1" t="n">
        <v>45473</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15693-2024</t>
        </is>
      </c>
      <c r="B916" s="1" t="n">
        <v>45404</v>
      </c>
      <c r="C916" s="1" t="n">
        <v>45473</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15695-2024</t>
        </is>
      </c>
      <c r="B917" s="1" t="n">
        <v>45404</v>
      </c>
      <c r="C917" s="1" t="n">
        <v>45473</v>
      </c>
      <c r="D917" t="inlineStr">
        <is>
          <t>ÖREBRO LÄN</t>
        </is>
      </c>
      <c r="E917" t="inlineStr">
        <is>
          <t>ÖREBRO</t>
        </is>
      </c>
      <c r="G917" t="n">
        <v>2.7</v>
      </c>
      <c r="H917" t="n">
        <v>0</v>
      </c>
      <c r="I917" t="n">
        <v>0</v>
      </c>
      <c r="J917" t="n">
        <v>0</v>
      </c>
      <c r="K917" t="n">
        <v>0</v>
      </c>
      <c r="L917" t="n">
        <v>0</v>
      </c>
      <c r="M917" t="n">
        <v>0</v>
      </c>
      <c r="N917" t="n">
        <v>0</v>
      </c>
      <c r="O917" t="n">
        <v>0</v>
      </c>
      <c r="P917" t="n">
        <v>0</v>
      </c>
      <c r="Q917" t="n">
        <v>0</v>
      </c>
      <c r="R917" s="2" t="inlineStr"/>
    </row>
    <row r="918" ht="15" customHeight="1">
      <c r="A918" t="inlineStr">
        <is>
          <t>A 17103-2024</t>
        </is>
      </c>
      <c r="B918" s="1" t="n">
        <v>45412</v>
      </c>
      <c r="C918" s="1" t="n">
        <v>45473</v>
      </c>
      <c r="D918" t="inlineStr">
        <is>
          <t>ÖREBRO LÄN</t>
        </is>
      </c>
      <c r="E918" t="inlineStr">
        <is>
          <t>ÖREBRO</t>
        </is>
      </c>
      <c r="G918" t="n">
        <v>5</v>
      </c>
      <c r="H918" t="n">
        <v>0</v>
      </c>
      <c r="I918" t="n">
        <v>0</v>
      </c>
      <c r="J918" t="n">
        <v>0</v>
      </c>
      <c r="K918" t="n">
        <v>0</v>
      </c>
      <c r="L918" t="n">
        <v>0</v>
      </c>
      <c r="M918" t="n">
        <v>0</v>
      </c>
      <c r="N918" t="n">
        <v>0</v>
      </c>
      <c r="O918" t="n">
        <v>0</v>
      </c>
      <c r="P918" t="n">
        <v>0</v>
      </c>
      <c r="Q918" t="n">
        <v>0</v>
      </c>
      <c r="R918" s="2" t="inlineStr"/>
    </row>
    <row r="919" ht="15" customHeight="1">
      <c r="A919" t="inlineStr">
        <is>
          <t>A 17014-2024</t>
        </is>
      </c>
      <c r="B919" s="1" t="n">
        <v>45412</v>
      </c>
      <c r="C919" s="1" t="n">
        <v>45473</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17680-2024</t>
        </is>
      </c>
      <c r="B920" s="1" t="n">
        <v>45418</v>
      </c>
      <c r="C920" s="1" t="n">
        <v>45473</v>
      </c>
      <c r="D920" t="inlineStr">
        <is>
          <t>ÖREBRO LÄN</t>
        </is>
      </c>
      <c r="E920" t="inlineStr">
        <is>
          <t>ÖREBRO</t>
        </is>
      </c>
      <c r="G920" t="n">
        <v>5.1</v>
      </c>
      <c r="H920" t="n">
        <v>0</v>
      </c>
      <c r="I920" t="n">
        <v>0</v>
      </c>
      <c r="J920" t="n">
        <v>0</v>
      </c>
      <c r="K920" t="n">
        <v>0</v>
      </c>
      <c r="L920" t="n">
        <v>0</v>
      </c>
      <c r="M920" t="n">
        <v>0</v>
      </c>
      <c r="N920" t="n">
        <v>0</v>
      </c>
      <c r="O920" t="n">
        <v>0</v>
      </c>
      <c r="P920" t="n">
        <v>0</v>
      </c>
      <c r="Q920" t="n">
        <v>0</v>
      </c>
      <c r="R920" s="2" t="inlineStr"/>
    </row>
    <row r="921" ht="15" customHeight="1">
      <c r="A921" t="inlineStr">
        <is>
          <t>A 17869-2024</t>
        </is>
      </c>
      <c r="B921" s="1" t="n">
        <v>45419</v>
      </c>
      <c r="C921" s="1" t="n">
        <v>45473</v>
      </c>
      <c r="D921" t="inlineStr">
        <is>
          <t>ÖREBRO LÄN</t>
        </is>
      </c>
      <c r="E921" t="inlineStr">
        <is>
          <t>ÖREBRO</t>
        </is>
      </c>
      <c r="G921" t="n">
        <v>3.7</v>
      </c>
      <c r="H921" t="n">
        <v>0</v>
      </c>
      <c r="I921" t="n">
        <v>0</v>
      </c>
      <c r="J921" t="n">
        <v>0</v>
      </c>
      <c r="K921" t="n">
        <v>0</v>
      </c>
      <c r="L921" t="n">
        <v>0</v>
      </c>
      <c r="M921" t="n">
        <v>0</v>
      </c>
      <c r="N921" t="n">
        <v>0</v>
      </c>
      <c r="O921" t="n">
        <v>0</v>
      </c>
      <c r="P921" t="n">
        <v>0</v>
      </c>
      <c r="Q921" t="n">
        <v>0</v>
      </c>
      <c r="R921" s="2" t="inlineStr"/>
    </row>
    <row r="922" ht="15" customHeight="1">
      <c r="A922" t="inlineStr">
        <is>
          <t>A 17863-2024</t>
        </is>
      </c>
      <c r="B922" s="1" t="n">
        <v>45419</v>
      </c>
      <c r="C922" s="1" t="n">
        <v>45473</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18181-2024</t>
        </is>
      </c>
      <c r="B923" s="1" t="n">
        <v>45420</v>
      </c>
      <c r="C923" s="1" t="n">
        <v>45473</v>
      </c>
      <c r="D923" t="inlineStr">
        <is>
          <t>ÖREBRO LÄN</t>
        </is>
      </c>
      <c r="E923" t="inlineStr">
        <is>
          <t>ÖREBRO</t>
        </is>
      </c>
      <c r="G923" t="n">
        <v>7.6</v>
      </c>
      <c r="H923" t="n">
        <v>0</v>
      </c>
      <c r="I923" t="n">
        <v>0</v>
      </c>
      <c r="J923" t="n">
        <v>0</v>
      </c>
      <c r="K923" t="n">
        <v>0</v>
      </c>
      <c r="L923" t="n">
        <v>0</v>
      </c>
      <c r="M923" t="n">
        <v>0</v>
      </c>
      <c r="N923" t="n">
        <v>0</v>
      </c>
      <c r="O923" t="n">
        <v>0</v>
      </c>
      <c r="P923" t="n">
        <v>0</v>
      </c>
      <c r="Q923" t="n">
        <v>0</v>
      </c>
      <c r="R923" s="2" t="inlineStr"/>
    </row>
    <row r="924" ht="15" customHeight="1">
      <c r="A924" t="inlineStr">
        <is>
          <t>A 18360-2024</t>
        </is>
      </c>
      <c r="B924" s="1" t="n">
        <v>45422</v>
      </c>
      <c r="C924" s="1" t="n">
        <v>45473</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19306-2024</t>
        </is>
      </c>
      <c r="B925" s="1" t="n">
        <v>45428</v>
      </c>
      <c r="C925" s="1" t="n">
        <v>45473</v>
      </c>
      <c r="D925" t="inlineStr">
        <is>
          <t>ÖREBRO LÄN</t>
        </is>
      </c>
      <c r="E925" t="inlineStr">
        <is>
          <t>ÖREBRO</t>
        </is>
      </c>
      <c r="F925" t="inlineStr">
        <is>
          <t>Övriga Aktiebolag</t>
        </is>
      </c>
      <c r="G925" t="n">
        <v>5.2</v>
      </c>
      <c r="H925" t="n">
        <v>0</v>
      </c>
      <c r="I925" t="n">
        <v>0</v>
      </c>
      <c r="J925" t="n">
        <v>0</v>
      </c>
      <c r="K925" t="n">
        <v>0</v>
      </c>
      <c r="L925" t="n">
        <v>0</v>
      </c>
      <c r="M925" t="n">
        <v>0</v>
      </c>
      <c r="N925" t="n">
        <v>0</v>
      </c>
      <c r="O925" t="n">
        <v>0</v>
      </c>
      <c r="P925" t="n">
        <v>0</v>
      </c>
      <c r="Q925" t="n">
        <v>0</v>
      </c>
      <c r="R925" s="2" t="inlineStr"/>
    </row>
    <row r="926" ht="15" customHeight="1">
      <c r="A926" t="inlineStr">
        <is>
          <t>A 19388-2024</t>
        </is>
      </c>
      <c r="B926" s="1" t="n">
        <v>45429</v>
      </c>
      <c r="C926" s="1" t="n">
        <v>45473</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19392-2024</t>
        </is>
      </c>
      <c r="B927" s="1" t="n">
        <v>45429</v>
      </c>
      <c r="C927" s="1" t="n">
        <v>45473</v>
      </c>
      <c r="D927" t="inlineStr">
        <is>
          <t>ÖREBRO LÄN</t>
        </is>
      </c>
      <c r="E927" t="inlineStr">
        <is>
          <t>ÖREBRO</t>
        </is>
      </c>
      <c r="G927" t="n">
        <v>1</v>
      </c>
      <c r="H927" t="n">
        <v>0</v>
      </c>
      <c r="I927" t="n">
        <v>0</v>
      </c>
      <c r="J927" t="n">
        <v>0</v>
      </c>
      <c r="K927" t="n">
        <v>0</v>
      </c>
      <c r="L927" t="n">
        <v>0</v>
      </c>
      <c r="M927" t="n">
        <v>0</v>
      </c>
      <c r="N927" t="n">
        <v>0</v>
      </c>
      <c r="O927" t="n">
        <v>0</v>
      </c>
      <c r="P927" t="n">
        <v>0</v>
      </c>
      <c r="Q927" t="n">
        <v>0</v>
      </c>
      <c r="R927" s="2" t="inlineStr"/>
    </row>
    <row r="928" ht="15" customHeight="1">
      <c r="A928" t="inlineStr">
        <is>
          <t>A 19384-2024</t>
        </is>
      </c>
      <c r="B928" s="1" t="n">
        <v>45429</v>
      </c>
      <c r="C928" s="1" t="n">
        <v>45473</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19763-2024</t>
        </is>
      </c>
      <c r="B929" s="1" t="n">
        <v>45432</v>
      </c>
      <c r="C929" s="1" t="n">
        <v>45473</v>
      </c>
      <c r="D929" t="inlineStr">
        <is>
          <t>ÖREBRO LÄN</t>
        </is>
      </c>
      <c r="E929" t="inlineStr">
        <is>
          <t>ÖREBRO</t>
        </is>
      </c>
      <c r="G929" t="n">
        <v>1.9</v>
      </c>
      <c r="H929" t="n">
        <v>0</v>
      </c>
      <c r="I929" t="n">
        <v>0</v>
      </c>
      <c r="J929" t="n">
        <v>0</v>
      </c>
      <c r="K929" t="n">
        <v>0</v>
      </c>
      <c r="L929" t="n">
        <v>0</v>
      </c>
      <c r="M929" t="n">
        <v>0</v>
      </c>
      <c r="N929" t="n">
        <v>0</v>
      </c>
      <c r="O929" t="n">
        <v>0</v>
      </c>
      <c r="P929" t="n">
        <v>0</v>
      </c>
      <c r="Q929" t="n">
        <v>0</v>
      </c>
      <c r="R929" s="2" t="inlineStr"/>
    </row>
    <row r="930" ht="15" customHeight="1">
      <c r="A930" t="inlineStr">
        <is>
          <t>A 20115-2024</t>
        </is>
      </c>
      <c r="B930" s="1" t="n">
        <v>45434</v>
      </c>
      <c r="C930" s="1" t="n">
        <v>45473</v>
      </c>
      <c r="D930" t="inlineStr">
        <is>
          <t>ÖREBRO LÄN</t>
        </is>
      </c>
      <c r="E930" t="inlineStr">
        <is>
          <t>ÖREBRO</t>
        </is>
      </c>
      <c r="G930" t="n">
        <v>1.7</v>
      </c>
      <c r="H930" t="n">
        <v>0</v>
      </c>
      <c r="I930" t="n">
        <v>0</v>
      </c>
      <c r="J930" t="n">
        <v>0</v>
      </c>
      <c r="K930" t="n">
        <v>0</v>
      </c>
      <c r="L930" t="n">
        <v>0</v>
      </c>
      <c r="M930" t="n">
        <v>0</v>
      </c>
      <c r="N930" t="n">
        <v>0</v>
      </c>
      <c r="O930" t="n">
        <v>0</v>
      </c>
      <c r="P930" t="n">
        <v>0</v>
      </c>
      <c r="Q930" t="n">
        <v>0</v>
      </c>
      <c r="R930" s="2" t="inlineStr"/>
    </row>
    <row r="931" ht="15" customHeight="1">
      <c r="A931" t="inlineStr">
        <is>
          <t>A 20146-2024</t>
        </is>
      </c>
      <c r="B931" s="1" t="n">
        <v>45434</v>
      </c>
      <c r="C931" s="1" t="n">
        <v>45473</v>
      </c>
      <c r="D931" t="inlineStr">
        <is>
          <t>ÖREBRO LÄN</t>
        </is>
      </c>
      <c r="E931" t="inlineStr">
        <is>
          <t>ÖREBRO</t>
        </is>
      </c>
      <c r="G931" t="n">
        <v>0.5</v>
      </c>
      <c r="H931" t="n">
        <v>0</v>
      </c>
      <c r="I931" t="n">
        <v>0</v>
      </c>
      <c r="J931" t="n">
        <v>0</v>
      </c>
      <c r="K931" t="n">
        <v>0</v>
      </c>
      <c r="L931" t="n">
        <v>0</v>
      </c>
      <c r="M931" t="n">
        <v>0</v>
      </c>
      <c r="N931" t="n">
        <v>0</v>
      </c>
      <c r="O931" t="n">
        <v>0</v>
      </c>
      <c r="P931" t="n">
        <v>0</v>
      </c>
      <c r="Q931" t="n">
        <v>0</v>
      </c>
      <c r="R931" s="2" t="inlineStr"/>
    </row>
    <row r="932" ht="15" customHeight="1">
      <c r="A932" t="inlineStr">
        <is>
          <t>A 20150-2024</t>
        </is>
      </c>
      <c r="B932" s="1" t="n">
        <v>45434</v>
      </c>
      <c r="C932" s="1" t="n">
        <v>45473</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20121-2024</t>
        </is>
      </c>
      <c r="B933" s="1" t="n">
        <v>45434</v>
      </c>
      <c r="C933" s="1" t="n">
        <v>45473</v>
      </c>
      <c r="D933" t="inlineStr">
        <is>
          <t>ÖREBRO LÄN</t>
        </is>
      </c>
      <c r="E933" t="inlineStr">
        <is>
          <t>ÖREBRO</t>
        </is>
      </c>
      <c r="G933" t="n">
        <v>1.8</v>
      </c>
      <c r="H933" t="n">
        <v>0</v>
      </c>
      <c r="I933" t="n">
        <v>0</v>
      </c>
      <c r="J933" t="n">
        <v>0</v>
      </c>
      <c r="K933" t="n">
        <v>0</v>
      </c>
      <c r="L933" t="n">
        <v>0</v>
      </c>
      <c r="M933" t="n">
        <v>0</v>
      </c>
      <c r="N933" t="n">
        <v>0</v>
      </c>
      <c r="O933" t="n">
        <v>0</v>
      </c>
      <c r="P933" t="n">
        <v>0</v>
      </c>
      <c r="Q933" t="n">
        <v>0</v>
      </c>
      <c r="R933" s="2" t="inlineStr"/>
    </row>
    <row r="934" ht="15" customHeight="1">
      <c r="A934" t="inlineStr">
        <is>
          <t>A 20589-2024</t>
        </is>
      </c>
      <c r="B934" s="1" t="n">
        <v>45436</v>
      </c>
      <c r="C934" s="1" t="n">
        <v>45473</v>
      </c>
      <c r="D934" t="inlineStr">
        <is>
          <t>ÖREBRO LÄN</t>
        </is>
      </c>
      <c r="E934" t="inlineStr">
        <is>
          <t>ÖREBRO</t>
        </is>
      </c>
      <c r="G934" t="n">
        <v>3.7</v>
      </c>
      <c r="H934" t="n">
        <v>0</v>
      </c>
      <c r="I934" t="n">
        <v>0</v>
      </c>
      <c r="J934" t="n">
        <v>0</v>
      </c>
      <c r="K934" t="n">
        <v>0</v>
      </c>
      <c r="L934" t="n">
        <v>0</v>
      </c>
      <c r="M934" t="n">
        <v>0</v>
      </c>
      <c r="N934" t="n">
        <v>0</v>
      </c>
      <c r="O934" t="n">
        <v>0</v>
      </c>
      <c r="P934" t="n">
        <v>0</v>
      </c>
      <c r="Q934" t="n">
        <v>0</v>
      </c>
      <c r="R934" s="2" t="inlineStr"/>
    </row>
    <row r="935" ht="15" customHeight="1">
      <c r="A935" t="inlineStr">
        <is>
          <t>A 21052-2024</t>
        </is>
      </c>
      <c r="B935" s="1" t="n">
        <v>45439</v>
      </c>
      <c r="C935" s="1" t="n">
        <v>45473</v>
      </c>
      <c r="D935" t="inlineStr">
        <is>
          <t>ÖREBRO LÄN</t>
        </is>
      </c>
      <c r="E935" t="inlineStr">
        <is>
          <t>ÖREBRO</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21056-2024</t>
        </is>
      </c>
      <c r="B936" s="1" t="n">
        <v>45439</v>
      </c>
      <c r="C936" s="1" t="n">
        <v>45473</v>
      </c>
      <c r="D936" t="inlineStr">
        <is>
          <t>ÖREBRO LÄN</t>
        </is>
      </c>
      <c r="E936" t="inlineStr">
        <is>
          <t>ÖREBRO</t>
        </is>
      </c>
      <c r="F936" t="inlineStr">
        <is>
          <t>Övriga Aktiebolag</t>
        </is>
      </c>
      <c r="G936" t="n">
        <v>3.2</v>
      </c>
      <c r="H936" t="n">
        <v>0</v>
      </c>
      <c r="I936" t="n">
        <v>0</v>
      </c>
      <c r="J936" t="n">
        <v>0</v>
      </c>
      <c r="K936" t="n">
        <v>0</v>
      </c>
      <c r="L936" t="n">
        <v>0</v>
      </c>
      <c r="M936" t="n">
        <v>0</v>
      </c>
      <c r="N936" t="n">
        <v>0</v>
      </c>
      <c r="O936" t="n">
        <v>0</v>
      </c>
      <c r="P936" t="n">
        <v>0</v>
      </c>
      <c r="Q936" t="n">
        <v>0</v>
      </c>
      <c r="R936" s="2" t="inlineStr"/>
    </row>
    <row r="937" ht="15" customHeight="1">
      <c r="A937" t="inlineStr">
        <is>
          <t>A 21036-2024</t>
        </is>
      </c>
      <c r="B937" s="1" t="n">
        <v>45439</v>
      </c>
      <c r="C937" s="1" t="n">
        <v>45473</v>
      </c>
      <c r="D937" t="inlineStr">
        <is>
          <t>ÖREBRO LÄN</t>
        </is>
      </c>
      <c r="E937" t="inlineStr">
        <is>
          <t>ÖREBRO</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21277-2024</t>
        </is>
      </c>
      <c r="B938" s="1" t="n">
        <v>45440</v>
      </c>
      <c r="C938" s="1" t="n">
        <v>45473</v>
      </c>
      <c r="D938" t="inlineStr">
        <is>
          <t>ÖREBRO LÄN</t>
        </is>
      </c>
      <c r="E938" t="inlineStr">
        <is>
          <t>ÖREBRO</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21306-2024</t>
        </is>
      </c>
      <c r="B939" s="1" t="n">
        <v>45440</v>
      </c>
      <c r="C939" s="1" t="n">
        <v>45473</v>
      </c>
      <c r="D939" t="inlineStr">
        <is>
          <t>ÖREBRO LÄN</t>
        </is>
      </c>
      <c r="E939" t="inlineStr">
        <is>
          <t>ÖREBRO</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21422-2024</t>
        </is>
      </c>
      <c r="B940" s="1" t="n">
        <v>45441</v>
      </c>
      <c r="C940" s="1" t="n">
        <v>45473</v>
      </c>
      <c r="D940" t="inlineStr">
        <is>
          <t>ÖREBRO LÄN</t>
        </is>
      </c>
      <c r="E940" t="inlineStr">
        <is>
          <t>ÖREBRO</t>
        </is>
      </c>
      <c r="G940" t="n">
        <v>0.6</v>
      </c>
      <c r="H940" t="n">
        <v>0</v>
      </c>
      <c r="I940" t="n">
        <v>0</v>
      </c>
      <c r="J940" t="n">
        <v>0</v>
      </c>
      <c r="K940" t="n">
        <v>0</v>
      </c>
      <c r="L940" t="n">
        <v>0</v>
      </c>
      <c r="M940" t="n">
        <v>0</v>
      </c>
      <c r="N940" t="n">
        <v>0</v>
      </c>
      <c r="O940" t="n">
        <v>0</v>
      </c>
      <c r="P940" t="n">
        <v>0</v>
      </c>
      <c r="Q940" t="n">
        <v>0</v>
      </c>
      <c r="R940" s="2" t="inlineStr"/>
    </row>
    <row r="941" ht="15" customHeight="1">
      <c r="A941" t="inlineStr">
        <is>
          <t>A 21588-2024</t>
        </is>
      </c>
      <c r="B941" s="1" t="n">
        <v>45441</v>
      </c>
      <c r="C941" s="1" t="n">
        <v>45473</v>
      </c>
      <c r="D941" t="inlineStr">
        <is>
          <t>ÖREBRO LÄN</t>
        </is>
      </c>
      <c r="E941" t="inlineStr">
        <is>
          <t>ÖREBRO</t>
        </is>
      </c>
      <c r="G941" t="n">
        <v>8.1</v>
      </c>
      <c r="H941" t="n">
        <v>0</v>
      </c>
      <c r="I941" t="n">
        <v>0</v>
      </c>
      <c r="J941" t="n">
        <v>0</v>
      </c>
      <c r="K941" t="n">
        <v>0</v>
      </c>
      <c r="L941" t="n">
        <v>0</v>
      </c>
      <c r="M941" t="n">
        <v>0</v>
      </c>
      <c r="N941" t="n">
        <v>0</v>
      </c>
      <c r="O941" t="n">
        <v>0</v>
      </c>
      <c r="P941" t="n">
        <v>0</v>
      </c>
      <c r="Q941" t="n">
        <v>0</v>
      </c>
      <c r="R941" s="2" t="inlineStr"/>
    </row>
    <row r="942" ht="15" customHeight="1">
      <c r="A942" t="inlineStr">
        <is>
          <t>A 21800-2024</t>
        </is>
      </c>
      <c r="B942" s="1" t="n">
        <v>45442</v>
      </c>
      <c r="C942" s="1" t="n">
        <v>45473</v>
      </c>
      <c r="D942" t="inlineStr">
        <is>
          <t>ÖREBRO LÄN</t>
        </is>
      </c>
      <c r="E942" t="inlineStr">
        <is>
          <t>ÖREBRO</t>
        </is>
      </c>
      <c r="G942" t="n">
        <v>1.7</v>
      </c>
      <c r="H942" t="n">
        <v>0</v>
      </c>
      <c r="I942" t="n">
        <v>0</v>
      </c>
      <c r="J942" t="n">
        <v>0</v>
      </c>
      <c r="K942" t="n">
        <v>0</v>
      </c>
      <c r="L942" t="n">
        <v>0</v>
      </c>
      <c r="M942" t="n">
        <v>0</v>
      </c>
      <c r="N942" t="n">
        <v>0</v>
      </c>
      <c r="O942" t="n">
        <v>0</v>
      </c>
      <c r="P942" t="n">
        <v>0</v>
      </c>
      <c r="Q942" t="n">
        <v>0</v>
      </c>
      <c r="R942" s="2" t="inlineStr"/>
    </row>
    <row r="943" ht="15" customHeight="1">
      <c r="A943" t="inlineStr">
        <is>
          <t>A 22045-2024</t>
        </is>
      </c>
      <c r="B943" s="1" t="n">
        <v>45443</v>
      </c>
      <c r="C943" s="1" t="n">
        <v>45473</v>
      </c>
      <c r="D943" t="inlineStr">
        <is>
          <t>ÖREBRO LÄN</t>
        </is>
      </c>
      <c r="E943" t="inlineStr">
        <is>
          <t>ÖREBRO</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22061-2024</t>
        </is>
      </c>
      <c r="B944" s="1" t="n">
        <v>45443</v>
      </c>
      <c r="C944" s="1" t="n">
        <v>45473</v>
      </c>
      <c r="D944" t="inlineStr">
        <is>
          <t>ÖREBRO LÄN</t>
        </is>
      </c>
      <c r="E944" t="inlineStr">
        <is>
          <t>ÖREBRO</t>
        </is>
      </c>
      <c r="G944" t="n">
        <v>3.5</v>
      </c>
      <c r="H944" t="n">
        <v>0</v>
      </c>
      <c r="I944" t="n">
        <v>0</v>
      </c>
      <c r="J944" t="n">
        <v>0</v>
      </c>
      <c r="K944" t="n">
        <v>0</v>
      </c>
      <c r="L944" t="n">
        <v>0</v>
      </c>
      <c r="M944" t="n">
        <v>0</v>
      </c>
      <c r="N944" t="n">
        <v>0</v>
      </c>
      <c r="O944" t="n">
        <v>0</v>
      </c>
      <c r="P944" t="n">
        <v>0</v>
      </c>
      <c r="Q944" t="n">
        <v>0</v>
      </c>
      <c r="R944" s="2" t="inlineStr"/>
    </row>
    <row r="945" ht="15" customHeight="1">
      <c r="A945" t="inlineStr">
        <is>
          <t>A 22348-2024</t>
        </is>
      </c>
      <c r="B945" s="1" t="n">
        <v>45446</v>
      </c>
      <c r="C945" s="1" t="n">
        <v>45473</v>
      </c>
      <c r="D945" t="inlineStr">
        <is>
          <t>ÖREBRO LÄN</t>
        </is>
      </c>
      <c r="E945" t="inlineStr">
        <is>
          <t>ÖREBRO</t>
        </is>
      </c>
      <c r="G945" t="n">
        <v>0.7</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45473</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22557-2024</t>
        </is>
      </c>
      <c r="B947" s="1" t="n">
        <v>45447</v>
      </c>
      <c r="C947" s="1" t="n">
        <v>45473</v>
      </c>
      <c r="D947" t="inlineStr">
        <is>
          <t>ÖREBRO LÄN</t>
        </is>
      </c>
      <c r="E947" t="inlineStr">
        <is>
          <t>ÖREBRO</t>
        </is>
      </c>
      <c r="G947" t="n">
        <v>3.4</v>
      </c>
      <c r="H947" t="n">
        <v>0</v>
      </c>
      <c r="I947" t="n">
        <v>0</v>
      </c>
      <c r="J947" t="n">
        <v>0</v>
      </c>
      <c r="K947" t="n">
        <v>0</v>
      </c>
      <c r="L947" t="n">
        <v>0</v>
      </c>
      <c r="M947" t="n">
        <v>0</v>
      </c>
      <c r="N947" t="n">
        <v>0</v>
      </c>
      <c r="O947" t="n">
        <v>0</v>
      </c>
      <c r="P947" t="n">
        <v>0</v>
      </c>
      <c r="Q947" t="n">
        <v>0</v>
      </c>
      <c r="R947" s="2" t="inlineStr"/>
    </row>
    <row r="948" ht="15" customHeight="1">
      <c r="A948" t="inlineStr">
        <is>
          <t>A 22577-2024</t>
        </is>
      </c>
      <c r="B948" s="1" t="n">
        <v>45447</v>
      </c>
      <c r="C948" s="1" t="n">
        <v>45473</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22510-2024</t>
        </is>
      </c>
      <c r="B949" s="1" t="n">
        <v>45447</v>
      </c>
      <c r="C949" s="1" t="n">
        <v>45473</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22803-2024</t>
        </is>
      </c>
      <c r="B950" s="1" t="n">
        <v>45448</v>
      </c>
      <c r="C950" s="1" t="n">
        <v>45473</v>
      </c>
      <c r="D950" t="inlineStr">
        <is>
          <t>ÖREBRO LÄN</t>
        </is>
      </c>
      <c r="E950" t="inlineStr">
        <is>
          <t>ÖREBRO</t>
        </is>
      </c>
      <c r="G950" t="n">
        <v>3.1</v>
      </c>
      <c r="H950" t="n">
        <v>0</v>
      </c>
      <c r="I950" t="n">
        <v>0</v>
      </c>
      <c r="J950" t="n">
        <v>0</v>
      </c>
      <c r="K950" t="n">
        <v>0</v>
      </c>
      <c r="L950" t="n">
        <v>0</v>
      </c>
      <c r="M950" t="n">
        <v>0</v>
      </c>
      <c r="N950" t="n">
        <v>0</v>
      </c>
      <c r="O950" t="n">
        <v>0</v>
      </c>
      <c r="P950" t="n">
        <v>0</v>
      </c>
      <c r="Q950" t="n">
        <v>0</v>
      </c>
      <c r="R950" s="2" t="inlineStr"/>
    </row>
    <row r="951" ht="15" customHeight="1">
      <c r="A951" t="inlineStr">
        <is>
          <t>A 25183-2024</t>
        </is>
      </c>
      <c r="B951" s="1" t="n">
        <v>45462</v>
      </c>
      <c r="C951" s="1" t="n">
        <v>45473</v>
      </c>
      <c r="D951" t="inlineStr">
        <is>
          <t>ÖREBRO LÄN</t>
        </is>
      </c>
      <c r="E951" t="inlineStr">
        <is>
          <t>ÖREBRO</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25996-2024</t>
        </is>
      </c>
      <c r="B952" s="1" t="n">
        <v>45467</v>
      </c>
      <c r="C952" s="1" t="n">
        <v>45473</v>
      </c>
      <c r="D952" t="inlineStr">
        <is>
          <t>ÖREBRO LÄN</t>
        </is>
      </c>
      <c r="E952" t="inlineStr">
        <is>
          <t>ÖREBRO</t>
        </is>
      </c>
      <c r="G952" t="n">
        <v>4.7</v>
      </c>
      <c r="H952" t="n">
        <v>0</v>
      </c>
      <c r="I952" t="n">
        <v>0</v>
      </c>
      <c r="J952" t="n">
        <v>0</v>
      </c>
      <c r="K952" t="n">
        <v>0</v>
      </c>
      <c r="L952" t="n">
        <v>0</v>
      </c>
      <c r="M952" t="n">
        <v>0</v>
      </c>
      <c r="N952" t="n">
        <v>0</v>
      </c>
      <c r="O952" t="n">
        <v>0</v>
      </c>
      <c r="P952" t="n">
        <v>0</v>
      </c>
      <c r="Q952" t="n">
        <v>0</v>
      </c>
      <c r="R952" s="2" t="inlineStr"/>
    </row>
    <row r="953" ht="15" customHeight="1">
      <c r="A953" t="inlineStr">
        <is>
          <t>A 26443-2024</t>
        </is>
      </c>
      <c r="B953" s="1" t="n">
        <v>45469</v>
      </c>
      <c r="C953" s="1" t="n">
        <v>45473</v>
      </c>
      <c r="D953" t="inlineStr">
        <is>
          <t>ÖREBRO LÄN</t>
        </is>
      </c>
      <c r="E953" t="inlineStr">
        <is>
          <t>ÖREBRO</t>
        </is>
      </c>
      <c r="G953" t="n">
        <v>5.7</v>
      </c>
      <c r="H953" t="n">
        <v>0</v>
      </c>
      <c r="I953" t="n">
        <v>0</v>
      </c>
      <c r="J953" t="n">
        <v>0</v>
      </c>
      <c r="K953" t="n">
        <v>0</v>
      </c>
      <c r="L953" t="n">
        <v>0</v>
      </c>
      <c r="M953" t="n">
        <v>0</v>
      </c>
      <c r="N953" t="n">
        <v>0</v>
      </c>
      <c r="O953" t="n">
        <v>0</v>
      </c>
      <c r="P953" t="n">
        <v>0</v>
      </c>
      <c r="Q953" t="n">
        <v>0</v>
      </c>
      <c r="R953" s="2" t="inlineStr"/>
    </row>
    <row r="954" ht="15" customHeight="1">
      <c r="A954" t="inlineStr">
        <is>
          <t>A 26817-2024</t>
        </is>
      </c>
      <c r="B954" s="1" t="n">
        <v>45470</v>
      </c>
      <c r="C954" s="1" t="n">
        <v>45473</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c r="A955" t="inlineStr">
        <is>
          <t>A 26858-2024</t>
        </is>
      </c>
      <c r="B955" s="1" t="n">
        <v>45470</v>
      </c>
      <c r="C955" s="1" t="n">
        <v>45473</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2024-06-30T10:07:44Z</dcterms:created>
  <dcterms:modified xmlns:dcterms="http://purl.org/dc/terms/" xmlns:xsi="http://www.w3.org/2001/XMLSchema-instance" xsi:type="dcterms:W3CDTF">2024-06-30T10:07:45Z</dcterms:modified>
</cp:coreProperties>
</file>