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46127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46127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46127</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46127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46127</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46127</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46127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46127</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46127</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46127</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46127</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46127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46127</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46127</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46127</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46127</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46127</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46127</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46127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46127</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46127</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46127</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17074-2024</t>
        </is>
      </c>
      <c r="B24" s="1" t="n">
        <v>45412</v>
      </c>
      <c r="C24" s="1" t="n">
        <v>46127</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46127</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58837-2025</t>
        </is>
      </c>
      <c r="B26" s="1" t="n">
        <v>45987.35875</v>
      </c>
      <c r="C26" s="1" t="n">
        <v>46127</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35098-2025</t>
        </is>
      </c>
      <c r="B27" s="1" t="n">
        <v>45852.5469212963</v>
      </c>
      <c r="C27" s="1" t="n">
        <v>46127</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59517-2025</t>
        </is>
      </c>
      <c r="B28" s="1" t="n">
        <v>45989.65462962963</v>
      </c>
      <c r="C28" s="1" t="n">
        <v>46127</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46127</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50096-2023</t>
        </is>
      </c>
      <c r="B30" s="1" t="n">
        <v>45215</v>
      </c>
      <c r="C30" s="1" t="n">
        <v>46127</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46127</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46127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46127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46127</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60557-2025</t>
        </is>
      </c>
      <c r="B35" s="1" t="n">
        <v>45995.74444444444</v>
      </c>
      <c r="C35" s="1" t="n">
        <v>46127</v>
      </c>
      <c r="D35" t="inlineStr">
        <is>
          <t>ÖREBRO LÄN</t>
        </is>
      </c>
      <c r="E35" t="inlineStr">
        <is>
          <t>ÖREBRO</t>
        </is>
      </c>
      <c r="G35" t="n">
        <v>4.8</v>
      </c>
      <c r="H35" t="n">
        <v>0</v>
      </c>
      <c r="I35" t="n">
        <v>2</v>
      </c>
      <c r="J35" t="n">
        <v>0</v>
      </c>
      <c r="K35" t="n">
        <v>0</v>
      </c>
      <c r="L35" t="n">
        <v>0</v>
      </c>
      <c r="M35" t="n">
        <v>0</v>
      </c>
      <c r="N35" t="n">
        <v>0</v>
      </c>
      <c r="O35" t="n">
        <v>0</v>
      </c>
      <c r="P35" t="n">
        <v>0</v>
      </c>
      <c r="Q35" t="n">
        <v>2</v>
      </c>
      <c r="R35" s="2" t="inlineStr">
        <is>
          <t>Rödbrun jordstjärna
Tibast</t>
        </is>
      </c>
      <c r="S35">
        <f>HYPERLINK("https://klasma.github.io/Logging_1880/artfynd/A 60557-2025 artfynd.xlsx", "A 60557-2025")</f>
        <v/>
      </c>
      <c r="T35">
        <f>HYPERLINK("https://klasma.github.io/Logging_1880/kartor/A 60557-2025 karta.png", "A 60557-2025")</f>
        <v/>
      </c>
      <c r="V35">
        <f>HYPERLINK("https://klasma.github.io/Logging_1880/klagomål/A 60557-2025 FSC-klagomål.docx", "A 60557-2025")</f>
        <v/>
      </c>
      <c r="W35">
        <f>HYPERLINK("https://klasma.github.io/Logging_1880/klagomålsmail/A 60557-2025 FSC-klagomål mail.docx", "A 60557-2025")</f>
        <v/>
      </c>
      <c r="X35">
        <f>HYPERLINK("https://klasma.github.io/Logging_1880/tillsyn/A 60557-2025 tillsynsbegäran.docx", "A 60557-2025")</f>
        <v/>
      </c>
      <c r="Y35">
        <f>HYPERLINK("https://klasma.github.io/Logging_1880/tillsynsmail/A 60557-2025 tillsynsbegäran mail.docx", "A 60557-2025")</f>
        <v/>
      </c>
    </row>
    <row r="36" ht="15" customHeight="1">
      <c r="A36" t="inlineStr">
        <is>
          <t>A 14956-2025</t>
        </is>
      </c>
      <c r="B36" s="1" t="n">
        <v>45743.58409722222</v>
      </c>
      <c r="C36" s="1" t="n">
        <v>46127</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46127</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52400-2024</t>
        </is>
      </c>
      <c r="B38" s="1" t="n">
        <v>45609.44461805555</v>
      </c>
      <c r="C38" s="1" t="n">
        <v>46127</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63196-2025</t>
        </is>
      </c>
      <c r="B39" s="1" t="n">
        <v>46010.45872685185</v>
      </c>
      <c r="C39" s="1" t="n">
        <v>46127</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2998-2026</t>
        </is>
      </c>
      <c r="B40" s="1" t="n">
        <v>46038.64835648148</v>
      </c>
      <c r="C40" s="1" t="n">
        <v>46127</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37019-2024</t>
        </is>
      </c>
      <c r="B41" s="1" t="n">
        <v>45539.37905092593</v>
      </c>
      <c r="C41" s="1" t="n">
        <v>46127</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46127</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46127</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46127</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46127</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46127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46127</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42636-2023</t>
        </is>
      </c>
      <c r="B48" s="1" t="n">
        <v>45181.49559027778</v>
      </c>
      <c r="C48" s="1" t="n">
        <v>46127</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46127</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23998-2025</t>
        </is>
      </c>
      <c r="B50" s="1" t="n">
        <v>45796.42209490741</v>
      </c>
      <c r="C50" s="1" t="n">
        <v>46127</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44744-2024</t>
        </is>
      </c>
      <c r="B51" s="1" t="n">
        <v>45574.59789351852</v>
      </c>
      <c r="C51" s="1" t="n">
        <v>46127</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28936-2025</t>
        </is>
      </c>
      <c r="B52" s="1" t="n">
        <v>45820.69287037037</v>
      </c>
      <c r="C52" s="1" t="n">
        <v>46127</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32204-2025</t>
        </is>
      </c>
      <c r="B53" s="1" t="n">
        <v>45835.58074074074</v>
      </c>
      <c r="C53" s="1" t="n">
        <v>46127</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46127</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58838-2025</t>
        </is>
      </c>
      <c r="B55" s="1" t="n">
        <v>45987.35973379629</v>
      </c>
      <c r="C55" s="1" t="n">
        <v>46127</v>
      </c>
      <c r="D55" t="inlineStr">
        <is>
          <t>ÖREBRO LÄN</t>
        </is>
      </c>
      <c r="E55" t="inlineStr">
        <is>
          <t>ÖREBRO</t>
        </is>
      </c>
      <c r="G55" t="n">
        <v>1.7</v>
      </c>
      <c r="H55" t="n">
        <v>0</v>
      </c>
      <c r="I55" t="n">
        <v>1</v>
      </c>
      <c r="J55" t="n">
        <v>0</v>
      </c>
      <c r="K55" t="n">
        <v>0</v>
      </c>
      <c r="L55" t="n">
        <v>0</v>
      </c>
      <c r="M55" t="n">
        <v>0</v>
      </c>
      <c r="N55" t="n">
        <v>0</v>
      </c>
      <c r="O55" t="n">
        <v>0</v>
      </c>
      <c r="P55" t="n">
        <v>0</v>
      </c>
      <c r="Q55" t="n">
        <v>1</v>
      </c>
      <c r="R55" s="2" t="inlineStr">
        <is>
          <t>Grönpyrola</t>
        </is>
      </c>
      <c r="S55">
        <f>HYPERLINK("https://klasma.github.io/Logging_1880/artfynd/A 58838-2025 artfynd.xlsx", "A 58838-2025")</f>
        <v/>
      </c>
      <c r="T55">
        <f>HYPERLINK("https://klasma.github.io/Logging_1880/kartor/A 58838-2025 karta.png", "A 58838-2025")</f>
        <v/>
      </c>
      <c r="V55">
        <f>HYPERLINK("https://klasma.github.io/Logging_1880/klagomål/A 58838-2025 FSC-klagomål.docx", "A 58838-2025")</f>
        <v/>
      </c>
      <c r="W55">
        <f>HYPERLINK("https://klasma.github.io/Logging_1880/klagomålsmail/A 58838-2025 FSC-klagomål mail.docx", "A 58838-2025")</f>
        <v/>
      </c>
      <c r="X55">
        <f>HYPERLINK("https://klasma.github.io/Logging_1880/tillsyn/A 58838-2025 tillsynsbegäran.docx", "A 58838-2025")</f>
        <v/>
      </c>
      <c r="Y55">
        <f>HYPERLINK("https://klasma.github.io/Logging_1880/tillsynsmail/A 58838-2025 tillsynsbegäran mail.docx", "A 58838-2025")</f>
        <v/>
      </c>
    </row>
    <row r="56" ht="15" customHeight="1">
      <c r="A56" t="inlineStr">
        <is>
          <t>A 50499-2025</t>
        </is>
      </c>
      <c r="B56" s="1" t="n">
        <v>45945.41712962963</v>
      </c>
      <c r="C56" s="1" t="n">
        <v>46127</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52382-2025</t>
        </is>
      </c>
      <c r="B57" s="1" t="n">
        <v>45953.9559837963</v>
      </c>
      <c r="C57" s="1" t="n">
        <v>46127</v>
      </c>
      <c r="D57" t="inlineStr">
        <is>
          <t>ÖREBRO LÄN</t>
        </is>
      </c>
      <c r="E57" t="inlineStr">
        <is>
          <t>ÖREBRO</t>
        </is>
      </c>
      <c r="F57" t="inlineStr">
        <is>
          <t>Sveaskog</t>
        </is>
      </c>
      <c r="G57" t="n">
        <v>3.4</v>
      </c>
      <c r="H57" t="n">
        <v>0</v>
      </c>
      <c r="I57" t="n">
        <v>0</v>
      </c>
      <c r="J57" t="n">
        <v>1</v>
      </c>
      <c r="K57" t="n">
        <v>0</v>
      </c>
      <c r="L57" t="n">
        <v>0</v>
      </c>
      <c r="M57" t="n">
        <v>0</v>
      </c>
      <c r="N57" t="n">
        <v>0</v>
      </c>
      <c r="O57" t="n">
        <v>1</v>
      </c>
      <c r="P57" t="n">
        <v>0</v>
      </c>
      <c r="Q57" t="n">
        <v>1</v>
      </c>
      <c r="R57" s="2" t="inlineStr">
        <is>
          <t>Grantaggsvamp</t>
        </is>
      </c>
      <c r="S57">
        <f>HYPERLINK("https://klasma.github.io/Logging_1880/artfynd/A 52382-2025 artfynd.xlsx", "A 52382-2025")</f>
        <v/>
      </c>
      <c r="T57">
        <f>HYPERLINK("https://klasma.github.io/Logging_1880/kartor/A 52382-2025 karta.png", "A 52382-2025")</f>
        <v/>
      </c>
      <c r="V57">
        <f>HYPERLINK("https://klasma.github.io/Logging_1880/klagomål/A 52382-2025 FSC-klagomål.docx", "A 52382-2025")</f>
        <v/>
      </c>
      <c r="W57">
        <f>HYPERLINK("https://klasma.github.io/Logging_1880/klagomålsmail/A 52382-2025 FSC-klagomål mail.docx", "A 52382-2025")</f>
        <v/>
      </c>
      <c r="X57">
        <f>HYPERLINK("https://klasma.github.io/Logging_1880/tillsyn/A 52382-2025 tillsynsbegäran.docx", "A 52382-2025")</f>
        <v/>
      </c>
      <c r="Y57">
        <f>HYPERLINK("https://klasma.github.io/Logging_1880/tillsynsmail/A 52382-2025 tillsynsbegäran mail.docx", "A 52382-2025")</f>
        <v/>
      </c>
    </row>
    <row r="58" ht="15" customHeight="1">
      <c r="A58" t="inlineStr">
        <is>
          <t>A 26890-2022</t>
        </is>
      </c>
      <c r="B58" s="1" t="n">
        <v>44740</v>
      </c>
      <c r="C58" s="1" t="n">
        <v>46127</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43332-2022</t>
        </is>
      </c>
      <c r="B59" s="1" t="n">
        <v>44834</v>
      </c>
      <c r="C59" s="1" t="n">
        <v>46127</v>
      </c>
      <c r="D59" t="inlineStr">
        <is>
          <t>ÖREBRO LÄN</t>
        </is>
      </c>
      <c r="E59" t="inlineStr">
        <is>
          <t>ÖREBRO</t>
        </is>
      </c>
      <c r="G59" t="n">
        <v>2.3</v>
      </c>
      <c r="H59" t="n">
        <v>1</v>
      </c>
      <c r="I59" t="n">
        <v>0</v>
      </c>
      <c r="J59" t="n">
        <v>1</v>
      </c>
      <c r="K59" t="n">
        <v>0</v>
      </c>
      <c r="L59" t="n">
        <v>0</v>
      </c>
      <c r="M59" t="n">
        <v>0</v>
      </c>
      <c r="N59" t="n">
        <v>0</v>
      </c>
      <c r="O59" t="n">
        <v>1</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63199-2025</t>
        </is>
      </c>
      <c r="B60" s="1" t="n">
        <v>46010.46091435185</v>
      </c>
      <c r="C60" s="1" t="n">
        <v>46127</v>
      </c>
      <c r="D60" t="inlineStr">
        <is>
          <t>ÖREBRO LÄN</t>
        </is>
      </c>
      <c r="E60" t="inlineStr">
        <is>
          <t>ÖREBRO</t>
        </is>
      </c>
      <c r="F60" t="inlineStr">
        <is>
          <t>Sveaskog</t>
        </is>
      </c>
      <c r="G60" t="n">
        <v>0.9</v>
      </c>
      <c r="H60" t="n">
        <v>1</v>
      </c>
      <c r="I60" t="n">
        <v>0</v>
      </c>
      <c r="J60" t="n">
        <v>0</v>
      </c>
      <c r="K60" t="n">
        <v>0</v>
      </c>
      <c r="L60" t="n">
        <v>0</v>
      </c>
      <c r="M60" t="n">
        <v>0</v>
      </c>
      <c r="N60" t="n">
        <v>0</v>
      </c>
      <c r="O60" t="n">
        <v>0</v>
      </c>
      <c r="P60" t="n">
        <v>0</v>
      </c>
      <c r="Q60" t="n">
        <v>1</v>
      </c>
      <c r="R60" s="2" t="inlineStr">
        <is>
          <t>Gullviva</t>
        </is>
      </c>
      <c r="S60">
        <f>HYPERLINK("https://klasma.github.io/Logging_1880/artfynd/A 63199-2025 artfynd.xlsx", "A 63199-2025")</f>
        <v/>
      </c>
      <c r="T60">
        <f>HYPERLINK("https://klasma.github.io/Logging_1880/kartor/A 63199-2025 karta.png", "A 63199-2025")</f>
        <v/>
      </c>
      <c r="V60">
        <f>HYPERLINK("https://klasma.github.io/Logging_1880/klagomål/A 63199-2025 FSC-klagomål.docx", "A 63199-2025")</f>
        <v/>
      </c>
      <c r="W60">
        <f>HYPERLINK("https://klasma.github.io/Logging_1880/klagomålsmail/A 63199-2025 FSC-klagomål mail.docx", "A 63199-2025")</f>
        <v/>
      </c>
      <c r="X60">
        <f>HYPERLINK("https://klasma.github.io/Logging_1880/tillsyn/A 63199-2025 tillsynsbegäran.docx", "A 63199-2025")</f>
        <v/>
      </c>
      <c r="Y60">
        <f>HYPERLINK("https://klasma.github.io/Logging_1880/tillsynsmail/A 63199-2025 tillsynsbegäran mail.docx", "A 63199-2025")</f>
        <v/>
      </c>
    </row>
    <row r="61" ht="15" customHeight="1">
      <c r="A61" t="inlineStr">
        <is>
          <t>A 59516-2025</t>
        </is>
      </c>
      <c r="B61" s="1" t="n">
        <v>45989.65396990741</v>
      </c>
      <c r="C61" s="1" t="n">
        <v>46127</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3006-2026</t>
        </is>
      </c>
      <c r="B62" s="1" t="n">
        <v>46038.65719907408</v>
      </c>
      <c r="C62" s="1" t="n">
        <v>46127</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44389-2021</t>
        </is>
      </c>
      <c r="B63" s="1" t="n">
        <v>44435</v>
      </c>
      <c r="C63" s="1" t="n">
        <v>46127</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2077-2023</t>
        </is>
      </c>
      <c r="B64" s="1" t="n">
        <v>44939</v>
      </c>
      <c r="C64" s="1" t="n">
        <v>46127</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30725-2023</t>
        </is>
      </c>
      <c r="B65" s="1" t="n">
        <v>45112.61451388889</v>
      </c>
      <c r="C65" s="1" t="n">
        <v>46127</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46127</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46127</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46127</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46127</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46127</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46127</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46127</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23606-2021</t>
        </is>
      </c>
      <c r="B73" s="1" t="n">
        <v>44334</v>
      </c>
      <c r="C73" s="1" t="n">
        <v>46127</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46127</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46127</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46127</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46127</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46127</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46127</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46127</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46127</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46127</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46127</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46127</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46127</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46127</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46127</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46127</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46127</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46127</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46127</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46127</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46127</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46127</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46127</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46127</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25660-2021</t>
        </is>
      </c>
      <c r="B97" s="1" t="n">
        <v>44343.5619212963</v>
      </c>
      <c r="C97" s="1" t="n">
        <v>46127</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46127</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46127</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46127</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46127</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46127</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46127</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46127</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28870-2021</t>
        </is>
      </c>
      <c r="B105" s="1" t="n">
        <v>44357.75265046296</v>
      </c>
      <c r="C105" s="1" t="n">
        <v>46127</v>
      </c>
      <c r="D105" t="inlineStr">
        <is>
          <t>ÖREBRO LÄN</t>
        </is>
      </c>
      <c r="E105" t="inlineStr">
        <is>
          <t>ÖREBRO</t>
        </is>
      </c>
      <c r="F105" t="inlineStr">
        <is>
          <t>Övriga Aktiebolag</t>
        </is>
      </c>
      <c r="G105" t="n">
        <v>2.4</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46127</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46127</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46127</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46127</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46127</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46127</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46127</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46127</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46127</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46127</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46127</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46127</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46127</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46127</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46127</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46127</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46127</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33814-2021</t>
        </is>
      </c>
      <c r="B123" s="1" t="n">
        <v>44378</v>
      </c>
      <c r="C123" s="1" t="n">
        <v>46127</v>
      </c>
      <c r="D123" t="inlineStr">
        <is>
          <t>ÖREBRO LÄN</t>
        </is>
      </c>
      <c r="E123" t="inlineStr">
        <is>
          <t>ÖREBRO</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13631-2022</t>
        </is>
      </c>
      <c r="B124" s="1" t="n">
        <v>44648</v>
      </c>
      <c r="C124" s="1" t="n">
        <v>46127</v>
      </c>
      <c r="D124" t="inlineStr">
        <is>
          <t>ÖREBRO LÄN</t>
        </is>
      </c>
      <c r="E124" t="inlineStr">
        <is>
          <t>ÖREBRO</t>
        </is>
      </c>
      <c r="G124" t="n">
        <v>10.4</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46127</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46127</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46127</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46127</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46127</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44165-2022</t>
        </is>
      </c>
      <c r="B130" s="1" t="n">
        <v>44839</v>
      </c>
      <c r="C130" s="1" t="n">
        <v>46127</v>
      </c>
      <c r="D130" t="inlineStr">
        <is>
          <t>ÖREBRO LÄN</t>
        </is>
      </c>
      <c r="E130" t="inlineStr">
        <is>
          <t>ÖREBRO</t>
        </is>
      </c>
      <c r="G130" t="n">
        <v>0.5</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46127</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46127</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46127</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46127</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46127</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46127</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46127</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40312-2021</t>
        </is>
      </c>
      <c r="B138" s="1" t="n">
        <v>44419</v>
      </c>
      <c r="C138" s="1" t="n">
        <v>46127</v>
      </c>
      <c r="D138" t="inlineStr">
        <is>
          <t>ÖREBRO LÄN</t>
        </is>
      </c>
      <c r="E138" t="inlineStr">
        <is>
          <t>ÖREBRO</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12478-2022</t>
        </is>
      </c>
      <c r="B139" s="1" t="n">
        <v>44638</v>
      </c>
      <c r="C139" s="1" t="n">
        <v>46127</v>
      </c>
      <c r="D139" t="inlineStr">
        <is>
          <t>ÖREBRO LÄN</t>
        </is>
      </c>
      <c r="E139" t="inlineStr">
        <is>
          <t>ÖREBRO</t>
        </is>
      </c>
      <c r="F139" t="inlineStr">
        <is>
          <t>Kyrkan</t>
        </is>
      </c>
      <c r="G139" t="n">
        <v>1.4</v>
      </c>
      <c r="H139" t="n">
        <v>0</v>
      </c>
      <c r="I139" t="n">
        <v>0</v>
      </c>
      <c r="J139" t="n">
        <v>0</v>
      </c>
      <c r="K139" t="n">
        <v>0</v>
      </c>
      <c r="L139" t="n">
        <v>0</v>
      </c>
      <c r="M139" t="n">
        <v>0</v>
      </c>
      <c r="N139" t="n">
        <v>0</v>
      </c>
      <c r="O139" t="n">
        <v>0</v>
      </c>
      <c r="P139" t="n">
        <v>0</v>
      </c>
      <c r="Q139" t="n">
        <v>0</v>
      </c>
      <c r="R139" s="2" t="inlineStr"/>
    </row>
    <row r="140" ht="15" customHeight="1">
      <c r="A140" t="inlineStr">
        <is>
          <t>A 46757-2021</t>
        </is>
      </c>
      <c r="B140" s="1" t="n">
        <v>44445</v>
      </c>
      <c r="C140" s="1" t="n">
        <v>46127</v>
      </c>
      <c r="D140" t="inlineStr">
        <is>
          <t>ÖREBRO LÄN</t>
        </is>
      </c>
      <c r="E140" t="inlineStr">
        <is>
          <t>ÖREBRO</t>
        </is>
      </c>
      <c r="G140" t="n">
        <v>5.6</v>
      </c>
      <c r="H140" t="n">
        <v>0</v>
      </c>
      <c r="I140" t="n">
        <v>0</v>
      </c>
      <c r="J140" t="n">
        <v>0</v>
      </c>
      <c r="K140" t="n">
        <v>0</v>
      </c>
      <c r="L140" t="n">
        <v>0</v>
      </c>
      <c r="M140" t="n">
        <v>0</v>
      </c>
      <c r="N140" t="n">
        <v>0</v>
      </c>
      <c r="O140" t="n">
        <v>0</v>
      </c>
      <c r="P140" t="n">
        <v>0</v>
      </c>
      <c r="Q140" t="n">
        <v>0</v>
      </c>
      <c r="R140" s="2" t="inlineStr"/>
    </row>
    <row r="141" ht="15" customHeight="1">
      <c r="A141" t="inlineStr">
        <is>
          <t>A 5401-2022</t>
        </is>
      </c>
      <c r="B141" s="1" t="n">
        <v>44595</v>
      </c>
      <c r="C141" s="1" t="n">
        <v>46127</v>
      </c>
      <c r="D141" t="inlineStr">
        <is>
          <t>ÖREBRO LÄN</t>
        </is>
      </c>
      <c r="E141" t="inlineStr">
        <is>
          <t>ÖREBRO</t>
        </is>
      </c>
      <c r="G141" t="n">
        <v>2.3</v>
      </c>
      <c r="H141" t="n">
        <v>0</v>
      </c>
      <c r="I141" t="n">
        <v>0</v>
      </c>
      <c r="J141" t="n">
        <v>0</v>
      </c>
      <c r="K141" t="n">
        <v>0</v>
      </c>
      <c r="L141" t="n">
        <v>0</v>
      </c>
      <c r="M141" t="n">
        <v>0</v>
      </c>
      <c r="N141" t="n">
        <v>0</v>
      </c>
      <c r="O141" t="n">
        <v>0</v>
      </c>
      <c r="P141" t="n">
        <v>0</v>
      </c>
      <c r="Q141" t="n">
        <v>0</v>
      </c>
      <c r="R141" s="2" t="inlineStr"/>
    </row>
    <row r="142" ht="15" customHeight="1">
      <c r="A142" t="inlineStr">
        <is>
          <t>A 23863-2023</t>
        </is>
      </c>
      <c r="B142" s="1" t="n">
        <v>45078.48994212963</v>
      </c>
      <c r="C142" s="1" t="n">
        <v>46127</v>
      </c>
      <c r="D142" t="inlineStr">
        <is>
          <t>ÖREBRO LÄN</t>
        </is>
      </c>
      <c r="E142" t="inlineStr">
        <is>
          <t>ÖREBRO</t>
        </is>
      </c>
      <c r="F142" t="inlineStr">
        <is>
          <t>Övriga Aktiebolag</t>
        </is>
      </c>
      <c r="G142" t="n">
        <v>5.9</v>
      </c>
      <c r="H142" t="n">
        <v>0</v>
      </c>
      <c r="I142" t="n">
        <v>0</v>
      </c>
      <c r="J142" t="n">
        <v>0</v>
      </c>
      <c r="K142" t="n">
        <v>0</v>
      </c>
      <c r="L142" t="n">
        <v>0</v>
      </c>
      <c r="M142" t="n">
        <v>0</v>
      </c>
      <c r="N142" t="n">
        <v>0</v>
      </c>
      <c r="O142" t="n">
        <v>0</v>
      </c>
      <c r="P142" t="n">
        <v>0</v>
      </c>
      <c r="Q142" t="n">
        <v>0</v>
      </c>
      <c r="R142" s="2" t="inlineStr"/>
    </row>
    <row r="143" ht="15" customHeight="1">
      <c r="A143" t="inlineStr">
        <is>
          <t>A 9609-2023</t>
        </is>
      </c>
      <c r="B143" s="1" t="n">
        <v>44983.93344907407</v>
      </c>
      <c r="C143" s="1" t="n">
        <v>46127</v>
      </c>
      <c r="D143" t="inlineStr">
        <is>
          <t>ÖREBRO LÄN</t>
        </is>
      </c>
      <c r="E143" t="inlineStr">
        <is>
          <t>ÖREBRO</t>
        </is>
      </c>
      <c r="G143" t="n">
        <v>2</v>
      </c>
      <c r="H143" t="n">
        <v>0</v>
      </c>
      <c r="I143" t="n">
        <v>0</v>
      </c>
      <c r="J143" t="n">
        <v>0</v>
      </c>
      <c r="K143" t="n">
        <v>0</v>
      </c>
      <c r="L143" t="n">
        <v>0</v>
      </c>
      <c r="M143" t="n">
        <v>0</v>
      </c>
      <c r="N143" t="n">
        <v>0</v>
      </c>
      <c r="O143" t="n">
        <v>0</v>
      </c>
      <c r="P143" t="n">
        <v>0</v>
      </c>
      <c r="Q143" t="n">
        <v>0</v>
      </c>
      <c r="R143" s="2" t="inlineStr"/>
    </row>
    <row r="144" ht="15" customHeight="1">
      <c r="A144" t="inlineStr">
        <is>
          <t>A 14053-2025</t>
        </is>
      </c>
      <c r="B144" s="1" t="n">
        <v>45739</v>
      </c>
      <c r="C144" s="1" t="n">
        <v>46127</v>
      </c>
      <c r="D144" t="inlineStr">
        <is>
          <t>ÖREBRO LÄN</t>
        </is>
      </c>
      <c r="E144" t="inlineStr">
        <is>
          <t>ÖREBRO</t>
        </is>
      </c>
      <c r="G144" t="n">
        <v>3.5</v>
      </c>
      <c r="H144" t="n">
        <v>0</v>
      </c>
      <c r="I144" t="n">
        <v>0</v>
      </c>
      <c r="J144" t="n">
        <v>0</v>
      </c>
      <c r="K144" t="n">
        <v>0</v>
      </c>
      <c r="L144" t="n">
        <v>0</v>
      </c>
      <c r="M144" t="n">
        <v>0</v>
      </c>
      <c r="N144" t="n">
        <v>0</v>
      </c>
      <c r="O144" t="n">
        <v>0</v>
      </c>
      <c r="P144" t="n">
        <v>0</v>
      </c>
      <c r="Q144" t="n">
        <v>0</v>
      </c>
      <c r="R144" s="2" t="inlineStr"/>
    </row>
    <row r="145" ht="15" customHeight="1">
      <c r="A145" t="inlineStr">
        <is>
          <t>A 10799-2024</t>
        </is>
      </c>
      <c r="B145" s="1" t="n">
        <v>45369</v>
      </c>
      <c r="C145" s="1" t="n">
        <v>46127</v>
      </c>
      <c r="D145" t="inlineStr">
        <is>
          <t>ÖREBRO LÄN</t>
        </is>
      </c>
      <c r="E145" t="inlineStr">
        <is>
          <t>ÖREBRO</t>
        </is>
      </c>
      <c r="G145" t="n">
        <v>5.8</v>
      </c>
      <c r="H145" t="n">
        <v>0</v>
      </c>
      <c r="I145" t="n">
        <v>0</v>
      </c>
      <c r="J145" t="n">
        <v>0</v>
      </c>
      <c r="K145" t="n">
        <v>0</v>
      </c>
      <c r="L145" t="n">
        <v>0</v>
      </c>
      <c r="M145" t="n">
        <v>0</v>
      </c>
      <c r="N145" t="n">
        <v>0</v>
      </c>
      <c r="O145" t="n">
        <v>0</v>
      </c>
      <c r="P145" t="n">
        <v>0</v>
      </c>
      <c r="Q145" t="n">
        <v>0</v>
      </c>
      <c r="R145" s="2" t="inlineStr"/>
    </row>
    <row r="146" ht="15" customHeight="1">
      <c r="A146" t="inlineStr">
        <is>
          <t>A 5795-2024</t>
        </is>
      </c>
      <c r="B146" s="1" t="n">
        <v>45335.4531712963</v>
      </c>
      <c r="C146" s="1" t="n">
        <v>46127</v>
      </c>
      <c r="D146" t="inlineStr">
        <is>
          <t>ÖREBRO LÄN</t>
        </is>
      </c>
      <c r="E146" t="inlineStr">
        <is>
          <t>ÖREBRO</t>
        </is>
      </c>
      <c r="G146" t="n">
        <v>1.8</v>
      </c>
      <c r="H146" t="n">
        <v>0</v>
      </c>
      <c r="I146" t="n">
        <v>0</v>
      </c>
      <c r="J146" t="n">
        <v>0</v>
      </c>
      <c r="K146" t="n">
        <v>0</v>
      </c>
      <c r="L146" t="n">
        <v>0</v>
      </c>
      <c r="M146" t="n">
        <v>0</v>
      </c>
      <c r="N146" t="n">
        <v>0</v>
      </c>
      <c r="O146" t="n">
        <v>0</v>
      </c>
      <c r="P146" t="n">
        <v>0</v>
      </c>
      <c r="Q146" t="n">
        <v>0</v>
      </c>
      <c r="R146" s="2" t="inlineStr"/>
    </row>
    <row r="147" ht="15" customHeight="1">
      <c r="A147" t="inlineStr">
        <is>
          <t>A 59736-2023</t>
        </is>
      </c>
      <c r="B147" s="1" t="n">
        <v>45257.374375</v>
      </c>
      <c r="C147" s="1" t="n">
        <v>46127</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2153-2023</t>
        </is>
      </c>
      <c r="B148" s="1" t="n">
        <v>44941</v>
      </c>
      <c r="C148" s="1" t="n">
        <v>46127</v>
      </c>
      <c r="D148" t="inlineStr">
        <is>
          <t>ÖREBRO LÄN</t>
        </is>
      </c>
      <c r="E148" t="inlineStr">
        <is>
          <t>ÖREBRO</t>
        </is>
      </c>
      <c r="G148" t="n">
        <v>6.3</v>
      </c>
      <c r="H148" t="n">
        <v>0</v>
      </c>
      <c r="I148" t="n">
        <v>0</v>
      </c>
      <c r="J148" t="n">
        <v>0</v>
      </c>
      <c r="K148" t="n">
        <v>0</v>
      </c>
      <c r="L148" t="n">
        <v>0</v>
      </c>
      <c r="M148" t="n">
        <v>0</v>
      </c>
      <c r="N148" t="n">
        <v>0</v>
      </c>
      <c r="O148" t="n">
        <v>0</v>
      </c>
      <c r="P148" t="n">
        <v>0</v>
      </c>
      <c r="Q148" t="n">
        <v>0</v>
      </c>
      <c r="R148" s="2" t="inlineStr"/>
    </row>
    <row r="149" ht="15" customHeight="1">
      <c r="A149" t="inlineStr">
        <is>
          <t>A 10829-2023</t>
        </is>
      </c>
      <c r="B149" s="1" t="n">
        <v>44990.88512731482</v>
      </c>
      <c r="C149" s="1" t="n">
        <v>46127</v>
      </c>
      <c r="D149" t="inlineStr">
        <is>
          <t>ÖREBRO LÄN</t>
        </is>
      </c>
      <c r="E149" t="inlineStr">
        <is>
          <t>ÖREBRO</t>
        </is>
      </c>
      <c r="G149" t="n">
        <v>4.4</v>
      </c>
      <c r="H149" t="n">
        <v>0</v>
      </c>
      <c r="I149" t="n">
        <v>0</v>
      </c>
      <c r="J149" t="n">
        <v>0</v>
      </c>
      <c r="K149" t="n">
        <v>0</v>
      </c>
      <c r="L149" t="n">
        <v>0</v>
      </c>
      <c r="M149" t="n">
        <v>0</v>
      </c>
      <c r="N149" t="n">
        <v>0</v>
      </c>
      <c r="O149" t="n">
        <v>0</v>
      </c>
      <c r="P149" t="n">
        <v>0</v>
      </c>
      <c r="Q149" t="n">
        <v>0</v>
      </c>
      <c r="R149" s="2" t="inlineStr"/>
    </row>
    <row r="150" ht="15" customHeight="1">
      <c r="A150" t="inlineStr">
        <is>
          <t>A 10831-2023</t>
        </is>
      </c>
      <c r="B150" s="1" t="n">
        <v>44990.90357638889</v>
      </c>
      <c r="C150" s="1" t="n">
        <v>46127</v>
      </c>
      <c r="D150" t="inlineStr">
        <is>
          <t>ÖREBRO LÄN</t>
        </is>
      </c>
      <c r="E150" t="inlineStr">
        <is>
          <t>ÖREBRO</t>
        </is>
      </c>
      <c r="G150" t="n">
        <v>1.9</v>
      </c>
      <c r="H150" t="n">
        <v>0</v>
      </c>
      <c r="I150" t="n">
        <v>0</v>
      </c>
      <c r="J150" t="n">
        <v>0</v>
      </c>
      <c r="K150" t="n">
        <v>0</v>
      </c>
      <c r="L150" t="n">
        <v>0</v>
      </c>
      <c r="M150" t="n">
        <v>0</v>
      </c>
      <c r="N150" t="n">
        <v>0</v>
      </c>
      <c r="O150" t="n">
        <v>0</v>
      </c>
      <c r="P150" t="n">
        <v>0</v>
      </c>
      <c r="Q150" t="n">
        <v>0</v>
      </c>
      <c r="R150" s="2" t="inlineStr"/>
    </row>
    <row r="151" ht="15" customHeight="1">
      <c r="A151" t="inlineStr">
        <is>
          <t>A 58539-2024</t>
        </is>
      </c>
      <c r="B151" s="1" t="n">
        <v>45635.45157407408</v>
      </c>
      <c r="C151" s="1" t="n">
        <v>46127</v>
      </c>
      <c r="D151" t="inlineStr">
        <is>
          <t>ÖREBRO LÄN</t>
        </is>
      </c>
      <c r="E151" t="inlineStr">
        <is>
          <t>ÖREBRO</t>
        </is>
      </c>
      <c r="F151" t="inlineStr">
        <is>
          <t>Sveaskog</t>
        </is>
      </c>
      <c r="G151" t="n">
        <v>4.1</v>
      </c>
      <c r="H151" t="n">
        <v>0</v>
      </c>
      <c r="I151" t="n">
        <v>0</v>
      </c>
      <c r="J151" t="n">
        <v>0</v>
      </c>
      <c r="K151" t="n">
        <v>0</v>
      </c>
      <c r="L151" t="n">
        <v>0</v>
      </c>
      <c r="M151" t="n">
        <v>0</v>
      </c>
      <c r="N151" t="n">
        <v>0</v>
      </c>
      <c r="O151" t="n">
        <v>0</v>
      </c>
      <c r="P151" t="n">
        <v>0</v>
      </c>
      <c r="Q151" t="n">
        <v>0</v>
      </c>
      <c r="R151" s="2" t="inlineStr"/>
    </row>
    <row r="152" ht="15" customHeight="1">
      <c r="A152" t="inlineStr">
        <is>
          <t>A 187-2024</t>
        </is>
      </c>
      <c r="B152" s="1" t="n">
        <v>45294</v>
      </c>
      <c r="C152" s="1" t="n">
        <v>46127</v>
      </c>
      <c r="D152" t="inlineStr">
        <is>
          <t>ÖREBRO LÄN</t>
        </is>
      </c>
      <c r="E152" t="inlineStr">
        <is>
          <t>ÖREBRO</t>
        </is>
      </c>
      <c r="G152" t="n">
        <v>5.9</v>
      </c>
      <c r="H152" t="n">
        <v>0</v>
      </c>
      <c r="I152" t="n">
        <v>0</v>
      </c>
      <c r="J152" t="n">
        <v>0</v>
      </c>
      <c r="K152" t="n">
        <v>0</v>
      </c>
      <c r="L152" t="n">
        <v>0</v>
      </c>
      <c r="M152" t="n">
        <v>0</v>
      </c>
      <c r="N152" t="n">
        <v>0</v>
      </c>
      <c r="O152" t="n">
        <v>0</v>
      </c>
      <c r="P152" t="n">
        <v>0</v>
      </c>
      <c r="Q152" t="n">
        <v>0</v>
      </c>
      <c r="R152" s="2" t="inlineStr"/>
    </row>
    <row r="153" ht="15" customHeight="1">
      <c r="A153" t="inlineStr">
        <is>
          <t>A 58532-2024</t>
        </is>
      </c>
      <c r="B153" s="1" t="n">
        <v>45635.44899305556</v>
      </c>
      <c r="C153" s="1" t="n">
        <v>46127</v>
      </c>
      <c r="D153" t="inlineStr">
        <is>
          <t>ÖREBRO LÄN</t>
        </is>
      </c>
      <c r="E153" t="inlineStr">
        <is>
          <t>ÖREBRO</t>
        </is>
      </c>
      <c r="F153" t="inlineStr">
        <is>
          <t>Sveaskog</t>
        </is>
      </c>
      <c r="G153" t="n">
        <v>5.2</v>
      </c>
      <c r="H153" t="n">
        <v>0</v>
      </c>
      <c r="I153" t="n">
        <v>0</v>
      </c>
      <c r="J153" t="n">
        <v>0</v>
      </c>
      <c r="K153" t="n">
        <v>0</v>
      </c>
      <c r="L153" t="n">
        <v>0</v>
      </c>
      <c r="M153" t="n">
        <v>0</v>
      </c>
      <c r="N153" t="n">
        <v>0</v>
      </c>
      <c r="O153" t="n">
        <v>0</v>
      </c>
      <c r="P153" t="n">
        <v>0</v>
      </c>
      <c r="Q153" t="n">
        <v>0</v>
      </c>
      <c r="R153" s="2" t="inlineStr"/>
    </row>
    <row r="154" ht="15" customHeight="1">
      <c r="A154" t="inlineStr">
        <is>
          <t>A 10470-2025</t>
        </is>
      </c>
      <c r="B154" s="1" t="n">
        <v>45720</v>
      </c>
      <c r="C154" s="1" t="n">
        <v>46127</v>
      </c>
      <c r="D154" t="inlineStr">
        <is>
          <t>ÖREBRO LÄN</t>
        </is>
      </c>
      <c r="E154" t="inlineStr">
        <is>
          <t>ÖREBRO</t>
        </is>
      </c>
      <c r="G154" t="n">
        <v>11.5</v>
      </c>
      <c r="H154" t="n">
        <v>0</v>
      </c>
      <c r="I154" t="n">
        <v>0</v>
      </c>
      <c r="J154" t="n">
        <v>0</v>
      </c>
      <c r="K154" t="n">
        <v>0</v>
      </c>
      <c r="L154" t="n">
        <v>0</v>
      </c>
      <c r="M154" t="n">
        <v>0</v>
      </c>
      <c r="N154" t="n">
        <v>0</v>
      </c>
      <c r="O154" t="n">
        <v>0</v>
      </c>
      <c r="P154" t="n">
        <v>0</v>
      </c>
      <c r="Q154" t="n">
        <v>0</v>
      </c>
      <c r="R154" s="2" t="inlineStr"/>
    </row>
    <row r="155" ht="15" customHeight="1">
      <c r="A155" t="inlineStr">
        <is>
          <t>A 52623-2024</t>
        </is>
      </c>
      <c r="B155" s="1" t="n">
        <v>45609</v>
      </c>
      <c r="C155" s="1" t="n">
        <v>46127</v>
      </c>
      <c r="D155" t="inlineStr">
        <is>
          <t>ÖREBRO LÄN</t>
        </is>
      </c>
      <c r="E155" t="inlineStr">
        <is>
          <t>ÖREBRO</t>
        </is>
      </c>
      <c r="F155" t="inlineStr">
        <is>
          <t>Kommuner</t>
        </is>
      </c>
      <c r="G155" t="n">
        <v>1.7</v>
      </c>
      <c r="H155" t="n">
        <v>0</v>
      </c>
      <c r="I155" t="n">
        <v>0</v>
      </c>
      <c r="J155" t="n">
        <v>0</v>
      </c>
      <c r="K155" t="n">
        <v>0</v>
      </c>
      <c r="L155" t="n">
        <v>0</v>
      </c>
      <c r="M155" t="n">
        <v>0</v>
      </c>
      <c r="N155" t="n">
        <v>0</v>
      </c>
      <c r="O155" t="n">
        <v>0</v>
      </c>
      <c r="P155" t="n">
        <v>0</v>
      </c>
      <c r="Q155" t="n">
        <v>0</v>
      </c>
      <c r="R155" s="2" t="inlineStr"/>
    </row>
    <row r="156" ht="15" customHeight="1">
      <c r="A156" t="inlineStr">
        <is>
          <t>A 13762-2023</t>
        </is>
      </c>
      <c r="B156" s="1" t="n">
        <v>45007.43729166667</v>
      </c>
      <c r="C156" s="1" t="n">
        <v>46127</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62794-2021</t>
        </is>
      </c>
      <c r="B157" s="1" t="n">
        <v>44504</v>
      </c>
      <c r="C157" s="1" t="n">
        <v>46127</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19180-2025</t>
        </is>
      </c>
      <c r="B158" s="1" t="n">
        <v>45769.40133101852</v>
      </c>
      <c r="C158" s="1" t="n">
        <v>46127</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60022-2024</t>
        </is>
      </c>
      <c r="B159" s="1" t="n">
        <v>45642</v>
      </c>
      <c r="C159" s="1" t="n">
        <v>46127</v>
      </c>
      <c r="D159" t="inlineStr">
        <is>
          <t>ÖREBRO LÄN</t>
        </is>
      </c>
      <c r="E159" t="inlineStr">
        <is>
          <t>ÖREBRO</t>
        </is>
      </c>
      <c r="G159" t="n">
        <v>1.7</v>
      </c>
      <c r="H159" t="n">
        <v>0</v>
      </c>
      <c r="I159" t="n">
        <v>0</v>
      </c>
      <c r="J159" t="n">
        <v>0</v>
      </c>
      <c r="K159" t="n">
        <v>0</v>
      </c>
      <c r="L159" t="n">
        <v>0</v>
      </c>
      <c r="M159" t="n">
        <v>0</v>
      </c>
      <c r="N159" t="n">
        <v>0</v>
      </c>
      <c r="O159" t="n">
        <v>0</v>
      </c>
      <c r="P159" t="n">
        <v>0</v>
      </c>
      <c r="Q159" t="n">
        <v>0</v>
      </c>
      <c r="R159" s="2" t="inlineStr"/>
    </row>
    <row r="160" ht="15" customHeight="1">
      <c r="A160" t="inlineStr">
        <is>
          <t>A 58684-2023</t>
        </is>
      </c>
      <c r="B160" s="1" t="n">
        <v>45251</v>
      </c>
      <c r="C160" s="1" t="n">
        <v>46127</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37771-2024</t>
        </is>
      </c>
      <c r="B161" s="1" t="n">
        <v>45542.31359953704</v>
      </c>
      <c r="C161" s="1" t="n">
        <v>46127</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50026-2024</t>
        </is>
      </c>
      <c r="B162" s="1" t="n">
        <v>45599.60541666667</v>
      </c>
      <c r="C162" s="1" t="n">
        <v>46127</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32076-2023</t>
        </is>
      </c>
      <c r="B163" s="1" t="n">
        <v>45119.58324074074</v>
      </c>
      <c r="C163" s="1" t="n">
        <v>46127</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21338-2025</t>
        </is>
      </c>
      <c r="B164" s="1" t="n">
        <v>45780</v>
      </c>
      <c r="C164" s="1" t="n">
        <v>46127</v>
      </c>
      <c r="D164" t="inlineStr">
        <is>
          <t>ÖREBRO LÄN</t>
        </is>
      </c>
      <c r="E164" t="inlineStr">
        <is>
          <t>ÖREBRO</t>
        </is>
      </c>
      <c r="G164" t="n">
        <v>3.2</v>
      </c>
      <c r="H164" t="n">
        <v>0</v>
      </c>
      <c r="I164" t="n">
        <v>0</v>
      </c>
      <c r="J164" t="n">
        <v>0</v>
      </c>
      <c r="K164" t="n">
        <v>0</v>
      </c>
      <c r="L164" t="n">
        <v>0</v>
      </c>
      <c r="M164" t="n">
        <v>0</v>
      </c>
      <c r="N164" t="n">
        <v>0</v>
      </c>
      <c r="O164" t="n">
        <v>0</v>
      </c>
      <c r="P164" t="n">
        <v>0</v>
      </c>
      <c r="Q164" t="n">
        <v>0</v>
      </c>
      <c r="R164" s="2" t="inlineStr"/>
    </row>
    <row r="165" ht="15" customHeight="1">
      <c r="A165" t="inlineStr">
        <is>
          <t>A 71288-2021</t>
        </is>
      </c>
      <c r="B165" s="1" t="n">
        <v>44539.62481481482</v>
      </c>
      <c r="C165" s="1" t="n">
        <v>46127</v>
      </c>
      <c r="D165" t="inlineStr">
        <is>
          <t>ÖREBRO LÄN</t>
        </is>
      </c>
      <c r="E165" t="inlineStr">
        <is>
          <t>ÖREBRO</t>
        </is>
      </c>
      <c r="G165" t="n">
        <v>3.9</v>
      </c>
      <c r="H165" t="n">
        <v>0</v>
      </c>
      <c r="I165" t="n">
        <v>0</v>
      </c>
      <c r="J165" t="n">
        <v>0</v>
      </c>
      <c r="K165" t="n">
        <v>0</v>
      </c>
      <c r="L165" t="n">
        <v>0</v>
      </c>
      <c r="M165" t="n">
        <v>0</v>
      </c>
      <c r="N165" t="n">
        <v>0</v>
      </c>
      <c r="O165" t="n">
        <v>0</v>
      </c>
      <c r="P165" t="n">
        <v>0</v>
      </c>
      <c r="Q165" t="n">
        <v>0</v>
      </c>
      <c r="R165" s="2" t="inlineStr"/>
    </row>
    <row r="166" ht="15" customHeight="1">
      <c r="A166" t="inlineStr">
        <is>
          <t>A 45237-2023</t>
        </is>
      </c>
      <c r="B166" s="1" t="n">
        <v>45191</v>
      </c>
      <c r="C166" s="1" t="n">
        <v>46127</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58644-2023</t>
        </is>
      </c>
      <c r="B167" s="1" t="n">
        <v>45251.58716435185</v>
      </c>
      <c r="C167" s="1" t="n">
        <v>46127</v>
      </c>
      <c r="D167" t="inlineStr">
        <is>
          <t>ÖREBRO LÄN</t>
        </is>
      </c>
      <c r="E167" t="inlineStr">
        <is>
          <t>ÖREBRO</t>
        </is>
      </c>
      <c r="F167" t="inlineStr">
        <is>
          <t>Övriga Aktiebolag</t>
        </is>
      </c>
      <c r="G167" t="n">
        <v>1.9</v>
      </c>
      <c r="H167" t="n">
        <v>0</v>
      </c>
      <c r="I167" t="n">
        <v>0</v>
      </c>
      <c r="J167" t="n">
        <v>0</v>
      </c>
      <c r="K167" t="n">
        <v>0</v>
      </c>
      <c r="L167" t="n">
        <v>0</v>
      </c>
      <c r="M167" t="n">
        <v>0</v>
      </c>
      <c r="N167" t="n">
        <v>0</v>
      </c>
      <c r="O167" t="n">
        <v>0</v>
      </c>
      <c r="P167" t="n">
        <v>0</v>
      </c>
      <c r="Q167" t="n">
        <v>0</v>
      </c>
      <c r="R167" s="2" t="inlineStr"/>
    </row>
    <row r="168" ht="15" customHeight="1">
      <c r="A168" t="inlineStr">
        <is>
          <t>A 22719-2025</t>
        </is>
      </c>
      <c r="B168" s="1" t="n">
        <v>45789</v>
      </c>
      <c r="C168" s="1" t="n">
        <v>46127</v>
      </c>
      <c r="D168" t="inlineStr">
        <is>
          <t>ÖREBRO LÄN</t>
        </is>
      </c>
      <c r="E168" t="inlineStr">
        <is>
          <t>ÖREBRO</t>
        </is>
      </c>
      <c r="G168" t="n">
        <v>1.5</v>
      </c>
      <c r="H168" t="n">
        <v>0</v>
      </c>
      <c r="I168" t="n">
        <v>0</v>
      </c>
      <c r="J168" t="n">
        <v>0</v>
      </c>
      <c r="K168" t="n">
        <v>0</v>
      </c>
      <c r="L168" t="n">
        <v>0</v>
      </c>
      <c r="M168" t="n">
        <v>0</v>
      </c>
      <c r="N168" t="n">
        <v>0</v>
      </c>
      <c r="O168" t="n">
        <v>0</v>
      </c>
      <c r="P168" t="n">
        <v>0</v>
      </c>
      <c r="Q168" t="n">
        <v>0</v>
      </c>
      <c r="R168" s="2" t="inlineStr"/>
    </row>
    <row r="169" ht="15" customHeight="1">
      <c r="A169" t="inlineStr">
        <is>
          <t>A 41678-2024</t>
        </is>
      </c>
      <c r="B169" s="1" t="n">
        <v>45560</v>
      </c>
      <c r="C169" s="1" t="n">
        <v>46127</v>
      </c>
      <c r="D169" t="inlineStr">
        <is>
          <t>ÖREBRO LÄN</t>
        </is>
      </c>
      <c r="E169" t="inlineStr">
        <is>
          <t>ÖREBRO</t>
        </is>
      </c>
      <c r="G169" t="n">
        <v>11.3</v>
      </c>
      <c r="H169" t="n">
        <v>0</v>
      </c>
      <c r="I169" t="n">
        <v>0</v>
      </c>
      <c r="J169" t="n">
        <v>0</v>
      </c>
      <c r="K169" t="n">
        <v>0</v>
      </c>
      <c r="L169" t="n">
        <v>0</v>
      </c>
      <c r="M169" t="n">
        <v>0</v>
      </c>
      <c r="N169" t="n">
        <v>0</v>
      </c>
      <c r="O169" t="n">
        <v>0</v>
      </c>
      <c r="P169" t="n">
        <v>0</v>
      </c>
      <c r="Q169" t="n">
        <v>0</v>
      </c>
      <c r="R169" s="2" t="inlineStr"/>
    </row>
    <row r="170" ht="15" customHeight="1">
      <c r="A170" t="inlineStr">
        <is>
          <t>A 764-2024</t>
        </is>
      </c>
      <c r="B170" s="1" t="n">
        <v>45300.51512731481</v>
      </c>
      <c r="C170" s="1" t="n">
        <v>46127</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22755-2025</t>
        </is>
      </c>
      <c r="B171" s="1" t="n">
        <v>45789.61872685186</v>
      </c>
      <c r="C171" s="1" t="n">
        <v>46127</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13418-2024</t>
        </is>
      </c>
      <c r="B172" s="1" t="n">
        <v>45387.46482638889</v>
      </c>
      <c r="C172" s="1" t="n">
        <v>46127</v>
      </c>
      <c r="D172" t="inlineStr">
        <is>
          <t>ÖREBRO LÄN</t>
        </is>
      </c>
      <c r="E172" t="inlineStr">
        <is>
          <t>ÖREBRO</t>
        </is>
      </c>
      <c r="G172" t="n">
        <v>4.2</v>
      </c>
      <c r="H172" t="n">
        <v>0</v>
      </c>
      <c r="I172" t="n">
        <v>0</v>
      </c>
      <c r="J172" t="n">
        <v>0</v>
      </c>
      <c r="K172" t="n">
        <v>0</v>
      </c>
      <c r="L172" t="n">
        <v>0</v>
      </c>
      <c r="M172" t="n">
        <v>0</v>
      </c>
      <c r="N172" t="n">
        <v>0</v>
      </c>
      <c r="O172" t="n">
        <v>0</v>
      </c>
      <c r="P172" t="n">
        <v>0</v>
      </c>
      <c r="Q172" t="n">
        <v>0</v>
      </c>
      <c r="R172" s="2" t="inlineStr"/>
    </row>
    <row r="173" ht="15" customHeight="1">
      <c r="A173" t="inlineStr">
        <is>
          <t>A 16739-2023</t>
        </is>
      </c>
      <c r="B173" s="1" t="n">
        <v>45030.72627314815</v>
      </c>
      <c r="C173" s="1" t="n">
        <v>46127</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46127</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55748-2025</t>
        </is>
      </c>
      <c r="B175" s="1" t="n">
        <v>45972.57893518519</v>
      </c>
      <c r="C175" s="1" t="n">
        <v>46127</v>
      </c>
      <c r="D175" t="inlineStr">
        <is>
          <t>ÖREBRO LÄN</t>
        </is>
      </c>
      <c r="E175" t="inlineStr">
        <is>
          <t>ÖREBRO</t>
        </is>
      </c>
      <c r="G175" t="n">
        <v>1.5</v>
      </c>
      <c r="H175" t="n">
        <v>0</v>
      </c>
      <c r="I175" t="n">
        <v>0</v>
      </c>
      <c r="J175" t="n">
        <v>0</v>
      </c>
      <c r="K175" t="n">
        <v>0</v>
      </c>
      <c r="L175" t="n">
        <v>0</v>
      </c>
      <c r="M175" t="n">
        <v>0</v>
      </c>
      <c r="N175" t="n">
        <v>0</v>
      </c>
      <c r="O175" t="n">
        <v>0</v>
      </c>
      <c r="P175" t="n">
        <v>0</v>
      </c>
      <c r="Q175" t="n">
        <v>0</v>
      </c>
      <c r="R175" s="2" t="inlineStr"/>
    </row>
    <row r="176" ht="15" customHeight="1">
      <c r="A176" t="inlineStr">
        <is>
          <t>A 15555-2025</t>
        </is>
      </c>
      <c r="B176" s="1" t="n">
        <v>45747.67768518518</v>
      </c>
      <c r="C176" s="1" t="n">
        <v>46127</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61279-2024</t>
        </is>
      </c>
      <c r="B177" s="1" t="n">
        <v>45645</v>
      </c>
      <c r="C177" s="1" t="n">
        <v>46127</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38790-2024</t>
        </is>
      </c>
      <c r="B178" s="1" t="n">
        <v>45547.48450231482</v>
      </c>
      <c r="C178" s="1" t="n">
        <v>46127</v>
      </c>
      <c r="D178" t="inlineStr">
        <is>
          <t>ÖREBRO LÄN</t>
        </is>
      </c>
      <c r="E178" t="inlineStr">
        <is>
          <t>ÖREBRO</t>
        </is>
      </c>
      <c r="G178" t="n">
        <v>2</v>
      </c>
      <c r="H178" t="n">
        <v>0</v>
      </c>
      <c r="I178" t="n">
        <v>0</v>
      </c>
      <c r="J178" t="n">
        <v>0</v>
      </c>
      <c r="K178" t="n">
        <v>0</v>
      </c>
      <c r="L178" t="n">
        <v>0</v>
      </c>
      <c r="M178" t="n">
        <v>0</v>
      </c>
      <c r="N178" t="n">
        <v>0</v>
      </c>
      <c r="O178" t="n">
        <v>0</v>
      </c>
      <c r="P178" t="n">
        <v>0</v>
      </c>
      <c r="Q178" t="n">
        <v>0</v>
      </c>
      <c r="R178" s="2" t="inlineStr"/>
    </row>
    <row r="179" ht="15" customHeight="1">
      <c r="A179" t="inlineStr">
        <is>
          <t>A 71269-2021</t>
        </is>
      </c>
      <c r="B179" s="1" t="n">
        <v>44539</v>
      </c>
      <c r="C179" s="1" t="n">
        <v>46127</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55750-2025</t>
        </is>
      </c>
      <c r="B180" s="1" t="n">
        <v>45972.58171296296</v>
      </c>
      <c r="C180" s="1" t="n">
        <v>46127</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55888-2025</t>
        </is>
      </c>
      <c r="B181" s="1" t="n">
        <v>45973.37163194444</v>
      </c>
      <c r="C181" s="1" t="n">
        <v>46127</v>
      </c>
      <c r="D181" t="inlineStr">
        <is>
          <t>ÖREBRO LÄN</t>
        </is>
      </c>
      <c r="E181" t="inlineStr">
        <is>
          <t>ÖREBRO</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30316-2024</t>
        </is>
      </c>
      <c r="B182" s="1" t="n">
        <v>45490</v>
      </c>
      <c r="C182" s="1" t="n">
        <v>46127</v>
      </c>
      <c r="D182" t="inlineStr">
        <is>
          <t>ÖREBRO LÄN</t>
        </is>
      </c>
      <c r="E182" t="inlineStr">
        <is>
          <t>ÖREBRO</t>
        </is>
      </c>
      <c r="G182" t="n">
        <v>5.5</v>
      </c>
      <c r="H182" t="n">
        <v>0</v>
      </c>
      <c r="I182" t="n">
        <v>0</v>
      </c>
      <c r="J182" t="n">
        <v>0</v>
      </c>
      <c r="K182" t="n">
        <v>0</v>
      </c>
      <c r="L182" t="n">
        <v>0</v>
      </c>
      <c r="M182" t="n">
        <v>0</v>
      </c>
      <c r="N182" t="n">
        <v>0</v>
      </c>
      <c r="O182" t="n">
        <v>0</v>
      </c>
      <c r="P182" t="n">
        <v>0</v>
      </c>
      <c r="Q182" t="n">
        <v>0</v>
      </c>
      <c r="R182" s="2" t="inlineStr"/>
    </row>
    <row r="183" ht="15" customHeight="1">
      <c r="A183" t="inlineStr">
        <is>
          <t>A 55879-2025</t>
        </is>
      </c>
      <c r="B183" s="1" t="n">
        <v>45973.36508101852</v>
      </c>
      <c r="C183" s="1" t="n">
        <v>46127</v>
      </c>
      <c r="D183" t="inlineStr">
        <is>
          <t>ÖREBRO LÄN</t>
        </is>
      </c>
      <c r="E183" t="inlineStr">
        <is>
          <t>ÖREBRO</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44199-2024</t>
        </is>
      </c>
      <c r="B184" s="1" t="n">
        <v>45573</v>
      </c>
      <c r="C184" s="1" t="n">
        <v>46127</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4380-2025</t>
        </is>
      </c>
      <c r="B185" s="1" t="n">
        <v>45686.3959375</v>
      </c>
      <c r="C185" s="1" t="n">
        <v>46127</v>
      </c>
      <c r="D185" t="inlineStr">
        <is>
          <t>ÖREBRO LÄN</t>
        </is>
      </c>
      <c r="E185" t="inlineStr">
        <is>
          <t>ÖREBRO</t>
        </is>
      </c>
      <c r="G185" t="n">
        <v>3.2</v>
      </c>
      <c r="H185" t="n">
        <v>0</v>
      </c>
      <c r="I185" t="n">
        <v>0</v>
      </c>
      <c r="J185" t="n">
        <v>0</v>
      </c>
      <c r="K185" t="n">
        <v>0</v>
      </c>
      <c r="L185" t="n">
        <v>0</v>
      </c>
      <c r="M185" t="n">
        <v>0</v>
      </c>
      <c r="N185" t="n">
        <v>0</v>
      </c>
      <c r="O185" t="n">
        <v>0</v>
      </c>
      <c r="P185" t="n">
        <v>0</v>
      </c>
      <c r="Q185" t="n">
        <v>0</v>
      </c>
      <c r="R185" s="2" t="inlineStr"/>
    </row>
    <row r="186" ht="15" customHeight="1">
      <c r="A186" t="inlineStr">
        <is>
          <t>A 49465-2024</t>
        </is>
      </c>
      <c r="B186" s="1" t="n">
        <v>45596</v>
      </c>
      <c r="C186" s="1" t="n">
        <v>46127</v>
      </c>
      <c r="D186" t="inlineStr">
        <is>
          <t>ÖREBRO LÄN</t>
        </is>
      </c>
      <c r="E186" t="inlineStr">
        <is>
          <t>ÖREBRO</t>
        </is>
      </c>
      <c r="F186" t="inlineStr">
        <is>
          <t>Övriga Aktiebolag</t>
        </is>
      </c>
      <c r="G186" t="n">
        <v>21</v>
      </c>
      <c r="H186" t="n">
        <v>0</v>
      </c>
      <c r="I186" t="n">
        <v>0</v>
      </c>
      <c r="J186" t="n">
        <v>0</v>
      </c>
      <c r="K186" t="n">
        <v>0</v>
      </c>
      <c r="L186" t="n">
        <v>0</v>
      </c>
      <c r="M186" t="n">
        <v>0</v>
      </c>
      <c r="N186" t="n">
        <v>0</v>
      </c>
      <c r="O186" t="n">
        <v>0</v>
      </c>
      <c r="P186" t="n">
        <v>0</v>
      </c>
      <c r="Q186" t="n">
        <v>0</v>
      </c>
      <c r="R186" s="2" t="inlineStr"/>
    </row>
    <row r="187" ht="15" customHeight="1">
      <c r="A187" t="inlineStr">
        <is>
          <t>A 26443-2024</t>
        </is>
      </c>
      <c r="B187" s="1" t="n">
        <v>45469.49901620371</v>
      </c>
      <c r="C187" s="1" t="n">
        <v>46127</v>
      </c>
      <c r="D187" t="inlineStr">
        <is>
          <t>ÖREBRO LÄN</t>
        </is>
      </c>
      <c r="E187" t="inlineStr">
        <is>
          <t>ÖREBRO</t>
        </is>
      </c>
      <c r="G187" t="n">
        <v>5.7</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46127</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35477-2024</t>
        </is>
      </c>
      <c r="B189" s="1" t="n">
        <v>45531</v>
      </c>
      <c r="C189" s="1" t="n">
        <v>46127</v>
      </c>
      <c r="D189" t="inlineStr">
        <is>
          <t>ÖREBRO LÄN</t>
        </is>
      </c>
      <c r="E189" t="inlineStr">
        <is>
          <t>ÖREBRO</t>
        </is>
      </c>
      <c r="G189" t="n">
        <v>2.4</v>
      </c>
      <c r="H189" t="n">
        <v>0</v>
      </c>
      <c r="I189" t="n">
        <v>0</v>
      </c>
      <c r="J189" t="n">
        <v>0</v>
      </c>
      <c r="K189" t="n">
        <v>0</v>
      </c>
      <c r="L189" t="n">
        <v>0</v>
      </c>
      <c r="M189" t="n">
        <v>0</v>
      </c>
      <c r="N189" t="n">
        <v>0</v>
      </c>
      <c r="O189" t="n">
        <v>0</v>
      </c>
      <c r="P189" t="n">
        <v>0</v>
      </c>
      <c r="Q189" t="n">
        <v>0</v>
      </c>
      <c r="R189" s="2" t="inlineStr"/>
    </row>
    <row r="190" ht="15" customHeight="1">
      <c r="A190" t="inlineStr">
        <is>
          <t>A 38842-2022</t>
        </is>
      </c>
      <c r="B190" s="1" t="n">
        <v>44814</v>
      </c>
      <c r="C190" s="1" t="n">
        <v>46127</v>
      </c>
      <c r="D190" t="inlineStr">
        <is>
          <t>ÖREBRO LÄN</t>
        </is>
      </c>
      <c r="E190" t="inlineStr">
        <is>
          <t>ÖREBRO</t>
        </is>
      </c>
      <c r="G190" t="n">
        <v>5</v>
      </c>
      <c r="H190" t="n">
        <v>0</v>
      </c>
      <c r="I190" t="n">
        <v>0</v>
      </c>
      <c r="J190" t="n">
        <v>0</v>
      </c>
      <c r="K190" t="n">
        <v>0</v>
      </c>
      <c r="L190" t="n">
        <v>0</v>
      </c>
      <c r="M190" t="n">
        <v>0</v>
      </c>
      <c r="N190" t="n">
        <v>0</v>
      </c>
      <c r="O190" t="n">
        <v>0</v>
      </c>
      <c r="P190" t="n">
        <v>0</v>
      </c>
      <c r="Q190" t="n">
        <v>0</v>
      </c>
      <c r="R190" s="2" t="inlineStr"/>
    </row>
    <row r="191" ht="15" customHeight="1">
      <c r="A191" t="inlineStr">
        <is>
          <t>A 37022-2024</t>
        </is>
      </c>
      <c r="B191" s="1" t="n">
        <v>45539.3822337963</v>
      </c>
      <c r="C191" s="1" t="n">
        <v>46127</v>
      </c>
      <c r="D191" t="inlineStr">
        <is>
          <t>ÖREBRO LÄN</t>
        </is>
      </c>
      <c r="E191" t="inlineStr">
        <is>
          <t>ÖREBRO</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37024-2024</t>
        </is>
      </c>
      <c r="B192" s="1" t="n">
        <v>45539.38329861111</v>
      </c>
      <c r="C192" s="1" t="n">
        <v>46127</v>
      </c>
      <c r="D192" t="inlineStr">
        <is>
          <t>ÖREBRO LÄN</t>
        </is>
      </c>
      <c r="E192" t="inlineStr">
        <is>
          <t>ÖREBRO</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47047-2022</t>
        </is>
      </c>
      <c r="B193" s="1" t="n">
        <v>44852.39063657408</v>
      </c>
      <c r="C193" s="1" t="n">
        <v>46127</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5406-2025</t>
        </is>
      </c>
      <c r="B194" s="1" t="n">
        <v>45692.64821759259</v>
      </c>
      <c r="C194" s="1" t="n">
        <v>46127</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52018-2024</t>
        </is>
      </c>
      <c r="B195" s="1" t="n">
        <v>45607.82974537037</v>
      </c>
      <c r="C195" s="1" t="n">
        <v>46127</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34358-2022</t>
        </is>
      </c>
      <c r="B196" s="1" t="n">
        <v>44792.45494212963</v>
      </c>
      <c r="C196" s="1" t="n">
        <v>46127</v>
      </c>
      <c r="D196" t="inlineStr">
        <is>
          <t>ÖREBRO LÄN</t>
        </is>
      </c>
      <c r="E196" t="inlineStr">
        <is>
          <t>ÖREBRO</t>
        </is>
      </c>
      <c r="F196" t="inlineStr">
        <is>
          <t>Övriga Aktiebolag</t>
        </is>
      </c>
      <c r="G196" t="n">
        <v>3.4</v>
      </c>
      <c r="H196" t="n">
        <v>0</v>
      </c>
      <c r="I196" t="n">
        <v>0</v>
      </c>
      <c r="J196" t="n">
        <v>0</v>
      </c>
      <c r="K196" t="n">
        <v>0</v>
      </c>
      <c r="L196" t="n">
        <v>0</v>
      </c>
      <c r="M196" t="n">
        <v>0</v>
      </c>
      <c r="N196" t="n">
        <v>0</v>
      </c>
      <c r="O196" t="n">
        <v>0</v>
      </c>
      <c r="P196" t="n">
        <v>0</v>
      </c>
      <c r="Q196" t="n">
        <v>0</v>
      </c>
      <c r="R196" s="2" t="inlineStr"/>
    </row>
    <row r="197" ht="15" customHeight="1">
      <c r="A197" t="inlineStr">
        <is>
          <t>A 22348-2024</t>
        </is>
      </c>
      <c r="B197" s="1" t="n">
        <v>45446.61256944444</v>
      </c>
      <c r="C197" s="1" t="n">
        <v>46127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39003-2025</t>
        </is>
      </c>
      <c r="B198" s="1" t="n">
        <v>45888.34467592592</v>
      </c>
      <c r="C198" s="1" t="n">
        <v>46127</v>
      </c>
      <c r="D198" t="inlineStr">
        <is>
          <t>ÖREBRO LÄN</t>
        </is>
      </c>
      <c r="E198" t="inlineStr">
        <is>
          <t>ÖREBRO</t>
        </is>
      </c>
      <c r="G198" t="n">
        <v>3.7</v>
      </c>
      <c r="H198" t="n">
        <v>0</v>
      </c>
      <c r="I198" t="n">
        <v>0</v>
      </c>
      <c r="J198" t="n">
        <v>0</v>
      </c>
      <c r="K198" t="n">
        <v>0</v>
      </c>
      <c r="L198" t="n">
        <v>0</v>
      </c>
      <c r="M198" t="n">
        <v>0</v>
      </c>
      <c r="N198" t="n">
        <v>0</v>
      </c>
      <c r="O198" t="n">
        <v>0</v>
      </c>
      <c r="P198" t="n">
        <v>0</v>
      </c>
      <c r="Q198" t="n">
        <v>0</v>
      </c>
      <c r="R198" s="2" t="inlineStr"/>
    </row>
    <row r="199" ht="15" customHeight="1">
      <c r="A199" t="inlineStr">
        <is>
          <t>A 15422-2022</t>
        </is>
      </c>
      <c r="B199" s="1" t="n">
        <v>44659.63753472222</v>
      </c>
      <c r="C199" s="1" t="n">
        <v>46127</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58598-2022</t>
        </is>
      </c>
      <c r="B200" s="1" t="n">
        <v>44902</v>
      </c>
      <c r="C200" s="1" t="n">
        <v>46127</v>
      </c>
      <c r="D200" t="inlineStr">
        <is>
          <t>ÖREBRO LÄN</t>
        </is>
      </c>
      <c r="E200" t="inlineStr">
        <is>
          <t>ÖREBRO</t>
        </is>
      </c>
      <c r="G200" t="n">
        <v>0.4</v>
      </c>
      <c r="H200" t="n">
        <v>0</v>
      </c>
      <c r="I200" t="n">
        <v>0</v>
      </c>
      <c r="J200" t="n">
        <v>0</v>
      </c>
      <c r="K200" t="n">
        <v>0</v>
      </c>
      <c r="L200" t="n">
        <v>0</v>
      </c>
      <c r="M200" t="n">
        <v>0</v>
      </c>
      <c r="N200" t="n">
        <v>0</v>
      </c>
      <c r="O200" t="n">
        <v>0</v>
      </c>
      <c r="P200" t="n">
        <v>0</v>
      </c>
      <c r="Q200" t="n">
        <v>0</v>
      </c>
      <c r="R200" s="2" t="inlineStr"/>
    </row>
    <row r="201" ht="15" customHeight="1">
      <c r="A201" t="inlineStr">
        <is>
          <t>A 13158-2024</t>
        </is>
      </c>
      <c r="B201" s="1" t="n">
        <v>45386.38728009259</v>
      </c>
      <c r="C201" s="1" t="n">
        <v>46127</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39446-2025</t>
        </is>
      </c>
      <c r="B202" s="1" t="n">
        <v>45889.70388888889</v>
      </c>
      <c r="C202" s="1" t="n">
        <v>46127</v>
      </c>
      <c r="D202" t="inlineStr">
        <is>
          <t>ÖREBRO LÄN</t>
        </is>
      </c>
      <c r="E202" t="inlineStr">
        <is>
          <t>ÖREBRO</t>
        </is>
      </c>
      <c r="F202" t="inlineStr">
        <is>
          <t>Kyrkan</t>
        </is>
      </c>
      <c r="G202" t="n">
        <v>3.2</v>
      </c>
      <c r="H202" t="n">
        <v>0</v>
      </c>
      <c r="I202" t="n">
        <v>0</v>
      </c>
      <c r="J202" t="n">
        <v>0</v>
      </c>
      <c r="K202" t="n">
        <v>0</v>
      </c>
      <c r="L202" t="n">
        <v>0</v>
      </c>
      <c r="M202" t="n">
        <v>0</v>
      </c>
      <c r="N202" t="n">
        <v>0</v>
      </c>
      <c r="O202" t="n">
        <v>0</v>
      </c>
      <c r="P202" t="n">
        <v>0</v>
      </c>
      <c r="Q202" t="n">
        <v>0</v>
      </c>
      <c r="R202" s="2" t="inlineStr"/>
    </row>
    <row r="203" ht="15" customHeight="1">
      <c r="A203" t="inlineStr">
        <is>
          <t>A 15695-2024</t>
        </is>
      </c>
      <c r="B203" s="1" t="n">
        <v>45404.45487268519</v>
      </c>
      <c r="C203" s="1" t="n">
        <v>46127</v>
      </c>
      <c r="D203" t="inlineStr">
        <is>
          <t>ÖREBRO LÄN</t>
        </is>
      </c>
      <c r="E203" t="inlineStr">
        <is>
          <t>ÖREBRO</t>
        </is>
      </c>
      <c r="G203" t="n">
        <v>2.7</v>
      </c>
      <c r="H203" t="n">
        <v>0</v>
      </c>
      <c r="I203" t="n">
        <v>0</v>
      </c>
      <c r="J203" t="n">
        <v>0</v>
      </c>
      <c r="K203" t="n">
        <v>0</v>
      </c>
      <c r="L203" t="n">
        <v>0</v>
      </c>
      <c r="M203" t="n">
        <v>0</v>
      </c>
      <c r="N203" t="n">
        <v>0</v>
      </c>
      <c r="O203" t="n">
        <v>0</v>
      </c>
      <c r="P203" t="n">
        <v>0</v>
      </c>
      <c r="Q203" t="n">
        <v>0</v>
      </c>
      <c r="R203" s="2" t="inlineStr"/>
    </row>
    <row r="204" ht="15" customHeight="1">
      <c r="A204" t="inlineStr">
        <is>
          <t>A 30089-2024</t>
        </is>
      </c>
      <c r="B204" s="1" t="n">
        <v>45485</v>
      </c>
      <c r="C204" s="1" t="n">
        <v>46127</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46323-2024</t>
        </is>
      </c>
      <c r="B205" s="1" t="n">
        <v>45581.84538194445</v>
      </c>
      <c r="C205" s="1" t="n">
        <v>46127</v>
      </c>
      <c r="D205" t="inlineStr">
        <is>
          <t>ÖREBRO LÄN</t>
        </is>
      </c>
      <c r="E205" t="inlineStr">
        <is>
          <t>ÖREBRO</t>
        </is>
      </c>
      <c r="F205" t="inlineStr">
        <is>
          <t>Övriga Aktiebolag</t>
        </is>
      </c>
      <c r="G205" t="n">
        <v>1.4</v>
      </c>
      <c r="H205" t="n">
        <v>0</v>
      </c>
      <c r="I205" t="n">
        <v>0</v>
      </c>
      <c r="J205" t="n">
        <v>0</v>
      </c>
      <c r="K205" t="n">
        <v>0</v>
      </c>
      <c r="L205" t="n">
        <v>0</v>
      </c>
      <c r="M205" t="n">
        <v>0</v>
      </c>
      <c r="N205" t="n">
        <v>0</v>
      </c>
      <c r="O205" t="n">
        <v>0</v>
      </c>
      <c r="P205" t="n">
        <v>0</v>
      </c>
      <c r="Q205" t="n">
        <v>0</v>
      </c>
      <c r="R205" s="2" t="inlineStr"/>
    </row>
    <row r="206" ht="15" customHeight="1">
      <c r="A206" t="inlineStr">
        <is>
          <t>A 5643-2025</t>
        </is>
      </c>
      <c r="B206" s="1" t="n">
        <v>45693</v>
      </c>
      <c r="C206" s="1" t="n">
        <v>46127</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51331-2023</t>
        </is>
      </c>
      <c r="B207" s="1" t="n">
        <v>45219</v>
      </c>
      <c r="C207" s="1" t="n">
        <v>46127</v>
      </c>
      <c r="D207" t="inlineStr">
        <is>
          <t>ÖREBRO LÄN</t>
        </is>
      </c>
      <c r="E207" t="inlineStr">
        <is>
          <t>ÖREBRO</t>
        </is>
      </c>
      <c r="F207" t="inlineStr">
        <is>
          <t>Kommuner</t>
        </is>
      </c>
      <c r="G207" t="n">
        <v>1.3</v>
      </c>
      <c r="H207" t="n">
        <v>0</v>
      </c>
      <c r="I207" t="n">
        <v>0</v>
      </c>
      <c r="J207" t="n">
        <v>0</v>
      </c>
      <c r="K207" t="n">
        <v>0</v>
      </c>
      <c r="L207" t="n">
        <v>0</v>
      </c>
      <c r="M207" t="n">
        <v>0</v>
      </c>
      <c r="N207" t="n">
        <v>0</v>
      </c>
      <c r="O207" t="n">
        <v>0</v>
      </c>
      <c r="P207" t="n">
        <v>0</v>
      </c>
      <c r="Q207" t="n">
        <v>0</v>
      </c>
      <c r="R207" s="2" t="inlineStr"/>
    </row>
    <row r="208" ht="15" customHeight="1">
      <c r="A208" t="inlineStr">
        <is>
          <t>A 39479-2025</t>
        </is>
      </c>
      <c r="B208" s="1" t="n">
        <v>45890.34752314815</v>
      </c>
      <c r="C208" s="1" t="n">
        <v>46127</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46030-2024</t>
        </is>
      </c>
      <c r="B209" s="1" t="n">
        <v>45580.70377314815</v>
      </c>
      <c r="C209" s="1" t="n">
        <v>46127</v>
      </c>
      <c r="D209" t="inlineStr">
        <is>
          <t>ÖREBRO LÄN</t>
        </is>
      </c>
      <c r="E209" t="inlineStr">
        <is>
          <t>ÖREBRO</t>
        </is>
      </c>
      <c r="G209" t="n">
        <v>3.9</v>
      </c>
      <c r="H209" t="n">
        <v>0</v>
      </c>
      <c r="I209" t="n">
        <v>0</v>
      </c>
      <c r="J209" t="n">
        <v>0</v>
      </c>
      <c r="K209" t="n">
        <v>0</v>
      </c>
      <c r="L209" t="n">
        <v>0</v>
      </c>
      <c r="M209" t="n">
        <v>0</v>
      </c>
      <c r="N209" t="n">
        <v>0</v>
      </c>
      <c r="O209" t="n">
        <v>0</v>
      </c>
      <c r="P209" t="n">
        <v>0</v>
      </c>
      <c r="Q209" t="n">
        <v>0</v>
      </c>
      <c r="R209" s="2" t="inlineStr"/>
    </row>
    <row r="210" ht="15" customHeight="1">
      <c r="A210" t="inlineStr">
        <is>
          <t>A 5342-2024</t>
        </is>
      </c>
      <c r="B210" s="1" t="n">
        <v>45331.44145833333</v>
      </c>
      <c r="C210" s="1" t="n">
        <v>46127</v>
      </c>
      <c r="D210" t="inlineStr">
        <is>
          <t>ÖREBRO LÄN</t>
        </is>
      </c>
      <c r="E210" t="inlineStr">
        <is>
          <t>ÖREBRO</t>
        </is>
      </c>
      <c r="G210" t="n">
        <v>2.5</v>
      </c>
      <c r="H210" t="n">
        <v>0</v>
      </c>
      <c r="I210" t="n">
        <v>0</v>
      </c>
      <c r="J210" t="n">
        <v>0</v>
      </c>
      <c r="K210" t="n">
        <v>0</v>
      </c>
      <c r="L210" t="n">
        <v>0</v>
      </c>
      <c r="M210" t="n">
        <v>0</v>
      </c>
      <c r="N210" t="n">
        <v>0</v>
      </c>
      <c r="O210" t="n">
        <v>0</v>
      </c>
      <c r="P210" t="n">
        <v>0</v>
      </c>
      <c r="Q210" t="n">
        <v>0</v>
      </c>
      <c r="R210" s="2" t="inlineStr"/>
    </row>
    <row r="211" ht="15" customHeight="1">
      <c r="A211" t="inlineStr">
        <is>
          <t>A 71295-2021</t>
        </is>
      </c>
      <c r="B211" s="1" t="n">
        <v>44539.63009259259</v>
      </c>
      <c r="C211" s="1" t="n">
        <v>46127</v>
      </c>
      <c r="D211" t="inlineStr">
        <is>
          <t>ÖREBRO LÄN</t>
        </is>
      </c>
      <c r="E211" t="inlineStr">
        <is>
          <t>ÖREBRO</t>
        </is>
      </c>
      <c r="G211" t="n">
        <v>2.3</v>
      </c>
      <c r="H211" t="n">
        <v>0</v>
      </c>
      <c r="I211" t="n">
        <v>0</v>
      </c>
      <c r="J211" t="n">
        <v>0</v>
      </c>
      <c r="K211" t="n">
        <v>0</v>
      </c>
      <c r="L211" t="n">
        <v>0</v>
      </c>
      <c r="M211" t="n">
        <v>0</v>
      </c>
      <c r="N211" t="n">
        <v>0</v>
      </c>
      <c r="O211" t="n">
        <v>0</v>
      </c>
      <c r="P211" t="n">
        <v>0</v>
      </c>
      <c r="Q211" t="n">
        <v>0</v>
      </c>
      <c r="R211" s="2" t="inlineStr"/>
    </row>
    <row r="212" ht="15" customHeight="1">
      <c r="A212" t="inlineStr">
        <is>
          <t>A 34874-2022</t>
        </is>
      </c>
      <c r="B212" s="1" t="n">
        <v>44796</v>
      </c>
      <c r="C212" s="1" t="n">
        <v>46127</v>
      </c>
      <c r="D212" t="inlineStr">
        <is>
          <t>ÖREBRO LÄN</t>
        </is>
      </c>
      <c r="E212" t="inlineStr">
        <is>
          <t>ÖREBRO</t>
        </is>
      </c>
      <c r="F212" t="inlineStr">
        <is>
          <t>Övriga Aktiebolag</t>
        </is>
      </c>
      <c r="G212" t="n">
        <v>2.3</v>
      </c>
      <c r="H212" t="n">
        <v>0</v>
      </c>
      <c r="I212" t="n">
        <v>0</v>
      </c>
      <c r="J212" t="n">
        <v>0</v>
      </c>
      <c r="K212" t="n">
        <v>0</v>
      </c>
      <c r="L212" t="n">
        <v>0</v>
      </c>
      <c r="M212" t="n">
        <v>0</v>
      </c>
      <c r="N212" t="n">
        <v>0</v>
      </c>
      <c r="O212" t="n">
        <v>0</v>
      </c>
      <c r="P212" t="n">
        <v>0</v>
      </c>
      <c r="Q212" t="n">
        <v>0</v>
      </c>
      <c r="R212" s="2" t="inlineStr"/>
    </row>
    <row r="213" ht="15" customHeight="1">
      <c r="A213" t="inlineStr">
        <is>
          <t>A 11516-2024</t>
        </is>
      </c>
      <c r="B213" s="1" t="n">
        <v>45372</v>
      </c>
      <c r="C213" s="1" t="n">
        <v>46127</v>
      </c>
      <c r="D213" t="inlineStr">
        <is>
          <t>ÖREBRO LÄN</t>
        </is>
      </c>
      <c r="E213" t="inlineStr">
        <is>
          <t>ÖREBRO</t>
        </is>
      </c>
      <c r="G213" t="n">
        <v>10.7</v>
      </c>
      <c r="H213" t="n">
        <v>0</v>
      </c>
      <c r="I213" t="n">
        <v>0</v>
      </c>
      <c r="J213" t="n">
        <v>0</v>
      </c>
      <c r="K213" t="n">
        <v>0</v>
      </c>
      <c r="L213" t="n">
        <v>0</v>
      </c>
      <c r="M213" t="n">
        <v>0</v>
      </c>
      <c r="N213" t="n">
        <v>0</v>
      </c>
      <c r="O213" t="n">
        <v>0</v>
      </c>
      <c r="P213" t="n">
        <v>0</v>
      </c>
      <c r="Q213" t="n">
        <v>0</v>
      </c>
      <c r="R213" s="2" t="inlineStr"/>
    </row>
    <row r="214" ht="15" customHeight="1">
      <c r="A214" t="inlineStr">
        <is>
          <t>A 40330-2025</t>
        </is>
      </c>
      <c r="B214" s="1" t="n">
        <v>45895.4531712963</v>
      </c>
      <c r="C214" s="1" t="n">
        <v>46127</v>
      </c>
      <c r="D214" t="inlineStr">
        <is>
          <t>ÖREBRO LÄN</t>
        </is>
      </c>
      <c r="E214" t="inlineStr">
        <is>
          <t>ÖREBRO</t>
        </is>
      </c>
      <c r="G214" t="n">
        <v>0.9</v>
      </c>
      <c r="H214" t="n">
        <v>0</v>
      </c>
      <c r="I214" t="n">
        <v>0</v>
      </c>
      <c r="J214" t="n">
        <v>0</v>
      </c>
      <c r="K214" t="n">
        <v>0</v>
      </c>
      <c r="L214" t="n">
        <v>0</v>
      </c>
      <c r="M214" t="n">
        <v>0</v>
      </c>
      <c r="N214" t="n">
        <v>0</v>
      </c>
      <c r="O214" t="n">
        <v>0</v>
      </c>
      <c r="P214" t="n">
        <v>0</v>
      </c>
      <c r="Q214" t="n">
        <v>0</v>
      </c>
      <c r="R214" s="2" t="inlineStr"/>
    </row>
    <row r="215" ht="15" customHeight="1">
      <c r="A215" t="inlineStr">
        <is>
          <t>A 40332-2025</t>
        </is>
      </c>
      <c r="B215" s="1" t="n">
        <v>45895.46060185185</v>
      </c>
      <c r="C215" s="1" t="n">
        <v>46127</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852-2025</t>
        </is>
      </c>
      <c r="B216" s="1" t="n">
        <v>45665.60148148148</v>
      </c>
      <c r="C216" s="1" t="n">
        <v>46127</v>
      </c>
      <c r="D216" t="inlineStr">
        <is>
          <t>ÖREBRO LÄN</t>
        </is>
      </c>
      <c r="E216" t="inlineStr">
        <is>
          <t>ÖREBRO</t>
        </is>
      </c>
      <c r="G216" t="n">
        <v>2.9</v>
      </c>
      <c r="H216" t="n">
        <v>0</v>
      </c>
      <c r="I216" t="n">
        <v>0</v>
      </c>
      <c r="J216" t="n">
        <v>0</v>
      </c>
      <c r="K216" t="n">
        <v>0</v>
      </c>
      <c r="L216" t="n">
        <v>0</v>
      </c>
      <c r="M216" t="n">
        <v>0</v>
      </c>
      <c r="N216" t="n">
        <v>0</v>
      </c>
      <c r="O216" t="n">
        <v>0</v>
      </c>
      <c r="P216" t="n">
        <v>0</v>
      </c>
      <c r="Q216" t="n">
        <v>0</v>
      </c>
      <c r="R216" s="2" t="inlineStr"/>
    </row>
    <row r="217" ht="15" customHeight="1">
      <c r="A217" t="inlineStr">
        <is>
          <t>A 48644-2024</t>
        </is>
      </c>
      <c r="B217" s="1" t="n">
        <v>45593.47466435185</v>
      </c>
      <c r="C217" s="1" t="n">
        <v>46127</v>
      </c>
      <c r="D217" t="inlineStr">
        <is>
          <t>ÖREBRO LÄN</t>
        </is>
      </c>
      <c r="E217" t="inlineStr">
        <is>
          <t>ÖREBRO</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25578-2025</t>
        </is>
      </c>
      <c r="B218" s="1" t="n">
        <v>45803.47803240741</v>
      </c>
      <c r="C218" s="1" t="n">
        <v>46127</v>
      </c>
      <c r="D218" t="inlineStr">
        <is>
          <t>ÖREBRO LÄN</t>
        </is>
      </c>
      <c r="E218" t="inlineStr">
        <is>
          <t>ÖREBRO</t>
        </is>
      </c>
      <c r="G218" t="n">
        <v>0.9</v>
      </c>
      <c r="H218" t="n">
        <v>0</v>
      </c>
      <c r="I218" t="n">
        <v>0</v>
      </c>
      <c r="J218" t="n">
        <v>0</v>
      </c>
      <c r="K218" t="n">
        <v>0</v>
      </c>
      <c r="L218" t="n">
        <v>0</v>
      </c>
      <c r="M218" t="n">
        <v>0</v>
      </c>
      <c r="N218" t="n">
        <v>0</v>
      </c>
      <c r="O218" t="n">
        <v>0</v>
      </c>
      <c r="P218" t="n">
        <v>0</v>
      </c>
      <c r="Q218" t="n">
        <v>0</v>
      </c>
      <c r="R218" s="2" t="inlineStr"/>
    </row>
    <row r="219" ht="15" customHeight="1">
      <c r="A219" t="inlineStr">
        <is>
          <t>A 25519-2025</t>
        </is>
      </c>
      <c r="B219" s="1" t="n">
        <v>45803.38447916666</v>
      </c>
      <c r="C219" s="1" t="n">
        <v>46127</v>
      </c>
      <c r="D219" t="inlineStr">
        <is>
          <t>ÖREBRO LÄN</t>
        </is>
      </c>
      <c r="E219" t="inlineStr">
        <is>
          <t>ÖREBRO</t>
        </is>
      </c>
      <c r="G219" t="n">
        <v>7.4</v>
      </c>
      <c r="H219" t="n">
        <v>0</v>
      </c>
      <c r="I219" t="n">
        <v>0</v>
      </c>
      <c r="J219" t="n">
        <v>0</v>
      </c>
      <c r="K219" t="n">
        <v>0</v>
      </c>
      <c r="L219" t="n">
        <v>0</v>
      </c>
      <c r="M219" t="n">
        <v>0</v>
      </c>
      <c r="N219" t="n">
        <v>0</v>
      </c>
      <c r="O219" t="n">
        <v>0</v>
      </c>
      <c r="P219" t="n">
        <v>0</v>
      </c>
      <c r="Q219" t="n">
        <v>0</v>
      </c>
      <c r="R219" s="2" t="inlineStr"/>
    </row>
    <row r="220" ht="15" customHeight="1">
      <c r="A220" t="inlineStr">
        <is>
          <t>A 38583-2023</t>
        </is>
      </c>
      <c r="B220" s="1" t="n">
        <v>45162.62861111111</v>
      </c>
      <c r="C220" s="1" t="n">
        <v>46127</v>
      </c>
      <c r="D220" t="inlineStr">
        <is>
          <t>ÖREBRO LÄN</t>
        </is>
      </c>
      <c r="E220" t="inlineStr">
        <is>
          <t>ÖREBRO</t>
        </is>
      </c>
      <c r="G220" t="n">
        <v>5.7</v>
      </c>
      <c r="H220" t="n">
        <v>0</v>
      </c>
      <c r="I220" t="n">
        <v>0</v>
      </c>
      <c r="J220" t="n">
        <v>0</v>
      </c>
      <c r="K220" t="n">
        <v>0</v>
      </c>
      <c r="L220" t="n">
        <v>0</v>
      </c>
      <c r="M220" t="n">
        <v>0</v>
      </c>
      <c r="N220" t="n">
        <v>0</v>
      </c>
      <c r="O220" t="n">
        <v>0</v>
      </c>
      <c r="P220" t="n">
        <v>0</v>
      </c>
      <c r="Q220" t="n">
        <v>0</v>
      </c>
      <c r="R220" s="2" t="inlineStr"/>
    </row>
    <row r="221" ht="15" customHeight="1">
      <c r="A221" t="inlineStr">
        <is>
          <t>A 55745-2023</t>
        </is>
      </c>
      <c r="B221" s="1" t="n">
        <v>45239.44811342593</v>
      </c>
      <c r="C221" s="1" t="n">
        <v>46127</v>
      </c>
      <c r="D221" t="inlineStr">
        <is>
          <t>ÖREBRO LÄN</t>
        </is>
      </c>
      <c r="E221" t="inlineStr">
        <is>
          <t>ÖREBRO</t>
        </is>
      </c>
      <c r="G221" t="n">
        <v>13.3</v>
      </c>
      <c r="H221" t="n">
        <v>0</v>
      </c>
      <c r="I221" t="n">
        <v>0</v>
      </c>
      <c r="J221" t="n">
        <v>0</v>
      </c>
      <c r="K221" t="n">
        <v>0</v>
      </c>
      <c r="L221" t="n">
        <v>0</v>
      </c>
      <c r="M221" t="n">
        <v>0</v>
      </c>
      <c r="N221" t="n">
        <v>0</v>
      </c>
      <c r="O221" t="n">
        <v>0</v>
      </c>
      <c r="P221" t="n">
        <v>0</v>
      </c>
      <c r="Q221" t="n">
        <v>0</v>
      </c>
      <c r="R221" s="2" t="inlineStr"/>
    </row>
    <row r="222" ht="15" customHeight="1">
      <c r="A222" t="inlineStr">
        <is>
          <t>A 38573-2023</t>
        </is>
      </c>
      <c r="B222" s="1" t="n">
        <v>45162.61837962963</v>
      </c>
      <c r="C222" s="1" t="n">
        <v>46127</v>
      </c>
      <c r="D222" t="inlineStr">
        <is>
          <t>ÖREBRO LÄN</t>
        </is>
      </c>
      <c r="E222" t="inlineStr">
        <is>
          <t>ÖREBRO</t>
        </is>
      </c>
      <c r="G222" t="n">
        <v>2.2</v>
      </c>
      <c r="H222" t="n">
        <v>0</v>
      </c>
      <c r="I222" t="n">
        <v>0</v>
      </c>
      <c r="J222" t="n">
        <v>0</v>
      </c>
      <c r="K222" t="n">
        <v>0</v>
      </c>
      <c r="L222" t="n">
        <v>0</v>
      </c>
      <c r="M222" t="n">
        <v>0</v>
      </c>
      <c r="N222" t="n">
        <v>0</v>
      </c>
      <c r="O222" t="n">
        <v>0</v>
      </c>
      <c r="P222" t="n">
        <v>0</v>
      </c>
      <c r="Q222" t="n">
        <v>0</v>
      </c>
      <c r="R222" s="2" t="inlineStr"/>
    </row>
    <row r="223" ht="15" customHeight="1">
      <c r="A223" t="inlineStr">
        <is>
          <t>A 13856-2022</t>
        </is>
      </c>
      <c r="B223" s="1" t="n">
        <v>44649.6965162037</v>
      </c>
      <c r="C223" s="1" t="n">
        <v>46127</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52256-2023</t>
        </is>
      </c>
      <c r="B224" s="1" t="n">
        <v>45224.51471064815</v>
      </c>
      <c r="C224" s="1" t="n">
        <v>46127</v>
      </c>
      <c r="D224" t="inlineStr">
        <is>
          <t>ÖREBRO LÄN</t>
        </is>
      </c>
      <c r="E224" t="inlineStr">
        <is>
          <t>ÖREBRO</t>
        </is>
      </c>
      <c r="G224" t="n">
        <v>2.8</v>
      </c>
      <c r="H224" t="n">
        <v>0</v>
      </c>
      <c r="I224" t="n">
        <v>0</v>
      </c>
      <c r="J224" t="n">
        <v>0</v>
      </c>
      <c r="K224" t="n">
        <v>0</v>
      </c>
      <c r="L224" t="n">
        <v>0</v>
      </c>
      <c r="M224" t="n">
        <v>0</v>
      </c>
      <c r="N224" t="n">
        <v>0</v>
      </c>
      <c r="O224" t="n">
        <v>0</v>
      </c>
      <c r="P224" t="n">
        <v>0</v>
      </c>
      <c r="Q224" t="n">
        <v>0</v>
      </c>
      <c r="R224" s="2" t="inlineStr"/>
    </row>
    <row r="225" ht="15" customHeight="1">
      <c r="A225" t="inlineStr">
        <is>
          <t>A 41412-2025</t>
        </is>
      </c>
      <c r="B225" s="1" t="n">
        <v>45901.3549537037</v>
      </c>
      <c r="C225" s="1" t="n">
        <v>46127</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41669-2025</t>
        </is>
      </c>
      <c r="B226" s="1" t="n">
        <v>45902.36149305556</v>
      </c>
      <c r="C226" s="1" t="n">
        <v>46127</v>
      </c>
      <c r="D226" t="inlineStr">
        <is>
          <t>ÖREBRO LÄN</t>
        </is>
      </c>
      <c r="E226" t="inlineStr">
        <is>
          <t>ÖREBRO</t>
        </is>
      </c>
      <c r="G226" t="n">
        <v>2.8</v>
      </c>
      <c r="H226" t="n">
        <v>0</v>
      </c>
      <c r="I226" t="n">
        <v>0</v>
      </c>
      <c r="J226" t="n">
        <v>0</v>
      </c>
      <c r="K226" t="n">
        <v>0</v>
      </c>
      <c r="L226" t="n">
        <v>0</v>
      </c>
      <c r="M226" t="n">
        <v>0</v>
      </c>
      <c r="N226" t="n">
        <v>0</v>
      </c>
      <c r="O226" t="n">
        <v>0</v>
      </c>
      <c r="P226" t="n">
        <v>0</v>
      </c>
      <c r="Q226" t="n">
        <v>0</v>
      </c>
      <c r="R226" s="2" t="inlineStr"/>
    </row>
    <row r="227" ht="15" customHeight="1">
      <c r="A227" t="inlineStr">
        <is>
          <t>A 60289-2023</t>
        </is>
      </c>
      <c r="B227" s="1" t="n">
        <v>45257</v>
      </c>
      <c r="C227" s="1" t="n">
        <v>46127</v>
      </c>
      <c r="D227" t="inlineStr">
        <is>
          <t>ÖREBRO LÄN</t>
        </is>
      </c>
      <c r="E227" t="inlineStr">
        <is>
          <t>ÖREBRO</t>
        </is>
      </c>
      <c r="G227" t="n">
        <v>10.9</v>
      </c>
      <c r="H227" t="n">
        <v>0</v>
      </c>
      <c r="I227" t="n">
        <v>0</v>
      </c>
      <c r="J227" t="n">
        <v>0</v>
      </c>
      <c r="K227" t="n">
        <v>0</v>
      </c>
      <c r="L227" t="n">
        <v>0</v>
      </c>
      <c r="M227" t="n">
        <v>0</v>
      </c>
      <c r="N227" t="n">
        <v>0</v>
      </c>
      <c r="O227" t="n">
        <v>0</v>
      </c>
      <c r="P227" t="n">
        <v>0</v>
      </c>
      <c r="Q227" t="n">
        <v>0</v>
      </c>
      <c r="R227" s="2" t="inlineStr"/>
    </row>
    <row r="228" ht="15" customHeight="1">
      <c r="A228" t="inlineStr">
        <is>
          <t>A 12017-2024</t>
        </is>
      </c>
      <c r="B228" s="1" t="n">
        <v>45377</v>
      </c>
      <c r="C228" s="1" t="n">
        <v>46127</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54678-2023</t>
        </is>
      </c>
      <c r="B229" s="1" t="n">
        <v>45235</v>
      </c>
      <c r="C229" s="1" t="n">
        <v>46127</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190-2024</t>
        </is>
      </c>
      <c r="B230" s="1" t="n">
        <v>45294.61858796296</v>
      </c>
      <c r="C230" s="1" t="n">
        <v>46127</v>
      </c>
      <c r="D230" t="inlineStr">
        <is>
          <t>ÖREBRO LÄN</t>
        </is>
      </c>
      <c r="E230" t="inlineStr">
        <is>
          <t>ÖREBRO</t>
        </is>
      </c>
      <c r="G230" t="n">
        <v>2.4</v>
      </c>
      <c r="H230" t="n">
        <v>0</v>
      </c>
      <c r="I230" t="n">
        <v>0</v>
      </c>
      <c r="J230" t="n">
        <v>0</v>
      </c>
      <c r="K230" t="n">
        <v>0</v>
      </c>
      <c r="L230" t="n">
        <v>0</v>
      </c>
      <c r="M230" t="n">
        <v>0</v>
      </c>
      <c r="N230" t="n">
        <v>0</v>
      </c>
      <c r="O230" t="n">
        <v>0</v>
      </c>
      <c r="P230" t="n">
        <v>0</v>
      </c>
      <c r="Q230" t="n">
        <v>0</v>
      </c>
      <c r="R230" s="2" t="inlineStr"/>
    </row>
    <row r="231" ht="15" customHeight="1">
      <c r="A231" t="inlineStr">
        <is>
          <t>A 44511-2023</t>
        </is>
      </c>
      <c r="B231" s="1" t="n">
        <v>45189</v>
      </c>
      <c r="C231" s="1" t="n">
        <v>46127</v>
      </c>
      <c r="D231" t="inlineStr">
        <is>
          <t>ÖREBRO LÄN</t>
        </is>
      </c>
      <c r="E231" t="inlineStr">
        <is>
          <t>ÖREBRO</t>
        </is>
      </c>
      <c r="F231" t="inlineStr">
        <is>
          <t>Allmännings- och besparingsskogar</t>
        </is>
      </c>
      <c r="G231" t="n">
        <v>2.7</v>
      </c>
      <c r="H231" t="n">
        <v>0</v>
      </c>
      <c r="I231" t="n">
        <v>0</v>
      </c>
      <c r="J231" t="n">
        <v>0</v>
      </c>
      <c r="K231" t="n">
        <v>0</v>
      </c>
      <c r="L231" t="n">
        <v>0</v>
      </c>
      <c r="M231" t="n">
        <v>0</v>
      </c>
      <c r="N231" t="n">
        <v>0</v>
      </c>
      <c r="O231" t="n">
        <v>0</v>
      </c>
      <c r="P231" t="n">
        <v>0</v>
      </c>
      <c r="Q231" t="n">
        <v>0</v>
      </c>
      <c r="R231" s="2" t="inlineStr"/>
    </row>
    <row r="232" ht="15" customHeight="1">
      <c r="A232" t="inlineStr">
        <is>
          <t>A 52447-2024</t>
        </is>
      </c>
      <c r="B232" s="1" t="n">
        <v>45609.49157407408</v>
      </c>
      <c r="C232" s="1" t="n">
        <v>46127</v>
      </c>
      <c r="D232" t="inlineStr">
        <is>
          <t>ÖREBRO LÄN</t>
        </is>
      </c>
      <c r="E232" t="inlineStr">
        <is>
          <t>ÖREBRO</t>
        </is>
      </c>
      <c r="G232" t="n">
        <v>1.4</v>
      </c>
      <c r="H232" t="n">
        <v>0</v>
      </c>
      <c r="I232" t="n">
        <v>0</v>
      </c>
      <c r="J232" t="n">
        <v>0</v>
      </c>
      <c r="K232" t="n">
        <v>0</v>
      </c>
      <c r="L232" t="n">
        <v>0</v>
      </c>
      <c r="M232" t="n">
        <v>0</v>
      </c>
      <c r="N232" t="n">
        <v>0</v>
      </c>
      <c r="O232" t="n">
        <v>0</v>
      </c>
      <c r="P232" t="n">
        <v>0</v>
      </c>
      <c r="Q232" t="n">
        <v>0</v>
      </c>
      <c r="R232" s="2" t="inlineStr"/>
    </row>
    <row r="233" ht="15" customHeight="1">
      <c r="A233" t="inlineStr">
        <is>
          <t>A 43803-2023</t>
        </is>
      </c>
      <c r="B233" s="1" t="n">
        <v>45187</v>
      </c>
      <c r="C233" s="1" t="n">
        <v>46127</v>
      </c>
      <c r="D233" t="inlineStr">
        <is>
          <t>ÖREBRO LÄN</t>
        </is>
      </c>
      <c r="E233" t="inlineStr">
        <is>
          <t>ÖREBRO</t>
        </is>
      </c>
      <c r="G233" t="n">
        <v>1.2</v>
      </c>
      <c r="H233" t="n">
        <v>0</v>
      </c>
      <c r="I233" t="n">
        <v>0</v>
      </c>
      <c r="J233" t="n">
        <v>0</v>
      </c>
      <c r="K233" t="n">
        <v>0</v>
      </c>
      <c r="L233" t="n">
        <v>0</v>
      </c>
      <c r="M233" t="n">
        <v>0</v>
      </c>
      <c r="N233" t="n">
        <v>0</v>
      </c>
      <c r="O233" t="n">
        <v>0</v>
      </c>
      <c r="P233" t="n">
        <v>0</v>
      </c>
      <c r="Q233" t="n">
        <v>0</v>
      </c>
      <c r="R233" s="2" t="inlineStr"/>
    </row>
    <row r="234" ht="15" customHeight="1">
      <c r="A234" t="inlineStr">
        <is>
          <t>A 55943-2024</t>
        </is>
      </c>
      <c r="B234" s="1" t="n">
        <v>45623.61278935185</v>
      </c>
      <c r="C234" s="1" t="n">
        <v>46127</v>
      </c>
      <c r="D234" t="inlineStr">
        <is>
          <t>ÖREBRO LÄN</t>
        </is>
      </c>
      <c r="E234" t="inlineStr">
        <is>
          <t>ÖREBRO</t>
        </is>
      </c>
      <c r="G234" t="n">
        <v>4.8</v>
      </c>
      <c r="H234" t="n">
        <v>0</v>
      </c>
      <c r="I234" t="n">
        <v>0</v>
      </c>
      <c r="J234" t="n">
        <v>0</v>
      </c>
      <c r="K234" t="n">
        <v>0</v>
      </c>
      <c r="L234" t="n">
        <v>0</v>
      </c>
      <c r="M234" t="n">
        <v>0</v>
      </c>
      <c r="N234" t="n">
        <v>0</v>
      </c>
      <c r="O234" t="n">
        <v>0</v>
      </c>
      <c r="P234" t="n">
        <v>0</v>
      </c>
      <c r="Q234" t="n">
        <v>0</v>
      </c>
      <c r="R234" s="2" t="inlineStr"/>
    </row>
    <row r="235" ht="15" customHeight="1">
      <c r="A235" t="inlineStr">
        <is>
          <t>A 27180-2025</t>
        </is>
      </c>
      <c r="B235" s="1" t="n">
        <v>45812.35736111111</v>
      </c>
      <c r="C235" s="1" t="n">
        <v>46127</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27215-2025</t>
        </is>
      </c>
      <c r="B236" s="1" t="n">
        <v>45812.41869212963</v>
      </c>
      <c r="C236" s="1" t="n">
        <v>46127</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27225-2025</t>
        </is>
      </c>
      <c r="B237" s="1" t="n">
        <v>45812.42856481481</v>
      </c>
      <c r="C237" s="1" t="n">
        <v>46127</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60028-2024</t>
        </is>
      </c>
      <c r="B238" s="1" t="n">
        <v>45642</v>
      </c>
      <c r="C238" s="1" t="n">
        <v>46127</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27220-2025</t>
        </is>
      </c>
      <c r="B239" s="1" t="n">
        <v>45812.42293981482</v>
      </c>
      <c r="C239" s="1" t="n">
        <v>46127</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57537-2025</t>
        </is>
      </c>
      <c r="B240" s="1" t="n">
        <v>45980.6446875</v>
      </c>
      <c r="C240" s="1" t="n">
        <v>46127</v>
      </c>
      <c r="D240" t="inlineStr">
        <is>
          <t>ÖREBRO LÄN</t>
        </is>
      </c>
      <c r="E240" t="inlineStr">
        <is>
          <t>ÖREBRO</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6794-2025</t>
        </is>
      </c>
      <c r="B241" s="1" t="n">
        <v>45700.66429398148</v>
      </c>
      <c r="C241" s="1" t="n">
        <v>46127</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28120-2025</t>
        </is>
      </c>
      <c r="B242" s="1" t="n">
        <v>45818.30459490741</v>
      </c>
      <c r="C242" s="1" t="n">
        <v>46127</v>
      </c>
      <c r="D242" t="inlineStr">
        <is>
          <t>ÖREBRO LÄN</t>
        </is>
      </c>
      <c r="E242" t="inlineStr">
        <is>
          <t>ÖREBRO</t>
        </is>
      </c>
      <c r="G242" t="n">
        <v>1.5</v>
      </c>
      <c r="H242" t="n">
        <v>0</v>
      </c>
      <c r="I242" t="n">
        <v>0</v>
      </c>
      <c r="J242" t="n">
        <v>0</v>
      </c>
      <c r="K242" t="n">
        <v>0</v>
      </c>
      <c r="L242" t="n">
        <v>0</v>
      </c>
      <c r="M242" t="n">
        <v>0</v>
      </c>
      <c r="N242" t="n">
        <v>0</v>
      </c>
      <c r="O242" t="n">
        <v>0</v>
      </c>
      <c r="P242" t="n">
        <v>0</v>
      </c>
      <c r="Q242" t="n">
        <v>0</v>
      </c>
      <c r="R242" s="2" t="inlineStr"/>
    </row>
    <row r="243" ht="15" customHeight="1">
      <c r="A243" t="inlineStr">
        <is>
          <t>A 2596-2022</t>
        </is>
      </c>
      <c r="B243" s="1" t="n">
        <v>44580</v>
      </c>
      <c r="C243" s="1" t="n">
        <v>46127</v>
      </c>
      <c r="D243" t="inlineStr">
        <is>
          <t>ÖREBRO LÄN</t>
        </is>
      </c>
      <c r="E243" t="inlineStr">
        <is>
          <t>ÖREBRO</t>
        </is>
      </c>
      <c r="G243" t="n">
        <v>4.3</v>
      </c>
      <c r="H243" t="n">
        <v>0</v>
      </c>
      <c r="I243" t="n">
        <v>0</v>
      </c>
      <c r="J243" t="n">
        <v>0</v>
      </c>
      <c r="K243" t="n">
        <v>0</v>
      </c>
      <c r="L243" t="n">
        <v>0</v>
      </c>
      <c r="M243" t="n">
        <v>0</v>
      </c>
      <c r="N243" t="n">
        <v>0</v>
      </c>
      <c r="O243" t="n">
        <v>0</v>
      </c>
      <c r="P243" t="n">
        <v>0</v>
      </c>
      <c r="Q243" t="n">
        <v>0</v>
      </c>
      <c r="R243" s="2" t="inlineStr"/>
    </row>
    <row r="244" ht="15" customHeight="1">
      <c r="A244" t="inlineStr">
        <is>
          <t>A 13857-2022</t>
        </is>
      </c>
      <c r="B244" s="1" t="n">
        <v>44649</v>
      </c>
      <c r="C244" s="1" t="n">
        <v>46127</v>
      </c>
      <c r="D244" t="inlineStr">
        <is>
          <t>ÖREBRO LÄN</t>
        </is>
      </c>
      <c r="E244" t="inlineStr">
        <is>
          <t>ÖREBRO</t>
        </is>
      </c>
      <c r="G244" t="n">
        <v>0.6</v>
      </c>
      <c r="H244" t="n">
        <v>0</v>
      </c>
      <c r="I244" t="n">
        <v>0</v>
      </c>
      <c r="J244" t="n">
        <v>0</v>
      </c>
      <c r="K244" t="n">
        <v>0</v>
      </c>
      <c r="L244" t="n">
        <v>0</v>
      </c>
      <c r="M244" t="n">
        <v>0</v>
      </c>
      <c r="N244" t="n">
        <v>0</v>
      </c>
      <c r="O244" t="n">
        <v>0</v>
      </c>
      <c r="P244" t="n">
        <v>0</v>
      </c>
      <c r="Q244" t="n">
        <v>0</v>
      </c>
      <c r="R244" s="2" t="inlineStr"/>
    </row>
    <row r="245" ht="15" customHeight="1">
      <c r="A245" t="inlineStr">
        <is>
          <t>A 55692-2023</t>
        </is>
      </c>
      <c r="B245" s="1" t="n">
        <v>45239</v>
      </c>
      <c r="C245" s="1" t="n">
        <v>46127</v>
      </c>
      <c r="D245" t="inlineStr">
        <is>
          <t>ÖREBRO LÄN</t>
        </is>
      </c>
      <c r="E245" t="inlineStr">
        <is>
          <t>ÖREBRO</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28938-2025</t>
        </is>
      </c>
      <c r="B246" s="1" t="n">
        <v>45820.70626157407</v>
      </c>
      <c r="C246" s="1" t="n">
        <v>46127</v>
      </c>
      <c r="D246" t="inlineStr">
        <is>
          <t>ÖREBRO LÄN</t>
        </is>
      </c>
      <c r="E246" t="inlineStr">
        <is>
          <t>ÖREBRO</t>
        </is>
      </c>
      <c r="G246" t="n">
        <v>1.9</v>
      </c>
      <c r="H246" t="n">
        <v>0</v>
      </c>
      <c r="I246" t="n">
        <v>0</v>
      </c>
      <c r="J246" t="n">
        <v>0</v>
      </c>
      <c r="K246" t="n">
        <v>0</v>
      </c>
      <c r="L246" t="n">
        <v>0</v>
      </c>
      <c r="M246" t="n">
        <v>0</v>
      </c>
      <c r="N246" t="n">
        <v>0</v>
      </c>
      <c r="O246" t="n">
        <v>0</v>
      </c>
      <c r="P246" t="n">
        <v>0</v>
      </c>
      <c r="Q246" t="n">
        <v>0</v>
      </c>
      <c r="R246" s="2" t="inlineStr"/>
    </row>
    <row r="247" ht="15" customHeight="1">
      <c r="A247" t="inlineStr">
        <is>
          <t>A 15866-2022</t>
        </is>
      </c>
      <c r="B247" s="1" t="n">
        <v>44664</v>
      </c>
      <c r="C247" s="1" t="n">
        <v>46127</v>
      </c>
      <c r="D247" t="inlineStr">
        <is>
          <t>ÖREBRO LÄN</t>
        </is>
      </c>
      <c r="E247" t="inlineStr">
        <is>
          <t>ÖREBRO</t>
        </is>
      </c>
      <c r="G247" t="n">
        <v>4</v>
      </c>
      <c r="H247" t="n">
        <v>0</v>
      </c>
      <c r="I247" t="n">
        <v>0</v>
      </c>
      <c r="J247" t="n">
        <v>0</v>
      </c>
      <c r="K247" t="n">
        <v>0</v>
      </c>
      <c r="L247" t="n">
        <v>0</v>
      </c>
      <c r="M247" t="n">
        <v>0</v>
      </c>
      <c r="N247" t="n">
        <v>0</v>
      </c>
      <c r="O247" t="n">
        <v>0</v>
      </c>
      <c r="P247" t="n">
        <v>0</v>
      </c>
      <c r="Q247" t="n">
        <v>0</v>
      </c>
      <c r="R247" s="2" t="inlineStr"/>
    </row>
    <row r="248" ht="15" customHeight="1">
      <c r="A248" t="inlineStr">
        <is>
          <t>A 28920-2025</t>
        </is>
      </c>
      <c r="B248" s="1" t="n">
        <v>45820.66532407407</v>
      </c>
      <c r="C248" s="1" t="n">
        <v>46127</v>
      </c>
      <c r="D248" t="inlineStr">
        <is>
          <t>ÖREBRO LÄN</t>
        </is>
      </c>
      <c r="E248" t="inlineStr">
        <is>
          <t>ÖREBRO</t>
        </is>
      </c>
      <c r="G248" t="n">
        <v>3</v>
      </c>
      <c r="H248" t="n">
        <v>0</v>
      </c>
      <c r="I248" t="n">
        <v>0</v>
      </c>
      <c r="J248" t="n">
        <v>0</v>
      </c>
      <c r="K248" t="n">
        <v>0</v>
      </c>
      <c r="L248" t="n">
        <v>0</v>
      </c>
      <c r="M248" t="n">
        <v>0</v>
      </c>
      <c r="N248" t="n">
        <v>0</v>
      </c>
      <c r="O248" t="n">
        <v>0</v>
      </c>
      <c r="P248" t="n">
        <v>0</v>
      </c>
      <c r="Q248" t="n">
        <v>0</v>
      </c>
      <c r="R248" s="2" t="inlineStr"/>
    </row>
    <row r="249" ht="15" customHeight="1">
      <c r="A249" t="inlineStr">
        <is>
          <t>A 44960-2025</t>
        </is>
      </c>
      <c r="B249" s="1" t="n">
        <v>45918.61577546296</v>
      </c>
      <c r="C249" s="1" t="n">
        <v>46127</v>
      </c>
      <c r="D249" t="inlineStr">
        <is>
          <t>ÖREBRO LÄN</t>
        </is>
      </c>
      <c r="E249" t="inlineStr">
        <is>
          <t>ÖREBRO</t>
        </is>
      </c>
      <c r="G249" t="n">
        <v>1.5</v>
      </c>
      <c r="H249" t="n">
        <v>0</v>
      </c>
      <c r="I249" t="n">
        <v>0</v>
      </c>
      <c r="J249" t="n">
        <v>0</v>
      </c>
      <c r="K249" t="n">
        <v>0</v>
      </c>
      <c r="L249" t="n">
        <v>0</v>
      </c>
      <c r="M249" t="n">
        <v>0</v>
      </c>
      <c r="N249" t="n">
        <v>0</v>
      </c>
      <c r="O249" t="n">
        <v>0</v>
      </c>
      <c r="P249" t="n">
        <v>0</v>
      </c>
      <c r="Q249" t="n">
        <v>0</v>
      </c>
      <c r="R249" s="2" t="inlineStr"/>
    </row>
    <row r="250" ht="15" customHeight="1">
      <c r="A250" t="inlineStr">
        <is>
          <t>A 29339-2025</t>
        </is>
      </c>
      <c r="B250" s="1" t="n">
        <v>45824.5044212963</v>
      </c>
      <c r="C250" s="1" t="n">
        <v>46127</v>
      </c>
      <c r="D250" t="inlineStr">
        <is>
          <t>ÖREBRO LÄN</t>
        </is>
      </c>
      <c r="E250" t="inlineStr">
        <is>
          <t>ÖREBRO</t>
        </is>
      </c>
      <c r="G250" t="n">
        <v>4.3</v>
      </c>
      <c r="H250" t="n">
        <v>0</v>
      </c>
      <c r="I250" t="n">
        <v>0</v>
      </c>
      <c r="J250" t="n">
        <v>0</v>
      </c>
      <c r="K250" t="n">
        <v>0</v>
      </c>
      <c r="L250" t="n">
        <v>0</v>
      </c>
      <c r="M250" t="n">
        <v>0</v>
      </c>
      <c r="N250" t="n">
        <v>0</v>
      </c>
      <c r="O250" t="n">
        <v>0</v>
      </c>
      <c r="P250" t="n">
        <v>0</v>
      </c>
      <c r="Q250" t="n">
        <v>0</v>
      </c>
      <c r="R250" s="2" t="inlineStr"/>
    </row>
    <row r="251" ht="15" customHeight="1">
      <c r="A251" t="inlineStr">
        <is>
          <t>A 60059-2023</t>
        </is>
      </c>
      <c r="B251" s="1" t="n">
        <v>45258.38157407408</v>
      </c>
      <c r="C251" s="1" t="n">
        <v>46127</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26858-2024</t>
        </is>
      </c>
      <c r="B252" s="1" t="n">
        <v>45470</v>
      </c>
      <c r="C252" s="1" t="n">
        <v>46127</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46127</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44875-2025</t>
        </is>
      </c>
      <c r="B254" s="1" t="n">
        <v>45918.47043981482</v>
      </c>
      <c r="C254" s="1" t="n">
        <v>46127</v>
      </c>
      <c r="D254" t="inlineStr">
        <is>
          <t>ÖREBRO LÄN</t>
        </is>
      </c>
      <c r="E254" t="inlineStr">
        <is>
          <t>ÖREBRO</t>
        </is>
      </c>
      <c r="G254" t="n">
        <v>1.4</v>
      </c>
      <c r="H254" t="n">
        <v>0</v>
      </c>
      <c r="I254" t="n">
        <v>0</v>
      </c>
      <c r="J254" t="n">
        <v>0</v>
      </c>
      <c r="K254" t="n">
        <v>0</v>
      </c>
      <c r="L254" t="n">
        <v>0</v>
      </c>
      <c r="M254" t="n">
        <v>0</v>
      </c>
      <c r="N254" t="n">
        <v>0</v>
      </c>
      <c r="O254" t="n">
        <v>0</v>
      </c>
      <c r="P254" t="n">
        <v>0</v>
      </c>
      <c r="Q254" t="n">
        <v>0</v>
      </c>
      <c r="R254" s="2" t="inlineStr"/>
    </row>
    <row r="255" ht="15" customHeight="1">
      <c r="A255" t="inlineStr">
        <is>
          <t>A 58230-2025</t>
        </is>
      </c>
      <c r="B255" s="1" t="n">
        <v>45985.38037037037</v>
      </c>
      <c r="C255" s="1" t="n">
        <v>46127</v>
      </c>
      <c r="D255" t="inlineStr">
        <is>
          <t>ÖREBRO LÄN</t>
        </is>
      </c>
      <c r="E255" t="inlineStr">
        <is>
          <t>ÖREBRO</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29286-2025</t>
        </is>
      </c>
      <c r="B256" s="1" t="n">
        <v>45824.43502314815</v>
      </c>
      <c r="C256" s="1" t="n">
        <v>46127</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28054-2022</t>
        </is>
      </c>
      <c r="B257" s="1" t="n">
        <v>44746.41938657407</v>
      </c>
      <c r="C257" s="1" t="n">
        <v>46127</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541-2025</t>
        </is>
      </c>
      <c r="B258" s="1" t="n">
        <v>45664.52034722222</v>
      </c>
      <c r="C258" s="1" t="n">
        <v>46127</v>
      </c>
      <c r="D258" t="inlineStr">
        <is>
          <t>ÖREBRO LÄN</t>
        </is>
      </c>
      <c r="E258" t="inlineStr">
        <is>
          <t>ÖREBRO</t>
        </is>
      </c>
      <c r="G258" t="n">
        <v>2.2</v>
      </c>
      <c r="H258" t="n">
        <v>0</v>
      </c>
      <c r="I258" t="n">
        <v>0</v>
      </c>
      <c r="J258" t="n">
        <v>0</v>
      </c>
      <c r="K258" t="n">
        <v>0</v>
      </c>
      <c r="L258" t="n">
        <v>0</v>
      </c>
      <c r="M258" t="n">
        <v>0</v>
      </c>
      <c r="N258" t="n">
        <v>0</v>
      </c>
      <c r="O258" t="n">
        <v>0</v>
      </c>
      <c r="P258" t="n">
        <v>0</v>
      </c>
      <c r="Q258" t="n">
        <v>0</v>
      </c>
      <c r="R258" s="2" t="inlineStr"/>
    </row>
    <row r="259" ht="15" customHeight="1">
      <c r="A259" t="inlineStr">
        <is>
          <t>A 53143-2023</t>
        </is>
      </c>
      <c r="B259" s="1" t="n">
        <v>45229</v>
      </c>
      <c r="C259" s="1" t="n">
        <v>46127</v>
      </c>
      <c r="D259" t="inlineStr">
        <is>
          <t>ÖREBRO LÄN</t>
        </is>
      </c>
      <c r="E259" t="inlineStr">
        <is>
          <t>ÖREBRO</t>
        </is>
      </c>
      <c r="G259" t="n">
        <v>3.3</v>
      </c>
      <c r="H259" t="n">
        <v>0</v>
      </c>
      <c r="I259" t="n">
        <v>0</v>
      </c>
      <c r="J259" t="n">
        <v>0</v>
      </c>
      <c r="K259" t="n">
        <v>0</v>
      </c>
      <c r="L259" t="n">
        <v>0</v>
      </c>
      <c r="M259" t="n">
        <v>0</v>
      </c>
      <c r="N259" t="n">
        <v>0</v>
      </c>
      <c r="O259" t="n">
        <v>0</v>
      </c>
      <c r="P259" t="n">
        <v>0</v>
      </c>
      <c r="Q259" t="n">
        <v>0</v>
      </c>
      <c r="R259" s="2" t="inlineStr"/>
    </row>
    <row r="260" ht="15" customHeight="1">
      <c r="A260" t="inlineStr">
        <is>
          <t>A 25407-2021</t>
        </is>
      </c>
      <c r="B260" s="1" t="n">
        <v>44342</v>
      </c>
      <c r="C260" s="1" t="n">
        <v>46127</v>
      </c>
      <c r="D260" t="inlineStr">
        <is>
          <t>ÖREBRO LÄN</t>
        </is>
      </c>
      <c r="E260" t="inlineStr">
        <is>
          <t>ÖREBRO</t>
        </is>
      </c>
      <c r="F260" t="inlineStr">
        <is>
          <t>Kommuner</t>
        </is>
      </c>
      <c r="G260" t="n">
        <v>7.2</v>
      </c>
      <c r="H260" t="n">
        <v>0</v>
      </c>
      <c r="I260" t="n">
        <v>0</v>
      </c>
      <c r="J260" t="n">
        <v>0</v>
      </c>
      <c r="K260" t="n">
        <v>0</v>
      </c>
      <c r="L260" t="n">
        <v>0</v>
      </c>
      <c r="M260" t="n">
        <v>0</v>
      </c>
      <c r="N260" t="n">
        <v>0</v>
      </c>
      <c r="O260" t="n">
        <v>0</v>
      </c>
      <c r="P260" t="n">
        <v>0</v>
      </c>
      <c r="Q260" t="n">
        <v>0</v>
      </c>
      <c r="R260" s="2" t="inlineStr"/>
    </row>
    <row r="261" ht="15" customHeight="1">
      <c r="A261" t="inlineStr">
        <is>
          <t>A 30550-2025</t>
        </is>
      </c>
      <c r="B261" s="1" t="n">
        <v>45831.38224537037</v>
      </c>
      <c r="C261" s="1" t="n">
        <v>46127</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30731-2025</t>
        </is>
      </c>
      <c r="B262" s="1" t="n">
        <v>45831.57280092593</v>
      </c>
      <c r="C262" s="1" t="n">
        <v>46127</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45027-2024</t>
        </is>
      </c>
      <c r="B263" s="1" t="n">
        <v>45575</v>
      </c>
      <c r="C263" s="1" t="n">
        <v>46127</v>
      </c>
      <c r="D263" t="inlineStr">
        <is>
          <t>ÖREBRO LÄN</t>
        </is>
      </c>
      <c r="E263" t="inlineStr">
        <is>
          <t>ÖREBRO</t>
        </is>
      </c>
      <c r="G263" t="n">
        <v>6.3</v>
      </c>
      <c r="H263" t="n">
        <v>0</v>
      </c>
      <c r="I263" t="n">
        <v>0</v>
      </c>
      <c r="J263" t="n">
        <v>0</v>
      </c>
      <c r="K263" t="n">
        <v>0</v>
      </c>
      <c r="L263" t="n">
        <v>0</v>
      </c>
      <c r="M263" t="n">
        <v>0</v>
      </c>
      <c r="N263" t="n">
        <v>0</v>
      </c>
      <c r="O263" t="n">
        <v>0</v>
      </c>
      <c r="P263" t="n">
        <v>0</v>
      </c>
      <c r="Q263" t="n">
        <v>0</v>
      </c>
      <c r="R263" s="2" t="inlineStr"/>
    </row>
    <row r="264" ht="15" customHeight="1">
      <c r="A264" t="inlineStr">
        <is>
          <t>A 16140-2023</t>
        </is>
      </c>
      <c r="B264" s="1" t="n">
        <v>45027.6433912037</v>
      </c>
      <c r="C264" s="1" t="n">
        <v>46127</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31232-2025</t>
        </is>
      </c>
      <c r="B265" s="1" t="n">
        <v>45832.8252199074</v>
      </c>
      <c r="C265" s="1" t="n">
        <v>46127</v>
      </c>
      <c r="D265" t="inlineStr">
        <is>
          <t>ÖREBRO LÄN</t>
        </is>
      </c>
      <c r="E265" t="inlineStr">
        <is>
          <t>ÖREBRO</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30951-2025</t>
        </is>
      </c>
      <c r="B266" s="1" t="n">
        <v>45832.43225694444</v>
      </c>
      <c r="C266" s="1" t="n">
        <v>46127</v>
      </c>
      <c r="D266" t="inlineStr">
        <is>
          <t>ÖREBRO LÄN</t>
        </is>
      </c>
      <c r="E266" t="inlineStr">
        <is>
          <t>ÖREBRO</t>
        </is>
      </c>
      <c r="F266" t="inlineStr">
        <is>
          <t>Övriga Aktiebolag</t>
        </is>
      </c>
      <c r="G266" t="n">
        <v>2.3</v>
      </c>
      <c r="H266" t="n">
        <v>0</v>
      </c>
      <c r="I266" t="n">
        <v>0</v>
      </c>
      <c r="J266" t="n">
        <v>0</v>
      </c>
      <c r="K266" t="n">
        <v>0</v>
      </c>
      <c r="L266" t="n">
        <v>0</v>
      </c>
      <c r="M266" t="n">
        <v>0</v>
      </c>
      <c r="N266" t="n">
        <v>0</v>
      </c>
      <c r="O266" t="n">
        <v>0</v>
      </c>
      <c r="P266" t="n">
        <v>0</v>
      </c>
      <c r="Q266" t="n">
        <v>0</v>
      </c>
      <c r="R266" s="2" t="inlineStr"/>
    </row>
    <row r="267" ht="15" customHeight="1">
      <c r="A267" t="inlineStr">
        <is>
          <t>A 31233-2025</t>
        </is>
      </c>
      <c r="B267" s="1" t="n">
        <v>45832.83341435185</v>
      </c>
      <c r="C267" s="1" t="n">
        <v>46127</v>
      </c>
      <c r="D267" t="inlineStr">
        <is>
          <t>ÖREBRO LÄN</t>
        </is>
      </c>
      <c r="E267" t="inlineStr">
        <is>
          <t>ÖREBRO</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31237-2025</t>
        </is>
      </c>
      <c r="B268" s="1" t="n">
        <v>45832.84313657408</v>
      </c>
      <c r="C268" s="1" t="n">
        <v>46127</v>
      </c>
      <c r="D268" t="inlineStr">
        <is>
          <t>ÖREBRO LÄN</t>
        </is>
      </c>
      <c r="E268" t="inlineStr">
        <is>
          <t>ÖREBRO</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52391-2024</t>
        </is>
      </c>
      <c r="B269" s="1" t="n">
        <v>45609.43180555556</v>
      </c>
      <c r="C269" s="1" t="n">
        <v>46127</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52401-2024</t>
        </is>
      </c>
      <c r="B270" s="1" t="n">
        <v>45609.44553240741</v>
      </c>
      <c r="C270" s="1" t="n">
        <v>46127</v>
      </c>
      <c r="D270" t="inlineStr">
        <is>
          <t>ÖREBRO LÄN</t>
        </is>
      </c>
      <c r="E270" t="inlineStr">
        <is>
          <t>ÖREBRO</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31066-2025</t>
        </is>
      </c>
      <c r="B271" s="1" t="n">
        <v>45832</v>
      </c>
      <c r="C271" s="1" t="n">
        <v>46127</v>
      </c>
      <c r="D271" t="inlineStr">
        <is>
          <t>ÖREBRO LÄN</t>
        </is>
      </c>
      <c r="E271" t="inlineStr">
        <is>
          <t>ÖREBRO</t>
        </is>
      </c>
      <c r="G271" t="n">
        <v>11.1</v>
      </c>
      <c r="H271" t="n">
        <v>0</v>
      </c>
      <c r="I271" t="n">
        <v>0</v>
      </c>
      <c r="J271" t="n">
        <v>0</v>
      </c>
      <c r="K271" t="n">
        <v>0</v>
      </c>
      <c r="L271" t="n">
        <v>0</v>
      </c>
      <c r="M271" t="n">
        <v>0</v>
      </c>
      <c r="N271" t="n">
        <v>0</v>
      </c>
      <c r="O271" t="n">
        <v>0</v>
      </c>
      <c r="P271" t="n">
        <v>0</v>
      </c>
      <c r="Q271" t="n">
        <v>0</v>
      </c>
      <c r="R271" s="2" t="inlineStr"/>
    </row>
    <row r="272" ht="15" customHeight="1">
      <c r="A272" t="inlineStr">
        <is>
          <t>A 26338-2021</t>
        </is>
      </c>
      <c r="B272" s="1" t="n">
        <v>44347</v>
      </c>
      <c r="C272" s="1" t="n">
        <v>46127</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32188-2025</t>
        </is>
      </c>
      <c r="B273" s="1" t="n">
        <v>45835.56965277778</v>
      </c>
      <c r="C273" s="1" t="n">
        <v>46127</v>
      </c>
      <c r="D273" t="inlineStr">
        <is>
          <t>ÖREBRO LÄN</t>
        </is>
      </c>
      <c r="E273" t="inlineStr">
        <is>
          <t>ÖREBRO</t>
        </is>
      </c>
      <c r="G273" t="n">
        <v>2.9</v>
      </c>
      <c r="H273" t="n">
        <v>0</v>
      </c>
      <c r="I273" t="n">
        <v>0</v>
      </c>
      <c r="J273" t="n">
        <v>0</v>
      </c>
      <c r="K273" t="n">
        <v>0</v>
      </c>
      <c r="L273" t="n">
        <v>0</v>
      </c>
      <c r="M273" t="n">
        <v>0</v>
      </c>
      <c r="N273" t="n">
        <v>0</v>
      </c>
      <c r="O273" t="n">
        <v>0</v>
      </c>
      <c r="P273" t="n">
        <v>0</v>
      </c>
      <c r="Q273" t="n">
        <v>0</v>
      </c>
      <c r="R273" s="2" t="inlineStr"/>
    </row>
    <row r="274" ht="15" customHeight="1">
      <c r="A274" t="inlineStr">
        <is>
          <t>A 32195-2025</t>
        </is>
      </c>
      <c r="B274" s="1" t="n">
        <v>45835.57407407407</v>
      </c>
      <c r="C274" s="1" t="n">
        <v>46127</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58835-2025</t>
        </is>
      </c>
      <c r="B275" s="1" t="n">
        <v>45987.35519675926</v>
      </c>
      <c r="C275" s="1" t="n">
        <v>46127</v>
      </c>
      <c r="D275" t="inlineStr">
        <is>
          <t>ÖREBRO LÄN</t>
        </is>
      </c>
      <c r="E275" t="inlineStr">
        <is>
          <t>ÖREBRO</t>
        </is>
      </c>
      <c r="G275" t="n">
        <v>2.1</v>
      </c>
      <c r="H275" t="n">
        <v>0</v>
      </c>
      <c r="I275" t="n">
        <v>0</v>
      </c>
      <c r="J275" t="n">
        <v>0</v>
      </c>
      <c r="K275" t="n">
        <v>0</v>
      </c>
      <c r="L275" t="n">
        <v>0</v>
      </c>
      <c r="M275" t="n">
        <v>0</v>
      </c>
      <c r="N275" t="n">
        <v>0</v>
      </c>
      <c r="O275" t="n">
        <v>0</v>
      </c>
      <c r="P275" t="n">
        <v>0</v>
      </c>
      <c r="Q275" t="n">
        <v>0</v>
      </c>
      <c r="R275" s="2" t="inlineStr"/>
    </row>
    <row r="276" ht="15" customHeight="1">
      <c r="A276" t="inlineStr">
        <is>
          <t>A 32218-2025</t>
        </is>
      </c>
      <c r="B276" s="1" t="n">
        <v>45835.58880787037</v>
      </c>
      <c r="C276" s="1" t="n">
        <v>46127</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53234-2023</t>
        </is>
      </c>
      <c r="B277" s="1" t="n">
        <v>45229</v>
      </c>
      <c r="C277" s="1" t="n">
        <v>46127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59757-2023</t>
        </is>
      </c>
      <c r="B278" s="1" t="n">
        <v>45257.40833333333</v>
      </c>
      <c r="C278" s="1" t="n">
        <v>46127</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32904-2025</t>
        </is>
      </c>
      <c r="B279" s="1" t="n">
        <v>45839</v>
      </c>
      <c r="C279" s="1" t="n">
        <v>46127</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11067-2025</t>
        </is>
      </c>
      <c r="B280" s="1" t="n">
        <v>45723</v>
      </c>
      <c r="C280" s="1" t="n">
        <v>46127</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3659-2025</t>
        </is>
      </c>
      <c r="B281" s="1" t="n">
        <v>45681</v>
      </c>
      <c r="C281" s="1" t="n">
        <v>46127</v>
      </c>
      <c r="D281" t="inlineStr">
        <is>
          <t>ÖREBRO LÄN</t>
        </is>
      </c>
      <c r="E281" t="inlineStr">
        <is>
          <t>ÖREBRO</t>
        </is>
      </c>
      <c r="G281" t="n">
        <v>15.8</v>
      </c>
      <c r="H281" t="n">
        <v>0</v>
      </c>
      <c r="I281" t="n">
        <v>0</v>
      </c>
      <c r="J281" t="n">
        <v>0</v>
      </c>
      <c r="K281" t="n">
        <v>0</v>
      </c>
      <c r="L281" t="n">
        <v>0</v>
      </c>
      <c r="M281" t="n">
        <v>0</v>
      </c>
      <c r="N281" t="n">
        <v>0</v>
      </c>
      <c r="O281" t="n">
        <v>0</v>
      </c>
      <c r="P281" t="n">
        <v>0</v>
      </c>
      <c r="Q281" t="n">
        <v>0</v>
      </c>
      <c r="R281" s="2" t="inlineStr"/>
    </row>
    <row r="282" ht="15" customHeight="1">
      <c r="A282" t="inlineStr">
        <is>
          <t>A 32426-2025</t>
        </is>
      </c>
      <c r="B282" s="1" t="n">
        <v>45838.36179398148</v>
      </c>
      <c r="C282" s="1" t="n">
        <v>46127</v>
      </c>
      <c r="D282" t="inlineStr">
        <is>
          <t>ÖREBRO LÄN</t>
        </is>
      </c>
      <c r="E282" t="inlineStr">
        <is>
          <t>ÖREBRO</t>
        </is>
      </c>
      <c r="G282" t="n">
        <v>1.1</v>
      </c>
      <c r="H282" t="n">
        <v>0</v>
      </c>
      <c r="I282" t="n">
        <v>0</v>
      </c>
      <c r="J282" t="n">
        <v>0</v>
      </c>
      <c r="K282" t="n">
        <v>0</v>
      </c>
      <c r="L282" t="n">
        <v>0</v>
      </c>
      <c r="M282" t="n">
        <v>0</v>
      </c>
      <c r="N282" t="n">
        <v>0</v>
      </c>
      <c r="O282" t="n">
        <v>0</v>
      </c>
      <c r="P282" t="n">
        <v>0</v>
      </c>
      <c r="Q282" t="n">
        <v>0</v>
      </c>
      <c r="R282" s="2" t="inlineStr"/>
    </row>
    <row r="283" ht="15" customHeight="1">
      <c r="A283" t="inlineStr">
        <is>
          <t>A 13347-2023</t>
        </is>
      </c>
      <c r="B283" s="1" t="n">
        <v>45004</v>
      </c>
      <c r="C283" s="1" t="n">
        <v>46127</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6752-2022</t>
        </is>
      </c>
      <c r="B284" s="1" t="n">
        <v>44602.48082175926</v>
      </c>
      <c r="C284" s="1" t="n">
        <v>46127</v>
      </c>
      <c r="D284" t="inlineStr">
        <is>
          <t>ÖREBRO LÄN</t>
        </is>
      </c>
      <c r="E284" t="inlineStr">
        <is>
          <t>ÖREBRO</t>
        </is>
      </c>
      <c r="G284" t="n">
        <v>3.1</v>
      </c>
      <c r="H284" t="n">
        <v>0</v>
      </c>
      <c r="I284" t="n">
        <v>0</v>
      </c>
      <c r="J284" t="n">
        <v>0</v>
      </c>
      <c r="K284" t="n">
        <v>0</v>
      </c>
      <c r="L284" t="n">
        <v>0</v>
      </c>
      <c r="M284" t="n">
        <v>0</v>
      </c>
      <c r="N284" t="n">
        <v>0</v>
      </c>
      <c r="O284" t="n">
        <v>0</v>
      </c>
      <c r="P284" t="n">
        <v>0</v>
      </c>
      <c r="Q284" t="n">
        <v>0</v>
      </c>
      <c r="R284" s="2" t="inlineStr"/>
    </row>
    <row r="285" ht="15" customHeight="1">
      <c r="A285" t="inlineStr">
        <is>
          <t>A 58587-2025</t>
        </is>
      </c>
      <c r="B285" s="1" t="n">
        <v>45986.40208333333</v>
      </c>
      <c r="C285" s="1" t="n">
        <v>46127</v>
      </c>
      <c r="D285" t="inlineStr">
        <is>
          <t>ÖREBRO LÄN</t>
        </is>
      </c>
      <c r="E285" t="inlineStr">
        <is>
          <t>ÖREBRO</t>
        </is>
      </c>
      <c r="G285" t="n">
        <v>1.6</v>
      </c>
      <c r="H285" t="n">
        <v>0</v>
      </c>
      <c r="I285" t="n">
        <v>0</v>
      </c>
      <c r="J285" t="n">
        <v>0</v>
      </c>
      <c r="K285" t="n">
        <v>0</v>
      </c>
      <c r="L285" t="n">
        <v>0</v>
      </c>
      <c r="M285" t="n">
        <v>0</v>
      </c>
      <c r="N285" t="n">
        <v>0</v>
      </c>
      <c r="O285" t="n">
        <v>0</v>
      </c>
      <c r="P285" t="n">
        <v>0</v>
      </c>
      <c r="Q285" t="n">
        <v>0</v>
      </c>
      <c r="R285" s="2" t="inlineStr"/>
    </row>
    <row r="286" ht="15" customHeight="1">
      <c r="A286" t="inlineStr">
        <is>
          <t>A 33191-2025</t>
        </is>
      </c>
      <c r="B286" s="1" t="n">
        <v>45840.6003587963</v>
      </c>
      <c r="C286" s="1" t="n">
        <v>46127</v>
      </c>
      <c r="D286" t="inlineStr">
        <is>
          <t>ÖREBRO LÄN</t>
        </is>
      </c>
      <c r="E286" t="inlineStr">
        <is>
          <t>ÖREBRO</t>
        </is>
      </c>
      <c r="G286" t="n">
        <v>2.6</v>
      </c>
      <c r="H286" t="n">
        <v>0</v>
      </c>
      <c r="I286" t="n">
        <v>0</v>
      </c>
      <c r="J286" t="n">
        <v>0</v>
      </c>
      <c r="K286" t="n">
        <v>0</v>
      </c>
      <c r="L286" t="n">
        <v>0</v>
      </c>
      <c r="M286" t="n">
        <v>0</v>
      </c>
      <c r="N286" t="n">
        <v>0</v>
      </c>
      <c r="O286" t="n">
        <v>0</v>
      </c>
      <c r="P286" t="n">
        <v>0</v>
      </c>
      <c r="Q286" t="n">
        <v>0</v>
      </c>
      <c r="R286" s="2" t="inlineStr"/>
    </row>
    <row r="287" ht="15" customHeight="1">
      <c r="A287" t="inlineStr">
        <is>
          <t>A 57867-2024</t>
        </is>
      </c>
      <c r="B287" s="1" t="n">
        <v>45631.43864583333</v>
      </c>
      <c r="C287" s="1" t="n">
        <v>46127</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13355-2023</t>
        </is>
      </c>
      <c r="B288" s="1" t="n">
        <v>45004</v>
      </c>
      <c r="C288" s="1" t="n">
        <v>46127</v>
      </c>
      <c r="D288" t="inlineStr">
        <is>
          <t>ÖREBRO LÄN</t>
        </is>
      </c>
      <c r="E288" t="inlineStr">
        <is>
          <t>ÖREBRO</t>
        </is>
      </c>
      <c r="G288" t="n">
        <v>2.3</v>
      </c>
      <c r="H288" t="n">
        <v>0</v>
      </c>
      <c r="I288" t="n">
        <v>0</v>
      </c>
      <c r="J288" t="n">
        <v>0</v>
      </c>
      <c r="K288" t="n">
        <v>0</v>
      </c>
      <c r="L288" t="n">
        <v>0</v>
      </c>
      <c r="M288" t="n">
        <v>0</v>
      </c>
      <c r="N288" t="n">
        <v>0</v>
      </c>
      <c r="O288" t="n">
        <v>0</v>
      </c>
      <c r="P288" t="n">
        <v>0</v>
      </c>
      <c r="Q288" t="n">
        <v>0</v>
      </c>
      <c r="R288" s="2" t="inlineStr"/>
    </row>
    <row r="289" ht="15" customHeight="1">
      <c r="A289" t="inlineStr">
        <is>
          <t>A 11663-2024</t>
        </is>
      </c>
      <c r="B289" s="1" t="n">
        <v>45373</v>
      </c>
      <c r="C289" s="1" t="n">
        <v>46127</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14544-2023</t>
        </is>
      </c>
      <c r="B290" s="1" t="n">
        <v>45013</v>
      </c>
      <c r="C290" s="1" t="n">
        <v>46127</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71272-2021</t>
        </is>
      </c>
      <c r="B291" s="1" t="n">
        <v>44539.61571759259</v>
      </c>
      <c r="C291" s="1" t="n">
        <v>46127</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48454-2025</t>
        </is>
      </c>
      <c r="B292" s="1" t="n">
        <v>45935.80164351852</v>
      </c>
      <c r="C292" s="1" t="n">
        <v>46127</v>
      </c>
      <c r="D292" t="inlineStr">
        <is>
          <t>ÖREBRO LÄN</t>
        </is>
      </c>
      <c r="E292" t="inlineStr">
        <is>
          <t>ÖREBRO</t>
        </is>
      </c>
      <c r="F292" t="inlineStr">
        <is>
          <t>Övriga Aktiebolag</t>
        </is>
      </c>
      <c r="G292" t="n">
        <v>18.1</v>
      </c>
      <c r="H292" t="n">
        <v>0</v>
      </c>
      <c r="I292" t="n">
        <v>0</v>
      </c>
      <c r="J292" t="n">
        <v>0</v>
      </c>
      <c r="K292" t="n">
        <v>0</v>
      </c>
      <c r="L292" t="n">
        <v>0</v>
      </c>
      <c r="M292" t="n">
        <v>0</v>
      </c>
      <c r="N292" t="n">
        <v>0</v>
      </c>
      <c r="O292" t="n">
        <v>0</v>
      </c>
      <c r="P292" t="n">
        <v>0</v>
      </c>
      <c r="Q292" t="n">
        <v>0</v>
      </c>
      <c r="R292" s="2" t="inlineStr"/>
    </row>
    <row r="293" ht="15" customHeight="1">
      <c r="A293" t="inlineStr">
        <is>
          <t>A 59312-2025</t>
        </is>
      </c>
      <c r="B293" s="1" t="n">
        <v>45989.30467592592</v>
      </c>
      <c r="C293" s="1" t="n">
        <v>46127</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3120-2022</t>
        </is>
      </c>
      <c r="B294" s="1" t="n">
        <v>44582</v>
      </c>
      <c r="C294" s="1" t="n">
        <v>46127</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19388-2024</t>
        </is>
      </c>
      <c r="B295" s="1" t="n">
        <v>45429.37775462963</v>
      </c>
      <c r="C295" s="1" t="n">
        <v>46127</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59313-2025</t>
        </is>
      </c>
      <c r="B296" s="1" t="n">
        <v>45989.30920138889</v>
      </c>
      <c r="C296" s="1" t="n">
        <v>46127</v>
      </c>
      <c r="D296" t="inlineStr">
        <is>
          <t>ÖREBRO LÄN</t>
        </is>
      </c>
      <c r="E296" t="inlineStr">
        <is>
          <t>ÖREBRO</t>
        </is>
      </c>
      <c r="G296" t="n">
        <v>1.6</v>
      </c>
      <c r="H296" t="n">
        <v>0</v>
      </c>
      <c r="I296" t="n">
        <v>0</v>
      </c>
      <c r="J296" t="n">
        <v>0</v>
      </c>
      <c r="K296" t="n">
        <v>0</v>
      </c>
      <c r="L296" t="n">
        <v>0</v>
      </c>
      <c r="M296" t="n">
        <v>0</v>
      </c>
      <c r="N296" t="n">
        <v>0</v>
      </c>
      <c r="O296" t="n">
        <v>0</v>
      </c>
      <c r="P296" t="n">
        <v>0</v>
      </c>
      <c r="Q296" t="n">
        <v>0</v>
      </c>
      <c r="R296" s="2" t="inlineStr"/>
    </row>
    <row r="297" ht="15" customHeight="1">
      <c r="A297" t="inlineStr">
        <is>
          <t>A 59145-2025</t>
        </is>
      </c>
      <c r="B297" s="1" t="n">
        <v>45988.52015046297</v>
      </c>
      <c r="C297" s="1" t="n">
        <v>46127</v>
      </c>
      <c r="D297" t="inlineStr">
        <is>
          <t>ÖREBRO LÄN</t>
        </is>
      </c>
      <c r="E297" t="inlineStr">
        <is>
          <t>ÖREBRO</t>
        </is>
      </c>
      <c r="G297" t="n">
        <v>0.8</v>
      </c>
      <c r="H297" t="n">
        <v>0</v>
      </c>
      <c r="I297" t="n">
        <v>0</v>
      </c>
      <c r="J297" t="n">
        <v>0</v>
      </c>
      <c r="K297" t="n">
        <v>0</v>
      </c>
      <c r="L297" t="n">
        <v>0</v>
      </c>
      <c r="M297" t="n">
        <v>0</v>
      </c>
      <c r="N297" t="n">
        <v>0</v>
      </c>
      <c r="O297" t="n">
        <v>0</v>
      </c>
      <c r="P297" t="n">
        <v>0</v>
      </c>
      <c r="Q297" t="n">
        <v>0</v>
      </c>
      <c r="R297" s="2" t="inlineStr"/>
    </row>
    <row r="298" ht="15" customHeight="1">
      <c r="A298" t="inlineStr">
        <is>
          <t>A 40597-2021</t>
        </is>
      </c>
      <c r="B298" s="1" t="n">
        <v>44420</v>
      </c>
      <c r="C298" s="1" t="n">
        <v>46127</v>
      </c>
      <c r="D298" t="inlineStr">
        <is>
          <t>ÖREBRO LÄN</t>
        </is>
      </c>
      <c r="E298" t="inlineStr">
        <is>
          <t>ÖREBRO</t>
        </is>
      </c>
      <c r="G298" t="n">
        <v>2.1</v>
      </c>
      <c r="H298" t="n">
        <v>0</v>
      </c>
      <c r="I298" t="n">
        <v>0</v>
      </c>
      <c r="J298" t="n">
        <v>0</v>
      </c>
      <c r="K298" t="n">
        <v>0</v>
      </c>
      <c r="L298" t="n">
        <v>0</v>
      </c>
      <c r="M298" t="n">
        <v>0</v>
      </c>
      <c r="N298" t="n">
        <v>0</v>
      </c>
      <c r="O298" t="n">
        <v>0</v>
      </c>
      <c r="P298" t="n">
        <v>0</v>
      </c>
      <c r="Q298" t="n">
        <v>0</v>
      </c>
      <c r="R298" s="2" t="inlineStr"/>
    </row>
    <row r="299" ht="15" customHeight="1">
      <c r="A299" t="inlineStr">
        <is>
          <t>A 48687-2024</t>
        </is>
      </c>
      <c r="B299" s="1" t="n">
        <v>45593.49899305555</v>
      </c>
      <c r="C299" s="1" t="n">
        <v>46127</v>
      </c>
      <c r="D299" t="inlineStr">
        <is>
          <t>ÖREBRO LÄN</t>
        </is>
      </c>
      <c r="E299" t="inlineStr">
        <is>
          <t>ÖREBRO</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59857-2025</t>
        </is>
      </c>
      <c r="B300" s="1" t="n">
        <v>45992.75820601852</v>
      </c>
      <c r="C300" s="1" t="n">
        <v>46127</v>
      </c>
      <c r="D300" t="inlineStr">
        <is>
          <t>ÖREBRO LÄN</t>
        </is>
      </c>
      <c r="E300" t="inlineStr">
        <is>
          <t>ÖREBRO</t>
        </is>
      </c>
      <c r="G300" t="n">
        <v>1.7</v>
      </c>
      <c r="H300" t="n">
        <v>0</v>
      </c>
      <c r="I300" t="n">
        <v>0</v>
      </c>
      <c r="J300" t="n">
        <v>0</v>
      </c>
      <c r="K300" t="n">
        <v>0</v>
      </c>
      <c r="L300" t="n">
        <v>0</v>
      </c>
      <c r="M300" t="n">
        <v>0</v>
      </c>
      <c r="N300" t="n">
        <v>0</v>
      </c>
      <c r="O300" t="n">
        <v>0</v>
      </c>
      <c r="P300" t="n">
        <v>0</v>
      </c>
      <c r="Q300" t="n">
        <v>0</v>
      </c>
      <c r="R300" s="2" t="inlineStr"/>
    </row>
    <row r="301" ht="15" customHeight="1">
      <c r="A301" t="inlineStr">
        <is>
          <t>A 2318-2023</t>
        </is>
      </c>
      <c r="B301" s="1" t="n">
        <v>44942</v>
      </c>
      <c r="C301" s="1" t="n">
        <v>46127</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59938-2025</t>
        </is>
      </c>
      <c r="B302" s="1" t="n">
        <v>45993.42108796296</v>
      </c>
      <c r="C302" s="1" t="n">
        <v>46127</v>
      </c>
      <c r="D302" t="inlineStr">
        <is>
          <t>ÖREBRO LÄN</t>
        </is>
      </c>
      <c r="E302" t="inlineStr">
        <is>
          <t>ÖREBRO</t>
        </is>
      </c>
      <c r="G302" t="n">
        <v>1.5</v>
      </c>
      <c r="H302" t="n">
        <v>0</v>
      </c>
      <c r="I302" t="n">
        <v>0</v>
      </c>
      <c r="J302" t="n">
        <v>0</v>
      </c>
      <c r="K302" t="n">
        <v>0</v>
      </c>
      <c r="L302" t="n">
        <v>0</v>
      </c>
      <c r="M302" t="n">
        <v>0</v>
      </c>
      <c r="N302" t="n">
        <v>0</v>
      </c>
      <c r="O302" t="n">
        <v>0</v>
      </c>
      <c r="P302" t="n">
        <v>0</v>
      </c>
      <c r="Q302" t="n">
        <v>0</v>
      </c>
      <c r="R302" s="2" t="inlineStr"/>
    </row>
    <row r="303" ht="15" customHeight="1">
      <c r="A303" t="inlineStr">
        <is>
          <t>A 20121-2024</t>
        </is>
      </c>
      <c r="B303" s="1" t="n">
        <v>45434</v>
      </c>
      <c r="C303" s="1" t="n">
        <v>46127</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20150-2024</t>
        </is>
      </c>
      <c r="B304" s="1" t="n">
        <v>45434.57969907407</v>
      </c>
      <c r="C304" s="1" t="n">
        <v>46127</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59856-2025</t>
        </is>
      </c>
      <c r="B305" s="1" t="n">
        <v>45992.74891203704</v>
      </c>
      <c r="C305" s="1" t="n">
        <v>46127</v>
      </c>
      <c r="D305" t="inlineStr">
        <is>
          <t>ÖREBRO LÄN</t>
        </is>
      </c>
      <c r="E305" t="inlineStr">
        <is>
          <t>ÖREBRO</t>
        </is>
      </c>
      <c r="G305" t="n">
        <v>1.2</v>
      </c>
      <c r="H305" t="n">
        <v>0</v>
      </c>
      <c r="I305" t="n">
        <v>0</v>
      </c>
      <c r="J305" t="n">
        <v>0</v>
      </c>
      <c r="K305" t="n">
        <v>0</v>
      </c>
      <c r="L305" t="n">
        <v>0</v>
      </c>
      <c r="M305" t="n">
        <v>0</v>
      </c>
      <c r="N305" t="n">
        <v>0</v>
      </c>
      <c r="O305" t="n">
        <v>0</v>
      </c>
      <c r="P305" t="n">
        <v>0</v>
      </c>
      <c r="Q305" t="n">
        <v>0</v>
      </c>
      <c r="R305" s="2" t="inlineStr"/>
    </row>
    <row r="306" ht="15" customHeight="1">
      <c r="A306" t="inlineStr">
        <is>
          <t>A 767-2024</t>
        </is>
      </c>
      <c r="B306" s="1" t="n">
        <v>45300.51892361111</v>
      </c>
      <c r="C306" s="1" t="n">
        <v>46127</v>
      </c>
      <c r="D306" t="inlineStr">
        <is>
          <t>ÖREBRO LÄN</t>
        </is>
      </c>
      <c r="E306" t="inlineStr">
        <is>
          <t>ÖREBRO</t>
        </is>
      </c>
      <c r="G306" t="n">
        <v>2</v>
      </c>
      <c r="H306" t="n">
        <v>0</v>
      </c>
      <c r="I306" t="n">
        <v>0</v>
      </c>
      <c r="J306" t="n">
        <v>0</v>
      </c>
      <c r="K306" t="n">
        <v>0</v>
      </c>
      <c r="L306" t="n">
        <v>0</v>
      </c>
      <c r="M306" t="n">
        <v>0</v>
      </c>
      <c r="N306" t="n">
        <v>0</v>
      </c>
      <c r="O306" t="n">
        <v>0</v>
      </c>
      <c r="P306" t="n">
        <v>0</v>
      </c>
      <c r="Q306" t="n">
        <v>0</v>
      </c>
      <c r="R306" s="2" t="inlineStr"/>
    </row>
    <row r="307" ht="15" customHeight="1">
      <c r="A307" t="inlineStr">
        <is>
          <t>A 59860-2025</t>
        </is>
      </c>
      <c r="B307" s="1" t="n">
        <v>45992.78351851852</v>
      </c>
      <c r="C307" s="1" t="n">
        <v>46127</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59858-2025</t>
        </is>
      </c>
      <c r="B308" s="1" t="n">
        <v>45992.76758101852</v>
      </c>
      <c r="C308" s="1" t="n">
        <v>46127</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59859-2025</t>
        </is>
      </c>
      <c r="B309" s="1" t="n">
        <v>45992.7803125</v>
      </c>
      <c r="C309" s="1" t="n">
        <v>46127</v>
      </c>
      <c r="D309" t="inlineStr">
        <is>
          <t>ÖREBRO LÄN</t>
        </is>
      </c>
      <c r="E309" t="inlineStr">
        <is>
          <t>ÖREBRO</t>
        </is>
      </c>
      <c r="G309" t="n">
        <v>0.4</v>
      </c>
      <c r="H309" t="n">
        <v>0</v>
      </c>
      <c r="I309" t="n">
        <v>0</v>
      </c>
      <c r="J309" t="n">
        <v>0</v>
      </c>
      <c r="K309" t="n">
        <v>0</v>
      </c>
      <c r="L309" t="n">
        <v>0</v>
      </c>
      <c r="M309" t="n">
        <v>0</v>
      </c>
      <c r="N309" t="n">
        <v>0</v>
      </c>
      <c r="O309" t="n">
        <v>0</v>
      </c>
      <c r="P309" t="n">
        <v>0</v>
      </c>
      <c r="Q309" t="n">
        <v>0</v>
      </c>
      <c r="R309" s="2" t="inlineStr"/>
    </row>
    <row r="310" ht="15" customHeight="1">
      <c r="A310" t="inlineStr">
        <is>
          <t>A 59937-2025</t>
        </is>
      </c>
      <c r="B310" s="1" t="n">
        <v>45993.41934027777</v>
      </c>
      <c r="C310" s="1" t="n">
        <v>46127</v>
      </c>
      <c r="D310" t="inlineStr">
        <is>
          <t>ÖREBRO LÄN</t>
        </is>
      </c>
      <c r="E310" t="inlineStr">
        <is>
          <t>ÖREBRO</t>
        </is>
      </c>
      <c r="G310" t="n">
        <v>1.3</v>
      </c>
      <c r="H310" t="n">
        <v>0</v>
      </c>
      <c r="I310" t="n">
        <v>0</v>
      </c>
      <c r="J310" t="n">
        <v>0</v>
      </c>
      <c r="K310" t="n">
        <v>0</v>
      </c>
      <c r="L310" t="n">
        <v>0</v>
      </c>
      <c r="M310" t="n">
        <v>0</v>
      </c>
      <c r="N310" t="n">
        <v>0</v>
      </c>
      <c r="O310" t="n">
        <v>0</v>
      </c>
      <c r="P310" t="n">
        <v>0</v>
      </c>
      <c r="Q310" t="n">
        <v>0</v>
      </c>
      <c r="R310" s="2" t="inlineStr"/>
    </row>
    <row r="311" ht="15" customHeight="1">
      <c r="A311" t="inlineStr">
        <is>
          <t>A 52441-2024</t>
        </is>
      </c>
      <c r="B311" s="1" t="n">
        <v>45609.48451388889</v>
      </c>
      <c r="C311" s="1" t="n">
        <v>46127</v>
      </c>
      <c r="D311" t="inlineStr">
        <is>
          <t>ÖREBRO LÄN</t>
        </is>
      </c>
      <c r="E311" t="inlineStr">
        <is>
          <t>ÖREBRO</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58611-2024</t>
        </is>
      </c>
      <c r="B312" s="1" t="n">
        <v>45635.55555555555</v>
      </c>
      <c r="C312" s="1" t="n">
        <v>46127</v>
      </c>
      <c r="D312" t="inlineStr">
        <is>
          <t>ÖREBRO LÄN</t>
        </is>
      </c>
      <c r="E312" t="inlineStr">
        <is>
          <t>ÖREBRO</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35062-2025</t>
        </is>
      </c>
      <c r="B313" s="1" t="n">
        <v>45852</v>
      </c>
      <c r="C313" s="1" t="n">
        <v>46127</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50311-2025</t>
        </is>
      </c>
      <c r="B314" s="1" t="n">
        <v>45944</v>
      </c>
      <c r="C314" s="1" t="n">
        <v>46127</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60551-2025</t>
        </is>
      </c>
      <c r="B315" s="1" t="n">
        <v>45995</v>
      </c>
      <c r="C315" s="1" t="n">
        <v>46127</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38075-2022</t>
        </is>
      </c>
      <c r="B316" s="1" t="n">
        <v>44811</v>
      </c>
      <c r="C316" s="1" t="n">
        <v>46127</v>
      </c>
      <c r="D316" t="inlineStr">
        <is>
          <t>ÖREBRO LÄN</t>
        </is>
      </c>
      <c r="E316" t="inlineStr">
        <is>
          <t>ÖREBRO</t>
        </is>
      </c>
      <c r="G316" t="n">
        <v>0.2</v>
      </c>
      <c r="H316" t="n">
        <v>0</v>
      </c>
      <c r="I316" t="n">
        <v>0</v>
      </c>
      <c r="J316" t="n">
        <v>0</v>
      </c>
      <c r="K316" t="n">
        <v>0</v>
      </c>
      <c r="L316" t="n">
        <v>0</v>
      </c>
      <c r="M316" t="n">
        <v>0</v>
      </c>
      <c r="N316" t="n">
        <v>0</v>
      </c>
      <c r="O316" t="n">
        <v>0</v>
      </c>
      <c r="P316" t="n">
        <v>0</v>
      </c>
      <c r="Q316" t="n">
        <v>0</v>
      </c>
      <c r="R316" s="2" t="inlineStr"/>
    </row>
    <row r="317" ht="15" customHeight="1">
      <c r="A317" t="inlineStr">
        <is>
          <t>A 19831-2021</t>
        </is>
      </c>
      <c r="B317" s="1" t="n">
        <v>44313</v>
      </c>
      <c r="C317" s="1" t="n">
        <v>46127</v>
      </c>
      <c r="D317" t="inlineStr">
        <is>
          <t>ÖREBRO LÄN</t>
        </is>
      </c>
      <c r="E317" t="inlineStr">
        <is>
          <t>ÖREBRO</t>
        </is>
      </c>
      <c r="G317" t="n">
        <v>3.2</v>
      </c>
      <c r="H317" t="n">
        <v>0</v>
      </c>
      <c r="I317" t="n">
        <v>0</v>
      </c>
      <c r="J317" t="n">
        <v>0</v>
      </c>
      <c r="K317" t="n">
        <v>0</v>
      </c>
      <c r="L317" t="n">
        <v>0</v>
      </c>
      <c r="M317" t="n">
        <v>0</v>
      </c>
      <c r="N317" t="n">
        <v>0</v>
      </c>
      <c r="O317" t="n">
        <v>0</v>
      </c>
      <c r="P317" t="n">
        <v>0</v>
      </c>
      <c r="Q317" t="n">
        <v>0</v>
      </c>
      <c r="R317" s="2" t="inlineStr"/>
    </row>
    <row r="318" ht="15" customHeight="1">
      <c r="A318" t="inlineStr">
        <is>
          <t>A 5133-2024</t>
        </is>
      </c>
      <c r="B318" s="1" t="n">
        <v>45330</v>
      </c>
      <c r="C318" s="1" t="n">
        <v>46127</v>
      </c>
      <c r="D318" t="inlineStr">
        <is>
          <t>ÖREBRO LÄN</t>
        </is>
      </c>
      <c r="E318" t="inlineStr">
        <is>
          <t>ÖREBRO</t>
        </is>
      </c>
      <c r="G318" t="n">
        <v>0.5</v>
      </c>
      <c r="H318" t="n">
        <v>0</v>
      </c>
      <c r="I318" t="n">
        <v>0</v>
      </c>
      <c r="J318" t="n">
        <v>0</v>
      </c>
      <c r="K318" t="n">
        <v>0</v>
      </c>
      <c r="L318" t="n">
        <v>0</v>
      </c>
      <c r="M318" t="n">
        <v>0</v>
      </c>
      <c r="N318" t="n">
        <v>0</v>
      </c>
      <c r="O318" t="n">
        <v>0</v>
      </c>
      <c r="P318" t="n">
        <v>0</v>
      </c>
      <c r="Q318" t="n">
        <v>0</v>
      </c>
      <c r="R318" s="2" t="inlineStr"/>
    </row>
    <row r="319" ht="15" customHeight="1">
      <c r="A319" t="inlineStr">
        <is>
          <t>A 28821-2025</t>
        </is>
      </c>
      <c r="B319" s="1" t="n">
        <v>45820</v>
      </c>
      <c r="C319" s="1" t="n">
        <v>46127</v>
      </c>
      <c r="D319" t="inlineStr">
        <is>
          <t>ÖREBRO LÄN</t>
        </is>
      </c>
      <c r="E319" t="inlineStr">
        <is>
          <t>ÖREBRO</t>
        </is>
      </c>
      <c r="G319" t="n">
        <v>12.6</v>
      </c>
      <c r="H319" t="n">
        <v>0</v>
      </c>
      <c r="I319" t="n">
        <v>0</v>
      </c>
      <c r="J319" t="n">
        <v>0</v>
      </c>
      <c r="K319" t="n">
        <v>0</v>
      </c>
      <c r="L319" t="n">
        <v>0</v>
      </c>
      <c r="M319" t="n">
        <v>0</v>
      </c>
      <c r="N319" t="n">
        <v>0</v>
      </c>
      <c r="O319" t="n">
        <v>0</v>
      </c>
      <c r="P319" t="n">
        <v>0</v>
      </c>
      <c r="Q319" t="n">
        <v>0</v>
      </c>
      <c r="R319" s="2" t="inlineStr"/>
    </row>
    <row r="320" ht="15" customHeight="1">
      <c r="A320" t="inlineStr">
        <is>
          <t>A 58219-2024</t>
        </is>
      </c>
      <c r="B320" s="1" t="n">
        <v>45632</v>
      </c>
      <c r="C320" s="1" t="n">
        <v>46127</v>
      </c>
      <c r="D320" t="inlineStr">
        <is>
          <t>ÖREBRO LÄN</t>
        </is>
      </c>
      <c r="E320" t="inlineStr">
        <is>
          <t>ÖREBRO</t>
        </is>
      </c>
      <c r="G320" t="n">
        <v>1.1</v>
      </c>
      <c r="H320" t="n">
        <v>0</v>
      </c>
      <c r="I320" t="n">
        <v>0</v>
      </c>
      <c r="J320" t="n">
        <v>0</v>
      </c>
      <c r="K320" t="n">
        <v>0</v>
      </c>
      <c r="L320" t="n">
        <v>0</v>
      </c>
      <c r="M320" t="n">
        <v>0</v>
      </c>
      <c r="N320" t="n">
        <v>0</v>
      </c>
      <c r="O320" t="n">
        <v>0</v>
      </c>
      <c r="P320" t="n">
        <v>0</v>
      </c>
      <c r="Q320" t="n">
        <v>0</v>
      </c>
      <c r="R320" s="2" t="inlineStr"/>
    </row>
    <row r="321" ht="15" customHeight="1">
      <c r="A321" t="inlineStr">
        <is>
          <t>A 35637-2025</t>
        </is>
      </c>
      <c r="B321" s="1" t="n">
        <v>45859.46859953704</v>
      </c>
      <c r="C321" s="1" t="n">
        <v>46127</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52477-2024</t>
        </is>
      </c>
      <c r="B322" s="1" t="n">
        <v>45609</v>
      </c>
      <c r="C322" s="1" t="n">
        <v>46127</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35928-2025</t>
        </is>
      </c>
      <c r="B323" s="1" t="n">
        <v>45862</v>
      </c>
      <c r="C323" s="1" t="n">
        <v>46127</v>
      </c>
      <c r="D323" t="inlineStr">
        <is>
          <t>ÖREBRO LÄN</t>
        </is>
      </c>
      <c r="E323" t="inlineStr">
        <is>
          <t>ÖREBRO</t>
        </is>
      </c>
      <c r="G323" t="n">
        <v>4.4</v>
      </c>
      <c r="H323" t="n">
        <v>0</v>
      </c>
      <c r="I323" t="n">
        <v>0</v>
      </c>
      <c r="J323" t="n">
        <v>0</v>
      </c>
      <c r="K323" t="n">
        <v>0</v>
      </c>
      <c r="L323" t="n">
        <v>0</v>
      </c>
      <c r="M323" t="n">
        <v>0</v>
      </c>
      <c r="N323" t="n">
        <v>0</v>
      </c>
      <c r="O323" t="n">
        <v>0</v>
      </c>
      <c r="P323" t="n">
        <v>0</v>
      </c>
      <c r="Q323" t="n">
        <v>0</v>
      </c>
      <c r="R323" s="2" t="inlineStr"/>
    </row>
    <row r="324" ht="15" customHeight="1">
      <c r="A324" t="inlineStr">
        <is>
          <t>A 51248-2025</t>
        </is>
      </c>
      <c r="B324" s="1" t="n">
        <v>45948.450625</v>
      </c>
      <c r="C324" s="1" t="n">
        <v>46127</v>
      </c>
      <c r="D324" t="inlineStr">
        <is>
          <t>ÖREBRO LÄN</t>
        </is>
      </c>
      <c r="E324" t="inlineStr">
        <is>
          <t>ÖREBRO</t>
        </is>
      </c>
      <c r="G324" t="n">
        <v>4.4</v>
      </c>
      <c r="H324" t="n">
        <v>0</v>
      </c>
      <c r="I324" t="n">
        <v>0</v>
      </c>
      <c r="J324" t="n">
        <v>0</v>
      </c>
      <c r="K324" t="n">
        <v>0</v>
      </c>
      <c r="L324" t="n">
        <v>0</v>
      </c>
      <c r="M324" t="n">
        <v>0</v>
      </c>
      <c r="N324" t="n">
        <v>0</v>
      </c>
      <c r="O324" t="n">
        <v>0</v>
      </c>
      <c r="P324" t="n">
        <v>0</v>
      </c>
      <c r="Q324" t="n">
        <v>0</v>
      </c>
      <c r="R324" s="2" t="inlineStr"/>
    </row>
    <row r="325" ht="15" customHeight="1">
      <c r="A325" t="inlineStr">
        <is>
          <t>A 4284-2025</t>
        </is>
      </c>
      <c r="B325" s="1" t="n">
        <v>45685</v>
      </c>
      <c r="C325" s="1" t="n">
        <v>46127</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2771-2023</t>
        </is>
      </c>
      <c r="B326" s="1" t="n">
        <v>44944.64704861111</v>
      </c>
      <c r="C326" s="1" t="n">
        <v>46127</v>
      </c>
      <c r="D326" t="inlineStr">
        <is>
          <t>ÖREBRO LÄN</t>
        </is>
      </c>
      <c r="E326" t="inlineStr">
        <is>
          <t>ÖREBRO</t>
        </is>
      </c>
      <c r="G326" t="n">
        <v>15.4</v>
      </c>
      <c r="H326" t="n">
        <v>0</v>
      </c>
      <c r="I326" t="n">
        <v>0</v>
      </c>
      <c r="J326" t="n">
        <v>0</v>
      </c>
      <c r="K326" t="n">
        <v>0</v>
      </c>
      <c r="L326" t="n">
        <v>0</v>
      </c>
      <c r="M326" t="n">
        <v>0</v>
      </c>
      <c r="N326" t="n">
        <v>0</v>
      </c>
      <c r="O326" t="n">
        <v>0</v>
      </c>
      <c r="P326" t="n">
        <v>0</v>
      </c>
      <c r="Q326" t="n">
        <v>0</v>
      </c>
      <c r="R326" s="2" t="inlineStr"/>
    </row>
    <row r="327" ht="15" customHeight="1">
      <c r="A327" t="inlineStr">
        <is>
          <t>A 32025-2024</t>
        </is>
      </c>
      <c r="B327" s="1" t="n">
        <v>45510.65754629629</v>
      </c>
      <c r="C327" s="1" t="n">
        <v>46127</v>
      </c>
      <c r="D327" t="inlineStr">
        <is>
          <t>ÖREBRO LÄN</t>
        </is>
      </c>
      <c r="E327" t="inlineStr">
        <is>
          <t>ÖREBRO</t>
        </is>
      </c>
      <c r="G327" t="n">
        <v>4</v>
      </c>
      <c r="H327" t="n">
        <v>0</v>
      </c>
      <c r="I327" t="n">
        <v>0</v>
      </c>
      <c r="J327" t="n">
        <v>0</v>
      </c>
      <c r="K327" t="n">
        <v>0</v>
      </c>
      <c r="L327" t="n">
        <v>0</v>
      </c>
      <c r="M327" t="n">
        <v>0</v>
      </c>
      <c r="N327" t="n">
        <v>0</v>
      </c>
      <c r="O327" t="n">
        <v>0</v>
      </c>
      <c r="P327" t="n">
        <v>0</v>
      </c>
      <c r="Q327" t="n">
        <v>0</v>
      </c>
      <c r="R327" s="2" t="inlineStr"/>
    </row>
    <row r="328" ht="15" customHeight="1">
      <c r="A328" t="inlineStr">
        <is>
          <t>A 2076-2025</t>
        </is>
      </c>
      <c r="B328" s="1" t="n">
        <v>45672</v>
      </c>
      <c r="C328" s="1" t="n">
        <v>46127</v>
      </c>
      <c r="D328" t="inlineStr">
        <is>
          <t>ÖREBRO LÄN</t>
        </is>
      </c>
      <c r="E328" t="inlineStr">
        <is>
          <t>ÖREBRO</t>
        </is>
      </c>
      <c r="G328" t="n">
        <v>1</v>
      </c>
      <c r="H328" t="n">
        <v>0</v>
      </c>
      <c r="I328" t="n">
        <v>0</v>
      </c>
      <c r="J328" t="n">
        <v>0</v>
      </c>
      <c r="K328" t="n">
        <v>0</v>
      </c>
      <c r="L328" t="n">
        <v>0</v>
      </c>
      <c r="M328" t="n">
        <v>0</v>
      </c>
      <c r="N328" t="n">
        <v>0</v>
      </c>
      <c r="O328" t="n">
        <v>0</v>
      </c>
      <c r="P328" t="n">
        <v>0</v>
      </c>
      <c r="Q328" t="n">
        <v>0</v>
      </c>
      <c r="R328" s="2" t="inlineStr"/>
    </row>
    <row r="329" ht="15" customHeight="1">
      <c r="A329" t="inlineStr">
        <is>
          <t>A 51249-2025</t>
        </is>
      </c>
      <c r="B329" s="1" t="n">
        <v>45948.45704861111</v>
      </c>
      <c r="C329" s="1" t="n">
        <v>46127</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55453-2024</t>
        </is>
      </c>
      <c r="B330" s="1" t="n">
        <v>45622.42097222222</v>
      </c>
      <c r="C330" s="1" t="n">
        <v>46127</v>
      </c>
      <c r="D330" t="inlineStr">
        <is>
          <t>ÖREBRO LÄN</t>
        </is>
      </c>
      <c r="E330" t="inlineStr">
        <is>
          <t>ÖREBRO</t>
        </is>
      </c>
      <c r="G330" t="n">
        <v>8.5</v>
      </c>
      <c r="H330" t="n">
        <v>0</v>
      </c>
      <c r="I330" t="n">
        <v>0</v>
      </c>
      <c r="J330" t="n">
        <v>0</v>
      </c>
      <c r="K330" t="n">
        <v>0</v>
      </c>
      <c r="L330" t="n">
        <v>0</v>
      </c>
      <c r="M330" t="n">
        <v>0</v>
      </c>
      <c r="N330" t="n">
        <v>0</v>
      </c>
      <c r="O330" t="n">
        <v>0</v>
      </c>
      <c r="P330" t="n">
        <v>0</v>
      </c>
      <c r="Q330" t="n">
        <v>0</v>
      </c>
      <c r="R330" s="2" t="inlineStr"/>
    </row>
    <row r="331" ht="15" customHeight="1">
      <c r="A331" t="inlineStr">
        <is>
          <t>A 36448-2025</t>
        </is>
      </c>
      <c r="B331" s="1" t="n">
        <v>45869.41929398148</v>
      </c>
      <c r="C331" s="1" t="n">
        <v>46127</v>
      </c>
      <c r="D331" t="inlineStr">
        <is>
          <t>ÖREBRO LÄN</t>
        </is>
      </c>
      <c r="E331" t="inlineStr">
        <is>
          <t>ÖREBRO</t>
        </is>
      </c>
      <c r="F331" t="inlineStr">
        <is>
          <t>Övriga Aktiebolag</t>
        </is>
      </c>
      <c r="G331" t="n">
        <v>4.3</v>
      </c>
      <c r="H331" t="n">
        <v>0</v>
      </c>
      <c r="I331" t="n">
        <v>0</v>
      </c>
      <c r="J331" t="n">
        <v>0</v>
      </c>
      <c r="K331" t="n">
        <v>0</v>
      </c>
      <c r="L331" t="n">
        <v>0</v>
      </c>
      <c r="M331" t="n">
        <v>0</v>
      </c>
      <c r="N331" t="n">
        <v>0</v>
      </c>
      <c r="O331" t="n">
        <v>0</v>
      </c>
      <c r="P331" t="n">
        <v>0</v>
      </c>
      <c r="Q331" t="n">
        <v>0</v>
      </c>
      <c r="R331" s="2" t="inlineStr"/>
    </row>
    <row r="332" ht="15" customHeight="1">
      <c r="A332" t="inlineStr">
        <is>
          <t>A 36447-2025</t>
        </is>
      </c>
      <c r="B332" s="1" t="n">
        <v>45869.41387731482</v>
      </c>
      <c r="C332" s="1" t="n">
        <v>46127</v>
      </c>
      <c r="D332" t="inlineStr">
        <is>
          <t>ÖREBRO LÄN</t>
        </is>
      </c>
      <c r="E332" t="inlineStr">
        <is>
          <t>ÖREBRO</t>
        </is>
      </c>
      <c r="F332" t="inlineStr">
        <is>
          <t>Övriga Aktiebolag</t>
        </is>
      </c>
      <c r="G332" t="n">
        <v>12.6</v>
      </c>
      <c r="H332" t="n">
        <v>0</v>
      </c>
      <c r="I332" t="n">
        <v>0</v>
      </c>
      <c r="J332" t="n">
        <v>0</v>
      </c>
      <c r="K332" t="n">
        <v>0</v>
      </c>
      <c r="L332" t="n">
        <v>0</v>
      </c>
      <c r="M332" t="n">
        <v>0</v>
      </c>
      <c r="N332" t="n">
        <v>0</v>
      </c>
      <c r="O332" t="n">
        <v>0</v>
      </c>
      <c r="P332" t="n">
        <v>0</v>
      </c>
      <c r="Q332" t="n">
        <v>0</v>
      </c>
      <c r="R332" s="2" t="inlineStr"/>
    </row>
    <row r="333" ht="15" customHeight="1">
      <c r="A333" t="inlineStr">
        <is>
          <t>A 58216-2024</t>
        </is>
      </c>
      <c r="B333" s="1" t="n">
        <v>45632</v>
      </c>
      <c r="C333" s="1" t="n">
        <v>46127</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3763-2025</t>
        </is>
      </c>
      <c r="B334" s="1" t="n">
        <v>45681</v>
      </c>
      <c r="C334" s="1" t="n">
        <v>46127</v>
      </c>
      <c r="D334" t="inlineStr">
        <is>
          <t>ÖREBRO LÄN</t>
        </is>
      </c>
      <c r="E334" t="inlineStr">
        <is>
          <t>ÖREBRO</t>
        </is>
      </c>
      <c r="G334" t="n">
        <v>10.1</v>
      </c>
      <c r="H334" t="n">
        <v>0</v>
      </c>
      <c r="I334" t="n">
        <v>0</v>
      </c>
      <c r="J334" t="n">
        <v>0</v>
      </c>
      <c r="K334" t="n">
        <v>0</v>
      </c>
      <c r="L334" t="n">
        <v>0</v>
      </c>
      <c r="M334" t="n">
        <v>0</v>
      </c>
      <c r="N334" t="n">
        <v>0</v>
      </c>
      <c r="O334" t="n">
        <v>0</v>
      </c>
      <c r="P334" t="n">
        <v>0</v>
      </c>
      <c r="Q334" t="n">
        <v>0</v>
      </c>
      <c r="R334" s="2" t="inlineStr"/>
    </row>
    <row r="335" ht="15" customHeight="1">
      <c r="A335" t="inlineStr">
        <is>
          <t>A 52135-2025</t>
        </is>
      </c>
      <c r="B335" s="1" t="n">
        <v>45952.84231481481</v>
      </c>
      <c r="C335" s="1" t="n">
        <v>46127</v>
      </c>
      <c r="D335" t="inlineStr">
        <is>
          <t>ÖREBRO LÄN</t>
        </is>
      </c>
      <c r="E335" t="inlineStr">
        <is>
          <t>ÖREBRO</t>
        </is>
      </c>
      <c r="G335" t="n">
        <v>4</v>
      </c>
      <c r="H335" t="n">
        <v>0</v>
      </c>
      <c r="I335" t="n">
        <v>0</v>
      </c>
      <c r="J335" t="n">
        <v>0</v>
      </c>
      <c r="K335" t="n">
        <v>0</v>
      </c>
      <c r="L335" t="n">
        <v>0</v>
      </c>
      <c r="M335" t="n">
        <v>0</v>
      </c>
      <c r="N335" t="n">
        <v>0</v>
      </c>
      <c r="O335" t="n">
        <v>0</v>
      </c>
      <c r="P335" t="n">
        <v>0</v>
      </c>
      <c r="Q335" t="n">
        <v>0</v>
      </c>
      <c r="R335" s="2" t="inlineStr"/>
    </row>
    <row r="336" ht="15" customHeight="1">
      <c r="A336" t="inlineStr">
        <is>
          <t>A 51925-2025</t>
        </is>
      </c>
      <c r="B336" s="1" t="n">
        <v>45952.49476851852</v>
      </c>
      <c r="C336" s="1" t="n">
        <v>46127</v>
      </c>
      <c r="D336" t="inlineStr">
        <is>
          <t>ÖREBRO LÄN</t>
        </is>
      </c>
      <c r="E336" t="inlineStr">
        <is>
          <t>ÖREBRO</t>
        </is>
      </c>
      <c r="G336" t="n">
        <v>0.9</v>
      </c>
      <c r="H336" t="n">
        <v>0</v>
      </c>
      <c r="I336" t="n">
        <v>0</v>
      </c>
      <c r="J336" t="n">
        <v>0</v>
      </c>
      <c r="K336" t="n">
        <v>0</v>
      </c>
      <c r="L336" t="n">
        <v>0</v>
      </c>
      <c r="M336" t="n">
        <v>0</v>
      </c>
      <c r="N336" t="n">
        <v>0</v>
      </c>
      <c r="O336" t="n">
        <v>0</v>
      </c>
      <c r="P336" t="n">
        <v>0</v>
      </c>
      <c r="Q336" t="n">
        <v>0</v>
      </c>
      <c r="R336" s="2" t="inlineStr"/>
    </row>
    <row r="337" ht="15" customHeight="1">
      <c r="A337" t="inlineStr">
        <is>
          <t>A 51923-2025</t>
        </is>
      </c>
      <c r="B337" s="1" t="n">
        <v>45952.49300925926</v>
      </c>
      <c r="C337" s="1" t="n">
        <v>46127</v>
      </c>
      <c r="D337" t="inlineStr">
        <is>
          <t>ÖREBRO LÄN</t>
        </is>
      </c>
      <c r="E337" t="inlineStr">
        <is>
          <t>ÖREBRO</t>
        </is>
      </c>
      <c r="G337" t="n">
        <v>1</v>
      </c>
      <c r="H337" t="n">
        <v>0</v>
      </c>
      <c r="I337" t="n">
        <v>0</v>
      </c>
      <c r="J337" t="n">
        <v>0</v>
      </c>
      <c r="K337" t="n">
        <v>0</v>
      </c>
      <c r="L337" t="n">
        <v>0</v>
      </c>
      <c r="M337" t="n">
        <v>0</v>
      </c>
      <c r="N337" t="n">
        <v>0</v>
      </c>
      <c r="O337" t="n">
        <v>0</v>
      </c>
      <c r="P337" t="n">
        <v>0</v>
      </c>
      <c r="Q337" t="n">
        <v>0</v>
      </c>
      <c r="R337" s="2" t="inlineStr"/>
    </row>
    <row r="338" ht="15" customHeight="1">
      <c r="A338" t="inlineStr">
        <is>
          <t>A 51937-2025</t>
        </is>
      </c>
      <c r="B338" s="1" t="n">
        <v>45952.51270833334</v>
      </c>
      <c r="C338" s="1" t="n">
        <v>46127</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5324-2024</t>
        </is>
      </c>
      <c r="B339" s="1" t="n">
        <v>45331</v>
      </c>
      <c r="C339" s="1" t="n">
        <v>46127</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18360-2024</t>
        </is>
      </c>
      <c r="B340" s="1" t="n">
        <v>45422</v>
      </c>
      <c r="C340" s="1" t="n">
        <v>46127</v>
      </c>
      <c r="D340" t="inlineStr">
        <is>
          <t>ÖREBRO LÄN</t>
        </is>
      </c>
      <c r="E340" t="inlineStr">
        <is>
          <t>ÖREBRO</t>
        </is>
      </c>
      <c r="G340" t="n">
        <v>0.7</v>
      </c>
      <c r="H340" t="n">
        <v>0</v>
      </c>
      <c r="I340" t="n">
        <v>0</v>
      </c>
      <c r="J340" t="n">
        <v>0</v>
      </c>
      <c r="K340" t="n">
        <v>0</v>
      </c>
      <c r="L340" t="n">
        <v>0</v>
      </c>
      <c r="M340" t="n">
        <v>0</v>
      </c>
      <c r="N340" t="n">
        <v>0</v>
      </c>
      <c r="O340" t="n">
        <v>0</v>
      </c>
      <c r="P340" t="n">
        <v>0</v>
      </c>
      <c r="Q340" t="n">
        <v>0</v>
      </c>
      <c r="R340" s="2" t="inlineStr"/>
    </row>
    <row r="341" ht="15" customHeight="1">
      <c r="A341" t="inlineStr">
        <is>
          <t>A 30743-2025</t>
        </is>
      </c>
      <c r="B341" s="1" t="n">
        <v>45831</v>
      </c>
      <c r="C341" s="1" t="n">
        <v>46127</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16676-2025</t>
        </is>
      </c>
      <c r="B342" s="1" t="n">
        <v>45754.44658564815</v>
      </c>
      <c r="C342" s="1" t="n">
        <v>46127</v>
      </c>
      <c r="D342" t="inlineStr">
        <is>
          <t>ÖREBRO LÄN</t>
        </is>
      </c>
      <c r="E342" t="inlineStr">
        <is>
          <t>ÖREBRO</t>
        </is>
      </c>
      <c r="G342" t="n">
        <v>5.8</v>
      </c>
      <c r="H342" t="n">
        <v>0</v>
      </c>
      <c r="I342" t="n">
        <v>0</v>
      </c>
      <c r="J342" t="n">
        <v>0</v>
      </c>
      <c r="K342" t="n">
        <v>0</v>
      </c>
      <c r="L342" t="n">
        <v>0</v>
      </c>
      <c r="M342" t="n">
        <v>0</v>
      </c>
      <c r="N342" t="n">
        <v>0</v>
      </c>
      <c r="O342" t="n">
        <v>0</v>
      </c>
      <c r="P342" t="n">
        <v>0</v>
      </c>
      <c r="Q342" t="n">
        <v>0</v>
      </c>
      <c r="R342" s="2" t="inlineStr"/>
    </row>
    <row r="343" ht="15" customHeight="1">
      <c r="A343" t="inlineStr">
        <is>
          <t>A 5357-2024</t>
        </is>
      </c>
      <c r="B343" s="1" t="n">
        <v>45331</v>
      </c>
      <c r="C343" s="1" t="n">
        <v>46127</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57243-2022</t>
        </is>
      </c>
      <c r="B344" s="1" t="n">
        <v>44895.71835648148</v>
      </c>
      <c r="C344" s="1" t="n">
        <v>46127</v>
      </c>
      <c r="D344" t="inlineStr">
        <is>
          <t>ÖREBRO LÄN</t>
        </is>
      </c>
      <c r="E344" t="inlineStr">
        <is>
          <t>ÖREBRO</t>
        </is>
      </c>
      <c r="G344" t="n">
        <v>6</v>
      </c>
      <c r="H344" t="n">
        <v>0</v>
      </c>
      <c r="I344" t="n">
        <v>0</v>
      </c>
      <c r="J344" t="n">
        <v>0</v>
      </c>
      <c r="K344" t="n">
        <v>0</v>
      </c>
      <c r="L344" t="n">
        <v>0</v>
      </c>
      <c r="M344" t="n">
        <v>0</v>
      </c>
      <c r="N344" t="n">
        <v>0</v>
      </c>
      <c r="O344" t="n">
        <v>0</v>
      </c>
      <c r="P344" t="n">
        <v>0</v>
      </c>
      <c r="Q344" t="n">
        <v>0</v>
      </c>
      <c r="R344" s="2" t="inlineStr"/>
    </row>
    <row r="345" ht="15" customHeight="1">
      <c r="A345" t="inlineStr">
        <is>
          <t>A 60466-2025</t>
        </is>
      </c>
      <c r="B345" s="1" t="n">
        <v>45995.55927083334</v>
      </c>
      <c r="C345" s="1" t="n">
        <v>46127</v>
      </c>
      <c r="D345" t="inlineStr">
        <is>
          <t>ÖREBRO LÄN</t>
        </is>
      </c>
      <c r="E345" t="inlineStr">
        <is>
          <t>ÖREBRO</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29554-2025</t>
        </is>
      </c>
      <c r="B346" s="1" t="n">
        <v>45825</v>
      </c>
      <c r="C346" s="1" t="n">
        <v>46127</v>
      </c>
      <c r="D346" t="inlineStr">
        <is>
          <t>ÖREBRO LÄN</t>
        </is>
      </c>
      <c r="E346" t="inlineStr">
        <is>
          <t>ÖREBRO</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40051-2024</t>
        </is>
      </c>
      <c r="B347" s="1" t="n">
        <v>45553</v>
      </c>
      <c r="C347" s="1" t="n">
        <v>46127</v>
      </c>
      <c r="D347" t="inlineStr">
        <is>
          <t>ÖREBRO LÄN</t>
        </is>
      </c>
      <c r="E347" t="inlineStr">
        <is>
          <t>ÖREBRO</t>
        </is>
      </c>
      <c r="G347" t="n">
        <v>3.5</v>
      </c>
      <c r="H347" t="n">
        <v>0</v>
      </c>
      <c r="I347" t="n">
        <v>0</v>
      </c>
      <c r="J347" t="n">
        <v>0</v>
      </c>
      <c r="K347" t="n">
        <v>0</v>
      </c>
      <c r="L347" t="n">
        <v>0</v>
      </c>
      <c r="M347" t="n">
        <v>0</v>
      </c>
      <c r="N347" t="n">
        <v>0</v>
      </c>
      <c r="O347" t="n">
        <v>0</v>
      </c>
      <c r="P347" t="n">
        <v>0</v>
      </c>
      <c r="Q347" t="n">
        <v>0</v>
      </c>
      <c r="R347" s="2" t="inlineStr"/>
    </row>
    <row r="348" ht="15" customHeight="1">
      <c r="A348" t="inlineStr">
        <is>
          <t>A 53443-2025</t>
        </is>
      </c>
      <c r="B348" s="1" t="n">
        <v>45959.6444675926</v>
      </c>
      <c r="C348" s="1" t="n">
        <v>46127</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50446-2023</t>
        </is>
      </c>
      <c r="B349" s="1" t="n">
        <v>45216</v>
      </c>
      <c r="C349" s="1" t="n">
        <v>46127</v>
      </c>
      <c r="D349" t="inlineStr">
        <is>
          <t>ÖREBRO LÄN</t>
        </is>
      </c>
      <c r="E349" t="inlineStr">
        <is>
          <t>ÖREBRO</t>
        </is>
      </c>
      <c r="F349" t="inlineStr">
        <is>
          <t>Övriga Aktiebolag</t>
        </is>
      </c>
      <c r="G349" t="n">
        <v>2.8</v>
      </c>
      <c r="H349" t="n">
        <v>0</v>
      </c>
      <c r="I349" t="n">
        <v>0</v>
      </c>
      <c r="J349" t="n">
        <v>0</v>
      </c>
      <c r="K349" t="n">
        <v>0</v>
      </c>
      <c r="L349" t="n">
        <v>0</v>
      </c>
      <c r="M349" t="n">
        <v>0</v>
      </c>
      <c r="N349" t="n">
        <v>0</v>
      </c>
      <c r="O349" t="n">
        <v>0</v>
      </c>
      <c r="P349" t="n">
        <v>0</v>
      </c>
      <c r="Q349" t="n">
        <v>0</v>
      </c>
      <c r="R349" s="2" t="inlineStr"/>
    </row>
    <row r="350" ht="15" customHeight="1">
      <c r="A350" t="inlineStr">
        <is>
          <t>A 50450-2023</t>
        </is>
      </c>
      <c r="B350" s="1" t="n">
        <v>45216.73533564815</v>
      </c>
      <c r="C350" s="1" t="n">
        <v>46127</v>
      </c>
      <c r="D350" t="inlineStr">
        <is>
          <t>ÖREBRO LÄN</t>
        </is>
      </c>
      <c r="E350" t="inlineStr">
        <is>
          <t>ÖREBRO</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53437-2025</t>
        </is>
      </c>
      <c r="B351" s="1" t="n">
        <v>45959.63440972222</v>
      </c>
      <c r="C351" s="1" t="n">
        <v>46127</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53342-2025</t>
        </is>
      </c>
      <c r="B352" s="1" t="n">
        <v>45959.41769675926</v>
      </c>
      <c r="C352" s="1" t="n">
        <v>46127</v>
      </c>
      <c r="D352" t="inlineStr">
        <is>
          <t>ÖREBRO LÄN</t>
        </is>
      </c>
      <c r="E352" t="inlineStr">
        <is>
          <t>ÖREBRO</t>
        </is>
      </c>
      <c r="G352" t="n">
        <v>4.1</v>
      </c>
      <c r="H352" t="n">
        <v>0</v>
      </c>
      <c r="I352" t="n">
        <v>0</v>
      </c>
      <c r="J352" t="n">
        <v>0</v>
      </c>
      <c r="K352" t="n">
        <v>0</v>
      </c>
      <c r="L352" t="n">
        <v>0</v>
      </c>
      <c r="M352" t="n">
        <v>0</v>
      </c>
      <c r="N352" t="n">
        <v>0</v>
      </c>
      <c r="O352" t="n">
        <v>0</v>
      </c>
      <c r="P352" t="n">
        <v>0</v>
      </c>
      <c r="Q352" t="n">
        <v>0</v>
      </c>
      <c r="R352" s="2" t="inlineStr"/>
    </row>
    <row r="353" ht="15" customHeight="1">
      <c r="A353" t="inlineStr">
        <is>
          <t>A 53350-2025</t>
        </is>
      </c>
      <c r="B353" s="1" t="n">
        <v>45959.43827546296</v>
      </c>
      <c r="C353" s="1" t="n">
        <v>46127</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26117-2021</t>
        </is>
      </c>
      <c r="B354" s="1" t="n">
        <v>44345</v>
      </c>
      <c r="C354" s="1" t="n">
        <v>46127</v>
      </c>
      <c r="D354" t="inlineStr">
        <is>
          <t>ÖREBRO LÄN</t>
        </is>
      </c>
      <c r="E354" t="inlineStr">
        <is>
          <t>ÖREBRO</t>
        </is>
      </c>
      <c r="G354" t="n">
        <v>8.1</v>
      </c>
      <c r="H354" t="n">
        <v>0</v>
      </c>
      <c r="I354" t="n">
        <v>0</v>
      </c>
      <c r="J354" t="n">
        <v>0</v>
      </c>
      <c r="K354" t="n">
        <v>0</v>
      </c>
      <c r="L354" t="n">
        <v>0</v>
      </c>
      <c r="M354" t="n">
        <v>0</v>
      </c>
      <c r="N354" t="n">
        <v>0</v>
      </c>
      <c r="O354" t="n">
        <v>0</v>
      </c>
      <c r="P354" t="n">
        <v>0</v>
      </c>
      <c r="Q354" t="n">
        <v>0</v>
      </c>
      <c r="R354" s="2" t="inlineStr"/>
    </row>
    <row r="355" ht="15" customHeight="1">
      <c r="A355" t="inlineStr">
        <is>
          <t>A 6879-2024</t>
        </is>
      </c>
      <c r="B355" s="1" t="n">
        <v>45342.85280092592</v>
      </c>
      <c r="C355" s="1" t="n">
        <v>46127</v>
      </c>
      <c r="D355" t="inlineStr">
        <is>
          <t>ÖREBRO LÄN</t>
        </is>
      </c>
      <c r="E355" t="inlineStr">
        <is>
          <t>ÖREBRO</t>
        </is>
      </c>
      <c r="G355" t="n">
        <v>1.6</v>
      </c>
      <c r="H355" t="n">
        <v>0</v>
      </c>
      <c r="I355" t="n">
        <v>0</v>
      </c>
      <c r="J355" t="n">
        <v>0</v>
      </c>
      <c r="K355" t="n">
        <v>0</v>
      </c>
      <c r="L355" t="n">
        <v>0</v>
      </c>
      <c r="M355" t="n">
        <v>0</v>
      </c>
      <c r="N355" t="n">
        <v>0</v>
      </c>
      <c r="O355" t="n">
        <v>0</v>
      </c>
      <c r="P355" t="n">
        <v>0</v>
      </c>
      <c r="Q355" t="n">
        <v>0</v>
      </c>
      <c r="R355" s="2" t="inlineStr"/>
    </row>
    <row r="356" ht="15" customHeight="1">
      <c r="A356" t="inlineStr">
        <is>
          <t>A 58032-2023</t>
        </is>
      </c>
      <c r="B356" s="1" t="n">
        <v>45247</v>
      </c>
      <c r="C356" s="1" t="n">
        <v>46127</v>
      </c>
      <c r="D356" t="inlineStr">
        <is>
          <t>ÖREBRO LÄN</t>
        </is>
      </c>
      <c r="E356" t="inlineStr">
        <is>
          <t>ÖREBRO</t>
        </is>
      </c>
      <c r="G356" t="n">
        <v>1.1</v>
      </c>
      <c r="H356" t="n">
        <v>0</v>
      </c>
      <c r="I356" t="n">
        <v>0</v>
      </c>
      <c r="J356" t="n">
        <v>0</v>
      </c>
      <c r="K356" t="n">
        <v>0</v>
      </c>
      <c r="L356" t="n">
        <v>0</v>
      </c>
      <c r="M356" t="n">
        <v>0</v>
      </c>
      <c r="N356" t="n">
        <v>0</v>
      </c>
      <c r="O356" t="n">
        <v>0</v>
      </c>
      <c r="P356" t="n">
        <v>0</v>
      </c>
      <c r="Q356" t="n">
        <v>0</v>
      </c>
      <c r="R356" s="2" t="inlineStr"/>
    </row>
    <row r="357" ht="15" customHeight="1">
      <c r="A357" t="inlineStr">
        <is>
          <t>A 53343-2025</t>
        </is>
      </c>
      <c r="B357" s="1" t="n">
        <v>45959.42025462963</v>
      </c>
      <c r="C357" s="1" t="n">
        <v>46127</v>
      </c>
      <c r="D357" t="inlineStr">
        <is>
          <t>ÖREBRO LÄN</t>
        </is>
      </c>
      <c r="E357" t="inlineStr">
        <is>
          <t>ÖREBRO</t>
        </is>
      </c>
      <c r="G357" t="n">
        <v>0.5</v>
      </c>
      <c r="H357" t="n">
        <v>0</v>
      </c>
      <c r="I357" t="n">
        <v>0</v>
      </c>
      <c r="J357" t="n">
        <v>0</v>
      </c>
      <c r="K357" t="n">
        <v>0</v>
      </c>
      <c r="L357" t="n">
        <v>0</v>
      </c>
      <c r="M357" t="n">
        <v>0</v>
      </c>
      <c r="N357" t="n">
        <v>0</v>
      </c>
      <c r="O357" t="n">
        <v>0</v>
      </c>
      <c r="P357" t="n">
        <v>0</v>
      </c>
      <c r="Q357" t="n">
        <v>0</v>
      </c>
      <c r="R357" s="2" t="inlineStr"/>
    </row>
    <row r="358" ht="15" customHeight="1">
      <c r="A358" t="inlineStr">
        <is>
          <t>A 58035-2023</t>
        </is>
      </c>
      <c r="B358" s="1" t="n">
        <v>45247</v>
      </c>
      <c r="C358" s="1" t="n">
        <v>46127</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53715-2025</t>
        </is>
      </c>
      <c r="B359" s="1" t="n">
        <v>45960.61763888889</v>
      </c>
      <c r="C359" s="1" t="n">
        <v>46127</v>
      </c>
      <c r="D359" t="inlineStr">
        <is>
          <t>ÖREBRO LÄN</t>
        </is>
      </c>
      <c r="E359" t="inlineStr">
        <is>
          <t>ÖREBRO</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53719-2025</t>
        </is>
      </c>
      <c r="B360" s="1" t="n">
        <v>45960.62042824074</v>
      </c>
      <c r="C360" s="1" t="n">
        <v>46127</v>
      </c>
      <c r="D360" t="inlineStr">
        <is>
          <t>ÖREBRO LÄN</t>
        </is>
      </c>
      <c r="E360" t="inlineStr">
        <is>
          <t>ÖREBRO</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7506-2025</t>
        </is>
      </c>
      <c r="B361" s="1" t="n">
        <v>45705</v>
      </c>
      <c r="C361" s="1" t="n">
        <v>46127</v>
      </c>
      <c r="D361" t="inlineStr">
        <is>
          <t>ÖREBRO LÄN</t>
        </is>
      </c>
      <c r="E361" t="inlineStr">
        <is>
          <t>ÖREBRO</t>
        </is>
      </c>
      <c r="G361" t="n">
        <v>0.5</v>
      </c>
      <c r="H361" t="n">
        <v>0</v>
      </c>
      <c r="I361" t="n">
        <v>0</v>
      </c>
      <c r="J361" t="n">
        <v>0</v>
      </c>
      <c r="K361" t="n">
        <v>0</v>
      </c>
      <c r="L361" t="n">
        <v>0</v>
      </c>
      <c r="M361" t="n">
        <v>0</v>
      </c>
      <c r="N361" t="n">
        <v>0</v>
      </c>
      <c r="O361" t="n">
        <v>0</v>
      </c>
      <c r="P361" t="n">
        <v>0</v>
      </c>
      <c r="Q361" t="n">
        <v>0</v>
      </c>
      <c r="R361" s="2" t="inlineStr"/>
    </row>
    <row r="362" ht="15" customHeight="1">
      <c r="A362" t="inlineStr">
        <is>
          <t>A 54205-2025</t>
        </is>
      </c>
      <c r="B362" s="1" t="n">
        <v>45964.58512731481</v>
      </c>
      <c r="C362" s="1" t="n">
        <v>46127</v>
      </c>
      <c r="D362" t="inlineStr">
        <is>
          <t>ÖREBRO LÄN</t>
        </is>
      </c>
      <c r="E362" t="inlineStr">
        <is>
          <t>ÖREBRO</t>
        </is>
      </c>
      <c r="G362" t="n">
        <v>24.3</v>
      </c>
      <c r="H362" t="n">
        <v>0</v>
      </c>
      <c r="I362" t="n">
        <v>0</v>
      </c>
      <c r="J362" t="n">
        <v>0</v>
      </c>
      <c r="K362" t="n">
        <v>0</v>
      </c>
      <c r="L362" t="n">
        <v>0</v>
      </c>
      <c r="M362" t="n">
        <v>0</v>
      </c>
      <c r="N362" t="n">
        <v>0</v>
      </c>
      <c r="O362" t="n">
        <v>0</v>
      </c>
      <c r="P362" t="n">
        <v>0</v>
      </c>
      <c r="Q362" t="n">
        <v>0</v>
      </c>
      <c r="R362" s="2" t="inlineStr"/>
    </row>
    <row r="363" ht="15" customHeight="1">
      <c r="A363" t="inlineStr">
        <is>
          <t>A 38057-2025</t>
        </is>
      </c>
      <c r="B363" s="1" t="n">
        <v>45882.42570601852</v>
      </c>
      <c r="C363" s="1" t="n">
        <v>46127</v>
      </c>
      <c r="D363" t="inlineStr">
        <is>
          <t>ÖREBRO LÄN</t>
        </is>
      </c>
      <c r="E363" t="inlineStr">
        <is>
          <t>ÖREBRO</t>
        </is>
      </c>
      <c r="G363" t="n">
        <v>3</v>
      </c>
      <c r="H363" t="n">
        <v>0</v>
      </c>
      <c r="I363" t="n">
        <v>0</v>
      </c>
      <c r="J363" t="n">
        <v>0</v>
      </c>
      <c r="K363" t="n">
        <v>0</v>
      </c>
      <c r="L363" t="n">
        <v>0</v>
      </c>
      <c r="M363" t="n">
        <v>0</v>
      </c>
      <c r="N363" t="n">
        <v>0</v>
      </c>
      <c r="O363" t="n">
        <v>0</v>
      </c>
      <c r="P363" t="n">
        <v>0</v>
      </c>
      <c r="Q363" t="n">
        <v>0</v>
      </c>
      <c r="R363" s="2" t="inlineStr"/>
    </row>
    <row r="364" ht="15" customHeight="1">
      <c r="A364" t="inlineStr">
        <is>
          <t>A 54485-2025</t>
        </is>
      </c>
      <c r="B364" s="1" t="n">
        <v>45965.59295138889</v>
      </c>
      <c r="C364" s="1" t="n">
        <v>46127</v>
      </c>
      <c r="D364" t="inlineStr">
        <is>
          <t>ÖREBRO LÄN</t>
        </is>
      </c>
      <c r="E364" t="inlineStr">
        <is>
          <t>ÖREBRO</t>
        </is>
      </c>
      <c r="F364" t="inlineStr">
        <is>
          <t>Allmännings- och besparingsskogar</t>
        </is>
      </c>
      <c r="G364" t="n">
        <v>1.7</v>
      </c>
      <c r="H364" t="n">
        <v>0</v>
      </c>
      <c r="I364" t="n">
        <v>0</v>
      </c>
      <c r="J364" t="n">
        <v>0</v>
      </c>
      <c r="K364" t="n">
        <v>0</v>
      </c>
      <c r="L364" t="n">
        <v>0</v>
      </c>
      <c r="M364" t="n">
        <v>0</v>
      </c>
      <c r="N364" t="n">
        <v>0</v>
      </c>
      <c r="O364" t="n">
        <v>0</v>
      </c>
      <c r="P364" t="n">
        <v>0</v>
      </c>
      <c r="Q364" t="n">
        <v>0</v>
      </c>
      <c r="R364" s="2" t="inlineStr"/>
    </row>
    <row r="365" ht="15" customHeight="1">
      <c r="A365" t="inlineStr">
        <is>
          <t>A 60555-2025</t>
        </is>
      </c>
      <c r="B365" s="1" t="n">
        <v>45995.73722222223</v>
      </c>
      <c r="C365" s="1" t="n">
        <v>46127</v>
      </c>
      <c r="D365" t="inlineStr">
        <is>
          <t>ÖREBRO LÄN</t>
        </is>
      </c>
      <c r="E365" t="inlineStr">
        <is>
          <t>ÖREBRO</t>
        </is>
      </c>
      <c r="G365" t="n">
        <v>1.7</v>
      </c>
      <c r="H365" t="n">
        <v>0</v>
      </c>
      <c r="I365" t="n">
        <v>0</v>
      </c>
      <c r="J365" t="n">
        <v>0</v>
      </c>
      <c r="K365" t="n">
        <v>0</v>
      </c>
      <c r="L365" t="n">
        <v>0</v>
      </c>
      <c r="M365" t="n">
        <v>0</v>
      </c>
      <c r="N365" t="n">
        <v>0</v>
      </c>
      <c r="O365" t="n">
        <v>0</v>
      </c>
      <c r="P365" t="n">
        <v>0</v>
      </c>
      <c r="Q365" t="n">
        <v>0</v>
      </c>
      <c r="R365" s="2" t="inlineStr"/>
    </row>
    <row r="366" ht="15" customHeight="1">
      <c r="A366" t="inlineStr">
        <is>
          <t>A 31240-2023</t>
        </is>
      </c>
      <c r="B366" s="1" t="n">
        <v>45114</v>
      </c>
      <c r="C366" s="1" t="n">
        <v>46127</v>
      </c>
      <c r="D366" t="inlineStr">
        <is>
          <t>ÖREBRO LÄN</t>
        </is>
      </c>
      <c r="E366" t="inlineStr">
        <is>
          <t>ÖREBRO</t>
        </is>
      </c>
      <c r="F366" t="inlineStr">
        <is>
          <t>Allmännings- och besparingsskogar</t>
        </is>
      </c>
      <c r="G366" t="n">
        <v>6.2</v>
      </c>
      <c r="H366" t="n">
        <v>0</v>
      </c>
      <c r="I366" t="n">
        <v>0</v>
      </c>
      <c r="J366" t="n">
        <v>0</v>
      </c>
      <c r="K366" t="n">
        <v>0</v>
      </c>
      <c r="L366" t="n">
        <v>0</v>
      </c>
      <c r="M366" t="n">
        <v>0</v>
      </c>
      <c r="N366" t="n">
        <v>0</v>
      </c>
      <c r="O366" t="n">
        <v>0</v>
      </c>
      <c r="P366" t="n">
        <v>0</v>
      </c>
      <c r="Q366" t="n">
        <v>0</v>
      </c>
      <c r="R366" s="2" t="inlineStr"/>
    </row>
    <row r="367" ht="15" customHeight="1">
      <c r="A367" t="inlineStr">
        <is>
          <t>A 14717-2024</t>
        </is>
      </c>
      <c r="B367" s="1" t="n">
        <v>45397.55104166667</v>
      </c>
      <c r="C367" s="1" t="n">
        <v>46127</v>
      </c>
      <c r="D367" t="inlineStr">
        <is>
          <t>ÖREBRO LÄN</t>
        </is>
      </c>
      <c r="E367" t="inlineStr">
        <is>
          <t>ÖREBRO</t>
        </is>
      </c>
      <c r="G367" t="n">
        <v>0.7</v>
      </c>
      <c r="H367" t="n">
        <v>0</v>
      </c>
      <c r="I367" t="n">
        <v>0</v>
      </c>
      <c r="J367" t="n">
        <v>0</v>
      </c>
      <c r="K367" t="n">
        <v>0</v>
      </c>
      <c r="L367" t="n">
        <v>0</v>
      </c>
      <c r="M367" t="n">
        <v>0</v>
      </c>
      <c r="N367" t="n">
        <v>0</v>
      </c>
      <c r="O367" t="n">
        <v>0</v>
      </c>
      <c r="P367" t="n">
        <v>0</v>
      </c>
      <c r="Q367" t="n">
        <v>0</v>
      </c>
      <c r="R367" s="2" t="inlineStr"/>
    </row>
    <row r="368" ht="15" customHeight="1">
      <c r="A368" t="inlineStr">
        <is>
          <t>A 60720-2025</t>
        </is>
      </c>
      <c r="B368" s="1" t="n">
        <v>45996.64050925926</v>
      </c>
      <c r="C368" s="1" t="n">
        <v>46127</v>
      </c>
      <c r="D368" t="inlineStr">
        <is>
          <t>ÖREBRO LÄN</t>
        </is>
      </c>
      <c r="E368" t="inlineStr">
        <is>
          <t>ÖREBRO</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37968-2024</t>
        </is>
      </c>
      <c r="B369" s="1" t="n">
        <v>45544</v>
      </c>
      <c r="C369" s="1" t="n">
        <v>46127</v>
      </c>
      <c r="D369" t="inlineStr">
        <is>
          <t>ÖREBRO LÄN</t>
        </is>
      </c>
      <c r="E369" t="inlineStr">
        <is>
          <t>ÖREBRO</t>
        </is>
      </c>
      <c r="G369" t="n">
        <v>2</v>
      </c>
      <c r="H369" t="n">
        <v>0</v>
      </c>
      <c r="I369" t="n">
        <v>0</v>
      </c>
      <c r="J369" t="n">
        <v>0</v>
      </c>
      <c r="K369" t="n">
        <v>0</v>
      </c>
      <c r="L369" t="n">
        <v>0</v>
      </c>
      <c r="M369" t="n">
        <v>0</v>
      </c>
      <c r="N369" t="n">
        <v>0</v>
      </c>
      <c r="O369" t="n">
        <v>0</v>
      </c>
      <c r="P369" t="n">
        <v>0</v>
      </c>
      <c r="Q369" t="n">
        <v>0</v>
      </c>
      <c r="R369" s="2" t="inlineStr"/>
    </row>
    <row r="370" ht="15" customHeight="1">
      <c r="A370" t="inlineStr">
        <is>
          <t>A 60840-2025</t>
        </is>
      </c>
      <c r="B370" s="1" t="n">
        <v>45999.48547453704</v>
      </c>
      <c r="C370" s="1" t="n">
        <v>46127</v>
      </c>
      <c r="D370" t="inlineStr">
        <is>
          <t>ÖREBRO LÄN</t>
        </is>
      </c>
      <c r="E370" t="inlineStr">
        <is>
          <t>ÖREBRO</t>
        </is>
      </c>
      <c r="G370" t="n">
        <v>3.5</v>
      </c>
      <c r="H370" t="n">
        <v>0</v>
      </c>
      <c r="I370" t="n">
        <v>0</v>
      </c>
      <c r="J370" t="n">
        <v>0</v>
      </c>
      <c r="K370" t="n">
        <v>0</v>
      </c>
      <c r="L370" t="n">
        <v>0</v>
      </c>
      <c r="M370" t="n">
        <v>0</v>
      </c>
      <c r="N370" t="n">
        <v>0</v>
      </c>
      <c r="O370" t="n">
        <v>0</v>
      </c>
      <c r="P370" t="n">
        <v>0</v>
      </c>
      <c r="Q370" t="n">
        <v>0</v>
      </c>
      <c r="R370" s="2" t="inlineStr"/>
    </row>
    <row r="371" ht="15" customHeight="1">
      <c r="A371" t="inlineStr">
        <is>
          <t>A 60717-2025</t>
        </is>
      </c>
      <c r="B371" s="1" t="n">
        <v>45996.63673611111</v>
      </c>
      <c r="C371" s="1" t="n">
        <v>46127</v>
      </c>
      <c r="D371" t="inlineStr">
        <is>
          <t>ÖREBRO LÄN</t>
        </is>
      </c>
      <c r="E371" t="inlineStr">
        <is>
          <t>ÖREBRO</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60718-2025</t>
        </is>
      </c>
      <c r="B372" s="1" t="n">
        <v>45996.6384375</v>
      </c>
      <c r="C372" s="1" t="n">
        <v>46127</v>
      </c>
      <c r="D372" t="inlineStr">
        <is>
          <t>ÖREBRO LÄN</t>
        </is>
      </c>
      <c r="E372" t="inlineStr">
        <is>
          <t>ÖREBRO</t>
        </is>
      </c>
      <c r="F372" t="inlineStr">
        <is>
          <t>Sveaskog</t>
        </is>
      </c>
      <c r="G372" t="n">
        <v>5.3</v>
      </c>
      <c r="H372" t="n">
        <v>0</v>
      </c>
      <c r="I372" t="n">
        <v>0</v>
      </c>
      <c r="J372" t="n">
        <v>0</v>
      </c>
      <c r="K372" t="n">
        <v>0</v>
      </c>
      <c r="L372" t="n">
        <v>0</v>
      </c>
      <c r="M372" t="n">
        <v>0</v>
      </c>
      <c r="N372" t="n">
        <v>0</v>
      </c>
      <c r="O372" t="n">
        <v>0</v>
      </c>
      <c r="P372" t="n">
        <v>0</v>
      </c>
      <c r="Q372" t="n">
        <v>0</v>
      </c>
      <c r="R372" s="2" t="inlineStr"/>
    </row>
    <row r="373" ht="15" customHeight="1">
      <c r="A373" t="inlineStr">
        <is>
          <t>A 60721-2025</t>
        </is>
      </c>
      <c r="B373" s="1" t="n">
        <v>45996</v>
      </c>
      <c r="C373" s="1" t="n">
        <v>46127</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25443-2021</t>
        </is>
      </c>
      <c r="B374" s="1" t="n">
        <v>44342</v>
      </c>
      <c r="C374" s="1" t="n">
        <v>46127</v>
      </c>
      <c r="D374" t="inlineStr">
        <is>
          <t>ÖREBRO LÄN</t>
        </is>
      </c>
      <c r="E374" t="inlineStr">
        <is>
          <t>ÖREBRO</t>
        </is>
      </c>
      <c r="G374" t="n">
        <v>1</v>
      </c>
      <c r="H374" t="n">
        <v>0</v>
      </c>
      <c r="I374" t="n">
        <v>0</v>
      </c>
      <c r="J374" t="n">
        <v>0</v>
      </c>
      <c r="K374" t="n">
        <v>0</v>
      </c>
      <c r="L374" t="n">
        <v>0</v>
      </c>
      <c r="M374" t="n">
        <v>0</v>
      </c>
      <c r="N374" t="n">
        <v>0</v>
      </c>
      <c r="O374" t="n">
        <v>0</v>
      </c>
      <c r="P374" t="n">
        <v>0</v>
      </c>
      <c r="Q374" t="n">
        <v>0</v>
      </c>
      <c r="R374" s="2" t="inlineStr"/>
    </row>
    <row r="375" ht="15" customHeight="1">
      <c r="A375" t="inlineStr">
        <is>
          <t>A 13700-2024</t>
        </is>
      </c>
      <c r="B375" s="1" t="n">
        <v>45390.59277777778</v>
      </c>
      <c r="C375" s="1" t="n">
        <v>46127</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61525-2025</t>
        </is>
      </c>
      <c r="B376" s="1" t="n">
        <v>46001</v>
      </c>
      <c r="C376" s="1" t="n">
        <v>46127</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5398-2022</t>
        </is>
      </c>
      <c r="B377" s="1" t="n">
        <v>44595.3353587963</v>
      </c>
      <c r="C377" s="1" t="n">
        <v>46127</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38415-2023</t>
        </is>
      </c>
      <c r="B378" s="1" t="n">
        <v>45162.35502314815</v>
      </c>
      <c r="C378" s="1" t="n">
        <v>46127</v>
      </c>
      <c r="D378" t="inlineStr">
        <is>
          <t>ÖREBRO LÄN</t>
        </is>
      </c>
      <c r="E378" t="inlineStr">
        <is>
          <t>ÖREBRO</t>
        </is>
      </c>
      <c r="G378" t="n">
        <v>2.6</v>
      </c>
      <c r="H378" t="n">
        <v>0</v>
      </c>
      <c r="I378" t="n">
        <v>0</v>
      </c>
      <c r="J378" t="n">
        <v>0</v>
      </c>
      <c r="K378" t="n">
        <v>0</v>
      </c>
      <c r="L378" t="n">
        <v>0</v>
      </c>
      <c r="M378" t="n">
        <v>0</v>
      </c>
      <c r="N378" t="n">
        <v>0</v>
      </c>
      <c r="O378" t="n">
        <v>0</v>
      </c>
      <c r="P378" t="n">
        <v>0</v>
      </c>
      <c r="Q378" t="n">
        <v>0</v>
      </c>
      <c r="R378" s="2" t="inlineStr"/>
    </row>
    <row r="379" ht="15" customHeight="1">
      <c r="A379" t="inlineStr">
        <is>
          <t>A 60128-2023</t>
        </is>
      </c>
      <c r="B379" s="1" t="n">
        <v>45258</v>
      </c>
      <c r="C379" s="1" t="n">
        <v>46127</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18047-2023</t>
        </is>
      </c>
      <c r="B380" s="1" t="n">
        <v>45040</v>
      </c>
      <c r="C380" s="1" t="n">
        <v>46127</v>
      </c>
      <c r="D380" t="inlineStr">
        <is>
          <t>ÖREBRO LÄN</t>
        </is>
      </c>
      <c r="E380" t="inlineStr">
        <is>
          <t>ÖREBRO</t>
        </is>
      </c>
      <c r="G380" t="n">
        <v>3.9</v>
      </c>
      <c r="H380" t="n">
        <v>0</v>
      </c>
      <c r="I380" t="n">
        <v>0</v>
      </c>
      <c r="J380" t="n">
        <v>0</v>
      </c>
      <c r="K380" t="n">
        <v>0</v>
      </c>
      <c r="L380" t="n">
        <v>0</v>
      </c>
      <c r="M380" t="n">
        <v>0</v>
      </c>
      <c r="N380" t="n">
        <v>0</v>
      </c>
      <c r="O380" t="n">
        <v>0</v>
      </c>
      <c r="P380" t="n">
        <v>0</v>
      </c>
      <c r="Q380" t="n">
        <v>0</v>
      </c>
      <c r="R380" s="2" t="inlineStr"/>
    </row>
    <row r="381" ht="15" customHeight="1">
      <c r="A381" t="inlineStr">
        <is>
          <t>A 61930-2025</t>
        </is>
      </c>
      <c r="B381" s="1" t="n">
        <v>46003</v>
      </c>
      <c r="C381" s="1" t="n">
        <v>46127</v>
      </c>
      <c r="D381" t="inlineStr">
        <is>
          <t>ÖREBRO LÄN</t>
        </is>
      </c>
      <c r="E381" t="inlineStr">
        <is>
          <t>ÖREBRO</t>
        </is>
      </c>
      <c r="G381" t="n">
        <v>2.3</v>
      </c>
      <c r="H381" t="n">
        <v>0</v>
      </c>
      <c r="I381" t="n">
        <v>0</v>
      </c>
      <c r="J381" t="n">
        <v>0</v>
      </c>
      <c r="K381" t="n">
        <v>0</v>
      </c>
      <c r="L381" t="n">
        <v>0</v>
      </c>
      <c r="M381" t="n">
        <v>0</v>
      </c>
      <c r="N381" t="n">
        <v>0</v>
      </c>
      <c r="O381" t="n">
        <v>0</v>
      </c>
      <c r="P381" t="n">
        <v>0</v>
      </c>
      <c r="Q381" t="n">
        <v>0</v>
      </c>
      <c r="R381" s="2" t="inlineStr"/>
    </row>
    <row r="382" ht="15" customHeight="1">
      <c r="A382" t="inlineStr">
        <is>
          <t>A 49797-2024</t>
        </is>
      </c>
      <c r="B382" s="1" t="n">
        <v>45597.37265046296</v>
      </c>
      <c r="C382" s="1" t="n">
        <v>46127</v>
      </c>
      <c r="D382" t="inlineStr">
        <is>
          <t>ÖREBRO LÄN</t>
        </is>
      </c>
      <c r="E382" t="inlineStr">
        <is>
          <t>ÖREBRO</t>
        </is>
      </c>
      <c r="G382" t="n">
        <v>11.6</v>
      </c>
      <c r="H382" t="n">
        <v>0</v>
      </c>
      <c r="I382" t="n">
        <v>0</v>
      </c>
      <c r="J382" t="n">
        <v>0</v>
      </c>
      <c r="K382" t="n">
        <v>0</v>
      </c>
      <c r="L382" t="n">
        <v>0</v>
      </c>
      <c r="M382" t="n">
        <v>0</v>
      </c>
      <c r="N382" t="n">
        <v>0</v>
      </c>
      <c r="O382" t="n">
        <v>0</v>
      </c>
      <c r="P382" t="n">
        <v>0</v>
      </c>
      <c r="Q382" t="n">
        <v>0</v>
      </c>
      <c r="R382" s="2" t="inlineStr"/>
    </row>
    <row r="383" ht="15" customHeight="1">
      <c r="A383" t="inlineStr">
        <is>
          <t>A 8022-2022</t>
        </is>
      </c>
      <c r="B383" s="1" t="n">
        <v>44609</v>
      </c>
      <c r="C383" s="1" t="n">
        <v>46127</v>
      </c>
      <c r="D383" t="inlineStr">
        <is>
          <t>ÖREBRO LÄN</t>
        </is>
      </c>
      <c r="E383" t="inlineStr">
        <is>
          <t>ÖREBRO</t>
        </is>
      </c>
      <c r="G383" t="n">
        <v>5.6</v>
      </c>
      <c r="H383" t="n">
        <v>0</v>
      </c>
      <c r="I383" t="n">
        <v>0</v>
      </c>
      <c r="J383" t="n">
        <v>0</v>
      </c>
      <c r="K383" t="n">
        <v>0</v>
      </c>
      <c r="L383" t="n">
        <v>0</v>
      </c>
      <c r="M383" t="n">
        <v>0</v>
      </c>
      <c r="N383" t="n">
        <v>0</v>
      </c>
      <c r="O383" t="n">
        <v>0</v>
      </c>
      <c r="P383" t="n">
        <v>0</v>
      </c>
      <c r="Q383" t="n">
        <v>0</v>
      </c>
      <c r="R383" s="2" t="inlineStr"/>
    </row>
    <row r="384" ht="15" customHeight="1">
      <c r="A384" t="inlineStr">
        <is>
          <t>A 29978-2024</t>
        </is>
      </c>
      <c r="B384" s="1" t="n">
        <v>45488.48340277778</v>
      </c>
      <c r="C384" s="1" t="n">
        <v>46127</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19978-2025</t>
        </is>
      </c>
      <c r="B385" s="1" t="n">
        <v>45771.7062037037</v>
      </c>
      <c r="C385" s="1" t="n">
        <v>46127</v>
      </c>
      <c r="D385" t="inlineStr">
        <is>
          <t>ÖREBRO LÄN</t>
        </is>
      </c>
      <c r="E385" t="inlineStr">
        <is>
          <t>ÖREBRO</t>
        </is>
      </c>
      <c r="G385" t="n">
        <v>2</v>
      </c>
      <c r="H385" t="n">
        <v>0</v>
      </c>
      <c r="I385" t="n">
        <v>0</v>
      </c>
      <c r="J385" t="n">
        <v>0</v>
      </c>
      <c r="K385" t="n">
        <v>0</v>
      </c>
      <c r="L385" t="n">
        <v>0</v>
      </c>
      <c r="M385" t="n">
        <v>0</v>
      </c>
      <c r="N385" t="n">
        <v>0</v>
      </c>
      <c r="O385" t="n">
        <v>0</v>
      </c>
      <c r="P385" t="n">
        <v>0</v>
      </c>
      <c r="Q385" t="n">
        <v>0</v>
      </c>
      <c r="R385" s="2" t="inlineStr"/>
    </row>
    <row r="386" ht="15" customHeight="1">
      <c r="A386" t="inlineStr">
        <is>
          <t>A 7134-2025</t>
        </is>
      </c>
      <c r="B386" s="1" t="n">
        <v>45702</v>
      </c>
      <c r="C386" s="1" t="n">
        <v>46127</v>
      </c>
      <c r="D386" t="inlineStr">
        <is>
          <t>ÖREBRO LÄN</t>
        </is>
      </c>
      <c r="E386" t="inlineStr">
        <is>
          <t>ÖREBRO</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62683-2025</t>
        </is>
      </c>
      <c r="B387" s="1" t="n">
        <v>46008.45796296297</v>
      </c>
      <c r="C387" s="1" t="n">
        <v>46127</v>
      </c>
      <c r="D387" t="inlineStr">
        <is>
          <t>ÖREBRO LÄN</t>
        </is>
      </c>
      <c r="E387" t="inlineStr">
        <is>
          <t>ÖREBRO</t>
        </is>
      </c>
      <c r="G387" t="n">
        <v>5.1</v>
      </c>
      <c r="H387" t="n">
        <v>0</v>
      </c>
      <c r="I387" t="n">
        <v>0</v>
      </c>
      <c r="J387" t="n">
        <v>0</v>
      </c>
      <c r="K387" t="n">
        <v>0</v>
      </c>
      <c r="L387" t="n">
        <v>0</v>
      </c>
      <c r="M387" t="n">
        <v>0</v>
      </c>
      <c r="N387" t="n">
        <v>0</v>
      </c>
      <c r="O387" t="n">
        <v>0</v>
      </c>
      <c r="P387" t="n">
        <v>0</v>
      </c>
      <c r="Q387" t="n">
        <v>0</v>
      </c>
      <c r="R387" s="2" t="inlineStr"/>
    </row>
    <row r="388" ht="15" customHeight="1">
      <c r="A388" t="inlineStr">
        <is>
          <t>A 55003-2025</t>
        </is>
      </c>
      <c r="B388" s="1" t="n">
        <v>45967</v>
      </c>
      <c r="C388" s="1" t="n">
        <v>46127</v>
      </c>
      <c r="D388" t="inlineStr">
        <is>
          <t>ÖREBRO LÄN</t>
        </is>
      </c>
      <c r="E388" t="inlineStr">
        <is>
          <t>ÖREBRO</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16374-2022</t>
        </is>
      </c>
      <c r="B389" s="1" t="n">
        <v>44671</v>
      </c>
      <c r="C389" s="1" t="n">
        <v>46127</v>
      </c>
      <c r="D389" t="inlineStr">
        <is>
          <t>ÖREBRO LÄN</t>
        </is>
      </c>
      <c r="E389" t="inlineStr">
        <is>
          <t>ÖREBRO</t>
        </is>
      </c>
      <c r="F389" t="inlineStr">
        <is>
          <t>Övriga Aktiebolag</t>
        </is>
      </c>
      <c r="G389" t="n">
        <v>30.3</v>
      </c>
      <c r="H389" t="n">
        <v>0</v>
      </c>
      <c r="I389" t="n">
        <v>0</v>
      </c>
      <c r="J389" t="n">
        <v>0</v>
      </c>
      <c r="K389" t="n">
        <v>0</v>
      </c>
      <c r="L389" t="n">
        <v>0</v>
      </c>
      <c r="M389" t="n">
        <v>0</v>
      </c>
      <c r="N389" t="n">
        <v>0</v>
      </c>
      <c r="O389" t="n">
        <v>0</v>
      </c>
      <c r="P389" t="n">
        <v>0</v>
      </c>
      <c r="Q389" t="n">
        <v>0</v>
      </c>
      <c r="R389" s="2" t="inlineStr"/>
    </row>
    <row r="390" ht="15" customHeight="1">
      <c r="A390" t="inlineStr">
        <is>
          <t>A 27956-2023</t>
        </is>
      </c>
      <c r="B390" s="1" t="n">
        <v>45098</v>
      </c>
      <c r="C390" s="1" t="n">
        <v>46127</v>
      </c>
      <c r="D390" t="inlineStr">
        <is>
          <t>ÖREBRO LÄN</t>
        </is>
      </c>
      <c r="E390" t="inlineStr">
        <is>
          <t>ÖREBRO</t>
        </is>
      </c>
      <c r="G390" t="n">
        <v>0.8</v>
      </c>
      <c r="H390" t="n">
        <v>0</v>
      </c>
      <c r="I390" t="n">
        <v>0</v>
      </c>
      <c r="J390" t="n">
        <v>0</v>
      </c>
      <c r="K390" t="n">
        <v>0</v>
      </c>
      <c r="L390" t="n">
        <v>0</v>
      </c>
      <c r="M390" t="n">
        <v>0</v>
      </c>
      <c r="N390" t="n">
        <v>0</v>
      </c>
      <c r="O390" t="n">
        <v>0</v>
      </c>
      <c r="P390" t="n">
        <v>0</v>
      </c>
      <c r="Q390" t="n">
        <v>0</v>
      </c>
      <c r="R390" s="2" t="inlineStr"/>
    </row>
    <row r="391" ht="15" customHeight="1">
      <c r="A391" t="inlineStr">
        <is>
          <t>A 13321-2024</t>
        </is>
      </c>
      <c r="B391" s="1" t="n">
        <v>45386.83142361111</v>
      </c>
      <c r="C391" s="1" t="n">
        <v>46127</v>
      </c>
      <c r="D391" t="inlineStr">
        <is>
          <t>ÖREBRO LÄN</t>
        </is>
      </c>
      <c r="E391" t="inlineStr">
        <is>
          <t>ÖREBRO</t>
        </is>
      </c>
      <c r="G391" t="n">
        <v>13.1</v>
      </c>
      <c r="H391" t="n">
        <v>0</v>
      </c>
      <c r="I391" t="n">
        <v>0</v>
      </c>
      <c r="J391" t="n">
        <v>0</v>
      </c>
      <c r="K391" t="n">
        <v>0</v>
      </c>
      <c r="L391" t="n">
        <v>0</v>
      </c>
      <c r="M391" t="n">
        <v>0</v>
      </c>
      <c r="N391" t="n">
        <v>0</v>
      </c>
      <c r="O391" t="n">
        <v>0</v>
      </c>
      <c r="P391" t="n">
        <v>0</v>
      </c>
      <c r="Q391" t="n">
        <v>0</v>
      </c>
      <c r="R391" s="2" t="inlineStr"/>
    </row>
    <row r="392" ht="15" customHeight="1">
      <c r="A392" t="inlineStr">
        <is>
          <t>A 16258-2022</t>
        </is>
      </c>
      <c r="B392" s="1" t="n">
        <v>44670</v>
      </c>
      <c r="C392" s="1" t="n">
        <v>46127</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63657-2025</t>
        </is>
      </c>
      <c r="B393" s="1" t="n">
        <v>46014.44479166667</v>
      </c>
      <c r="C393" s="1" t="n">
        <v>46127</v>
      </c>
      <c r="D393" t="inlineStr">
        <is>
          <t>ÖREBRO LÄN</t>
        </is>
      </c>
      <c r="E393" t="inlineStr">
        <is>
          <t>ÖREBRO</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63666-2025</t>
        </is>
      </c>
      <c r="B394" s="1" t="n">
        <v>46014.45650462963</v>
      </c>
      <c r="C394" s="1" t="n">
        <v>46127</v>
      </c>
      <c r="D394" t="inlineStr">
        <is>
          <t>ÖREBRO LÄN</t>
        </is>
      </c>
      <c r="E394" t="inlineStr">
        <is>
          <t>ÖREBRO</t>
        </is>
      </c>
      <c r="F394" t="inlineStr">
        <is>
          <t>Allmännings- och besparingsskogar</t>
        </is>
      </c>
      <c r="G394" t="n">
        <v>2.6</v>
      </c>
      <c r="H394" t="n">
        <v>0</v>
      </c>
      <c r="I394" t="n">
        <v>0</v>
      </c>
      <c r="J394" t="n">
        <v>0</v>
      </c>
      <c r="K394" t="n">
        <v>0</v>
      </c>
      <c r="L394" t="n">
        <v>0</v>
      </c>
      <c r="M394" t="n">
        <v>0</v>
      </c>
      <c r="N394" t="n">
        <v>0</v>
      </c>
      <c r="O394" t="n">
        <v>0</v>
      </c>
      <c r="P394" t="n">
        <v>0</v>
      </c>
      <c r="Q394" t="n">
        <v>0</v>
      </c>
      <c r="R394" s="2" t="inlineStr"/>
    </row>
    <row r="395" ht="15" customHeight="1">
      <c r="A395" t="inlineStr">
        <is>
          <t>A 63662-2025</t>
        </is>
      </c>
      <c r="B395" s="1" t="n">
        <v>46014.45055555556</v>
      </c>
      <c r="C395" s="1" t="n">
        <v>46127</v>
      </c>
      <c r="D395" t="inlineStr">
        <is>
          <t>ÖREBRO LÄN</t>
        </is>
      </c>
      <c r="E395" t="inlineStr">
        <is>
          <t>ÖREBRO</t>
        </is>
      </c>
      <c r="F395" t="inlineStr">
        <is>
          <t>Allmännings- och besparingsskogar</t>
        </is>
      </c>
      <c r="G395" t="n">
        <v>3.2</v>
      </c>
      <c r="H395" t="n">
        <v>0</v>
      </c>
      <c r="I395" t="n">
        <v>0</v>
      </c>
      <c r="J395" t="n">
        <v>0</v>
      </c>
      <c r="K395" t="n">
        <v>0</v>
      </c>
      <c r="L395" t="n">
        <v>0</v>
      </c>
      <c r="M395" t="n">
        <v>0</v>
      </c>
      <c r="N395" t="n">
        <v>0</v>
      </c>
      <c r="O395" t="n">
        <v>0</v>
      </c>
      <c r="P395" t="n">
        <v>0</v>
      </c>
      <c r="Q395" t="n">
        <v>0</v>
      </c>
      <c r="R395" s="2" t="inlineStr"/>
    </row>
    <row r="396" ht="15" customHeight="1">
      <c r="A396" t="inlineStr">
        <is>
          <t>A 15652-2025</t>
        </is>
      </c>
      <c r="B396" s="1" t="n">
        <v>45748</v>
      </c>
      <c r="C396" s="1" t="n">
        <v>46127</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16737-2023</t>
        </is>
      </c>
      <c r="B397" s="1" t="n">
        <v>45030.72472222222</v>
      </c>
      <c r="C397" s="1" t="n">
        <v>46127</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5762-2025</t>
        </is>
      </c>
      <c r="B398" s="1" t="n">
        <v>45694.57181712963</v>
      </c>
      <c r="C398" s="1" t="n">
        <v>46127</v>
      </c>
      <c r="D398" t="inlineStr">
        <is>
          <t>ÖREBRO LÄN</t>
        </is>
      </c>
      <c r="E398" t="inlineStr">
        <is>
          <t>ÖREBRO</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51180-2023</t>
        </is>
      </c>
      <c r="B399" s="1" t="n">
        <v>45219</v>
      </c>
      <c r="C399" s="1" t="n">
        <v>46127</v>
      </c>
      <c r="D399" t="inlineStr">
        <is>
          <t>ÖREBRO LÄN</t>
        </is>
      </c>
      <c r="E399" t="inlineStr">
        <is>
          <t>ÖREBRO</t>
        </is>
      </c>
      <c r="G399" t="n">
        <v>6.5</v>
      </c>
      <c r="H399" t="n">
        <v>0</v>
      </c>
      <c r="I399" t="n">
        <v>0</v>
      </c>
      <c r="J399" t="n">
        <v>0</v>
      </c>
      <c r="K399" t="n">
        <v>0</v>
      </c>
      <c r="L399" t="n">
        <v>0</v>
      </c>
      <c r="M399" t="n">
        <v>0</v>
      </c>
      <c r="N399" t="n">
        <v>0</v>
      </c>
      <c r="O399" t="n">
        <v>0</v>
      </c>
      <c r="P399" t="n">
        <v>0</v>
      </c>
      <c r="Q399" t="n">
        <v>0</v>
      </c>
      <c r="R399" s="2" t="inlineStr"/>
    </row>
    <row r="400" ht="15" customHeight="1">
      <c r="A400" t="inlineStr">
        <is>
          <t>A 64018-2025</t>
        </is>
      </c>
      <c r="B400" s="1" t="n">
        <v>46021.4546412037</v>
      </c>
      <c r="C400" s="1" t="n">
        <v>46127</v>
      </c>
      <c r="D400" t="inlineStr">
        <is>
          <t>ÖREBRO LÄN</t>
        </is>
      </c>
      <c r="E400" t="inlineStr">
        <is>
          <t>ÖREBRO</t>
        </is>
      </c>
      <c r="G400" t="n">
        <v>2.9</v>
      </c>
      <c r="H400" t="n">
        <v>0</v>
      </c>
      <c r="I400" t="n">
        <v>0</v>
      </c>
      <c r="J400" t="n">
        <v>0</v>
      </c>
      <c r="K400" t="n">
        <v>0</v>
      </c>
      <c r="L400" t="n">
        <v>0</v>
      </c>
      <c r="M400" t="n">
        <v>0</v>
      </c>
      <c r="N400" t="n">
        <v>0</v>
      </c>
      <c r="O400" t="n">
        <v>0</v>
      </c>
      <c r="P400" t="n">
        <v>0</v>
      </c>
      <c r="Q400" t="n">
        <v>0</v>
      </c>
      <c r="R400" s="2" t="inlineStr"/>
    </row>
    <row r="401" ht="15" customHeight="1">
      <c r="A401" t="inlineStr">
        <is>
          <t>A 58621-2024</t>
        </is>
      </c>
      <c r="B401" s="1" t="n">
        <v>45635.56321759259</v>
      </c>
      <c r="C401" s="1" t="n">
        <v>46127</v>
      </c>
      <c r="D401" t="inlineStr">
        <is>
          <t>ÖREBRO LÄN</t>
        </is>
      </c>
      <c r="E401" t="inlineStr">
        <is>
          <t>ÖREBRO</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64019-2025</t>
        </is>
      </c>
      <c r="B402" s="1" t="n">
        <v>46021.45914351852</v>
      </c>
      <c r="C402" s="1" t="n">
        <v>46127</v>
      </c>
      <c r="D402" t="inlineStr">
        <is>
          <t>ÖREBRO LÄN</t>
        </is>
      </c>
      <c r="E402" t="inlineStr">
        <is>
          <t>ÖREBRO</t>
        </is>
      </c>
      <c r="G402" t="n">
        <v>2</v>
      </c>
      <c r="H402" t="n">
        <v>0</v>
      </c>
      <c r="I402" t="n">
        <v>0</v>
      </c>
      <c r="J402" t="n">
        <v>0</v>
      </c>
      <c r="K402" t="n">
        <v>0</v>
      </c>
      <c r="L402" t="n">
        <v>0</v>
      </c>
      <c r="M402" t="n">
        <v>0</v>
      </c>
      <c r="N402" t="n">
        <v>0</v>
      </c>
      <c r="O402" t="n">
        <v>0</v>
      </c>
      <c r="P402" t="n">
        <v>0</v>
      </c>
      <c r="Q402" t="n">
        <v>0</v>
      </c>
      <c r="R402" s="2" t="inlineStr"/>
    </row>
    <row r="403" ht="15" customHeight="1">
      <c r="A403" t="inlineStr">
        <is>
          <t>A 5578-2024</t>
        </is>
      </c>
      <c r="B403" s="1" t="n">
        <v>45334.49104166667</v>
      </c>
      <c r="C403" s="1" t="n">
        <v>46127</v>
      </c>
      <c r="D403" t="inlineStr">
        <is>
          <t>ÖREBRO LÄN</t>
        </is>
      </c>
      <c r="E403" t="inlineStr">
        <is>
          <t>ÖREBRO</t>
        </is>
      </c>
      <c r="G403" t="n">
        <v>2.4</v>
      </c>
      <c r="H403" t="n">
        <v>0</v>
      </c>
      <c r="I403" t="n">
        <v>0</v>
      </c>
      <c r="J403" t="n">
        <v>0</v>
      </c>
      <c r="K403" t="n">
        <v>0</v>
      </c>
      <c r="L403" t="n">
        <v>0</v>
      </c>
      <c r="M403" t="n">
        <v>0</v>
      </c>
      <c r="N403" t="n">
        <v>0</v>
      </c>
      <c r="O403" t="n">
        <v>0</v>
      </c>
      <c r="P403" t="n">
        <v>0</v>
      </c>
      <c r="Q403" t="n">
        <v>0</v>
      </c>
      <c r="R403" s="2" t="inlineStr"/>
    </row>
    <row r="404" ht="15" customHeight="1">
      <c r="A404" t="inlineStr">
        <is>
          <t>A 32086-2023</t>
        </is>
      </c>
      <c r="B404" s="1" t="n">
        <v>45119.59789351852</v>
      </c>
      <c r="C404" s="1" t="n">
        <v>46127</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22079-2023</t>
        </is>
      </c>
      <c r="B405" s="1" t="n">
        <v>45069</v>
      </c>
      <c r="C405" s="1" t="n">
        <v>46127</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2630-2023</t>
        </is>
      </c>
      <c r="B406" s="1" t="n">
        <v>44944.39105324074</v>
      </c>
      <c r="C406" s="1" t="n">
        <v>46127</v>
      </c>
      <c r="D406" t="inlineStr">
        <is>
          <t>ÖREBRO LÄN</t>
        </is>
      </c>
      <c r="E406" t="inlineStr">
        <is>
          <t>ÖREBRO</t>
        </is>
      </c>
      <c r="G406" t="n">
        <v>6.1</v>
      </c>
      <c r="H406" t="n">
        <v>0</v>
      </c>
      <c r="I406" t="n">
        <v>0</v>
      </c>
      <c r="J406" t="n">
        <v>0</v>
      </c>
      <c r="K406" t="n">
        <v>0</v>
      </c>
      <c r="L406" t="n">
        <v>0</v>
      </c>
      <c r="M406" t="n">
        <v>0</v>
      </c>
      <c r="N406" t="n">
        <v>0</v>
      </c>
      <c r="O406" t="n">
        <v>0</v>
      </c>
      <c r="P406" t="n">
        <v>0</v>
      </c>
      <c r="Q406" t="n">
        <v>0</v>
      </c>
      <c r="R406" s="2" t="inlineStr"/>
    </row>
    <row r="407" ht="15" customHeight="1">
      <c r="A407" t="inlineStr">
        <is>
          <t>A 5330-2024</t>
        </is>
      </c>
      <c r="B407" s="1" t="n">
        <v>45331.4187962963</v>
      </c>
      <c r="C407" s="1" t="n">
        <v>46127</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54925-2023</t>
        </is>
      </c>
      <c r="B408" s="1" t="n">
        <v>45229</v>
      </c>
      <c r="C408" s="1" t="n">
        <v>46127</v>
      </c>
      <c r="D408" t="inlineStr">
        <is>
          <t>ÖREBRO LÄN</t>
        </is>
      </c>
      <c r="E408" t="inlineStr">
        <is>
          <t>ÖREBRO</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10830-2023</t>
        </is>
      </c>
      <c r="B409" s="1" t="n">
        <v>44990.89752314815</v>
      </c>
      <c r="C409" s="1" t="n">
        <v>46127</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1153-2026</t>
        </is>
      </c>
      <c r="B410" s="1" t="n">
        <v>46031.30899305556</v>
      </c>
      <c r="C410" s="1" t="n">
        <v>46127</v>
      </c>
      <c r="D410" t="inlineStr">
        <is>
          <t>ÖREBRO LÄN</t>
        </is>
      </c>
      <c r="E410" t="inlineStr">
        <is>
          <t>ÖREBRO</t>
        </is>
      </c>
      <c r="G410" t="n">
        <v>3.3</v>
      </c>
      <c r="H410" t="n">
        <v>0</v>
      </c>
      <c r="I410" t="n">
        <v>0</v>
      </c>
      <c r="J410" t="n">
        <v>0</v>
      </c>
      <c r="K410" t="n">
        <v>0</v>
      </c>
      <c r="L410" t="n">
        <v>0</v>
      </c>
      <c r="M410" t="n">
        <v>0</v>
      </c>
      <c r="N410" t="n">
        <v>0</v>
      </c>
      <c r="O410" t="n">
        <v>0</v>
      </c>
      <c r="P410" t="n">
        <v>0</v>
      </c>
      <c r="Q410" t="n">
        <v>0</v>
      </c>
      <c r="R410" s="2" t="inlineStr"/>
    </row>
    <row r="411" ht="15" customHeight="1">
      <c r="A411" t="inlineStr">
        <is>
          <t>A 9585-2025</t>
        </is>
      </c>
      <c r="B411" s="1" t="n">
        <v>45715.63409722222</v>
      </c>
      <c r="C411" s="1" t="n">
        <v>46127</v>
      </c>
      <c r="D411" t="inlineStr">
        <is>
          <t>ÖREBRO LÄN</t>
        </is>
      </c>
      <c r="E411" t="inlineStr">
        <is>
          <t>ÖREBRO</t>
        </is>
      </c>
      <c r="G411" t="n">
        <v>3.4</v>
      </c>
      <c r="H411" t="n">
        <v>0</v>
      </c>
      <c r="I411" t="n">
        <v>0</v>
      </c>
      <c r="J411" t="n">
        <v>0</v>
      </c>
      <c r="K411" t="n">
        <v>0</v>
      </c>
      <c r="L411" t="n">
        <v>0</v>
      </c>
      <c r="M411" t="n">
        <v>0</v>
      </c>
      <c r="N411" t="n">
        <v>0</v>
      </c>
      <c r="O411" t="n">
        <v>0</v>
      </c>
      <c r="P411" t="n">
        <v>0</v>
      </c>
      <c r="Q411" t="n">
        <v>0</v>
      </c>
      <c r="R411" s="2" t="inlineStr"/>
    </row>
    <row r="412" ht="15" customHeight="1">
      <c r="A412" t="inlineStr">
        <is>
          <t>A 5125-2024</t>
        </is>
      </c>
      <c r="B412" s="1" t="n">
        <v>45330</v>
      </c>
      <c r="C412" s="1" t="n">
        <v>46127</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42138-2024</t>
        </is>
      </c>
      <c r="B413" s="1" t="n">
        <v>45562.41854166667</v>
      </c>
      <c r="C413" s="1" t="n">
        <v>46127</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26101-2022</t>
        </is>
      </c>
      <c r="B414" s="1" t="n">
        <v>44734</v>
      </c>
      <c r="C414" s="1" t="n">
        <v>46127</v>
      </c>
      <c r="D414" t="inlineStr">
        <is>
          <t>ÖREBRO LÄN</t>
        </is>
      </c>
      <c r="E414" t="inlineStr">
        <is>
          <t>ÖREBRO</t>
        </is>
      </c>
      <c r="G414" t="n">
        <v>15.8</v>
      </c>
      <c r="H414" t="n">
        <v>0</v>
      </c>
      <c r="I414" t="n">
        <v>0</v>
      </c>
      <c r="J414" t="n">
        <v>0</v>
      </c>
      <c r="K414" t="n">
        <v>0</v>
      </c>
      <c r="L414" t="n">
        <v>0</v>
      </c>
      <c r="M414" t="n">
        <v>0</v>
      </c>
      <c r="N414" t="n">
        <v>0</v>
      </c>
      <c r="O414" t="n">
        <v>0</v>
      </c>
      <c r="P414" t="n">
        <v>0</v>
      </c>
      <c r="Q414" t="n">
        <v>0</v>
      </c>
      <c r="R414" s="2" t="inlineStr"/>
    </row>
    <row r="415" ht="15" customHeight="1">
      <c r="A415" t="inlineStr">
        <is>
          <t>A 2095-2025</t>
        </is>
      </c>
      <c r="B415" s="1" t="n">
        <v>45672</v>
      </c>
      <c r="C415" s="1" t="n">
        <v>46127</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18550-2025</t>
        </is>
      </c>
      <c r="B416" s="1" t="n">
        <v>45763</v>
      </c>
      <c r="C416" s="1" t="n">
        <v>46127</v>
      </c>
      <c r="D416" t="inlineStr">
        <is>
          <t>ÖREBRO LÄN</t>
        </is>
      </c>
      <c r="E416" t="inlineStr">
        <is>
          <t>ÖREBRO</t>
        </is>
      </c>
      <c r="G416" t="n">
        <v>11.5</v>
      </c>
      <c r="H416" t="n">
        <v>0</v>
      </c>
      <c r="I416" t="n">
        <v>0</v>
      </c>
      <c r="J416" t="n">
        <v>0</v>
      </c>
      <c r="K416" t="n">
        <v>0</v>
      </c>
      <c r="L416" t="n">
        <v>0</v>
      </c>
      <c r="M416" t="n">
        <v>0</v>
      </c>
      <c r="N416" t="n">
        <v>0</v>
      </c>
      <c r="O416" t="n">
        <v>0</v>
      </c>
      <c r="P416" t="n">
        <v>0</v>
      </c>
      <c r="Q416" t="n">
        <v>0</v>
      </c>
      <c r="R416" s="2" t="inlineStr"/>
    </row>
    <row r="417" ht="15" customHeight="1">
      <c r="A417" t="inlineStr">
        <is>
          <t>A 71206-2021</t>
        </is>
      </c>
      <c r="B417" s="1" t="n">
        <v>44539</v>
      </c>
      <c r="C417" s="1" t="n">
        <v>46127</v>
      </c>
      <c r="D417" t="inlineStr">
        <is>
          <t>ÖREBRO LÄN</t>
        </is>
      </c>
      <c r="E417" t="inlineStr">
        <is>
          <t>ÖREBRO</t>
        </is>
      </c>
      <c r="G417" t="n">
        <v>2.5</v>
      </c>
      <c r="H417" t="n">
        <v>0</v>
      </c>
      <c r="I417" t="n">
        <v>0</v>
      </c>
      <c r="J417" t="n">
        <v>0</v>
      </c>
      <c r="K417" t="n">
        <v>0</v>
      </c>
      <c r="L417" t="n">
        <v>0</v>
      </c>
      <c r="M417" t="n">
        <v>0</v>
      </c>
      <c r="N417" t="n">
        <v>0</v>
      </c>
      <c r="O417" t="n">
        <v>0</v>
      </c>
      <c r="P417" t="n">
        <v>0</v>
      </c>
      <c r="Q417" t="n">
        <v>0</v>
      </c>
      <c r="R417" s="2" t="inlineStr"/>
    </row>
    <row r="418" ht="15" customHeight="1">
      <c r="A418" t="inlineStr">
        <is>
          <t>A 48140-2024</t>
        </is>
      </c>
      <c r="B418" s="1" t="n">
        <v>45589.66474537037</v>
      </c>
      <c r="C418" s="1" t="n">
        <v>46127</v>
      </c>
      <c r="D418" t="inlineStr">
        <is>
          <t>ÖREBRO LÄN</t>
        </is>
      </c>
      <c r="E418" t="inlineStr">
        <is>
          <t>ÖREBRO</t>
        </is>
      </c>
      <c r="G418" t="n">
        <v>2.4</v>
      </c>
      <c r="H418" t="n">
        <v>0</v>
      </c>
      <c r="I418" t="n">
        <v>0</v>
      </c>
      <c r="J418" t="n">
        <v>0</v>
      </c>
      <c r="K418" t="n">
        <v>0</v>
      </c>
      <c r="L418" t="n">
        <v>0</v>
      </c>
      <c r="M418" t="n">
        <v>0</v>
      </c>
      <c r="N418" t="n">
        <v>0</v>
      </c>
      <c r="O418" t="n">
        <v>0</v>
      </c>
      <c r="P418" t="n">
        <v>0</v>
      </c>
      <c r="Q418" t="n">
        <v>0</v>
      </c>
      <c r="R418" s="2" t="inlineStr"/>
    </row>
    <row r="419" ht="15" customHeight="1">
      <c r="A419" t="inlineStr">
        <is>
          <t>A 41703-2024</t>
        </is>
      </c>
      <c r="B419" s="1" t="n">
        <v>45560</v>
      </c>
      <c r="C419" s="1" t="n">
        <v>46127</v>
      </c>
      <c r="D419" t="inlineStr">
        <is>
          <t>ÖREBRO LÄN</t>
        </is>
      </c>
      <c r="E419" t="inlineStr">
        <is>
          <t>ÖREBRO</t>
        </is>
      </c>
      <c r="G419" t="n">
        <v>6.4</v>
      </c>
      <c r="H419" t="n">
        <v>0</v>
      </c>
      <c r="I419" t="n">
        <v>0</v>
      </c>
      <c r="J419" t="n">
        <v>0</v>
      </c>
      <c r="K419" t="n">
        <v>0</v>
      </c>
      <c r="L419" t="n">
        <v>0</v>
      </c>
      <c r="M419" t="n">
        <v>0</v>
      </c>
      <c r="N419" t="n">
        <v>0</v>
      </c>
      <c r="O419" t="n">
        <v>0</v>
      </c>
      <c r="P419" t="n">
        <v>0</v>
      </c>
      <c r="Q419" t="n">
        <v>0</v>
      </c>
      <c r="R419" s="2" t="inlineStr"/>
    </row>
    <row r="420" ht="15" customHeight="1">
      <c r="A420" t="inlineStr">
        <is>
          <t>A 2162-2026</t>
        </is>
      </c>
      <c r="B420" s="1" t="n">
        <v>46036.43479166667</v>
      </c>
      <c r="C420" s="1" t="n">
        <v>46127</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59515-2025</t>
        </is>
      </c>
      <c r="B421" s="1" t="n">
        <v>45989.65238425926</v>
      </c>
      <c r="C421" s="1" t="n">
        <v>46127</v>
      </c>
      <c r="D421" t="inlineStr">
        <is>
          <t>ÖREBRO LÄN</t>
        </is>
      </c>
      <c r="E421" t="inlineStr">
        <is>
          <t>ÖREBRO</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2970-2026</t>
        </is>
      </c>
      <c r="B422" s="1" t="n">
        <v>46038.6202662037</v>
      </c>
      <c r="C422" s="1" t="n">
        <v>46127</v>
      </c>
      <c r="D422" t="inlineStr">
        <is>
          <t>ÖREBRO LÄN</t>
        </is>
      </c>
      <c r="E422" t="inlineStr">
        <is>
          <t>ÖREBRO</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3252-2026</t>
        </is>
      </c>
      <c r="B423" s="1" t="n">
        <v>46041.58626157408</v>
      </c>
      <c r="C423" s="1" t="n">
        <v>46127</v>
      </c>
      <c r="D423" t="inlineStr">
        <is>
          <t>ÖREBRO LÄN</t>
        </is>
      </c>
      <c r="E423" t="inlineStr">
        <is>
          <t>ÖREBRO</t>
        </is>
      </c>
      <c r="F423" t="inlineStr">
        <is>
          <t>Övriga Aktiebolag</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33577-2023</t>
        </is>
      </c>
      <c r="B424" s="1" t="n">
        <v>45131</v>
      </c>
      <c r="C424" s="1" t="n">
        <v>46127</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3111-2026</t>
        </is>
      </c>
      <c r="B425" s="1" t="n">
        <v>46041.36004629629</v>
      </c>
      <c r="C425" s="1" t="n">
        <v>46127</v>
      </c>
      <c r="D425" t="inlineStr">
        <is>
          <t>ÖREBRO LÄN</t>
        </is>
      </c>
      <c r="E425" t="inlineStr">
        <is>
          <t>ÖREBRO</t>
        </is>
      </c>
      <c r="F425" t="inlineStr">
        <is>
          <t>Övriga Aktiebolag</t>
        </is>
      </c>
      <c r="G425" t="n">
        <v>8.6</v>
      </c>
      <c r="H425" t="n">
        <v>0</v>
      </c>
      <c r="I425" t="n">
        <v>0</v>
      </c>
      <c r="J425" t="n">
        <v>0</v>
      </c>
      <c r="K425" t="n">
        <v>0</v>
      </c>
      <c r="L425" t="n">
        <v>0</v>
      </c>
      <c r="M425" t="n">
        <v>0</v>
      </c>
      <c r="N425" t="n">
        <v>0</v>
      </c>
      <c r="O425" t="n">
        <v>0</v>
      </c>
      <c r="P425" t="n">
        <v>0</v>
      </c>
      <c r="Q425" t="n">
        <v>0</v>
      </c>
      <c r="R425" s="2" t="inlineStr"/>
    </row>
    <row r="426" ht="15" customHeight="1">
      <c r="A426" t="inlineStr">
        <is>
          <t>A 38489-2023</t>
        </is>
      </c>
      <c r="B426" s="1" t="n">
        <v>45162</v>
      </c>
      <c r="C426" s="1" t="n">
        <v>46127</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3031-2026</t>
        </is>
      </c>
      <c r="B427" s="1" t="n">
        <v>46038.71271990741</v>
      </c>
      <c r="C427" s="1" t="n">
        <v>46127</v>
      </c>
      <c r="D427" t="inlineStr">
        <is>
          <t>ÖREBRO LÄN</t>
        </is>
      </c>
      <c r="E427" t="inlineStr">
        <is>
          <t>ÖREBRO</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3033-2026</t>
        </is>
      </c>
      <c r="B428" s="1" t="n">
        <v>46038.71920138889</v>
      </c>
      <c r="C428" s="1" t="n">
        <v>46127</v>
      </c>
      <c r="D428" t="inlineStr">
        <is>
          <t>ÖREBRO LÄN</t>
        </is>
      </c>
      <c r="E428" t="inlineStr">
        <is>
          <t>ÖREBRO</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19763-2024</t>
        </is>
      </c>
      <c r="B429" s="1" t="n">
        <v>45432</v>
      </c>
      <c r="C429" s="1" t="n">
        <v>46127</v>
      </c>
      <c r="D429" t="inlineStr">
        <is>
          <t>ÖREBRO LÄN</t>
        </is>
      </c>
      <c r="E429" t="inlineStr">
        <is>
          <t>ÖREBRO</t>
        </is>
      </c>
      <c r="G429" t="n">
        <v>1.9</v>
      </c>
      <c r="H429" t="n">
        <v>0</v>
      </c>
      <c r="I429" t="n">
        <v>0</v>
      </c>
      <c r="J429" t="n">
        <v>0</v>
      </c>
      <c r="K429" t="n">
        <v>0</v>
      </c>
      <c r="L429" t="n">
        <v>0</v>
      </c>
      <c r="M429" t="n">
        <v>0</v>
      </c>
      <c r="N429" t="n">
        <v>0</v>
      </c>
      <c r="O429" t="n">
        <v>0</v>
      </c>
      <c r="P429" t="n">
        <v>0</v>
      </c>
      <c r="Q429" t="n">
        <v>0</v>
      </c>
      <c r="R429" s="2" t="inlineStr"/>
    </row>
    <row r="430" ht="15" customHeight="1">
      <c r="A430" t="inlineStr">
        <is>
          <t>A 14545-2023</t>
        </is>
      </c>
      <c r="B430" s="1" t="n">
        <v>45013.34895833334</v>
      </c>
      <c r="C430" s="1" t="n">
        <v>46127</v>
      </c>
      <c r="D430" t="inlineStr">
        <is>
          <t>ÖREBRO LÄN</t>
        </is>
      </c>
      <c r="E430" t="inlineStr">
        <is>
          <t>ÖREBRO</t>
        </is>
      </c>
      <c r="G430" t="n">
        <v>2.5</v>
      </c>
      <c r="H430" t="n">
        <v>0</v>
      </c>
      <c r="I430" t="n">
        <v>0</v>
      </c>
      <c r="J430" t="n">
        <v>0</v>
      </c>
      <c r="K430" t="n">
        <v>0</v>
      </c>
      <c r="L430" t="n">
        <v>0</v>
      </c>
      <c r="M430" t="n">
        <v>0</v>
      </c>
      <c r="N430" t="n">
        <v>0</v>
      </c>
      <c r="O430" t="n">
        <v>0</v>
      </c>
      <c r="P430" t="n">
        <v>0</v>
      </c>
      <c r="Q430" t="n">
        <v>0</v>
      </c>
      <c r="R430" s="2" t="inlineStr"/>
    </row>
    <row r="431" ht="15" customHeight="1">
      <c r="A431" t="inlineStr">
        <is>
          <t>A 3042-2026</t>
        </is>
      </c>
      <c r="B431" s="1" t="n">
        <v>46038.73467592592</v>
      </c>
      <c r="C431" s="1" t="n">
        <v>46127</v>
      </c>
      <c r="D431" t="inlineStr">
        <is>
          <t>ÖREBRO LÄN</t>
        </is>
      </c>
      <c r="E431" t="inlineStr">
        <is>
          <t>ÖREBRO</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54917-2023</t>
        </is>
      </c>
      <c r="B432" s="1" t="n">
        <v>45229</v>
      </c>
      <c r="C432" s="1" t="n">
        <v>46127</v>
      </c>
      <c r="D432" t="inlineStr">
        <is>
          <t>ÖREBRO LÄN</t>
        </is>
      </c>
      <c r="E432" t="inlineStr">
        <is>
          <t>ÖREBRO</t>
        </is>
      </c>
      <c r="G432" t="n">
        <v>3.1</v>
      </c>
      <c r="H432" t="n">
        <v>0</v>
      </c>
      <c r="I432" t="n">
        <v>0</v>
      </c>
      <c r="J432" t="n">
        <v>0</v>
      </c>
      <c r="K432" t="n">
        <v>0</v>
      </c>
      <c r="L432" t="n">
        <v>0</v>
      </c>
      <c r="M432" t="n">
        <v>0</v>
      </c>
      <c r="N432" t="n">
        <v>0</v>
      </c>
      <c r="O432" t="n">
        <v>0</v>
      </c>
      <c r="P432" t="n">
        <v>0</v>
      </c>
      <c r="Q432" t="n">
        <v>0</v>
      </c>
      <c r="R432" s="2" t="inlineStr"/>
    </row>
    <row r="433" ht="15" customHeight="1">
      <c r="A433" t="inlineStr">
        <is>
          <t>A 14432-2023</t>
        </is>
      </c>
      <c r="B433" s="1" t="n">
        <v>45012</v>
      </c>
      <c r="C433" s="1" t="n">
        <v>46127</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3652-2022</t>
        </is>
      </c>
      <c r="B434" s="1" t="n">
        <v>44586.46921296296</v>
      </c>
      <c r="C434" s="1" t="n">
        <v>46127</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37021-2024</t>
        </is>
      </c>
      <c r="B435" s="1" t="n">
        <v>45539.38146990741</v>
      </c>
      <c r="C435" s="1" t="n">
        <v>46127</v>
      </c>
      <c r="D435" t="inlineStr">
        <is>
          <t>ÖREBRO LÄN</t>
        </is>
      </c>
      <c r="E435" t="inlineStr">
        <is>
          <t>ÖREBRO</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52499-2024</t>
        </is>
      </c>
      <c r="B436" s="1" t="n">
        <v>45609.58422453704</v>
      </c>
      <c r="C436" s="1" t="n">
        <v>46127</v>
      </c>
      <c r="D436" t="inlineStr">
        <is>
          <t>ÖREBRO LÄN</t>
        </is>
      </c>
      <c r="E436" t="inlineStr">
        <is>
          <t>ÖREBRO</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14960-2025</t>
        </is>
      </c>
      <c r="B437" s="1" t="n">
        <v>45743.5853125</v>
      </c>
      <c r="C437" s="1" t="n">
        <v>46127</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13623-2024</t>
        </is>
      </c>
      <c r="B438" s="1" t="n">
        <v>45390.38626157407</v>
      </c>
      <c r="C438" s="1" t="n">
        <v>46127</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3944-2026</t>
        </is>
      </c>
      <c r="B439" s="1" t="n">
        <v>46043.93358796297</v>
      </c>
      <c r="C439" s="1" t="n">
        <v>46127</v>
      </c>
      <c r="D439" t="inlineStr">
        <is>
          <t>ÖREBRO LÄN</t>
        </is>
      </c>
      <c r="E439" t="inlineStr">
        <is>
          <t>ÖREBRO</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5619-2023</t>
        </is>
      </c>
      <c r="B440" s="1" t="n">
        <v>44958</v>
      </c>
      <c r="C440" s="1" t="n">
        <v>46127</v>
      </c>
      <c r="D440" t="inlineStr">
        <is>
          <t>ÖREBRO LÄN</t>
        </is>
      </c>
      <c r="E440" t="inlineStr">
        <is>
          <t>ÖREBRO</t>
        </is>
      </c>
      <c r="G440" t="n">
        <v>27</v>
      </c>
      <c r="H440" t="n">
        <v>0</v>
      </c>
      <c r="I440" t="n">
        <v>0</v>
      </c>
      <c r="J440" t="n">
        <v>0</v>
      </c>
      <c r="K440" t="n">
        <v>0</v>
      </c>
      <c r="L440" t="n">
        <v>0</v>
      </c>
      <c r="M440" t="n">
        <v>0</v>
      </c>
      <c r="N440" t="n">
        <v>0</v>
      </c>
      <c r="O440" t="n">
        <v>0</v>
      </c>
      <c r="P440" t="n">
        <v>0</v>
      </c>
      <c r="Q440" t="n">
        <v>0</v>
      </c>
      <c r="R440" s="2" t="inlineStr"/>
    </row>
    <row r="441" ht="15" customHeight="1">
      <c r="A441" t="inlineStr">
        <is>
          <t>A 37277-2022</t>
        </is>
      </c>
      <c r="B441" s="1" t="n">
        <v>44807.49150462963</v>
      </c>
      <c r="C441" s="1" t="n">
        <v>46127</v>
      </c>
      <c r="D441" t="inlineStr">
        <is>
          <t>ÖREBRO LÄN</t>
        </is>
      </c>
      <c r="E441" t="inlineStr">
        <is>
          <t>ÖREBRO</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23573-2023</t>
        </is>
      </c>
      <c r="B442" s="1" t="n">
        <v>45077.41672453703</v>
      </c>
      <c r="C442" s="1" t="n">
        <v>46127</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12536-2026</t>
        </is>
      </c>
      <c r="B443" s="1" t="n">
        <v>46090.60851851852</v>
      </c>
      <c r="C443" s="1" t="n">
        <v>46127</v>
      </c>
      <c r="D443" t="inlineStr">
        <is>
          <t>ÖREBRO LÄN</t>
        </is>
      </c>
      <c r="E443" t="inlineStr">
        <is>
          <t>ÖREBRO</t>
        </is>
      </c>
      <c r="G443" t="n">
        <v>7.7</v>
      </c>
      <c r="H443" t="n">
        <v>0</v>
      </c>
      <c r="I443" t="n">
        <v>0</v>
      </c>
      <c r="J443" t="n">
        <v>0</v>
      </c>
      <c r="K443" t="n">
        <v>0</v>
      </c>
      <c r="L443" t="n">
        <v>0</v>
      </c>
      <c r="M443" t="n">
        <v>0</v>
      </c>
      <c r="N443" t="n">
        <v>0</v>
      </c>
      <c r="O443" t="n">
        <v>0</v>
      </c>
      <c r="P443" t="n">
        <v>0</v>
      </c>
      <c r="Q443" t="n">
        <v>0</v>
      </c>
      <c r="R443" s="2" t="inlineStr"/>
    </row>
    <row r="444" ht="15" customHeight="1">
      <c r="A444" t="inlineStr">
        <is>
          <t>A 61593-2023</t>
        </is>
      </c>
      <c r="B444" s="1" t="n">
        <v>45265</v>
      </c>
      <c r="C444" s="1" t="n">
        <v>46127</v>
      </c>
      <c r="D444" t="inlineStr">
        <is>
          <t>ÖREBRO LÄN</t>
        </is>
      </c>
      <c r="E444" t="inlineStr">
        <is>
          <t>ÖREBRO</t>
        </is>
      </c>
      <c r="G444" t="n">
        <v>2.5</v>
      </c>
      <c r="H444" t="n">
        <v>0</v>
      </c>
      <c r="I444" t="n">
        <v>0</v>
      </c>
      <c r="J444" t="n">
        <v>0</v>
      </c>
      <c r="K444" t="n">
        <v>0</v>
      </c>
      <c r="L444" t="n">
        <v>0</v>
      </c>
      <c r="M444" t="n">
        <v>0</v>
      </c>
      <c r="N444" t="n">
        <v>0</v>
      </c>
      <c r="O444" t="n">
        <v>0</v>
      </c>
      <c r="P444" t="n">
        <v>0</v>
      </c>
      <c r="Q444" t="n">
        <v>0</v>
      </c>
      <c r="R444" s="2" t="inlineStr"/>
    </row>
    <row r="445" ht="15" customHeight="1">
      <c r="A445" t="inlineStr">
        <is>
          <t>A 59024-2024</t>
        </is>
      </c>
      <c r="B445" s="1" t="n">
        <v>45636.68505787037</v>
      </c>
      <c r="C445" s="1" t="n">
        <v>46127</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10339-2023</t>
        </is>
      </c>
      <c r="B446" s="1" t="n">
        <v>44987</v>
      </c>
      <c r="C446" s="1" t="n">
        <v>46127</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46127</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16165-2023</t>
        </is>
      </c>
      <c r="B448" s="1" t="n">
        <v>45027</v>
      </c>
      <c r="C448" s="1" t="n">
        <v>46127</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39130-2023</t>
        </is>
      </c>
      <c r="B449" s="1" t="n">
        <v>45165</v>
      </c>
      <c r="C449" s="1" t="n">
        <v>46127</v>
      </c>
      <c r="D449" t="inlineStr">
        <is>
          <t>ÖREBRO LÄN</t>
        </is>
      </c>
      <c r="E449" t="inlineStr">
        <is>
          <t>ÖREBRO</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50398-2022</t>
        </is>
      </c>
      <c r="B450" s="1" t="n">
        <v>44861</v>
      </c>
      <c r="C450" s="1" t="n">
        <v>46127</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9379-2024</t>
        </is>
      </c>
      <c r="B451" s="1" t="n">
        <v>45359.37298611111</v>
      </c>
      <c r="C451" s="1" t="n">
        <v>46127</v>
      </c>
      <c r="D451" t="inlineStr">
        <is>
          <t>ÖREBRO LÄN</t>
        </is>
      </c>
      <c r="E451" t="inlineStr">
        <is>
          <t>ÖREBRO</t>
        </is>
      </c>
      <c r="G451" t="n">
        <v>2.4</v>
      </c>
      <c r="H451" t="n">
        <v>0</v>
      </c>
      <c r="I451" t="n">
        <v>0</v>
      </c>
      <c r="J451" t="n">
        <v>0</v>
      </c>
      <c r="K451" t="n">
        <v>0</v>
      </c>
      <c r="L451" t="n">
        <v>0</v>
      </c>
      <c r="M451" t="n">
        <v>0</v>
      </c>
      <c r="N451" t="n">
        <v>0</v>
      </c>
      <c r="O451" t="n">
        <v>0</v>
      </c>
      <c r="P451" t="n">
        <v>0</v>
      </c>
      <c r="Q451" t="n">
        <v>0</v>
      </c>
      <c r="R451" s="2" t="inlineStr"/>
    </row>
    <row r="452" ht="15" customHeight="1">
      <c r="A452" t="inlineStr">
        <is>
          <t>A 35345-2024</t>
        </is>
      </c>
      <c r="B452" s="1" t="n">
        <v>45530</v>
      </c>
      <c r="C452" s="1" t="n">
        <v>46127</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45517-2023</t>
        </is>
      </c>
      <c r="B453" s="1" t="n">
        <v>45194.49594907407</v>
      </c>
      <c r="C453" s="1" t="n">
        <v>46127</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32321-2023</t>
        </is>
      </c>
      <c r="B454" s="1" t="n">
        <v>45120</v>
      </c>
      <c r="C454" s="1" t="n">
        <v>46127</v>
      </c>
      <c r="D454" t="inlineStr">
        <is>
          <t>ÖREBRO LÄN</t>
        </is>
      </c>
      <c r="E454" t="inlineStr">
        <is>
          <t>ÖREBRO</t>
        </is>
      </c>
      <c r="G454" t="n">
        <v>3.4</v>
      </c>
      <c r="H454" t="n">
        <v>0</v>
      </c>
      <c r="I454" t="n">
        <v>0</v>
      </c>
      <c r="J454" t="n">
        <v>0</v>
      </c>
      <c r="K454" t="n">
        <v>0</v>
      </c>
      <c r="L454" t="n">
        <v>0</v>
      </c>
      <c r="M454" t="n">
        <v>0</v>
      </c>
      <c r="N454" t="n">
        <v>0</v>
      </c>
      <c r="O454" t="n">
        <v>0</v>
      </c>
      <c r="P454" t="n">
        <v>0</v>
      </c>
      <c r="Q454" t="n">
        <v>0</v>
      </c>
      <c r="R454" s="2" t="inlineStr"/>
    </row>
    <row r="455" ht="15" customHeight="1">
      <c r="A455" t="inlineStr">
        <is>
          <t>A 29138-2022</t>
        </is>
      </c>
      <c r="B455" s="1" t="n">
        <v>44750</v>
      </c>
      <c r="C455" s="1" t="n">
        <v>46127</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29143-2022</t>
        </is>
      </c>
      <c r="B456" s="1" t="n">
        <v>44750</v>
      </c>
      <c r="C456" s="1" t="n">
        <v>46127</v>
      </c>
      <c r="D456" t="inlineStr">
        <is>
          <t>ÖREBRO LÄN</t>
        </is>
      </c>
      <c r="E456" t="inlineStr">
        <is>
          <t>ÖREBRO</t>
        </is>
      </c>
      <c r="G456" t="n">
        <v>5.6</v>
      </c>
      <c r="H456" t="n">
        <v>0</v>
      </c>
      <c r="I456" t="n">
        <v>0</v>
      </c>
      <c r="J456" t="n">
        <v>0</v>
      </c>
      <c r="K456" t="n">
        <v>0</v>
      </c>
      <c r="L456" t="n">
        <v>0</v>
      </c>
      <c r="M456" t="n">
        <v>0</v>
      </c>
      <c r="N456" t="n">
        <v>0</v>
      </c>
      <c r="O456" t="n">
        <v>0</v>
      </c>
      <c r="P456" t="n">
        <v>0</v>
      </c>
      <c r="Q456" t="n">
        <v>0</v>
      </c>
      <c r="R456" s="2" t="inlineStr"/>
    </row>
    <row r="457" ht="15" customHeight="1">
      <c r="A457" t="inlineStr">
        <is>
          <t>A 14234-2024</t>
        </is>
      </c>
      <c r="B457" s="1" t="n">
        <v>45393.46980324074</v>
      </c>
      <c r="C457" s="1" t="n">
        <v>46127</v>
      </c>
      <c r="D457" t="inlineStr">
        <is>
          <t>ÖREBRO LÄN</t>
        </is>
      </c>
      <c r="E457" t="inlineStr">
        <is>
          <t>ÖREBRO</t>
        </is>
      </c>
      <c r="G457" t="n">
        <v>1.6</v>
      </c>
      <c r="H457" t="n">
        <v>0</v>
      </c>
      <c r="I457" t="n">
        <v>0</v>
      </c>
      <c r="J457" t="n">
        <v>0</v>
      </c>
      <c r="K457" t="n">
        <v>0</v>
      </c>
      <c r="L457" t="n">
        <v>0</v>
      </c>
      <c r="M457" t="n">
        <v>0</v>
      </c>
      <c r="N457" t="n">
        <v>0</v>
      </c>
      <c r="O457" t="n">
        <v>0</v>
      </c>
      <c r="P457" t="n">
        <v>0</v>
      </c>
      <c r="Q457" t="n">
        <v>0</v>
      </c>
      <c r="R457" s="2" t="inlineStr"/>
    </row>
    <row r="458" ht="15" customHeight="1">
      <c r="A458" t="inlineStr">
        <is>
          <t>A 4557-2023</t>
        </is>
      </c>
      <c r="B458" s="1" t="n">
        <v>44956.6655787037</v>
      </c>
      <c r="C458" s="1" t="n">
        <v>46127</v>
      </c>
      <c r="D458" t="inlineStr">
        <is>
          <t>ÖREBRO LÄN</t>
        </is>
      </c>
      <c r="E458" t="inlineStr">
        <is>
          <t>ÖREBRO</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53558-2023</t>
        </is>
      </c>
      <c r="B459" s="1" t="n">
        <v>45230.47266203703</v>
      </c>
      <c r="C459" s="1" t="n">
        <v>46127</v>
      </c>
      <c r="D459" t="inlineStr">
        <is>
          <t>ÖREBRO LÄN</t>
        </is>
      </c>
      <c r="E459" t="inlineStr">
        <is>
          <t>ÖREBRO</t>
        </is>
      </c>
      <c r="F459" t="inlineStr">
        <is>
          <t>Övriga Aktiebolag</t>
        </is>
      </c>
      <c r="G459" t="n">
        <v>4.7</v>
      </c>
      <c r="H459" t="n">
        <v>0</v>
      </c>
      <c r="I459" t="n">
        <v>0</v>
      </c>
      <c r="J459" t="n">
        <v>0</v>
      </c>
      <c r="K459" t="n">
        <v>0</v>
      </c>
      <c r="L459" t="n">
        <v>0</v>
      </c>
      <c r="M459" t="n">
        <v>0</v>
      </c>
      <c r="N459" t="n">
        <v>0</v>
      </c>
      <c r="O459" t="n">
        <v>0</v>
      </c>
      <c r="P459" t="n">
        <v>0</v>
      </c>
      <c r="Q459" t="n">
        <v>0</v>
      </c>
      <c r="R459" s="2" t="inlineStr"/>
    </row>
    <row r="460" ht="15" customHeight="1">
      <c r="A460" t="inlineStr">
        <is>
          <t>A 46518-2023</t>
        </is>
      </c>
      <c r="B460" s="1" t="n">
        <v>45197.72777777778</v>
      </c>
      <c r="C460" s="1" t="n">
        <v>46127</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7692-2023</t>
        </is>
      </c>
      <c r="B461" s="1" t="n">
        <v>44972.7762962963</v>
      </c>
      <c r="C461" s="1" t="n">
        <v>46127</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46056-2024</t>
        </is>
      </c>
      <c r="B462" s="1" t="n">
        <v>45580.91502314815</v>
      </c>
      <c r="C462" s="1" t="n">
        <v>46127</v>
      </c>
      <c r="D462" t="inlineStr">
        <is>
          <t>ÖREBRO LÄN</t>
        </is>
      </c>
      <c r="E462" t="inlineStr">
        <is>
          <t>ÖREBRO</t>
        </is>
      </c>
      <c r="F462" t="inlineStr">
        <is>
          <t>Övriga Aktiebolag</t>
        </is>
      </c>
      <c r="G462" t="n">
        <v>4.5</v>
      </c>
      <c r="H462" t="n">
        <v>0</v>
      </c>
      <c r="I462" t="n">
        <v>0</v>
      </c>
      <c r="J462" t="n">
        <v>0</v>
      </c>
      <c r="K462" t="n">
        <v>0</v>
      </c>
      <c r="L462" t="n">
        <v>0</v>
      </c>
      <c r="M462" t="n">
        <v>0</v>
      </c>
      <c r="N462" t="n">
        <v>0</v>
      </c>
      <c r="O462" t="n">
        <v>0</v>
      </c>
      <c r="P462" t="n">
        <v>0</v>
      </c>
      <c r="Q462" t="n">
        <v>0</v>
      </c>
      <c r="R462" s="2" t="inlineStr"/>
    </row>
    <row r="463" ht="15" customHeight="1">
      <c r="A463" t="inlineStr">
        <is>
          <t>A 6220-2026</t>
        </is>
      </c>
      <c r="B463" s="1" t="n">
        <v>46055.43789351852</v>
      </c>
      <c r="C463" s="1" t="n">
        <v>46127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57638-2022</t>
        </is>
      </c>
      <c r="B464" s="1" t="n">
        <v>44897</v>
      </c>
      <c r="C464" s="1" t="n">
        <v>46127</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8274-2025</t>
        </is>
      </c>
      <c r="B465" s="1" t="n">
        <v>45708</v>
      </c>
      <c r="C465" s="1" t="n">
        <v>46127</v>
      </c>
      <c r="D465" t="inlineStr">
        <is>
          <t>ÖREBRO LÄN</t>
        </is>
      </c>
      <c r="E465" t="inlineStr">
        <is>
          <t>ÖREBRO</t>
        </is>
      </c>
      <c r="G465" t="n">
        <v>5.8</v>
      </c>
      <c r="H465" t="n">
        <v>0</v>
      </c>
      <c r="I465" t="n">
        <v>0</v>
      </c>
      <c r="J465" t="n">
        <v>0</v>
      </c>
      <c r="K465" t="n">
        <v>0</v>
      </c>
      <c r="L465" t="n">
        <v>0</v>
      </c>
      <c r="M465" t="n">
        <v>0</v>
      </c>
      <c r="N465" t="n">
        <v>0</v>
      </c>
      <c r="O465" t="n">
        <v>0</v>
      </c>
      <c r="P465" t="n">
        <v>0</v>
      </c>
      <c r="Q465" t="n">
        <v>0</v>
      </c>
      <c r="R465" s="2" t="inlineStr"/>
    </row>
    <row r="466" ht="15" customHeight="1">
      <c r="A466" t="inlineStr">
        <is>
          <t>A 7634-2024</t>
        </is>
      </c>
      <c r="B466" s="1" t="n">
        <v>45348</v>
      </c>
      <c r="C466" s="1" t="n">
        <v>46127</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58208-2024</t>
        </is>
      </c>
      <c r="B467" s="1" t="n">
        <v>45632</v>
      </c>
      <c r="C467" s="1" t="n">
        <v>46127</v>
      </c>
      <c r="D467" t="inlineStr">
        <is>
          <t>ÖREBRO LÄN</t>
        </is>
      </c>
      <c r="E467" t="inlineStr">
        <is>
          <t>ÖREBRO</t>
        </is>
      </c>
      <c r="G467" t="n">
        <v>3.1</v>
      </c>
      <c r="H467" t="n">
        <v>0</v>
      </c>
      <c r="I467" t="n">
        <v>0</v>
      </c>
      <c r="J467" t="n">
        <v>0</v>
      </c>
      <c r="K467" t="n">
        <v>0</v>
      </c>
      <c r="L467" t="n">
        <v>0</v>
      </c>
      <c r="M467" t="n">
        <v>0</v>
      </c>
      <c r="N467" t="n">
        <v>0</v>
      </c>
      <c r="O467" t="n">
        <v>0</v>
      </c>
      <c r="P467" t="n">
        <v>0</v>
      </c>
      <c r="Q467" t="n">
        <v>0</v>
      </c>
      <c r="R467" s="2" t="inlineStr"/>
    </row>
    <row r="468" ht="15" customHeight="1">
      <c r="A468" t="inlineStr">
        <is>
          <t>A 13778-2026</t>
        </is>
      </c>
      <c r="B468" s="1" t="n">
        <v>46097</v>
      </c>
      <c r="C468" s="1" t="n">
        <v>46127</v>
      </c>
      <c r="D468" t="inlineStr">
        <is>
          <t>ÖREBRO LÄN</t>
        </is>
      </c>
      <c r="E468" t="inlineStr">
        <is>
          <t>ÖREBRO</t>
        </is>
      </c>
      <c r="F468" t="inlineStr">
        <is>
          <t>Övriga Aktiebolag</t>
        </is>
      </c>
      <c r="G468" t="n">
        <v>23.7</v>
      </c>
      <c r="H468" t="n">
        <v>0</v>
      </c>
      <c r="I468" t="n">
        <v>0</v>
      </c>
      <c r="J468" t="n">
        <v>0</v>
      </c>
      <c r="K468" t="n">
        <v>0</v>
      </c>
      <c r="L468" t="n">
        <v>0</v>
      </c>
      <c r="M468" t="n">
        <v>0</v>
      </c>
      <c r="N468" t="n">
        <v>0</v>
      </c>
      <c r="O468" t="n">
        <v>0</v>
      </c>
      <c r="P468" t="n">
        <v>0</v>
      </c>
      <c r="Q468" t="n">
        <v>0</v>
      </c>
      <c r="R468" s="2" t="inlineStr"/>
    </row>
    <row r="469" ht="15" customHeight="1">
      <c r="A469" t="inlineStr">
        <is>
          <t>A 71266-2021</t>
        </is>
      </c>
      <c r="B469" s="1" t="n">
        <v>44539</v>
      </c>
      <c r="C469" s="1" t="n">
        <v>46127</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71267-2021</t>
        </is>
      </c>
      <c r="B470" s="1" t="n">
        <v>44539</v>
      </c>
      <c r="C470" s="1" t="n">
        <v>46127</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71280-2021</t>
        </is>
      </c>
      <c r="B471" s="1" t="n">
        <v>44539</v>
      </c>
      <c r="C471" s="1" t="n">
        <v>46127</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21983-2021</t>
        </is>
      </c>
      <c r="B472" s="1" t="n">
        <v>44323</v>
      </c>
      <c r="C472" s="1" t="n">
        <v>46127</v>
      </c>
      <c r="D472" t="inlineStr">
        <is>
          <t>ÖREBRO LÄN</t>
        </is>
      </c>
      <c r="E472" t="inlineStr">
        <is>
          <t>ÖREBRO</t>
        </is>
      </c>
      <c r="F472" t="inlineStr">
        <is>
          <t>Övriga Aktiebolag</t>
        </is>
      </c>
      <c r="G472" t="n">
        <v>0.7</v>
      </c>
      <c r="H472" t="n">
        <v>0</v>
      </c>
      <c r="I472" t="n">
        <v>0</v>
      </c>
      <c r="J472" t="n">
        <v>0</v>
      </c>
      <c r="K472" t="n">
        <v>0</v>
      </c>
      <c r="L472" t="n">
        <v>0</v>
      </c>
      <c r="M472" t="n">
        <v>0</v>
      </c>
      <c r="N472" t="n">
        <v>0</v>
      </c>
      <c r="O472" t="n">
        <v>0</v>
      </c>
      <c r="P472" t="n">
        <v>0</v>
      </c>
      <c r="Q472" t="n">
        <v>0</v>
      </c>
      <c r="R472" s="2" t="inlineStr"/>
    </row>
    <row r="473" ht="15" customHeight="1">
      <c r="A473" t="inlineStr">
        <is>
          <t>A 62497-2023</t>
        </is>
      </c>
      <c r="B473" s="1" t="n">
        <v>45268.59935185185</v>
      </c>
      <c r="C473" s="1" t="n">
        <v>46127</v>
      </c>
      <c r="D473" t="inlineStr">
        <is>
          <t>ÖREBRO LÄN</t>
        </is>
      </c>
      <c r="E473" t="inlineStr">
        <is>
          <t>ÖREBRO</t>
        </is>
      </c>
      <c r="F473" t="inlineStr">
        <is>
          <t>Övriga Aktiebolag</t>
        </is>
      </c>
      <c r="G473" t="n">
        <v>3.2</v>
      </c>
      <c r="H473" t="n">
        <v>0</v>
      </c>
      <c r="I473" t="n">
        <v>0</v>
      </c>
      <c r="J473" t="n">
        <v>0</v>
      </c>
      <c r="K473" t="n">
        <v>0</v>
      </c>
      <c r="L473" t="n">
        <v>0</v>
      </c>
      <c r="M473" t="n">
        <v>0</v>
      </c>
      <c r="N473" t="n">
        <v>0</v>
      </c>
      <c r="O473" t="n">
        <v>0</v>
      </c>
      <c r="P473" t="n">
        <v>0</v>
      </c>
      <c r="Q473" t="n">
        <v>0</v>
      </c>
      <c r="R473" s="2" t="inlineStr"/>
    </row>
    <row r="474" ht="15" customHeight="1">
      <c r="A474" t="inlineStr">
        <is>
          <t>A 33294-2023</t>
        </is>
      </c>
      <c r="B474" s="1" t="n">
        <v>45127</v>
      </c>
      <c r="C474" s="1" t="n">
        <v>46127</v>
      </c>
      <c r="D474" t="inlineStr">
        <is>
          <t>ÖREBRO LÄN</t>
        </is>
      </c>
      <c r="E474" t="inlineStr">
        <is>
          <t>ÖREBRO</t>
        </is>
      </c>
      <c r="F474" t="inlineStr">
        <is>
          <t>Övriga Aktiebolag</t>
        </is>
      </c>
      <c r="G474" t="n">
        <v>6.7</v>
      </c>
      <c r="H474" t="n">
        <v>0</v>
      </c>
      <c r="I474" t="n">
        <v>0</v>
      </c>
      <c r="J474" t="n">
        <v>0</v>
      </c>
      <c r="K474" t="n">
        <v>0</v>
      </c>
      <c r="L474" t="n">
        <v>0</v>
      </c>
      <c r="M474" t="n">
        <v>0</v>
      </c>
      <c r="N474" t="n">
        <v>0</v>
      </c>
      <c r="O474" t="n">
        <v>0</v>
      </c>
      <c r="P474" t="n">
        <v>0</v>
      </c>
      <c r="Q474" t="n">
        <v>0</v>
      </c>
      <c r="R474" s="2" t="inlineStr"/>
    </row>
    <row r="475" ht="15" customHeight="1">
      <c r="A475" t="inlineStr">
        <is>
          <t>A 46052-2024</t>
        </is>
      </c>
      <c r="B475" s="1" t="n">
        <v>45580.89116898148</v>
      </c>
      <c r="C475" s="1" t="n">
        <v>46127</v>
      </c>
      <c r="D475" t="inlineStr">
        <is>
          <t>ÖREBRO LÄN</t>
        </is>
      </c>
      <c r="E475" t="inlineStr">
        <is>
          <t>ÖREBRO</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14032-2026</t>
        </is>
      </c>
      <c r="B476" s="1" t="n">
        <v>46098</v>
      </c>
      <c r="C476" s="1" t="n">
        <v>46127</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54149-2024</t>
        </is>
      </c>
      <c r="B477" s="1" t="n">
        <v>45616</v>
      </c>
      <c r="C477" s="1" t="n">
        <v>46127</v>
      </c>
      <c r="D477" t="inlineStr">
        <is>
          <t>ÖREBRO LÄN</t>
        </is>
      </c>
      <c r="E477" t="inlineStr">
        <is>
          <t>ÖREBRO</t>
        </is>
      </c>
      <c r="G477" t="n">
        <v>2.7</v>
      </c>
      <c r="H477" t="n">
        <v>0</v>
      </c>
      <c r="I477" t="n">
        <v>0</v>
      </c>
      <c r="J477" t="n">
        <v>0</v>
      </c>
      <c r="K477" t="n">
        <v>0</v>
      </c>
      <c r="L477" t="n">
        <v>0</v>
      </c>
      <c r="M477" t="n">
        <v>0</v>
      </c>
      <c r="N477" t="n">
        <v>0</v>
      </c>
      <c r="O477" t="n">
        <v>0</v>
      </c>
      <c r="P477" t="n">
        <v>0</v>
      </c>
      <c r="Q477" t="n">
        <v>0</v>
      </c>
      <c r="R477" s="2" t="inlineStr"/>
    </row>
    <row r="478" ht="15" customHeight="1">
      <c r="A478" t="inlineStr">
        <is>
          <t>A 7550-2026</t>
        </is>
      </c>
      <c r="B478" s="1" t="n">
        <v>46059.68496527777</v>
      </c>
      <c r="C478" s="1" t="n">
        <v>46127</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15424-2022</t>
        </is>
      </c>
      <c r="B479" s="1" t="n">
        <v>44659</v>
      </c>
      <c r="C479" s="1" t="n">
        <v>46127</v>
      </c>
      <c r="D479" t="inlineStr">
        <is>
          <t>ÖREBRO LÄN</t>
        </is>
      </c>
      <c r="E479" t="inlineStr">
        <is>
          <t>ÖREBRO</t>
        </is>
      </c>
      <c r="G479" t="n">
        <v>2.2</v>
      </c>
      <c r="H479" t="n">
        <v>0</v>
      </c>
      <c r="I479" t="n">
        <v>0</v>
      </c>
      <c r="J479" t="n">
        <v>0</v>
      </c>
      <c r="K479" t="n">
        <v>0</v>
      </c>
      <c r="L479" t="n">
        <v>0</v>
      </c>
      <c r="M479" t="n">
        <v>0</v>
      </c>
      <c r="N479" t="n">
        <v>0</v>
      </c>
      <c r="O479" t="n">
        <v>0</v>
      </c>
      <c r="P479" t="n">
        <v>0</v>
      </c>
      <c r="Q479" t="n">
        <v>0</v>
      </c>
      <c r="R479" s="2" t="inlineStr"/>
    </row>
    <row r="480" ht="15" customHeight="1">
      <c r="A480" t="inlineStr">
        <is>
          <t>A 7220-2026</t>
        </is>
      </c>
      <c r="B480" s="1" t="n">
        <v>46058.56126157408</v>
      </c>
      <c r="C480" s="1" t="n">
        <v>46127</v>
      </c>
      <c r="D480" t="inlineStr">
        <is>
          <t>ÖREBRO LÄN</t>
        </is>
      </c>
      <c r="E480" t="inlineStr">
        <is>
          <t>ÖREBRO</t>
        </is>
      </c>
      <c r="F480" t="inlineStr">
        <is>
          <t>Övriga Aktiebolag</t>
        </is>
      </c>
      <c r="G480" t="n">
        <v>2</v>
      </c>
      <c r="H480" t="n">
        <v>0</v>
      </c>
      <c r="I480" t="n">
        <v>0</v>
      </c>
      <c r="J480" t="n">
        <v>0</v>
      </c>
      <c r="K480" t="n">
        <v>0</v>
      </c>
      <c r="L480" t="n">
        <v>0</v>
      </c>
      <c r="M480" t="n">
        <v>0</v>
      </c>
      <c r="N480" t="n">
        <v>0</v>
      </c>
      <c r="O480" t="n">
        <v>0</v>
      </c>
      <c r="P480" t="n">
        <v>0</v>
      </c>
      <c r="Q480" t="n">
        <v>0</v>
      </c>
      <c r="R480" s="2" t="inlineStr"/>
    </row>
    <row r="481" ht="15" customHeight="1">
      <c r="A481" t="inlineStr">
        <is>
          <t>A 7227-2026</t>
        </is>
      </c>
      <c r="B481" s="1" t="n">
        <v>46058.56858796296</v>
      </c>
      <c r="C481" s="1" t="n">
        <v>46127</v>
      </c>
      <c r="D481" t="inlineStr">
        <is>
          <t>ÖREBRO LÄN</t>
        </is>
      </c>
      <c r="E481" t="inlineStr">
        <is>
          <t>ÖREBRO</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15682-2023</t>
        </is>
      </c>
      <c r="B482" s="1" t="n">
        <v>45021</v>
      </c>
      <c r="C482" s="1" t="n">
        <v>46127</v>
      </c>
      <c r="D482" t="inlineStr">
        <is>
          <t>ÖREBRO LÄN</t>
        </is>
      </c>
      <c r="E482" t="inlineStr">
        <is>
          <t>ÖREBRO</t>
        </is>
      </c>
      <c r="G482" t="n">
        <v>1.3</v>
      </c>
      <c r="H482" t="n">
        <v>0</v>
      </c>
      <c r="I482" t="n">
        <v>0</v>
      </c>
      <c r="J482" t="n">
        <v>0</v>
      </c>
      <c r="K482" t="n">
        <v>0</v>
      </c>
      <c r="L482" t="n">
        <v>0</v>
      </c>
      <c r="M482" t="n">
        <v>0</v>
      </c>
      <c r="N482" t="n">
        <v>0</v>
      </c>
      <c r="O482" t="n">
        <v>0</v>
      </c>
      <c r="P482" t="n">
        <v>0</v>
      </c>
      <c r="Q482" t="n">
        <v>0</v>
      </c>
      <c r="R482" s="2" t="inlineStr"/>
    </row>
    <row r="483" ht="15" customHeight="1">
      <c r="A483" t="inlineStr">
        <is>
          <t>A 12682-2023</t>
        </is>
      </c>
      <c r="B483" s="1" t="n">
        <v>45000.6115625</v>
      </c>
      <c r="C483" s="1" t="n">
        <v>46127</v>
      </c>
      <c r="D483" t="inlineStr">
        <is>
          <t>ÖREBRO LÄN</t>
        </is>
      </c>
      <c r="E483" t="inlineStr">
        <is>
          <t>ÖREBRO</t>
        </is>
      </c>
      <c r="F483" t="inlineStr">
        <is>
          <t>Övriga Aktiebolag</t>
        </is>
      </c>
      <c r="G483" t="n">
        <v>4.4</v>
      </c>
      <c r="H483" t="n">
        <v>0</v>
      </c>
      <c r="I483" t="n">
        <v>0</v>
      </c>
      <c r="J483" t="n">
        <v>0</v>
      </c>
      <c r="K483" t="n">
        <v>0</v>
      </c>
      <c r="L483" t="n">
        <v>0</v>
      </c>
      <c r="M483" t="n">
        <v>0</v>
      </c>
      <c r="N483" t="n">
        <v>0</v>
      </c>
      <c r="O483" t="n">
        <v>0</v>
      </c>
      <c r="P483" t="n">
        <v>0</v>
      </c>
      <c r="Q483" t="n">
        <v>0</v>
      </c>
      <c r="R483" s="2" t="inlineStr"/>
    </row>
    <row r="484" ht="15" customHeight="1">
      <c r="A484" t="inlineStr">
        <is>
          <t>A 57247-2022</t>
        </is>
      </c>
      <c r="B484" s="1" t="n">
        <v>44895.73065972222</v>
      </c>
      <c r="C484" s="1" t="n">
        <v>46127</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58606-2024</t>
        </is>
      </c>
      <c r="B485" s="1" t="n">
        <v>45635.54747685185</v>
      </c>
      <c r="C485" s="1" t="n">
        <v>46127</v>
      </c>
      <c r="D485" t="inlineStr">
        <is>
          <t>ÖREBRO LÄN</t>
        </is>
      </c>
      <c r="E485" t="inlineStr">
        <is>
          <t>ÖREBRO</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123-2025</t>
        </is>
      </c>
      <c r="B486" s="1" t="n">
        <v>45659.54851851852</v>
      </c>
      <c r="C486" s="1" t="n">
        <v>46127</v>
      </c>
      <c r="D486" t="inlineStr">
        <is>
          <t>ÖREBRO LÄN</t>
        </is>
      </c>
      <c r="E486" t="inlineStr">
        <is>
          <t>ÖREBRO</t>
        </is>
      </c>
      <c r="G486" t="n">
        <v>1.6</v>
      </c>
      <c r="H486" t="n">
        <v>0</v>
      </c>
      <c r="I486" t="n">
        <v>0</v>
      </c>
      <c r="J486" t="n">
        <v>0</v>
      </c>
      <c r="K486" t="n">
        <v>0</v>
      </c>
      <c r="L486" t="n">
        <v>0</v>
      </c>
      <c r="M486" t="n">
        <v>0</v>
      </c>
      <c r="N486" t="n">
        <v>0</v>
      </c>
      <c r="O486" t="n">
        <v>0</v>
      </c>
      <c r="P486" t="n">
        <v>0</v>
      </c>
      <c r="Q486" t="n">
        <v>0</v>
      </c>
      <c r="R486" s="2" t="inlineStr"/>
    </row>
    <row r="487" ht="15" customHeight="1">
      <c r="A487" t="inlineStr">
        <is>
          <t>A 37012-2024</t>
        </is>
      </c>
      <c r="B487" s="1" t="n">
        <v>45539</v>
      </c>
      <c r="C487" s="1" t="n">
        <v>46127</v>
      </c>
      <c r="D487" t="inlineStr">
        <is>
          <t>ÖREBRO LÄN</t>
        </is>
      </c>
      <c r="E487" t="inlineStr">
        <is>
          <t>ÖREBRO</t>
        </is>
      </c>
      <c r="G487" t="n">
        <v>4.1</v>
      </c>
      <c r="H487" t="n">
        <v>0</v>
      </c>
      <c r="I487" t="n">
        <v>0</v>
      </c>
      <c r="J487" t="n">
        <v>0</v>
      </c>
      <c r="K487" t="n">
        <v>0</v>
      </c>
      <c r="L487" t="n">
        <v>0</v>
      </c>
      <c r="M487" t="n">
        <v>0</v>
      </c>
      <c r="N487" t="n">
        <v>0</v>
      </c>
      <c r="O487" t="n">
        <v>0</v>
      </c>
      <c r="P487" t="n">
        <v>0</v>
      </c>
      <c r="Q487" t="n">
        <v>0</v>
      </c>
      <c r="R487" s="2" t="inlineStr"/>
    </row>
    <row r="488" ht="15" customHeight="1">
      <c r="A488" t="inlineStr">
        <is>
          <t>A 37020-2024</t>
        </is>
      </c>
      <c r="B488" s="1" t="n">
        <v>45539.38059027777</v>
      </c>
      <c r="C488" s="1" t="n">
        <v>46127</v>
      </c>
      <c r="D488" t="inlineStr">
        <is>
          <t>ÖREBRO LÄN</t>
        </is>
      </c>
      <c r="E488" t="inlineStr">
        <is>
          <t>ÖREBRO</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16958-2022</t>
        </is>
      </c>
      <c r="B489" s="1" t="n">
        <v>44676.50481481481</v>
      </c>
      <c r="C489" s="1" t="n">
        <v>46127</v>
      </c>
      <c r="D489" t="inlineStr">
        <is>
          <t>ÖREBRO LÄN</t>
        </is>
      </c>
      <c r="E489" t="inlineStr">
        <is>
          <t>ÖREBRO</t>
        </is>
      </c>
      <c r="G489" t="n">
        <v>3.1</v>
      </c>
      <c r="H489" t="n">
        <v>0</v>
      </c>
      <c r="I489" t="n">
        <v>0</v>
      </c>
      <c r="J489" t="n">
        <v>0</v>
      </c>
      <c r="K489" t="n">
        <v>0</v>
      </c>
      <c r="L489" t="n">
        <v>0</v>
      </c>
      <c r="M489" t="n">
        <v>0</v>
      </c>
      <c r="N489" t="n">
        <v>0</v>
      </c>
      <c r="O489" t="n">
        <v>0</v>
      </c>
      <c r="P489" t="n">
        <v>0</v>
      </c>
      <c r="Q489" t="n">
        <v>0</v>
      </c>
      <c r="R489" s="2" t="inlineStr"/>
    </row>
    <row r="490" ht="15" customHeight="1">
      <c r="A490" t="inlineStr">
        <is>
          <t>A 5338-2024</t>
        </is>
      </c>
      <c r="B490" s="1" t="n">
        <v>45331</v>
      </c>
      <c r="C490" s="1" t="n">
        <v>46127</v>
      </c>
      <c r="D490" t="inlineStr">
        <is>
          <t>ÖREBRO LÄN</t>
        </is>
      </c>
      <c r="E490" t="inlineStr">
        <is>
          <t>ÖREBRO</t>
        </is>
      </c>
      <c r="G490" t="n">
        <v>0.6</v>
      </c>
      <c r="H490" t="n">
        <v>0</v>
      </c>
      <c r="I490" t="n">
        <v>0</v>
      </c>
      <c r="J490" t="n">
        <v>0</v>
      </c>
      <c r="K490" t="n">
        <v>0</v>
      </c>
      <c r="L490" t="n">
        <v>0</v>
      </c>
      <c r="M490" t="n">
        <v>0</v>
      </c>
      <c r="N490" t="n">
        <v>0</v>
      </c>
      <c r="O490" t="n">
        <v>0</v>
      </c>
      <c r="P490" t="n">
        <v>0</v>
      </c>
      <c r="Q490" t="n">
        <v>0</v>
      </c>
      <c r="R490" s="2" t="inlineStr"/>
    </row>
    <row r="491" ht="15" customHeight="1">
      <c r="A491" t="inlineStr">
        <is>
          <t>A 6254-2026</t>
        </is>
      </c>
      <c r="B491" s="1" t="n">
        <v>46055</v>
      </c>
      <c r="C491" s="1" t="n">
        <v>46127</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8461-2026</t>
        </is>
      </c>
      <c r="B492" s="1" t="n">
        <v>46065.42981481482</v>
      </c>
      <c r="C492" s="1" t="n">
        <v>46127</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4970-2022</t>
        </is>
      </c>
      <c r="B493" s="1" t="n">
        <v>44593.51175925926</v>
      </c>
      <c r="C493" s="1" t="n">
        <v>46127</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8677-2026</t>
        </is>
      </c>
      <c r="B494" s="1" t="n">
        <v>46066.40994212963</v>
      </c>
      <c r="C494" s="1" t="n">
        <v>46127</v>
      </c>
      <c r="D494" t="inlineStr">
        <is>
          <t>ÖREBRO LÄN</t>
        </is>
      </c>
      <c r="E494" t="inlineStr">
        <is>
          <t>ÖREBRO</t>
        </is>
      </c>
      <c r="G494" t="n">
        <v>2.6</v>
      </c>
      <c r="H494" t="n">
        <v>0</v>
      </c>
      <c r="I494" t="n">
        <v>0</v>
      </c>
      <c r="J494" t="n">
        <v>0</v>
      </c>
      <c r="K494" t="n">
        <v>0</v>
      </c>
      <c r="L494" t="n">
        <v>0</v>
      </c>
      <c r="M494" t="n">
        <v>0</v>
      </c>
      <c r="N494" t="n">
        <v>0</v>
      </c>
      <c r="O494" t="n">
        <v>0</v>
      </c>
      <c r="P494" t="n">
        <v>0</v>
      </c>
      <c r="Q494" t="n">
        <v>0</v>
      </c>
      <c r="R494" s="2" t="inlineStr"/>
    </row>
    <row r="495" ht="15" customHeight="1">
      <c r="A495" t="inlineStr">
        <is>
          <t>A 13657-2025</t>
        </is>
      </c>
      <c r="B495" s="1" t="n">
        <v>45736.7427662037</v>
      </c>
      <c r="C495" s="1" t="n">
        <v>46127</v>
      </c>
      <c r="D495" t="inlineStr">
        <is>
          <t>ÖREBRO LÄN</t>
        </is>
      </c>
      <c r="E495" t="inlineStr">
        <is>
          <t>ÖREBRO</t>
        </is>
      </c>
      <c r="G495" t="n">
        <v>3.8</v>
      </c>
      <c r="H495" t="n">
        <v>0</v>
      </c>
      <c r="I495" t="n">
        <v>0</v>
      </c>
      <c r="J495" t="n">
        <v>0</v>
      </c>
      <c r="K495" t="n">
        <v>0</v>
      </c>
      <c r="L495" t="n">
        <v>0</v>
      </c>
      <c r="M495" t="n">
        <v>0</v>
      </c>
      <c r="N495" t="n">
        <v>0</v>
      </c>
      <c r="O495" t="n">
        <v>0</v>
      </c>
      <c r="P495" t="n">
        <v>0</v>
      </c>
      <c r="Q495" t="n">
        <v>0</v>
      </c>
      <c r="R495" s="2" t="inlineStr"/>
    </row>
    <row r="496" ht="15" customHeight="1">
      <c r="A496" t="inlineStr">
        <is>
          <t>A 9314-2023</t>
        </is>
      </c>
      <c r="B496" s="1" t="n">
        <v>44980.67747685185</v>
      </c>
      <c r="C496" s="1" t="n">
        <v>46127</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6522-2023</t>
        </is>
      </c>
      <c r="B497" s="1" t="n">
        <v>44966</v>
      </c>
      <c r="C497" s="1" t="n">
        <v>46127</v>
      </c>
      <c r="D497" t="inlineStr">
        <is>
          <t>ÖREBRO LÄN</t>
        </is>
      </c>
      <c r="E497" t="inlineStr">
        <is>
          <t>ÖREBRO</t>
        </is>
      </c>
      <c r="G497" t="n">
        <v>4.4</v>
      </c>
      <c r="H497" t="n">
        <v>0</v>
      </c>
      <c r="I497" t="n">
        <v>0</v>
      </c>
      <c r="J497" t="n">
        <v>0</v>
      </c>
      <c r="K497" t="n">
        <v>0</v>
      </c>
      <c r="L497" t="n">
        <v>0</v>
      </c>
      <c r="M497" t="n">
        <v>0</v>
      </c>
      <c r="N497" t="n">
        <v>0</v>
      </c>
      <c r="O497" t="n">
        <v>0</v>
      </c>
      <c r="P497" t="n">
        <v>0</v>
      </c>
      <c r="Q497" t="n">
        <v>0</v>
      </c>
      <c r="R497" s="2" t="inlineStr"/>
    </row>
    <row r="498" ht="15" customHeight="1">
      <c r="A498" t="inlineStr">
        <is>
          <t>A 18449-2023</t>
        </is>
      </c>
      <c r="B498" s="1" t="n">
        <v>45042.5203125</v>
      </c>
      <c r="C498" s="1" t="n">
        <v>46127</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16736-2023</t>
        </is>
      </c>
      <c r="B499" s="1" t="n">
        <v>45030.72328703704</v>
      </c>
      <c r="C499" s="1" t="n">
        <v>46127</v>
      </c>
      <c r="D499" t="inlineStr">
        <is>
          <t>ÖREBRO LÄN</t>
        </is>
      </c>
      <c r="E499" t="inlineStr">
        <is>
          <t>ÖREBRO</t>
        </is>
      </c>
      <c r="G499" t="n">
        <v>4</v>
      </c>
      <c r="H499" t="n">
        <v>0</v>
      </c>
      <c r="I499" t="n">
        <v>0</v>
      </c>
      <c r="J499" t="n">
        <v>0</v>
      </c>
      <c r="K499" t="n">
        <v>0</v>
      </c>
      <c r="L499" t="n">
        <v>0</v>
      </c>
      <c r="M499" t="n">
        <v>0</v>
      </c>
      <c r="N499" t="n">
        <v>0</v>
      </c>
      <c r="O499" t="n">
        <v>0</v>
      </c>
      <c r="P499" t="n">
        <v>0</v>
      </c>
      <c r="Q499" t="n">
        <v>0</v>
      </c>
      <c r="R499" s="2" t="inlineStr"/>
    </row>
    <row r="500" ht="15" customHeight="1">
      <c r="A500" t="inlineStr">
        <is>
          <t>A 8662-2026</t>
        </is>
      </c>
      <c r="B500" s="1" t="n">
        <v>46066.38112268518</v>
      </c>
      <c r="C500" s="1" t="n">
        <v>46127</v>
      </c>
      <c r="D500" t="inlineStr">
        <is>
          <t>ÖREBRO LÄN</t>
        </is>
      </c>
      <c r="E500" t="inlineStr">
        <is>
          <t>ÖREBRO</t>
        </is>
      </c>
      <c r="G500" t="n">
        <v>3.2</v>
      </c>
      <c r="H500" t="n">
        <v>0</v>
      </c>
      <c r="I500" t="n">
        <v>0</v>
      </c>
      <c r="J500" t="n">
        <v>0</v>
      </c>
      <c r="K500" t="n">
        <v>0</v>
      </c>
      <c r="L500" t="n">
        <v>0</v>
      </c>
      <c r="M500" t="n">
        <v>0</v>
      </c>
      <c r="N500" t="n">
        <v>0</v>
      </c>
      <c r="O500" t="n">
        <v>0</v>
      </c>
      <c r="P500" t="n">
        <v>0</v>
      </c>
      <c r="Q500" t="n">
        <v>0</v>
      </c>
      <c r="R500" s="2" t="inlineStr"/>
    </row>
    <row r="501" ht="15" customHeight="1">
      <c r="A501" t="inlineStr">
        <is>
          <t>A 50375-2024</t>
        </is>
      </c>
      <c r="B501" s="1" t="n">
        <v>45601.29311342593</v>
      </c>
      <c r="C501" s="1" t="n">
        <v>46127</v>
      </c>
      <c r="D501" t="inlineStr">
        <is>
          <t>ÖREBRO LÄN</t>
        </is>
      </c>
      <c r="E501" t="inlineStr">
        <is>
          <t>ÖREBRO</t>
        </is>
      </c>
      <c r="G501" t="n">
        <v>5</v>
      </c>
      <c r="H501" t="n">
        <v>0</v>
      </c>
      <c r="I501" t="n">
        <v>0</v>
      </c>
      <c r="J501" t="n">
        <v>0</v>
      </c>
      <c r="K501" t="n">
        <v>0</v>
      </c>
      <c r="L501" t="n">
        <v>0</v>
      </c>
      <c r="M501" t="n">
        <v>0</v>
      </c>
      <c r="N501" t="n">
        <v>0</v>
      </c>
      <c r="O501" t="n">
        <v>0</v>
      </c>
      <c r="P501" t="n">
        <v>0</v>
      </c>
      <c r="Q501" t="n">
        <v>0</v>
      </c>
      <c r="R501" s="2" t="inlineStr"/>
    </row>
    <row r="502" ht="15" customHeight="1">
      <c r="A502" t="inlineStr">
        <is>
          <t>A 22045-2024</t>
        </is>
      </c>
      <c r="B502" s="1" t="n">
        <v>45443.61171296296</v>
      </c>
      <c r="C502" s="1" t="n">
        <v>46127</v>
      </c>
      <c r="D502" t="inlineStr">
        <is>
          <t>ÖREBRO LÄN</t>
        </is>
      </c>
      <c r="E502" t="inlineStr">
        <is>
          <t>ÖREBRO</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3-2024</t>
        </is>
      </c>
      <c r="B503" s="1" t="n">
        <v>45292</v>
      </c>
      <c r="C503" s="1" t="n">
        <v>46127</v>
      </c>
      <c r="D503" t="inlineStr">
        <is>
          <t>ÖREBRO LÄN</t>
        </is>
      </c>
      <c r="E503" t="inlineStr">
        <is>
          <t>ÖREBRO</t>
        </is>
      </c>
      <c r="G503" t="n">
        <v>2.7</v>
      </c>
      <c r="H503" t="n">
        <v>0</v>
      </c>
      <c r="I503" t="n">
        <v>0</v>
      </c>
      <c r="J503" t="n">
        <v>0</v>
      </c>
      <c r="K503" t="n">
        <v>0</v>
      </c>
      <c r="L503" t="n">
        <v>0</v>
      </c>
      <c r="M503" t="n">
        <v>0</v>
      </c>
      <c r="N503" t="n">
        <v>0</v>
      </c>
      <c r="O503" t="n">
        <v>0</v>
      </c>
      <c r="P503" t="n">
        <v>0</v>
      </c>
      <c r="Q503" t="n">
        <v>0</v>
      </c>
      <c r="R503" s="2" t="inlineStr"/>
    </row>
    <row r="504" ht="15" customHeight="1">
      <c r="A504" t="inlineStr">
        <is>
          <t>A 21306-2024</t>
        </is>
      </c>
      <c r="B504" s="1" t="n">
        <v>45440.67883101852</v>
      </c>
      <c r="C504" s="1" t="n">
        <v>46127</v>
      </c>
      <c r="D504" t="inlineStr">
        <is>
          <t>ÖREBRO LÄN</t>
        </is>
      </c>
      <c r="E504" t="inlineStr">
        <is>
          <t>ÖREBRO</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1257-2022</t>
        </is>
      </c>
      <c r="B505" s="1" t="n">
        <v>44572</v>
      </c>
      <c r="C505" s="1" t="n">
        <v>46127</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64730-2023</t>
        </is>
      </c>
      <c r="B506" s="1" t="n">
        <v>45281</v>
      </c>
      <c r="C506" s="1" t="n">
        <v>46127</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6869-2025</t>
        </is>
      </c>
      <c r="B507" s="1" t="n">
        <v>45700</v>
      </c>
      <c r="C507" s="1" t="n">
        <v>46127</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4416-2023</t>
        </is>
      </c>
      <c r="B508" s="1" t="n">
        <v>44956</v>
      </c>
      <c r="C508" s="1" t="n">
        <v>46127</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9318-2026</t>
        </is>
      </c>
      <c r="B509" s="1" t="n">
        <v>46070.62585648148</v>
      </c>
      <c r="C509" s="1" t="n">
        <v>46127</v>
      </c>
      <c r="D509" t="inlineStr">
        <is>
          <t>ÖREBRO LÄN</t>
        </is>
      </c>
      <c r="E509" t="inlineStr">
        <is>
          <t>ÖREBRO</t>
        </is>
      </c>
      <c r="F509" t="inlineStr">
        <is>
          <t>Övriga Aktiebolag</t>
        </is>
      </c>
      <c r="G509" t="n">
        <v>2.7</v>
      </c>
      <c r="H509" t="n">
        <v>0</v>
      </c>
      <c r="I509" t="n">
        <v>0</v>
      </c>
      <c r="J509" t="n">
        <v>0</v>
      </c>
      <c r="K509" t="n">
        <v>0</v>
      </c>
      <c r="L509" t="n">
        <v>0</v>
      </c>
      <c r="M509" t="n">
        <v>0</v>
      </c>
      <c r="N509" t="n">
        <v>0</v>
      </c>
      <c r="O509" t="n">
        <v>0</v>
      </c>
      <c r="P509" t="n">
        <v>0</v>
      </c>
      <c r="Q509" t="n">
        <v>0</v>
      </c>
      <c r="R509" s="2" t="inlineStr"/>
    </row>
    <row r="510" ht="15" customHeight="1">
      <c r="A510" t="inlineStr">
        <is>
          <t>A 16961-2022</t>
        </is>
      </c>
      <c r="B510" s="1" t="n">
        <v>44676</v>
      </c>
      <c r="C510" s="1" t="n">
        <v>46127</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17983-2025</t>
        </is>
      </c>
      <c r="B511" s="1" t="n">
        <v>45761.38829861111</v>
      </c>
      <c r="C511" s="1" t="n">
        <v>46127</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23594-2023</t>
        </is>
      </c>
      <c r="B512" s="1" t="n">
        <v>45077</v>
      </c>
      <c r="C512" s="1" t="n">
        <v>46127</v>
      </c>
      <c r="D512" t="inlineStr">
        <is>
          <t>ÖREBRO LÄN</t>
        </is>
      </c>
      <c r="E512" t="inlineStr">
        <is>
          <t>ÖREBRO</t>
        </is>
      </c>
      <c r="G512" t="n">
        <v>9.9</v>
      </c>
      <c r="H512" t="n">
        <v>0</v>
      </c>
      <c r="I512" t="n">
        <v>0</v>
      </c>
      <c r="J512" t="n">
        <v>0</v>
      </c>
      <c r="K512" t="n">
        <v>0</v>
      </c>
      <c r="L512" t="n">
        <v>0</v>
      </c>
      <c r="M512" t="n">
        <v>0</v>
      </c>
      <c r="N512" t="n">
        <v>0</v>
      </c>
      <c r="O512" t="n">
        <v>0</v>
      </c>
      <c r="P512" t="n">
        <v>0</v>
      </c>
      <c r="Q512" t="n">
        <v>0</v>
      </c>
      <c r="R512" s="2" t="inlineStr"/>
    </row>
    <row r="513" ht="15" customHeight="1">
      <c r="A513" t="inlineStr">
        <is>
          <t>A 52444-2024</t>
        </is>
      </c>
      <c r="B513" s="1" t="n">
        <v>45609.48894675926</v>
      </c>
      <c r="C513" s="1" t="n">
        <v>46127</v>
      </c>
      <c r="D513" t="inlineStr">
        <is>
          <t>ÖREBRO LÄN</t>
        </is>
      </c>
      <c r="E513" t="inlineStr">
        <is>
          <t>ÖREBRO</t>
        </is>
      </c>
      <c r="G513" t="n">
        <v>1.7</v>
      </c>
      <c r="H513" t="n">
        <v>0</v>
      </c>
      <c r="I513" t="n">
        <v>0</v>
      </c>
      <c r="J513" t="n">
        <v>0</v>
      </c>
      <c r="K513" t="n">
        <v>0</v>
      </c>
      <c r="L513" t="n">
        <v>0</v>
      </c>
      <c r="M513" t="n">
        <v>0</v>
      </c>
      <c r="N513" t="n">
        <v>0</v>
      </c>
      <c r="O513" t="n">
        <v>0</v>
      </c>
      <c r="P513" t="n">
        <v>0</v>
      </c>
      <c r="Q513" t="n">
        <v>0</v>
      </c>
      <c r="R513" s="2" t="inlineStr"/>
    </row>
    <row r="514" ht="15" customHeight="1">
      <c r="A514" t="inlineStr">
        <is>
          <t>A 41995-2024</t>
        </is>
      </c>
      <c r="B514" s="1" t="n">
        <v>45561.6475462963</v>
      </c>
      <c r="C514" s="1" t="n">
        <v>46127</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25996-2024</t>
        </is>
      </c>
      <c r="B515" s="1" t="n">
        <v>45467.89081018518</v>
      </c>
      <c r="C515" s="1" t="n">
        <v>46127</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7611-2024</t>
        </is>
      </c>
      <c r="B516" s="1" t="n">
        <v>45348.58864583333</v>
      </c>
      <c r="C516" s="1" t="n">
        <v>46127</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15789-2023</t>
        </is>
      </c>
      <c r="B517" s="1" t="n">
        <v>45021.71539351852</v>
      </c>
      <c r="C517" s="1" t="n">
        <v>46127</v>
      </c>
      <c r="D517" t="inlineStr">
        <is>
          <t>ÖREBRO LÄN</t>
        </is>
      </c>
      <c r="E517" t="inlineStr">
        <is>
          <t>ÖREBRO</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52612-2024</t>
        </is>
      </c>
      <c r="B518" s="1" t="n">
        <v>45609</v>
      </c>
      <c r="C518" s="1" t="n">
        <v>46127</v>
      </c>
      <c r="D518" t="inlineStr">
        <is>
          <t>ÖREBRO LÄN</t>
        </is>
      </c>
      <c r="E518" t="inlineStr">
        <is>
          <t>ÖREBRO</t>
        </is>
      </c>
      <c r="F518" t="inlineStr">
        <is>
          <t>Kommuner</t>
        </is>
      </c>
      <c r="G518" t="n">
        <v>5.5</v>
      </c>
      <c r="H518" t="n">
        <v>0</v>
      </c>
      <c r="I518" t="n">
        <v>0</v>
      </c>
      <c r="J518" t="n">
        <v>0</v>
      </c>
      <c r="K518" t="n">
        <v>0</v>
      </c>
      <c r="L518" t="n">
        <v>0</v>
      </c>
      <c r="M518" t="n">
        <v>0</v>
      </c>
      <c r="N518" t="n">
        <v>0</v>
      </c>
      <c r="O518" t="n">
        <v>0</v>
      </c>
      <c r="P518" t="n">
        <v>0</v>
      </c>
      <c r="Q518" t="n">
        <v>0</v>
      </c>
      <c r="R518" s="2" t="inlineStr"/>
    </row>
    <row r="519" ht="15" customHeight="1">
      <c r="A519" t="inlineStr">
        <is>
          <t>A 10502-2026</t>
        </is>
      </c>
      <c r="B519" s="1" t="n">
        <v>46077</v>
      </c>
      <c r="C519" s="1" t="n">
        <v>46127</v>
      </c>
      <c r="D519" t="inlineStr">
        <is>
          <t>ÖREBRO LÄN</t>
        </is>
      </c>
      <c r="E519" t="inlineStr">
        <is>
          <t>ÖREBRO</t>
        </is>
      </c>
      <c r="G519" t="n">
        <v>1</v>
      </c>
      <c r="H519" t="n">
        <v>0</v>
      </c>
      <c r="I519" t="n">
        <v>0</v>
      </c>
      <c r="J519" t="n">
        <v>0</v>
      </c>
      <c r="K519" t="n">
        <v>0</v>
      </c>
      <c r="L519" t="n">
        <v>0</v>
      </c>
      <c r="M519" t="n">
        <v>0</v>
      </c>
      <c r="N519" t="n">
        <v>0</v>
      </c>
      <c r="O519" t="n">
        <v>0</v>
      </c>
      <c r="P519" t="n">
        <v>0</v>
      </c>
      <c r="Q519" t="n">
        <v>0</v>
      </c>
      <c r="R519" s="2" t="inlineStr"/>
    </row>
    <row r="520" ht="15" customHeight="1">
      <c r="A520" t="inlineStr">
        <is>
          <t>A 37786-2024</t>
        </is>
      </c>
      <c r="B520" s="1" t="n">
        <v>45542.82987268519</v>
      </c>
      <c r="C520" s="1" t="n">
        <v>46127</v>
      </c>
      <c r="D520" t="inlineStr">
        <is>
          <t>ÖREBRO LÄN</t>
        </is>
      </c>
      <c r="E520" t="inlineStr">
        <is>
          <t>ÖREBRO</t>
        </is>
      </c>
      <c r="G520" t="n">
        <v>3.1</v>
      </c>
      <c r="H520" t="n">
        <v>0</v>
      </c>
      <c r="I520" t="n">
        <v>0</v>
      </c>
      <c r="J520" t="n">
        <v>0</v>
      </c>
      <c r="K520" t="n">
        <v>0</v>
      </c>
      <c r="L520" t="n">
        <v>0</v>
      </c>
      <c r="M520" t="n">
        <v>0</v>
      </c>
      <c r="N520" t="n">
        <v>0</v>
      </c>
      <c r="O520" t="n">
        <v>0</v>
      </c>
      <c r="P520" t="n">
        <v>0</v>
      </c>
      <c r="Q520" t="n">
        <v>0</v>
      </c>
      <c r="R520" s="2" t="inlineStr"/>
    </row>
    <row r="521" ht="15" customHeight="1">
      <c r="A521" t="inlineStr">
        <is>
          <t>A 55875-2024</t>
        </is>
      </c>
      <c r="B521" s="1" t="n">
        <v>45623.55375</v>
      </c>
      <c r="C521" s="1" t="n">
        <v>46127</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3841-2023</t>
        </is>
      </c>
      <c r="B522" s="1" t="n">
        <v>44951</v>
      </c>
      <c r="C522" s="1" t="n">
        <v>46127</v>
      </c>
      <c r="D522" t="inlineStr">
        <is>
          <t>ÖREBRO LÄN</t>
        </is>
      </c>
      <c r="E522" t="inlineStr">
        <is>
          <t>ÖREBRO</t>
        </is>
      </c>
      <c r="G522" t="n">
        <v>4.3</v>
      </c>
      <c r="H522" t="n">
        <v>0</v>
      </c>
      <c r="I522" t="n">
        <v>0</v>
      </c>
      <c r="J522" t="n">
        <v>0</v>
      </c>
      <c r="K522" t="n">
        <v>0</v>
      </c>
      <c r="L522" t="n">
        <v>0</v>
      </c>
      <c r="M522" t="n">
        <v>0</v>
      </c>
      <c r="N522" t="n">
        <v>0</v>
      </c>
      <c r="O522" t="n">
        <v>0</v>
      </c>
      <c r="P522" t="n">
        <v>0</v>
      </c>
      <c r="Q522" t="n">
        <v>0</v>
      </c>
      <c r="R522" s="2" t="inlineStr"/>
    </row>
    <row r="523" ht="15" customHeight="1">
      <c r="A523" t="inlineStr">
        <is>
          <t>A 49215-2023</t>
        </is>
      </c>
      <c r="B523" s="1" t="n">
        <v>45210.61050925926</v>
      </c>
      <c r="C523" s="1" t="n">
        <v>46127</v>
      </c>
      <c r="D523" t="inlineStr">
        <is>
          <t>ÖREBRO LÄN</t>
        </is>
      </c>
      <c r="E523" t="inlineStr">
        <is>
          <t>ÖREBRO</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10816-2026</t>
        </is>
      </c>
      <c r="B524" s="1" t="n">
        <v>46078.61224537037</v>
      </c>
      <c r="C524" s="1" t="n">
        <v>46127</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10108-2026</t>
        </is>
      </c>
      <c r="B525" s="1" t="n">
        <v>46074.64310185185</v>
      </c>
      <c r="C525" s="1" t="n">
        <v>46127</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43399-2022</t>
        </is>
      </c>
      <c r="B526" s="1" t="n">
        <v>44834</v>
      </c>
      <c r="C526" s="1" t="n">
        <v>46127</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10970-2026</t>
        </is>
      </c>
      <c r="B527" s="1" t="n">
        <v>46079.44788194444</v>
      </c>
      <c r="C527" s="1" t="n">
        <v>46127</v>
      </c>
      <c r="D527" t="inlineStr">
        <is>
          <t>ÖREBRO LÄN</t>
        </is>
      </c>
      <c r="E527" t="inlineStr">
        <is>
          <t>ÖREBRO</t>
        </is>
      </c>
      <c r="G527" t="n">
        <v>6.5</v>
      </c>
      <c r="H527" t="n">
        <v>0</v>
      </c>
      <c r="I527" t="n">
        <v>0</v>
      </c>
      <c r="J527" t="n">
        <v>0</v>
      </c>
      <c r="K527" t="n">
        <v>0</v>
      </c>
      <c r="L527" t="n">
        <v>0</v>
      </c>
      <c r="M527" t="n">
        <v>0</v>
      </c>
      <c r="N527" t="n">
        <v>0</v>
      </c>
      <c r="O527" t="n">
        <v>0</v>
      </c>
      <c r="P527" t="n">
        <v>0</v>
      </c>
      <c r="Q527" t="n">
        <v>0</v>
      </c>
      <c r="R527" s="2" t="inlineStr"/>
    </row>
    <row r="528" ht="15" customHeight="1">
      <c r="A528" t="inlineStr">
        <is>
          <t>A 10972-2026</t>
        </is>
      </c>
      <c r="B528" s="1" t="n">
        <v>46079.45015046297</v>
      </c>
      <c r="C528" s="1" t="n">
        <v>46127</v>
      </c>
      <c r="D528" t="inlineStr">
        <is>
          <t>ÖREBRO LÄN</t>
        </is>
      </c>
      <c r="E528" t="inlineStr">
        <is>
          <t>ÖREBRO</t>
        </is>
      </c>
      <c r="G528" t="n">
        <v>1.7</v>
      </c>
      <c r="H528" t="n">
        <v>0</v>
      </c>
      <c r="I528" t="n">
        <v>0</v>
      </c>
      <c r="J528" t="n">
        <v>0</v>
      </c>
      <c r="K528" t="n">
        <v>0</v>
      </c>
      <c r="L528" t="n">
        <v>0</v>
      </c>
      <c r="M528" t="n">
        <v>0</v>
      </c>
      <c r="N528" t="n">
        <v>0</v>
      </c>
      <c r="O528" t="n">
        <v>0</v>
      </c>
      <c r="P528" t="n">
        <v>0</v>
      </c>
      <c r="Q528" t="n">
        <v>0</v>
      </c>
      <c r="R528" s="2" t="inlineStr"/>
    </row>
    <row r="529" ht="15" customHeight="1">
      <c r="A529" t="inlineStr">
        <is>
          <t>A 11286-2026</t>
        </is>
      </c>
      <c r="B529" s="1" t="n">
        <v>46080</v>
      </c>
      <c r="C529" s="1" t="n">
        <v>46127</v>
      </c>
      <c r="D529" t="inlineStr">
        <is>
          <t>ÖREBRO LÄN</t>
        </is>
      </c>
      <c r="E529" t="inlineStr">
        <is>
          <t>ÖREBRO</t>
        </is>
      </c>
      <c r="G529" t="n">
        <v>5.4</v>
      </c>
      <c r="H529" t="n">
        <v>0</v>
      </c>
      <c r="I529" t="n">
        <v>0</v>
      </c>
      <c r="J529" t="n">
        <v>0</v>
      </c>
      <c r="K529" t="n">
        <v>0</v>
      </c>
      <c r="L529" t="n">
        <v>0</v>
      </c>
      <c r="M529" t="n">
        <v>0</v>
      </c>
      <c r="N529" t="n">
        <v>0</v>
      </c>
      <c r="O529" t="n">
        <v>0</v>
      </c>
      <c r="P529" t="n">
        <v>0</v>
      </c>
      <c r="Q529" t="n">
        <v>0</v>
      </c>
      <c r="R529" s="2" t="inlineStr"/>
    </row>
    <row r="530" ht="15" customHeight="1">
      <c r="A530" t="inlineStr">
        <is>
          <t>A 19553-2023</t>
        </is>
      </c>
      <c r="B530" s="1" t="n">
        <v>45050</v>
      </c>
      <c r="C530" s="1" t="n">
        <v>46127</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17744-2026</t>
        </is>
      </c>
      <c r="B531" s="1" t="n">
        <v>46122.31243055555</v>
      </c>
      <c r="C531" s="1" t="n">
        <v>46127</v>
      </c>
      <c r="D531" t="inlineStr">
        <is>
          <t>ÖREBRO LÄN</t>
        </is>
      </c>
      <c r="E531" t="inlineStr">
        <is>
          <t>ÖREBRO</t>
        </is>
      </c>
      <c r="G531" t="n">
        <v>3.5</v>
      </c>
      <c r="H531" t="n">
        <v>0</v>
      </c>
      <c r="I531" t="n">
        <v>0</v>
      </c>
      <c r="J531" t="n">
        <v>0</v>
      </c>
      <c r="K531" t="n">
        <v>0</v>
      </c>
      <c r="L531" t="n">
        <v>0</v>
      </c>
      <c r="M531" t="n">
        <v>0</v>
      </c>
      <c r="N531" t="n">
        <v>0</v>
      </c>
      <c r="O531" t="n">
        <v>0</v>
      </c>
      <c r="P531" t="n">
        <v>0</v>
      </c>
      <c r="Q531" t="n">
        <v>0</v>
      </c>
      <c r="R531" s="2" t="inlineStr"/>
    </row>
    <row r="532" ht="15" customHeight="1">
      <c r="A532" t="inlineStr">
        <is>
          <t>A 14291-2023</t>
        </is>
      </c>
      <c r="B532" s="1" t="n">
        <v>45010</v>
      </c>
      <c r="C532" s="1" t="n">
        <v>46127</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58527-2024</t>
        </is>
      </c>
      <c r="B533" s="1" t="n">
        <v>45635.44388888889</v>
      </c>
      <c r="C533" s="1" t="n">
        <v>46127</v>
      </c>
      <c r="D533" t="inlineStr">
        <is>
          <t>ÖREBRO LÄN</t>
        </is>
      </c>
      <c r="E533" t="inlineStr">
        <is>
          <t>ÖREBRO</t>
        </is>
      </c>
      <c r="F533" t="inlineStr">
        <is>
          <t>Sveaskog</t>
        </is>
      </c>
      <c r="G533" t="n">
        <v>6.4</v>
      </c>
      <c r="H533" t="n">
        <v>0</v>
      </c>
      <c r="I533" t="n">
        <v>0</v>
      </c>
      <c r="J533" t="n">
        <v>0</v>
      </c>
      <c r="K533" t="n">
        <v>0</v>
      </c>
      <c r="L533" t="n">
        <v>0</v>
      </c>
      <c r="M533" t="n">
        <v>0</v>
      </c>
      <c r="N533" t="n">
        <v>0</v>
      </c>
      <c r="O533" t="n">
        <v>0</v>
      </c>
      <c r="P533" t="n">
        <v>0</v>
      </c>
      <c r="Q533" t="n">
        <v>0</v>
      </c>
      <c r="R533" s="2" t="inlineStr"/>
    </row>
    <row r="534" ht="15" customHeight="1">
      <c r="A534" t="inlineStr">
        <is>
          <t>A 55593-2022</t>
        </is>
      </c>
      <c r="B534" s="1" t="n">
        <v>44888</v>
      </c>
      <c r="C534" s="1" t="n">
        <v>46127</v>
      </c>
      <c r="D534" t="inlineStr">
        <is>
          <t>ÖREBRO LÄN</t>
        </is>
      </c>
      <c r="E534" t="inlineStr">
        <is>
          <t>ÖREBRO</t>
        </is>
      </c>
      <c r="G534" t="n">
        <v>3.6</v>
      </c>
      <c r="H534" t="n">
        <v>0</v>
      </c>
      <c r="I534" t="n">
        <v>0</v>
      </c>
      <c r="J534" t="n">
        <v>0</v>
      </c>
      <c r="K534" t="n">
        <v>0</v>
      </c>
      <c r="L534" t="n">
        <v>0</v>
      </c>
      <c r="M534" t="n">
        <v>0</v>
      </c>
      <c r="N534" t="n">
        <v>0</v>
      </c>
      <c r="O534" t="n">
        <v>0</v>
      </c>
      <c r="P534" t="n">
        <v>0</v>
      </c>
      <c r="Q534" t="n">
        <v>0</v>
      </c>
      <c r="R534" s="2" t="inlineStr"/>
    </row>
    <row r="535" ht="15" customHeight="1">
      <c r="A535" t="inlineStr">
        <is>
          <t>A 10944-2026</t>
        </is>
      </c>
      <c r="B535" s="1" t="n">
        <v>46079.37659722222</v>
      </c>
      <c r="C535" s="1" t="n">
        <v>46127</v>
      </c>
      <c r="D535" t="inlineStr">
        <is>
          <t>ÖREBRO LÄN</t>
        </is>
      </c>
      <c r="E535" t="inlineStr">
        <is>
          <t>ÖREBRO</t>
        </is>
      </c>
      <c r="G535" t="n">
        <v>2.7</v>
      </c>
      <c r="H535" t="n">
        <v>0</v>
      </c>
      <c r="I535" t="n">
        <v>0</v>
      </c>
      <c r="J535" t="n">
        <v>0</v>
      </c>
      <c r="K535" t="n">
        <v>0</v>
      </c>
      <c r="L535" t="n">
        <v>0</v>
      </c>
      <c r="M535" t="n">
        <v>0</v>
      </c>
      <c r="N535" t="n">
        <v>0</v>
      </c>
      <c r="O535" t="n">
        <v>0</v>
      </c>
      <c r="P535" t="n">
        <v>0</v>
      </c>
      <c r="Q535" t="n">
        <v>0</v>
      </c>
      <c r="R535" s="2" t="inlineStr"/>
    </row>
    <row r="536" ht="15" customHeight="1">
      <c r="A536" t="inlineStr">
        <is>
          <t>A 63142-2023</t>
        </is>
      </c>
      <c r="B536" s="1" t="n">
        <v>45273</v>
      </c>
      <c r="C536" s="1" t="n">
        <v>46127</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46127</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59121-2024</t>
        </is>
      </c>
      <c r="B538" s="1" t="n">
        <v>45637.37755787037</v>
      </c>
      <c r="C538" s="1" t="n">
        <v>46127</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9704-2023</t>
        </is>
      </c>
      <c r="B539" s="1" t="n">
        <v>44984</v>
      </c>
      <c r="C539" s="1" t="n">
        <v>46127</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12099-2023</t>
        </is>
      </c>
      <c r="B540" s="1" t="n">
        <v>44998.37043981482</v>
      </c>
      <c r="C540" s="1" t="n">
        <v>46127</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17869-2024</t>
        </is>
      </c>
      <c r="B541" s="1" t="n">
        <v>45419</v>
      </c>
      <c r="C541" s="1" t="n">
        <v>46127</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5026-2022</t>
        </is>
      </c>
      <c r="B542" s="1" t="n">
        <v>44593.63974537037</v>
      </c>
      <c r="C542" s="1" t="n">
        <v>46127</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10832-2023</t>
        </is>
      </c>
      <c r="B543" s="1" t="n">
        <v>44990.91711805556</v>
      </c>
      <c r="C543" s="1" t="n">
        <v>46127</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48581-2024</t>
        </is>
      </c>
      <c r="B544" s="1" t="n">
        <v>45593.41642361111</v>
      </c>
      <c r="C544" s="1" t="n">
        <v>46127</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40231-2022</t>
        </is>
      </c>
      <c r="B545" s="1" t="n">
        <v>44820</v>
      </c>
      <c r="C545" s="1" t="n">
        <v>46127</v>
      </c>
      <c r="D545" t="inlineStr">
        <is>
          <t>ÖREBRO LÄN</t>
        </is>
      </c>
      <c r="E545" t="inlineStr">
        <is>
          <t>ÖREBRO</t>
        </is>
      </c>
      <c r="F545" t="inlineStr">
        <is>
          <t>Allmännings- och besparingsskogar</t>
        </is>
      </c>
      <c r="G545" t="n">
        <v>2.2</v>
      </c>
      <c r="H545" t="n">
        <v>0</v>
      </c>
      <c r="I545" t="n">
        <v>0</v>
      </c>
      <c r="J545" t="n">
        <v>0</v>
      </c>
      <c r="K545" t="n">
        <v>0</v>
      </c>
      <c r="L545" t="n">
        <v>0</v>
      </c>
      <c r="M545" t="n">
        <v>0</v>
      </c>
      <c r="N545" t="n">
        <v>0</v>
      </c>
      <c r="O545" t="n">
        <v>0</v>
      </c>
      <c r="P545" t="n">
        <v>0</v>
      </c>
      <c r="Q545" t="n">
        <v>0</v>
      </c>
      <c r="R545" s="2" t="inlineStr"/>
    </row>
    <row r="546" ht="15" customHeight="1">
      <c r="A546" t="inlineStr">
        <is>
          <t>A 14963-2025</t>
        </is>
      </c>
      <c r="B546" s="1" t="n">
        <v>45743.58699074074</v>
      </c>
      <c r="C546" s="1" t="n">
        <v>46127</v>
      </c>
      <c r="D546" t="inlineStr">
        <is>
          <t>ÖREBRO LÄN</t>
        </is>
      </c>
      <c r="E546" t="inlineStr">
        <is>
          <t>ÖREBRO</t>
        </is>
      </c>
      <c r="G546" t="n">
        <v>9.1</v>
      </c>
      <c r="H546" t="n">
        <v>0</v>
      </c>
      <c r="I546" t="n">
        <v>0</v>
      </c>
      <c r="J546" t="n">
        <v>0</v>
      </c>
      <c r="K546" t="n">
        <v>0</v>
      </c>
      <c r="L546" t="n">
        <v>0</v>
      </c>
      <c r="M546" t="n">
        <v>0</v>
      </c>
      <c r="N546" t="n">
        <v>0</v>
      </c>
      <c r="O546" t="n">
        <v>0</v>
      </c>
      <c r="P546" t="n">
        <v>0</v>
      </c>
      <c r="Q546" t="n">
        <v>0</v>
      </c>
      <c r="R546" s="2" t="inlineStr"/>
    </row>
    <row r="547" ht="15" customHeight="1">
      <c r="A547" t="inlineStr">
        <is>
          <t>A 33455-2023</t>
        </is>
      </c>
      <c r="B547" s="1" t="n">
        <v>45130.98962962963</v>
      </c>
      <c r="C547" s="1" t="n">
        <v>46127</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2069-2025</t>
        </is>
      </c>
      <c r="B548" s="1" t="n">
        <v>45672.56614583333</v>
      </c>
      <c r="C548" s="1" t="n">
        <v>46127</v>
      </c>
      <c r="D548" t="inlineStr">
        <is>
          <t>ÖREBRO LÄN</t>
        </is>
      </c>
      <c r="E548" t="inlineStr">
        <is>
          <t>ÖREBRO</t>
        </is>
      </c>
      <c r="G548" t="n">
        <v>3.8</v>
      </c>
      <c r="H548" t="n">
        <v>0</v>
      </c>
      <c r="I548" t="n">
        <v>0</v>
      </c>
      <c r="J548" t="n">
        <v>0</v>
      </c>
      <c r="K548" t="n">
        <v>0</v>
      </c>
      <c r="L548" t="n">
        <v>0</v>
      </c>
      <c r="M548" t="n">
        <v>0</v>
      </c>
      <c r="N548" t="n">
        <v>0</v>
      </c>
      <c r="O548" t="n">
        <v>0</v>
      </c>
      <c r="P548" t="n">
        <v>0</v>
      </c>
      <c r="Q548" t="n">
        <v>0</v>
      </c>
      <c r="R548" s="2" t="inlineStr"/>
    </row>
    <row r="549" ht="15" customHeight="1">
      <c r="A549" t="inlineStr">
        <is>
          <t>A 58277-2022</t>
        </is>
      </c>
      <c r="B549" s="1" t="n">
        <v>44901.48108796297</v>
      </c>
      <c r="C549" s="1" t="n">
        <v>46127</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42518-2021</t>
        </is>
      </c>
      <c r="B550" s="1" t="n">
        <v>44427.81496527778</v>
      </c>
      <c r="C550" s="1" t="n">
        <v>46127</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14524-2025</t>
        </is>
      </c>
      <c r="B551" s="1" t="n">
        <v>45741.64815972222</v>
      </c>
      <c r="C551" s="1" t="n">
        <v>46127</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15354-2024</t>
        </is>
      </c>
      <c r="B552" s="1" t="n">
        <v>45400.85319444445</v>
      </c>
      <c r="C552" s="1" t="n">
        <v>46127</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41543-2024</t>
        </is>
      </c>
      <c r="B553" s="1" t="n">
        <v>45560</v>
      </c>
      <c r="C553" s="1" t="n">
        <v>46127</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71275-2021</t>
        </is>
      </c>
      <c r="B554" s="1" t="n">
        <v>44539</v>
      </c>
      <c r="C554" s="1" t="n">
        <v>46127</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71285-2021</t>
        </is>
      </c>
      <c r="B555" s="1" t="n">
        <v>44539.62236111111</v>
      </c>
      <c r="C555" s="1" t="n">
        <v>46127</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2658-2023</t>
        </is>
      </c>
      <c r="B556" s="1" t="n">
        <v>44944</v>
      </c>
      <c r="C556" s="1" t="n">
        <v>46127</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11382-2023</t>
        </is>
      </c>
      <c r="B557" s="1" t="n">
        <v>44993.45635416666</v>
      </c>
      <c r="C557" s="1" t="n">
        <v>46127</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52016-2024</t>
        </is>
      </c>
      <c r="B558" s="1" t="n">
        <v>45607.81917824074</v>
      </c>
      <c r="C558" s="1" t="n">
        <v>46127</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27112-2023</t>
        </is>
      </c>
      <c r="B559" s="1" t="n">
        <v>45096</v>
      </c>
      <c r="C559" s="1" t="n">
        <v>46127</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16739-2022</t>
        </is>
      </c>
      <c r="B560" s="1" t="n">
        <v>44673</v>
      </c>
      <c r="C560" s="1" t="n">
        <v>46127</v>
      </c>
      <c r="D560" t="inlineStr">
        <is>
          <t>ÖREBRO LÄN</t>
        </is>
      </c>
      <c r="E560" t="inlineStr">
        <is>
          <t>ÖREBRO</t>
        </is>
      </c>
      <c r="G560" t="n">
        <v>4.7</v>
      </c>
      <c r="H560" t="n">
        <v>0</v>
      </c>
      <c r="I560" t="n">
        <v>0</v>
      </c>
      <c r="J560" t="n">
        <v>0</v>
      </c>
      <c r="K560" t="n">
        <v>0</v>
      </c>
      <c r="L560" t="n">
        <v>0</v>
      </c>
      <c r="M560" t="n">
        <v>0</v>
      </c>
      <c r="N560" t="n">
        <v>0</v>
      </c>
      <c r="O560" t="n">
        <v>0</v>
      </c>
      <c r="P560" t="n">
        <v>0</v>
      </c>
      <c r="Q560" t="n">
        <v>0</v>
      </c>
      <c r="R560" s="2" t="inlineStr"/>
    </row>
    <row r="561" ht="15" customHeight="1">
      <c r="A561" t="inlineStr">
        <is>
          <t>A 13592-2023</t>
        </is>
      </c>
      <c r="B561" s="1" t="n">
        <v>45006.56870370371</v>
      </c>
      <c r="C561" s="1" t="n">
        <v>46127</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40656-2023</t>
        </is>
      </c>
      <c r="B562" s="1" t="n">
        <v>45170</v>
      </c>
      <c r="C562" s="1" t="n">
        <v>46127</v>
      </c>
      <c r="D562" t="inlineStr">
        <is>
          <t>ÖREBRO LÄN</t>
        </is>
      </c>
      <c r="E562" t="inlineStr">
        <is>
          <t>ÖREBRO</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12245-2023</t>
        </is>
      </c>
      <c r="B563" s="1" t="n">
        <v>44998.64402777778</v>
      </c>
      <c r="C563" s="1" t="n">
        <v>46127</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8008-2024</t>
        </is>
      </c>
      <c r="B564" s="1" t="n">
        <v>45350.6794212963</v>
      </c>
      <c r="C564" s="1" t="n">
        <v>46127</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46127</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46127</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57869-2024</t>
        </is>
      </c>
      <c r="B567" s="1" t="n">
        <v>45631.44207175926</v>
      </c>
      <c r="C567" s="1" t="n">
        <v>46127</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11565-2023</t>
        </is>
      </c>
      <c r="B568" s="1" t="n">
        <v>44994</v>
      </c>
      <c r="C568" s="1" t="n">
        <v>46127</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1647-2024</t>
        </is>
      </c>
      <c r="B569" s="1" t="n">
        <v>45306</v>
      </c>
      <c r="C569" s="1" t="n">
        <v>46127</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31906-2023</t>
        </is>
      </c>
      <c r="B570" s="1" t="n">
        <v>45118.8353125</v>
      </c>
      <c r="C570" s="1" t="n">
        <v>46127</v>
      </c>
      <c r="D570" t="inlineStr">
        <is>
          <t>ÖREBRO LÄN</t>
        </is>
      </c>
      <c r="E570" t="inlineStr">
        <is>
          <t>ÖREBRO</t>
        </is>
      </c>
      <c r="G570" t="n">
        <v>9</v>
      </c>
      <c r="H570" t="n">
        <v>0</v>
      </c>
      <c r="I570" t="n">
        <v>0</v>
      </c>
      <c r="J570" t="n">
        <v>0</v>
      </c>
      <c r="K570" t="n">
        <v>0</v>
      </c>
      <c r="L570" t="n">
        <v>0</v>
      </c>
      <c r="M570" t="n">
        <v>0</v>
      </c>
      <c r="N570" t="n">
        <v>0</v>
      </c>
      <c r="O570" t="n">
        <v>0</v>
      </c>
      <c r="P570" t="n">
        <v>0</v>
      </c>
      <c r="Q570" t="n">
        <v>0</v>
      </c>
      <c r="R570" s="2" t="inlineStr"/>
    </row>
    <row r="571" ht="15" customHeight="1">
      <c r="A571" t="inlineStr">
        <is>
          <t>A 31326-2024</t>
        </is>
      </c>
      <c r="B571" s="1" t="n">
        <v>45504.5934375</v>
      </c>
      <c r="C571" s="1" t="n">
        <v>46127</v>
      </c>
      <c r="D571" t="inlineStr">
        <is>
          <t>ÖREBRO LÄN</t>
        </is>
      </c>
      <c r="E571" t="inlineStr">
        <is>
          <t>ÖREBRO</t>
        </is>
      </c>
      <c r="G571" t="n">
        <v>6.4</v>
      </c>
      <c r="H571" t="n">
        <v>0</v>
      </c>
      <c r="I571" t="n">
        <v>0</v>
      </c>
      <c r="J571" t="n">
        <v>0</v>
      </c>
      <c r="K571" t="n">
        <v>0</v>
      </c>
      <c r="L571" t="n">
        <v>0</v>
      </c>
      <c r="M571" t="n">
        <v>0</v>
      </c>
      <c r="N571" t="n">
        <v>0</v>
      </c>
      <c r="O571" t="n">
        <v>0</v>
      </c>
      <c r="P571" t="n">
        <v>0</v>
      </c>
      <c r="Q571" t="n">
        <v>0</v>
      </c>
      <c r="R571" s="2" t="inlineStr"/>
    </row>
    <row r="572" ht="15" customHeight="1">
      <c r="A572" t="inlineStr">
        <is>
          <t>A 70719-2021</t>
        </is>
      </c>
      <c r="B572" s="1" t="n">
        <v>44537</v>
      </c>
      <c r="C572" s="1" t="n">
        <v>46127</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16694-2025</t>
        </is>
      </c>
      <c r="B573" s="1" t="n">
        <v>45754.46480324074</v>
      </c>
      <c r="C573" s="1" t="n">
        <v>46127</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30374-2023</t>
        </is>
      </c>
      <c r="B574" s="1" t="n">
        <v>45111</v>
      </c>
      <c r="C574" s="1" t="n">
        <v>46127</v>
      </c>
      <c r="D574" t="inlineStr">
        <is>
          <t>ÖREBRO LÄN</t>
        </is>
      </c>
      <c r="E574" t="inlineStr">
        <is>
          <t>ÖREBRO</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38898-2023</t>
        </is>
      </c>
      <c r="B575" s="1" t="n">
        <v>45163</v>
      </c>
      <c r="C575" s="1" t="n">
        <v>46127</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5764-2022</t>
        </is>
      </c>
      <c r="B576" s="1" t="n">
        <v>44596</v>
      </c>
      <c r="C576" s="1" t="n">
        <v>46127</v>
      </c>
      <c r="D576" t="inlineStr">
        <is>
          <t>ÖREBRO LÄN</t>
        </is>
      </c>
      <c r="E576" t="inlineStr">
        <is>
          <t>ÖREBRO</t>
        </is>
      </c>
      <c r="G576" t="n">
        <v>3.5</v>
      </c>
      <c r="H576" t="n">
        <v>0</v>
      </c>
      <c r="I576" t="n">
        <v>0</v>
      </c>
      <c r="J576" t="n">
        <v>0</v>
      </c>
      <c r="K576" t="n">
        <v>0</v>
      </c>
      <c r="L576" t="n">
        <v>0</v>
      </c>
      <c r="M576" t="n">
        <v>0</v>
      </c>
      <c r="N576" t="n">
        <v>0</v>
      </c>
      <c r="O576" t="n">
        <v>0</v>
      </c>
      <c r="P576" t="n">
        <v>0</v>
      </c>
      <c r="Q576" t="n">
        <v>0</v>
      </c>
      <c r="R576" s="2" t="inlineStr"/>
    </row>
    <row r="577" ht="15" customHeight="1">
      <c r="A577" t="inlineStr">
        <is>
          <t>A 21036-2024</t>
        </is>
      </c>
      <c r="B577" s="1" t="n">
        <v>45439.65954861111</v>
      </c>
      <c r="C577" s="1" t="n">
        <v>46127</v>
      </c>
      <c r="D577" t="inlineStr">
        <is>
          <t>ÖREBRO LÄN</t>
        </is>
      </c>
      <c r="E577" t="inlineStr">
        <is>
          <t>ÖREBRO</t>
        </is>
      </c>
      <c r="F577" t="inlineStr">
        <is>
          <t>Övriga Aktiebolag</t>
        </is>
      </c>
      <c r="G577" t="n">
        <v>5.7</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46127</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58615-2024</t>
        </is>
      </c>
      <c r="B579" s="1" t="n">
        <v>45635.5587037037</v>
      </c>
      <c r="C579" s="1" t="n">
        <v>46127</v>
      </c>
      <c r="D579" t="inlineStr">
        <is>
          <t>ÖREBRO LÄN</t>
        </is>
      </c>
      <c r="E579" t="inlineStr">
        <is>
          <t>ÖREBRO</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58620-2024</t>
        </is>
      </c>
      <c r="B580" s="1" t="n">
        <v>45635.56246527778</v>
      </c>
      <c r="C580" s="1" t="n">
        <v>46127</v>
      </c>
      <c r="D580" t="inlineStr">
        <is>
          <t>ÖREBRO LÄN</t>
        </is>
      </c>
      <c r="E580" t="inlineStr">
        <is>
          <t>ÖREBRO</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1014-2024</t>
        </is>
      </c>
      <c r="B581" s="1" t="n">
        <v>45301</v>
      </c>
      <c r="C581" s="1" t="n">
        <v>46127</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30472-2022</t>
        </is>
      </c>
      <c r="B582" s="1" t="n">
        <v>44761.70467592592</v>
      </c>
      <c r="C582" s="1" t="n">
        <v>46127</v>
      </c>
      <c r="D582" t="inlineStr">
        <is>
          <t>ÖREBRO LÄN</t>
        </is>
      </c>
      <c r="E582" t="inlineStr">
        <is>
          <t>ÖREBRO</t>
        </is>
      </c>
      <c r="F582" t="inlineStr">
        <is>
          <t>Övriga Aktiebolag</t>
        </is>
      </c>
      <c r="G582" t="n">
        <v>5.6</v>
      </c>
      <c r="H582" t="n">
        <v>0</v>
      </c>
      <c r="I582" t="n">
        <v>0</v>
      </c>
      <c r="J582" t="n">
        <v>0</v>
      </c>
      <c r="K582" t="n">
        <v>0</v>
      </c>
      <c r="L582" t="n">
        <v>0</v>
      </c>
      <c r="M582" t="n">
        <v>0</v>
      </c>
      <c r="N582" t="n">
        <v>0</v>
      </c>
      <c r="O582" t="n">
        <v>0</v>
      </c>
      <c r="P582" t="n">
        <v>0</v>
      </c>
      <c r="Q582" t="n">
        <v>0</v>
      </c>
      <c r="R582" s="2" t="inlineStr"/>
    </row>
    <row r="583" ht="15" customHeight="1">
      <c r="A583" t="inlineStr">
        <is>
          <t>A 34056-2023</t>
        </is>
      </c>
      <c r="B583" s="1" t="n">
        <v>45135</v>
      </c>
      <c r="C583" s="1" t="n">
        <v>46127</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46127</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51373-2023</t>
        </is>
      </c>
      <c r="B585" s="1" t="n">
        <v>45213</v>
      </c>
      <c r="C585" s="1" t="n">
        <v>46127</v>
      </c>
      <c r="D585" t="inlineStr">
        <is>
          <t>ÖREBRO LÄN</t>
        </is>
      </c>
      <c r="E585" t="inlineStr">
        <is>
          <t>ÖREBRO</t>
        </is>
      </c>
      <c r="G585" t="n">
        <v>5.9</v>
      </c>
      <c r="H585" t="n">
        <v>0</v>
      </c>
      <c r="I585" t="n">
        <v>0</v>
      </c>
      <c r="J585" t="n">
        <v>0</v>
      </c>
      <c r="K585" t="n">
        <v>0</v>
      </c>
      <c r="L585" t="n">
        <v>0</v>
      </c>
      <c r="M585" t="n">
        <v>0</v>
      </c>
      <c r="N585" t="n">
        <v>0</v>
      </c>
      <c r="O585" t="n">
        <v>0</v>
      </c>
      <c r="P585" t="n">
        <v>0</v>
      </c>
      <c r="Q585" t="n">
        <v>0</v>
      </c>
      <c r="R585" s="2" t="inlineStr"/>
    </row>
    <row r="586" ht="15" customHeight="1">
      <c r="A586" t="inlineStr">
        <is>
          <t>A 35843-2022</t>
        </is>
      </c>
      <c r="B586" s="1" t="n">
        <v>44802</v>
      </c>
      <c r="C586" s="1" t="n">
        <v>46127</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13599-2025</t>
        </is>
      </c>
      <c r="B587" s="1" t="n">
        <v>45736.60597222222</v>
      </c>
      <c r="C587" s="1" t="n">
        <v>46127</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20146-2024</t>
        </is>
      </c>
      <c r="B588" s="1" t="n">
        <v>45434.57641203704</v>
      </c>
      <c r="C588" s="1" t="n">
        <v>46127</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10937-2024</t>
        </is>
      </c>
      <c r="B589" s="1" t="n">
        <v>45370.44461805555</v>
      </c>
      <c r="C589" s="1" t="n">
        <v>46127</v>
      </c>
      <c r="D589" t="inlineStr">
        <is>
          <t>ÖREBRO LÄN</t>
        </is>
      </c>
      <c r="E589" t="inlineStr">
        <is>
          <t>ÖREBRO</t>
        </is>
      </c>
      <c r="G589" t="n">
        <v>4.3</v>
      </c>
      <c r="H589" t="n">
        <v>0</v>
      </c>
      <c r="I589" t="n">
        <v>0</v>
      </c>
      <c r="J589" t="n">
        <v>0</v>
      </c>
      <c r="K589" t="n">
        <v>0</v>
      </c>
      <c r="L589" t="n">
        <v>0</v>
      </c>
      <c r="M589" t="n">
        <v>0</v>
      </c>
      <c r="N589" t="n">
        <v>0</v>
      </c>
      <c r="O589" t="n">
        <v>0</v>
      </c>
      <c r="P589" t="n">
        <v>0</v>
      </c>
      <c r="Q589" t="n">
        <v>0</v>
      </c>
      <c r="R589" s="2" t="inlineStr"/>
    </row>
    <row r="590" ht="15" customHeight="1">
      <c r="A590" t="inlineStr">
        <is>
          <t>A 20115-2024</t>
        </is>
      </c>
      <c r="B590" s="1" t="n">
        <v>45434</v>
      </c>
      <c r="C590" s="1" t="n">
        <v>46127</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46127</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46127</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46127</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46127</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46127</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46127</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46127</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46127</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58608-2024</t>
        </is>
      </c>
      <c r="B599" s="1" t="n">
        <v>45635.55185185185</v>
      </c>
      <c r="C599" s="1" t="n">
        <v>46127</v>
      </c>
      <c r="D599" t="inlineStr">
        <is>
          <t>ÖREBRO LÄN</t>
        </is>
      </c>
      <c r="E599" t="inlineStr">
        <is>
          <t>ÖREBRO</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38422-2023</t>
        </is>
      </c>
      <c r="B600" s="1" t="n">
        <v>45162.36422453704</v>
      </c>
      <c r="C600" s="1" t="n">
        <v>46127</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56040-2024</t>
        </is>
      </c>
      <c r="B601" s="1" t="n">
        <v>45624.3344212963</v>
      </c>
      <c r="C601" s="1" t="n">
        <v>46127</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14487-2023</t>
        </is>
      </c>
      <c r="B602" s="1" t="n">
        <v>45012</v>
      </c>
      <c r="C602" s="1" t="n">
        <v>46127</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40522-2024</t>
        </is>
      </c>
      <c r="B603" s="1" t="n">
        <v>45555.59717592593</v>
      </c>
      <c r="C603" s="1" t="n">
        <v>46127</v>
      </c>
      <c r="D603" t="inlineStr">
        <is>
          <t>ÖREBRO LÄN</t>
        </is>
      </c>
      <c r="E603" t="inlineStr">
        <is>
          <t>ÖREBRO</t>
        </is>
      </c>
      <c r="G603" t="n">
        <v>5.1</v>
      </c>
      <c r="H603" t="n">
        <v>0</v>
      </c>
      <c r="I603" t="n">
        <v>0</v>
      </c>
      <c r="J603" t="n">
        <v>0</v>
      </c>
      <c r="K603" t="n">
        <v>0</v>
      </c>
      <c r="L603" t="n">
        <v>0</v>
      </c>
      <c r="M603" t="n">
        <v>0</v>
      </c>
      <c r="N603" t="n">
        <v>0</v>
      </c>
      <c r="O603" t="n">
        <v>0</v>
      </c>
      <c r="P603" t="n">
        <v>0</v>
      </c>
      <c r="Q603" t="n">
        <v>0</v>
      </c>
      <c r="R603" s="2" t="inlineStr"/>
    </row>
    <row r="604" ht="15" customHeight="1">
      <c r="A604" t="inlineStr">
        <is>
          <t>A 49029-2024</t>
        </is>
      </c>
      <c r="B604" s="1" t="n">
        <v>45594</v>
      </c>
      <c r="C604" s="1" t="n">
        <v>46127</v>
      </c>
      <c r="D604" t="inlineStr">
        <is>
          <t>ÖREBRO LÄN</t>
        </is>
      </c>
      <c r="E604" t="inlineStr">
        <is>
          <t>ÖREBRO</t>
        </is>
      </c>
      <c r="G604" t="n">
        <v>3.7</v>
      </c>
      <c r="H604" t="n">
        <v>0</v>
      </c>
      <c r="I604" t="n">
        <v>0</v>
      </c>
      <c r="J604" t="n">
        <v>0</v>
      </c>
      <c r="K604" t="n">
        <v>0</v>
      </c>
      <c r="L604" t="n">
        <v>0</v>
      </c>
      <c r="M604" t="n">
        <v>0</v>
      </c>
      <c r="N604" t="n">
        <v>0</v>
      </c>
      <c r="O604" t="n">
        <v>0</v>
      </c>
      <c r="P604" t="n">
        <v>0</v>
      </c>
      <c r="Q604" t="n">
        <v>0</v>
      </c>
      <c r="R604" s="2" t="inlineStr"/>
    </row>
    <row r="605" ht="15" customHeight="1">
      <c r="A605" t="inlineStr">
        <is>
          <t>A 49062-2023</t>
        </is>
      </c>
      <c r="B605" s="1" t="n">
        <v>45210.35119212963</v>
      </c>
      <c r="C605" s="1" t="n">
        <v>46127</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35829-2024</t>
        </is>
      </c>
      <c r="B606" s="1" t="n">
        <v>45532</v>
      </c>
      <c r="C606" s="1" t="n">
        <v>46127</v>
      </c>
      <c r="D606" t="inlineStr">
        <is>
          <t>ÖREBRO LÄN</t>
        </is>
      </c>
      <c r="E606" t="inlineStr">
        <is>
          <t>ÖREBRO</t>
        </is>
      </c>
      <c r="G606" t="n">
        <v>4.6</v>
      </c>
      <c r="H606" t="n">
        <v>0</v>
      </c>
      <c r="I606" t="n">
        <v>0</v>
      </c>
      <c r="J606" t="n">
        <v>0</v>
      </c>
      <c r="K606" t="n">
        <v>0</v>
      </c>
      <c r="L606" t="n">
        <v>0</v>
      </c>
      <c r="M606" t="n">
        <v>0</v>
      </c>
      <c r="N606" t="n">
        <v>0</v>
      </c>
      <c r="O606" t="n">
        <v>0</v>
      </c>
      <c r="P606" t="n">
        <v>0</v>
      </c>
      <c r="Q606" t="n">
        <v>0</v>
      </c>
      <c r="R606" s="2" t="inlineStr"/>
    </row>
    <row r="607" ht="15" customHeight="1">
      <c r="A607" t="inlineStr">
        <is>
          <t>A 13181-2023</t>
        </is>
      </c>
      <c r="B607" s="1" t="n">
        <v>45002.60659722222</v>
      </c>
      <c r="C607" s="1" t="n">
        <v>46127</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61078-2024</t>
        </is>
      </c>
      <c r="B608" s="1" t="n">
        <v>45645.51034722223</v>
      </c>
      <c r="C608" s="1" t="n">
        <v>46127</v>
      </c>
      <c r="D608" t="inlineStr">
        <is>
          <t>ÖREBRO LÄN</t>
        </is>
      </c>
      <c r="E608" t="inlineStr">
        <is>
          <t>ÖREBRO</t>
        </is>
      </c>
      <c r="G608" t="n">
        <v>4.1</v>
      </c>
      <c r="H608" t="n">
        <v>0</v>
      </c>
      <c r="I608" t="n">
        <v>0</v>
      </c>
      <c r="J608" t="n">
        <v>0</v>
      </c>
      <c r="K608" t="n">
        <v>0</v>
      </c>
      <c r="L608" t="n">
        <v>0</v>
      </c>
      <c r="M608" t="n">
        <v>0</v>
      </c>
      <c r="N608" t="n">
        <v>0</v>
      </c>
      <c r="O608" t="n">
        <v>0</v>
      </c>
      <c r="P608" t="n">
        <v>0</v>
      </c>
      <c r="Q608" t="n">
        <v>0</v>
      </c>
      <c r="R608" s="2" t="inlineStr"/>
    </row>
    <row r="609" ht="15" customHeight="1">
      <c r="A609" t="inlineStr">
        <is>
          <t>A 62511-2023</t>
        </is>
      </c>
      <c r="B609" s="1" t="n">
        <v>45268.61855324074</v>
      </c>
      <c r="C609" s="1" t="n">
        <v>46127</v>
      </c>
      <c r="D609" t="inlineStr">
        <is>
          <t>ÖREBRO LÄN</t>
        </is>
      </c>
      <c r="E609" t="inlineStr">
        <is>
          <t>ÖREBRO</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55472-2023</t>
        </is>
      </c>
      <c r="B610" s="1" t="n">
        <v>45238</v>
      </c>
      <c r="C610" s="1" t="n">
        <v>46127</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5129-2024</t>
        </is>
      </c>
      <c r="B611" s="1" t="n">
        <v>45330</v>
      </c>
      <c r="C611" s="1" t="n">
        <v>46127</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58486-2024</t>
        </is>
      </c>
      <c r="B612" s="1" t="n">
        <v>45635</v>
      </c>
      <c r="C612" s="1" t="n">
        <v>46127</v>
      </c>
      <c r="D612" t="inlineStr">
        <is>
          <t>ÖREBRO LÄN</t>
        </is>
      </c>
      <c r="E612" t="inlineStr">
        <is>
          <t>ÖREBRO</t>
        </is>
      </c>
      <c r="G612" t="n">
        <v>1.7</v>
      </c>
      <c r="H612" t="n">
        <v>0</v>
      </c>
      <c r="I612" t="n">
        <v>0</v>
      </c>
      <c r="J612" t="n">
        <v>0</v>
      </c>
      <c r="K612" t="n">
        <v>0</v>
      </c>
      <c r="L612" t="n">
        <v>0</v>
      </c>
      <c r="M612" t="n">
        <v>0</v>
      </c>
      <c r="N612" t="n">
        <v>0</v>
      </c>
      <c r="O612" t="n">
        <v>0</v>
      </c>
      <c r="P612" t="n">
        <v>0</v>
      </c>
      <c r="Q612" t="n">
        <v>0</v>
      </c>
      <c r="R612" s="2" t="inlineStr"/>
    </row>
    <row r="613" ht="15" customHeight="1">
      <c r="A613" t="inlineStr">
        <is>
          <t>A 30015-2023</t>
        </is>
      </c>
      <c r="B613" s="1" t="n">
        <v>45109</v>
      </c>
      <c r="C613" s="1" t="n">
        <v>46127</v>
      </c>
      <c r="D613" t="inlineStr">
        <is>
          <t>ÖREBRO LÄN</t>
        </is>
      </c>
      <c r="E613" t="inlineStr">
        <is>
          <t>ÖREBRO</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46127</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8512-2025</t>
        </is>
      </c>
      <c r="B615" s="1" t="n">
        <v>45709.54873842592</v>
      </c>
      <c r="C615" s="1" t="n">
        <v>46127</v>
      </c>
      <c r="D615" t="inlineStr">
        <is>
          <t>ÖREBRO LÄN</t>
        </is>
      </c>
      <c r="E615" t="inlineStr">
        <is>
          <t>ÖREBRO</t>
        </is>
      </c>
      <c r="G615" t="n">
        <v>1.8</v>
      </c>
      <c r="H615" t="n">
        <v>0</v>
      </c>
      <c r="I615" t="n">
        <v>0</v>
      </c>
      <c r="J615" t="n">
        <v>0</v>
      </c>
      <c r="K615" t="n">
        <v>0</v>
      </c>
      <c r="L615" t="n">
        <v>0</v>
      </c>
      <c r="M615" t="n">
        <v>0</v>
      </c>
      <c r="N615" t="n">
        <v>0</v>
      </c>
      <c r="O615" t="n">
        <v>0</v>
      </c>
      <c r="P615" t="n">
        <v>0</v>
      </c>
      <c r="Q615" t="n">
        <v>0</v>
      </c>
      <c r="R615" s="2" t="inlineStr"/>
    </row>
    <row r="616" ht="15" customHeight="1">
      <c r="A616" t="inlineStr">
        <is>
          <t>A 14715-2024</t>
        </is>
      </c>
      <c r="B616" s="1" t="n">
        <v>45397.5500462963</v>
      </c>
      <c r="C616" s="1" t="n">
        <v>46127</v>
      </c>
      <c r="D616" t="inlineStr">
        <is>
          <t>ÖREBRO LÄN</t>
        </is>
      </c>
      <c r="E616" t="inlineStr">
        <is>
          <t>ÖREBRO</t>
        </is>
      </c>
      <c r="G616" t="n">
        <v>1.2</v>
      </c>
      <c r="H616" t="n">
        <v>0</v>
      </c>
      <c r="I616" t="n">
        <v>0</v>
      </c>
      <c r="J616" t="n">
        <v>0</v>
      </c>
      <c r="K616" t="n">
        <v>0</v>
      </c>
      <c r="L616" t="n">
        <v>0</v>
      </c>
      <c r="M616" t="n">
        <v>0</v>
      </c>
      <c r="N616" t="n">
        <v>0</v>
      </c>
      <c r="O616" t="n">
        <v>0</v>
      </c>
      <c r="P616" t="n">
        <v>0</v>
      </c>
      <c r="Q616" t="n">
        <v>0</v>
      </c>
      <c r="R616" s="2" t="inlineStr"/>
    </row>
    <row r="617" ht="15" customHeight="1">
      <c r="A617" t="inlineStr">
        <is>
          <t>A 58145-2024</t>
        </is>
      </c>
      <c r="B617" s="1" t="n">
        <v>45632.43230324074</v>
      </c>
      <c r="C617" s="1" t="n">
        <v>46127</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16300-2022</t>
        </is>
      </c>
      <c r="B618" s="1" t="n">
        <v>44670</v>
      </c>
      <c r="C618" s="1" t="n">
        <v>46127</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18181-2024</t>
        </is>
      </c>
      <c r="B619" s="1" t="n">
        <v>45420.64561342593</v>
      </c>
      <c r="C619" s="1" t="n">
        <v>46127</v>
      </c>
      <c r="D619" t="inlineStr">
        <is>
          <t>ÖREBRO LÄN</t>
        </is>
      </c>
      <c r="E619" t="inlineStr">
        <is>
          <t>ÖREBRO</t>
        </is>
      </c>
      <c r="G619" t="n">
        <v>7.6</v>
      </c>
      <c r="H619" t="n">
        <v>0</v>
      </c>
      <c r="I619" t="n">
        <v>0</v>
      </c>
      <c r="J619" t="n">
        <v>0</v>
      </c>
      <c r="K619" t="n">
        <v>0</v>
      </c>
      <c r="L619" t="n">
        <v>0</v>
      </c>
      <c r="M619" t="n">
        <v>0</v>
      </c>
      <c r="N619" t="n">
        <v>0</v>
      </c>
      <c r="O619" t="n">
        <v>0</v>
      </c>
      <c r="P619" t="n">
        <v>0</v>
      </c>
      <c r="Q619" t="n">
        <v>0</v>
      </c>
      <c r="R619" s="2" t="inlineStr"/>
    </row>
    <row r="620" ht="15" customHeight="1">
      <c r="A620" t="inlineStr">
        <is>
          <t>A 70707-2021</t>
        </is>
      </c>
      <c r="B620" s="1" t="n">
        <v>44537</v>
      </c>
      <c r="C620" s="1" t="n">
        <v>46127</v>
      </c>
      <c r="D620" t="inlineStr">
        <is>
          <t>ÖREBRO LÄN</t>
        </is>
      </c>
      <c r="E620" t="inlineStr">
        <is>
          <t>ÖREBRO</t>
        </is>
      </c>
      <c r="G620" t="n">
        <v>13.2</v>
      </c>
      <c r="H620" t="n">
        <v>0</v>
      </c>
      <c r="I620" t="n">
        <v>0</v>
      </c>
      <c r="J620" t="n">
        <v>0</v>
      </c>
      <c r="K620" t="n">
        <v>0</v>
      </c>
      <c r="L620" t="n">
        <v>0</v>
      </c>
      <c r="M620" t="n">
        <v>0</v>
      </c>
      <c r="N620" t="n">
        <v>0</v>
      </c>
      <c r="O620" t="n">
        <v>0</v>
      </c>
      <c r="P620" t="n">
        <v>0</v>
      </c>
      <c r="Q620" t="n">
        <v>0</v>
      </c>
      <c r="R620" s="2" t="inlineStr"/>
    </row>
    <row r="621" ht="15" customHeight="1">
      <c r="A621" t="inlineStr">
        <is>
          <t>A 60100-2022</t>
        </is>
      </c>
      <c r="B621" s="1" t="n">
        <v>44902</v>
      </c>
      <c r="C621" s="1" t="n">
        <v>46127</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44941.55056712963</v>
      </c>
      <c r="C622" s="1" t="n">
        <v>46127</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8656-2025</t>
        </is>
      </c>
      <c r="B623" s="1" t="n">
        <v>45712.38268518518</v>
      </c>
      <c r="C623" s="1" t="n">
        <v>46127</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55353-2024</t>
        </is>
      </c>
      <c r="B624" s="1" t="n">
        <v>45621.79526620371</v>
      </c>
      <c r="C624" s="1" t="n">
        <v>46127</v>
      </c>
      <c r="D624" t="inlineStr">
        <is>
          <t>ÖREBRO LÄN</t>
        </is>
      </c>
      <c r="E624" t="inlineStr">
        <is>
          <t>ÖREBRO</t>
        </is>
      </c>
      <c r="G624" t="n">
        <v>0.5</v>
      </c>
      <c r="H624" t="n">
        <v>0</v>
      </c>
      <c r="I624" t="n">
        <v>0</v>
      </c>
      <c r="J624" t="n">
        <v>0</v>
      </c>
      <c r="K624" t="n">
        <v>0</v>
      </c>
      <c r="L624" t="n">
        <v>0</v>
      </c>
      <c r="M624" t="n">
        <v>0</v>
      </c>
      <c r="N624" t="n">
        <v>0</v>
      </c>
      <c r="O624" t="n">
        <v>0</v>
      </c>
      <c r="P624" t="n">
        <v>0</v>
      </c>
      <c r="Q624" t="n">
        <v>0</v>
      </c>
      <c r="R624" s="2" t="inlineStr"/>
    </row>
    <row r="625" ht="15" customHeight="1">
      <c r="A625" t="inlineStr">
        <is>
          <t>A 55357-2024</t>
        </is>
      </c>
      <c r="B625" s="1" t="n">
        <v>45621.81126157408</v>
      </c>
      <c r="C625" s="1" t="n">
        <v>46127</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42623-2022</t>
        </is>
      </c>
      <c r="B626" s="1" t="n">
        <v>44831</v>
      </c>
      <c r="C626" s="1" t="n">
        <v>46127</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72329-2021</t>
        </is>
      </c>
      <c r="B627" s="1" t="n">
        <v>44545.46072916667</v>
      </c>
      <c r="C627" s="1" t="n">
        <v>46127</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4344-2025</t>
        </is>
      </c>
      <c r="B628" s="1" t="n">
        <v>45685</v>
      </c>
      <c r="C628" s="1" t="n">
        <v>46127</v>
      </c>
      <c r="D628" t="inlineStr">
        <is>
          <t>ÖREBRO LÄN</t>
        </is>
      </c>
      <c r="E628" t="inlineStr">
        <is>
          <t>ÖREBRO</t>
        </is>
      </c>
      <c r="G628" t="n">
        <v>1.6</v>
      </c>
      <c r="H628" t="n">
        <v>0</v>
      </c>
      <c r="I628" t="n">
        <v>0</v>
      </c>
      <c r="J628" t="n">
        <v>0</v>
      </c>
      <c r="K628" t="n">
        <v>0</v>
      </c>
      <c r="L628" t="n">
        <v>0</v>
      </c>
      <c r="M628" t="n">
        <v>0</v>
      </c>
      <c r="N628" t="n">
        <v>0</v>
      </c>
      <c r="O628" t="n">
        <v>0</v>
      </c>
      <c r="P628" t="n">
        <v>0</v>
      </c>
      <c r="Q628" t="n">
        <v>0</v>
      </c>
      <c r="R628" s="2" t="inlineStr"/>
    </row>
    <row r="629" ht="15" customHeight="1">
      <c r="A629" t="inlineStr">
        <is>
          <t>A 55355-2024</t>
        </is>
      </c>
      <c r="B629" s="1" t="n">
        <v>45621.80475694445</v>
      </c>
      <c r="C629" s="1" t="n">
        <v>46127</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56077-2022</t>
        </is>
      </c>
      <c r="B630" s="1" t="n">
        <v>44889.60872685185</v>
      </c>
      <c r="C630" s="1" t="n">
        <v>46127</v>
      </c>
      <c r="D630" t="inlineStr">
        <is>
          <t>ÖREBRO LÄN</t>
        </is>
      </c>
      <c r="E630" t="inlineStr">
        <is>
          <t>ÖREBRO</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33457-2023</t>
        </is>
      </c>
      <c r="B631" s="1" t="n">
        <v>45131</v>
      </c>
      <c r="C631" s="1" t="n">
        <v>46127</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7141-2025</t>
        </is>
      </c>
      <c r="B632" s="1" t="n">
        <v>45702</v>
      </c>
      <c r="C632" s="1" t="n">
        <v>46127</v>
      </c>
      <c r="D632" t="inlineStr">
        <is>
          <t>ÖREBRO LÄN</t>
        </is>
      </c>
      <c r="E632" t="inlineStr">
        <is>
          <t>ÖREBRO</t>
        </is>
      </c>
      <c r="G632" t="n">
        <v>2.9</v>
      </c>
      <c r="H632" t="n">
        <v>0</v>
      </c>
      <c r="I632" t="n">
        <v>0</v>
      </c>
      <c r="J632" t="n">
        <v>0</v>
      </c>
      <c r="K632" t="n">
        <v>0</v>
      </c>
      <c r="L632" t="n">
        <v>0</v>
      </c>
      <c r="M632" t="n">
        <v>0</v>
      </c>
      <c r="N632" t="n">
        <v>0</v>
      </c>
      <c r="O632" t="n">
        <v>0</v>
      </c>
      <c r="P632" t="n">
        <v>0</v>
      </c>
      <c r="Q632" t="n">
        <v>0</v>
      </c>
      <c r="R632" s="2" t="inlineStr"/>
    </row>
    <row r="633" ht="15" customHeight="1">
      <c r="A633" t="inlineStr">
        <is>
          <t>A 22677-2022</t>
        </is>
      </c>
      <c r="B633" s="1" t="n">
        <v>44714</v>
      </c>
      <c r="C633" s="1" t="n">
        <v>46127</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13169-2024</t>
        </is>
      </c>
      <c r="B634" s="1" t="n">
        <v>45386.40489583334</v>
      </c>
      <c r="C634" s="1" t="n">
        <v>46127</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23710-2022</t>
        </is>
      </c>
      <c r="B635" s="1" t="n">
        <v>44722</v>
      </c>
      <c r="C635" s="1" t="n">
        <v>46127</v>
      </c>
      <c r="D635" t="inlineStr">
        <is>
          <t>ÖREBRO LÄN</t>
        </is>
      </c>
      <c r="E635" t="inlineStr">
        <is>
          <t>ÖREBRO</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4757-2024</t>
        </is>
      </c>
      <c r="B636" s="1" t="n">
        <v>45328</v>
      </c>
      <c r="C636" s="1" t="n">
        <v>46127</v>
      </c>
      <c r="D636" t="inlineStr">
        <is>
          <t>ÖREBRO LÄN</t>
        </is>
      </c>
      <c r="E636" t="inlineStr">
        <is>
          <t>ÖREBRO</t>
        </is>
      </c>
      <c r="G636" t="n">
        <v>1.9</v>
      </c>
      <c r="H636" t="n">
        <v>0</v>
      </c>
      <c r="I636" t="n">
        <v>0</v>
      </c>
      <c r="J636" t="n">
        <v>0</v>
      </c>
      <c r="K636" t="n">
        <v>0</v>
      </c>
      <c r="L636" t="n">
        <v>0</v>
      </c>
      <c r="M636" t="n">
        <v>0</v>
      </c>
      <c r="N636" t="n">
        <v>0</v>
      </c>
      <c r="O636" t="n">
        <v>0</v>
      </c>
      <c r="P636" t="n">
        <v>0</v>
      </c>
      <c r="Q636" t="n">
        <v>0</v>
      </c>
      <c r="R636" s="2" t="inlineStr"/>
    </row>
    <row r="637" ht="15" customHeight="1">
      <c r="A637" t="inlineStr">
        <is>
          <t>A 30903-2024</t>
        </is>
      </c>
      <c r="B637" s="1" t="n">
        <v>45498.49946759259</v>
      </c>
      <c r="C637" s="1" t="n">
        <v>46127</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47193-2023</t>
        </is>
      </c>
      <c r="B638" s="1" t="n">
        <v>45202.3074537037</v>
      </c>
      <c r="C638" s="1" t="n">
        <v>46127</v>
      </c>
      <c r="D638" t="inlineStr">
        <is>
          <t>ÖREBRO LÄN</t>
        </is>
      </c>
      <c r="E638" t="inlineStr">
        <is>
          <t>ÖREBRO</t>
        </is>
      </c>
      <c r="G638" t="n">
        <v>2.4</v>
      </c>
      <c r="H638" t="n">
        <v>0</v>
      </c>
      <c r="I638" t="n">
        <v>0</v>
      </c>
      <c r="J638" t="n">
        <v>0</v>
      </c>
      <c r="K638" t="n">
        <v>0</v>
      </c>
      <c r="L638" t="n">
        <v>0</v>
      </c>
      <c r="M638" t="n">
        <v>0</v>
      </c>
      <c r="N638" t="n">
        <v>0</v>
      </c>
      <c r="O638" t="n">
        <v>0</v>
      </c>
      <c r="P638" t="n">
        <v>0</v>
      </c>
      <c r="Q638" t="n">
        <v>0</v>
      </c>
      <c r="R638" s="2" t="inlineStr"/>
    </row>
    <row r="639" ht="15" customHeight="1">
      <c r="A639" t="inlineStr">
        <is>
          <t>A 59026-2024</t>
        </is>
      </c>
      <c r="B639" s="1" t="n">
        <v>45636.6875</v>
      </c>
      <c r="C639" s="1" t="n">
        <v>46127</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17465-2023</t>
        </is>
      </c>
      <c r="B640" s="1" t="n">
        <v>45036</v>
      </c>
      <c r="C640" s="1" t="n">
        <v>46127</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36635-2023</t>
        </is>
      </c>
      <c r="B641" s="1" t="n">
        <v>45153</v>
      </c>
      <c r="C641" s="1" t="n">
        <v>46127</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681-2024</t>
        </is>
      </c>
      <c r="B642" s="1" t="n">
        <v>45300</v>
      </c>
      <c r="C642" s="1" t="n">
        <v>46127</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46127</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c r="A644" t="inlineStr">
        <is>
          <t>A 35819-2024</t>
        </is>
      </c>
      <c r="B644" s="1" t="n">
        <v>45532</v>
      </c>
      <c r="C644" s="1" t="n">
        <v>46127</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2026-04-15T14:25:42Z</dcterms:created>
  <dcterms:modified xmlns:dcterms="http://purl.org/dc/terms/" xmlns:xsi="http://www.w3.org/2001/XMLSchema-instance" xsi:type="dcterms:W3CDTF">2026-04-15T14:25:43Z</dcterms:modified>
</cp:coreProperties>
</file>