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45886</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45886</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45886</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45886</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45886</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45886</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45886</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45886</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45886</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5354-2024</t>
        </is>
      </c>
      <c r="B11" s="1" t="n">
        <v>45331</v>
      </c>
      <c r="C11" s="1" t="n">
        <v>45886</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57553-2023</t>
        </is>
      </c>
      <c r="B12" s="1" t="n">
        <v>45246</v>
      </c>
      <c r="C12" s="1" t="n">
        <v>45886</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33069-2025</t>
        </is>
      </c>
      <c r="B13" s="1" t="n">
        <v>45840</v>
      </c>
      <c r="C13" s="1" t="n">
        <v>45886</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8564-2021</t>
        </is>
      </c>
      <c r="B14" s="1" t="n">
        <v>44245</v>
      </c>
      <c r="C14" s="1" t="n">
        <v>45886</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45886</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29487-2022</t>
        </is>
      </c>
      <c r="B16" s="1" t="n">
        <v>44753</v>
      </c>
      <c r="C16" s="1" t="n">
        <v>45886</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45886</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45886</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17074-2024</t>
        </is>
      </c>
      <c r="B19" s="1" t="n">
        <v>45412</v>
      </c>
      <c r="C19" s="1" t="n">
        <v>45886</v>
      </c>
      <c r="D19" t="inlineStr">
        <is>
          <t>ÖREBRO LÄN</t>
        </is>
      </c>
      <c r="E19" t="inlineStr">
        <is>
          <t>ÖREBRO</t>
        </is>
      </c>
      <c r="F19" t="inlineStr">
        <is>
          <t>Sveaskog</t>
        </is>
      </c>
      <c r="G19" t="n">
        <v>7.2</v>
      </c>
      <c r="H19" t="n">
        <v>1</v>
      </c>
      <c r="I19" t="n">
        <v>2</v>
      </c>
      <c r="J19" t="n">
        <v>0</v>
      </c>
      <c r="K19" t="n">
        <v>0</v>
      </c>
      <c r="L19" t="n">
        <v>1</v>
      </c>
      <c r="M19" t="n">
        <v>0</v>
      </c>
      <c r="N19" t="n">
        <v>0</v>
      </c>
      <c r="O19" t="n">
        <v>1</v>
      </c>
      <c r="P19" t="n">
        <v>1</v>
      </c>
      <c r="Q19" t="n">
        <v>3</v>
      </c>
      <c r="R19" s="2" t="inlineStr">
        <is>
          <t>Ask
Hässleklocka
Skogsknipprot</t>
        </is>
      </c>
      <c r="S19">
        <f>HYPERLINK("https://klasma.github.io/Logging_1880/artfynd/A 17074-2024 artfynd.xlsx", "A 17074-2024")</f>
        <v/>
      </c>
      <c r="T19">
        <f>HYPERLINK("https://klasma.github.io/Logging_1880/kartor/A 17074-2024 karta.png", "A 17074-2024")</f>
        <v/>
      </c>
      <c r="V19">
        <f>HYPERLINK("https://klasma.github.io/Logging_1880/klagomål/A 17074-2024 FSC-klagomål.docx", "A 17074-2024")</f>
        <v/>
      </c>
      <c r="W19">
        <f>HYPERLINK("https://klasma.github.io/Logging_1880/klagomålsmail/A 17074-2024 FSC-klagomål mail.docx", "A 17074-2024")</f>
        <v/>
      </c>
      <c r="X19">
        <f>HYPERLINK("https://klasma.github.io/Logging_1880/tillsyn/A 17074-2024 tillsynsbegäran.docx", "A 17074-2024")</f>
        <v/>
      </c>
      <c r="Y19">
        <f>HYPERLINK("https://klasma.github.io/Logging_1880/tillsynsmail/A 17074-2024 tillsynsbegäran mail.docx", "A 17074-2024")</f>
        <v/>
      </c>
    </row>
    <row r="20" ht="15" customHeight="1">
      <c r="A20" t="inlineStr">
        <is>
          <t>A 13627-2025</t>
        </is>
      </c>
      <c r="B20" s="1" t="n">
        <v>45736</v>
      </c>
      <c r="C20" s="1" t="n">
        <v>45886</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35098-2025</t>
        </is>
      </c>
      <c r="B21" s="1" t="n">
        <v>45852.5469212963</v>
      </c>
      <c r="C21" s="1" t="n">
        <v>45886</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575-2024</t>
        </is>
      </c>
      <c r="B22" s="1" t="n">
        <v>45299</v>
      </c>
      <c r="C22" s="1" t="n">
        <v>45886</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12974-2022</t>
        </is>
      </c>
      <c r="B23" s="1" t="n">
        <v>44643.38490740741</v>
      </c>
      <c r="C23" s="1" t="n">
        <v>45886</v>
      </c>
      <c r="D23" t="inlineStr">
        <is>
          <t>ÖREBRO LÄN</t>
        </is>
      </c>
      <c r="E23" t="inlineStr">
        <is>
          <t>ÖREBRO</t>
        </is>
      </c>
      <c r="G23" t="n">
        <v>3.3</v>
      </c>
      <c r="H23" t="n">
        <v>3</v>
      </c>
      <c r="I23" t="n">
        <v>0</v>
      </c>
      <c r="J23" t="n">
        <v>2</v>
      </c>
      <c r="K23" t="n">
        <v>0</v>
      </c>
      <c r="L23" t="n">
        <v>0</v>
      </c>
      <c r="M23" t="n">
        <v>0</v>
      </c>
      <c r="N23" t="n">
        <v>0</v>
      </c>
      <c r="O23" t="n">
        <v>2</v>
      </c>
      <c r="P23" t="n">
        <v>0</v>
      </c>
      <c r="Q23" t="n">
        <v>3</v>
      </c>
      <c r="R23" s="2" t="inlineStr">
        <is>
          <t>Duvhök
Grönsångare
Kungsfågel</t>
        </is>
      </c>
      <c r="S23">
        <f>HYPERLINK("https://klasma.github.io/Logging_1880/artfynd/A 12974-2022 artfynd.xlsx", "A 12974-2022")</f>
        <v/>
      </c>
      <c r="T23">
        <f>HYPERLINK("https://klasma.github.io/Logging_1880/kartor/A 12974-2022 karta.png", "A 12974-2022")</f>
        <v/>
      </c>
      <c r="V23">
        <f>HYPERLINK("https://klasma.github.io/Logging_1880/klagomål/A 12974-2022 FSC-klagomål.docx", "A 12974-2022")</f>
        <v/>
      </c>
      <c r="W23">
        <f>HYPERLINK("https://klasma.github.io/Logging_1880/klagomålsmail/A 12974-2022 FSC-klagomål mail.docx", "A 12974-2022")</f>
        <v/>
      </c>
      <c r="X23">
        <f>HYPERLINK("https://klasma.github.io/Logging_1880/tillsyn/A 12974-2022 tillsynsbegäran.docx", "A 12974-2022")</f>
        <v/>
      </c>
      <c r="Y23">
        <f>HYPERLINK("https://klasma.github.io/Logging_1880/tillsynsmail/A 12974-2022 tillsynsbegäran mail.docx", "A 12974-2022")</f>
        <v/>
      </c>
      <c r="Z23">
        <f>HYPERLINK("https://klasma.github.io/Logging_1880/fåglar/A 12974-2022 prioriterade fågelarter.docx", "A 12974-2022")</f>
        <v/>
      </c>
    </row>
    <row r="24" ht="15" customHeight="1">
      <c r="A24" t="inlineStr">
        <is>
          <t>A 29478-2022</t>
        </is>
      </c>
      <c r="B24" s="1" t="n">
        <v>44753</v>
      </c>
      <c r="C24" s="1" t="n">
        <v>45886</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45886</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45886</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45886</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14173-2024</t>
        </is>
      </c>
      <c r="B28" s="1" t="n">
        <v>45393.2716087963</v>
      </c>
      <c r="C28" s="1" t="n">
        <v>45886</v>
      </c>
      <c r="D28" t="inlineStr">
        <is>
          <t>ÖREBRO LÄN</t>
        </is>
      </c>
      <c r="E28" t="inlineStr">
        <is>
          <t>ÖREBRO</t>
        </is>
      </c>
      <c r="G28" t="n">
        <v>0.9</v>
      </c>
      <c r="H28" t="n">
        <v>2</v>
      </c>
      <c r="I28" t="n">
        <v>0</v>
      </c>
      <c r="J28" t="n">
        <v>0</v>
      </c>
      <c r="K28" t="n">
        <v>0</v>
      </c>
      <c r="L28" t="n">
        <v>0</v>
      </c>
      <c r="M28" t="n">
        <v>0</v>
      </c>
      <c r="N28" t="n">
        <v>0</v>
      </c>
      <c r="O28" t="n">
        <v>0</v>
      </c>
      <c r="P28" t="n">
        <v>0</v>
      </c>
      <c r="Q28" t="n">
        <v>2</v>
      </c>
      <c r="R28" s="2" t="inlineStr">
        <is>
          <t>Grönsiska
Kungsfågel</t>
        </is>
      </c>
      <c r="S28">
        <f>HYPERLINK("https://klasma.github.io/Logging_1880/artfynd/A 14173-2024 artfynd.xlsx", "A 14173-2024")</f>
        <v/>
      </c>
      <c r="T28">
        <f>HYPERLINK("https://klasma.github.io/Logging_1880/kartor/A 14173-2024 karta.png", "A 14173-2024")</f>
        <v/>
      </c>
      <c r="V28">
        <f>HYPERLINK("https://klasma.github.io/Logging_1880/klagomål/A 14173-2024 FSC-klagomål.docx", "A 14173-2024")</f>
        <v/>
      </c>
      <c r="W28">
        <f>HYPERLINK("https://klasma.github.io/Logging_1880/klagomålsmail/A 14173-2024 FSC-klagomål mail.docx", "A 14173-2024")</f>
        <v/>
      </c>
      <c r="X28">
        <f>HYPERLINK("https://klasma.github.io/Logging_1880/tillsyn/A 14173-2024 tillsynsbegäran.docx", "A 14173-2024")</f>
        <v/>
      </c>
      <c r="Y28">
        <f>HYPERLINK("https://klasma.github.io/Logging_1880/tillsynsmail/A 14173-2024 tillsynsbegäran mail.docx", "A 14173-2024")</f>
        <v/>
      </c>
      <c r="Z28">
        <f>HYPERLINK("https://klasma.github.io/Logging_1880/fåglar/A 14173-2024 prioriterade fågelarter.docx", "A 14173-2024")</f>
        <v/>
      </c>
    </row>
    <row r="29" ht="15" customHeight="1">
      <c r="A29" t="inlineStr">
        <is>
          <t>A 13458-2024</t>
        </is>
      </c>
      <c r="B29" s="1" t="n">
        <v>45387.54642361111</v>
      </c>
      <c r="C29" s="1" t="n">
        <v>45886</v>
      </c>
      <c r="D29" t="inlineStr">
        <is>
          <t>ÖREBRO LÄN</t>
        </is>
      </c>
      <c r="E29" t="inlineStr">
        <is>
          <t>ÖREBRO</t>
        </is>
      </c>
      <c r="G29" t="n">
        <v>1.8</v>
      </c>
      <c r="H29" t="n">
        <v>2</v>
      </c>
      <c r="I29" t="n">
        <v>0</v>
      </c>
      <c r="J29" t="n">
        <v>1</v>
      </c>
      <c r="K29" t="n">
        <v>0</v>
      </c>
      <c r="L29" t="n">
        <v>0</v>
      </c>
      <c r="M29" t="n">
        <v>0</v>
      </c>
      <c r="N29" t="n">
        <v>0</v>
      </c>
      <c r="O29" t="n">
        <v>1</v>
      </c>
      <c r="P29" t="n">
        <v>0</v>
      </c>
      <c r="Q29" t="n">
        <v>2</v>
      </c>
      <c r="R29" s="2" t="inlineStr">
        <is>
          <t>Havsörn
Göktyta</t>
        </is>
      </c>
      <c r="S29">
        <f>HYPERLINK("https://klasma.github.io/Logging_1880/artfynd/A 13458-2024 artfynd.xlsx", "A 13458-2024")</f>
        <v/>
      </c>
      <c r="T29">
        <f>HYPERLINK("https://klasma.github.io/Logging_1880/kartor/A 13458-2024 karta.png", "A 13458-2024")</f>
        <v/>
      </c>
      <c r="V29">
        <f>HYPERLINK("https://klasma.github.io/Logging_1880/klagomål/A 13458-2024 FSC-klagomål.docx", "A 13458-2024")</f>
        <v/>
      </c>
      <c r="W29">
        <f>HYPERLINK("https://klasma.github.io/Logging_1880/klagomålsmail/A 13458-2024 FSC-klagomål mail.docx", "A 13458-2024")</f>
        <v/>
      </c>
      <c r="X29">
        <f>HYPERLINK("https://klasma.github.io/Logging_1880/tillsyn/A 13458-2024 tillsynsbegäran.docx", "A 13458-2024")</f>
        <v/>
      </c>
      <c r="Y29">
        <f>HYPERLINK("https://klasma.github.io/Logging_1880/tillsynsmail/A 13458-2024 tillsynsbegäran mail.docx", "A 13458-2024")</f>
        <v/>
      </c>
      <c r="Z29">
        <f>HYPERLINK("https://klasma.github.io/Logging_1880/fåglar/A 13458-2024 prioriterade fågelarter.docx", "A 13458-2024")</f>
        <v/>
      </c>
    </row>
    <row r="30" ht="15" customHeight="1">
      <c r="A30" t="inlineStr">
        <is>
          <t>A 13395-2024</t>
        </is>
      </c>
      <c r="B30" s="1" t="n">
        <v>45387.42296296296</v>
      </c>
      <c r="C30" s="1" t="n">
        <v>45886</v>
      </c>
      <c r="D30" t="inlineStr">
        <is>
          <t>ÖREBRO LÄN</t>
        </is>
      </c>
      <c r="E30" t="inlineStr">
        <is>
          <t>ÖREBRO</t>
        </is>
      </c>
      <c r="G30" t="n">
        <v>1.9</v>
      </c>
      <c r="H30" t="n">
        <v>2</v>
      </c>
      <c r="I30" t="n">
        <v>0</v>
      </c>
      <c r="J30" t="n">
        <v>0</v>
      </c>
      <c r="K30" t="n">
        <v>0</v>
      </c>
      <c r="L30" t="n">
        <v>0</v>
      </c>
      <c r="M30" t="n">
        <v>0</v>
      </c>
      <c r="N30" t="n">
        <v>0</v>
      </c>
      <c r="O30" t="n">
        <v>0</v>
      </c>
      <c r="P30" t="n">
        <v>0</v>
      </c>
      <c r="Q30" t="n">
        <v>2</v>
      </c>
      <c r="R30" s="2" t="inlineStr">
        <is>
          <t>Järnsparv
Kungsfågel</t>
        </is>
      </c>
      <c r="S30">
        <f>HYPERLINK("https://klasma.github.io/Logging_1880/artfynd/A 13395-2024 artfynd.xlsx", "A 13395-2024")</f>
        <v/>
      </c>
      <c r="T30">
        <f>HYPERLINK("https://klasma.github.io/Logging_1880/kartor/A 13395-2024 karta.png", "A 13395-2024")</f>
        <v/>
      </c>
      <c r="V30">
        <f>HYPERLINK("https://klasma.github.io/Logging_1880/klagomål/A 13395-2024 FSC-klagomål.docx", "A 13395-2024")</f>
        <v/>
      </c>
      <c r="W30">
        <f>HYPERLINK("https://klasma.github.io/Logging_1880/klagomålsmail/A 13395-2024 FSC-klagomål mail.docx", "A 13395-2024")</f>
        <v/>
      </c>
      <c r="X30">
        <f>HYPERLINK("https://klasma.github.io/Logging_1880/tillsyn/A 13395-2024 tillsynsbegäran.docx", "A 13395-2024")</f>
        <v/>
      </c>
      <c r="Y30">
        <f>HYPERLINK("https://klasma.github.io/Logging_1880/tillsynsmail/A 13395-2024 tillsynsbegäran mail.docx", "A 13395-2024")</f>
        <v/>
      </c>
      <c r="Z30">
        <f>HYPERLINK("https://klasma.github.io/Logging_1880/fåglar/A 13395-2024 prioriterade fågelarter.docx", "A 13395-2024")</f>
        <v/>
      </c>
    </row>
    <row r="31" ht="15" customHeight="1">
      <c r="A31" t="inlineStr">
        <is>
          <t>A 14956-2025</t>
        </is>
      </c>
      <c r="B31" s="1" t="n">
        <v>45743.58409722222</v>
      </c>
      <c r="C31" s="1" t="n">
        <v>45886</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22577-2024</t>
        </is>
      </c>
      <c r="B32" s="1" t="n">
        <v>45447</v>
      </c>
      <c r="C32" s="1" t="n">
        <v>45886</v>
      </c>
      <c r="D32" t="inlineStr">
        <is>
          <t>ÖREBRO LÄN</t>
        </is>
      </c>
      <c r="E32" t="inlineStr">
        <is>
          <t>ÖREBRO</t>
        </is>
      </c>
      <c r="G32" t="n">
        <v>1.8</v>
      </c>
      <c r="H32" t="n">
        <v>1</v>
      </c>
      <c r="I32" t="n">
        <v>0</v>
      </c>
      <c r="J32" t="n">
        <v>2</v>
      </c>
      <c r="K32" t="n">
        <v>0</v>
      </c>
      <c r="L32" t="n">
        <v>0</v>
      </c>
      <c r="M32" t="n">
        <v>0</v>
      </c>
      <c r="N32" t="n">
        <v>0</v>
      </c>
      <c r="O32" t="n">
        <v>2</v>
      </c>
      <c r="P32" t="n">
        <v>0</v>
      </c>
      <c r="Q32" t="n">
        <v>2</v>
      </c>
      <c r="R32" s="2" t="inlineStr">
        <is>
          <t>Spillkråka
Ullticka</t>
        </is>
      </c>
      <c r="S32">
        <f>HYPERLINK("https://klasma.github.io/Logging_1880/artfynd/A 22577-2024 artfynd.xlsx", "A 22577-2024")</f>
        <v/>
      </c>
      <c r="T32">
        <f>HYPERLINK("https://klasma.github.io/Logging_1880/kartor/A 22577-2024 karta.png", "A 22577-2024")</f>
        <v/>
      </c>
      <c r="V32">
        <f>HYPERLINK("https://klasma.github.io/Logging_1880/klagomål/A 22577-2024 FSC-klagomål.docx", "A 22577-2024")</f>
        <v/>
      </c>
      <c r="W32">
        <f>HYPERLINK("https://klasma.github.io/Logging_1880/klagomålsmail/A 22577-2024 FSC-klagomål mail.docx", "A 22577-2024")</f>
        <v/>
      </c>
      <c r="X32">
        <f>HYPERLINK("https://klasma.github.io/Logging_1880/tillsyn/A 22577-2024 tillsynsbegäran.docx", "A 22577-2024")</f>
        <v/>
      </c>
      <c r="Y32">
        <f>HYPERLINK("https://klasma.github.io/Logging_1880/tillsynsmail/A 22577-2024 tillsynsbegäran mail.docx", "A 22577-2024")</f>
        <v/>
      </c>
      <c r="Z32">
        <f>HYPERLINK("https://klasma.github.io/Logging_1880/fåglar/A 22577-2024 prioriterade fågelarter.docx", "A 22577-2024")</f>
        <v/>
      </c>
    </row>
    <row r="33" ht="15" customHeight="1">
      <c r="A33" t="inlineStr">
        <is>
          <t>A 8267-2021</t>
        </is>
      </c>
      <c r="B33" s="1" t="n">
        <v>44244</v>
      </c>
      <c r="C33" s="1" t="n">
        <v>45886</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30409-2025</t>
        </is>
      </c>
      <c r="B34" s="1" t="n">
        <v>45827.59738425926</v>
      </c>
      <c r="C34" s="1" t="n">
        <v>45886</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37019-2024</t>
        </is>
      </c>
      <c r="B35" s="1" t="n">
        <v>45539.37905092593</v>
      </c>
      <c r="C35" s="1" t="n">
        <v>45886</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7608-2024</t>
        </is>
      </c>
      <c r="B36" s="1" t="n">
        <v>45348</v>
      </c>
      <c r="C36" s="1" t="n">
        <v>45886</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52400-2024</t>
        </is>
      </c>
      <c r="B37" s="1" t="n">
        <v>45609.44461805555</v>
      </c>
      <c r="C37" s="1" t="n">
        <v>45886</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29704-2022</t>
        </is>
      </c>
      <c r="B38" s="1" t="n">
        <v>44755</v>
      </c>
      <c r="C38" s="1" t="n">
        <v>45886</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45886</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45886</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43332-2022</t>
        </is>
      </c>
      <c r="B41" s="1" t="n">
        <v>44834</v>
      </c>
      <c r="C41" s="1" t="n">
        <v>45886</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30725-2023</t>
        </is>
      </c>
      <c r="B42" s="1" t="n">
        <v>45112.61451388889</v>
      </c>
      <c r="C42" s="1" t="n">
        <v>45886</v>
      </c>
      <c r="D42" t="inlineStr">
        <is>
          <t>ÖREBRO LÄN</t>
        </is>
      </c>
      <c r="E42" t="inlineStr">
        <is>
          <t>ÖREBRO</t>
        </is>
      </c>
      <c r="G42" t="n">
        <v>1.8</v>
      </c>
      <c r="H42" t="n">
        <v>1</v>
      </c>
      <c r="I42" t="n">
        <v>0</v>
      </c>
      <c r="J42" t="n">
        <v>1</v>
      </c>
      <c r="K42" t="n">
        <v>0</v>
      </c>
      <c r="L42" t="n">
        <v>0</v>
      </c>
      <c r="M42" t="n">
        <v>0</v>
      </c>
      <c r="N42" t="n">
        <v>0</v>
      </c>
      <c r="O42" t="n">
        <v>1</v>
      </c>
      <c r="P42" t="n">
        <v>0</v>
      </c>
      <c r="Q42" t="n">
        <v>1</v>
      </c>
      <c r="R42" s="2" t="inlineStr">
        <is>
          <t>Gulsparv</t>
        </is>
      </c>
      <c r="S42">
        <f>HYPERLINK("https://klasma.github.io/Logging_1880/artfynd/A 30725-2023 artfynd.xlsx", "A 30725-2023")</f>
        <v/>
      </c>
      <c r="T42">
        <f>HYPERLINK("https://klasma.github.io/Logging_1880/kartor/A 30725-2023 karta.png", "A 30725-2023")</f>
        <v/>
      </c>
      <c r="V42">
        <f>HYPERLINK("https://klasma.github.io/Logging_1880/klagomål/A 30725-2023 FSC-klagomål.docx", "A 30725-2023")</f>
        <v/>
      </c>
      <c r="W42">
        <f>HYPERLINK("https://klasma.github.io/Logging_1880/klagomålsmail/A 30725-2023 FSC-klagomål mail.docx", "A 30725-2023")</f>
        <v/>
      </c>
      <c r="X42">
        <f>HYPERLINK("https://klasma.github.io/Logging_1880/tillsyn/A 30725-2023 tillsynsbegäran.docx", "A 30725-2023")</f>
        <v/>
      </c>
      <c r="Y42">
        <f>HYPERLINK("https://klasma.github.io/Logging_1880/tillsynsmail/A 30725-2023 tillsynsbegäran mail.docx", "A 30725-2023")</f>
        <v/>
      </c>
      <c r="Z42">
        <f>HYPERLINK("https://klasma.github.io/Logging_1880/fåglar/A 30725-2023 prioriterade fågelarter.docx", "A 30725-2023")</f>
        <v/>
      </c>
    </row>
    <row r="43" ht="15" customHeight="1">
      <c r="A43" t="inlineStr">
        <is>
          <t>A 5097-2023</t>
        </is>
      </c>
      <c r="B43" s="1" t="n">
        <v>44958</v>
      </c>
      <c r="C43" s="1" t="n">
        <v>45886</v>
      </c>
      <c r="D43" t="inlineStr">
        <is>
          <t>ÖREBRO LÄN</t>
        </is>
      </c>
      <c r="E43" t="inlineStr">
        <is>
          <t>ÖREBRO</t>
        </is>
      </c>
      <c r="G43" t="n">
        <v>3.6</v>
      </c>
      <c r="H43" t="n">
        <v>1</v>
      </c>
      <c r="I43" t="n">
        <v>0</v>
      </c>
      <c r="J43" t="n">
        <v>0</v>
      </c>
      <c r="K43" t="n">
        <v>0</v>
      </c>
      <c r="L43" t="n">
        <v>0</v>
      </c>
      <c r="M43" t="n">
        <v>0</v>
      </c>
      <c r="N43" t="n">
        <v>0</v>
      </c>
      <c r="O43" t="n">
        <v>0</v>
      </c>
      <c r="P43" t="n">
        <v>0</v>
      </c>
      <c r="Q43" t="n">
        <v>1</v>
      </c>
      <c r="R43" s="2" t="inlineStr">
        <is>
          <t>Grönvit nattviol</t>
        </is>
      </c>
      <c r="S43">
        <f>HYPERLINK("https://klasma.github.io/Logging_1880/artfynd/A 5097-2023 artfynd.xlsx", "A 5097-2023")</f>
        <v/>
      </c>
      <c r="T43">
        <f>HYPERLINK("https://klasma.github.io/Logging_1880/kartor/A 5097-2023 karta.png", "A 5097-2023")</f>
        <v/>
      </c>
      <c r="V43">
        <f>HYPERLINK("https://klasma.github.io/Logging_1880/klagomål/A 5097-2023 FSC-klagomål.docx", "A 5097-2023")</f>
        <v/>
      </c>
      <c r="W43">
        <f>HYPERLINK("https://klasma.github.io/Logging_1880/klagomålsmail/A 5097-2023 FSC-klagomål mail.docx", "A 5097-2023")</f>
        <v/>
      </c>
      <c r="X43">
        <f>HYPERLINK("https://klasma.github.io/Logging_1880/tillsyn/A 5097-2023 tillsynsbegäran.docx", "A 5097-2023")</f>
        <v/>
      </c>
      <c r="Y43">
        <f>HYPERLINK("https://klasma.github.io/Logging_1880/tillsynsmail/A 5097-2023 tillsynsbegäran mail.docx", "A 5097-2023")</f>
        <v/>
      </c>
    </row>
    <row r="44" ht="15" customHeight="1">
      <c r="A44" t="inlineStr">
        <is>
          <t>A 20247-2023</t>
        </is>
      </c>
      <c r="B44" s="1" t="n">
        <v>45055</v>
      </c>
      <c r="C44" s="1" t="n">
        <v>45886</v>
      </c>
      <c r="D44" t="inlineStr">
        <is>
          <t>ÖREBRO LÄN</t>
        </is>
      </c>
      <c r="E44" t="inlineStr">
        <is>
          <t>ÖREBRO</t>
        </is>
      </c>
      <c r="G44" t="n">
        <v>3</v>
      </c>
      <c r="H44" t="n">
        <v>1</v>
      </c>
      <c r="I44" t="n">
        <v>0</v>
      </c>
      <c r="J44" t="n">
        <v>0</v>
      </c>
      <c r="K44" t="n">
        <v>0</v>
      </c>
      <c r="L44" t="n">
        <v>0</v>
      </c>
      <c r="M44" t="n">
        <v>0</v>
      </c>
      <c r="N44" t="n">
        <v>0</v>
      </c>
      <c r="O44" t="n">
        <v>0</v>
      </c>
      <c r="P44" t="n">
        <v>0</v>
      </c>
      <c r="Q44" t="n">
        <v>1</v>
      </c>
      <c r="R44" s="2" t="inlineStr">
        <is>
          <t>Större vattensalamander</t>
        </is>
      </c>
      <c r="S44">
        <f>HYPERLINK("https://klasma.github.io/Logging_1880/artfynd/A 20247-2023 artfynd.xlsx", "A 20247-2023")</f>
        <v/>
      </c>
      <c r="T44">
        <f>HYPERLINK("https://klasma.github.io/Logging_1880/kartor/A 20247-2023 karta.png", "A 20247-2023")</f>
        <v/>
      </c>
      <c r="V44">
        <f>HYPERLINK("https://klasma.github.io/Logging_1880/klagomål/A 20247-2023 FSC-klagomål.docx", "A 20247-2023")</f>
        <v/>
      </c>
      <c r="W44">
        <f>HYPERLINK("https://klasma.github.io/Logging_1880/klagomålsmail/A 20247-2023 FSC-klagomål mail.docx", "A 20247-2023")</f>
        <v/>
      </c>
      <c r="X44">
        <f>HYPERLINK("https://klasma.github.io/Logging_1880/tillsyn/A 20247-2023 tillsynsbegäran.docx", "A 20247-2023")</f>
        <v/>
      </c>
      <c r="Y44">
        <f>HYPERLINK("https://klasma.github.io/Logging_1880/tillsynsmail/A 20247-2023 tillsynsbegäran mail.docx", "A 20247-2023")</f>
        <v/>
      </c>
    </row>
    <row r="45" ht="15" customHeight="1">
      <c r="A45" t="inlineStr">
        <is>
          <t>A 55904-2024</t>
        </is>
      </c>
      <c r="B45" s="1" t="n">
        <v>45623.58190972222</v>
      </c>
      <c r="C45" s="1" t="n">
        <v>45886</v>
      </c>
      <c r="D45" t="inlineStr">
        <is>
          <t>ÖREBRO LÄN</t>
        </is>
      </c>
      <c r="E45" t="inlineStr">
        <is>
          <t>ÖREBRO</t>
        </is>
      </c>
      <c r="G45" t="n">
        <v>1.2</v>
      </c>
      <c r="H45" t="n">
        <v>1</v>
      </c>
      <c r="I45" t="n">
        <v>0</v>
      </c>
      <c r="J45" t="n">
        <v>0</v>
      </c>
      <c r="K45" t="n">
        <v>0</v>
      </c>
      <c r="L45" t="n">
        <v>0</v>
      </c>
      <c r="M45" t="n">
        <v>0</v>
      </c>
      <c r="N45" t="n">
        <v>0</v>
      </c>
      <c r="O45" t="n">
        <v>0</v>
      </c>
      <c r="P45" t="n">
        <v>0</v>
      </c>
      <c r="Q45" t="n">
        <v>1</v>
      </c>
      <c r="R45" s="2" t="inlineStr">
        <is>
          <t>Trana</t>
        </is>
      </c>
      <c r="S45">
        <f>HYPERLINK("https://klasma.github.io/Logging_1880/artfynd/A 55904-2024 artfynd.xlsx", "A 55904-2024")</f>
        <v/>
      </c>
      <c r="T45">
        <f>HYPERLINK("https://klasma.github.io/Logging_1880/kartor/A 55904-2024 karta.png", "A 55904-2024")</f>
        <v/>
      </c>
      <c r="V45">
        <f>HYPERLINK("https://klasma.github.io/Logging_1880/klagomål/A 55904-2024 FSC-klagomål.docx", "A 55904-2024")</f>
        <v/>
      </c>
      <c r="W45">
        <f>HYPERLINK("https://klasma.github.io/Logging_1880/klagomålsmail/A 55904-2024 FSC-klagomål mail.docx", "A 55904-2024")</f>
        <v/>
      </c>
      <c r="X45">
        <f>HYPERLINK("https://klasma.github.io/Logging_1880/tillsyn/A 55904-2024 tillsynsbegäran.docx", "A 55904-2024")</f>
        <v/>
      </c>
      <c r="Y45">
        <f>HYPERLINK("https://klasma.github.io/Logging_1880/tillsynsmail/A 55904-2024 tillsynsbegäran mail.docx", "A 55904-2024")</f>
        <v/>
      </c>
      <c r="Z45">
        <f>HYPERLINK("https://klasma.github.io/Logging_1880/fåglar/A 55904-2024 prioriterade fågelarter.docx", "A 55904-2024")</f>
        <v/>
      </c>
    </row>
    <row r="46" ht="15" customHeight="1">
      <c r="A46" t="inlineStr">
        <is>
          <t>A 23998-2025</t>
        </is>
      </c>
      <c r="B46" s="1" t="n">
        <v>45796.42209490741</v>
      </c>
      <c r="C46" s="1" t="n">
        <v>45886</v>
      </c>
      <c r="D46" t="inlineStr">
        <is>
          <t>ÖREBRO LÄN</t>
        </is>
      </c>
      <c r="E46" t="inlineStr">
        <is>
          <t>ÖREBRO</t>
        </is>
      </c>
      <c r="G46" t="n">
        <v>4.7</v>
      </c>
      <c r="H46" t="n">
        <v>0</v>
      </c>
      <c r="I46" t="n">
        <v>1</v>
      </c>
      <c r="J46" t="n">
        <v>0</v>
      </c>
      <c r="K46" t="n">
        <v>0</v>
      </c>
      <c r="L46" t="n">
        <v>0</v>
      </c>
      <c r="M46" t="n">
        <v>0</v>
      </c>
      <c r="N46" t="n">
        <v>0</v>
      </c>
      <c r="O46" t="n">
        <v>0</v>
      </c>
      <c r="P46" t="n">
        <v>0</v>
      </c>
      <c r="Q46" t="n">
        <v>1</v>
      </c>
      <c r="R46" s="2" t="inlineStr">
        <is>
          <t>Kambräken</t>
        </is>
      </c>
      <c r="S46">
        <f>HYPERLINK("https://klasma.github.io/Logging_1880/artfynd/A 23998-2025 artfynd.xlsx", "A 23998-2025")</f>
        <v/>
      </c>
      <c r="T46">
        <f>HYPERLINK("https://klasma.github.io/Logging_1880/kartor/A 23998-2025 karta.png", "A 23998-2025")</f>
        <v/>
      </c>
      <c r="V46">
        <f>HYPERLINK("https://klasma.github.io/Logging_1880/klagomål/A 23998-2025 FSC-klagomål.docx", "A 23998-2025")</f>
        <v/>
      </c>
      <c r="W46">
        <f>HYPERLINK("https://klasma.github.io/Logging_1880/klagomålsmail/A 23998-2025 FSC-klagomål mail.docx", "A 23998-2025")</f>
        <v/>
      </c>
      <c r="X46">
        <f>HYPERLINK("https://klasma.github.io/Logging_1880/tillsyn/A 23998-2025 tillsynsbegäran.docx", "A 23998-2025")</f>
        <v/>
      </c>
      <c r="Y46">
        <f>HYPERLINK("https://klasma.github.io/Logging_1880/tillsynsmail/A 23998-2025 tillsynsbegäran mail.docx", "A 23998-2025")</f>
        <v/>
      </c>
    </row>
    <row r="47" ht="15" customHeight="1">
      <c r="A47" t="inlineStr">
        <is>
          <t>A 15621-2021</t>
        </is>
      </c>
      <c r="B47" s="1" t="n">
        <v>44285</v>
      </c>
      <c r="C47" s="1" t="n">
        <v>45886</v>
      </c>
      <c r="D47" t="inlineStr">
        <is>
          <t>ÖREBRO LÄN</t>
        </is>
      </c>
      <c r="E47" t="inlineStr">
        <is>
          <t>ÖREBRO</t>
        </is>
      </c>
      <c r="G47" t="n">
        <v>2.8</v>
      </c>
      <c r="H47" t="n">
        <v>1</v>
      </c>
      <c r="I47" t="n">
        <v>0</v>
      </c>
      <c r="J47" t="n">
        <v>0</v>
      </c>
      <c r="K47" t="n">
        <v>0</v>
      </c>
      <c r="L47" t="n">
        <v>0</v>
      </c>
      <c r="M47" t="n">
        <v>0</v>
      </c>
      <c r="N47" t="n">
        <v>0</v>
      </c>
      <c r="O47" t="n">
        <v>0</v>
      </c>
      <c r="P47" t="n">
        <v>0</v>
      </c>
      <c r="Q47" t="n">
        <v>1</v>
      </c>
      <c r="R47" s="2" t="inlineStr">
        <is>
          <t>Fläcknycklar</t>
        </is>
      </c>
      <c r="S47">
        <f>HYPERLINK("https://klasma.github.io/Logging_1880/artfynd/A 15621-2021 artfynd.xlsx", "A 15621-2021")</f>
        <v/>
      </c>
      <c r="T47">
        <f>HYPERLINK("https://klasma.github.io/Logging_1880/kartor/A 15621-2021 karta.png", "A 15621-2021")</f>
        <v/>
      </c>
      <c r="V47">
        <f>HYPERLINK("https://klasma.github.io/Logging_1880/klagomål/A 15621-2021 FSC-klagomål.docx", "A 15621-2021")</f>
        <v/>
      </c>
      <c r="W47">
        <f>HYPERLINK("https://klasma.github.io/Logging_1880/klagomålsmail/A 15621-2021 FSC-klagomål mail.docx", "A 15621-2021")</f>
        <v/>
      </c>
      <c r="X47">
        <f>HYPERLINK("https://klasma.github.io/Logging_1880/tillsyn/A 15621-2021 tillsynsbegäran.docx", "A 15621-2021")</f>
        <v/>
      </c>
      <c r="Y47">
        <f>HYPERLINK("https://klasma.github.io/Logging_1880/tillsynsmail/A 15621-2021 tillsynsbegäran mail.docx", "A 15621-2021")</f>
        <v/>
      </c>
    </row>
    <row r="48" ht="15" customHeight="1">
      <c r="A48" t="inlineStr">
        <is>
          <t>A 44744-2024</t>
        </is>
      </c>
      <c r="B48" s="1" t="n">
        <v>45574.59789351852</v>
      </c>
      <c r="C48" s="1" t="n">
        <v>45886</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11501-2025</t>
        </is>
      </c>
      <c r="B49" s="1" t="n">
        <v>45726</v>
      </c>
      <c r="C49" s="1" t="n">
        <v>45886</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26890-2022</t>
        </is>
      </c>
      <c r="B50" s="1" t="n">
        <v>44740</v>
      </c>
      <c r="C50" s="1" t="n">
        <v>45886</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28936-2025</t>
        </is>
      </c>
      <c r="B51" s="1" t="n">
        <v>45820.69287037037</v>
      </c>
      <c r="C51" s="1" t="n">
        <v>45886</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58966-2020</t>
        </is>
      </c>
      <c r="B52" s="1" t="n">
        <v>44146</v>
      </c>
      <c r="C52" s="1" t="n">
        <v>45886</v>
      </c>
      <c r="D52" t="inlineStr">
        <is>
          <t>ÖREBRO LÄN</t>
        </is>
      </c>
      <c r="E52" t="inlineStr">
        <is>
          <t>ÖREBRO</t>
        </is>
      </c>
      <c r="F52" t="inlineStr">
        <is>
          <t>Övriga Aktiebolag</t>
        </is>
      </c>
      <c r="G52" t="n">
        <v>1.2</v>
      </c>
      <c r="H52" t="n">
        <v>1</v>
      </c>
      <c r="I52" t="n">
        <v>0</v>
      </c>
      <c r="J52" t="n">
        <v>1</v>
      </c>
      <c r="K52" t="n">
        <v>0</v>
      </c>
      <c r="L52" t="n">
        <v>0</v>
      </c>
      <c r="M52" t="n">
        <v>0</v>
      </c>
      <c r="N52" t="n">
        <v>0</v>
      </c>
      <c r="O52" t="n">
        <v>1</v>
      </c>
      <c r="P52" t="n">
        <v>0</v>
      </c>
      <c r="Q52" t="n">
        <v>1</v>
      </c>
      <c r="R52" s="2" t="inlineStr">
        <is>
          <t>Kråka</t>
        </is>
      </c>
      <c r="S52">
        <f>HYPERLINK("https://klasma.github.io/Logging_1880/artfynd/A 58966-2020 artfynd.xlsx", "A 58966-2020")</f>
        <v/>
      </c>
      <c r="T52">
        <f>HYPERLINK("https://klasma.github.io/Logging_1880/kartor/A 58966-2020 karta.png", "A 58966-2020")</f>
        <v/>
      </c>
      <c r="V52">
        <f>HYPERLINK("https://klasma.github.io/Logging_1880/klagomål/A 58966-2020 FSC-klagomål.docx", "A 58966-2020")</f>
        <v/>
      </c>
      <c r="W52">
        <f>HYPERLINK("https://klasma.github.io/Logging_1880/klagomålsmail/A 58966-2020 FSC-klagomål mail.docx", "A 58966-2020")</f>
        <v/>
      </c>
      <c r="X52">
        <f>HYPERLINK("https://klasma.github.io/Logging_1880/tillsyn/A 58966-2020 tillsynsbegäran.docx", "A 58966-2020")</f>
        <v/>
      </c>
      <c r="Y52">
        <f>HYPERLINK("https://klasma.github.io/Logging_1880/tillsynsmail/A 58966-2020 tillsynsbegäran mail.docx", "A 58966-2020")</f>
        <v/>
      </c>
      <c r="Z52">
        <f>HYPERLINK("https://klasma.github.io/Logging_1880/fåglar/A 58966-2020 prioriterade fågelarter.docx", "A 58966-2020")</f>
        <v/>
      </c>
    </row>
    <row r="53" ht="15" customHeight="1">
      <c r="A53" t="inlineStr">
        <is>
          <t>A 57920-2024</t>
        </is>
      </c>
      <c r="B53" s="1" t="n">
        <v>45631.50894675926</v>
      </c>
      <c r="C53" s="1" t="n">
        <v>45886</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32226-2025</t>
        </is>
      </c>
      <c r="B54" s="1" t="n">
        <v>45835.59478009259</v>
      </c>
      <c r="C54" s="1" t="n">
        <v>45886</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32204-2025</t>
        </is>
      </c>
      <c r="B55" s="1" t="n">
        <v>45835.58074074074</v>
      </c>
      <c r="C55" s="1" t="n">
        <v>45886</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4014-2021</t>
        </is>
      </c>
      <c r="B56" s="1" t="n">
        <v>44218</v>
      </c>
      <c r="C56" s="1" t="n">
        <v>45886</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2077-2023</t>
        </is>
      </c>
      <c r="B57" s="1" t="n">
        <v>44939</v>
      </c>
      <c r="C57" s="1" t="n">
        <v>45886</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45886</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32105-2023</t>
        </is>
      </c>
      <c r="B59" s="1" t="n">
        <v>45119</v>
      </c>
      <c r="C59" s="1" t="n">
        <v>45886</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31695-2024</t>
        </is>
      </c>
      <c r="B60" s="1" t="n">
        <v>45508</v>
      </c>
      <c r="C60" s="1" t="n">
        <v>45886</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20032-2023</t>
        </is>
      </c>
      <c r="B61" s="1" t="n">
        <v>45054</v>
      </c>
      <c r="C61" s="1" t="n">
        <v>45886</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22604-2024</t>
        </is>
      </c>
      <c r="B62" s="1" t="n">
        <v>45447</v>
      </c>
      <c r="C62" s="1" t="n">
        <v>45886</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9406-2021</t>
        </is>
      </c>
      <c r="B63" s="1" t="n">
        <v>44251</v>
      </c>
      <c r="C63" s="1" t="n">
        <v>45886</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45886</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45886</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45886</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45886</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45886</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45886</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45886</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33865-2021</t>
        </is>
      </c>
      <c r="B71" s="1" t="n">
        <v>44378.62756944444</v>
      </c>
      <c r="C71" s="1" t="n">
        <v>45886</v>
      </c>
      <c r="D71" t="inlineStr">
        <is>
          <t>ÖREBRO LÄN</t>
        </is>
      </c>
      <c r="E71" t="inlineStr">
        <is>
          <t>ÖREBRO</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48109-2020</t>
        </is>
      </c>
      <c r="B72" s="1" t="n">
        <v>44101</v>
      </c>
      <c r="C72" s="1" t="n">
        <v>45886</v>
      </c>
      <c r="D72" t="inlineStr">
        <is>
          <t>ÖREBRO LÄN</t>
        </is>
      </c>
      <c r="E72" t="inlineStr">
        <is>
          <t>ÖREBRO</t>
        </is>
      </c>
      <c r="G72" t="n">
        <v>0.7</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45886</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45886</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45886</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45886</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45886</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45886</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45886</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45886</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45886</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45886</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45886</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45886</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45886</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45886</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45886</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45886</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45886</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45886</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45886</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45886</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45886</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45886</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45886</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45886</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45886</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45886</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45886</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45886</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45886</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45886</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45886</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45886</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45886</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45886</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45886</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45886</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45886</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45886</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45886</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45886</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45886</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45886</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45886</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45886</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45886</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45886</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45886</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45886</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45886</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45886</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45886</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45886</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45886</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45886</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45886</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45886</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45886</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45886</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21567-2022</t>
        </is>
      </c>
      <c r="B131" s="1" t="n">
        <v>44706</v>
      </c>
      <c r="C131" s="1" t="n">
        <v>45886</v>
      </c>
      <c r="D131" t="inlineStr">
        <is>
          <t>ÖREBRO LÄN</t>
        </is>
      </c>
      <c r="E131" t="inlineStr">
        <is>
          <t>ÖREBRO</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58138-2021</t>
        </is>
      </c>
      <c r="B132" s="1" t="n">
        <v>44487</v>
      </c>
      <c r="C132" s="1" t="n">
        <v>45886</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46607-2020</t>
        </is>
      </c>
      <c r="B133" s="1" t="n">
        <v>44095</v>
      </c>
      <c r="C133" s="1" t="n">
        <v>45886</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57498-2021</t>
        </is>
      </c>
      <c r="B134" s="1" t="n">
        <v>44483</v>
      </c>
      <c r="C134" s="1" t="n">
        <v>45886</v>
      </c>
      <c r="D134" t="inlineStr">
        <is>
          <t>ÖREBRO LÄN</t>
        </is>
      </c>
      <c r="E134" t="inlineStr">
        <is>
          <t>ÖREBRO</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30760-2022</t>
        </is>
      </c>
      <c r="B135" s="1" t="n">
        <v>44764.51827546296</v>
      </c>
      <c r="C135" s="1" t="n">
        <v>45886</v>
      </c>
      <c r="D135" t="inlineStr">
        <is>
          <t>ÖREBRO LÄN</t>
        </is>
      </c>
      <c r="E135" t="inlineStr">
        <is>
          <t>ÖREBRO</t>
        </is>
      </c>
      <c r="G135" t="n">
        <v>4</v>
      </c>
      <c r="H135" t="n">
        <v>0</v>
      </c>
      <c r="I135" t="n">
        <v>0</v>
      </c>
      <c r="J135" t="n">
        <v>0</v>
      </c>
      <c r="K135" t="n">
        <v>0</v>
      </c>
      <c r="L135" t="n">
        <v>0</v>
      </c>
      <c r="M135" t="n">
        <v>0</v>
      </c>
      <c r="N135" t="n">
        <v>0</v>
      </c>
      <c r="O135" t="n">
        <v>0</v>
      </c>
      <c r="P135" t="n">
        <v>0</v>
      </c>
      <c r="Q135" t="n">
        <v>0</v>
      </c>
      <c r="R135" s="2" t="inlineStr"/>
    </row>
    <row r="136" ht="15" customHeight="1">
      <c r="A136" t="inlineStr">
        <is>
          <t>A 29490-2022</t>
        </is>
      </c>
      <c r="B136" s="1" t="n">
        <v>44753</v>
      </c>
      <c r="C136" s="1" t="n">
        <v>45886</v>
      </c>
      <c r="D136" t="inlineStr">
        <is>
          <t>ÖREBRO LÄN</t>
        </is>
      </c>
      <c r="E136" t="inlineStr">
        <is>
          <t>ÖREBRO</t>
        </is>
      </c>
      <c r="F136" t="inlineStr">
        <is>
          <t>Kommuner</t>
        </is>
      </c>
      <c r="G136" t="n">
        <v>0.3</v>
      </c>
      <c r="H136" t="n">
        <v>0</v>
      </c>
      <c r="I136" t="n">
        <v>0</v>
      </c>
      <c r="J136" t="n">
        <v>0</v>
      </c>
      <c r="K136" t="n">
        <v>0</v>
      </c>
      <c r="L136" t="n">
        <v>0</v>
      </c>
      <c r="M136" t="n">
        <v>0</v>
      </c>
      <c r="N136" t="n">
        <v>0</v>
      </c>
      <c r="O136" t="n">
        <v>0</v>
      </c>
      <c r="P136" t="n">
        <v>0</v>
      </c>
      <c r="Q136" t="n">
        <v>0</v>
      </c>
      <c r="R136" s="2" t="inlineStr"/>
    </row>
    <row r="137" ht="15" customHeight="1">
      <c r="A137" t="inlineStr">
        <is>
          <t>A 33814-2021</t>
        </is>
      </c>
      <c r="B137" s="1" t="n">
        <v>44378</v>
      </c>
      <c r="C137" s="1" t="n">
        <v>45886</v>
      </c>
      <c r="D137" t="inlineStr">
        <is>
          <t>ÖREBRO LÄN</t>
        </is>
      </c>
      <c r="E137" t="inlineStr">
        <is>
          <t>ÖREBRO</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37395-2021</t>
        </is>
      </c>
      <c r="B138" s="1" t="n">
        <v>44398</v>
      </c>
      <c r="C138" s="1" t="n">
        <v>45886</v>
      </c>
      <c r="D138" t="inlineStr">
        <is>
          <t>ÖREBRO LÄN</t>
        </is>
      </c>
      <c r="E138" t="inlineStr">
        <is>
          <t>ÖREBRO</t>
        </is>
      </c>
      <c r="G138" t="n">
        <v>3</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45886</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51268-2022</t>
        </is>
      </c>
      <c r="B140" s="1" t="n">
        <v>44868</v>
      </c>
      <c r="C140" s="1" t="n">
        <v>45886</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66936-2021</t>
        </is>
      </c>
      <c r="B141" s="1" t="n">
        <v>44522.56349537037</v>
      </c>
      <c r="C141" s="1" t="n">
        <v>45886</v>
      </c>
      <c r="D141" t="inlineStr">
        <is>
          <t>ÖREBRO LÄN</t>
        </is>
      </c>
      <c r="E141" t="inlineStr">
        <is>
          <t>ÖREBRO</t>
        </is>
      </c>
      <c r="G141" t="n">
        <v>6.8</v>
      </c>
      <c r="H141" t="n">
        <v>0</v>
      </c>
      <c r="I141" t="n">
        <v>0</v>
      </c>
      <c r="J141" t="n">
        <v>0</v>
      </c>
      <c r="K141" t="n">
        <v>0</v>
      </c>
      <c r="L141" t="n">
        <v>0</v>
      </c>
      <c r="M141" t="n">
        <v>0</v>
      </c>
      <c r="N141" t="n">
        <v>0</v>
      </c>
      <c r="O141" t="n">
        <v>0</v>
      </c>
      <c r="P141" t="n">
        <v>0</v>
      </c>
      <c r="Q141" t="n">
        <v>0</v>
      </c>
      <c r="R141" s="2" t="inlineStr"/>
    </row>
    <row r="142" ht="15" customHeight="1">
      <c r="A142" t="inlineStr">
        <is>
          <t>A 44131-2022</t>
        </is>
      </c>
      <c r="B142" s="1" t="n">
        <v>44839</v>
      </c>
      <c r="C142" s="1" t="n">
        <v>45886</v>
      </c>
      <c r="D142" t="inlineStr">
        <is>
          <t>ÖREBRO LÄN</t>
        </is>
      </c>
      <c r="E142" t="inlineStr">
        <is>
          <t>ÖREBRO</t>
        </is>
      </c>
      <c r="G142" t="n">
        <v>1.3</v>
      </c>
      <c r="H142" t="n">
        <v>0</v>
      </c>
      <c r="I142" t="n">
        <v>0</v>
      </c>
      <c r="J142" t="n">
        <v>0</v>
      </c>
      <c r="K142" t="n">
        <v>0</v>
      </c>
      <c r="L142" t="n">
        <v>0</v>
      </c>
      <c r="M142" t="n">
        <v>0</v>
      </c>
      <c r="N142" t="n">
        <v>0</v>
      </c>
      <c r="O142" t="n">
        <v>0</v>
      </c>
      <c r="P142" t="n">
        <v>0</v>
      </c>
      <c r="Q142" t="n">
        <v>0</v>
      </c>
      <c r="R142" s="2" t="inlineStr"/>
    </row>
    <row r="143" ht="15" customHeight="1">
      <c r="A143" t="inlineStr">
        <is>
          <t>A 62651-2020</t>
        </is>
      </c>
      <c r="B143" s="1" t="n">
        <v>44161</v>
      </c>
      <c r="C143" s="1" t="n">
        <v>45886</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18321-2022</t>
        </is>
      </c>
      <c r="B144" s="1" t="n">
        <v>44685</v>
      </c>
      <c r="C144" s="1" t="n">
        <v>45886</v>
      </c>
      <c r="D144" t="inlineStr">
        <is>
          <t>ÖREBRO LÄN</t>
        </is>
      </c>
      <c r="E144" t="inlineStr">
        <is>
          <t>ÖREBRO</t>
        </is>
      </c>
      <c r="G144" t="n">
        <v>2.1</v>
      </c>
      <c r="H144" t="n">
        <v>0</v>
      </c>
      <c r="I144" t="n">
        <v>0</v>
      </c>
      <c r="J144" t="n">
        <v>0</v>
      </c>
      <c r="K144" t="n">
        <v>0</v>
      </c>
      <c r="L144" t="n">
        <v>0</v>
      </c>
      <c r="M144" t="n">
        <v>0</v>
      </c>
      <c r="N144" t="n">
        <v>0</v>
      </c>
      <c r="O144" t="n">
        <v>0</v>
      </c>
      <c r="P144" t="n">
        <v>0</v>
      </c>
      <c r="Q144" t="n">
        <v>0</v>
      </c>
      <c r="R144" s="2" t="inlineStr"/>
    </row>
    <row r="145" ht="15" customHeight="1">
      <c r="A145" t="inlineStr">
        <is>
          <t>A 15422-2022</t>
        </is>
      </c>
      <c r="B145" s="1" t="n">
        <v>44659.63753472222</v>
      </c>
      <c r="C145" s="1" t="n">
        <v>45886</v>
      </c>
      <c r="D145" t="inlineStr">
        <is>
          <t>ÖREBRO LÄN</t>
        </is>
      </c>
      <c r="E145" t="inlineStr">
        <is>
          <t>ÖREBRO</t>
        </is>
      </c>
      <c r="G145" t="n">
        <v>2</v>
      </c>
      <c r="H145" t="n">
        <v>0</v>
      </c>
      <c r="I145" t="n">
        <v>0</v>
      </c>
      <c r="J145" t="n">
        <v>0</v>
      </c>
      <c r="K145" t="n">
        <v>0</v>
      </c>
      <c r="L145" t="n">
        <v>0</v>
      </c>
      <c r="M145" t="n">
        <v>0</v>
      </c>
      <c r="N145" t="n">
        <v>0</v>
      </c>
      <c r="O145" t="n">
        <v>0</v>
      </c>
      <c r="P145" t="n">
        <v>0</v>
      </c>
      <c r="Q145" t="n">
        <v>0</v>
      </c>
      <c r="R145" s="2" t="inlineStr"/>
    </row>
    <row r="146" ht="15" customHeight="1">
      <c r="A146" t="inlineStr">
        <is>
          <t>A 16258-2022</t>
        </is>
      </c>
      <c r="B146" s="1" t="n">
        <v>44670</v>
      </c>
      <c r="C146" s="1" t="n">
        <v>45886</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57343-2021</t>
        </is>
      </c>
      <c r="B147" s="1" t="n">
        <v>44482</v>
      </c>
      <c r="C147" s="1" t="n">
        <v>45886</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18047-2022</t>
        </is>
      </c>
      <c r="B148" s="1" t="n">
        <v>44684</v>
      </c>
      <c r="C148" s="1" t="n">
        <v>45886</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7117-2021</t>
        </is>
      </c>
      <c r="B149" s="1" t="n">
        <v>44238</v>
      </c>
      <c r="C149" s="1" t="n">
        <v>45886</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56138-2020</t>
        </is>
      </c>
      <c r="B150" s="1" t="n">
        <v>44133</v>
      </c>
      <c r="C150" s="1" t="n">
        <v>45886</v>
      </c>
      <c r="D150" t="inlineStr">
        <is>
          <t>ÖREBRO LÄN</t>
        </is>
      </c>
      <c r="E150" t="inlineStr">
        <is>
          <t>ÖREBRO</t>
        </is>
      </c>
      <c r="F150" t="inlineStr">
        <is>
          <t>Allmännings- och besparingsskogar</t>
        </is>
      </c>
      <c r="G150" t="n">
        <v>4.9</v>
      </c>
      <c r="H150" t="n">
        <v>0</v>
      </c>
      <c r="I150" t="n">
        <v>0</v>
      </c>
      <c r="J150" t="n">
        <v>0</v>
      </c>
      <c r="K150" t="n">
        <v>0</v>
      </c>
      <c r="L150" t="n">
        <v>0</v>
      </c>
      <c r="M150" t="n">
        <v>0</v>
      </c>
      <c r="N150" t="n">
        <v>0</v>
      </c>
      <c r="O150" t="n">
        <v>0</v>
      </c>
      <c r="P150" t="n">
        <v>0</v>
      </c>
      <c r="Q150" t="n">
        <v>0</v>
      </c>
      <c r="R150" s="2" t="inlineStr"/>
    </row>
    <row r="151" ht="15" customHeight="1">
      <c r="A151" t="inlineStr">
        <is>
          <t>A 46092-2020</t>
        </is>
      </c>
      <c r="B151" s="1" t="n">
        <v>44091</v>
      </c>
      <c r="C151" s="1" t="n">
        <v>45886</v>
      </c>
      <c r="D151" t="inlineStr">
        <is>
          <t>ÖREBRO LÄN</t>
        </is>
      </c>
      <c r="E151" t="inlineStr">
        <is>
          <t>ÖREBRO</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26118-2021</t>
        </is>
      </c>
      <c r="B152" s="1" t="n">
        <v>44345</v>
      </c>
      <c r="C152" s="1" t="n">
        <v>45886</v>
      </c>
      <c r="D152" t="inlineStr">
        <is>
          <t>ÖREBRO LÄN</t>
        </is>
      </c>
      <c r="E152" t="inlineStr">
        <is>
          <t>ÖREBRO</t>
        </is>
      </c>
      <c r="G152" t="n">
        <v>2.2</v>
      </c>
      <c r="H152" t="n">
        <v>0</v>
      </c>
      <c r="I152" t="n">
        <v>0</v>
      </c>
      <c r="J152" t="n">
        <v>0</v>
      </c>
      <c r="K152" t="n">
        <v>0</v>
      </c>
      <c r="L152" t="n">
        <v>0</v>
      </c>
      <c r="M152" t="n">
        <v>0</v>
      </c>
      <c r="N152" t="n">
        <v>0</v>
      </c>
      <c r="O152" t="n">
        <v>0</v>
      </c>
      <c r="P152" t="n">
        <v>0</v>
      </c>
      <c r="Q152" t="n">
        <v>0</v>
      </c>
      <c r="R152" s="2" t="inlineStr"/>
    </row>
    <row r="153" ht="15" customHeight="1">
      <c r="A153" t="inlineStr">
        <is>
          <t>A 26119-2021</t>
        </is>
      </c>
      <c r="B153" s="1" t="n">
        <v>44345.33282407407</v>
      </c>
      <c r="C153" s="1" t="n">
        <v>45886</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39307-2020</t>
        </is>
      </c>
      <c r="B154" s="1" t="n">
        <v>44063</v>
      </c>
      <c r="C154" s="1" t="n">
        <v>45886</v>
      </c>
      <c r="D154" t="inlineStr">
        <is>
          <t>ÖREBRO LÄN</t>
        </is>
      </c>
      <c r="E154" t="inlineStr">
        <is>
          <t>ÖREBRO</t>
        </is>
      </c>
      <c r="G154" t="n">
        <v>3.9</v>
      </c>
      <c r="H154" t="n">
        <v>0</v>
      </c>
      <c r="I154" t="n">
        <v>0</v>
      </c>
      <c r="J154" t="n">
        <v>0</v>
      </c>
      <c r="K154" t="n">
        <v>0</v>
      </c>
      <c r="L154" t="n">
        <v>0</v>
      </c>
      <c r="M154" t="n">
        <v>0</v>
      </c>
      <c r="N154" t="n">
        <v>0</v>
      </c>
      <c r="O154" t="n">
        <v>0</v>
      </c>
      <c r="P154" t="n">
        <v>0</v>
      </c>
      <c r="Q154" t="n">
        <v>0</v>
      </c>
      <c r="R154" s="2" t="inlineStr"/>
    </row>
    <row r="155" ht="15" customHeight="1">
      <c r="A155" t="inlineStr">
        <is>
          <t>A 44514-2020</t>
        </is>
      </c>
      <c r="B155" s="1" t="n">
        <v>44085</v>
      </c>
      <c r="C155" s="1" t="n">
        <v>45886</v>
      </c>
      <c r="D155" t="inlineStr">
        <is>
          <t>ÖREBRO LÄN</t>
        </is>
      </c>
      <c r="E155" t="inlineStr">
        <is>
          <t>ÖREBRO</t>
        </is>
      </c>
      <c r="G155" t="n">
        <v>3</v>
      </c>
      <c r="H155" t="n">
        <v>0</v>
      </c>
      <c r="I155" t="n">
        <v>0</v>
      </c>
      <c r="J155" t="n">
        <v>0</v>
      </c>
      <c r="K155" t="n">
        <v>0</v>
      </c>
      <c r="L155" t="n">
        <v>0</v>
      </c>
      <c r="M155" t="n">
        <v>0</v>
      </c>
      <c r="N155" t="n">
        <v>0</v>
      </c>
      <c r="O155" t="n">
        <v>0</v>
      </c>
      <c r="P155" t="n">
        <v>0</v>
      </c>
      <c r="Q155" t="n">
        <v>0</v>
      </c>
      <c r="R155" s="2" t="inlineStr"/>
    </row>
    <row r="156" ht="15" customHeight="1">
      <c r="A156" t="inlineStr">
        <is>
          <t>A 3087-2021</t>
        </is>
      </c>
      <c r="B156" s="1" t="n">
        <v>44216</v>
      </c>
      <c r="C156" s="1" t="n">
        <v>45886</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63247-2021</t>
        </is>
      </c>
      <c r="B157" s="1" t="n">
        <v>44505</v>
      </c>
      <c r="C157" s="1" t="n">
        <v>45886</v>
      </c>
      <c r="D157" t="inlineStr">
        <is>
          <t>ÖREBRO LÄN</t>
        </is>
      </c>
      <c r="E157" t="inlineStr">
        <is>
          <t>ÖREBRO</t>
        </is>
      </c>
      <c r="G157" t="n">
        <v>1.5</v>
      </c>
      <c r="H157" t="n">
        <v>0</v>
      </c>
      <c r="I157" t="n">
        <v>0</v>
      </c>
      <c r="J157" t="n">
        <v>0</v>
      </c>
      <c r="K157" t="n">
        <v>0</v>
      </c>
      <c r="L157" t="n">
        <v>0</v>
      </c>
      <c r="M157" t="n">
        <v>0</v>
      </c>
      <c r="N157" t="n">
        <v>0</v>
      </c>
      <c r="O157" t="n">
        <v>0</v>
      </c>
      <c r="P157" t="n">
        <v>0</v>
      </c>
      <c r="Q157" t="n">
        <v>0</v>
      </c>
      <c r="R157" s="2" t="inlineStr"/>
    </row>
    <row r="158" ht="15" customHeight="1">
      <c r="A158" t="inlineStr">
        <is>
          <t>A 26509-2021</t>
        </is>
      </c>
      <c r="B158" s="1" t="n">
        <v>44348.45107638889</v>
      </c>
      <c r="C158" s="1" t="n">
        <v>45886</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32231-2022</t>
        </is>
      </c>
      <c r="B159" s="1" t="n">
        <v>44781</v>
      </c>
      <c r="C159" s="1" t="n">
        <v>45886</v>
      </c>
      <c r="D159" t="inlineStr">
        <is>
          <t>ÖREBRO LÄN</t>
        </is>
      </c>
      <c r="E159" t="inlineStr">
        <is>
          <t>ÖREBRO</t>
        </is>
      </c>
      <c r="G159" t="n">
        <v>1</v>
      </c>
      <c r="H159" t="n">
        <v>0</v>
      </c>
      <c r="I159" t="n">
        <v>0</v>
      </c>
      <c r="J159" t="n">
        <v>0</v>
      </c>
      <c r="K159" t="n">
        <v>0</v>
      </c>
      <c r="L159" t="n">
        <v>0</v>
      </c>
      <c r="M159" t="n">
        <v>0</v>
      </c>
      <c r="N159" t="n">
        <v>0</v>
      </c>
      <c r="O159" t="n">
        <v>0</v>
      </c>
      <c r="P159" t="n">
        <v>0</v>
      </c>
      <c r="Q159" t="n">
        <v>0</v>
      </c>
      <c r="R159" s="2" t="inlineStr"/>
    </row>
    <row r="160" ht="15" customHeight="1">
      <c r="A160" t="inlineStr">
        <is>
          <t>A 32247-2022</t>
        </is>
      </c>
      <c r="B160" s="1" t="n">
        <v>44781</v>
      </c>
      <c r="C160" s="1" t="n">
        <v>45886</v>
      </c>
      <c r="D160" t="inlineStr">
        <is>
          <t>ÖREBRO LÄN</t>
        </is>
      </c>
      <c r="E160" t="inlineStr">
        <is>
          <t>ÖREBRO</t>
        </is>
      </c>
      <c r="G160" t="n">
        <v>3</v>
      </c>
      <c r="H160" t="n">
        <v>0</v>
      </c>
      <c r="I160" t="n">
        <v>0</v>
      </c>
      <c r="J160" t="n">
        <v>0</v>
      </c>
      <c r="K160" t="n">
        <v>0</v>
      </c>
      <c r="L160" t="n">
        <v>0</v>
      </c>
      <c r="M160" t="n">
        <v>0</v>
      </c>
      <c r="N160" t="n">
        <v>0</v>
      </c>
      <c r="O160" t="n">
        <v>0</v>
      </c>
      <c r="P160" t="n">
        <v>0</v>
      </c>
      <c r="Q160" t="n">
        <v>0</v>
      </c>
      <c r="R160" s="2" t="inlineStr"/>
    </row>
    <row r="161" ht="15" customHeight="1">
      <c r="A161" t="inlineStr">
        <is>
          <t>A 69613-2020</t>
        </is>
      </c>
      <c r="B161" s="1" t="n">
        <v>44195</v>
      </c>
      <c r="C161" s="1" t="n">
        <v>45886</v>
      </c>
      <c r="D161" t="inlineStr">
        <is>
          <t>ÖREBRO LÄN</t>
        </is>
      </c>
      <c r="E161" t="inlineStr">
        <is>
          <t>ÖREBRO</t>
        </is>
      </c>
      <c r="G161" t="n">
        <v>4.7</v>
      </c>
      <c r="H161" t="n">
        <v>0</v>
      </c>
      <c r="I161" t="n">
        <v>0</v>
      </c>
      <c r="J161" t="n">
        <v>0</v>
      </c>
      <c r="K161" t="n">
        <v>0</v>
      </c>
      <c r="L161" t="n">
        <v>0</v>
      </c>
      <c r="M161" t="n">
        <v>0</v>
      </c>
      <c r="N161" t="n">
        <v>0</v>
      </c>
      <c r="O161" t="n">
        <v>0</v>
      </c>
      <c r="P161" t="n">
        <v>0</v>
      </c>
      <c r="Q161" t="n">
        <v>0</v>
      </c>
      <c r="R161" s="2" t="inlineStr"/>
    </row>
    <row r="162" ht="15" customHeight="1">
      <c r="A162" t="inlineStr">
        <is>
          <t>A 4766-2022</t>
        </is>
      </c>
      <c r="B162" s="1" t="n">
        <v>44592</v>
      </c>
      <c r="C162" s="1" t="n">
        <v>45886</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19468-2021</t>
        </is>
      </c>
      <c r="B163" s="1" t="n">
        <v>44311</v>
      </c>
      <c r="C163" s="1" t="n">
        <v>45886</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9362-2022</t>
        </is>
      </c>
      <c r="B164" s="1" t="n">
        <v>44616.59946759259</v>
      </c>
      <c r="C164" s="1" t="n">
        <v>45886</v>
      </c>
      <c r="D164" t="inlineStr">
        <is>
          <t>ÖREBRO LÄN</t>
        </is>
      </c>
      <c r="E164" t="inlineStr">
        <is>
          <t>ÖREBRO</t>
        </is>
      </c>
      <c r="G164" t="n">
        <v>1.3</v>
      </c>
      <c r="H164" t="n">
        <v>0</v>
      </c>
      <c r="I164" t="n">
        <v>0</v>
      </c>
      <c r="J164" t="n">
        <v>0</v>
      </c>
      <c r="K164" t="n">
        <v>0</v>
      </c>
      <c r="L164" t="n">
        <v>0</v>
      </c>
      <c r="M164" t="n">
        <v>0</v>
      </c>
      <c r="N164" t="n">
        <v>0</v>
      </c>
      <c r="O164" t="n">
        <v>0</v>
      </c>
      <c r="P164" t="n">
        <v>0</v>
      </c>
      <c r="Q164" t="n">
        <v>0</v>
      </c>
      <c r="R164" s="2" t="inlineStr"/>
    </row>
    <row r="165" ht="15" customHeight="1">
      <c r="A165" t="inlineStr">
        <is>
          <t>A 40312-2021</t>
        </is>
      </c>
      <c r="B165" s="1" t="n">
        <v>44419</v>
      </c>
      <c r="C165" s="1" t="n">
        <v>45886</v>
      </c>
      <c r="D165" t="inlineStr">
        <is>
          <t>ÖREBRO LÄN</t>
        </is>
      </c>
      <c r="E165" t="inlineStr">
        <is>
          <t>ÖREBRO</t>
        </is>
      </c>
      <c r="F165" t="inlineStr">
        <is>
          <t>Övriga Aktiebolag</t>
        </is>
      </c>
      <c r="G165" t="n">
        <v>2.6</v>
      </c>
      <c r="H165" t="n">
        <v>0</v>
      </c>
      <c r="I165" t="n">
        <v>0</v>
      </c>
      <c r="J165" t="n">
        <v>0</v>
      </c>
      <c r="K165" t="n">
        <v>0</v>
      </c>
      <c r="L165" t="n">
        <v>0</v>
      </c>
      <c r="M165" t="n">
        <v>0</v>
      </c>
      <c r="N165" t="n">
        <v>0</v>
      </c>
      <c r="O165" t="n">
        <v>0</v>
      </c>
      <c r="P165" t="n">
        <v>0</v>
      </c>
      <c r="Q165" t="n">
        <v>0</v>
      </c>
      <c r="R165" s="2" t="inlineStr"/>
    </row>
    <row r="166" ht="15" customHeight="1">
      <c r="A166" t="inlineStr">
        <is>
          <t>A 41553-2022</t>
        </is>
      </c>
      <c r="B166" s="1" t="n">
        <v>44827.3940625</v>
      </c>
      <c r="C166" s="1" t="n">
        <v>45886</v>
      </c>
      <c r="D166" t="inlineStr">
        <is>
          <t>ÖREBRO LÄN</t>
        </is>
      </c>
      <c r="E166" t="inlineStr">
        <is>
          <t>ÖREBRO</t>
        </is>
      </c>
      <c r="G166" t="n">
        <v>3.7</v>
      </c>
      <c r="H166" t="n">
        <v>0</v>
      </c>
      <c r="I166" t="n">
        <v>0</v>
      </c>
      <c r="J166" t="n">
        <v>0</v>
      </c>
      <c r="K166" t="n">
        <v>0</v>
      </c>
      <c r="L166" t="n">
        <v>0</v>
      </c>
      <c r="M166" t="n">
        <v>0</v>
      </c>
      <c r="N166" t="n">
        <v>0</v>
      </c>
      <c r="O166" t="n">
        <v>0</v>
      </c>
      <c r="P166" t="n">
        <v>0</v>
      </c>
      <c r="Q166" t="n">
        <v>0</v>
      </c>
      <c r="R166" s="2" t="inlineStr"/>
    </row>
    <row r="167" ht="15" customHeight="1">
      <c r="A167" t="inlineStr">
        <is>
          <t>A 14562-2022</t>
        </is>
      </c>
      <c r="B167" s="1" t="n">
        <v>44655</v>
      </c>
      <c r="C167" s="1" t="n">
        <v>45886</v>
      </c>
      <c r="D167" t="inlineStr">
        <is>
          <t>ÖREBRO LÄN</t>
        </is>
      </c>
      <c r="E167" t="inlineStr">
        <is>
          <t>ÖREBRO</t>
        </is>
      </c>
      <c r="G167" t="n">
        <v>3.6</v>
      </c>
      <c r="H167" t="n">
        <v>0</v>
      </c>
      <c r="I167" t="n">
        <v>0</v>
      </c>
      <c r="J167" t="n">
        <v>0</v>
      </c>
      <c r="K167" t="n">
        <v>0</v>
      </c>
      <c r="L167" t="n">
        <v>0</v>
      </c>
      <c r="M167" t="n">
        <v>0</v>
      </c>
      <c r="N167" t="n">
        <v>0</v>
      </c>
      <c r="O167" t="n">
        <v>0</v>
      </c>
      <c r="P167" t="n">
        <v>0</v>
      </c>
      <c r="Q167" t="n">
        <v>0</v>
      </c>
      <c r="R167" s="2" t="inlineStr"/>
    </row>
    <row r="168" ht="15" customHeight="1">
      <c r="A168" t="inlineStr">
        <is>
          <t>A 16261-2022</t>
        </is>
      </c>
      <c r="B168" s="1" t="n">
        <v>44670</v>
      </c>
      <c r="C168" s="1" t="n">
        <v>45886</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12478-2022</t>
        </is>
      </c>
      <c r="B169" s="1" t="n">
        <v>44638</v>
      </c>
      <c r="C169" s="1" t="n">
        <v>45886</v>
      </c>
      <c r="D169" t="inlineStr">
        <is>
          <t>ÖREBRO LÄN</t>
        </is>
      </c>
      <c r="E169" t="inlineStr">
        <is>
          <t>ÖREBRO</t>
        </is>
      </c>
      <c r="F169" t="inlineStr">
        <is>
          <t>Kyrkan</t>
        </is>
      </c>
      <c r="G169" t="n">
        <v>1.4</v>
      </c>
      <c r="H169" t="n">
        <v>0</v>
      </c>
      <c r="I169" t="n">
        <v>0</v>
      </c>
      <c r="J169" t="n">
        <v>0</v>
      </c>
      <c r="K169" t="n">
        <v>0</v>
      </c>
      <c r="L169" t="n">
        <v>0</v>
      </c>
      <c r="M169" t="n">
        <v>0</v>
      </c>
      <c r="N169" t="n">
        <v>0</v>
      </c>
      <c r="O169" t="n">
        <v>0</v>
      </c>
      <c r="P169" t="n">
        <v>0</v>
      </c>
      <c r="Q169" t="n">
        <v>0</v>
      </c>
      <c r="R169" s="2" t="inlineStr"/>
    </row>
    <row r="170" ht="15" customHeight="1">
      <c r="A170" t="inlineStr">
        <is>
          <t>A 44165-2022</t>
        </is>
      </c>
      <c r="B170" s="1" t="n">
        <v>44839</v>
      </c>
      <c r="C170" s="1" t="n">
        <v>45886</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5401-2022</t>
        </is>
      </c>
      <c r="B171" s="1" t="n">
        <v>44595</v>
      </c>
      <c r="C171" s="1" t="n">
        <v>45886</v>
      </c>
      <c r="D171" t="inlineStr">
        <is>
          <t>ÖREBRO LÄN</t>
        </is>
      </c>
      <c r="E171" t="inlineStr">
        <is>
          <t>ÖREBRO</t>
        </is>
      </c>
      <c r="G171" t="n">
        <v>2.3</v>
      </c>
      <c r="H171" t="n">
        <v>0</v>
      </c>
      <c r="I171" t="n">
        <v>0</v>
      </c>
      <c r="J171" t="n">
        <v>0</v>
      </c>
      <c r="K171" t="n">
        <v>0</v>
      </c>
      <c r="L171" t="n">
        <v>0</v>
      </c>
      <c r="M171" t="n">
        <v>0</v>
      </c>
      <c r="N171" t="n">
        <v>0</v>
      </c>
      <c r="O171" t="n">
        <v>0</v>
      </c>
      <c r="P171" t="n">
        <v>0</v>
      </c>
      <c r="Q171" t="n">
        <v>0</v>
      </c>
      <c r="R171" s="2" t="inlineStr"/>
    </row>
    <row r="172" ht="15" customHeight="1">
      <c r="A172" t="inlineStr">
        <is>
          <t>A 19458-2022</t>
        </is>
      </c>
      <c r="B172" s="1" t="n">
        <v>44693</v>
      </c>
      <c r="C172" s="1" t="n">
        <v>45886</v>
      </c>
      <c r="D172" t="inlineStr">
        <is>
          <t>ÖREBRO LÄN</t>
        </is>
      </c>
      <c r="E172" t="inlineStr">
        <is>
          <t>ÖREBRO</t>
        </is>
      </c>
      <c r="G172" t="n">
        <v>0.7</v>
      </c>
      <c r="H172" t="n">
        <v>0</v>
      </c>
      <c r="I172" t="n">
        <v>0</v>
      </c>
      <c r="J172" t="n">
        <v>0</v>
      </c>
      <c r="K172" t="n">
        <v>0</v>
      </c>
      <c r="L172" t="n">
        <v>0</v>
      </c>
      <c r="M172" t="n">
        <v>0</v>
      </c>
      <c r="N172" t="n">
        <v>0</v>
      </c>
      <c r="O172" t="n">
        <v>0</v>
      </c>
      <c r="P172" t="n">
        <v>0</v>
      </c>
      <c r="Q172" t="n">
        <v>0</v>
      </c>
      <c r="R172" s="2" t="inlineStr"/>
    </row>
    <row r="173" ht="15" customHeight="1">
      <c r="A173" t="inlineStr">
        <is>
          <t>A 60311-2020</t>
        </is>
      </c>
      <c r="B173" s="1" t="n">
        <v>44151</v>
      </c>
      <c r="C173" s="1" t="n">
        <v>45886</v>
      </c>
      <c r="D173" t="inlineStr">
        <is>
          <t>ÖREBRO LÄN</t>
        </is>
      </c>
      <c r="E173" t="inlineStr">
        <is>
          <t>ÖREBRO</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6638-2022</t>
        </is>
      </c>
      <c r="B174" s="1" t="n">
        <v>44601</v>
      </c>
      <c r="C174" s="1" t="n">
        <v>45886</v>
      </c>
      <c r="D174" t="inlineStr">
        <is>
          <t>ÖREBRO LÄN</t>
        </is>
      </c>
      <c r="E174" t="inlineStr">
        <is>
          <t>ÖREBRO</t>
        </is>
      </c>
      <c r="G174" t="n">
        <v>3.3</v>
      </c>
      <c r="H174" t="n">
        <v>0</v>
      </c>
      <c r="I174" t="n">
        <v>0</v>
      </c>
      <c r="J174" t="n">
        <v>0</v>
      </c>
      <c r="K174" t="n">
        <v>0</v>
      </c>
      <c r="L174" t="n">
        <v>0</v>
      </c>
      <c r="M174" t="n">
        <v>0</v>
      </c>
      <c r="N174" t="n">
        <v>0</v>
      </c>
      <c r="O174" t="n">
        <v>0</v>
      </c>
      <c r="P174" t="n">
        <v>0</v>
      </c>
      <c r="Q174" t="n">
        <v>0</v>
      </c>
      <c r="R174" s="2" t="inlineStr"/>
    </row>
    <row r="175" ht="15" customHeight="1">
      <c r="A175" t="inlineStr">
        <is>
          <t>A 61232-2021</t>
        </is>
      </c>
      <c r="B175" s="1" t="n">
        <v>44498</v>
      </c>
      <c r="C175" s="1" t="n">
        <v>45886</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5125-2024</t>
        </is>
      </c>
      <c r="B176" s="1" t="n">
        <v>45330</v>
      </c>
      <c r="C176" s="1" t="n">
        <v>45886</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45029-2020</t>
        </is>
      </c>
      <c r="B177" s="1" t="n">
        <v>44088</v>
      </c>
      <c r="C177" s="1" t="n">
        <v>45886</v>
      </c>
      <c r="D177" t="inlineStr">
        <is>
          <t>ÖREBRO LÄN</t>
        </is>
      </c>
      <c r="E177" t="inlineStr">
        <is>
          <t>ÖREBRO</t>
        </is>
      </c>
      <c r="G177" t="n">
        <v>3.8</v>
      </c>
      <c r="H177" t="n">
        <v>0</v>
      </c>
      <c r="I177" t="n">
        <v>0</v>
      </c>
      <c r="J177" t="n">
        <v>0</v>
      </c>
      <c r="K177" t="n">
        <v>0</v>
      </c>
      <c r="L177" t="n">
        <v>0</v>
      </c>
      <c r="M177" t="n">
        <v>0</v>
      </c>
      <c r="N177" t="n">
        <v>0</v>
      </c>
      <c r="O177" t="n">
        <v>0</v>
      </c>
      <c r="P177" t="n">
        <v>0</v>
      </c>
      <c r="Q177" t="n">
        <v>0</v>
      </c>
      <c r="R177" s="2" t="inlineStr"/>
    </row>
    <row r="178" ht="15" customHeight="1">
      <c r="A178" t="inlineStr">
        <is>
          <t>A 14234-2024</t>
        </is>
      </c>
      <c r="B178" s="1" t="n">
        <v>45393.46980324074</v>
      </c>
      <c r="C178" s="1" t="n">
        <v>45886</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58277-2022</t>
        </is>
      </c>
      <c r="B179" s="1" t="n">
        <v>44901.48108796297</v>
      </c>
      <c r="C179" s="1" t="n">
        <v>45886</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52256-2023</t>
        </is>
      </c>
      <c r="B180" s="1" t="n">
        <v>45224.51471064815</v>
      </c>
      <c r="C180" s="1" t="n">
        <v>45886</v>
      </c>
      <c r="D180" t="inlineStr">
        <is>
          <t>ÖREBRO LÄN</t>
        </is>
      </c>
      <c r="E180" t="inlineStr">
        <is>
          <t>ÖREBRO</t>
        </is>
      </c>
      <c r="G180" t="n">
        <v>2.8</v>
      </c>
      <c r="H180" t="n">
        <v>0</v>
      </c>
      <c r="I180" t="n">
        <v>0</v>
      </c>
      <c r="J180" t="n">
        <v>0</v>
      </c>
      <c r="K180" t="n">
        <v>0</v>
      </c>
      <c r="L180" t="n">
        <v>0</v>
      </c>
      <c r="M180" t="n">
        <v>0</v>
      </c>
      <c r="N180" t="n">
        <v>0</v>
      </c>
      <c r="O180" t="n">
        <v>0</v>
      </c>
      <c r="P180" t="n">
        <v>0</v>
      </c>
      <c r="Q180" t="n">
        <v>0</v>
      </c>
      <c r="R180" s="2" t="inlineStr"/>
    </row>
    <row r="181" ht="15" customHeight="1">
      <c r="A181" t="inlineStr">
        <is>
          <t>A 31906-2023</t>
        </is>
      </c>
      <c r="B181" s="1" t="n">
        <v>45118.8353125</v>
      </c>
      <c r="C181" s="1" t="n">
        <v>45886</v>
      </c>
      <c r="D181" t="inlineStr">
        <is>
          <t>ÖREBRO LÄN</t>
        </is>
      </c>
      <c r="E181" t="inlineStr">
        <is>
          <t>ÖREBRO</t>
        </is>
      </c>
      <c r="G181" t="n">
        <v>9</v>
      </c>
      <c r="H181" t="n">
        <v>0</v>
      </c>
      <c r="I181" t="n">
        <v>0</v>
      </c>
      <c r="J181" t="n">
        <v>0</v>
      </c>
      <c r="K181" t="n">
        <v>0</v>
      </c>
      <c r="L181" t="n">
        <v>0</v>
      </c>
      <c r="M181" t="n">
        <v>0</v>
      </c>
      <c r="N181" t="n">
        <v>0</v>
      </c>
      <c r="O181" t="n">
        <v>0</v>
      </c>
      <c r="P181" t="n">
        <v>0</v>
      </c>
      <c r="Q181" t="n">
        <v>0</v>
      </c>
      <c r="R181" s="2" t="inlineStr"/>
    </row>
    <row r="182" ht="15" customHeight="1">
      <c r="A182" t="inlineStr">
        <is>
          <t>A 19978-2025</t>
        </is>
      </c>
      <c r="B182" s="1" t="n">
        <v>45771.7062037037</v>
      </c>
      <c r="C182" s="1" t="n">
        <v>45886</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5762-2025</t>
        </is>
      </c>
      <c r="B183" s="1" t="n">
        <v>45694.57181712963</v>
      </c>
      <c r="C183" s="1" t="n">
        <v>45886</v>
      </c>
      <c r="D183" t="inlineStr">
        <is>
          <t>ÖREBRO LÄN</t>
        </is>
      </c>
      <c r="E183" t="inlineStr">
        <is>
          <t>ÖREBRO</t>
        </is>
      </c>
      <c r="F183" t="inlineStr">
        <is>
          <t>Övriga Aktiebolag</t>
        </is>
      </c>
      <c r="G183" t="n">
        <v>1.5</v>
      </c>
      <c r="H183" t="n">
        <v>0</v>
      </c>
      <c r="I183" t="n">
        <v>0</v>
      </c>
      <c r="J183" t="n">
        <v>0</v>
      </c>
      <c r="K183" t="n">
        <v>0</v>
      </c>
      <c r="L183" t="n">
        <v>0</v>
      </c>
      <c r="M183" t="n">
        <v>0</v>
      </c>
      <c r="N183" t="n">
        <v>0</v>
      </c>
      <c r="O183" t="n">
        <v>0</v>
      </c>
      <c r="P183" t="n">
        <v>0</v>
      </c>
      <c r="Q183" t="n">
        <v>0</v>
      </c>
      <c r="R183" s="2" t="inlineStr"/>
    </row>
    <row r="184" ht="15" customHeight="1">
      <c r="A184" t="inlineStr">
        <is>
          <t>A 6387-2021</t>
        </is>
      </c>
      <c r="B184" s="1" t="n">
        <v>44235</v>
      </c>
      <c r="C184" s="1" t="n">
        <v>45886</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62794-2021</t>
        </is>
      </c>
      <c r="B185" s="1" t="n">
        <v>44504</v>
      </c>
      <c r="C185" s="1" t="n">
        <v>45886</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52612-2024</t>
        </is>
      </c>
      <c r="B186" s="1" t="n">
        <v>45609</v>
      </c>
      <c r="C186" s="1" t="n">
        <v>45886</v>
      </c>
      <c r="D186" t="inlineStr">
        <is>
          <t>ÖREBRO LÄN</t>
        </is>
      </c>
      <c r="E186" t="inlineStr">
        <is>
          <t>ÖREBRO</t>
        </is>
      </c>
      <c r="F186" t="inlineStr">
        <is>
          <t>Kommuner</t>
        </is>
      </c>
      <c r="G186" t="n">
        <v>5.5</v>
      </c>
      <c r="H186" t="n">
        <v>0</v>
      </c>
      <c r="I186" t="n">
        <v>0</v>
      </c>
      <c r="J186" t="n">
        <v>0</v>
      </c>
      <c r="K186" t="n">
        <v>0</v>
      </c>
      <c r="L186" t="n">
        <v>0</v>
      </c>
      <c r="M186" t="n">
        <v>0</v>
      </c>
      <c r="N186" t="n">
        <v>0</v>
      </c>
      <c r="O186" t="n">
        <v>0</v>
      </c>
      <c r="P186" t="n">
        <v>0</v>
      </c>
      <c r="Q186" t="n">
        <v>0</v>
      </c>
      <c r="R186" s="2" t="inlineStr"/>
    </row>
    <row r="187" ht="15" customHeight="1">
      <c r="A187" t="inlineStr">
        <is>
          <t>A 10937-2024</t>
        </is>
      </c>
      <c r="B187" s="1" t="n">
        <v>45370.44461805555</v>
      </c>
      <c r="C187" s="1" t="n">
        <v>45886</v>
      </c>
      <c r="D187" t="inlineStr">
        <is>
          <t>ÖREBRO LÄN</t>
        </is>
      </c>
      <c r="E187" t="inlineStr">
        <is>
          <t>ÖREBRO</t>
        </is>
      </c>
      <c r="G187" t="n">
        <v>4.3</v>
      </c>
      <c r="H187" t="n">
        <v>0</v>
      </c>
      <c r="I187" t="n">
        <v>0</v>
      </c>
      <c r="J187" t="n">
        <v>0</v>
      </c>
      <c r="K187" t="n">
        <v>0</v>
      </c>
      <c r="L187" t="n">
        <v>0</v>
      </c>
      <c r="M187" t="n">
        <v>0</v>
      </c>
      <c r="N187" t="n">
        <v>0</v>
      </c>
      <c r="O187" t="n">
        <v>0</v>
      </c>
      <c r="P187" t="n">
        <v>0</v>
      </c>
      <c r="Q187" t="n">
        <v>0</v>
      </c>
      <c r="R187" s="2" t="inlineStr"/>
    </row>
    <row r="188" ht="15" customHeight="1">
      <c r="A188" t="inlineStr">
        <is>
          <t>A 5795-2024</t>
        </is>
      </c>
      <c r="B188" s="1" t="n">
        <v>45335.4531712963</v>
      </c>
      <c r="C188" s="1" t="n">
        <v>45886</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22079-2023</t>
        </is>
      </c>
      <c r="B189" s="1" t="n">
        <v>45069</v>
      </c>
      <c r="C189" s="1" t="n">
        <v>45886</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55593-2022</t>
        </is>
      </c>
      <c r="B190" s="1" t="n">
        <v>44888</v>
      </c>
      <c r="C190" s="1" t="n">
        <v>45886</v>
      </c>
      <c r="D190" t="inlineStr">
        <is>
          <t>ÖREBRO LÄN</t>
        </is>
      </c>
      <c r="E190" t="inlineStr">
        <is>
          <t>ÖREBRO</t>
        </is>
      </c>
      <c r="G190" t="n">
        <v>3.6</v>
      </c>
      <c r="H190" t="n">
        <v>0</v>
      </c>
      <c r="I190" t="n">
        <v>0</v>
      </c>
      <c r="J190" t="n">
        <v>0</v>
      </c>
      <c r="K190" t="n">
        <v>0</v>
      </c>
      <c r="L190" t="n">
        <v>0</v>
      </c>
      <c r="M190" t="n">
        <v>0</v>
      </c>
      <c r="N190" t="n">
        <v>0</v>
      </c>
      <c r="O190" t="n">
        <v>0</v>
      </c>
      <c r="P190" t="n">
        <v>0</v>
      </c>
      <c r="Q190" t="n">
        <v>0</v>
      </c>
      <c r="R190" s="2" t="inlineStr"/>
    </row>
    <row r="191" ht="15" customHeight="1">
      <c r="A191" t="inlineStr">
        <is>
          <t>A 52447-2024</t>
        </is>
      </c>
      <c r="B191" s="1" t="n">
        <v>45609.49157407408</v>
      </c>
      <c r="C191" s="1" t="n">
        <v>45886</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19831-2021</t>
        </is>
      </c>
      <c r="B192" s="1" t="n">
        <v>44313</v>
      </c>
      <c r="C192" s="1" t="n">
        <v>45886</v>
      </c>
      <c r="D192" t="inlineStr">
        <is>
          <t>ÖREBRO LÄN</t>
        </is>
      </c>
      <c r="E192" t="inlineStr">
        <is>
          <t>ÖREBRO</t>
        </is>
      </c>
      <c r="G192" t="n">
        <v>3.2</v>
      </c>
      <c r="H192" t="n">
        <v>0</v>
      </c>
      <c r="I192" t="n">
        <v>0</v>
      </c>
      <c r="J192" t="n">
        <v>0</v>
      </c>
      <c r="K192" t="n">
        <v>0</v>
      </c>
      <c r="L192" t="n">
        <v>0</v>
      </c>
      <c r="M192" t="n">
        <v>0</v>
      </c>
      <c r="N192" t="n">
        <v>0</v>
      </c>
      <c r="O192" t="n">
        <v>0</v>
      </c>
      <c r="P192" t="n">
        <v>0</v>
      </c>
      <c r="Q192" t="n">
        <v>0</v>
      </c>
      <c r="R192" s="2" t="inlineStr"/>
    </row>
    <row r="193" ht="15" customHeight="1">
      <c r="A193" t="inlineStr">
        <is>
          <t>A 50446-2023</t>
        </is>
      </c>
      <c r="B193" s="1" t="n">
        <v>45216</v>
      </c>
      <c r="C193" s="1" t="n">
        <v>45886</v>
      </c>
      <c r="D193" t="inlineStr">
        <is>
          <t>ÖREBRO LÄN</t>
        </is>
      </c>
      <c r="E193" t="inlineStr">
        <is>
          <t>ÖREBRO</t>
        </is>
      </c>
      <c r="F193" t="inlineStr">
        <is>
          <t>Övriga Aktiebolag</t>
        </is>
      </c>
      <c r="G193" t="n">
        <v>2.8</v>
      </c>
      <c r="H193" t="n">
        <v>0</v>
      </c>
      <c r="I193" t="n">
        <v>0</v>
      </c>
      <c r="J193" t="n">
        <v>0</v>
      </c>
      <c r="K193" t="n">
        <v>0</v>
      </c>
      <c r="L193" t="n">
        <v>0</v>
      </c>
      <c r="M193" t="n">
        <v>0</v>
      </c>
      <c r="N193" t="n">
        <v>0</v>
      </c>
      <c r="O193" t="n">
        <v>0</v>
      </c>
      <c r="P193" t="n">
        <v>0</v>
      </c>
      <c r="Q193" t="n">
        <v>0</v>
      </c>
      <c r="R193" s="2" t="inlineStr"/>
    </row>
    <row r="194" ht="15" customHeight="1">
      <c r="A194" t="inlineStr">
        <is>
          <t>A 50450-2023</t>
        </is>
      </c>
      <c r="B194" s="1" t="n">
        <v>45216.73533564815</v>
      </c>
      <c r="C194" s="1" t="n">
        <v>45886</v>
      </c>
      <c r="D194" t="inlineStr">
        <is>
          <t>ÖREBRO LÄN</t>
        </is>
      </c>
      <c r="E194" t="inlineStr">
        <is>
          <t>ÖREBRO</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37771-2024</t>
        </is>
      </c>
      <c r="B195" s="1" t="n">
        <v>45542.31359953704</v>
      </c>
      <c r="C195" s="1" t="n">
        <v>45886</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15652-2025</t>
        </is>
      </c>
      <c r="B196" s="1" t="n">
        <v>45748</v>
      </c>
      <c r="C196" s="1" t="n">
        <v>45886</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43612-2022</t>
        </is>
      </c>
      <c r="B197" s="1" t="n">
        <v>44837</v>
      </c>
      <c r="C197" s="1" t="n">
        <v>45886</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3841-2023</t>
        </is>
      </c>
      <c r="B198" s="1" t="n">
        <v>44951</v>
      </c>
      <c r="C198" s="1" t="n">
        <v>45886</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5357-2024</t>
        </is>
      </c>
      <c r="B199" s="1" t="n">
        <v>45331</v>
      </c>
      <c r="C199" s="1" t="n">
        <v>45886</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15354-2024</t>
        </is>
      </c>
      <c r="B200" s="1" t="n">
        <v>45400.85319444445</v>
      </c>
      <c r="C200" s="1" t="n">
        <v>45886</v>
      </c>
      <c r="D200" t="inlineStr">
        <is>
          <t>ÖREBRO LÄN</t>
        </is>
      </c>
      <c r="E200" t="inlineStr">
        <is>
          <t>ÖREBRO</t>
        </is>
      </c>
      <c r="G200" t="n">
        <v>0.7</v>
      </c>
      <c r="H200" t="n">
        <v>0</v>
      </c>
      <c r="I200" t="n">
        <v>0</v>
      </c>
      <c r="J200" t="n">
        <v>0</v>
      </c>
      <c r="K200" t="n">
        <v>0</v>
      </c>
      <c r="L200" t="n">
        <v>0</v>
      </c>
      <c r="M200" t="n">
        <v>0</v>
      </c>
      <c r="N200" t="n">
        <v>0</v>
      </c>
      <c r="O200" t="n">
        <v>0</v>
      </c>
      <c r="P200" t="n">
        <v>0</v>
      </c>
      <c r="Q200" t="n">
        <v>0</v>
      </c>
      <c r="R200" s="2" t="inlineStr"/>
    </row>
    <row r="201" ht="15" customHeight="1">
      <c r="A201" t="inlineStr">
        <is>
          <t>A 11067-2025</t>
        </is>
      </c>
      <c r="B201" s="1" t="n">
        <v>45723</v>
      </c>
      <c r="C201" s="1" t="n">
        <v>45886</v>
      </c>
      <c r="D201" t="inlineStr">
        <is>
          <t>ÖREBRO LÄN</t>
        </is>
      </c>
      <c r="E201" t="inlineStr">
        <is>
          <t>ÖREBRO</t>
        </is>
      </c>
      <c r="G201" t="n">
        <v>3.1</v>
      </c>
      <c r="H201" t="n">
        <v>0</v>
      </c>
      <c r="I201" t="n">
        <v>0</v>
      </c>
      <c r="J201" t="n">
        <v>0</v>
      </c>
      <c r="K201" t="n">
        <v>0</v>
      </c>
      <c r="L201" t="n">
        <v>0</v>
      </c>
      <c r="M201" t="n">
        <v>0</v>
      </c>
      <c r="N201" t="n">
        <v>0</v>
      </c>
      <c r="O201" t="n">
        <v>0</v>
      </c>
      <c r="P201" t="n">
        <v>0</v>
      </c>
      <c r="Q201" t="n">
        <v>0</v>
      </c>
      <c r="R201" s="2" t="inlineStr"/>
    </row>
    <row r="202" ht="15" customHeight="1">
      <c r="A202" t="inlineStr">
        <is>
          <t>A 2076-2025</t>
        </is>
      </c>
      <c r="B202" s="1" t="n">
        <v>45672</v>
      </c>
      <c r="C202" s="1" t="n">
        <v>45886</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9585-2025</t>
        </is>
      </c>
      <c r="B203" s="1" t="n">
        <v>45715.63409722222</v>
      </c>
      <c r="C203" s="1" t="n">
        <v>45886</v>
      </c>
      <c r="D203" t="inlineStr">
        <is>
          <t>ÖREBRO LÄN</t>
        </is>
      </c>
      <c r="E203" t="inlineStr">
        <is>
          <t>ÖREBRO</t>
        </is>
      </c>
      <c r="G203" t="n">
        <v>3.4</v>
      </c>
      <c r="H203" t="n">
        <v>0</v>
      </c>
      <c r="I203" t="n">
        <v>0</v>
      </c>
      <c r="J203" t="n">
        <v>0</v>
      </c>
      <c r="K203" t="n">
        <v>0</v>
      </c>
      <c r="L203" t="n">
        <v>0</v>
      </c>
      <c r="M203" t="n">
        <v>0</v>
      </c>
      <c r="N203" t="n">
        <v>0</v>
      </c>
      <c r="O203" t="n">
        <v>0</v>
      </c>
      <c r="P203" t="n">
        <v>0</v>
      </c>
      <c r="Q203" t="n">
        <v>0</v>
      </c>
      <c r="R203" s="2" t="inlineStr"/>
    </row>
    <row r="204" ht="15" customHeight="1">
      <c r="A204" t="inlineStr">
        <is>
          <t>A 22510-2024</t>
        </is>
      </c>
      <c r="B204" s="1" t="n">
        <v>45447.37440972222</v>
      </c>
      <c r="C204" s="1" t="n">
        <v>45886</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6879-2024</t>
        </is>
      </c>
      <c r="B205" s="1" t="n">
        <v>45342.85280092592</v>
      </c>
      <c r="C205" s="1" t="n">
        <v>45886</v>
      </c>
      <c r="D205" t="inlineStr">
        <is>
          <t>ÖREBRO LÄN</t>
        </is>
      </c>
      <c r="E205" t="inlineStr">
        <is>
          <t>ÖREBRO</t>
        </is>
      </c>
      <c r="G205" t="n">
        <v>1.6</v>
      </c>
      <c r="H205" t="n">
        <v>0</v>
      </c>
      <c r="I205" t="n">
        <v>0</v>
      </c>
      <c r="J205" t="n">
        <v>0</v>
      </c>
      <c r="K205" t="n">
        <v>0</v>
      </c>
      <c r="L205" t="n">
        <v>0</v>
      </c>
      <c r="M205" t="n">
        <v>0</v>
      </c>
      <c r="N205" t="n">
        <v>0</v>
      </c>
      <c r="O205" t="n">
        <v>0</v>
      </c>
      <c r="P205" t="n">
        <v>0</v>
      </c>
      <c r="Q205" t="n">
        <v>0</v>
      </c>
      <c r="R205" s="2" t="inlineStr"/>
    </row>
    <row r="206" ht="15" customHeight="1">
      <c r="A206" t="inlineStr">
        <is>
          <t>A 42138-2024</t>
        </is>
      </c>
      <c r="B206" s="1" t="n">
        <v>45562.41854166667</v>
      </c>
      <c r="C206" s="1" t="n">
        <v>45886</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14960-2025</t>
        </is>
      </c>
      <c r="B207" s="1" t="n">
        <v>45743.5853125</v>
      </c>
      <c r="C207" s="1" t="n">
        <v>45886</v>
      </c>
      <c r="D207" t="inlineStr">
        <is>
          <t>ÖREBRO LÄN</t>
        </is>
      </c>
      <c r="E207" t="inlineStr">
        <is>
          <t>ÖREBRO</t>
        </is>
      </c>
      <c r="G207" t="n">
        <v>1.6</v>
      </c>
      <c r="H207" t="n">
        <v>0</v>
      </c>
      <c r="I207" t="n">
        <v>0</v>
      </c>
      <c r="J207" t="n">
        <v>0</v>
      </c>
      <c r="K207" t="n">
        <v>0</v>
      </c>
      <c r="L207" t="n">
        <v>0</v>
      </c>
      <c r="M207" t="n">
        <v>0</v>
      </c>
      <c r="N207" t="n">
        <v>0</v>
      </c>
      <c r="O207" t="n">
        <v>0</v>
      </c>
      <c r="P207" t="n">
        <v>0</v>
      </c>
      <c r="Q207" t="n">
        <v>0</v>
      </c>
      <c r="R207" s="2" t="inlineStr"/>
    </row>
    <row r="208" ht="15" customHeight="1">
      <c r="A208" t="inlineStr">
        <is>
          <t>A 681-2024</t>
        </is>
      </c>
      <c r="B208" s="1" t="n">
        <v>45300</v>
      </c>
      <c r="C208" s="1" t="n">
        <v>45886</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60022-2024</t>
        </is>
      </c>
      <c r="B209" s="1" t="n">
        <v>45642</v>
      </c>
      <c r="C209" s="1" t="n">
        <v>45886</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34874-2022</t>
        </is>
      </c>
      <c r="B210" s="1" t="n">
        <v>44796</v>
      </c>
      <c r="C210" s="1" t="n">
        <v>45886</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13169-2024</t>
        </is>
      </c>
      <c r="B211" s="1" t="n">
        <v>45386.40489583334</v>
      </c>
      <c r="C211" s="1" t="n">
        <v>45886</v>
      </c>
      <c r="D211" t="inlineStr">
        <is>
          <t>ÖREBRO LÄN</t>
        </is>
      </c>
      <c r="E211" t="inlineStr">
        <is>
          <t>ÖREBRO</t>
        </is>
      </c>
      <c r="G211" t="n">
        <v>4.3</v>
      </c>
      <c r="H211" t="n">
        <v>0</v>
      </c>
      <c r="I211" t="n">
        <v>0</v>
      </c>
      <c r="J211" t="n">
        <v>0</v>
      </c>
      <c r="K211" t="n">
        <v>0</v>
      </c>
      <c r="L211" t="n">
        <v>0</v>
      </c>
      <c r="M211" t="n">
        <v>0</v>
      </c>
      <c r="N211" t="n">
        <v>0</v>
      </c>
      <c r="O211" t="n">
        <v>0</v>
      </c>
      <c r="P211" t="n">
        <v>0</v>
      </c>
      <c r="Q211" t="n">
        <v>0</v>
      </c>
      <c r="R211" s="2" t="inlineStr"/>
    </row>
    <row r="212" ht="15" customHeight="1">
      <c r="A212" t="inlineStr">
        <is>
          <t>A 38489-2023</t>
        </is>
      </c>
      <c r="B212" s="1" t="n">
        <v>45162</v>
      </c>
      <c r="C212" s="1" t="n">
        <v>45886</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21097-2025</t>
        </is>
      </c>
      <c r="B213" s="1" t="n">
        <v>45777.63863425926</v>
      </c>
      <c r="C213" s="1" t="n">
        <v>45886</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70719-2021</t>
        </is>
      </c>
      <c r="B214" s="1" t="n">
        <v>44537</v>
      </c>
      <c r="C214" s="1" t="n">
        <v>45886</v>
      </c>
      <c r="D214" t="inlineStr">
        <is>
          <t>ÖREBRO LÄN</t>
        </is>
      </c>
      <c r="E214" t="inlineStr">
        <is>
          <t>ÖREBRO</t>
        </is>
      </c>
      <c r="G214" t="n">
        <v>4.3</v>
      </c>
      <c r="H214" t="n">
        <v>0</v>
      </c>
      <c r="I214" t="n">
        <v>0</v>
      </c>
      <c r="J214" t="n">
        <v>0</v>
      </c>
      <c r="K214" t="n">
        <v>0</v>
      </c>
      <c r="L214" t="n">
        <v>0</v>
      </c>
      <c r="M214" t="n">
        <v>0</v>
      </c>
      <c r="N214" t="n">
        <v>0</v>
      </c>
      <c r="O214" t="n">
        <v>0</v>
      </c>
      <c r="P214" t="n">
        <v>0</v>
      </c>
      <c r="Q214" t="n">
        <v>0</v>
      </c>
      <c r="R214" s="2" t="inlineStr"/>
    </row>
    <row r="215" ht="15" customHeight="1">
      <c r="A215" t="inlineStr">
        <is>
          <t>A 38573-2023</t>
        </is>
      </c>
      <c r="B215" s="1" t="n">
        <v>45162.61837962963</v>
      </c>
      <c r="C215" s="1" t="n">
        <v>45886</v>
      </c>
      <c r="D215" t="inlineStr">
        <is>
          <t>ÖREBRO LÄN</t>
        </is>
      </c>
      <c r="E215" t="inlineStr">
        <is>
          <t>ÖREBRO</t>
        </is>
      </c>
      <c r="G215" t="n">
        <v>2.2</v>
      </c>
      <c r="H215" t="n">
        <v>0</v>
      </c>
      <c r="I215" t="n">
        <v>0</v>
      </c>
      <c r="J215" t="n">
        <v>0</v>
      </c>
      <c r="K215" t="n">
        <v>0</v>
      </c>
      <c r="L215" t="n">
        <v>0</v>
      </c>
      <c r="M215" t="n">
        <v>0</v>
      </c>
      <c r="N215" t="n">
        <v>0</v>
      </c>
      <c r="O215" t="n">
        <v>0</v>
      </c>
      <c r="P215" t="n">
        <v>0</v>
      </c>
      <c r="Q215" t="n">
        <v>0</v>
      </c>
      <c r="R215" s="2" t="inlineStr"/>
    </row>
    <row r="216" ht="15" customHeight="1">
      <c r="A216" t="inlineStr">
        <is>
          <t>A 4757-2024</t>
        </is>
      </c>
      <c r="B216" s="1" t="n">
        <v>45328</v>
      </c>
      <c r="C216" s="1" t="n">
        <v>45886</v>
      </c>
      <c r="D216" t="inlineStr">
        <is>
          <t>ÖREBRO LÄN</t>
        </is>
      </c>
      <c r="E216" t="inlineStr">
        <is>
          <t>ÖREBRO</t>
        </is>
      </c>
      <c r="G216" t="n">
        <v>1.9</v>
      </c>
      <c r="H216" t="n">
        <v>0</v>
      </c>
      <c r="I216" t="n">
        <v>0</v>
      </c>
      <c r="J216" t="n">
        <v>0</v>
      </c>
      <c r="K216" t="n">
        <v>0</v>
      </c>
      <c r="L216" t="n">
        <v>0</v>
      </c>
      <c r="M216" t="n">
        <v>0</v>
      </c>
      <c r="N216" t="n">
        <v>0</v>
      </c>
      <c r="O216" t="n">
        <v>0</v>
      </c>
      <c r="P216" t="n">
        <v>0</v>
      </c>
      <c r="Q216" t="n">
        <v>0</v>
      </c>
      <c r="R216" s="2" t="inlineStr"/>
    </row>
    <row r="217" ht="15" customHeight="1">
      <c r="A217" t="inlineStr">
        <is>
          <t>A 48140-2024</t>
        </is>
      </c>
      <c r="B217" s="1" t="n">
        <v>45589.66474537037</v>
      </c>
      <c r="C217" s="1" t="n">
        <v>45886</v>
      </c>
      <c r="D217" t="inlineStr">
        <is>
          <t>ÖREBRO LÄN</t>
        </is>
      </c>
      <c r="E217" t="inlineStr">
        <is>
          <t>ÖREBRO</t>
        </is>
      </c>
      <c r="G217" t="n">
        <v>2.4</v>
      </c>
      <c r="H217" t="n">
        <v>0</v>
      </c>
      <c r="I217" t="n">
        <v>0</v>
      </c>
      <c r="J217" t="n">
        <v>0</v>
      </c>
      <c r="K217" t="n">
        <v>0</v>
      </c>
      <c r="L217" t="n">
        <v>0</v>
      </c>
      <c r="M217" t="n">
        <v>0</v>
      </c>
      <c r="N217" t="n">
        <v>0</v>
      </c>
      <c r="O217" t="n">
        <v>0</v>
      </c>
      <c r="P217" t="n">
        <v>0</v>
      </c>
      <c r="Q217" t="n">
        <v>0</v>
      </c>
      <c r="R217" s="2" t="inlineStr"/>
    </row>
    <row r="218" ht="15" customHeight="1">
      <c r="A218" t="inlineStr">
        <is>
          <t>A 2658-2023</t>
        </is>
      </c>
      <c r="B218" s="1" t="n">
        <v>44944</v>
      </c>
      <c r="C218" s="1" t="n">
        <v>45886</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11565-2023</t>
        </is>
      </c>
      <c r="B219" s="1" t="n">
        <v>44994</v>
      </c>
      <c r="C219" s="1" t="n">
        <v>45886</v>
      </c>
      <c r="D219" t="inlineStr">
        <is>
          <t>ÖREBRO LÄN</t>
        </is>
      </c>
      <c r="E219" t="inlineStr">
        <is>
          <t>ÖREBRO</t>
        </is>
      </c>
      <c r="G219" t="n">
        <v>4.7</v>
      </c>
      <c r="H219" t="n">
        <v>0</v>
      </c>
      <c r="I219" t="n">
        <v>0</v>
      </c>
      <c r="J219" t="n">
        <v>0</v>
      </c>
      <c r="K219" t="n">
        <v>0</v>
      </c>
      <c r="L219" t="n">
        <v>0</v>
      </c>
      <c r="M219" t="n">
        <v>0</v>
      </c>
      <c r="N219" t="n">
        <v>0</v>
      </c>
      <c r="O219" t="n">
        <v>0</v>
      </c>
      <c r="P219" t="n">
        <v>0</v>
      </c>
      <c r="Q219" t="n">
        <v>0</v>
      </c>
      <c r="R219" s="2" t="inlineStr"/>
    </row>
    <row r="220" ht="15" customHeight="1">
      <c r="A220" t="inlineStr">
        <is>
          <t>A 61593-2023</t>
        </is>
      </c>
      <c r="B220" s="1" t="n">
        <v>45265</v>
      </c>
      <c r="C220" s="1" t="n">
        <v>45886</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16736-2023</t>
        </is>
      </c>
      <c r="B221" s="1" t="n">
        <v>45030.72328703704</v>
      </c>
      <c r="C221" s="1" t="n">
        <v>45886</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2630-2023</t>
        </is>
      </c>
      <c r="B222" s="1" t="n">
        <v>44944.39105324074</v>
      </c>
      <c r="C222" s="1" t="n">
        <v>45886</v>
      </c>
      <c r="D222" t="inlineStr">
        <is>
          <t>ÖREBRO LÄN</t>
        </is>
      </c>
      <c r="E222" t="inlineStr">
        <is>
          <t>ÖREBRO</t>
        </is>
      </c>
      <c r="G222" t="n">
        <v>6.1</v>
      </c>
      <c r="H222" t="n">
        <v>0</v>
      </c>
      <c r="I222" t="n">
        <v>0</v>
      </c>
      <c r="J222" t="n">
        <v>0</v>
      </c>
      <c r="K222" t="n">
        <v>0</v>
      </c>
      <c r="L222" t="n">
        <v>0</v>
      </c>
      <c r="M222" t="n">
        <v>0</v>
      </c>
      <c r="N222" t="n">
        <v>0</v>
      </c>
      <c r="O222" t="n">
        <v>0</v>
      </c>
      <c r="P222" t="n">
        <v>0</v>
      </c>
      <c r="Q222" t="n">
        <v>0</v>
      </c>
      <c r="R222" s="2" t="inlineStr"/>
    </row>
    <row r="223" ht="15" customHeight="1">
      <c r="A223" t="inlineStr">
        <is>
          <t>A 19384-2024</t>
        </is>
      </c>
      <c r="B223" s="1" t="n">
        <v>45429</v>
      </c>
      <c r="C223" s="1" t="n">
        <v>45886</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35819-2024</t>
        </is>
      </c>
      <c r="B224" s="1" t="n">
        <v>45532</v>
      </c>
      <c r="C224" s="1" t="n">
        <v>45886</v>
      </c>
      <c r="D224" t="inlineStr">
        <is>
          <t>ÖREBRO LÄN</t>
        </is>
      </c>
      <c r="E224" t="inlineStr">
        <is>
          <t>ÖREBRO</t>
        </is>
      </c>
      <c r="G224" t="n">
        <v>6.4</v>
      </c>
      <c r="H224" t="n">
        <v>0</v>
      </c>
      <c r="I224" t="n">
        <v>0</v>
      </c>
      <c r="J224" t="n">
        <v>0</v>
      </c>
      <c r="K224" t="n">
        <v>0</v>
      </c>
      <c r="L224" t="n">
        <v>0</v>
      </c>
      <c r="M224" t="n">
        <v>0</v>
      </c>
      <c r="N224" t="n">
        <v>0</v>
      </c>
      <c r="O224" t="n">
        <v>0</v>
      </c>
      <c r="P224" t="n">
        <v>0</v>
      </c>
      <c r="Q224" t="n">
        <v>0</v>
      </c>
      <c r="R224" s="2" t="inlineStr"/>
    </row>
    <row r="225" ht="15" customHeight="1">
      <c r="A225" t="inlineStr">
        <is>
          <t>A 30015-2023</t>
        </is>
      </c>
      <c r="B225" s="1" t="n">
        <v>45109</v>
      </c>
      <c r="C225" s="1" t="n">
        <v>45886</v>
      </c>
      <c r="D225" t="inlineStr">
        <is>
          <t>ÖREBRO LÄN</t>
        </is>
      </c>
      <c r="E225" t="inlineStr">
        <is>
          <t>ÖREBRO</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21578-2025</t>
        </is>
      </c>
      <c r="B226" s="1" t="n">
        <v>45782.88587962963</v>
      </c>
      <c r="C226" s="1" t="n">
        <v>45886</v>
      </c>
      <c r="D226" t="inlineStr">
        <is>
          <t>ÖREBRO LÄN</t>
        </is>
      </c>
      <c r="E226" t="inlineStr">
        <is>
          <t>ÖREBRO</t>
        </is>
      </c>
      <c r="G226" t="n">
        <v>0.7</v>
      </c>
      <c r="H226" t="n">
        <v>0</v>
      </c>
      <c r="I226" t="n">
        <v>0</v>
      </c>
      <c r="J226" t="n">
        <v>0</v>
      </c>
      <c r="K226" t="n">
        <v>0</v>
      </c>
      <c r="L226" t="n">
        <v>0</v>
      </c>
      <c r="M226" t="n">
        <v>0</v>
      </c>
      <c r="N226" t="n">
        <v>0</v>
      </c>
      <c r="O226" t="n">
        <v>0</v>
      </c>
      <c r="P226" t="n">
        <v>0</v>
      </c>
      <c r="Q226" t="n">
        <v>0</v>
      </c>
      <c r="R226" s="2" t="inlineStr"/>
    </row>
    <row r="227" ht="15" customHeight="1">
      <c r="A227" t="inlineStr">
        <is>
          <t>A 32076-2023</t>
        </is>
      </c>
      <c r="B227" s="1" t="n">
        <v>45119.58324074074</v>
      </c>
      <c r="C227" s="1" t="n">
        <v>45886</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37968-2024</t>
        </is>
      </c>
      <c r="B228" s="1" t="n">
        <v>45544</v>
      </c>
      <c r="C228" s="1" t="n">
        <v>45886</v>
      </c>
      <c r="D228" t="inlineStr">
        <is>
          <t>ÖREBRO LÄN</t>
        </is>
      </c>
      <c r="E228" t="inlineStr">
        <is>
          <t>ÖREBRO</t>
        </is>
      </c>
      <c r="G228" t="n">
        <v>2</v>
      </c>
      <c r="H228" t="n">
        <v>0</v>
      </c>
      <c r="I228" t="n">
        <v>0</v>
      </c>
      <c r="J228" t="n">
        <v>0</v>
      </c>
      <c r="K228" t="n">
        <v>0</v>
      </c>
      <c r="L228" t="n">
        <v>0</v>
      </c>
      <c r="M228" t="n">
        <v>0</v>
      </c>
      <c r="N228" t="n">
        <v>0</v>
      </c>
      <c r="O228" t="n">
        <v>0</v>
      </c>
      <c r="P228" t="n">
        <v>0</v>
      </c>
      <c r="Q228" t="n">
        <v>0</v>
      </c>
      <c r="R228" s="2" t="inlineStr"/>
    </row>
    <row r="229" ht="15" customHeight="1">
      <c r="A229" t="inlineStr">
        <is>
          <t>A 764-2024</t>
        </is>
      </c>
      <c r="B229" s="1" t="n">
        <v>45300.51512731481</v>
      </c>
      <c r="C229" s="1" t="n">
        <v>45886</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31326-2024</t>
        </is>
      </c>
      <c r="B230" s="1" t="n">
        <v>45504.5934375</v>
      </c>
      <c r="C230" s="1" t="n">
        <v>45886</v>
      </c>
      <c r="D230" t="inlineStr">
        <is>
          <t>ÖREBRO LÄN</t>
        </is>
      </c>
      <c r="E230" t="inlineStr">
        <is>
          <t>ÖREBRO</t>
        </is>
      </c>
      <c r="G230" t="n">
        <v>6.4</v>
      </c>
      <c r="H230" t="n">
        <v>0</v>
      </c>
      <c r="I230" t="n">
        <v>0</v>
      </c>
      <c r="J230" t="n">
        <v>0</v>
      </c>
      <c r="K230" t="n">
        <v>0</v>
      </c>
      <c r="L230" t="n">
        <v>0</v>
      </c>
      <c r="M230" t="n">
        <v>0</v>
      </c>
      <c r="N230" t="n">
        <v>0</v>
      </c>
      <c r="O230" t="n">
        <v>0</v>
      </c>
      <c r="P230" t="n">
        <v>0</v>
      </c>
      <c r="Q230" t="n">
        <v>0</v>
      </c>
      <c r="R230" s="2" t="inlineStr"/>
    </row>
    <row r="231" ht="15" customHeight="1">
      <c r="A231" t="inlineStr">
        <is>
          <t>A 42636-2023</t>
        </is>
      </c>
      <c r="B231" s="1" t="n">
        <v>45181.49559027778</v>
      </c>
      <c r="C231" s="1" t="n">
        <v>45886</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58644-2023</t>
        </is>
      </c>
      <c r="B232" s="1" t="n">
        <v>45251.58716435185</v>
      </c>
      <c r="C232" s="1" t="n">
        <v>45886</v>
      </c>
      <c r="D232" t="inlineStr">
        <is>
          <t>ÖREBRO LÄN</t>
        </is>
      </c>
      <c r="E232" t="inlineStr">
        <is>
          <t>ÖREBRO</t>
        </is>
      </c>
      <c r="F232" t="inlineStr">
        <is>
          <t>Övriga Aktiebolag</t>
        </is>
      </c>
      <c r="G232" t="n">
        <v>1.9</v>
      </c>
      <c r="H232" t="n">
        <v>0</v>
      </c>
      <c r="I232" t="n">
        <v>0</v>
      </c>
      <c r="J232" t="n">
        <v>0</v>
      </c>
      <c r="K232" t="n">
        <v>0</v>
      </c>
      <c r="L232" t="n">
        <v>0</v>
      </c>
      <c r="M232" t="n">
        <v>0</v>
      </c>
      <c r="N232" t="n">
        <v>0</v>
      </c>
      <c r="O232" t="n">
        <v>0</v>
      </c>
      <c r="P232" t="n">
        <v>0</v>
      </c>
      <c r="Q232" t="n">
        <v>0</v>
      </c>
      <c r="R232" s="2" t="inlineStr"/>
    </row>
    <row r="233" ht="15" customHeight="1">
      <c r="A233" t="inlineStr">
        <is>
          <t>A 21338-2025</t>
        </is>
      </c>
      <c r="B233" s="1" t="n">
        <v>45780</v>
      </c>
      <c r="C233" s="1" t="n">
        <v>45886</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22755-2025</t>
        </is>
      </c>
      <c r="B234" s="1" t="n">
        <v>45789.61872685186</v>
      </c>
      <c r="C234" s="1" t="n">
        <v>45886</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44199-2024</t>
        </is>
      </c>
      <c r="B235" s="1" t="n">
        <v>45573</v>
      </c>
      <c r="C235" s="1" t="n">
        <v>45886</v>
      </c>
      <c r="D235" t="inlineStr">
        <is>
          <t>ÖREBRO LÄN</t>
        </is>
      </c>
      <c r="E235" t="inlineStr">
        <is>
          <t>ÖREBRO</t>
        </is>
      </c>
      <c r="G235" t="n">
        <v>4.3</v>
      </c>
      <c r="H235" t="n">
        <v>0</v>
      </c>
      <c r="I235" t="n">
        <v>0</v>
      </c>
      <c r="J235" t="n">
        <v>0</v>
      </c>
      <c r="K235" t="n">
        <v>0</v>
      </c>
      <c r="L235" t="n">
        <v>0</v>
      </c>
      <c r="M235" t="n">
        <v>0</v>
      </c>
      <c r="N235" t="n">
        <v>0</v>
      </c>
      <c r="O235" t="n">
        <v>0</v>
      </c>
      <c r="P235" t="n">
        <v>0</v>
      </c>
      <c r="Q235" t="n">
        <v>0</v>
      </c>
      <c r="R235" s="2" t="inlineStr"/>
    </row>
    <row r="236" ht="15" customHeight="1">
      <c r="A236" t="inlineStr">
        <is>
          <t>A 34336-2024</t>
        </is>
      </c>
      <c r="B236" s="1" t="n">
        <v>45524.94774305556</v>
      </c>
      <c r="C236" s="1" t="n">
        <v>45886</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26443-2024</t>
        </is>
      </c>
      <c r="B237" s="1" t="n">
        <v>45469.49901620371</v>
      </c>
      <c r="C237" s="1" t="n">
        <v>45886</v>
      </c>
      <c r="D237" t="inlineStr">
        <is>
          <t>ÖREBRO LÄN</t>
        </is>
      </c>
      <c r="E237" t="inlineStr">
        <is>
          <t>ÖREBRO</t>
        </is>
      </c>
      <c r="G237" t="n">
        <v>5.7</v>
      </c>
      <c r="H237" t="n">
        <v>0</v>
      </c>
      <c r="I237" t="n">
        <v>0</v>
      </c>
      <c r="J237" t="n">
        <v>0</v>
      </c>
      <c r="K237" t="n">
        <v>0</v>
      </c>
      <c r="L237" t="n">
        <v>0</v>
      </c>
      <c r="M237" t="n">
        <v>0</v>
      </c>
      <c r="N237" t="n">
        <v>0</v>
      </c>
      <c r="O237" t="n">
        <v>0</v>
      </c>
      <c r="P237" t="n">
        <v>0</v>
      </c>
      <c r="Q237" t="n">
        <v>0</v>
      </c>
      <c r="R237" s="2" t="inlineStr"/>
    </row>
    <row r="238" ht="15" customHeight="1">
      <c r="A238" t="inlineStr">
        <is>
          <t>A 35477-2024</t>
        </is>
      </c>
      <c r="B238" s="1" t="n">
        <v>45531</v>
      </c>
      <c r="C238" s="1" t="n">
        <v>45886</v>
      </c>
      <c r="D238" t="inlineStr">
        <is>
          <t>ÖREBRO LÄN</t>
        </is>
      </c>
      <c r="E238" t="inlineStr">
        <is>
          <t>ÖREBRO</t>
        </is>
      </c>
      <c r="G238" t="n">
        <v>2.4</v>
      </c>
      <c r="H238" t="n">
        <v>0</v>
      </c>
      <c r="I238" t="n">
        <v>0</v>
      </c>
      <c r="J238" t="n">
        <v>0</v>
      </c>
      <c r="K238" t="n">
        <v>0</v>
      </c>
      <c r="L238" t="n">
        <v>0</v>
      </c>
      <c r="M238" t="n">
        <v>0</v>
      </c>
      <c r="N238" t="n">
        <v>0</v>
      </c>
      <c r="O238" t="n">
        <v>0</v>
      </c>
      <c r="P238" t="n">
        <v>0</v>
      </c>
      <c r="Q238" t="n">
        <v>0</v>
      </c>
      <c r="R238" s="2" t="inlineStr"/>
    </row>
    <row r="239" ht="15" customHeight="1">
      <c r="A239" t="inlineStr">
        <is>
          <t>A 22045-2024</t>
        </is>
      </c>
      <c r="B239" s="1" t="n">
        <v>45443.61171296296</v>
      </c>
      <c r="C239" s="1" t="n">
        <v>45886</v>
      </c>
      <c r="D239" t="inlineStr">
        <is>
          <t>ÖREBRO LÄN</t>
        </is>
      </c>
      <c r="E239" t="inlineStr">
        <is>
          <t>ÖREBRO</t>
        </is>
      </c>
      <c r="F239" t="inlineStr">
        <is>
          <t>Övriga Aktiebolag</t>
        </is>
      </c>
      <c r="G239" t="n">
        <v>0.9</v>
      </c>
      <c r="H239" t="n">
        <v>0</v>
      </c>
      <c r="I239" t="n">
        <v>0</v>
      </c>
      <c r="J239" t="n">
        <v>0</v>
      </c>
      <c r="K239" t="n">
        <v>0</v>
      </c>
      <c r="L239" t="n">
        <v>0</v>
      </c>
      <c r="M239" t="n">
        <v>0</v>
      </c>
      <c r="N239" t="n">
        <v>0</v>
      </c>
      <c r="O239" t="n">
        <v>0</v>
      </c>
      <c r="P239" t="n">
        <v>0</v>
      </c>
      <c r="Q239" t="n">
        <v>0</v>
      </c>
      <c r="R239" s="2" t="inlineStr"/>
    </row>
    <row r="240" ht="15" customHeight="1">
      <c r="A240" t="inlineStr">
        <is>
          <t>A 58684-2023</t>
        </is>
      </c>
      <c r="B240" s="1" t="n">
        <v>45251</v>
      </c>
      <c r="C240" s="1" t="n">
        <v>45886</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38898-2023</t>
        </is>
      </c>
      <c r="B241" s="1" t="n">
        <v>45163</v>
      </c>
      <c r="C241" s="1" t="n">
        <v>45886</v>
      </c>
      <c r="D241" t="inlineStr">
        <is>
          <t>ÖREBRO LÄN</t>
        </is>
      </c>
      <c r="E241" t="inlineStr">
        <is>
          <t>ÖREBRO</t>
        </is>
      </c>
      <c r="G241" t="n">
        <v>5.1</v>
      </c>
      <c r="H241" t="n">
        <v>0</v>
      </c>
      <c r="I241" t="n">
        <v>0</v>
      </c>
      <c r="J241" t="n">
        <v>0</v>
      </c>
      <c r="K241" t="n">
        <v>0</v>
      </c>
      <c r="L241" t="n">
        <v>0</v>
      </c>
      <c r="M241" t="n">
        <v>0</v>
      </c>
      <c r="N241" t="n">
        <v>0</v>
      </c>
      <c r="O241" t="n">
        <v>0</v>
      </c>
      <c r="P241" t="n">
        <v>0</v>
      </c>
      <c r="Q241" t="n">
        <v>0</v>
      </c>
      <c r="R241" s="2" t="inlineStr"/>
    </row>
    <row r="242" ht="15" customHeight="1">
      <c r="A242" t="inlineStr">
        <is>
          <t>A 22719-2025</t>
        </is>
      </c>
      <c r="B242" s="1" t="n">
        <v>45789</v>
      </c>
      <c r="C242" s="1" t="n">
        <v>45886</v>
      </c>
      <c r="D242" t="inlineStr">
        <is>
          <t>ÖREBRO LÄN</t>
        </is>
      </c>
      <c r="E242" t="inlineStr">
        <is>
          <t>ÖREBRO</t>
        </is>
      </c>
      <c r="G242" t="n">
        <v>1.5</v>
      </c>
      <c r="H242" t="n">
        <v>0</v>
      </c>
      <c r="I242" t="n">
        <v>0</v>
      </c>
      <c r="J242" t="n">
        <v>0</v>
      </c>
      <c r="K242" t="n">
        <v>0</v>
      </c>
      <c r="L242" t="n">
        <v>0</v>
      </c>
      <c r="M242" t="n">
        <v>0</v>
      </c>
      <c r="N242" t="n">
        <v>0</v>
      </c>
      <c r="O242" t="n">
        <v>0</v>
      </c>
      <c r="P242" t="n">
        <v>0</v>
      </c>
      <c r="Q242" t="n">
        <v>0</v>
      </c>
      <c r="R242" s="2" t="inlineStr"/>
    </row>
    <row r="243" ht="15" customHeight="1">
      <c r="A243" t="inlineStr">
        <is>
          <t>A 13321-2024</t>
        </is>
      </c>
      <c r="B243" s="1" t="n">
        <v>45386.83142361111</v>
      </c>
      <c r="C243" s="1" t="n">
        <v>45886</v>
      </c>
      <c r="D243" t="inlineStr">
        <is>
          <t>ÖREBRO LÄN</t>
        </is>
      </c>
      <c r="E243" t="inlineStr">
        <is>
          <t>ÖREBRO</t>
        </is>
      </c>
      <c r="G243" t="n">
        <v>13.1</v>
      </c>
      <c r="H243" t="n">
        <v>0</v>
      </c>
      <c r="I243" t="n">
        <v>0</v>
      </c>
      <c r="J243" t="n">
        <v>0</v>
      </c>
      <c r="K243" t="n">
        <v>0</v>
      </c>
      <c r="L243" t="n">
        <v>0</v>
      </c>
      <c r="M243" t="n">
        <v>0</v>
      </c>
      <c r="N243" t="n">
        <v>0</v>
      </c>
      <c r="O243" t="n">
        <v>0</v>
      </c>
      <c r="P243" t="n">
        <v>0</v>
      </c>
      <c r="Q243" t="n">
        <v>0</v>
      </c>
      <c r="R243" s="2" t="inlineStr"/>
    </row>
    <row r="244" ht="15" customHeight="1">
      <c r="A244" t="inlineStr">
        <is>
          <t>A 30316-2024</t>
        </is>
      </c>
      <c r="B244" s="1" t="n">
        <v>45490</v>
      </c>
      <c r="C244" s="1" t="n">
        <v>45886</v>
      </c>
      <c r="D244" t="inlineStr">
        <is>
          <t>ÖREBRO LÄN</t>
        </is>
      </c>
      <c r="E244" t="inlineStr">
        <is>
          <t>ÖREBRO</t>
        </is>
      </c>
      <c r="G244" t="n">
        <v>5.5</v>
      </c>
      <c r="H244" t="n">
        <v>0</v>
      </c>
      <c r="I244" t="n">
        <v>0</v>
      </c>
      <c r="J244" t="n">
        <v>0</v>
      </c>
      <c r="K244" t="n">
        <v>0</v>
      </c>
      <c r="L244" t="n">
        <v>0</v>
      </c>
      <c r="M244" t="n">
        <v>0</v>
      </c>
      <c r="N244" t="n">
        <v>0</v>
      </c>
      <c r="O244" t="n">
        <v>0</v>
      </c>
      <c r="P244" t="n">
        <v>0</v>
      </c>
      <c r="Q244" t="n">
        <v>0</v>
      </c>
      <c r="R244" s="2" t="inlineStr"/>
    </row>
    <row r="245" ht="15" customHeight="1">
      <c r="A245" t="inlineStr">
        <is>
          <t>A 38790-2024</t>
        </is>
      </c>
      <c r="B245" s="1" t="n">
        <v>45547.48450231482</v>
      </c>
      <c r="C245" s="1" t="n">
        <v>45886</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61279-2024</t>
        </is>
      </c>
      <c r="B246" s="1" t="n">
        <v>45645</v>
      </c>
      <c r="C246" s="1" t="n">
        <v>45886</v>
      </c>
      <c r="D246" t="inlineStr">
        <is>
          <t>ÖREBRO LÄN</t>
        </is>
      </c>
      <c r="E246" t="inlineStr">
        <is>
          <t>ÖREBRO</t>
        </is>
      </c>
      <c r="G246" t="n">
        <v>0.7</v>
      </c>
      <c r="H246" t="n">
        <v>0</v>
      </c>
      <c r="I246" t="n">
        <v>0</v>
      </c>
      <c r="J246" t="n">
        <v>0</v>
      </c>
      <c r="K246" t="n">
        <v>0</v>
      </c>
      <c r="L246" t="n">
        <v>0</v>
      </c>
      <c r="M246" t="n">
        <v>0</v>
      </c>
      <c r="N246" t="n">
        <v>0</v>
      </c>
      <c r="O246" t="n">
        <v>0</v>
      </c>
      <c r="P246" t="n">
        <v>0</v>
      </c>
      <c r="Q246" t="n">
        <v>0</v>
      </c>
      <c r="R246" s="2" t="inlineStr"/>
    </row>
    <row r="247" ht="15" customHeight="1">
      <c r="A247" t="inlineStr">
        <is>
          <t>A 71269-2021</t>
        </is>
      </c>
      <c r="B247" s="1" t="n">
        <v>44539</v>
      </c>
      <c r="C247" s="1" t="n">
        <v>45886</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38583-2023</t>
        </is>
      </c>
      <c r="B248" s="1" t="n">
        <v>45162.62861111111</v>
      </c>
      <c r="C248" s="1" t="n">
        <v>45886</v>
      </c>
      <c r="D248" t="inlineStr">
        <is>
          <t>ÖREBRO LÄN</t>
        </is>
      </c>
      <c r="E248" t="inlineStr">
        <is>
          <t>ÖREBRO</t>
        </is>
      </c>
      <c r="G248" t="n">
        <v>5.7</v>
      </c>
      <c r="H248" t="n">
        <v>0</v>
      </c>
      <c r="I248" t="n">
        <v>0</v>
      </c>
      <c r="J248" t="n">
        <v>0</v>
      </c>
      <c r="K248" t="n">
        <v>0</v>
      </c>
      <c r="L248" t="n">
        <v>0</v>
      </c>
      <c r="M248" t="n">
        <v>0</v>
      </c>
      <c r="N248" t="n">
        <v>0</v>
      </c>
      <c r="O248" t="n">
        <v>0</v>
      </c>
      <c r="P248" t="n">
        <v>0</v>
      </c>
      <c r="Q248" t="n">
        <v>0</v>
      </c>
      <c r="R248" s="2" t="inlineStr"/>
    </row>
    <row r="249" ht="15" customHeight="1">
      <c r="A249" t="inlineStr">
        <is>
          <t>A 14291-2023</t>
        </is>
      </c>
      <c r="B249" s="1" t="n">
        <v>45010</v>
      </c>
      <c r="C249" s="1" t="n">
        <v>45886</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15555-2025</t>
        </is>
      </c>
      <c r="B250" s="1" t="n">
        <v>45747.67768518518</v>
      </c>
      <c r="C250" s="1" t="n">
        <v>45886</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5136-2024</t>
        </is>
      </c>
      <c r="B251" s="1" t="n">
        <v>45330</v>
      </c>
      <c r="C251" s="1" t="n">
        <v>45886</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9314-2023</t>
        </is>
      </c>
      <c r="B252" s="1" t="n">
        <v>44980.67747685185</v>
      </c>
      <c r="C252" s="1" t="n">
        <v>45886</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38842-2022</t>
        </is>
      </c>
      <c r="B253" s="1" t="n">
        <v>44814</v>
      </c>
      <c r="C253" s="1" t="n">
        <v>45886</v>
      </c>
      <c r="D253" t="inlineStr">
        <is>
          <t>ÖREBRO LÄN</t>
        </is>
      </c>
      <c r="E253" t="inlineStr">
        <is>
          <t>ÖREBRO</t>
        </is>
      </c>
      <c r="G253" t="n">
        <v>5</v>
      </c>
      <c r="H253" t="n">
        <v>0</v>
      </c>
      <c r="I253" t="n">
        <v>0</v>
      </c>
      <c r="J253" t="n">
        <v>0</v>
      </c>
      <c r="K253" t="n">
        <v>0</v>
      </c>
      <c r="L253" t="n">
        <v>0</v>
      </c>
      <c r="M253" t="n">
        <v>0</v>
      </c>
      <c r="N253" t="n">
        <v>0</v>
      </c>
      <c r="O253" t="n">
        <v>0</v>
      </c>
      <c r="P253" t="n">
        <v>0</v>
      </c>
      <c r="Q253" t="n">
        <v>0</v>
      </c>
      <c r="R253" s="2" t="inlineStr"/>
    </row>
    <row r="254" ht="15" customHeight="1">
      <c r="A254" t="inlineStr">
        <is>
          <t>A 33455-2023</t>
        </is>
      </c>
      <c r="B254" s="1" t="n">
        <v>45130.98962962963</v>
      </c>
      <c r="C254" s="1" t="n">
        <v>45886</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21306-2024</t>
        </is>
      </c>
      <c r="B255" s="1" t="n">
        <v>45440.67883101852</v>
      </c>
      <c r="C255" s="1" t="n">
        <v>45886</v>
      </c>
      <c r="D255" t="inlineStr">
        <is>
          <t>ÖREBRO LÄN</t>
        </is>
      </c>
      <c r="E255" t="inlineStr">
        <is>
          <t>ÖREBRO</t>
        </is>
      </c>
      <c r="F255" t="inlineStr">
        <is>
          <t>Övriga Aktiebolag</t>
        </is>
      </c>
      <c r="G255" t="n">
        <v>2</v>
      </c>
      <c r="H255" t="n">
        <v>0</v>
      </c>
      <c r="I255" t="n">
        <v>0</v>
      </c>
      <c r="J255" t="n">
        <v>0</v>
      </c>
      <c r="K255" t="n">
        <v>0</v>
      </c>
      <c r="L255" t="n">
        <v>0</v>
      </c>
      <c r="M255" t="n">
        <v>0</v>
      </c>
      <c r="N255" t="n">
        <v>0</v>
      </c>
      <c r="O255" t="n">
        <v>0</v>
      </c>
      <c r="P255" t="n">
        <v>0</v>
      </c>
      <c r="Q255" t="n">
        <v>0</v>
      </c>
      <c r="R255" s="2" t="inlineStr"/>
    </row>
    <row r="256" ht="15" customHeight="1">
      <c r="A256" t="inlineStr">
        <is>
          <t>A 4380-2025</t>
        </is>
      </c>
      <c r="B256" s="1" t="n">
        <v>45686.3959375</v>
      </c>
      <c r="C256" s="1" t="n">
        <v>45886</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7634-2024</t>
        </is>
      </c>
      <c r="B257" s="1" t="n">
        <v>45348</v>
      </c>
      <c r="C257" s="1" t="n">
        <v>45886</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5324-2024</t>
        </is>
      </c>
      <c r="B258" s="1" t="n">
        <v>45331</v>
      </c>
      <c r="C258" s="1" t="n">
        <v>45886</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52401-2024</t>
        </is>
      </c>
      <c r="B259" s="1" t="n">
        <v>45609.44553240741</v>
      </c>
      <c r="C259" s="1" t="n">
        <v>45886</v>
      </c>
      <c r="D259" t="inlineStr">
        <is>
          <t>ÖREBRO LÄN</t>
        </is>
      </c>
      <c r="E259" t="inlineStr">
        <is>
          <t>ÖREBRO</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34358-2022</t>
        </is>
      </c>
      <c r="B260" s="1" t="n">
        <v>44792.45494212963</v>
      </c>
      <c r="C260" s="1" t="n">
        <v>45886</v>
      </c>
      <c r="D260" t="inlineStr">
        <is>
          <t>ÖREBRO LÄN</t>
        </is>
      </c>
      <c r="E260" t="inlineStr">
        <is>
          <t>ÖREBRO</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15695-2024</t>
        </is>
      </c>
      <c r="B261" s="1" t="n">
        <v>45404.45487268519</v>
      </c>
      <c r="C261" s="1" t="n">
        <v>45886</v>
      </c>
      <c r="D261" t="inlineStr">
        <is>
          <t>ÖREBRO LÄN</t>
        </is>
      </c>
      <c r="E261" t="inlineStr">
        <is>
          <t>ÖREBRO</t>
        </is>
      </c>
      <c r="G261" t="n">
        <v>2.7</v>
      </c>
      <c r="H261" t="n">
        <v>0</v>
      </c>
      <c r="I261" t="n">
        <v>0</v>
      </c>
      <c r="J261" t="n">
        <v>0</v>
      </c>
      <c r="K261" t="n">
        <v>0</v>
      </c>
      <c r="L261" t="n">
        <v>0</v>
      </c>
      <c r="M261" t="n">
        <v>0</v>
      </c>
      <c r="N261" t="n">
        <v>0</v>
      </c>
      <c r="O261" t="n">
        <v>0</v>
      </c>
      <c r="P261" t="n">
        <v>0</v>
      </c>
      <c r="Q261" t="n">
        <v>0</v>
      </c>
      <c r="R261" s="2" t="inlineStr"/>
    </row>
    <row r="262" ht="15" customHeight="1">
      <c r="A262" t="inlineStr">
        <is>
          <t>A 5406-2025</t>
        </is>
      </c>
      <c r="B262" s="1" t="n">
        <v>45692.64821759259</v>
      </c>
      <c r="C262" s="1" t="n">
        <v>45886</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14963-2025</t>
        </is>
      </c>
      <c r="B263" s="1" t="n">
        <v>45743.58699074074</v>
      </c>
      <c r="C263" s="1" t="n">
        <v>45886</v>
      </c>
      <c r="D263" t="inlineStr">
        <is>
          <t>ÖREBRO LÄN</t>
        </is>
      </c>
      <c r="E263" t="inlineStr">
        <is>
          <t>ÖREBRO</t>
        </is>
      </c>
      <c r="G263" t="n">
        <v>9.1</v>
      </c>
      <c r="H263" t="n">
        <v>0</v>
      </c>
      <c r="I263" t="n">
        <v>0</v>
      </c>
      <c r="J263" t="n">
        <v>0</v>
      </c>
      <c r="K263" t="n">
        <v>0</v>
      </c>
      <c r="L263" t="n">
        <v>0</v>
      </c>
      <c r="M263" t="n">
        <v>0</v>
      </c>
      <c r="N263" t="n">
        <v>0</v>
      </c>
      <c r="O263" t="n">
        <v>0</v>
      </c>
      <c r="P263" t="n">
        <v>0</v>
      </c>
      <c r="Q263" t="n">
        <v>0</v>
      </c>
      <c r="R263" s="2" t="inlineStr"/>
    </row>
    <row r="264" ht="15" customHeight="1">
      <c r="A264" t="inlineStr">
        <is>
          <t>A 55357-2024</t>
        </is>
      </c>
      <c r="B264" s="1" t="n">
        <v>45621.81126157408</v>
      </c>
      <c r="C264" s="1" t="n">
        <v>45886</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38422-2023</t>
        </is>
      </c>
      <c r="B265" s="1" t="n">
        <v>45162.36422453704</v>
      </c>
      <c r="C265" s="1" t="n">
        <v>45886</v>
      </c>
      <c r="D265" t="inlineStr">
        <is>
          <t>ÖREBRO LÄN</t>
        </is>
      </c>
      <c r="E265" t="inlineStr">
        <is>
          <t>ÖREBRO</t>
        </is>
      </c>
      <c r="G265" t="n">
        <v>8</v>
      </c>
      <c r="H265" t="n">
        <v>0</v>
      </c>
      <c r="I265" t="n">
        <v>0</v>
      </c>
      <c r="J265" t="n">
        <v>0</v>
      </c>
      <c r="K265" t="n">
        <v>0</v>
      </c>
      <c r="L265" t="n">
        <v>0</v>
      </c>
      <c r="M265" t="n">
        <v>0</v>
      </c>
      <c r="N265" t="n">
        <v>0</v>
      </c>
      <c r="O265" t="n">
        <v>0</v>
      </c>
      <c r="P265" t="n">
        <v>0</v>
      </c>
      <c r="Q265" t="n">
        <v>0</v>
      </c>
      <c r="R265" s="2" t="inlineStr"/>
    </row>
    <row r="266" ht="15" customHeight="1">
      <c r="A266" t="inlineStr">
        <is>
          <t>A 22348-2024</t>
        </is>
      </c>
      <c r="B266" s="1" t="n">
        <v>45446.61256944444</v>
      </c>
      <c r="C266" s="1" t="n">
        <v>45886</v>
      </c>
      <c r="D266" t="inlineStr">
        <is>
          <t>ÖREBRO LÄN</t>
        </is>
      </c>
      <c r="E266" t="inlineStr">
        <is>
          <t>ÖREBRO</t>
        </is>
      </c>
      <c r="G266" t="n">
        <v>0.7</v>
      </c>
      <c r="H266" t="n">
        <v>0</v>
      </c>
      <c r="I266" t="n">
        <v>0</v>
      </c>
      <c r="J266" t="n">
        <v>0</v>
      </c>
      <c r="K266" t="n">
        <v>0</v>
      </c>
      <c r="L266" t="n">
        <v>0</v>
      </c>
      <c r="M266" t="n">
        <v>0</v>
      </c>
      <c r="N266" t="n">
        <v>0</v>
      </c>
      <c r="O266" t="n">
        <v>0</v>
      </c>
      <c r="P266" t="n">
        <v>0</v>
      </c>
      <c r="Q266" t="n">
        <v>0</v>
      </c>
      <c r="R266" s="2" t="inlineStr"/>
    </row>
    <row r="267" ht="15" customHeight="1">
      <c r="A267" t="inlineStr">
        <is>
          <t>A 52018-2024</t>
        </is>
      </c>
      <c r="B267" s="1" t="n">
        <v>45607.82974537037</v>
      </c>
      <c r="C267" s="1" t="n">
        <v>45886</v>
      </c>
      <c r="D267" t="inlineStr">
        <is>
          <t>ÖREBRO LÄN</t>
        </is>
      </c>
      <c r="E267" t="inlineStr">
        <is>
          <t>ÖREBRO</t>
        </is>
      </c>
      <c r="G267" t="n">
        <v>4.3</v>
      </c>
      <c r="H267" t="n">
        <v>0</v>
      </c>
      <c r="I267" t="n">
        <v>0</v>
      </c>
      <c r="J267" t="n">
        <v>0</v>
      </c>
      <c r="K267" t="n">
        <v>0</v>
      </c>
      <c r="L267" t="n">
        <v>0</v>
      </c>
      <c r="M267" t="n">
        <v>0</v>
      </c>
      <c r="N267" t="n">
        <v>0</v>
      </c>
      <c r="O267" t="n">
        <v>0</v>
      </c>
      <c r="P267" t="n">
        <v>0</v>
      </c>
      <c r="Q267" t="n">
        <v>0</v>
      </c>
      <c r="R267" s="2" t="inlineStr"/>
    </row>
    <row r="268" ht="15" customHeight="1">
      <c r="A268" t="inlineStr">
        <is>
          <t>A 30089-2024</t>
        </is>
      </c>
      <c r="B268" s="1" t="n">
        <v>45485</v>
      </c>
      <c r="C268" s="1" t="n">
        <v>45886</v>
      </c>
      <c r="D268" t="inlineStr">
        <is>
          <t>ÖREBRO LÄN</t>
        </is>
      </c>
      <c r="E268" t="inlineStr">
        <is>
          <t>ÖREBRO</t>
        </is>
      </c>
      <c r="G268" t="n">
        <v>2.2</v>
      </c>
      <c r="H268" t="n">
        <v>0</v>
      </c>
      <c r="I268" t="n">
        <v>0</v>
      </c>
      <c r="J268" t="n">
        <v>0</v>
      </c>
      <c r="K268" t="n">
        <v>0</v>
      </c>
      <c r="L268" t="n">
        <v>0</v>
      </c>
      <c r="M268" t="n">
        <v>0</v>
      </c>
      <c r="N268" t="n">
        <v>0</v>
      </c>
      <c r="O268" t="n">
        <v>0</v>
      </c>
      <c r="P268" t="n">
        <v>0</v>
      </c>
      <c r="Q268" t="n">
        <v>0</v>
      </c>
      <c r="R268" s="2" t="inlineStr"/>
    </row>
    <row r="269" ht="15" customHeight="1">
      <c r="A269" t="inlineStr">
        <is>
          <t>A 46518-2023</t>
        </is>
      </c>
      <c r="B269" s="1" t="n">
        <v>45197.72777777778</v>
      </c>
      <c r="C269" s="1" t="n">
        <v>45886</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24192-2025</t>
        </is>
      </c>
      <c r="B270" s="1" t="n">
        <v>45796.88609953703</v>
      </c>
      <c r="C270" s="1" t="n">
        <v>45886</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71295-2021</t>
        </is>
      </c>
      <c r="B271" s="1" t="n">
        <v>44539.63009259259</v>
      </c>
      <c r="C271" s="1" t="n">
        <v>45886</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46030-2024</t>
        </is>
      </c>
      <c r="B272" s="1" t="n">
        <v>45580.70377314815</v>
      </c>
      <c r="C272" s="1" t="n">
        <v>45886</v>
      </c>
      <c r="D272" t="inlineStr">
        <is>
          <t>ÖREBRO LÄN</t>
        </is>
      </c>
      <c r="E272" t="inlineStr">
        <is>
          <t>ÖREBRO</t>
        </is>
      </c>
      <c r="G272" t="n">
        <v>3.9</v>
      </c>
      <c r="H272" t="n">
        <v>0</v>
      </c>
      <c r="I272" t="n">
        <v>0</v>
      </c>
      <c r="J272" t="n">
        <v>0</v>
      </c>
      <c r="K272" t="n">
        <v>0</v>
      </c>
      <c r="L272" t="n">
        <v>0</v>
      </c>
      <c r="M272" t="n">
        <v>0</v>
      </c>
      <c r="N272" t="n">
        <v>0</v>
      </c>
      <c r="O272" t="n">
        <v>0</v>
      </c>
      <c r="P272" t="n">
        <v>0</v>
      </c>
      <c r="Q272" t="n">
        <v>0</v>
      </c>
      <c r="R272" s="2" t="inlineStr"/>
    </row>
    <row r="273" ht="15" customHeight="1">
      <c r="A273" t="inlineStr">
        <is>
          <t>A 5643-2025</t>
        </is>
      </c>
      <c r="B273" s="1" t="n">
        <v>45693</v>
      </c>
      <c r="C273" s="1" t="n">
        <v>45886</v>
      </c>
      <c r="D273" t="inlineStr">
        <is>
          <t>ÖREBRO LÄN</t>
        </is>
      </c>
      <c r="E273" t="inlineStr">
        <is>
          <t>ÖREBRO</t>
        </is>
      </c>
      <c r="G273" t="n">
        <v>2</v>
      </c>
      <c r="H273" t="n">
        <v>0</v>
      </c>
      <c r="I273" t="n">
        <v>0</v>
      </c>
      <c r="J273" t="n">
        <v>0</v>
      </c>
      <c r="K273" t="n">
        <v>0</v>
      </c>
      <c r="L273" t="n">
        <v>0</v>
      </c>
      <c r="M273" t="n">
        <v>0</v>
      </c>
      <c r="N273" t="n">
        <v>0</v>
      </c>
      <c r="O273" t="n">
        <v>0</v>
      </c>
      <c r="P273" t="n">
        <v>0</v>
      </c>
      <c r="Q273" t="n">
        <v>0</v>
      </c>
      <c r="R273" s="2" t="inlineStr"/>
    </row>
    <row r="274" ht="15" customHeight="1">
      <c r="A274" t="inlineStr">
        <is>
          <t>A 11516-2024</t>
        </is>
      </c>
      <c r="B274" s="1" t="n">
        <v>45372</v>
      </c>
      <c r="C274" s="1" t="n">
        <v>45886</v>
      </c>
      <c r="D274" t="inlineStr">
        <is>
          <t>ÖREBRO LÄN</t>
        </is>
      </c>
      <c r="E274" t="inlineStr">
        <is>
          <t>ÖREBRO</t>
        </is>
      </c>
      <c r="G274" t="n">
        <v>10.7</v>
      </c>
      <c r="H274" t="n">
        <v>0</v>
      </c>
      <c r="I274" t="n">
        <v>0</v>
      </c>
      <c r="J274" t="n">
        <v>0</v>
      </c>
      <c r="K274" t="n">
        <v>0</v>
      </c>
      <c r="L274" t="n">
        <v>0</v>
      </c>
      <c r="M274" t="n">
        <v>0</v>
      </c>
      <c r="N274" t="n">
        <v>0</v>
      </c>
      <c r="O274" t="n">
        <v>0</v>
      </c>
      <c r="P274" t="n">
        <v>0</v>
      </c>
      <c r="Q274" t="n">
        <v>0</v>
      </c>
      <c r="R274" s="2" t="inlineStr"/>
    </row>
    <row r="275" ht="15" customHeight="1">
      <c r="A275" t="inlineStr">
        <is>
          <t>A 5342-2024</t>
        </is>
      </c>
      <c r="B275" s="1" t="n">
        <v>45331.44145833333</v>
      </c>
      <c r="C275" s="1" t="n">
        <v>45886</v>
      </c>
      <c r="D275" t="inlineStr">
        <is>
          <t>ÖREBRO LÄN</t>
        </is>
      </c>
      <c r="E275" t="inlineStr">
        <is>
          <t>ÖREBRO</t>
        </is>
      </c>
      <c r="G275" t="n">
        <v>2.5</v>
      </c>
      <c r="H275" t="n">
        <v>0</v>
      </c>
      <c r="I275" t="n">
        <v>0</v>
      </c>
      <c r="J275" t="n">
        <v>0</v>
      </c>
      <c r="K275" t="n">
        <v>0</v>
      </c>
      <c r="L275" t="n">
        <v>0</v>
      </c>
      <c r="M275" t="n">
        <v>0</v>
      </c>
      <c r="N275" t="n">
        <v>0</v>
      </c>
      <c r="O275" t="n">
        <v>0</v>
      </c>
      <c r="P275" t="n">
        <v>0</v>
      </c>
      <c r="Q275" t="n">
        <v>0</v>
      </c>
      <c r="R275" s="2" t="inlineStr"/>
    </row>
    <row r="276" ht="15" customHeight="1">
      <c r="A276" t="inlineStr">
        <is>
          <t>A 41703-2024</t>
        </is>
      </c>
      <c r="B276" s="1" t="n">
        <v>45560</v>
      </c>
      <c r="C276" s="1" t="n">
        <v>45886</v>
      </c>
      <c r="D276" t="inlineStr">
        <is>
          <t>ÖREBRO LÄN</t>
        </is>
      </c>
      <c r="E276" t="inlineStr">
        <is>
          <t>ÖREBRO</t>
        </is>
      </c>
      <c r="G276" t="n">
        <v>6.4</v>
      </c>
      <c r="H276" t="n">
        <v>0</v>
      </c>
      <c r="I276" t="n">
        <v>0</v>
      </c>
      <c r="J276" t="n">
        <v>0</v>
      </c>
      <c r="K276" t="n">
        <v>0</v>
      </c>
      <c r="L276" t="n">
        <v>0</v>
      </c>
      <c r="M276" t="n">
        <v>0</v>
      </c>
      <c r="N276" t="n">
        <v>0</v>
      </c>
      <c r="O276" t="n">
        <v>0</v>
      </c>
      <c r="P276" t="n">
        <v>0</v>
      </c>
      <c r="Q276" t="n">
        <v>0</v>
      </c>
      <c r="R276" s="2" t="inlineStr"/>
    </row>
    <row r="277" ht="15" customHeight="1">
      <c r="A277" t="inlineStr">
        <is>
          <t>A 19763-2024</t>
        </is>
      </c>
      <c r="B277" s="1" t="n">
        <v>45432</v>
      </c>
      <c r="C277" s="1" t="n">
        <v>45886</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31247-2023</t>
        </is>
      </c>
      <c r="B278" s="1" t="n">
        <v>45114</v>
      </c>
      <c r="C278" s="1" t="n">
        <v>45886</v>
      </c>
      <c r="D278" t="inlineStr">
        <is>
          <t>ÖREBRO LÄN</t>
        </is>
      </c>
      <c r="E278" t="inlineStr">
        <is>
          <t>ÖREBRO</t>
        </is>
      </c>
      <c r="F278" t="inlineStr">
        <is>
          <t>Allmännings- och besparingsskogar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36635-2023</t>
        </is>
      </c>
      <c r="B279" s="1" t="n">
        <v>45153</v>
      </c>
      <c r="C279" s="1" t="n">
        <v>45886</v>
      </c>
      <c r="D279" t="inlineStr">
        <is>
          <t>ÖREBRO LÄN</t>
        </is>
      </c>
      <c r="E279" t="inlineStr">
        <is>
          <t>ÖREBRO</t>
        </is>
      </c>
      <c r="G279" t="n">
        <v>1.9</v>
      </c>
      <c r="H279" t="n">
        <v>0</v>
      </c>
      <c r="I279" t="n">
        <v>0</v>
      </c>
      <c r="J279" t="n">
        <v>0</v>
      </c>
      <c r="K279" t="n">
        <v>0</v>
      </c>
      <c r="L279" t="n">
        <v>0</v>
      </c>
      <c r="M279" t="n">
        <v>0</v>
      </c>
      <c r="N279" t="n">
        <v>0</v>
      </c>
      <c r="O279" t="n">
        <v>0</v>
      </c>
      <c r="P279" t="n">
        <v>0</v>
      </c>
      <c r="Q279" t="n">
        <v>0</v>
      </c>
      <c r="R279" s="2" t="inlineStr"/>
    </row>
    <row r="280" ht="15" customHeight="1">
      <c r="A280" t="inlineStr">
        <is>
          <t>A 54149-2024</t>
        </is>
      </c>
      <c r="B280" s="1" t="n">
        <v>45616</v>
      </c>
      <c r="C280" s="1" t="n">
        <v>45886</v>
      </c>
      <c r="D280" t="inlineStr">
        <is>
          <t>ÖREBRO LÄN</t>
        </is>
      </c>
      <c r="E280" t="inlineStr">
        <is>
          <t>ÖREBRO</t>
        </is>
      </c>
      <c r="G280" t="n">
        <v>2.7</v>
      </c>
      <c r="H280" t="n">
        <v>0</v>
      </c>
      <c r="I280" t="n">
        <v>0</v>
      </c>
      <c r="J280" t="n">
        <v>0</v>
      </c>
      <c r="K280" t="n">
        <v>0</v>
      </c>
      <c r="L280" t="n">
        <v>0</v>
      </c>
      <c r="M280" t="n">
        <v>0</v>
      </c>
      <c r="N280" t="n">
        <v>0</v>
      </c>
      <c r="O280" t="n">
        <v>0</v>
      </c>
      <c r="P280" t="n">
        <v>0</v>
      </c>
      <c r="Q280" t="n">
        <v>0</v>
      </c>
      <c r="R280" s="2" t="inlineStr"/>
    </row>
    <row r="281" ht="15" customHeight="1">
      <c r="A281" t="inlineStr">
        <is>
          <t>A 25578-2025</t>
        </is>
      </c>
      <c r="B281" s="1" t="n">
        <v>45803.47803240741</v>
      </c>
      <c r="C281" s="1" t="n">
        <v>45886</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25519-2025</t>
        </is>
      </c>
      <c r="B282" s="1" t="n">
        <v>45803.38447916666</v>
      </c>
      <c r="C282" s="1" t="n">
        <v>45886</v>
      </c>
      <c r="D282" t="inlineStr">
        <is>
          <t>ÖREBRO LÄN</t>
        </is>
      </c>
      <c r="E282" t="inlineStr">
        <is>
          <t>ÖREBRO</t>
        </is>
      </c>
      <c r="G282" t="n">
        <v>7.4</v>
      </c>
      <c r="H282" t="n">
        <v>0</v>
      </c>
      <c r="I282" t="n">
        <v>0</v>
      </c>
      <c r="J282" t="n">
        <v>0</v>
      </c>
      <c r="K282" t="n">
        <v>0</v>
      </c>
      <c r="L282" t="n">
        <v>0</v>
      </c>
      <c r="M282" t="n">
        <v>0</v>
      </c>
      <c r="N282" t="n">
        <v>0</v>
      </c>
      <c r="O282" t="n">
        <v>0</v>
      </c>
      <c r="P282" t="n">
        <v>0</v>
      </c>
      <c r="Q282" t="n">
        <v>0</v>
      </c>
      <c r="R282" s="2" t="inlineStr"/>
    </row>
    <row r="283" ht="15" customHeight="1">
      <c r="A283" t="inlineStr">
        <is>
          <t>A 49797-2024</t>
        </is>
      </c>
      <c r="B283" s="1" t="n">
        <v>45597.37265046296</v>
      </c>
      <c r="C283" s="1" t="n">
        <v>45886</v>
      </c>
      <c r="D283" t="inlineStr">
        <is>
          <t>ÖREBRO LÄN</t>
        </is>
      </c>
      <c r="E283" t="inlineStr">
        <is>
          <t>ÖREBRO</t>
        </is>
      </c>
      <c r="G283" t="n">
        <v>11.6</v>
      </c>
      <c r="H283" t="n">
        <v>0</v>
      </c>
      <c r="I283" t="n">
        <v>0</v>
      </c>
      <c r="J283" t="n">
        <v>0</v>
      </c>
      <c r="K283" t="n">
        <v>0</v>
      </c>
      <c r="L283" t="n">
        <v>0</v>
      </c>
      <c r="M283" t="n">
        <v>0</v>
      </c>
      <c r="N283" t="n">
        <v>0</v>
      </c>
      <c r="O283" t="n">
        <v>0</v>
      </c>
      <c r="P283" t="n">
        <v>0</v>
      </c>
      <c r="Q283" t="n">
        <v>0</v>
      </c>
      <c r="R283" s="2" t="inlineStr"/>
    </row>
    <row r="284" ht="15" customHeight="1">
      <c r="A284" t="inlineStr">
        <is>
          <t>A 11663-2024</t>
        </is>
      </c>
      <c r="B284" s="1" t="n">
        <v>45373</v>
      </c>
      <c r="C284" s="1" t="n">
        <v>45886</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40597-2021</t>
        </is>
      </c>
      <c r="B285" s="1" t="n">
        <v>44420</v>
      </c>
      <c r="C285" s="1" t="n">
        <v>45886</v>
      </c>
      <c r="D285" t="inlineStr">
        <is>
          <t>ÖREBRO LÄN</t>
        </is>
      </c>
      <c r="E285" t="inlineStr">
        <is>
          <t>ÖREBRO</t>
        </is>
      </c>
      <c r="G285" t="n">
        <v>2.1</v>
      </c>
      <c r="H285" t="n">
        <v>0</v>
      </c>
      <c r="I285" t="n">
        <v>0</v>
      </c>
      <c r="J285" t="n">
        <v>0</v>
      </c>
      <c r="K285" t="n">
        <v>0</v>
      </c>
      <c r="L285" t="n">
        <v>0</v>
      </c>
      <c r="M285" t="n">
        <v>0</v>
      </c>
      <c r="N285" t="n">
        <v>0</v>
      </c>
      <c r="O285" t="n">
        <v>0</v>
      </c>
      <c r="P285" t="n">
        <v>0</v>
      </c>
      <c r="Q285" t="n">
        <v>0</v>
      </c>
      <c r="R285" s="2" t="inlineStr"/>
    </row>
    <row r="286" ht="15" customHeight="1">
      <c r="A286" t="inlineStr">
        <is>
          <t>A 32086-2023</t>
        </is>
      </c>
      <c r="B286" s="1" t="n">
        <v>45119.59789351852</v>
      </c>
      <c r="C286" s="1" t="n">
        <v>45886</v>
      </c>
      <c r="D286" t="inlineStr">
        <is>
          <t>ÖREBRO LÄN</t>
        </is>
      </c>
      <c r="E286" t="inlineStr">
        <is>
          <t>ÖREBRO</t>
        </is>
      </c>
      <c r="G286" t="n">
        <v>0.7</v>
      </c>
      <c r="H286" t="n">
        <v>0</v>
      </c>
      <c r="I286" t="n">
        <v>0</v>
      </c>
      <c r="J286" t="n">
        <v>0</v>
      </c>
      <c r="K286" t="n">
        <v>0</v>
      </c>
      <c r="L286" t="n">
        <v>0</v>
      </c>
      <c r="M286" t="n">
        <v>0</v>
      </c>
      <c r="N286" t="n">
        <v>0</v>
      </c>
      <c r="O286" t="n">
        <v>0</v>
      </c>
      <c r="P286" t="n">
        <v>0</v>
      </c>
      <c r="Q286" t="n">
        <v>0</v>
      </c>
      <c r="R286" s="2" t="inlineStr"/>
    </row>
    <row r="287" ht="15" customHeight="1">
      <c r="A287" t="inlineStr">
        <is>
          <t>A 13856-2022</t>
        </is>
      </c>
      <c r="B287" s="1" t="n">
        <v>44649.6965162037</v>
      </c>
      <c r="C287" s="1" t="n">
        <v>45886</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23863-2023</t>
        </is>
      </c>
      <c r="B288" s="1" t="n">
        <v>45078.48994212963</v>
      </c>
      <c r="C288" s="1" t="n">
        <v>45886</v>
      </c>
      <c r="D288" t="inlineStr">
        <is>
          <t>ÖREBRO LÄN</t>
        </is>
      </c>
      <c r="E288" t="inlineStr">
        <is>
          <t>ÖREBRO</t>
        </is>
      </c>
      <c r="F288" t="inlineStr">
        <is>
          <t>Övriga Aktiebolag</t>
        </is>
      </c>
      <c r="G288" t="n">
        <v>5.9</v>
      </c>
      <c r="H288" t="n">
        <v>0</v>
      </c>
      <c r="I288" t="n">
        <v>0</v>
      </c>
      <c r="J288" t="n">
        <v>0</v>
      </c>
      <c r="K288" t="n">
        <v>0</v>
      </c>
      <c r="L288" t="n">
        <v>0</v>
      </c>
      <c r="M288" t="n">
        <v>0</v>
      </c>
      <c r="N288" t="n">
        <v>0</v>
      </c>
      <c r="O288" t="n">
        <v>0</v>
      </c>
      <c r="P288" t="n">
        <v>0</v>
      </c>
      <c r="Q288" t="n">
        <v>0</v>
      </c>
      <c r="R288" s="2" t="inlineStr"/>
    </row>
    <row r="289" ht="15" customHeight="1">
      <c r="A289" t="inlineStr">
        <is>
          <t>A 39130-2023</t>
        </is>
      </c>
      <c r="B289" s="1" t="n">
        <v>45165</v>
      </c>
      <c r="C289" s="1" t="n">
        <v>45886</v>
      </c>
      <c r="D289" t="inlineStr">
        <is>
          <t>ÖREBRO LÄN</t>
        </is>
      </c>
      <c r="E289" t="inlineStr">
        <is>
          <t>ÖREBRO</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13599-2025</t>
        </is>
      </c>
      <c r="B290" s="1" t="n">
        <v>45736.60597222222</v>
      </c>
      <c r="C290" s="1" t="n">
        <v>45886</v>
      </c>
      <c r="D290" t="inlineStr">
        <is>
          <t>ÖREBRO LÄN</t>
        </is>
      </c>
      <c r="E290" t="inlineStr">
        <is>
          <t>ÖREBRO</t>
        </is>
      </c>
      <c r="G290" t="n">
        <v>1.9</v>
      </c>
      <c r="H290" t="n">
        <v>0</v>
      </c>
      <c r="I290" t="n">
        <v>0</v>
      </c>
      <c r="J290" t="n">
        <v>0</v>
      </c>
      <c r="K290" t="n">
        <v>0</v>
      </c>
      <c r="L290" t="n">
        <v>0</v>
      </c>
      <c r="M290" t="n">
        <v>0</v>
      </c>
      <c r="N290" t="n">
        <v>0</v>
      </c>
      <c r="O290" t="n">
        <v>0</v>
      </c>
      <c r="P290" t="n">
        <v>0</v>
      </c>
      <c r="Q290" t="n">
        <v>0</v>
      </c>
      <c r="R290" s="2" t="inlineStr"/>
    </row>
    <row r="291" ht="15" customHeight="1">
      <c r="A291" t="inlineStr">
        <is>
          <t>A 8575-2021</t>
        </is>
      </c>
      <c r="B291" s="1" t="n">
        <v>44245</v>
      </c>
      <c r="C291" s="1" t="n">
        <v>45886</v>
      </c>
      <c r="D291" t="inlineStr">
        <is>
          <t>ÖREBRO LÄN</t>
        </is>
      </c>
      <c r="E291" t="inlineStr">
        <is>
          <t>ÖREBRO</t>
        </is>
      </c>
      <c r="G291" t="n">
        <v>3.4</v>
      </c>
      <c r="H291" t="n">
        <v>0</v>
      </c>
      <c r="I291" t="n">
        <v>0</v>
      </c>
      <c r="J291" t="n">
        <v>0</v>
      </c>
      <c r="K291" t="n">
        <v>0</v>
      </c>
      <c r="L291" t="n">
        <v>0</v>
      </c>
      <c r="M291" t="n">
        <v>0</v>
      </c>
      <c r="N291" t="n">
        <v>0</v>
      </c>
      <c r="O291" t="n">
        <v>0</v>
      </c>
      <c r="P291" t="n">
        <v>0</v>
      </c>
      <c r="Q291" t="n">
        <v>0</v>
      </c>
      <c r="R291" s="2" t="inlineStr"/>
    </row>
    <row r="292" ht="15" customHeight="1">
      <c r="A292" t="inlineStr">
        <is>
          <t>A 26338-2021</t>
        </is>
      </c>
      <c r="B292" s="1" t="n">
        <v>44347</v>
      </c>
      <c r="C292" s="1" t="n">
        <v>45886</v>
      </c>
      <c r="D292" t="inlineStr">
        <is>
          <t>ÖREBRO LÄN</t>
        </is>
      </c>
      <c r="E292" t="inlineStr">
        <is>
          <t>ÖREBRO</t>
        </is>
      </c>
      <c r="G292" t="n">
        <v>0.5</v>
      </c>
      <c r="H292" t="n">
        <v>0</v>
      </c>
      <c r="I292" t="n">
        <v>0</v>
      </c>
      <c r="J292" t="n">
        <v>0</v>
      </c>
      <c r="K292" t="n">
        <v>0</v>
      </c>
      <c r="L292" t="n">
        <v>0</v>
      </c>
      <c r="M292" t="n">
        <v>0</v>
      </c>
      <c r="N292" t="n">
        <v>0</v>
      </c>
      <c r="O292" t="n">
        <v>0</v>
      </c>
      <c r="P292" t="n">
        <v>0</v>
      </c>
      <c r="Q292" t="n">
        <v>0</v>
      </c>
      <c r="R292" s="2" t="inlineStr"/>
    </row>
    <row r="293" ht="15" customHeight="1">
      <c r="A293" t="inlineStr">
        <is>
          <t>A 13418-2024</t>
        </is>
      </c>
      <c r="B293" s="1" t="n">
        <v>45387.46482638889</v>
      </c>
      <c r="C293" s="1" t="n">
        <v>45886</v>
      </c>
      <c r="D293" t="inlineStr">
        <is>
          <t>ÖREBRO LÄN</t>
        </is>
      </c>
      <c r="E293" t="inlineStr">
        <is>
          <t>ÖREBRO</t>
        </is>
      </c>
      <c r="G293" t="n">
        <v>4.2</v>
      </c>
      <c r="H293" t="n">
        <v>0</v>
      </c>
      <c r="I293" t="n">
        <v>0</v>
      </c>
      <c r="J293" t="n">
        <v>0</v>
      </c>
      <c r="K293" t="n">
        <v>0</v>
      </c>
      <c r="L293" t="n">
        <v>0</v>
      </c>
      <c r="M293" t="n">
        <v>0</v>
      </c>
      <c r="N293" t="n">
        <v>0</v>
      </c>
      <c r="O293" t="n">
        <v>0</v>
      </c>
      <c r="P293" t="n">
        <v>0</v>
      </c>
      <c r="Q293" t="n">
        <v>0</v>
      </c>
      <c r="R293" s="2" t="inlineStr"/>
    </row>
    <row r="294" ht="15" customHeight="1">
      <c r="A294" t="inlineStr">
        <is>
          <t>A 71266-2021</t>
        </is>
      </c>
      <c r="B294" s="1" t="n">
        <v>44539</v>
      </c>
      <c r="C294" s="1" t="n">
        <v>45886</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71267-2021</t>
        </is>
      </c>
      <c r="B295" s="1" t="n">
        <v>44539</v>
      </c>
      <c r="C295" s="1" t="n">
        <v>45886</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71280-2021</t>
        </is>
      </c>
      <c r="B296" s="1" t="n">
        <v>44539</v>
      </c>
      <c r="C296" s="1" t="n">
        <v>45886</v>
      </c>
      <c r="D296" t="inlineStr">
        <is>
          <t>ÖREBRO LÄN</t>
        </is>
      </c>
      <c r="E296" t="inlineStr">
        <is>
          <t>ÖREBRO</t>
        </is>
      </c>
      <c r="G296" t="n">
        <v>0.6</v>
      </c>
      <c r="H296" t="n">
        <v>0</v>
      </c>
      <c r="I296" t="n">
        <v>0</v>
      </c>
      <c r="J296" t="n">
        <v>0</v>
      </c>
      <c r="K296" t="n">
        <v>0</v>
      </c>
      <c r="L296" t="n">
        <v>0</v>
      </c>
      <c r="M296" t="n">
        <v>0</v>
      </c>
      <c r="N296" t="n">
        <v>0</v>
      </c>
      <c r="O296" t="n">
        <v>0</v>
      </c>
      <c r="P296" t="n">
        <v>0</v>
      </c>
      <c r="Q296" t="n">
        <v>0</v>
      </c>
      <c r="R296" s="2" t="inlineStr"/>
    </row>
    <row r="297" ht="15" customHeight="1">
      <c r="A297" t="inlineStr">
        <is>
          <t>A 50375-2024</t>
        </is>
      </c>
      <c r="B297" s="1" t="n">
        <v>45601.29311342593</v>
      </c>
      <c r="C297" s="1" t="n">
        <v>45886</v>
      </c>
      <c r="D297" t="inlineStr">
        <is>
          <t>ÖREBRO LÄN</t>
        </is>
      </c>
      <c r="E297" t="inlineStr">
        <is>
          <t>ÖREBRO</t>
        </is>
      </c>
      <c r="G297" t="n">
        <v>5</v>
      </c>
      <c r="H297" t="n">
        <v>0</v>
      </c>
      <c r="I297" t="n">
        <v>0</v>
      </c>
      <c r="J297" t="n">
        <v>0</v>
      </c>
      <c r="K297" t="n">
        <v>0</v>
      </c>
      <c r="L297" t="n">
        <v>0</v>
      </c>
      <c r="M297" t="n">
        <v>0</v>
      </c>
      <c r="N297" t="n">
        <v>0</v>
      </c>
      <c r="O297" t="n">
        <v>0</v>
      </c>
      <c r="P297" t="n">
        <v>0</v>
      </c>
      <c r="Q297" t="n">
        <v>0</v>
      </c>
      <c r="R297" s="2" t="inlineStr"/>
    </row>
    <row r="298" ht="15" customHeight="1">
      <c r="A298" t="inlineStr">
        <is>
          <t>A 52391-2024</t>
        </is>
      </c>
      <c r="B298" s="1" t="n">
        <v>45609.43180555556</v>
      </c>
      <c r="C298" s="1" t="n">
        <v>45886</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48581-2024</t>
        </is>
      </c>
      <c r="B299" s="1" t="n">
        <v>45593.41642361111</v>
      </c>
      <c r="C299" s="1" t="n">
        <v>45886</v>
      </c>
      <c r="D299" t="inlineStr">
        <is>
          <t>ÖREBRO LÄN</t>
        </is>
      </c>
      <c r="E299" t="inlineStr">
        <is>
          <t>ÖREBRO</t>
        </is>
      </c>
      <c r="G299" t="n">
        <v>0.7</v>
      </c>
      <c r="H299" t="n">
        <v>0</v>
      </c>
      <c r="I299" t="n">
        <v>0</v>
      </c>
      <c r="J299" t="n">
        <v>0</v>
      </c>
      <c r="K299" t="n">
        <v>0</v>
      </c>
      <c r="L299" t="n">
        <v>0</v>
      </c>
      <c r="M299" t="n">
        <v>0</v>
      </c>
      <c r="N299" t="n">
        <v>0</v>
      </c>
      <c r="O299" t="n">
        <v>0</v>
      </c>
      <c r="P299" t="n">
        <v>0</v>
      </c>
      <c r="Q299" t="n">
        <v>0</v>
      </c>
      <c r="R299" s="2" t="inlineStr"/>
    </row>
    <row r="300" ht="15" customHeight="1">
      <c r="A300" t="inlineStr">
        <is>
          <t>A 47047-2022</t>
        </is>
      </c>
      <c r="B300" s="1" t="n">
        <v>44852.39063657408</v>
      </c>
      <c r="C300" s="1" t="n">
        <v>45886</v>
      </c>
      <c r="D300" t="inlineStr">
        <is>
          <t>ÖREBRO LÄN</t>
        </is>
      </c>
      <c r="E300" t="inlineStr">
        <is>
          <t>ÖREBRO</t>
        </is>
      </c>
      <c r="G300" t="n">
        <v>1.6</v>
      </c>
      <c r="H300" t="n">
        <v>0</v>
      </c>
      <c r="I300" t="n">
        <v>0</v>
      </c>
      <c r="J300" t="n">
        <v>0</v>
      </c>
      <c r="K300" t="n">
        <v>0</v>
      </c>
      <c r="L300" t="n">
        <v>0</v>
      </c>
      <c r="M300" t="n">
        <v>0</v>
      </c>
      <c r="N300" t="n">
        <v>0</v>
      </c>
      <c r="O300" t="n">
        <v>0</v>
      </c>
      <c r="P300" t="n">
        <v>0</v>
      </c>
      <c r="Q300" t="n">
        <v>0</v>
      </c>
      <c r="R300" s="2" t="inlineStr"/>
    </row>
    <row r="301" ht="15" customHeight="1">
      <c r="A301" t="inlineStr">
        <is>
          <t>A 21036-2024</t>
        </is>
      </c>
      <c r="B301" s="1" t="n">
        <v>45439.65954861111</v>
      </c>
      <c r="C301" s="1" t="n">
        <v>45886</v>
      </c>
      <c r="D301" t="inlineStr">
        <is>
          <t>ÖREBRO LÄN</t>
        </is>
      </c>
      <c r="E301" t="inlineStr">
        <is>
          <t>ÖREBRO</t>
        </is>
      </c>
      <c r="F301" t="inlineStr">
        <is>
          <t>Övriga Aktiebolag</t>
        </is>
      </c>
      <c r="G301" t="n">
        <v>5.7</v>
      </c>
      <c r="H301" t="n">
        <v>0</v>
      </c>
      <c r="I301" t="n">
        <v>0</v>
      </c>
      <c r="J301" t="n">
        <v>0</v>
      </c>
      <c r="K301" t="n">
        <v>0</v>
      </c>
      <c r="L301" t="n">
        <v>0</v>
      </c>
      <c r="M301" t="n">
        <v>0</v>
      </c>
      <c r="N301" t="n">
        <v>0</v>
      </c>
      <c r="O301" t="n">
        <v>0</v>
      </c>
      <c r="P301" t="n">
        <v>0</v>
      </c>
      <c r="Q301" t="n">
        <v>0</v>
      </c>
      <c r="R301" s="2" t="inlineStr"/>
    </row>
    <row r="302" ht="15" customHeight="1">
      <c r="A302" t="inlineStr">
        <is>
          <t>A 58532-2024</t>
        </is>
      </c>
      <c r="B302" s="1" t="n">
        <v>45635.44899305556</v>
      </c>
      <c r="C302" s="1" t="n">
        <v>45886</v>
      </c>
      <c r="D302" t="inlineStr">
        <is>
          <t>ÖREBRO LÄN</t>
        </is>
      </c>
      <c r="E302" t="inlineStr">
        <is>
          <t>ÖREBRO</t>
        </is>
      </c>
      <c r="F302" t="inlineStr">
        <is>
          <t>Sveaskog</t>
        </is>
      </c>
      <c r="G302" t="n">
        <v>5.2</v>
      </c>
      <c r="H302" t="n">
        <v>0</v>
      </c>
      <c r="I302" t="n">
        <v>0</v>
      </c>
      <c r="J302" t="n">
        <v>0</v>
      </c>
      <c r="K302" t="n">
        <v>0</v>
      </c>
      <c r="L302" t="n">
        <v>0</v>
      </c>
      <c r="M302" t="n">
        <v>0</v>
      </c>
      <c r="N302" t="n">
        <v>0</v>
      </c>
      <c r="O302" t="n">
        <v>0</v>
      </c>
      <c r="P302" t="n">
        <v>0</v>
      </c>
      <c r="Q302" t="n">
        <v>0</v>
      </c>
      <c r="R302" s="2" t="inlineStr"/>
    </row>
    <row r="303" ht="15" customHeight="1">
      <c r="A303" t="inlineStr">
        <is>
          <t>A 20150-2024</t>
        </is>
      </c>
      <c r="B303" s="1" t="n">
        <v>45434.57969907407</v>
      </c>
      <c r="C303" s="1" t="n">
        <v>45886</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58208-2024</t>
        </is>
      </c>
      <c r="B304" s="1" t="n">
        <v>45632</v>
      </c>
      <c r="C304" s="1" t="n">
        <v>45886</v>
      </c>
      <c r="D304" t="inlineStr">
        <is>
          <t>ÖREBRO LÄN</t>
        </is>
      </c>
      <c r="E304" t="inlineStr">
        <is>
          <t>ÖREBRO</t>
        </is>
      </c>
      <c r="G304" t="n">
        <v>3.1</v>
      </c>
      <c r="H304" t="n">
        <v>0</v>
      </c>
      <c r="I304" t="n">
        <v>0</v>
      </c>
      <c r="J304" t="n">
        <v>0</v>
      </c>
      <c r="K304" t="n">
        <v>0</v>
      </c>
      <c r="L304" t="n">
        <v>0</v>
      </c>
      <c r="M304" t="n">
        <v>0</v>
      </c>
      <c r="N304" t="n">
        <v>0</v>
      </c>
      <c r="O304" t="n">
        <v>0</v>
      </c>
      <c r="P304" t="n">
        <v>0</v>
      </c>
      <c r="Q304" t="n">
        <v>0</v>
      </c>
      <c r="R304" s="2" t="inlineStr"/>
    </row>
    <row r="305" ht="15" customHeight="1">
      <c r="A305" t="inlineStr">
        <is>
          <t>A 19388-2024</t>
        </is>
      </c>
      <c r="B305" s="1" t="n">
        <v>45429.37775462963</v>
      </c>
      <c r="C305" s="1" t="n">
        <v>45886</v>
      </c>
      <c r="D305" t="inlineStr">
        <is>
          <t>ÖREBRO LÄN</t>
        </is>
      </c>
      <c r="E305" t="inlineStr">
        <is>
          <t>ÖREBRO</t>
        </is>
      </c>
      <c r="G305" t="n">
        <v>4.3</v>
      </c>
      <c r="H305" t="n">
        <v>0</v>
      </c>
      <c r="I305" t="n">
        <v>0</v>
      </c>
      <c r="J305" t="n">
        <v>0</v>
      </c>
      <c r="K305" t="n">
        <v>0</v>
      </c>
      <c r="L305" t="n">
        <v>0</v>
      </c>
      <c r="M305" t="n">
        <v>0</v>
      </c>
      <c r="N305" t="n">
        <v>0</v>
      </c>
      <c r="O305" t="n">
        <v>0</v>
      </c>
      <c r="P305" t="n">
        <v>0</v>
      </c>
      <c r="Q305" t="n">
        <v>0</v>
      </c>
      <c r="R305" s="2" t="inlineStr"/>
    </row>
    <row r="306" ht="15" customHeight="1">
      <c r="A306" t="inlineStr">
        <is>
          <t>A 7506-2025</t>
        </is>
      </c>
      <c r="B306" s="1" t="n">
        <v>45705</v>
      </c>
      <c r="C306" s="1" t="n">
        <v>45886</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4344-2025</t>
        </is>
      </c>
      <c r="B307" s="1" t="n">
        <v>45685</v>
      </c>
      <c r="C307" s="1" t="n">
        <v>45886</v>
      </c>
      <c r="D307" t="inlineStr">
        <is>
          <t>ÖREBRO LÄN</t>
        </is>
      </c>
      <c r="E307" t="inlineStr">
        <is>
          <t>ÖREBRO</t>
        </is>
      </c>
      <c r="G307" t="n">
        <v>1.6</v>
      </c>
      <c r="H307" t="n">
        <v>0</v>
      </c>
      <c r="I307" t="n">
        <v>0</v>
      </c>
      <c r="J307" t="n">
        <v>0</v>
      </c>
      <c r="K307" t="n">
        <v>0</v>
      </c>
      <c r="L307" t="n">
        <v>0</v>
      </c>
      <c r="M307" t="n">
        <v>0</v>
      </c>
      <c r="N307" t="n">
        <v>0</v>
      </c>
      <c r="O307" t="n">
        <v>0</v>
      </c>
      <c r="P307" t="n">
        <v>0</v>
      </c>
      <c r="Q307" t="n">
        <v>0</v>
      </c>
      <c r="R307" s="2" t="inlineStr"/>
    </row>
    <row r="308" ht="15" customHeight="1">
      <c r="A308" t="inlineStr">
        <is>
          <t>A 16739-2023</t>
        </is>
      </c>
      <c r="B308" s="1" t="n">
        <v>45030.72627314815</v>
      </c>
      <c r="C308" s="1" t="n">
        <v>45886</v>
      </c>
      <c r="D308" t="inlineStr">
        <is>
          <t>ÖREBRO LÄN</t>
        </is>
      </c>
      <c r="E308" t="inlineStr">
        <is>
          <t>ÖREBRO</t>
        </is>
      </c>
      <c r="G308" t="n">
        <v>1.2</v>
      </c>
      <c r="H308" t="n">
        <v>0</v>
      </c>
      <c r="I308" t="n">
        <v>0</v>
      </c>
      <c r="J308" t="n">
        <v>0</v>
      </c>
      <c r="K308" t="n">
        <v>0</v>
      </c>
      <c r="L308" t="n">
        <v>0</v>
      </c>
      <c r="M308" t="n">
        <v>0</v>
      </c>
      <c r="N308" t="n">
        <v>0</v>
      </c>
      <c r="O308" t="n">
        <v>0</v>
      </c>
      <c r="P308" t="n">
        <v>0</v>
      </c>
      <c r="Q308" t="n">
        <v>0</v>
      </c>
      <c r="R308" s="2" t="inlineStr"/>
    </row>
    <row r="309" ht="15" customHeight="1">
      <c r="A309" t="inlineStr">
        <is>
          <t>A 2771-2023</t>
        </is>
      </c>
      <c r="B309" s="1" t="n">
        <v>44944.64704861111</v>
      </c>
      <c r="C309" s="1" t="n">
        <v>45886</v>
      </c>
      <c r="D309" t="inlineStr">
        <is>
          <t>ÖREBRO LÄN</t>
        </is>
      </c>
      <c r="E309" t="inlineStr">
        <is>
          <t>ÖREBRO</t>
        </is>
      </c>
      <c r="G309" t="n">
        <v>15.4</v>
      </c>
      <c r="H309" t="n">
        <v>0</v>
      </c>
      <c r="I309" t="n">
        <v>0</v>
      </c>
      <c r="J309" t="n">
        <v>0</v>
      </c>
      <c r="K309" t="n">
        <v>0</v>
      </c>
      <c r="L309" t="n">
        <v>0</v>
      </c>
      <c r="M309" t="n">
        <v>0</v>
      </c>
      <c r="N309" t="n">
        <v>0</v>
      </c>
      <c r="O309" t="n">
        <v>0</v>
      </c>
      <c r="P309" t="n">
        <v>0</v>
      </c>
      <c r="Q309" t="n">
        <v>0</v>
      </c>
      <c r="R309" s="2" t="inlineStr"/>
    </row>
    <row r="310" ht="15" customHeight="1">
      <c r="A310" t="inlineStr">
        <is>
          <t>A 16300-2022</t>
        </is>
      </c>
      <c r="B310" s="1" t="n">
        <v>44670</v>
      </c>
      <c r="C310" s="1" t="n">
        <v>45886</v>
      </c>
      <c r="D310" t="inlineStr">
        <is>
          <t>ÖREBRO LÄN</t>
        </is>
      </c>
      <c r="E310" t="inlineStr">
        <is>
          <t>ÖREBRO</t>
        </is>
      </c>
      <c r="G310" t="n">
        <v>0.8</v>
      </c>
      <c r="H310" t="n">
        <v>0</v>
      </c>
      <c r="I310" t="n">
        <v>0</v>
      </c>
      <c r="J310" t="n">
        <v>0</v>
      </c>
      <c r="K310" t="n">
        <v>0</v>
      </c>
      <c r="L310" t="n">
        <v>0</v>
      </c>
      <c r="M310" t="n">
        <v>0</v>
      </c>
      <c r="N310" t="n">
        <v>0</v>
      </c>
      <c r="O310" t="n">
        <v>0</v>
      </c>
      <c r="P310" t="n">
        <v>0</v>
      </c>
      <c r="Q310" t="n">
        <v>0</v>
      </c>
      <c r="R310" s="2" t="inlineStr"/>
    </row>
    <row r="311" ht="15" customHeight="1">
      <c r="A311" t="inlineStr">
        <is>
          <t>A 16958-2022</t>
        </is>
      </c>
      <c r="B311" s="1" t="n">
        <v>44676.50481481481</v>
      </c>
      <c r="C311" s="1" t="n">
        <v>45886</v>
      </c>
      <c r="D311" t="inlineStr">
        <is>
          <t>ÖREBRO LÄN</t>
        </is>
      </c>
      <c r="E311" t="inlineStr">
        <is>
          <t>ÖREBRO</t>
        </is>
      </c>
      <c r="G311" t="n">
        <v>3.1</v>
      </c>
      <c r="H311" t="n">
        <v>0</v>
      </c>
      <c r="I311" t="n">
        <v>0</v>
      </c>
      <c r="J311" t="n">
        <v>0</v>
      </c>
      <c r="K311" t="n">
        <v>0</v>
      </c>
      <c r="L311" t="n">
        <v>0</v>
      </c>
      <c r="M311" t="n">
        <v>0</v>
      </c>
      <c r="N311" t="n">
        <v>0</v>
      </c>
      <c r="O311" t="n">
        <v>0</v>
      </c>
      <c r="P311" t="n">
        <v>0</v>
      </c>
      <c r="Q311" t="n">
        <v>0</v>
      </c>
      <c r="R311" s="2" t="inlineStr"/>
    </row>
    <row r="312" ht="15" customHeight="1">
      <c r="A312" t="inlineStr">
        <is>
          <t>A 55472-2023</t>
        </is>
      </c>
      <c r="B312" s="1" t="n">
        <v>45238</v>
      </c>
      <c r="C312" s="1" t="n">
        <v>45886</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35062-2025</t>
        </is>
      </c>
      <c r="B313" s="1" t="n">
        <v>45852</v>
      </c>
      <c r="C313" s="1" t="n">
        <v>45886</v>
      </c>
      <c r="D313" t="inlineStr">
        <is>
          <t>ÖREBRO LÄN</t>
        </is>
      </c>
      <c r="E313" t="inlineStr">
        <is>
          <t>ÖREBRO</t>
        </is>
      </c>
      <c r="G313" t="n">
        <v>2.8</v>
      </c>
      <c r="H313" t="n">
        <v>0</v>
      </c>
      <c r="I313" t="n">
        <v>0</v>
      </c>
      <c r="J313" t="n">
        <v>0</v>
      </c>
      <c r="K313" t="n">
        <v>0</v>
      </c>
      <c r="L313" t="n">
        <v>0</v>
      </c>
      <c r="M313" t="n">
        <v>0</v>
      </c>
      <c r="N313" t="n">
        <v>0</v>
      </c>
      <c r="O313" t="n">
        <v>0</v>
      </c>
      <c r="P313" t="n">
        <v>0</v>
      </c>
      <c r="Q313" t="n">
        <v>0</v>
      </c>
      <c r="R313" s="2" t="inlineStr"/>
    </row>
    <row r="314" ht="15" customHeight="1">
      <c r="A314" t="inlineStr">
        <is>
          <t>A 27220-2025</t>
        </is>
      </c>
      <c r="B314" s="1" t="n">
        <v>45812.42293981482</v>
      </c>
      <c r="C314" s="1" t="n">
        <v>45886</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12017-2024</t>
        </is>
      </c>
      <c r="B315" s="1" t="n">
        <v>45377</v>
      </c>
      <c r="C315" s="1" t="n">
        <v>45886</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54925-2023</t>
        </is>
      </c>
      <c r="B316" s="1" t="n">
        <v>45229</v>
      </c>
      <c r="C316" s="1" t="n">
        <v>45886</v>
      </c>
      <c r="D316" t="inlineStr">
        <is>
          <t>ÖREBRO LÄN</t>
        </is>
      </c>
      <c r="E316" t="inlineStr">
        <is>
          <t>ÖREBRO</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8568-2021</t>
        </is>
      </c>
      <c r="B317" s="1" t="n">
        <v>44245</v>
      </c>
      <c r="C317" s="1" t="n">
        <v>45886</v>
      </c>
      <c r="D317" t="inlineStr">
        <is>
          <t>ÖREBRO LÄN</t>
        </is>
      </c>
      <c r="E317" t="inlineStr">
        <is>
          <t>ÖREBRO</t>
        </is>
      </c>
      <c r="G317" t="n">
        <v>4.8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45886</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56077-2022</t>
        </is>
      </c>
      <c r="B319" s="1" t="n">
        <v>44889.60872685185</v>
      </c>
      <c r="C319" s="1" t="n">
        <v>45886</v>
      </c>
      <c r="D319" t="inlineStr">
        <is>
          <t>ÖREBRO LÄN</t>
        </is>
      </c>
      <c r="E319" t="inlineStr">
        <is>
          <t>ÖREBRO</t>
        </is>
      </c>
      <c r="F319" t="inlineStr">
        <is>
          <t>Övriga Aktiebolag</t>
        </is>
      </c>
      <c r="G319" t="n">
        <v>2.5</v>
      </c>
      <c r="H319" t="n">
        <v>0</v>
      </c>
      <c r="I319" t="n">
        <v>0</v>
      </c>
      <c r="J319" t="n">
        <v>0</v>
      </c>
      <c r="K319" t="n">
        <v>0</v>
      </c>
      <c r="L319" t="n">
        <v>0</v>
      </c>
      <c r="M319" t="n">
        <v>0</v>
      </c>
      <c r="N319" t="n">
        <v>0</v>
      </c>
      <c r="O319" t="n">
        <v>0</v>
      </c>
      <c r="P319" t="n">
        <v>0</v>
      </c>
      <c r="Q319" t="n">
        <v>0</v>
      </c>
      <c r="R319" s="2" t="inlineStr"/>
    </row>
    <row r="320" ht="15" customHeight="1">
      <c r="A320" t="inlineStr">
        <is>
          <t>A 18662-2025</t>
        </is>
      </c>
      <c r="B320" s="1" t="n">
        <v>45763.5877662037</v>
      </c>
      <c r="C320" s="1" t="n">
        <v>45886</v>
      </c>
      <c r="D320" t="inlineStr">
        <is>
          <t>ÖREBRO LÄN</t>
        </is>
      </c>
      <c r="E320" t="inlineStr">
        <is>
          <t>ÖREBRO</t>
        </is>
      </c>
      <c r="G320" t="n">
        <v>1.9</v>
      </c>
      <c r="H320" t="n">
        <v>0</v>
      </c>
      <c r="I320" t="n">
        <v>0</v>
      </c>
      <c r="J320" t="n">
        <v>0</v>
      </c>
      <c r="K320" t="n">
        <v>0</v>
      </c>
      <c r="L320" t="n">
        <v>0</v>
      </c>
      <c r="M320" t="n">
        <v>0</v>
      </c>
      <c r="N320" t="n">
        <v>0</v>
      </c>
      <c r="O320" t="n">
        <v>0</v>
      </c>
      <c r="P320" t="n">
        <v>0</v>
      </c>
      <c r="Q320" t="n">
        <v>0</v>
      </c>
      <c r="R320" s="2" t="inlineStr"/>
    </row>
    <row r="321" ht="15" customHeight="1">
      <c r="A321" t="inlineStr">
        <is>
          <t>A 27180-2025</t>
        </is>
      </c>
      <c r="B321" s="1" t="n">
        <v>45812.35736111111</v>
      </c>
      <c r="C321" s="1" t="n">
        <v>45886</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27215-2025</t>
        </is>
      </c>
      <c r="B322" s="1" t="n">
        <v>45812.41869212963</v>
      </c>
      <c r="C322" s="1" t="n">
        <v>45886</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27225-2025</t>
        </is>
      </c>
      <c r="B323" s="1" t="n">
        <v>45812.42856481481</v>
      </c>
      <c r="C323" s="1" t="n">
        <v>45886</v>
      </c>
      <c r="D323" t="inlineStr">
        <is>
          <t>ÖREBRO LÄN</t>
        </is>
      </c>
      <c r="E323" t="inlineStr">
        <is>
          <t>ÖREBRO</t>
        </is>
      </c>
      <c r="G323" t="n">
        <v>4</v>
      </c>
      <c r="H323" t="n">
        <v>0</v>
      </c>
      <c r="I323" t="n">
        <v>0</v>
      </c>
      <c r="J323" t="n">
        <v>0</v>
      </c>
      <c r="K323" t="n">
        <v>0</v>
      </c>
      <c r="L323" t="n">
        <v>0</v>
      </c>
      <c r="M323" t="n">
        <v>0</v>
      </c>
      <c r="N323" t="n">
        <v>0</v>
      </c>
      <c r="O323" t="n">
        <v>0</v>
      </c>
      <c r="P323" t="n">
        <v>0</v>
      </c>
      <c r="Q323" t="n">
        <v>0</v>
      </c>
      <c r="R323" s="2" t="inlineStr"/>
    </row>
    <row r="324" ht="15" customHeight="1">
      <c r="A324" t="inlineStr">
        <is>
          <t>A 9609-2023</t>
        </is>
      </c>
      <c r="B324" s="1" t="n">
        <v>44983.93344907407</v>
      </c>
      <c r="C324" s="1" t="n">
        <v>45886</v>
      </c>
      <c r="D324" t="inlineStr">
        <is>
          <t>ÖREBRO LÄN</t>
        </is>
      </c>
      <c r="E324" t="inlineStr">
        <is>
          <t>ÖREBRO</t>
        </is>
      </c>
      <c r="G324" t="n">
        <v>2</v>
      </c>
      <c r="H324" t="n">
        <v>0</v>
      </c>
      <c r="I324" t="n">
        <v>0</v>
      </c>
      <c r="J324" t="n">
        <v>0</v>
      </c>
      <c r="K324" t="n">
        <v>0</v>
      </c>
      <c r="L324" t="n">
        <v>0</v>
      </c>
      <c r="M324" t="n">
        <v>0</v>
      </c>
      <c r="N324" t="n">
        <v>0</v>
      </c>
      <c r="O324" t="n">
        <v>0</v>
      </c>
      <c r="P324" t="n">
        <v>0</v>
      </c>
      <c r="Q324" t="n">
        <v>0</v>
      </c>
      <c r="R324" s="2" t="inlineStr"/>
    </row>
    <row r="325" ht="15" customHeight="1">
      <c r="A325" t="inlineStr">
        <is>
          <t>A 16961-2022</t>
        </is>
      </c>
      <c r="B325" s="1" t="n">
        <v>44676</v>
      </c>
      <c r="C325" s="1" t="n">
        <v>45886</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70707-2021</t>
        </is>
      </c>
      <c r="B326" s="1" t="n">
        <v>44537</v>
      </c>
      <c r="C326" s="1" t="n">
        <v>45886</v>
      </c>
      <c r="D326" t="inlineStr">
        <is>
          <t>ÖREBRO LÄN</t>
        </is>
      </c>
      <c r="E326" t="inlineStr">
        <is>
          <t>ÖREBRO</t>
        </is>
      </c>
      <c r="G326" t="n">
        <v>13.2</v>
      </c>
      <c r="H326" t="n">
        <v>0</v>
      </c>
      <c r="I326" t="n">
        <v>0</v>
      </c>
      <c r="J326" t="n">
        <v>0</v>
      </c>
      <c r="K326" t="n">
        <v>0</v>
      </c>
      <c r="L326" t="n">
        <v>0</v>
      </c>
      <c r="M326" t="n">
        <v>0</v>
      </c>
      <c r="N326" t="n">
        <v>0</v>
      </c>
      <c r="O326" t="n">
        <v>0</v>
      </c>
      <c r="P326" t="n">
        <v>0</v>
      </c>
      <c r="Q326" t="n">
        <v>0</v>
      </c>
      <c r="R326" s="2" t="inlineStr"/>
    </row>
    <row r="327" ht="15" customHeight="1">
      <c r="A327" t="inlineStr">
        <is>
          <t>A 57243-2022</t>
        </is>
      </c>
      <c r="B327" s="1" t="n">
        <v>44895.71835648148</v>
      </c>
      <c r="C327" s="1" t="n">
        <v>45886</v>
      </c>
      <c r="D327" t="inlineStr">
        <is>
          <t>ÖREBRO LÄN</t>
        </is>
      </c>
      <c r="E327" t="inlineStr">
        <is>
          <t>ÖREBRO</t>
        </is>
      </c>
      <c r="G327" t="n">
        <v>6</v>
      </c>
      <c r="H327" t="n">
        <v>0</v>
      </c>
      <c r="I327" t="n">
        <v>0</v>
      </c>
      <c r="J327" t="n">
        <v>0</v>
      </c>
      <c r="K327" t="n">
        <v>0</v>
      </c>
      <c r="L327" t="n">
        <v>0</v>
      </c>
      <c r="M327" t="n">
        <v>0</v>
      </c>
      <c r="N327" t="n">
        <v>0</v>
      </c>
      <c r="O327" t="n">
        <v>0</v>
      </c>
      <c r="P327" t="n">
        <v>0</v>
      </c>
      <c r="Q327" t="n">
        <v>0</v>
      </c>
      <c r="R327" s="2" t="inlineStr"/>
    </row>
    <row r="328" ht="15" customHeight="1">
      <c r="A328" t="inlineStr">
        <is>
          <t>A 58621-2024</t>
        </is>
      </c>
      <c r="B328" s="1" t="n">
        <v>45635.56321759259</v>
      </c>
      <c r="C328" s="1" t="n">
        <v>45886</v>
      </c>
      <c r="D328" t="inlineStr">
        <is>
          <t>ÖREBRO LÄN</t>
        </is>
      </c>
      <c r="E328" t="inlineStr">
        <is>
          <t>ÖREBRO</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58216-2024</t>
        </is>
      </c>
      <c r="B329" s="1" t="n">
        <v>45632</v>
      </c>
      <c r="C329" s="1" t="n">
        <v>45886</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15424-2022</t>
        </is>
      </c>
      <c r="B330" s="1" t="n">
        <v>44659</v>
      </c>
      <c r="C330" s="1" t="n">
        <v>45886</v>
      </c>
      <c r="D330" t="inlineStr">
        <is>
          <t>ÖREBRO LÄN</t>
        </is>
      </c>
      <c r="E330" t="inlineStr">
        <is>
          <t>ÖREBRO</t>
        </is>
      </c>
      <c r="G330" t="n">
        <v>2.2</v>
      </c>
      <c r="H330" t="n">
        <v>0</v>
      </c>
      <c r="I330" t="n">
        <v>0</v>
      </c>
      <c r="J330" t="n">
        <v>0</v>
      </c>
      <c r="K330" t="n">
        <v>0</v>
      </c>
      <c r="L330" t="n">
        <v>0</v>
      </c>
      <c r="M330" t="n">
        <v>0</v>
      </c>
      <c r="N330" t="n">
        <v>0</v>
      </c>
      <c r="O330" t="n">
        <v>0</v>
      </c>
      <c r="P330" t="n">
        <v>0</v>
      </c>
      <c r="Q330" t="n">
        <v>0</v>
      </c>
      <c r="R330" s="2" t="inlineStr"/>
    </row>
    <row r="331" ht="15" customHeight="1">
      <c r="A331" t="inlineStr">
        <is>
          <t>A 28120-2025</t>
        </is>
      </c>
      <c r="B331" s="1" t="n">
        <v>45818.30459490741</v>
      </c>
      <c r="C331" s="1" t="n">
        <v>45886</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37012-2024</t>
        </is>
      </c>
      <c r="B332" s="1" t="n">
        <v>45539</v>
      </c>
      <c r="C332" s="1" t="n">
        <v>45886</v>
      </c>
      <c r="D332" t="inlineStr">
        <is>
          <t>ÖREBRO LÄN</t>
        </is>
      </c>
      <c r="E332" t="inlineStr">
        <is>
          <t>ÖREBRO</t>
        </is>
      </c>
      <c r="G332" t="n">
        <v>4.1</v>
      </c>
      <c r="H332" t="n">
        <v>0</v>
      </c>
      <c r="I332" t="n">
        <v>0</v>
      </c>
      <c r="J332" t="n">
        <v>0</v>
      </c>
      <c r="K332" t="n">
        <v>0</v>
      </c>
      <c r="L332" t="n">
        <v>0</v>
      </c>
      <c r="M332" t="n">
        <v>0</v>
      </c>
      <c r="N332" t="n">
        <v>0</v>
      </c>
      <c r="O332" t="n">
        <v>0</v>
      </c>
      <c r="P332" t="n">
        <v>0</v>
      </c>
      <c r="Q332" t="n">
        <v>0</v>
      </c>
      <c r="R332" s="2" t="inlineStr"/>
    </row>
    <row r="333" ht="15" customHeight="1">
      <c r="A333" t="inlineStr">
        <is>
          <t>A 37020-2024</t>
        </is>
      </c>
      <c r="B333" s="1" t="n">
        <v>45539.38059027777</v>
      </c>
      <c r="C333" s="1" t="n">
        <v>45886</v>
      </c>
      <c r="D333" t="inlineStr">
        <is>
          <t>ÖREBRO LÄN</t>
        </is>
      </c>
      <c r="E333" t="inlineStr">
        <is>
          <t>ÖREBRO</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55353-2024</t>
        </is>
      </c>
      <c r="B334" s="1" t="n">
        <v>45621.79526620371</v>
      </c>
      <c r="C334" s="1" t="n">
        <v>45886</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35637-2025</t>
        </is>
      </c>
      <c r="B335" s="1" t="n">
        <v>45859.46859953704</v>
      </c>
      <c r="C335" s="1" t="n">
        <v>45886</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541-2025</t>
        </is>
      </c>
      <c r="B336" s="1" t="n">
        <v>45664.52034722222</v>
      </c>
      <c r="C336" s="1" t="n">
        <v>45886</v>
      </c>
      <c r="D336" t="inlineStr">
        <is>
          <t>ÖREBRO LÄN</t>
        </is>
      </c>
      <c r="E336" t="inlineStr">
        <is>
          <t>ÖREBRO</t>
        </is>
      </c>
      <c r="G336" t="n">
        <v>2.2</v>
      </c>
      <c r="H336" t="n">
        <v>0</v>
      </c>
      <c r="I336" t="n">
        <v>0</v>
      </c>
      <c r="J336" t="n">
        <v>0</v>
      </c>
      <c r="K336" t="n">
        <v>0</v>
      </c>
      <c r="L336" t="n">
        <v>0</v>
      </c>
      <c r="M336" t="n">
        <v>0</v>
      </c>
      <c r="N336" t="n">
        <v>0</v>
      </c>
      <c r="O336" t="n">
        <v>0</v>
      </c>
      <c r="P336" t="n">
        <v>0</v>
      </c>
      <c r="Q336" t="n">
        <v>0</v>
      </c>
      <c r="R336" s="2" t="inlineStr"/>
    </row>
    <row r="337" ht="15" customHeight="1">
      <c r="A337" t="inlineStr">
        <is>
          <t>A 13700-2024</t>
        </is>
      </c>
      <c r="B337" s="1" t="n">
        <v>45390.59277777778</v>
      </c>
      <c r="C337" s="1" t="n">
        <v>45886</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19553-2023</t>
        </is>
      </c>
      <c r="B338" s="1" t="n">
        <v>45050</v>
      </c>
      <c r="C338" s="1" t="n">
        <v>45886</v>
      </c>
      <c r="D338" t="inlineStr">
        <is>
          <t>ÖREBRO LÄN</t>
        </is>
      </c>
      <c r="E338" t="inlineStr">
        <is>
          <t>ÖREBRO</t>
        </is>
      </c>
      <c r="G338" t="n">
        <v>2.1</v>
      </c>
      <c r="H338" t="n">
        <v>0</v>
      </c>
      <c r="I338" t="n">
        <v>0</v>
      </c>
      <c r="J338" t="n">
        <v>0</v>
      </c>
      <c r="K338" t="n">
        <v>0</v>
      </c>
      <c r="L338" t="n">
        <v>0</v>
      </c>
      <c r="M338" t="n">
        <v>0</v>
      </c>
      <c r="N338" t="n">
        <v>0</v>
      </c>
      <c r="O338" t="n">
        <v>0</v>
      </c>
      <c r="P338" t="n">
        <v>0</v>
      </c>
      <c r="Q338" t="n">
        <v>0</v>
      </c>
      <c r="R338" s="2" t="inlineStr"/>
    </row>
    <row r="339" ht="15" customHeight="1">
      <c r="A339" t="inlineStr">
        <is>
          <t>A 37025-2024</t>
        </is>
      </c>
      <c r="B339" s="1" t="n">
        <v>45539.3840162037</v>
      </c>
      <c r="C339" s="1" t="n">
        <v>45886</v>
      </c>
      <c r="D339" t="inlineStr">
        <is>
          <t>ÖREBRO LÄN</t>
        </is>
      </c>
      <c r="E339" t="inlineStr">
        <is>
          <t>ÖREBRO</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37027-2024</t>
        </is>
      </c>
      <c r="B340" s="1" t="n">
        <v>45539.38487268519</v>
      </c>
      <c r="C340" s="1" t="n">
        <v>45886</v>
      </c>
      <c r="D340" t="inlineStr">
        <is>
          <t>ÖREBRO LÄN</t>
        </is>
      </c>
      <c r="E340" t="inlineStr">
        <is>
          <t>ÖREBRO</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23594-2023</t>
        </is>
      </c>
      <c r="B341" s="1" t="n">
        <v>45077</v>
      </c>
      <c r="C341" s="1" t="n">
        <v>45886</v>
      </c>
      <c r="D341" t="inlineStr">
        <is>
          <t>ÖREBRO LÄN</t>
        </is>
      </c>
      <c r="E341" t="inlineStr">
        <is>
          <t>ÖREBRO</t>
        </is>
      </c>
      <c r="G341" t="n">
        <v>9.9</v>
      </c>
      <c r="H341" t="n">
        <v>0</v>
      </c>
      <c r="I341" t="n">
        <v>0</v>
      </c>
      <c r="J341" t="n">
        <v>0</v>
      </c>
      <c r="K341" t="n">
        <v>0</v>
      </c>
      <c r="L341" t="n">
        <v>0</v>
      </c>
      <c r="M341" t="n">
        <v>0</v>
      </c>
      <c r="N341" t="n">
        <v>0</v>
      </c>
      <c r="O341" t="n">
        <v>0</v>
      </c>
      <c r="P341" t="n">
        <v>0</v>
      </c>
      <c r="Q341" t="n">
        <v>0</v>
      </c>
      <c r="R341" s="2" t="inlineStr"/>
    </row>
    <row r="342" ht="15" customHeight="1">
      <c r="A342" t="inlineStr">
        <is>
          <t>A 8022-2022</t>
        </is>
      </c>
      <c r="B342" s="1" t="n">
        <v>44609</v>
      </c>
      <c r="C342" s="1" t="n">
        <v>45886</v>
      </c>
      <c r="D342" t="inlineStr">
        <is>
          <t>ÖREBRO LÄN</t>
        </is>
      </c>
      <c r="E342" t="inlineStr">
        <is>
          <t>ÖREBRO</t>
        </is>
      </c>
      <c r="G342" t="n">
        <v>5.6</v>
      </c>
      <c r="H342" t="n">
        <v>0</v>
      </c>
      <c r="I342" t="n">
        <v>0</v>
      </c>
      <c r="J342" t="n">
        <v>0</v>
      </c>
      <c r="K342" t="n">
        <v>0</v>
      </c>
      <c r="L342" t="n">
        <v>0</v>
      </c>
      <c r="M342" t="n">
        <v>0</v>
      </c>
      <c r="N342" t="n">
        <v>0</v>
      </c>
      <c r="O342" t="n">
        <v>0</v>
      </c>
      <c r="P342" t="n">
        <v>0</v>
      </c>
      <c r="Q342" t="n">
        <v>0</v>
      </c>
      <c r="R342" s="2" t="inlineStr"/>
    </row>
    <row r="343" ht="15" customHeight="1">
      <c r="A343" t="inlineStr">
        <is>
          <t>A 47193-2023</t>
        </is>
      </c>
      <c r="B343" s="1" t="n">
        <v>45202.3074537037</v>
      </c>
      <c r="C343" s="1" t="n">
        <v>45886</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3659-2025</t>
        </is>
      </c>
      <c r="B344" s="1" t="n">
        <v>45681</v>
      </c>
      <c r="C344" s="1" t="n">
        <v>45886</v>
      </c>
      <c r="D344" t="inlineStr">
        <is>
          <t>ÖREBRO LÄN</t>
        </is>
      </c>
      <c r="E344" t="inlineStr">
        <is>
          <t>ÖREBRO</t>
        </is>
      </c>
      <c r="G344" t="n">
        <v>15.8</v>
      </c>
      <c r="H344" t="n">
        <v>0</v>
      </c>
      <c r="I344" t="n">
        <v>0</v>
      </c>
      <c r="J344" t="n">
        <v>0</v>
      </c>
      <c r="K344" t="n">
        <v>0</v>
      </c>
      <c r="L344" t="n">
        <v>0</v>
      </c>
      <c r="M344" t="n">
        <v>0</v>
      </c>
      <c r="N344" t="n">
        <v>0</v>
      </c>
      <c r="O344" t="n">
        <v>0</v>
      </c>
      <c r="P344" t="n">
        <v>0</v>
      </c>
      <c r="Q344" t="n">
        <v>0</v>
      </c>
      <c r="R344" s="2" t="inlineStr"/>
    </row>
    <row r="345" ht="15" customHeight="1">
      <c r="A345" t="inlineStr">
        <is>
          <t>A 1014-2024</t>
        </is>
      </c>
      <c r="B345" s="1" t="n">
        <v>45301</v>
      </c>
      <c r="C345" s="1" t="n">
        <v>45886</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28824-2025</t>
        </is>
      </c>
      <c r="B346" s="1" t="n">
        <v>45820</v>
      </c>
      <c r="C346" s="1" t="n">
        <v>45886</v>
      </c>
      <c r="D346" t="inlineStr">
        <is>
          <t>ÖREBRO LÄN</t>
        </is>
      </c>
      <c r="E346" t="inlineStr">
        <is>
          <t>ÖREBRO</t>
        </is>
      </c>
      <c r="G346" t="n">
        <v>2.5</v>
      </c>
      <c r="H346" t="n">
        <v>0</v>
      </c>
      <c r="I346" t="n">
        <v>0</v>
      </c>
      <c r="J346" t="n">
        <v>0</v>
      </c>
      <c r="K346" t="n">
        <v>0</v>
      </c>
      <c r="L346" t="n">
        <v>0</v>
      </c>
      <c r="M346" t="n">
        <v>0</v>
      </c>
      <c r="N346" t="n">
        <v>0</v>
      </c>
      <c r="O346" t="n">
        <v>0</v>
      </c>
      <c r="P346" t="n">
        <v>0</v>
      </c>
      <c r="Q346" t="n">
        <v>0</v>
      </c>
      <c r="R346" s="2" t="inlineStr"/>
    </row>
    <row r="347" ht="15" customHeight="1">
      <c r="A347" t="inlineStr">
        <is>
          <t>A 28938-2025</t>
        </is>
      </c>
      <c r="B347" s="1" t="n">
        <v>45820.70626157407</v>
      </c>
      <c r="C347" s="1" t="n">
        <v>45886</v>
      </c>
      <c r="D347" t="inlineStr">
        <is>
          <t>ÖREBRO LÄN</t>
        </is>
      </c>
      <c r="E347" t="inlineStr">
        <is>
          <t>ÖREBRO</t>
        </is>
      </c>
      <c r="G347" t="n">
        <v>1.9</v>
      </c>
      <c r="H347" t="n">
        <v>0</v>
      </c>
      <c r="I347" t="n">
        <v>0</v>
      </c>
      <c r="J347" t="n">
        <v>0</v>
      </c>
      <c r="K347" t="n">
        <v>0</v>
      </c>
      <c r="L347" t="n">
        <v>0</v>
      </c>
      <c r="M347" t="n">
        <v>0</v>
      </c>
      <c r="N347" t="n">
        <v>0</v>
      </c>
      <c r="O347" t="n">
        <v>0</v>
      </c>
      <c r="P347" t="n">
        <v>0</v>
      </c>
      <c r="Q347" t="n">
        <v>0</v>
      </c>
      <c r="R347" s="2" t="inlineStr"/>
    </row>
    <row r="348" ht="15" customHeight="1">
      <c r="A348" t="inlineStr">
        <is>
          <t>A 58598-2022</t>
        </is>
      </c>
      <c r="B348" s="1" t="n">
        <v>44902</v>
      </c>
      <c r="C348" s="1" t="n">
        <v>45886</v>
      </c>
      <c r="D348" t="inlineStr">
        <is>
          <t>ÖREBRO LÄN</t>
        </is>
      </c>
      <c r="E348" t="inlineStr">
        <is>
          <t>ÖREBRO</t>
        </is>
      </c>
      <c r="G348" t="n">
        <v>0.4</v>
      </c>
      <c r="H348" t="n">
        <v>0</v>
      </c>
      <c r="I348" t="n">
        <v>0</v>
      </c>
      <c r="J348" t="n">
        <v>0</v>
      </c>
      <c r="K348" t="n">
        <v>0</v>
      </c>
      <c r="L348" t="n">
        <v>0</v>
      </c>
      <c r="M348" t="n">
        <v>0</v>
      </c>
      <c r="N348" t="n">
        <v>0</v>
      </c>
      <c r="O348" t="n">
        <v>0</v>
      </c>
      <c r="P348" t="n">
        <v>0</v>
      </c>
      <c r="Q348" t="n">
        <v>0</v>
      </c>
      <c r="R348" s="2" t="inlineStr"/>
    </row>
    <row r="349" ht="15" customHeight="1">
      <c r="A349" t="inlineStr">
        <is>
          <t>A 8374-2021</t>
        </is>
      </c>
      <c r="B349" s="1" t="n">
        <v>44244</v>
      </c>
      <c r="C349" s="1" t="n">
        <v>45886</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28920-2025</t>
        </is>
      </c>
      <c r="B350" s="1" t="n">
        <v>45820.66532407407</v>
      </c>
      <c r="C350" s="1" t="n">
        <v>45886</v>
      </c>
      <c r="D350" t="inlineStr">
        <is>
          <t>ÖREBRO LÄN</t>
        </is>
      </c>
      <c r="E350" t="inlineStr">
        <is>
          <t>ÖREBRO</t>
        </is>
      </c>
      <c r="G350" t="n">
        <v>3</v>
      </c>
      <c r="H350" t="n">
        <v>0</v>
      </c>
      <c r="I350" t="n">
        <v>0</v>
      </c>
      <c r="J350" t="n">
        <v>0</v>
      </c>
      <c r="K350" t="n">
        <v>0</v>
      </c>
      <c r="L350" t="n">
        <v>0</v>
      </c>
      <c r="M350" t="n">
        <v>0</v>
      </c>
      <c r="N350" t="n">
        <v>0</v>
      </c>
      <c r="O350" t="n">
        <v>0</v>
      </c>
      <c r="P350" t="n">
        <v>0</v>
      </c>
      <c r="Q350" t="n">
        <v>0</v>
      </c>
      <c r="R350" s="2" t="inlineStr"/>
    </row>
    <row r="351" ht="15" customHeight="1">
      <c r="A351" t="inlineStr">
        <is>
          <t>A 29286-2025</t>
        </is>
      </c>
      <c r="B351" s="1" t="n">
        <v>45824.43502314815</v>
      </c>
      <c r="C351" s="1" t="n">
        <v>45886</v>
      </c>
      <c r="D351" t="inlineStr">
        <is>
          <t>ÖREBRO LÄN</t>
        </is>
      </c>
      <c r="E351" t="inlineStr">
        <is>
          <t>ÖREBRO</t>
        </is>
      </c>
      <c r="G351" t="n">
        <v>1.2</v>
      </c>
      <c r="H351" t="n">
        <v>0</v>
      </c>
      <c r="I351" t="n">
        <v>0</v>
      </c>
      <c r="J351" t="n">
        <v>0</v>
      </c>
      <c r="K351" t="n">
        <v>0</v>
      </c>
      <c r="L351" t="n">
        <v>0</v>
      </c>
      <c r="M351" t="n">
        <v>0</v>
      </c>
      <c r="N351" t="n">
        <v>0</v>
      </c>
      <c r="O351" t="n">
        <v>0</v>
      </c>
      <c r="P351" t="n">
        <v>0</v>
      </c>
      <c r="Q351" t="n">
        <v>0</v>
      </c>
      <c r="R351" s="2" t="inlineStr"/>
    </row>
    <row r="352" ht="15" customHeight="1">
      <c r="A352" t="inlineStr">
        <is>
          <t>A 35928-2025</t>
        </is>
      </c>
      <c r="B352" s="1" t="n">
        <v>45862</v>
      </c>
      <c r="C352" s="1" t="n">
        <v>45886</v>
      </c>
      <c r="D352" t="inlineStr">
        <is>
          <t>ÖREBRO LÄN</t>
        </is>
      </c>
      <c r="E352" t="inlineStr">
        <is>
          <t>ÖREBRO</t>
        </is>
      </c>
      <c r="G352" t="n">
        <v>4.4</v>
      </c>
      <c r="H352" t="n">
        <v>0</v>
      </c>
      <c r="I352" t="n">
        <v>0</v>
      </c>
      <c r="J352" t="n">
        <v>0</v>
      </c>
      <c r="K352" t="n">
        <v>0</v>
      </c>
      <c r="L352" t="n">
        <v>0</v>
      </c>
      <c r="M352" t="n">
        <v>0</v>
      </c>
      <c r="N352" t="n">
        <v>0</v>
      </c>
      <c r="O352" t="n">
        <v>0</v>
      </c>
      <c r="P352" t="n">
        <v>0</v>
      </c>
      <c r="Q352" t="n">
        <v>0</v>
      </c>
      <c r="R352" s="2" t="inlineStr"/>
    </row>
    <row r="353" ht="15" customHeight="1">
      <c r="A353" t="inlineStr">
        <is>
          <t>A 29339-2025</t>
        </is>
      </c>
      <c r="B353" s="1" t="n">
        <v>45824.5044212963</v>
      </c>
      <c r="C353" s="1" t="n">
        <v>45886</v>
      </c>
      <c r="D353" t="inlineStr">
        <is>
          <t>ÖREBRO LÄN</t>
        </is>
      </c>
      <c r="E353" t="inlineStr">
        <is>
          <t>ÖREBRO</t>
        </is>
      </c>
      <c r="G353" t="n">
        <v>4.3</v>
      </c>
      <c r="H353" t="n">
        <v>0</v>
      </c>
      <c r="I353" t="n">
        <v>0</v>
      </c>
      <c r="J353" t="n">
        <v>0</v>
      </c>
      <c r="K353" t="n">
        <v>0</v>
      </c>
      <c r="L353" t="n">
        <v>0</v>
      </c>
      <c r="M353" t="n">
        <v>0</v>
      </c>
      <c r="N353" t="n">
        <v>0</v>
      </c>
      <c r="O353" t="n">
        <v>0</v>
      </c>
      <c r="P353" t="n">
        <v>0</v>
      </c>
      <c r="Q353" t="n">
        <v>0</v>
      </c>
      <c r="R353" s="2" t="inlineStr"/>
    </row>
    <row r="354" ht="15" customHeight="1">
      <c r="A354" t="inlineStr">
        <is>
          <t>A 767-2024</t>
        </is>
      </c>
      <c r="B354" s="1" t="n">
        <v>45300.51892361111</v>
      </c>
      <c r="C354" s="1" t="n">
        <v>45886</v>
      </c>
      <c r="D354" t="inlineStr">
        <is>
          <t>ÖREBRO LÄN</t>
        </is>
      </c>
      <c r="E354" t="inlineStr">
        <is>
          <t>ÖREBRO</t>
        </is>
      </c>
      <c r="G354" t="n">
        <v>2</v>
      </c>
      <c r="H354" t="n">
        <v>0</v>
      </c>
      <c r="I354" t="n">
        <v>0</v>
      </c>
      <c r="J354" t="n">
        <v>0</v>
      </c>
      <c r="K354" t="n">
        <v>0</v>
      </c>
      <c r="L354" t="n">
        <v>0</v>
      </c>
      <c r="M354" t="n">
        <v>0</v>
      </c>
      <c r="N354" t="n">
        <v>0</v>
      </c>
      <c r="O354" t="n">
        <v>0</v>
      </c>
      <c r="P354" t="n">
        <v>0</v>
      </c>
      <c r="Q354" t="n">
        <v>0</v>
      </c>
      <c r="R354" s="2" t="inlineStr"/>
    </row>
    <row r="355" ht="15" customHeight="1">
      <c r="A355" t="inlineStr">
        <is>
          <t>A 71206-2021</t>
        </is>
      </c>
      <c r="B355" s="1" t="n">
        <v>44539</v>
      </c>
      <c r="C355" s="1" t="n">
        <v>45886</v>
      </c>
      <c r="D355" t="inlineStr">
        <is>
          <t>ÖREBRO LÄN</t>
        </is>
      </c>
      <c r="E355" t="inlineStr">
        <is>
          <t>ÖREBRO</t>
        </is>
      </c>
      <c r="G355" t="n">
        <v>2.5</v>
      </c>
      <c r="H355" t="n">
        <v>0</v>
      </c>
      <c r="I355" t="n">
        <v>0</v>
      </c>
      <c r="J355" t="n">
        <v>0</v>
      </c>
      <c r="K355" t="n">
        <v>0</v>
      </c>
      <c r="L355" t="n">
        <v>0</v>
      </c>
      <c r="M355" t="n">
        <v>0</v>
      </c>
      <c r="N355" t="n">
        <v>0</v>
      </c>
      <c r="O355" t="n">
        <v>0</v>
      </c>
      <c r="P355" t="n">
        <v>0</v>
      </c>
      <c r="Q355" t="n">
        <v>0</v>
      </c>
      <c r="R355" s="2" t="inlineStr"/>
    </row>
    <row r="356" ht="15" customHeight="1">
      <c r="A356" t="inlineStr">
        <is>
          <t>A 44511-2023</t>
        </is>
      </c>
      <c r="B356" s="1" t="n">
        <v>45189</v>
      </c>
      <c r="C356" s="1" t="n">
        <v>45886</v>
      </c>
      <c r="D356" t="inlineStr">
        <is>
          <t>ÖREBRO LÄN</t>
        </is>
      </c>
      <c r="E356" t="inlineStr">
        <is>
          <t>ÖREBRO</t>
        </is>
      </c>
      <c r="F356" t="inlineStr">
        <is>
          <t>Allmännings- och besparingsskogar</t>
        </is>
      </c>
      <c r="G356" t="n">
        <v>2.7</v>
      </c>
      <c r="H356" t="n">
        <v>0</v>
      </c>
      <c r="I356" t="n">
        <v>0</v>
      </c>
      <c r="J356" t="n">
        <v>0</v>
      </c>
      <c r="K356" t="n">
        <v>0</v>
      </c>
      <c r="L356" t="n">
        <v>0</v>
      </c>
      <c r="M356" t="n">
        <v>0</v>
      </c>
      <c r="N356" t="n">
        <v>0</v>
      </c>
      <c r="O356" t="n">
        <v>0</v>
      </c>
      <c r="P356" t="n">
        <v>0</v>
      </c>
      <c r="Q356" t="n">
        <v>0</v>
      </c>
      <c r="R356" s="2" t="inlineStr"/>
    </row>
    <row r="357" ht="15" customHeight="1">
      <c r="A357" t="inlineStr">
        <is>
          <t>A 53234-2023</t>
        </is>
      </c>
      <c r="B357" s="1" t="n">
        <v>45229</v>
      </c>
      <c r="C357" s="1" t="n">
        <v>45886</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8512-2025</t>
        </is>
      </c>
      <c r="B358" s="1" t="n">
        <v>45709.54873842592</v>
      </c>
      <c r="C358" s="1" t="n">
        <v>45886</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60059-2023</t>
        </is>
      </c>
      <c r="B359" s="1" t="n">
        <v>45258.38157407408</v>
      </c>
      <c r="C359" s="1" t="n">
        <v>45886</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26858-2024</t>
        </is>
      </c>
      <c r="B360" s="1" t="n">
        <v>45470</v>
      </c>
      <c r="C360" s="1" t="n">
        <v>45886</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16739-2022</t>
        </is>
      </c>
      <c r="B361" s="1" t="n">
        <v>44673</v>
      </c>
      <c r="C361" s="1" t="n">
        <v>45886</v>
      </c>
      <c r="D361" t="inlineStr">
        <is>
          <t>ÖREBRO LÄN</t>
        </is>
      </c>
      <c r="E361" t="inlineStr">
        <is>
          <t>ÖREBRO</t>
        </is>
      </c>
      <c r="G361" t="n">
        <v>4.7</v>
      </c>
      <c r="H361" t="n">
        <v>0</v>
      </c>
      <c r="I361" t="n">
        <v>0</v>
      </c>
      <c r="J361" t="n">
        <v>0</v>
      </c>
      <c r="K361" t="n">
        <v>0</v>
      </c>
      <c r="L361" t="n">
        <v>0</v>
      </c>
      <c r="M361" t="n">
        <v>0</v>
      </c>
      <c r="N361" t="n">
        <v>0</v>
      </c>
      <c r="O361" t="n">
        <v>0</v>
      </c>
      <c r="P361" t="n">
        <v>0</v>
      </c>
      <c r="Q361" t="n">
        <v>0</v>
      </c>
      <c r="R361" s="2" t="inlineStr"/>
    </row>
    <row r="362" ht="15" customHeight="1">
      <c r="A362" t="inlineStr">
        <is>
          <t>A 29701-2025</t>
        </is>
      </c>
      <c r="B362" s="1" t="n">
        <v>45825.55261574074</v>
      </c>
      <c r="C362" s="1" t="n">
        <v>45886</v>
      </c>
      <c r="D362" t="inlineStr">
        <is>
          <t>ÖREBRO LÄN</t>
        </is>
      </c>
      <c r="E362" t="inlineStr">
        <is>
          <t>ÖREBRO</t>
        </is>
      </c>
      <c r="G362" t="n">
        <v>5.8</v>
      </c>
      <c r="H362" t="n">
        <v>0</v>
      </c>
      <c r="I362" t="n">
        <v>0</v>
      </c>
      <c r="J362" t="n">
        <v>0</v>
      </c>
      <c r="K362" t="n">
        <v>0</v>
      </c>
      <c r="L362" t="n">
        <v>0</v>
      </c>
      <c r="M362" t="n">
        <v>0</v>
      </c>
      <c r="N362" t="n">
        <v>0</v>
      </c>
      <c r="O362" t="n">
        <v>0</v>
      </c>
      <c r="P362" t="n">
        <v>0</v>
      </c>
      <c r="Q362" t="n">
        <v>0</v>
      </c>
      <c r="R362" s="2" t="inlineStr"/>
    </row>
    <row r="363" ht="15" customHeight="1">
      <c r="A363" t="inlineStr">
        <is>
          <t>A 28054-2022</t>
        </is>
      </c>
      <c r="B363" s="1" t="n">
        <v>44746.41938657407</v>
      </c>
      <c r="C363" s="1" t="n">
        <v>45886</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1647-2024</t>
        </is>
      </c>
      <c r="B364" s="1" t="n">
        <v>45306</v>
      </c>
      <c r="C364" s="1" t="n">
        <v>45886</v>
      </c>
      <c r="D364" t="inlineStr">
        <is>
          <t>ÖREBRO LÄN</t>
        </is>
      </c>
      <c r="E364" t="inlineStr">
        <is>
          <t>ÖREBRO</t>
        </is>
      </c>
      <c r="G364" t="n">
        <v>1.3</v>
      </c>
      <c r="H364" t="n">
        <v>0</v>
      </c>
      <c r="I364" t="n">
        <v>0</v>
      </c>
      <c r="J364" t="n">
        <v>0</v>
      </c>
      <c r="K364" t="n">
        <v>0</v>
      </c>
      <c r="L364" t="n">
        <v>0</v>
      </c>
      <c r="M364" t="n">
        <v>0</v>
      </c>
      <c r="N364" t="n">
        <v>0</v>
      </c>
      <c r="O364" t="n">
        <v>0</v>
      </c>
      <c r="P364" t="n">
        <v>0</v>
      </c>
      <c r="Q364" t="n">
        <v>0</v>
      </c>
      <c r="R364" s="2" t="inlineStr"/>
    </row>
    <row r="365" ht="15" customHeight="1">
      <c r="A365" t="inlineStr">
        <is>
          <t>A 29554-2025</t>
        </is>
      </c>
      <c r="B365" s="1" t="n">
        <v>45825</v>
      </c>
      <c r="C365" s="1" t="n">
        <v>45886</v>
      </c>
      <c r="D365" t="inlineStr">
        <is>
          <t>ÖREBRO LÄN</t>
        </is>
      </c>
      <c r="E365" t="inlineStr">
        <is>
          <t>ÖREBRO</t>
        </is>
      </c>
      <c r="F365" t="inlineStr">
        <is>
          <t>Övriga Aktiebolag</t>
        </is>
      </c>
      <c r="G365" t="n">
        <v>1</v>
      </c>
      <c r="H365" t="n">
        <v>0</v>
      </c>
      <c r="I365" t="n">
        <v>0</v>
      </c>
      <c r="J365" t="n">
        <v>0</v>
      </c>
      <c r="K365" t="n">
        <v>0</v>
      </c>
      <c r="L365" t="n">
        <v>0</v>
      </c>
      <c r="M365" t="n">
        <v>0</v>
      </c>
      <c r="N365" t="n">
        <v>0</v>
      </c>
      <c r="O365" t="n">
        <v>0</v>
      </c>
      <c r="P365" t="n">
        <v>0</v>
      </c>
      <c r="Q365" t="n">
        <v>0</v>
      </c>
      <c r="R365" s="2" t="inlineStr"/>
    </row>
    <row r="366" ht="15" customHeight="1">
      <c r="A366" t="inlineStr">
        <is>
          <t>A 57485-2023</t>
        </is>
      </c>
      <c r="B366" s="1" t="n">
        <v>45246</v>
      </c>
      <c r="C366" s="1" t="n">
        <v>45886</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36448-2025</t>
        </is>
      </c>
      <c r="B367" s="1" t="n">
        <v>45869.41929398148</v>
      </c>
      <c r="C367" s="1" t="n">
        <v>45886</v>
      </c>
      <c r="D367" t="inlineStr">
        <is>
          <t>ÖREBRO LÄN</t>
        </is>
      </c>
      <c r="E367" t="inlineStr">
        <is>
          <t>ÖREBRO</t>
        </is>
      </c>
      <c r="F367" t="inlineStr">
        <is>
          <t>Övriga Aktiebolag</t>
        </is>
      </c>
      <c r="G367" t="n">
        <v>4.3</v>
      </c>
      <c r="H367" t="n">
        <v>0</v>
      </c>
      <c r="I367" t="n">
        <v>0</v>
      </c>
      <c r="J367" t="n">
        <v>0</v>
      </c>
      <c r="K367" t="n">
        <v>0</v>
      </c>
      <c r="L367" t="n">
        <v>0</v>
      </c>
      <c r="M367" t="n">
        <v>0</v>
      </c>
      <c r="N367" t="n">
        <v>0</v>
      </c>
      <c r="O367" t="n">
        <v>0</v>
      </c>
      <c r="P367" t="n">
        <v>0</v>
      </c>
      <c r="Q367" t="n">
        <v>0</v>
      </c>
      <c r="R367" s="2" t="inlineStr"/>
    </row>
    <row r="368" ht="15" customHeight="1">
      <c r="A368" t="inlineStr">
        <is>
          <t>A 9379-2024</t>
        </is>
      </c>
      <c r="B368" s="1" t="n">
        <v>45359.37298611111</v>
      </c>
      <c r="C368" s="1" t="n">
        <v>45886</v>
      </c>
      <c r="D368" t="inlineStr">
        <is>
          <t>ÖREBRO LÄN</t>
        </is>
      </c>
      <c r="E368" t="inlineStr">
        <is>
          <t>ÖREBRO</t>
        </is>
      </c>
      <c r="G368" t="n">
        <v>2.4</v>
      </c>
      <c r="H368" t="n">
        <v>0</v>
      </c>
      <c r="I368" t="n">
        <v>0</v>
      </c>
      <c r="J368" t="n">
        <v>0</v>
      </c>
      <c r="K368" t="n">
        <v>0</v>
      </c>
      <c r="L368" t="n">
        <v>0</v>
      </c>
      <c r="M368" t="n">
        <v>0</v>
      </c>
      <c r="N368" t="n">
        <v>0</v>
      </c>
      <c r="O368" t="n">
        <v>0</v>
      </c>
      <c r="P368" t="n">
        <v>0</v>
      </c>
      <c r="Q368" t="n">
        <v>0</v>
      </c>
      <c r="R368" s="2" t="inlineStr"/>
    </row>
    <row r="369" ht="15" customHeight="1">
      <c r="A369" t="inlineStr">
        <is>
          <t>A 58032-2023</t>
        </is>
      </c>
      <c r="B369" s="1" t="n">
        <v>45247</v>
      </c>
      <c r="C369" s="1" t="n">
        <v>45886</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58035-2023</t>
        </is>
      </c>
      <c r="B370" s="1" t="n">
        <v>45247</v>
      </c>
      <c r="C370" s="1" t="n">
        <v>45886</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5398-2022</t>
        </is>
      </c>
      <c r="B371" s="1" t="n">
        <v>44595.3353587963</v>
      </c>
      <c r="C371" s="1" t="n">
        <v>45886</v>
      </c>
      <c r="D371" t="inlineStr">
        <is>
          <t>ÖREBRO LÄN</t>
        </is>
      </c>
      <c r="E371" t="inlineStr">
        <is>
          <t>ÖREBRO</t>
        </is>
      </c>
      <c r="G371" t="n">
        <v>2.1</v>
      </c>
      <c r="H371" t="n">
        <v>0</v>
      </c>
      <c r="I371" t="n">
        <v>0</v>
      </c>
      <c r="J371" t="n">
        <v>0</v>
      </c>
      <c r="K371" t="n">
        <v>0</v>
      </c>
      <c r="L371" t="n">
        <v>0</v>
      </c>
      <c r="M371" t="n">
        <v>0</v>
      </c>
      <c r="N371" t="n">
        <v>0</v>
      </c>
      <c r="O371" t="n">
        <v>0</v>
      </c>
      <c r="P371" t="n">
        <v>0</v>
      </c>
      <c r="Q371" t="n">
        <v>0</v>
      </c>
      <c r="R371" s="2" t="inlineStr"/>
    </row>
    <row r="372" ht="15" customHeight="1">
      <c r="A372" t="inlineStr">
        <is>
          <t>A 36447-2025</t>
        </is>
      </c>
      <c r="B372" s="1" t="n">
        <v>45869.41387731482</v>
      </c>
      <c r="C372" s="1" t="n">
        <v>45886</v>
      </c>
      <c r="D372" t="inlineStr">
        <is>
          <t>ÖREBRO LÄN</t>
        </is>
      </c>
      <c r="E372" t="inlineStr">
        <is>
          <t>ÖREBRO</t>
        </is>
      </c>
      <c r="F372" t="inlineStr">
        <is>
          <t>Övriga Aktiebolag</t>
        </is>
      </c>
      <c r="G372" t="n">
        <v>12.6</v>
      </c>
      <c r="H372" t="n">
        <v>0</v>
      </c>
      <c r="I372" t="n">
        <v>0</v>
      </c>
      <c r="J372" t="n">
        <v>0</v>
      </c>
      <c r="K372" t="n">
        <v>0</v>
      </c>
      <c r="L372" t="n">
        <v>0</v>
      </c>
      <c r="M372" t="n">
        <v>0</v>
      </c>
      <c r="N372" t="n">
        <v>0</v>
      </c>
      <c r="O372" t="n">
        <v>0</v>
      </c>
      <c r="P372" t="n">
        <v>0</v>
      </c>
      <c r="Q372" t="n">
        <v>0</v>
      </c>
      <c r="R372" s="2" t="inlineStr"/>
    </row>
    <row r="373" ht="15" customHeight="1">
      <c r="A373" t="inlineStr">
        <is>
          <t>A 35829-2024</t>
        </is>
      </c>
      <c r="B373" s="1" t="n">
        <v>45532</v>
      </c>
      <c r="C373" s="1" t="n">
        <v>45886</v>
      </c>
      <c r="D373" t="inlineStr">
        <is>
          <t>ÖREBRO LÄN</t>
        </is>
      </c>
      <c r="E373" t="inlineStr">
        <is>
          <t>ÖREBRO</t>
        </is>
      </c>
      <c r="G373" t="n">
        <v>4.6</v>
      </c>
      <c r="H373" t="n">
        <v>0</v>
      </c>
      <c r="I373" t="n">
        <v>0</v>
      </c>
      <c r="J373" t="n">
        <v>0</v>
      </c>
      <c r="K373" t="n">
        <v>0</v>
      </c>
      <c r="L373" t="n">
        <v>0</v>
      </c>
      <c r="M373" t="n">
        <v>0</v>
      </c>
      <c r="N373" t="n">
        <v>0</v>
      </c>
      <c r="O373" t="n">
        <v>0</v>
      </c>
      <c r="P373" t="n">
        <v>0</v>
      </c>
      <c r="Q373" t="n">
        <v>0</v>
      </c>
      <c r="R373" s="2" t="inlineStr"/>
    </row>
    <row r="374" ht="15" customHeight="1">
      <c r="A374" t="inlineStr">
        <is>
          <t>A 35833-2024</t>
        </is>
      </c>
      <c r="B374" s="1" t="n">
        <v>45532.68699074074</v>
      </c>
      <c r="C374" s="1" t="n">
        <v>45886</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30550-2025</t>
        </is>
      </c>
      <c r="B375" s="1" t="n">
        <v>45831.38224537037</v>
      </c>
      <c r="C375" s="1" t="n">
        <v>45886</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14717-2024</t>
        </is>
      </c>
      <c r="B376" s="1" t="n">
        <v>45397.55104166667</v>
      </c>
      <c r="C376" s="1" t="n">
        <v>45886</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41995-2024</t>
        </is>
      </c>
      <c r="B377" s="1" t="n">
        <v>45561.6475462963</v>
      </c>
      <c r="C377" s="1" t="n">
        <v>45886</v>
      </c>
      <c r="D377" t="inlineStr">
        <is>
          <t>ÖREBRO LÄN</t>
        </is>
      </c>
      <c r="E377" t="inlineStr">
        <is>
          <t>ÖREBRO</t>
        </is>
      </c>
      <c r="G377" t="n">
        <v>1.3</v>
      </c>
      <c r="H377" t="n">
        <v>0</v>
      </c>
      <c r="I377" t="n">
        <v>0</v>
      </c>
      <c r="J377" t="n">
        <v>0</v>
      </c>
      <c r="K377" t="n">
        <v>0</v>
      </c>
      <c r="L377" t="n">
        <v>0</v>
      </c>
      <c r="M377" t="n">
        <v>0</v>
      </c>
      <c r="N377" t="n">
        <v>0</v>
      </c>
      <c r="O377" t="n">
        <v>0</v>
      </c>
      <c r="P377" t="n">
        <v>0</v>
      </c>
      <c r="Q377" t="n">
        <v>0</v>
      </c>
      <c r="R377" s="2" t="inlineStr"/>
    </row>
    <row r="378" ht="15" customHeight="1">
      <c r="A378" t="inlineStr">
        <is>
          <t>A 30731-2025</t>
        </is>
      </c>
      <c r="B378" s="1" t="n">
        <v>45831.57280092593</v>
      </c>
      <c r="C378" s="1" t="n">
        <v>45886</v>
      </c>
      <c r="D378" t="inlineStr">
        <is>
          <t>ÖREBRO LÄN</t>
        </is>
      </c>
      <c r="E378" t="inlineStr">
        <is>
          <t>ÖREBRO</t>
        </is>
      </c>
      <c r="G378" t="n">
        <v>1</v>
      </c>
      <c r="H378" t="n">
        <v>0</v>
      </c>
      <c r="I378" t="n">
        <v>0</v>
      </c>
      <c r="J378" t="n">
        <v>0</v>
      </c>
      <c r="K378" t="n">
        <v>0</v>
      </c>
      <c r="L378" t="n">
        <v>0</v>
      </c>
      <c r="M378" t="n">
        <v>0</v>
      </c>
      <c r="N378" t="n">
        <v>0</v>
      </c>
      <c r="O378" t="n">
        <v>0</v>
      </c>
      <c r="P378" t="n">
        <v>0</v>
      </c>
      <c r="Q378" t="n">
        <v>0</v>
      </c>
      <c r="R378" s="2" t="inlineStr"/>
    </row>
    <row r="379" ht="15" customHeight="1">
      <c r="A379" t="inlineStr">
        <is>
          <t>A 18550-2025</t>
        </is>
      </c>
      <c r="B379" s="1" t="n">
        <v>45763.43422453704</v>
      </c>
      <c r="C379" s="1" t="n">
        <v>45886</v>
      </c>
      <c r="D379" t="inlineStr">
        <is>
          <t>ÖREBRO LÄN</t>
        </is>
      </c>
      <c r="E379" t="inlineStr">
        <is>
          <t>ÖREBRO</t>
        </is>
      </c>
      <c r="G379" t="n">
        <v>11.5</v>
      </c>
      <c r="H379" t="n">
        <v>0</v>
      </c>
      <c r="I379" t="n">
        <v>0</v>
      </c>
      <c r="J379" t="n">
        <v>0</v>
      </c>
      <c r="K379" t="n">
        <v>0</v>
      </c>
      <c r="L379" t="n">
        <v>0</v>
      </c>
      <c r="M379" t="n">
        <v>0</v>
      </c>
      <c r="N379" t="n">
        <v>0</v>
      </c>
      <c r="O379" t="n">
        <v>0</v>
      </c>
      <c r="P379" t="n">
        <v>0</v>
      </c>
      <c r="Q379" t="n">
        <v>0</v>
      </c>
      <c r="R379" s="2" t="inlineStr"/>
    </row>
    <row r="380" ht="15" customHeight="1">
      <c r="A380" t="inlineStr">
        <is>
          <t>A 30951-2025</t>
        </is>
      </c>
      <c r="B380" s="1" t="n">
        <v>45832.43225694444</v>
      </c>
      <c r="C380" s="1" t="n">
        <v>45886</v>
      </c>
      <c r="D380" t="inlineStr">
        <is>
          <t>ÖREBRO LÄN</t>
        </is>
      </c>
      <c r="E380" t="inlineStr">
        <is>
          <t>ÖREBRO</t>
        </is>
      </c>
      <c r="F380" t="inlineStr">
        <is>
          <t>Övriga Aktiebolag</t>
        </is>
      </c>
      <c r="G380" t="n">
        <v>2.3</v>
      </c>
      <c r="H380" t="n">
        <v>0</v>
      </c>
      <c r="I380" t="n">
        <v>0</v>
      </c>
      <c r="J380" t="n">
        <v>0</v>
      </c>
      <c r="K380" t="n">
        <v>0</v>
      </c>
      <c r="L380" t="n">
        <v>0</v>
      </c>
      <c r="M380" t="n">
        <v>0</v>
      </c>
      <c r="N380" t="n">
        <v>0</v>
      </c>
      <c r="O380" t="n">
        <v>0</v>
      </c>
      <c r="P380" t="n">
        <v>0</v>
      </c>
      <c r="Q380" t="n">
        <v>0</v>
      </c>
      <c r="R380" s="2" t="inlineStr"/>
    </row>
    <row r="381" ht="15" customHeight="1">
      <c r="A381" t="inlineStr">
        <is>
          <t>A 16737-2023</t>
        </is>
      </c>
      <c r="B381" s="1" t="n">
        <v>45030.72472222222</v>
      </c>
      <c r="C381" s="1" t="n">
        <v>45886</v>
      </c>
      <c r="D381" t="inlineStr">
        <is>
          <t>ÖREBRO LÄN</t>
        </is>
      </c>
      <c r="E381" t="inlineStr">
        <is>
          <t>ÖREBRO</t>
        </is>
      </c>
      <c r="G381" t="n">
        <v>1.2</v>
      </c>
      <c r="H381" t="n">
        <v>0</v>
      </c>
      <c r="I381" t="n">
        <v>0</v>
      </c>
      <c r="J381" t="n">
        <v>0</v>
      </c>
      <c r="K381" t="n">
        <v>0</v>
      </c>
      <c r="L381" t="n">
        <v>0</v>
      </c>
      <c r="M381" t="n">
        <v>0</v>
      </c>
      <c r="N381" t="n">
        <v>0</v>
      </c>
      <c r="O381" t="n">
        <v>0</v>
      </c>
      <c r="P381" t="n">
        <v>0</v>
      </c>
      <c r="Q381" t="n">
        <v>0</v>
      </c>
      <c r="R381" s="2" t="inlineStr"/>
    </row>
    <row r="382" ht="15" customHeight="1">
      <c r="A382" t="inlineStr">
        <is>
          <t>A 31066-2025</t>
        </is>
      </c>
      <c r="B382" s="1" t="n">
        <v>45832</v>
      </c>
      <c r="C382" s="1" t="n">
        <v>45886</v>
      </c>
      <c r="D382" t="inlineStr">
        <is>
          <t>ÖREBRO LÄN</t>
        </is>
      </c>
      <c r="E382" t="inlineStr">
        <is>
          <t>ÖREBRO</t>
        </is>
      </c>
      <c r="G382" t="n">
        <v>11.1</v>
      </c>
      <c r="H382" t="n">
        <v>0</v>
      </c>
      <c r="I382" t="n">
        <v>0</v>
      </c>
      <c r="J382" t="n">
        <v>0</v>
      </c>
      <c r="K382" t="n">
        <v>0</v>
      </c>
      <c r="L382" t="n">
        <v>0</v>
      </c>
      <c r="M382" t="n">
        <v>0</v>
      </c>
      <c r="N382" t="n">
        <v>0</v>
      </c>
      <c r="O382" t="n">
        <v>0</v>
      </c>
      <c r="P382" t="n">
        <v>0</v>
      </c>
      <c r="Q382" t="n">
        <v>0</v>
      </c>
      <c r="R382" s="2" t="inlineStr"/>
    </row>
    <row r="383" ht="15" customHeight="1">
      <c r="A383" t="inlineStr">
        <is>
          <t>A 15866-2022</t>
        </is>
      </c>
      <c r="B383" s="1" t="n">
        <v>44664</v>
      </c>
      <c r="C383" s="1" t="n">
        <v>45886</v>
      </c>
      <c r="D383" t="inlineStr">
        <is>
          <t>ÖREBRO LÄN</t>
        </is>
      </c>
      <c r="E383" t="inlineStr">
        <is>
          <t>ÖREBRO</t>
        </is>
      </c>
      <c r="G383" t="n">
        <v>4</v>
      </c>
      <c r="H383" t="n">
        <v>0</v>
      </c>
      <c r="I383" t="n">
        <v>0</v>
      </c>
      <c r="J383" t="n">
        <v>0</v>
      </c>
      <c r="K383" t="n">
        <v>0</v>
      </c>
      <c r="L383" t="n">
        <v>0</v>
      </c>
      <c r="M383" t="n">
        <v>0</v>
      </c>
      <c r="N383" t="n">
        <v>0</v>
      </c>
      <c r="O383" t="n">
        <v>0</v>
      </c>
      <c r="P383" t="n">
        <v>0</v>
      </c>
      <c r="Q383" t="n">
        <v>0</v>
      </c>
      <c r="R383" s="2" t="inlineStr"/>
    </row>
    <row r="384" ht="15" customHeight="1">
      <c r="A384" t="inlineStr">
        <is>
          <t>A 2318-2023</t>
        </is>
      </c>
      <c r="B384" s="1" t="n">
        <v>44942</v>
      </c>
      <c r="C384" s="1" t="n">
        <v>45886</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5133-2024</t>
        </is>
      </c>
      <c r="B385" s="1" t="n">
        <v>45330</v>
      </c>
      <c r="C385" s="1" t="n">
        <v>45886</v>
      </c>
      <c r="D385" t="inlineStr">
        <is>
          <t>ÖREBRO LÄN</t>
        </is>
      </c>
      <c r="E385" t="inlineStr">
        <is>
          <t>ÖREBRO</t>
        </is>
      </c>
      <c r="G385" t="n">
        <v>0.5</v>
      </c>
      <c r="H385" t="n">
        <v>0</v>
      </c>
      <c r="I385" t="n">
        <v>0</v>
      </c>
      <c r="J385" t="n">
        <v>0</v>
      </c>
      <c r="K385" t="n">
        <v>0</v>
      </c>
      <c r="L385" t="n">
        <v>0</v>
      </c>
      <c r="M385" t="n">
        <v>0</v>
      </c>
      <c r="N385" t="n">
        <v>0</v>
      </c>
      <c r="O385" t="n">
        <v>0</v>
      </c>
      <c r="P385" t="n">
        <v>0</v>
      </c>
      <c r="Q385" t="n">
        <v>0</v>
      </c>
      <c r="R385" s="2" t="inlineStr"/>
    </row>
    <row r="386" ht="15" customHeight="1">
      <c r="A386" t="inlineStr">
        <is>
          <t>A 5764-2022</t>
        </is>
      </c>
      <c r="B386" s="1" t="n">
        <v>44596</v>
      </c>
      <c r="C386" s="1" t="n">
        <v>45886</v>
      </c>
      <c r="D386" t="inlineStr">
        <is>
          <t>ÖREBRO LÄN</t>
        </is>
      </c>
      <c r="E386" t="inlineStr">
        <is>
          <t>ÖREBRO</t>
        </is>
      </c>
      <c r="G386" t="n">
        <v>3.5</v>
      </c>
      <c r="H386" t="n">
        <v>0</v>
      </c>
      <c r="I386" t="n">
        <v>0</v>
      </c>
      <c r="J386" t="n">
        <v>0</v>
      </c>
      <c r="K386" t="n">
        <v>0</v>
      </c>
      <c r="L386" t="n">
        <v>0</v>
      </c>
      <c r="M386" t="n">
        <v>0</v>
      </c>
      <c r="N386" t="n">
        <v>0</v>
      </c>
      <c r="O386" t="n">
        <v>0</v>
      </c>
      <c r="P386" t="n">
        <v>0</v>
      </c>
      <c r="Q386" t="n">
        <v>0</v>
      </c>
      <c r="R386" s="2" t="inlineStr"/>
    </row>
    <row r="387" ht="15" customHeight="1">
      <c r="A387" t="inlineStr">
        <is>
          <t>A 31233-2025</t>
        </is>
      </c>
      <c r="B387" s="1" t="n">
        <v>45832.83341435185</v>
      </c>
      <c r="C387" s="1" t="n">
        <v>45886</v>
      </c>
      <c r="D387" t="inlineStr">
        <is>
          <t>ÖREBRO LÄN</t>
        </is>
      </c>
      <c r="E387" t="inlineStr">
        <is>
          <t>ÖREBRO</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45027-2024</t>
        </is>
      </c>
      <c r="B388" s="1" t="n">
        <v>45575</v>
      </c>
      <c r="C388" s="1" t="n">
        <v>45886</v>
      </c>
      <c r="D388" t="inlineStr">
        <is>
          <t>ÖREBRO LÄN</t>
        </is>
      </c>
      <c r="E388" t="inlineStr">
        <is>
          <t>ÖREBRO</t>
        </is>
      </c>
      <c r="G388" t="n">
        <v>6.3</v>
      </c>
      <c r="H388" t="n">
        <v>0</v>
      </c>
      <c r="I388" t="n">
        <v>0</v>
      </c>
      <c r="J388" t="n">
        <v>0</v>
      </c>
      <c r="K388" t="n">
        <v>0</v>
      </c>
      <c r="L388" t="n">
        <v>0</v>
      </c>
      <c r="M388" t="n">
        <v>0</v>
      </c>
      <c r="N388" t="n">
        <v>0</v>
      </c>
      <c r="O388" t="n">
        <v>0</v>
      </c>
      <c r="P388" t="n">
        <v>0</v>
      </c>
      <c r="Q388" t="n">
        <v>0</v>
      </c>
      <c r="R388" s="2" t="inlineStr"/>
    </row>
    <row r="389" ht="15" customHeight="1">
      <c r="A389" t="inlineStr">
        <is>
          <t>A 14432-2023</t>
        </is>
      </c>
      <c r="B389" s="1" t="n">
        <v>45012</v>
      </c>
      <c r="C389" s="1" t="n">
        <v>45886</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10339-2023</t>
        </is>
      </c>
      <c r="B390" s="1" t="n">
        <v>44987</v>
      </c>
      <c r="C390" s="1" t="n">
        <v>45886</v>
      </c>
      <c r="D390" t="inlineStr">
        <is>
          <t>ÖREBRO LÄN</t>
        </is>
      </c>
      <c r="E390" t="inlineStr">
        <is>
          <t>ÖREBRO</t>
        </is>
      </c>
      <c r="G390" t="n">
        <v>1</v>
      </c>
      <c r="H390" t="n">
        <v>0</v>
      </c>
      <c r="I390" t="n">
        <v>0</v>
      </c>
      <c r="J390" t="n">
        <v>0</v>
      </c>
      <c r="K390" t="n">
        <v>0</v>
      </c>
      <c r="L390" t="n">
        <v>0</v>
      </c>
      <c r="M390" t="n">
        <v>0</v>
      </c>
      <c r="N390" t="n">
        <v>0</v>
      </c>
      <c r="O390" t="n">
        <v>0</v>
      </c>
      <c r="P390" t="n">
        <v>0</v>
      </c>
      <c r="Q390" t="n">
        <v>0</v>
      </c>
      <c r="R390" s="2" t="inlineStr"/>
    </row>
    <row r="391" ht="15" customHeight="1">
      <c r="A391" t="inlineStr">
        <is>
          <t>A 40051-2024</t>
        </is>
      </c>
      <c r="B391" s="1" t="n">
        <v>45553</v>
      </c>
      <c r="C391" s="1" t="n">
        <v>45886</v>
      </c>
      <c r="D391" t="inlineStr">
        <is>
          <t>ÖREBRO LÄN</t>
        </is>
      </c>
      <c r="E391" t="inlineStr">
        <is>
          <t>ÖREBRO</t>
        </is>
      </c>
      <c r="G391" t="n">
        <v>3.5</v>
      </c>
      <c r="H391" t="n">
        <v>0</v>
      </c>
      <c r="I391" t="n">
        <v>0</v>
      </c>
      <c r="J391" t="n">
        <v>0</v>
      </c>
      <c r="K391" t="n">
        <v>0</v>
      </c>
      <c r="L391" t="n">
        <v>0</v>
      </c>
      <c r="M391" t="n">
        <v>0</v>
      </c>
      <c r="N391" t="n">
        <v>0</v>
      </c>
      <c r="O391" t="n">
        <v>0</v>
      </c>
      <c r="P391" t="n">
        <v>0</v>
      </c>
      <c r="Q391" t="n">
        <v>0</v>
      </c>
      <c r="R391" s="2" t="inlineStr"/>
    </row>
    <row r="392" ht="15" customHeight="1">
      <c r="A392" t="inlineStr">
        <is>
          <t>A 31232-2025</t>
        </is>
      </c>
      <c r="B392" s="1" t="n">
        <v>45832.8252199074</v>
      </c>
      <c r="C392" s="1" t="n">
        <v>45886</v>
      </c>
      <c r="D392" t="inlineStr">
        <is>
          <t>ÖREBRO LÄN</t>
        </is>
      </c>
      <c r="E392" t="inlineStr">
        <is>
          <t>ÖREBRO</t>
        </is>
      </c>
      <c r="F392" t="inlineStr">
        <is>
          <t>Övriga Aktiebolag</t>
        </is>
      </c>
      <c r="G392" t="n">
        <v>2.1</v>
      </c>
      <c r="H392" t="n">
        <v>0</v>
      </c>
      <c r="I392" t="n">
        <v>0</v>
      </c>
      <c r="J392" t="n">
        <v>0</v>
      </c>
      <c r="K392" t="n">
        <v>0</v>
      </c>
      <c r="L392" t="n">
        <v>0</v>
      </c>
      <c r="M392" t="n">
        <v>0</v>
      </c>
      <c r="N392" t="n">
        <v>0</v>
      </c>
      <c r="O392" t="n">
        <v>0</v>
      </c>
      <c r="P392" t="n">
        <v>0</v>
      </c>
      <c r="Q392" t="n">
        <v>0</v>
      </c>
      <c r="R392" s="2" t="inlineStr"/>
    </row>
    <row r="393" ht="15" customHeight="1">
      <c r="A393" t="inlineStr">
        <is>
          <t>A 190-2024</t>
        </is>
      </c>
      <c r="B393" s="1" t="n">
        <v>45294.61858796296</v>
      </c>
      <c r="C393" s="1" t="n">
        <v>45886</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31237-2025</t>
        </is>
      </c>
      <c r="B394" s="1" t="n">
        <v>45832.84313657408</v>
      </c>
      <c r="C394" s="1" t="n">
        <v>45886</v>
      </c>
      <c r="D394" t="inlineStr">
        <is>
          <t>ÖREBRO LÄN</t>
        </is>
      </c>
      <c r="E394" t="inlineStr">
        <is>
          <t>ÖREBRO</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62497-2023</t>
        </is>
      </c>
      <c r="B395" s="1" t="n">
        <v>45268.59935185185</v>
      </c>
      <c r="C395" s="1" t="n">
        <v>45886</v>
      </c>
      <c r="D395" t="inlineStr">
        <is>
          <t>ÖREBRO LÄN</t>
        </is>
      </c>
      <c r="E395" t="inlineStr">
        <is>
          <t>ÖREBRO</t>
        </is>
      </c>
      <c r="F395" t="inlineStr">
        <is>
          <t>Övriga Aktiebolag</t>
        </is>
      </c>
      <c r="G395" t="n">
        <v>3.2</v>
      </c>
      <c r="H395" t="n">
        <v>0</v>
      </c>
      <c r="I395" t="n">
        <v>0</v>
      </c>
      <c r="J395" t="n">
        <v>0</v>
      </c>
      <c r="K395" t="n">
        <v>0</v>
      </c>
      <c r="L395" t="n">
        <v>0</v>
      </c>
      <c r="M395" t="n">
        <v>0</v>
      </c>
      <c r="N395" t="n">
        <v>0</v>
      </c>
      <c r="O395" t="n">
        <v>0</v>
      </c>
      <c r="P395" t="n">
        <v>0</v>
      </c>
      <c r="Q395" t="n">
        <v>0</v>
      </c>
      <c r="R395" s="2" t="inlineStr"/>
    </row>
    <row r="396" ht="15" customHeight="1">
      <c r="A396" t="inlineStr">
        <is>
          <t>A 43399-2022</t>
        </is>
      </c>
      <c r="B396" s="1" t="n">
        <v>44834</v>
      </c>
      <c r="C396" s="1" t="n">
        <v>45886</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41543-2024</t>
        </is>
      </c>
      <c r="B397" s="1" t="n">
        <v>45560</v>
      </c>
      <c r="C397" s="1" t="n">
        <v>45886</v>
      </c>
      <c r="D397" t="inlineStr">
        <is>
          <t>ÖREBRO LÄN</t>
        </is>
      </c>
      <c r="E397" t="inlineStr">
        <is>
          <t>ÖREBRO</t>
        </is>
      </c>
      <c r="G397" t="n">
        <v>2.8</v>
      </c>
      <c r="H397" t="n">
        <v>0</v>
      </c>
      <c r="I397" t="n">
        <v>0</v>
      </c>
      <c r="J397" t="n">
        <v>0</v>
      </c>
      <c r="K397" t="n">
        <v>0</v>
      </c>
      <c r="L397" t="n">
        <v>0</v>
      </c>
      <c r="M397" t="n">
        <v>0</v>
      </c>
      <c r="N397" t="n">
        <v>0</v>
      </c>
      <c r="O397" t="n">
        <v>0</v>
      </c>
      <c r="P397" t="n">
        <v>0</v>
      </c>
      <c r="Q397" t="n">
        <v>0</v>
      </c>
      <c r="R397" s="2" t="inlineStr"/>
    </row>
    <row r="398" ht="15" customHeight="1">
      <c r="A398" t="inlineStr">
        <is>
          <t>A 10799-2024</t>
        </is>
      </c>
      <c r="B398" s="1" t="n">
        <v>45369</v>
      </c>
      <c r="C398" s="1" t="n">
        <v>45886</v>
      </c>
      <c r="D398" t="inlineStr">
        <is>
          <t>ÖREBRO LÄN</t>
        </is>
      </c>
      <c r="E398" t="inlineStr">
        <is>
          <t>ÖREBRO</t>
        </is>
      </c>
      <c r="G398" t="n">
        <v>5.8</v>
      </c>
      <c r="H398" t="n">
        <v>0</v>
      </c>
      <c r="I398" t="n">
        <v>0</v>
      </c>
      <c r="J398" t="n">
        <v>0</v>
      </c>
      <c r="K398" t="n">
        <v>0</v>
      </c>
      <c r="L398" t="n">
        <v>0</v>
      </c>
      <c r="M398" t="n">
        <v>0</v>
      </c>
      <c r="N398" t="n">
        <v>0</v>
      </c>
      <c r="O398" t="n">
        <v>0</v>
      </c>
      <c r="P398" t="n">
        <v>0</v>
      </c>
      <c r="Q398" t="n">
        <v>0</v>
      </c>
      <c r="R398" s="2" t="inlineStr"/>
    </row>
    <row r="399" ht="15" customHeight="1">
      <c r="A399" t="inlineStr">
        <is>
          <t>A 63142-2023</t>
        </is>
      </c>
      <c r="B399" s="1" t="n">
        <v>45273</v>
      </c>
      <c r="C399" s="1" t="n">
        <v>45886</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37021-2024</t>
        </is>
      </c>
      <c r="B400" s="1" t="n">
        <v>45539.38146990741</v>
      </c>
      <c r="C400" s="1" t="n">
        <v>45886</v>
      </c>
      <c r="D400" t="inlineStr">
        <is>
          <t>ÖREBRO LÄN</t>
        </is>
      </c>
      <c r="E400" t="inlineStr">
        <is>
          <t>ÖREBRO</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23573-2023</t>
        </is>
      </c>
      <c r="B401" s="1" t="n">
        <v>45077.41672453703</v>
      </c>
      <c r="C401" s="1" t="n">
        <v>45886</v>
      </c>
      <c r="D401" t="inlineStr">
        <is>
          <t>ÖREBRO LÄN</t>
        </is>
      </c>
      <c r="E401" t="inlineStr">
        <is>
          <t>ÖREBRO</t>
        </is>
      </c>
      <c r="G401" t="n">
        <v>2.9</v>
      </c>
      <c r="H401" t="n">
        <v>0</v>
      </c>
      <c r="I401" t="n">
        <v>0</v>
      </c>
      <c r="J401" t="n">
        <v>0</v>
      </c>
      <c r="K401" t="n">
        <v>0</v>
      </c>
      <c r="L401" t="n">
        <v>0</v>
      </c>
      <c r="M401" t="n">
        <v>0</v>
      </c>
      <c r="N401" t="n">
        <v>0</v>
      </c>
      <c r="O401" t="n">
        <v>0</v>
      </c>
      <c r="P401" t="n">
        <v>0</v>
      </c>
      <c r="Q401" t="n">
        <v>0</v>
      </c>
      <c r="R401" s="2" t="inlineStr"/>
    </row>
    <row r="402" ht="15" customHeight="1">
      <c r="A402" t="inlineStr">
        <is>
          <t>A 16694-2025</t>
        </is>
      </c>
      <c r="B402" s="1" t="n">
        <v>45754.46480324074</v>
      </c>
      <c r="C402" s="1" t="n">
        <v>45886</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13762-2023</t>
        </is>
      </c>
      <c r="B403" s="1" t="n">
        <v>45007.43729166667</v>
      </c>
      <c r="C403" s="1" t="n">
        <v>45886</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32218-2025</t>
        </is>
      </c>
      <c r="B404" s="1" t="n">
        <v>45835.58880787037</v>
      </c>
      <c r="C404" s="1" t="n">
        <v>45886</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5129-2024</t>
        </is>
      </c>
      <c r="B405" s="1" t="n">
        <v>45330</v>
      </c>
      <c r="C405" s="1" t="n">
        <v>45886</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32188-2025</t>
        </is>
      </c>
      <c r="B406" s="1" t="n">
        <v>45835.56965277778</v>
      </c>
      <c r="C406" s="1" t="n">
        <v>45886</v>
      </c>
      <c r="D406" t="inlineStr">
        <is>
          <t>ÖREBRO LÄN</t>
        </is>
      </c>
      <c r="E406" t="inlineStr">
        <is>
          <t>ÖREBRO</t>
        </is>
      </c>
      <c r="G406" t="n">
        <v>2.9</v>
      </c>
      <c r="H406" t="n">
        <v>0</v>
      </c>
      <c r="I406" t="n">
        <v>0</v>
      </c>
      <c r="J406" t="n">
        <v>0</v>
      </c>
      <c r="K406" t="n">
        <v>0</v>
      </c>
      <c r="L406" t="n">
        <v>0</v>
      </c>
      <c r="M406" t="n">
        <v>0</v>
      </c>
      <c r="N406" t="n">
        <v>0</v>
      </c>
      <c r="O406" t="n">
        <v>0</v>
      </c>
      <c r="P406" t="n">
        <v>0</v>
      </c>
      <c r="Q406" t="n">
        <v>0</v>
      </c>
      <c r="R406" s="2" t="inlineStr"/>
    </row>
    <row r="407" ht="15" customHeight="1">
      <c r="A407" t="inlineStr">
        <is>
          <t>A 32195-2025</t>
        </is>
      </c>
      <c r="B407" s="1" t="n">
        <v>45835.57407407407</v>
      </c>
      <c r="C407" s="1" t="n">
        <v>45886</v>
      </c>
      <c r="D407" t="inlineStr">
        <is>
          <t>ÖREBRO LÄN</t>
        </is>
      </c>
      <c r="E407" t="inlineStr">
        <is>
          <t>ÖREBRO</t>
        </is>
      </c>
      <c r="G407" t="n">
        <v>1.5</v>
      </c>
      <c r="H407" t="n">
        <v>0</v>
      </c>
      <c r="I407" t="n">
        <v>0</v>
      </c>
      <c r="J407" t="n">
        <v>0</v>
      </c>
      <c r="K407" t="n">
        <v>0</v>
      </c>
      <c r="L407" t="n">
        <v>0</v>
      </c>
      <c r="M407" t="n">
        <v>0</v>
      </c>
      <c r="N407" t="n">
        <v>0</v>
      </c>
      <c r="O407" t="n">
        <v>0</v>
      </c>
      <c r="P407" t="n">
        <v>0</v>
      </c>
      <c r="Q407" t="n">
        <v>0</v>
      </c>
      <c r="R407" s="2" t="inlineStr"/>
    </row>
    <row r="408" ht="15" customHeight="1">
      <c r="A408" t="inlineStr">
        <is>
          <t>A 38057-2025</t>
        </is>
      </c>
      <c r="B408" s="1" t="n">
        <v>45882.42570601852</v>
      </c>
      <c r="C408" s="1" t="n">
        <v>45886</v>
      </c>
      <c r="D408" t="inlineStr">
        <is>
          <t>ÖREBRO LÄN</t>
        </is>
      </c>
      <c r="E408" t="inlineStr">
        <is>
          <t>ÖREBRO</t>
        </is>
      </c>
      <c r="G408" t="n">
        <v>3</v>
      </c>
      <c r="H408" t="n">
        <v>0</v>
      </c>
      <c r="I408" t="n">
        <v>0</v>
      </c>
      <c r="J408" t="n">
        <v>0</v>
      </c>
      <c r="K408" t="n">
        <v>0</v>
      </c>
      <c r="L408" t="n">
        <v>0</v>
      </c>
      <c r="M408" t="n">
        <v>0</v>
      </c>
      <c r="N408" t="n">
        <v>0</v>
      </c>
      <c r="O408" t="n">
        <v>0</v>
      </c>
      <c r="P408" t="n">
        <v>0</v>
      </c>
      <c r="Q408" t="n">
        <v>0</v>
      </c>
      <c r="R408" s="2" t="inlineStr"/>
    </row>
    <row r="409" ht="15" customHeight="1">
      <c r="A409" t="inlineStr">
        <is>
          <t>A 49465-2024</t>
        </is>
      </c>
      <c r="B409" s="1" t="n">
        <v>45596</v>
      </c>
      <c r="C409" s="1" t="n">
        <v>45886</v>
      </c>
      <c r="D409" t="inlineStr">
        <is>
          <t>ÖREBRO LÄN</t>
        </is>
      </c>
      <c r="E409" t="inlineStr">
        <is>
          <t>ÖREBRO</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33191-2025</t>
        </is>
      </c>
      <c r="B410" s="1" t="n">
        <v>45840.6003587963</v>
      </c>
      <c r="C410" s="1" t="n">
        <v>45886</v>
      </c>
      <c r="D410" t="inlineStr">
        <is>
          <t>ÖREBRO LÄN</t>
        </is>
      </c>
      <c r="E410" t="inlineStr">
        <is>
          <t>ÖREBRO</t>
        </is>
      </c>
      <c r="G410" t="n">
        <v>2.6</v>
      </c>
      <c r="H410" t="n">
        <v>0</v>
      </c>
      <c r="I410" t="n">
        <v>0</v>
      </c>
      <c r="J410" t="n">
        <v>0</v>
      </c>
      <c r="K410" t="n">
        <v>0</v>
      </c>
      <c r="L410" t="n">
        <v>0</v>
      </c>
      <c r="M410" t="n">
        <v>0</v>
      </c>
      <c r="N410" t="n">
        <v>0</v>
      </c>
      <c r="O410" t="n">
        <v>0</v>
      </c>
      <c r="P410" t="n">
        <v>0</v>
      </c>
      <c r="Q410" t="n">
        <v>0</v>
      </c>
      <c r="R410" s="2" t="inlineStr"/>
    </row>
    <row r="411" ht="15" customHeight="1">
      <c r="A411" t="inlineStr">
        <is>
          <t>A 1492-2022</t>
        </is>
      </c>
      <c r="B411" s="1" t="n">
        <v>44573</v>
      </c>
      <c r="C411" s="1" t="n">
        <v>45886</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32426-2025</t>
        </is>
      </c>
      <c r="B412" s="1" t="n">
        <v>45838.36179398148</v>
      </c>
      <c r="C412" s="1" t="n">
        <v>45886</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59026-2024</t>
        </is>
      </c>
      <c r="B413" s="1" t="n">
        <v>45636.6875</v>
      </c>
      <c r="C413" s="1" t="n">
        <v>45886</v>
      </c>
      <c r="D413" t="inlineStr">
        <is>
          <t>ÖREBRO LÄN</t>
        </is>
      </c>
      <c r="E413" t="inlineStr">
        <is>
          <t>ÖREBRO</t>
        </is>
      </c>
      <c r="G413" t="n">
        <v>0.9</v>
      </c>
      <c r="H413" t="n">
        <v>0</v>
      </c>
      <c r="I413" t="n">
        <v>0</v>
      </c>
      <c r="J413" t="n">
        <v>0</v>
      </c>
      <c r="K413" t="n">
        <v>0</v>
      </c>
      <c r="L413" t="n">
        <v>0</v>
      </c>
      <c r="M413" t="n">
        <v>0</v>
      </c>
      <c r="N413" t="n">
        <v>0</v>
      </c>
      <c r="O413" t="n">
        <v>0</v>
      </c>
      <c r="P413" t="n">
        <v>0</v>
      </c>
      <c r="Q413" t="n">
        <v>0</v>
      </c>
      <c r="R413" s="2" t="inlineStr"/>
    </row>
    <row r="414" ht="15" customHeight="1">
      <c r="A414" t="inlineStr">
        <is>
          <t>A 32904-2025</t>
        </is>
      </c>
      <c r="B414" s="1" t="n">
        <v>45839</v>
      </c>
      <c r="C414" s="1" t="n">
        <v>45886</v>
      </c>
      <c r="D414" t="inlineStr">
        <is>
          <t>ÖREBRO LÄN</t>
        </is>
      </c>
      <c r="E414" t="inlineStr">
        <is>
          <t>ÖREBRO</t>
        </is>
      </c>
      <c r="G414" t="n">
        <v>0.6</v>
      </c>
      <c r="H414" t="n">
        <v>0</v>
      </c>
      <c r="I414" t="n">
        <v>0</v>
      </c>
      <c r="J414" t="n">
        <v>0</v>
      </c>
      <c r="K414" t="n">
        <v>0</v>
      </c>
      <c r="L414" t="n">
        <v>0</v>
      </c>
      <c r="M414" t="n">
        <v>0</v>
      </c>
      <c r="N414" t="n">
        <v>0</v>
      </c>
      <c r="O414" t="n">
        <v>0</v>
      </c>
      <c r="P414" t="n">
        <v>0</v>
      </c>
      <c r="Q414" t="n">
        <v>0</v>
      </c>
      <c r="R414" s="2" t="inlineStr"/>
    </row>
    <row r="415" ht="15" customHeight="1">
      <c r="A415" t="inlineStr">
        <is>
          <t>A 52623-2024</t>
        </is>
      </c>
      <c r="B415" s="1" t="n">
        <v>45609</v>
      </c>
      <c r="C415" s="1" t="n">
        <v>45886</v>
      </c>
      <c r="D415" t="inlineStr">
        <is>
          <t>ÖREBRO LÄN</t>
        </is>
      </c>
      <c r="E415" t="inlineStr">
        <is>
          <t>ÖREBRO</t>
        </is>
      </c>
      <c r="F415" t="inlineStr">
        <is>
          <t>Kommuner</t>
        </is>
      </c>
      <c r="G415" t="n">
        <v>1.7</v>
      </c>
      <c r="H415" t="n">
        <v>0</v>
      </c>
      <c r="I415" t="n">
        <v>0</v>
      </c>
      <c r="J415" t="n">
        <v>0</v>
      </c>
      <c r="K415" t="n">
        <v>0</v>
      </c>
      <c r="L415" t="n">
        <v>0</v>
      </c>
      <c r="M415" t="n">
        <v>0</v>
      </c>
      <c r="N415" t="n">
        <v>0</v>
      </c>
      <c r="O415" t="n">
        <v>0</v>
      </c>
      <c r="P415" t="n">
        <v>0</v>
      </c>
      <c r="Q415" t="n">
        <v>0</v>
      </c>
      <c r="R415" s="2" t="inlineStr"/>
    </row>
    <row r="416" ht="15" customHeight="1">
      <c r="A416" t="inlineStr">
        <is>
          <t>A 62511-2023</t>
        </is>
      </c>
      <c r="B416" s="1" t="n">
        <v>45268.61855324074</v>
      </c>
      <c r="C416" s="1" t="n">
        <v>45886</v>
      </c>
      <c r="D416" t="inlineStr">
        <is>
          <t>ÖREBRO LÄN</t>
        </is>
      </c>
      <c r="E416" t="inlineStr">
        <is>
          <t>ÖREBRO</t>
        </is>
      </c>
      <c r="F416" t="inlineStr">
        <is>
          <t>Övriga Aktiebolag</t>
        </is>
      </c>
      <c r="G416" t="n">
        <v>3.6</v>
      </c>
      <c r="H416" t="n">
        <v>0</v>
      </c>
      <c r="I416" t="n">
        <v>0</v>
      </c>
      <c r="J416" t="n">
        <v>0</v>
      </c>
      <c r="K416" t="n">
        <v>0</v>
      </c>
      <c r="L416" t="n">
        <v>0</v>
      </c>
      <c r="M416" t="n">
        <v>0</v>
      </c>
      <c r="N416" t="n">
        <v>0</v>
      </c>
      <c r="O416" t="n">
        <v>0</v>
      </c>
      <c r="P416" t="n">
        <v>0</v>
      </c>
      <c r="Q416" t="n">
        <v>0</v>
      </c>
      <c r="R416" s="2" t="inlineStr"/>
    </row>
    <row r="417" ht="15" customHeight="1">
      <c r="A417" t="inlineStr">
        <is>
          <t>A 33019-2025</t>
        </is>
      </c>
      <c r="B417" s="1" t="n">
        <v>45840</v>
      </c>
      <c r="C417" s="1" t="n">
        <v>45886</v>
      </c>
      <c r="D417" t="inlineStr">
        <is>
          <t>ÖREBRO LÄN</t>
        </is>
      </c>
      <c r="E417" t="inlineStr">
        <is>
          <t>ÖREBRO</t>
        </is>
      </c>
      <c r="G417" t="n">
        <v>4.2</v>
      </c>
      <c r="H417" t="n">
        <v>0</v>
      </c>
      <c r="I417" t="n">
        <v>0</v>
      </c>
      <c r="J417" t="n">
        <v>0</v>
      </c>
      <c r="K417" t="n">
        <v>0</v>
      </c>
      <c r="L417" t="n">
        <v>0</v>
      </c>
      <c r="M417" t="n">
        <v>0</v>
      </c>
      <c r="N417" t="n">
        <v>0</v>
      </c>
      <c r="O417" t="n">
        <v>0</v>
      </c>
      <c r="P417" t="n">
        <v>0</v>
      </c>
      <c r="Q417" t="n">
        <v>0</v>
      </c>
      <c r="R417" s="2" t="inlineStr"/>
    </row>
    <row r="418" ht="15" customHeight="1">
      <c r="A418" t="inlineStr">
        <is>
          <t>A 59121-2024</t>
        </is>
      </c>
      <c r="B418" s="1" t="n">
        <v>45637.37755787037</v>
      </c>
      <c r="C418" s="1" t="n">
        <v>45886</v>
      </c>
      <c r="D418" t="inlineStr">
        <is>
          <t>ÖREBRO LÄN</t>
        </is>
      </c>
      <c r="E418" t="inlineStr">
        <is>
          <t>ÖREBRO</t>
        </is>
      </c>
      <c r="G418" t="n">
        <v>1</v>
      </c>
      <c r="H418" t="n">
        <v>0</v>
      </c>
      <c r="I418" t="n">
        <v>0</v>
      </c>
      <c r="J418" t="n">
        <v>0</v>
      </c>
      <c r="K418" t="n">
        <v>0</v>
      </c>
      <c r="L418" t="n">
        <v>0</v>
      </c>
      <c r="M418" t="n">
        <v>0</v>
      </c>
      <c r="N418" t="n">
        <v>0</v>
      </c>
      <c r="O418" t="n">
        <v>0</v>
      </c>
      <c r="P418" t="n">
        <v>0</v>
      </c>
      <c r="Q418" t="n">
        <v>0</v>
      </c>
      <c r="R418" s="2" t="inlineStr"/>
    </row>
    <row r="419" ht="15" customHeight="1">
      <c r="A419" t="inlineStr">
        <is>
          <t>A 49215-2023</t>
        </is>
      </c>
      <c r="B419" s="1" t="n">
        <v>45210.61050925926</v>
      </c>
      <c r="C419" s="1" t="n">
        <v>45886</v>
      </c>
      <c r="D419" t="inlineStr">
        <is>
          <t>ÖREBRO LÄN</t>
        </is>
      </c>
      <c r="E419" t="inlineStr">
        <is>
          <t>ÖREBRO</t>
        </is>
      </c>
      <c r="F419" t="inlineStr">
        <is>
          <t>Övriga Aktiebolag</t>
        </is>
      </c>
      <c r="G419" t="n">
        <v>4.2</v>
      </c>
      <c r="H419" t="n">
        <v>0</v>
      </c>
      <c r="I419" t="n">
        <v>0</v>
      </c>
      <c r="J419" t="n">
        <v>0</v>
      </c>
      <c r="K419" t="n">
        <v>0</v>
      </c>
      <c r="L419" t="n">
        <v>0</v>
      </c>
      <c r="M419" t="n">
        <v>0</v>
      </c>
      <c r="N419" t="n">
        <v>0</v>
      </c>
      <c r="O419" t="n">
        <v>0</v>
      </c>
      <c r="P419" t="n">
        <v>0</v>
      </c>
      <c r="Q419" t="n">
        <v>0</v>
      </c>
      <c r="R419" s="2" t="inlineStr"/>
    </row>
    <row r="420" ht="15" customHeight="1">
      <c r="A420" t="inlineStr">
        <is>
          <t>A 17983-2025</t>
        </is>
      </c>
      <c r="B420" s="1" t="n">
        <v>45761.38829861111</v>
      </c>
      <c r="C420" s="1" t="n">
        <v>45886</v>
      </c>
      <c r="D420" t="inlineStr">
        <is>
          <t>ÖREBRO LÄN</t>
        </is>
      </c>
      <c r="E420" t="inlineStr">
        <is>
          <t>ÖREBRO</t>
        </is>
      </c>
      <c r="G420" t="n">
        <v>0.8</v>
      </c>
      <c r="H420" t="n">
        <v>0</v>
      </c>
      <c r="I420" t="n">
        <v>0</v>
      </c>
      <c r="J420" t="n">
        <v>0</v>
      </c>
      <c r="K420" t="n">
        <v>0</v>
      </c>
      <c r="L420" t="n">
        <v>0</v>
      </c>
      <c r="M420" t="n">
        <v>0</v>
      </c>
      <c r="N420" t="n">
        <v>0</v>
      </c>
      <c r="O420" t="n">
        <v>0</v>
      </c>
      <c r="P420" t="n">
        <v>0</v>
      </c>
      <c r="Q420" t="n">
        <v>0</v>
      </c>
      <c r="R420" s="2" t="inlineStr"/>
    </row>
    <row r="421" ht="15" customHeight="1">
      <c r="A421" t="inlineStr">
        <is>
          <t>A 40522-2024</t>
        </is>
      </c>
      <c r="B421" s="1" t="n">
        <v>45555.59717592593</v>
      </c>
      <c r="C421" s="1" t="n">
        <v>45886</v>
      </c>
      <c r="D421" t="inlineStr">
        <is>
          <t>ÖREBRO LÄN</t>
        </is>
      </c>
      <c r="E421" t="inlineStr">
        <is>
          <t>ÖREBRO</t>
        </is>
      </c>
      <c r="G421" t="n">
        <v>5.1</v>
      </c>
      <c r="H421" t="n">
        <v>0</v>
      </c>
      <c r="I421" t="n">
        <v>0</v>
      </c>
      <c r="J421" t="n">
        <v>0</v>
      </c>
      <c r="K421" t="n">
        <v>0</v>
      </c>
      <c r="L421" t="n">
        <v>0</v>
      </c>
      <c r="M421" t="n">
        <v>0</v>
      </c>
      <c r="N421" t="n">
        <v>0</v>
      </c>
      <c r="O421" t="n">
        <v>0</v>
      </c>
      <c r="P421" t="n">
        <v>0</v>
      </c>
      <c r="Q421" t="n">
        <v>0</v>
      </c>
      <c r="R421" s="2" t="inlineStr"/>
    </row>
    <row r="422" ht="15" customHeight="1">
      <c r="A422" t="inlineStr">
        <is>
          <t>A 28821-2025</t>
        </is>
      </c>
      <c r="B422" s="1" t="n">
        <v>45820</v>
      </c>
      <c r="C422" s="1" t="n">
        <v>45886</v>
      </c>
      <c r="D422" t="inlineStr">
        <is>
          <t>ÖREBRO LÄN</t>
        </is>
      </c>
      <c r="E422" t="inlineStr">
        <is>
          <t>ÖREBRO</t>
        </is>
      </c>
      <c r="G422" t="n">
        <v>12.6</v>
      </c>
      <c r="H422" t="n">
        <v>0</v>
      </c>
      <c r="I422" t="n">
        <v>0</v>
      </c>
      <c r="J422" t="n">
        <v>0</v>
      </c>
      <c r="K422" t="n">
        <v>0</v>
      </c>
      <c r="L422" t="n">
        <v>0</v>
      </c>
      <c r="M422" t="n">
        <v>0</v>
      </c>
      <c r="N422" t="n">
        <v>0</v>
      </c>
      <c r="O422" t="n">
        <v>0</v>
      </c>
      <c r="P422" t="n">
        <v>0</v>
      </c>
      <c r="Q422" t="n">
        <v>0</v>
      </c>
      <c r="R422" s="2" t="inlineStr"/>
    </row>
    <row r="423" ht="15" customHeight="1">
      <c r="A423" t="inlineStr">
        <is>
          <t>A 8571-2021</t>
        </is>
      </c>
      <c r="B423" s="1" t="n">
        <v>44245</v>
      </c>
      <c r="C423" s="1" t="n">
        <v>45886</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59265-2020</t>
        </is>
      </c>
      <c r="B424" s="1" t="n">
        <v>44147.67359953704</v>
      </c>
      <c r="C424" s="1" t="n">
        <v>45886</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33577-2023</t>
        </is>
      </c>
      <c r="B425" s="1" t="n">
        <v>45131</v>
      </c>
      <c r="C425" s="1" t="n">
        <v>45886</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18360-2024</t>
        </is>
      </c>
      <c r="B426" s="1" t="n">
        <v>45422</v>
      </c>
      <c r="C426" s="1" t="n">
        <v>45886</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7611-2024</t>
        </is>
      </c>
      <c r="B427" s="1" t="n">
        <v>45348.58864583333</v>
      </c>
      <c r="C427" s="1" t="n">
        <v>45886</v>
      </c>
      <c r="D427" t="inlineStr">
        <is>
          <t>ÖREBRO LÄN</t>
        </is>
      </c>
      <c r="E427" t="inlineStr">
        <is>
          <t>ÖREBRO</t>
        </is>
      </c>
      <c r="G427" t="n">
        <v>4.2</v>
      </c>
      <c r="H427" t="n">
        <v>0</v>
      </c>
      <c r="I427" t="n">
        <v>0</v>
      </c>
      <c r="J427" t="n">
        <v>0</v>
      </c>
      <c r="K427" t="n">
        <v>0</v>
      </c>
      <c r="L427" t="n">
        <v>0</v>
      </c>
      <c r="M427" t="n">
        <v>0</v>
      </c>
      <c r="N427" t="n">
        <v>0</v>
      </c>
      <c r="O427" t="n">
        <v>0</v>
      </c>
      <c r="P427" t="n">
        <v>0</v>
      </c>
      <c r="Q427" t="n">
        <v>0</v>
      </c>
      <c r="R427" s="2" t="inlineStr"/>
    </row>
    <row r="428" ht="15" customHeight="1">
      <c r="A428" t="inlineStr">
        <is>
          <t>A 55692-2023</t>
        </is>
      </c>
      <c r="B428" s="1" t="n">
        <v>45239</v>
      </c>
      <c r="C428" s="1" t="n">
        <v>45886</v>
      </c>
      <c r="D428" t="inlineStr">
        <is>
          <t>ÖREBRO LÄN</t>
        </is>
      </c>
      <c r="E428" t="inlineStr">
        <is>
          <t>ÖREBRO</t>
        </is>
      </c>
      <c r="F428" t="inlineStr">
        <is>
          <t>Övriga Aktiebolag</t>
        </is>
      </c>
      <c r="G428" t="n">
        <v>0.4</v>
      </c>
      <c r="H428" t="n">
        <v>0</v>
      </c>
      <c r="I428" t="n">
        <v>0</v>
      </c>
      <c r="J428" t="n">
        <v>0</v>
      </c>
      <c r="K428" t="n">
        <v>0</v>
      </c>
      <c r="L428" t="n">
        <v>0</v>
      </c>
      <c r="M428" t="n">
        <v>0</v>
      </c>
      <c r="N428" t="n">
        <v>0</v>
      </c>
      <c r="O428" t="n">
        <v>0</v>
      </c>
      <c r="P428" t="n">
        <v>0</v>
      </c>
      <c r="Q428" t="n">
        <v>0</v>
      </c>
      <c r="R428" s="2" t="inlineStr"/>
    </row>
    <row r="429" ht="15" customHeight="1">
      <c r="A429" t="inlineStr">
        <is>
          <t>A 13347-2023</t>
        </is>
      </c>
      <c r="B429" s="1" t="n">
        <v>45004</v>
      </c>
      <c r="C429" s="1" t="n">
        <v>45886</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14715-2024</t>
        </is>
      </c>
      <c r="B430" s="1" t="n">
        <v>45397.5500462963</v>
      </c>
      <c r="C430" s="1" t="n">
        <v>45886</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187-2024</t>
        </is>
      </c>
      <c r="B431" s="1" t="n">
        <v>45294</v>
      </c>
      <c r="C431" s="1" t="n">
        <v>45886</v>
      </c>
      <c r="D431" t="inlineStr">
        <is>
          <t>ÖREBRO LÄN</t>
        </is>
      </c>
      <c r="E431" t="inlineStr">
        <is>
          <t>ÖREBRO</t>
        </is>
      </c>
      <c r="G431" t="n">
        <v>5.9</v>
      </c>
      <c r="H431" t="n">
        <v>0</v>
      </c>
      <c r="I431" t="n">
        <v>0</v>
      </c>
      <c r="J431" t="n">
        <v>0</v>
      </c>
      <c r="K431" t="n">
        <v>0</v>
      </c>
      <c r="L431" t="n">
        <v>0</v>
      </c>
      <c r="M431" t="n">
        <v>0</v>
      </c>
      <c r="N431" t="n">
        <v>0</v>
      </c>
      <c r="O431" t="n">
        <v>0</v>
      </c>
      <c r="P431" t="n">
        <v>0</v>
      </c>
      <c r="Q431" t="n">
        <v>0</v>
      </c>
      <c r="R431" s="2" t="inlineStr"/>
    </row>
    <row r="432" ht="15" customHeight="1">
      <c r="A432" t="inlineStr">
        <is>
          <t>A 10832-2023</t>
        </is>
      </c>
      <c r="B432" s="1" t="n">
        <v>44990.91711805556</v>
      </c>
      <c r="C432" s="1" t="n">
        <v>45886</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12682-2023</t>
        </is>
      </c>
      <c r="B433" s="1" t="n">
        <v>45000.6115625</v>
      </c>
      <c r="C433" s="1" t="n">
        <v>45886</v>
      </c>
      <c r="D433" t="inlineStr">
        <is>
          <t>ÖREBRO LÄN</t>
        </is>
      </c>
      <c r="E433" t="inlineStr">
        <is>
          <t>ÖREBRO</t>
        </is>
      </c>
      <c r="F433" t="inlineStr">
        <is>
          <t>Övriga Aktiebolag</t>
        </is>
      </c>
      <c r="G433" t="n">
        <v>4.4</v>
      </c>
      <c r="H433" t="n">
        <v>0</v>
      </c>
      <c r="I433" t="n">
        <v>0</v>
      </c>
      <c r="J433" t="n">
        <v>0</v>
      </c>
      <c r="K433" t="n">
        <v>0</v>
      </c>
      <c r="L433" t="n">
        <v>0</v>
      </c>
      <c r="M433" t="n">
        <v>0</v>
      </c>
      <c r="N433" t="n">
        <v>0</v>
      </c>
      <c r="O433" t="n">
        <v>0</v>
      </c>
      <c r="P433" t="n">
        <v>0</v>
      </c>
      <c r="Q433" t="n">
        <v>0</v>
      </c>
      <c r="R433" s="2" t="inlineStr"/>
    </row>
    <row r="434" ht="15" customHeight="1">
      <c r="A434" t="inlineStr">
        <is>
          <t>A 2596-2022</t>
        </is>
      </c>
      <c r="B434" s="1" t="n">
        <v>44580</v>
      </c>
      <c r="C434" s="1" t="n">
        <v>45886</v>
      </c>
      <c r="D434" t="inlineStr">
        <is>
          <t>ÖREBRO LÄN</t>
        </is>
      </c>
      <c r="E434" t="inlineStr">
        <is>
          <t>ÖREBRO</t>
        </is>
      </c>
      <c r="G434" t="n">
        <v>4.3</v>
      </c>
      <c r="H434" t="n">
        <v>0</v>
      </c>
      <c r="I434" t="n">
        <v>0</v>
      </c>
      <c r="J434" t="n">
        <v>0</v>
      </c>
      <c r="K434" t="n">
        <v>0</v>
      </c>
      <c r="L434" t="n">
        <v>0</v>
      </c>
      <c r="M434" t="n">
        <v>0</v>
      </c>
      <c r="N434" t="n">
        <v>0</v>
      </c>
      <c r="O434" t="n">
        <v>0</v>
      </c>
      <c r="P434" t="n">
        <v>0</v>
      </c>
      <c r="Q434" t="n">
        <v>0</v>
      </c>
      <c r="R434" s="2" t="inlineStr"/>
    </row>
    <row r="435" ht="15" customHeight="1">
      <c r="A435" t="inlineStr">
        <is>
          <t>A 5338-2024</t>
        </is>
      </c>
      <c r="B435" s="1" t="n">
        <v>45331</v>
      </c>
      <c r="C435" s="1" t="n">
        <v>45886</v>
      </c>
      <c r="D435" t="inlineStr">
        <is>
          <t>ÖREBRO LÄN</t>
        </is>
      </c>
      <c r="E435" t="inlineStr">
        <is>
          <t>ÖREBRO</t>
        </is>
      </c>
      <c r="G435" t="n">
        <v>0.6</v>
      </c>
      <c r="H435" t="n">
        <v>0</v>
      </c>
      <c r="I435" t="n">
        <v>0</v>
      </c>
      <c r="J435" t="n">
        <v>0</v>
      </c>
      <c r="K435" t="n">
        <v>0</v>
      </c>
      <c r="L435" t="n">
        <v>0</v>
      </c>
      <c r="M435" t="n">
        <v>0</v>
      </c>
      <c r="N435" t="n">
        <v>0</v>
      </c>
      <c r="O435" t="n">
        <v>0</v>
      </c>
      <c r="P435" t="n">
        <v>0</v>
      </c>
      <c r="Q435" t="n">
        <v>0</v>
      </c>
      <c r="R435" s="2" t="inlineStr"/>
    </row>
    <row r="436" ht="15" customHeight="1">
      <c r="A436" t="inlineStr">
        <is>
          <t>A 13592-2023</t>
        </is>
      </c>
      <c r="B436" s="1" t="n">
        <v>45006.56870370371</v>
      </c>
      <c r="C436" s="1" t="n">
        <v>45886</v>
      </c>
      <c r="D436" t="inlineStr">
        <is>
          <t>ÖREBRO LÄN</t>
        </is>
      </c>
      <c r="E436" t="inlineStr">
        <is>
          <t>ÖREBRO</t>
        </is>
      </c>
      <c r="G436" t="n">
        <v>2</v>
      </c>
      <c r="H436" t="n">
        <v>0</v>
      </c>
      <c r="I436" t="n">
        <v>0</v>
      </c>
      <c r="J436" t="n">
        <v>0</v>
      </c>
      <c r="K436" t="n">
        <v>0</v>
      </c>
      <c r="L436" t="n">
        <v>0</v>
      </c>
      <c r="M436" t="n">
        <v>0</v>
      </c>
      <c r="N436" t="n">
        <v>0</v>
      </c>
      <c r="O436" t="n">
        <v>0</v>
      </c>
      <c r="P436" t="n">
        <v>0</v>
      </c>
      <c r="Q436" t="n">
        <v>0</v>
      </c>
      <c r="R436" s="2" t="inlineStr"/>
    </row>
    <row r="437" ht="15" customHeight="1">
      <c r="A437" t="inlineStr">
        <is>
          <t>A 10368-2021</t>
        </is>
      </c>
      <c r="B437" s="1" t="n">
        <v>44257</v>
      </c>
      <c r="C437" s="1" t="n">
        <v>45886</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14487-2023</t>
        </is>
      </c>
      <c r="B438" s="1" t="n">
        <v>45012</v>
      </c>
      <c r="C438" s="1" t="n">
        <v>45886</v>
      </c>
      <c r="D438" t="inlineStr">
        <is>
          <t>ÖREBRO LÄN</t>
        </is>
      </c>
      <c r="E438" t="inlineStr">
        <is>
          <t>ÖREBRO</t>
        </is>
      </c>
      <c r="G438" t="n">
        <v>0.5</v>
      </c>
      <c r="H438" t="n">
        <v>0</v>
      </c>
      <c r="I438" t="n">
        <v>0</v>
      </c>
      <c r="J438" t="n">
        <v>0</v>
      </c>
      <c r="K438" t="n">
        <v>0</v>
      </c>
      <c r="L438" t="n">
        <v>0</v>
      </c>
      <c r="M438" t="n">
        <v>0</v>
      </c>
      <c r="N438" t="n">
        <v>0</v>
      </c>
      <c r="O438" t="n">
        <v>0</v>
      </c>
      <c r="P438" t="n">
        <v>0</v>
      </c>
      <c r="Q438" t="n">
        <v>0</v>
      </c>
      <c r="R438" s="2" t="inlineStr"/>
    </row>
    <row r="439" ht="15" customHeight="1">
      <c r="A439" t="inlineStr">
        <is>
          <t>A 59736-2023</t>
        </is>
      </c>
      <c r="B439" s="1" t="n">
        <v>45257.374375</v>
      </c>
      <c r="C439" s="1" t="n">
        <v>45886</v>
      </c>
      <c r="D439" t="inlineStr">
        <is>
          <t>ÖREBRO LÄN</t>
        </is>
      </c>
      <c r="E439" t="inlineStr">
        <is>
          <t>ÖREBRO</t>
        </is>
      </c>
      <c r="G439" t="n">
        <v>1.1</v>
      </c>
      <c r="H439" t="n">
        <v>0</v>
      </c>
      <c r="I439" t="n">
        <v>0</v>
      </c>
      <c r="J439" t="n">
        <v>0</v>
      </c>
      <c r="K439" t="n">
        <v>0</v>
      </c>
      <c r="L439" t="n">
        <v>0</v>
      </c>
      <c r="M439" t="n">
        <v>0</v>
      </c>
      <c r="N439" t="n">
        <v>0</v>
      </c>
      <c r="O439" t="n">
        <v>0</v>
      </c>
      <c r="P439" t="n">
        <v>0</v>
      </c>
      <c r="Q439" t="n">
        <v>0</v>
      </c>
      <c r="R439" s="2" t="inlineStr"/>
    </row>
    <row r="440" ht="15" customHeight="1">
      <c r="A440" t="inlineStr">
        <is>
          <t>A 8565-2021</t>
        </is>
      </c>
      <c r="B440" s="1" t="n">
        <v>44245</v>
      </c>
      <c r="C440" s="1" t="n">
        <v>45886</v>
      </c>
      <c r="D440" t="inlineStr">
        <is>
          <t>ÖREBRO LÄN</t>
        </is>
      </c>
      <c r="E440" t="inlineStr">
        <is>
          <t>ÖREBRO</t>
        </is>
      </c>
      <c r="G440" t="n">
        <v>0.6</v>
      </c>
      <c r="H440" t="n">
        <v>0</v>
      </c>
      <c r="I440" t="n">
        <v>0</v>
      </c>
      <c r="J440" t="n">
        <v>0</v>
      </c>
      <c r="K440" t="n">
        <v>0</v>
      </c>
      <c r="L440" t="n">
        <v>0</v>
      </c>
      <c r="M440" t="n">
        <v>0</v>
      </c>
      <c r="N440" t="n">
        <v>0</v>
      </c>
      <c r="O440" t="n">
        <v>0</v>
      </c>
      <c r="P440" t="n">
        <v>0</v>
      </c>
      <c r="Q440" t="n">
        <v>0</v>
      </c>
      <c r="R440" s="2" t="inlineStr"/>
    </row>
    <row r="441" ht="15" customHeight="1">
      <c r="A441" t="inlineStr">
        <is>
          <t>A 4970-2022</t>
        </is>
      </c>
      <c r="B441" s="1" t="n">
        <v>44593.51175925926</v>
      </c>
      <c r="C441" s="1" t="n">
        <v>45886</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18047-2023</t>
        </is>
      </c>
      <c r="B442" s="1" t="n">
        <v>45040</v>
      </c>
      <c r="C442" s="1" t="n">
        <v>45886</v>
      </c>
      <c r="D442" t="inlineStr">
        <is>
          <t>ÖREBRO LÄN</t>
        </is>
      </c>
      <c r="E442" t="inlineStr">
        <is>
          <t>ÖREBRO</t>
        </is>
      </c>
      <c r="G442" t="n">
        <v>3.9</v>
      </c>
      <c r="H442" t="n">
        <v>0</v>
      </c>
      <c r="I442" t="n">
        <v>0</v>
      </c>
      <c r="J442" t="n">
        <v>0</v>
      </c>
      <c r="K442" t="n">
        <v>0</v>
      </c>
      <c r="L442" t="n">
        <v>0</v>
      </c>
      <c r="M442" t="n">
        <v>0</v>
      </c>
      <c r="N442" t="n">
        <v>0</v>
      </c>
      <c r="O442" t="n">
        <v>0</v>
      </c>
      <c r="P442" t="n">
        <v>0</v>
      </c>
      <c r="Q442" t="n">
        <v>0</v>
      </c>
      <c r="R442" s="2" t="inlineStr"/>
    </row>
    <row r="443" ht="15" customHeight="1">
      <c r="A443" t="inlineStr">
        <is>
          <t>A 55355-2024</t>
        </is>
      </c>
      <c r="B443" s="1" t="n">
        <v>45621.80475694445</v>
      </c>
      <c r="C443" s="1" t="n">
        <v>45886</v>
      </c>
      <c r="D443" t="inlineStr">
        <is>
          <t>ÖREBRO LÄN</t>
        </is>
      </c>
      <c r="E443" t="inlineStr">
        <is>
          <t>ÖREBRO</t>
        </is>
      </c>
      <c r="G443" t="n">
        <v>1.6</v>
      </c>
      <c r="H443" t="n">
        <v>0</v>
      </c>
      <c r="I443" t="n">
        <v>0</v>
      </c>
      <c r="J443" t="n">
        <v>0</v>
      </c>
      <c r="K443" t="n">
        <v>0</v>
      </c>
      <c r="L443" t="n">
        <v>0</v>
      </c>
      <c r="M443" t="n">
        <v>0</v>
      </c>
      <c r="N443" t="n">
        <v>0</v>
      </c>
      <c r="O443" t="n">
        <v>0</v>
      </c>
      <c r="P443" t="n">
        <v>0</v>
      </c>
      <c r="Q443" t="n">
        <v>0</v>
      </c>
      <c r="R443" s="2" t="inlineStr"/>
    </row>
    <row r="444" ht="15" customHeight="1">
      <c r="A444" t="inlineStr">
        <is>
          <t>A 49029-2024</t>
        </is>
      </c>
      <c r="B444" s="1" t="n">
        <v>45594</v>
      </c>
      <c r="C444" s="1" t="n">
        <v>45886</v>
      </c>
      <c r="D444" t="inlineStr">
        <is>
          <t>ÖREBRO LÄN</t>
        </is>
      </c>
      <c r="E444" t="inlineStr">
        <is>
          <t>ÖREBRO</t>
        </is>
      </c>
      <c r="G444" t="n">
        <v>3.7</v>
      </c>
      <c r="H444" t="n">
        <v>0</v>
      </c>
      <c r="I444" t="n">
        <v>0</v>
      </c>
      <c r="J444" t="n">
        <v>0</v>
      </c>
      <c r="K444" t="n">
        <v>0</v>
      </c>
      <c r="L444" t="n">
        <v>0</v>
      </c>
      <c r="M444" t="n">
        <v>0</v>
      </c>
      <c r="N444" t="n">
        <v>0</v>
      </c>
      <c r="O444" t="n">
        <v>0</v>
      </c>
      <c r="P444" t="n">
        <v>0</v>
      </c>
      <c r="Q444" t="n">
        <v>0</v>
      </c>
      <c r="R444" s="2" t="inlineStr"/>
    </row>
    <row r="445" ht="15" customHeight="1">
      <c r="A445" t="inlineStr">
        <is>
          <t>A 20115-2024</t>
        </is>
      </c>
      <c r="B445" s="1" t="n">
        <v>45434</v>
      </c>
      <c r="C445" s="1" t="n">
        <v>45886</v>
      </c>
      <c r="D445" t="inlineStr">
        <is>
          <t>ÖREBRO LÄN</t>
        </is>
      </c>
      <c r="E445" t="inlineStr">
        <is>
          <t>ÖREBRO</t>
        </is>
      </c>
      <c r="G445" t="n">
        <v>1.7</v>
      </c>
      <c r="H445" t="n">
        <v>0</v>
      </c>
      <c r="I445" t="n">
        <v>0</v>
      </c>
      <c r="J445" t="n">
        <v>0</v>
      </c>
      <c r="K445" t="n">
        <v>0</v>
      </c>
      <c r="L445" t="n">
        <v>0</v>
      </c>
      <c r="M445" t="n">
        <v>0</v>
      </c>
      <c r="N445" t="n">
        <v>0</v>
      </c>
      <c r="O445" t="n">
        <v>0</v>
      </c>
      <c r="P445" t="n">
        <v>0</v>
      </c>
      <c r="Q445" t="n">
        <v>0</v>
      </c>
      <c r="R445" s="2" t="inlineStr"/>
    </row>
    <row r="446" ht="15" customHeight="1">
      <c r="A446" t="inlineStr">
        <is>
          <t>A 3789-2023</t>
        </is>
      </c>
      <c r="B446" s="1" t="n">
        <v>44951</v>
      </c>
      <c r="C446" s="1" t="n">
        <v>45886</v>
      </c>
      <c r="D446" t="inlineStr">
        <is>
          <t>ÖREBRO LÄN</t>
        </is>
      </c>
      <c r="E446" t="inlineStr">
        <is>
          <t>ÖREBRO</t>
        </is>
      </c>
      <c r="G446" t="n">
        <v>7.5</v>
      </c>
      <c r="H446" t="n">
        <v>0</v>
      </c>
      <c r="I446" t="n">
        <v>0</v>
      </c>
      <c r="J446" t="n">
        <v>0</v>
      </c>
      <c r="K446" t="n">
        <v>0</v>
      </c>
      <c r="L446" t="n">
        <v>0</v>
      </c>
      <c r="M446" t="n">
        <v>0</v>
      </c>
      <c r="N446" t="n">
        <v>0</v>
      </c>
      <c r="O446" t="n">
        <v>0</v>
      </c>
      <c r="P446" t="n">
        <v>0</v>
      </c>
      <c r="Q446" t="n">
        <v>0</v>
      </c>
      <c r="R446" s="2" t="inlineStr"/>
    </row>
    <row r="447" ht="15" customHeight="1">
      <c r="A447" t="inlineStr">
        <is>
          <t>A 55875-2024</t>
        </is>
      </c>
      <c r="B447" s="1" t="n">
        <v>45623.55375</v>
      </c>
      <c r="C447" s="1" t="n">
        <v>45886</v>
      </c>
      <c r="D447" t="inlineStr">
        <is>
          <t>ÖREBRO LÄN</t>
        </is>
      </c>
      <c r="E447" t="inlineStr">
        <is>
          <t>ÖREBRO</t>
        </is>
      </c>
      <c r="G447" t="n">
        <v>3.5</v>
      </c>
      <c r="H447" t="n">
        <v>0</v>
      </c>
      <c r="I447" t="n">
        <v>0</v>
      </c>
      <c r="J447" t="n">
        <v>0</v>
      </c>
      <c r="K447" t="n">
        <v>0</v>
      </c>
      <c r="L447" t="n">
        <v>0</v>
      </c>
      <c r="M447" t="n">
        <v>0</v>
      </c>
      <c r="N447" t="n">
        <v>0</v>
      </c>
      <c r="O447" t="n">
        <v>0</v>
      </c>
      <c r="P447" t="n">
        <v>0</v>
      </c>
      <c r="Q447" t="n">
        <v>0</v>
      </c>
      <c r="R447" s="2" t="inlineStr"/>
    </row>
    <row r="448" ht="15" customHeight="1">
      <c r="A448" t="inlineStr">
        <is>
          <t>A 23710-2022</t>
        </is>
      </c>
      <c r="B448" s="1" t="n">
        <v>44722</v>
      </c>
      <c r="C448" s="1" t="n">
        <v>45886</v>
      </c>
      <c r="D448" t="inlineStr">
        <is>
          <t>ÖREBRO LÄN</t>
        </is>
      </c>
      <c r="E448" t="inlineStr">
        <is>
          <t>ÖREBRO</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10470-2025</t>
        </is>
      </c>
      <c r="B449" s="1" t="n">
        <v>45720</v>
      </c>
      <c r="C449" s="1" t="n">
        <v>45886</v>
      </c>
      <c r="D449" t="inlineStr">
        <is>
          <t>ÖREBRO LÄN</t>
        </is>
      </c>
      <c r="E449" t="inlineStr">
        <is>
          <t>ÖREBRO</t>
        </is>
      </c>
      <c r="G449" t="n">
        <v>11.5</v>
      </c>
      <c r="H449" t="n">
        <v>0</v>
      </c>
      <c r="I449" t="n">
        <v>0</v>
      </c>
      <c r="J449" t="n">
        <v>0</v>
      </c>
      <c r="K449" t="n">
        <v>0</v>
      </c>
      <c r="L449" t="n">
        <v>0</v>
      </c>
      <c r="M449" t="n">
        <v>0</v>
      </c>
      <c r="N449" t="n">
        <v>0</v>
      </c>
      <c r="O449" t="n">
        <v>0</v>
      </c>
      <c r="P449" t="n">
        <v>0</v>
      </c>
      <c r="Q449" t="n">
        <v>0</v>
      </c>
      <c r="R449" s="2" t="inlineStr"/>
    </row>
    <row r="450" ht="15" customHeight="1">
      <c r="A450" t="inlineStr">
        <is>
          <t>A 46056-2024</t>
        </is>
      </c>
      <c r="B450" s="1" t="n">
        <v>45580.91502314815</v>
      </c>
      <c r="C450" s="1" t="n">
        <v>45886</v>
      </c>
      <c r="D450" t="inlineStr">
        <is>
          <t>ÖREBRO LÄN</t>
        </is>
      </c>
      <c r="E450" t="inlineStr">
        <is>
          <t>ÖREBRO</t>
        </is>
      </c>
      <c r="F450" t="inlineStr">
        <is>
          <t>Övriga Aktiebolag</t>
        </is>
      </c>
      <c r="G450" t="n">
        <v>4.5</v>
      </c>
      <c r="H450" t="n">
        <v>0</v>
      </c>
      <c r="I450" t="n">
        <v>0</v>
      </c>
      <c r="J450" t="n">
        <v>0</v>
      </c>
      <c r="K450" t="n">
        <v>0</v>
      </c>
      <c r="L450" t="n">
        <v>0</v>
      </c>
      <c r="M450" t="n">
        <v>0</v>
      </c>
      <c r="N450" t="n">
        <v>0</v>
      </c>
      <c r="O450" t="n">
        <v>0</v>
      </c>
      <c r="P450" t="n">
        <v>0</v>
      </c>
      <c r="Q450" t="n">
        <v>0</v>
      </c>
      <c r="R450" s="2" t="inlineStr"/>
    </row>
    <row r="451" ht="15" customHeight="1">
      <c r="A451" t="inlineStr">
        <is>
          <t>A 13355-2023</t>
        </is>
      </c>
      <c r="B451" s="1" t="n">
        <v>45004</v>
      </c>
      <c r="C451" s="1" t="n">
        <v>45886</v>
      </c>
      <c r="D451" t="inlineStr">
        <is>
          <t>ÖREBRO LÄN</t>
        </is>
      </c>
      <c r="E451" t="inlineStr">
        <is>
          <t>ÖREBRO</t>
        </is>
      </c>
      <c r="G451" t="n">
        <v>2.3</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44593.63974537037</v>
      </c>
      <c r="C452" s="1" t="n">
        <v>45886</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65257-2023</t>
        </is>
      </c>
      <c r="B453" s="1" t="n">
        <v>45290</v>
      </c>
      <c r="C453" s="1" t="n">
        <v>45886</v>
      </c>
      <c r="D453" t="inlineStr">
        <is>
          <t>ÖREBRO LÄN</t>
        </is>
      </c>
      <c r="E453" t="inlineStr">
        <is>
          <t>ÖREBRO</t>
        </is>
      </c>
      <c r="F453" t="inlineStr">
        <is>
          <t>Övriga Aktiebolag</t>
        </is>
      </c>
      <c r="G453" t="n">
        <v>2.4</v>
      </c>
      <c r="H453" t="n">
        <v>0</v>
      </c>
      <c r="I453" t="n">
        <v>0</v>
      </c>
      <c r="J453" t="n">
        <v>0</v>
      </c>
      <c r="K453" t="n">
        <v>0</v>
      </c>
      <c r="L453" t="n">
        <v>0</v>
      </c>
      <c r="M453" t="n">
        <v>0</v>
      </c>
      <c r="N453" t="n">
        <v>0</v>
      </c>
      <c r="O453" t="n">
        <v>0</v>
      </c>
      <c r="P453" t="n">
        <v>0</v>
      </c>
      <c r="Q453" t="n">
        <v>0</v>
      </c>
      <c r="R453" s="2" t="inlineStr"/>
    </row>
    <row r="454" ht="15" customHeight="1">
      <c r="A454" t="inlineStr">
        <is>
          <t>A 6522-2023</t>
        </is>
      </c>
      <c r="B454" s="1" t="n">
        <v>44966</v>
      </c>
      <c r="C454" s="1" t="n">
        <v>45886</v>
      </c>
      <c r="D454" t="inlineStr">
        <is>
          <t>ÖREBRO LÄN</t>
        </is>
      </c>
      <c r="E454" t="inlineStr">
        <is>
          <t>ÖREBRO</t>
        </is>
      </c>
      <c r="G454" t="n">
        <v>4.4</v>
      </c>
      <c r="H454" t="n">
        <v>0</v>
      </c>
      <c r="I454" t="n">
        <v>0</v>
      </c>
      <c r="J454" t="n">
        <v>0</v>
      </c>
      <c r="K454" t="n">
        <v>0</v>
      </c>
      <c r="L454" t="n">
        <v>0</v>
      </c>
      <c r="M454" t="n">
        <v>0</v>
      </c>
      <c r="N454" t="n">
        <v>0</v>
      </c>
      <c r="O454" t="n">
        <v>0</v>
      </c>
      <c r="P454" t="n">
        <v>0</v>
      </c>
      <c r="Q454" t="n">
        <v>0</v>
      </c>
      <c r="R454" s="2" t="inlineStr"/>
    </row>
    <row r="455" ht="15" customHeight="1">
      <c r="A455" t="inlineStr">
        <is>
          <t>A 56040-2024</t>
        </is>
      </c>
      <c r="B455" s="1" t="n">
        <v>45624.3344212963</v>
      </c>
      <c r="C455" s="1" t="n">
        <v>45886</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52444-2024</t>
        </is>
      </c>
      <c r="B456" s="1" t="n">
        <v>45609.48894675926</v>
      </c>
      <c r="C456" s="1" t="n">
        <v>45886</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60128-2023</t>
        </is>
      </c>
      <c r="B457" s="1" t="n">
        <v>45258</v>
      </c>
      <c r="C457" s="1" t="n">
        <v>45886</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16140-2023</t>
        </is>
      </c>
      <c r="B458" s="1" t="n">
        <v>45027.6433912037</v>
      </c>
      <c r="C458" s="1" t="n">
        <v>45886</v>
      </c>
      <c r="D458" t="inlineStr">
        <is>
          <t>ÖREBRO LÄN</t>
        </is>
      </c>
      <c r="E458" t="inlineStr">
        <is>
          <t>ÖREBRO</t>
        </is>
      </c>
      <c r="G458" t="n">
        <v>2</v>
      </c>
      <c r="H458" t="n">
        <v>0</v>
      </c>
      <c r="I458" t="n">
        <v>0</v>
      </c>
      <c r="J458" t="n">
        <v>0</v>
      </c>
      <c r="K458" t="n">
        <v>0</v>
      </c>
      <c r="L458" t="n">
        <v>0</v>
      </c>
      <c r="M458" t="n">
        <v>0</v>
      </c>
      <c r="N458" t="n">
        <v>0</v>
      </c>
      <c r="O458" t="n">
        <v>0</v>
      </c>
      <c r="P458" t="n">
        <v>0</v>
      </c>
      <c r="Q458" t="n">
        <v>0</v>
      </c>
      <c r="R458" s="2" t="inlineStr"/>
    </row>
    <row r="459" ht="15" customHeight="1">
      <c r="A459" t="inlineStr">
        <is>
          <t>A 54917-2023</t>
        </is>
      </c>
      <c r="B459" s="1" t="n">
        <v>45229</v>
      </c>
      <c r="C459" s="1" t="n">
        <v>45886</v>
      </c>
      <c r="D459" t="inlineStr">
        <is>
          <t>ÖREBRO LÄN</t>
        </is>
      </c>
      <c r="E459" t="inlineStr">
        <is>
          <t>ÖREBRO</t>
        </is>
      </c>
      <c r="G459" t="n">
        <v>3.1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44545.46072916667</v>
      </c>
      <c r="C460" s="1" t="n">
        <v>45886</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43803-2023</t>
        </is>
      </c>
      <c r="B461" s="1" t="n">
        <v>45187</v>
      </c>
      <c r="C461" s="1" t="n">
        <v>45886</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44602.48082175926</v>
      </c>
      <c r="C462" s="1" t="n">
        <v>45886</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15789-2023</t>
        </is>
      </c>
      <c r="B463" s="1" t="n">
        <v>45021.71539351852</v>
      </c>
      <c r="C463" s="1" t="n">
        <v>45886</v>
      </c>
      <c r="D463" t="inlineStr">
        <is>
          <t>ÖREBRO LÄN</t>
        </is>
      </c>
      <c r="E463" t="inlineStr">
        <is>
          <t>ÖREBRO</t>
        </is>
      </c>
      <c r="F463" t="inlineStr">
        <is>
          <t>Övriga Aktiebolag</t>
        </is>
      </c>
      <c r="G463" t="n">
        <v>3.7</v>
      </c>
      <c r="H463" t="n">
        <v>0</v>
      </c>
      <c r="I463" t="n">
        <v>0</v>
      </c>
      <c r="J463" t="n">
        <v>0</v>
      </c>
      <c r="K463" t="n">
        <v>0</v>
      </c>
      <c r="L463" t="n">
        <v>0</v>
      </c>
      <c r="M463" t="n">
        <v>0</v>
      </c>
      <c r="N463" t="n">
        <v>0</v>
      </c>
      <c r="O463" t="n">
        <v>0</v>
      </c>
      <c r="P463" t="n">
        <v>0</v>
      </c>
      <c r="Q463" t="n">
        <v>0</v>
      </c>
      <c r="R463" s="2" t="inlineStr"/>
    </row>
    <row r="464" ht="15" customHeight="1">
      <c r="A464" t="inlineStr">
        <is>
          <t>A 58539-2024</t>
        </is>
      </c>
      <c r="B464" s="1" t="n">
        <v>45635.45157407408</v>
      </c>
      <c r="C464" s="1" t="n">
        <v>45886</v>
      </c>
      <c r="D464" t="inlineStr">
        <is>
          <t>ÖREBRO LÄN</t>
        </is>
      </c>
      <c r="E464" t="inlineStr">
        <is>
          <t>ÖREBRO</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59757-2023</t>
        </is>
      </c>
      <c r="B465" s="1" t="n">
        <v>45257.40833333333</v>
      </c>
      <c r="C465" s="1" t="n">
        <v>45886</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17869-2024</t>
        </is>
      </c>
      <c r="B466" s="1" t="n">
        <v>45419</v>
      </c>
      <c r="C466" s="1" t="n">
        <v>45886</v>
      </c>
      <c r="D466" t="inlineStr">
        <is>
          <t>ÖREBRO LÄN</t>
        </is>
      </c>
      <c r="E466" t="inlineStr">
        <is>
          <t>ÖREBRO</t>
        </is>
      </c>
      <c r="G466" t="n">
        <v>3.7</v>
      </c>
      <c r="H466" t="n">
        <v>0</v>
      </c>
      <c r="I466" t="n">
        <v>0</v>
      </c>
      <c r="J466" t="n">
        <v>0</v>
      </c>
      <c r="K466" t="n">
        <v>0</v>
      </c>
      <c r="L466" t="n">
        <v>0</v>
      </c>
      <c r="M466" t="n">
        <v>0</v>
      </c>
      <c r="N466" t="n">
        <v>0</v>
      </c>
      <c r="O466" t="n">
        <v>0</v>
      </c>
      <c r="P466" t="n">
        <v>0</v>
      </c>
      <c r="Q466" t="n">
        <v>0</v>
      </c>
      <c r="R466" s="2" t="inlineStr"/>
    </row>
    <row r="467" ht="15" customHeight="1">
      <c r="A467" t="inlineStr">
        <is>
          <t>A 34056-2023</t>
        </is>
      </c>
      <c r="B467" s="1" t="n">
        <v>45135</v>
      </c>
      <c r="C467" s="1" t="n">
        <v>45886</v>
      </c>
      <c r="D467" t="inlineStr">
        <is>
          <t>ÖREBRO LÄN</t>
        </is>
      </c>
      <c r="E467" t="inlineStr">
        <is>
          <t>ÖREBRO</t>
        </is>
      </c>
      <c r="F467" t="inlineStr">
        <is>
          <t>Övriga Aktiebolag</t>
        </is>
      </c>
      <c r="G467" t="n">
        <v>4.1</v>
      </c>
      <c r="H467" t="n">
        <v>0</v>
      </c>
      <c r="I467" t="n">
        <v>0</v>
      </c>
      <c r="J467" t="n">
        <v>0</v>
      </c>
      <c r="K467" t="n">
        <v>0</v>
      </c>
      <c r="L467" t="n">
        <v>0</v>
      </c>
      <c r="M467" t="n">
        <v>0</v>
      </c>
      <c r="N467" t="n">
        <v>0</v>
      </c>
      <c r="O467" t="n">
        <v>0</v>
      </c>
      <c r="P467" t="n">
        <v>0</v>
      </c>
      <c r="Q467" t="n">
        <v>0</v>
      </c>
      <c r="R467" s="2" t="inlineStr"/>
    </row>
    <row r="468" ht="15" customHeight="1">
      <c r="A468" t="inlineStr">
        <is>
          <t>A 33457-2023</t>
        </is>
      </c>
      <c r="B468" s="1" t="n">
        <v>45131</v>
      </c>
      <c r="C468" s="1" t="n">
        <v>45886</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45237-2023</t>
        </is>
      </c>
      <c r="B469" s="1" t="n">
        <v>45191</v>
      </c>
      <c r="C469" s="1" t="n">
        <v>45886</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5946-2021</t>
        </is>
      </c>
      <c r="B470" s="1" t="n">
        <v>44230</v>
      </c>
      <c r="C470" s="1" t="n">
        <v>45886</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51180-2023</t>
        </is>
      </c>
      <c r="B471" s="1" t="n">
        <v>45219</v>
      </c>
      <c r="C471" s="1" t="n">
        <v>45886</v>
      </c>
      <c r="D471" t="inlineStr">
        <is>
          <t>ÖREBRO LÄN</t>
        </is>
      </c>
      <c r="E471" t="inlineStr">
        <is>
          <t>ÖREBRO</t>
        </is>
      </c>
      <c r="G471" t="n">
        <v>6.5</v>
      </c>
      <c r="H471" t="n">
        <v>0</v>
      </c>
      <c r="I471" t="n">
        <v>0</v>
      </c>
      <c r="J471" t="n">
        <v>0</v>
      </c>
      <c r="K471" t="n">
        <v>0</v>
      </c>
      <c r="L471" t="n">
        <v>0</v>
      </c>
      <c r="M471" t="n">
        <v>0</v>
      </c>
      <c r="N471" t="n">
        <v>0</v>
      </c>
      <c r="O471" t="n">
        <v>0</v>
      </c>
      <c r="P471" t="n">
        <v>0</v>
      </c>
      <c r="Q471" t="n">
        <v>0</v>
      </c>
      <c r="R471" s="2" t="inlineStr"/>
    </row>
    <row r="472" ht="15" customHeight="1">
      <c r="A472" t="inlineStr">
        <is>
          <t>A 71272-2021</t>
        </is>
      </c>
      <c r="B472" s="1" t="n">
        <v>44539.61571759259</v>
      </c>
      <c r="C472" s="1" t="n">
        <v>45886</v>
      </c>
      <c r="D472" t="inlineStr">
        <is>
          <t>ÖREBRO LÄN</t>
        </is>
      </c>
      <c r="E472" t="inlineStr">
        <is>
          <t>ÖREBRO</t>
        </is>
      </c>
      <c r="G472" t="n">
        <v>0.9</v>
      </c>
      <c r="H472" t="n">
        <v>0</v>
      </c>
      <c r="I472" t="n">
        <v>0</v>
      </c>
      <c r="J472" t="n">
        <v>0</v>
      </c>
      <c r="K472" t="n">
        <v>0</v>
      </c>
      <c r="L472" t="n">
        <v>0</v>
      </c>
      <c r="M472" t="n">
        <v>0</v>
      </c>
      <c r="N472" t="n">
        <v>0</v>
      </c>
      <c r="O472" t="n">
        <v>0</v>
      </c>
      <c r="P472" t="n">
        <v>0</v>
      </c>
      <c r="Q472" t="n">
        <v>0</v>
      </c>
      <c r="R472" s="2" t="inlineStr"/>
    </row>
    <row r="473" ht="15" customHeight="1">
      <c r="A473" t="inlineStr">
        <is>
          <t>A 60028-2024</t>
        </is>
      </c>
      <c r="B473" s="1" t="n">
        <v>45642</v>
      </c>
      <c r="C473" s="1" t="n">
        <v>45886</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4557-2023</t>
        </is>
      </c>
      <c r="B474" s="1" t="n">
        <v>44956.6655787037</v>
      </c>
      <c r="C474" s="1" t="n">
        <v>45886</v>
      </c>
      <c r="D474" t="inlineStr">
        <is>
          <t>ÖREBRO LÄN</t>
        </is>
      </c>
      <c r="E474" t="inlineStr">
        <is>
          <t>ÖREBRO</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33294-2023</t>
        </is>
      </c>
      <c r="B475" s="1" t="n">
        <v>45127</v>
      </c>
      <c r="C475" s="1" t="n">
        <v>45886</v>
      </c>
      <c r="D475" t="inlineStr">
        <is>
          <t>ÖREBRO LÄN</t>
        </is>
      </c>
      <c r="E475" t="inlineStr">
        <is>
          <t>ÖREBRO</t>
        </is>
      </c>
      <c r="F475" t="inlineStr">
        <is>
          <t>Övriga Aktiebolag</t>
        </is>
      </c>
      <c r="G475" t="n">
        <v>6.7</v>
      </c>
      <c r="H475" t="n">
        <v>0</v>
      </c>
      <c r="I475" t="n">
        <v>0</v>
      </c>
      <c r="J475" t="n">
        <v>0</v>
      </c>
      <c r="K475" t="n">
        <v>0</v>
      </c>
      <c r="L475" t="n">
        <v>0</v>
      </c>
      <c r="M475" t="n">
        <v>0</v>
      </c>
      <c r="N475" t="n">
        <v>0</v>
      </c>
      <c r="O475" t="n">
        <v>0</v>
      </c>
      <c r="P475" t="n">
        <v>0</v>
      </c>
      <c r="Q475" t="n">
        <v>0</v>
      </c>
      <c r="R475" s="2" t="inlineStr"/>
    </row>
    <row r="476" ht="15" customHeight="1">
      <c r="A476" t="inlineStr">
        <is>
          <t>A 60100-2022</t>
        </is>
      </c>
      <c r="B476" s="1" t="n">
        <v>44902</v>
      </c>
      <c r="C476" s="1" t="n">
        <v>45886</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17465-2023</t>
        </is>
      </c>
      <c r="B477" s="1" t="n">
        <v>45036</v>
      </c>
      <c r="C477" s="1" t="n">
        <v>45886</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6213-2021</t>
        </is>
      </c>
      <c r="B478" s="1" t="n">
        <v>44232</v>
      </c>
      <c r="C478" s="1" t="n">
        <v>45886</v>
      </c>
      <c r="D478" t="inlineStr">
        <is>
          <t>ÖREBRO LÄN</t>
        </is>
      </c>
      <c r="E478" t="inlineStr">
        <is>
          <t>ÖREBRO</t>
        </is>
      </c>
      <c r="G478" t="n">
        <v>4</v>
      </c>
      <c r="H478" t="n">
        <v>0</v>
      </c>
      <c r="I478" t="n">
        <v>0</v>
      </c>
      <c r="J478" t="n">
        <v>0</v>
      </c>
      <c r="K478" t="n">
        <v>0</v>
      </c>
      <c r="L478" t="n">
        <v>0</v>
      </c>
      <c r="M478" t="n">
        <v>0</v>
      </c>
      <c r="N478" t="n">
        <v>0</v>
      </c>
      <c r="O478" t="n">
        <v>0</v>
      </c>
      <c r="P478" t="n">
        <v>0</v>
      </c>
      <c r="Q478" t="n">
        <v>0</v>
      </c>
      <c r="R478" s="2" t="inlineStr"/>
    </row>
    <row r="479" ht="15" customHeight="1">
      <c r="A479" t="inlineStr">
        <is>
          <t>A 52016-2024</t>
        </is>
      </c>
      <c r="B479" s="1" t="n">
        <v>45607.81917824074</v>
      </c>
      <c r="C479" s="1" t="n">
        <v>45886</v>
      </c>
      <c r="D479" t="inlineStr">
        <is>
          <t>ÖREBRO LÄN</t>
        </is>
      </c>
      <c r="E479" t="inlineStr">
        <is>
          <t>ÖREBRO</t>
        </is>
      </c>
      <c r="G479" t="n">
        <v>1.9</v>
      </c>
      <c r="H479" t="n">
        <v>0</v>
      </c>
      <c r="I479" t="n">
        <v>0</v>
      </c>
      <c r="J479" t="n">
        <v>0</v>
      </c>
      <c r="K479" t="n">
        <v>0</v>
      </c>
      <c r="L479" t="n">
        <v>0</v>
      </c>
      <c r="M479" t="n">
        <v>0</v>
      </c>
      <c r="N479" t="n">
        <v>0</v>
      </c>
      <c r="O479" t="n">
        <v>0</v>
      </c>
      <c r="P479" t="n">
        <v>0</v>
      </c>
      <c r="Q479" t="n">
        <v>0</v>
      </c>
      <c r="R479" s="2" t="inlineStr"/>
    </row>
    <row r="480" ht="15" customHeight="1">
      <c r="A480" t="inlineStr">
        <is>
          <t>A 13857-2022</t>
        </is>
      </c>
      <c r="B480" s="1" t="n">
        <v>44649</v>
      </c>
      <c r="C480" s="1" t="n">
        <v>45886</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61078-2024</t>
        </is>
      </c>
      <c r="B481" s="1" t="n">
        <v>45645.51034722223</v>
      </c>
      <c r="C481" s="1" t="n">
        <v>45886</v>
      </c>
      <c r="D481" t="inlineStr">
        <is>
          <t>ÖREBRO LÄN</t>
        </is>
      </c>
      <c r="E481" t="inlineStr">
        <is>
          <t>ÖREBRO</t>
        </is>
      </c>
      <c r="G481" t="n">
        <v>4.1</v>
      </c>
      <c r="H481" t="n">
        <v>0</v>
      </c>
      <c r="I481" t="n">
        <v>0</v>
      </c>
      <c r="J481" t="n">
        <v>0</v>
      </c>
      <c r="K481" t="n">
        <v>0</v>
      </c>
      <c r="L481" t="n">
        <v>0</v>
      </c>
      <c r="M481" t="n">
        <v>0</v>
      </c>
      <c r="N481" t="n">
        <v>0</v>
      </c>
      <c r="O481" t="n">
        <v>0</v>
      </c>
      <c r="P481" t="n">
        <v>0</v>
      </c>
      <c r="Q481" t="n">
        <v>0</v>
      </c>
      <c r="R481" s="2" t="inlineStr"/>
    </row>
    <row r="482" ht="15" customHeight="1">
      <c r="A482" t="inlineStr">
        <is>
          <t>A 52477-2024</t>
        </is>
      </c>
      <c r="B482" s="1" t="n">
        <v>45609</v>
      </c>
      <c r="C482" s="1" t="n">
        <v>45886</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12871-2021</t>
        </is>
      </c>
      <c r="B483" s="1" t="n">
        <v>44271.42121527778</v>
      </c>
      <c r="C483" s="1" t="n">
        <v>45886</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53558-2023</t>
        </is>
      </c>
      <c r="B484" s="1" t="n">
        <v>45230.47266203703</v>
      </c>
      <c r="C484" s="1" t="n">
        <v>45886</v>
      </c>
      <c r="D484" t="inlineStr">
        <is>
          <t>ÖREBRO LÄN</t>
        </is>
      </c>
      <c r="E484" t="inlineStr">
        <is>
          <t>ÖREBRO</t>
        </is>
      </c>
      <c r="F484" t="inlineStr">
        <is>
          <t>Övriga Aktiebolag</t>
        </is>
      </c>
      <c r="G484" t="n">
        <v>4.7</v>
      </c>
      <c r="H484" t="n">
        <v>0</v>
      </c>
      <c r="I484" t="n">
        <v>0</v>
      </c>
      <c r="J484" t="n">
        <v>0</v>
      </c>
      <c r="K484" t="n">
        <v>0</v>
      </c>
      <c r="L484" t="n">
        <v>0</v>
      </c>
      <c r="M484" t="n">
        <v>0</v>
      </c>
      <c r="N484" t="n">
        <v>0</v>
      </c>
      <c r="O484" t="n">
        <v>0</v>
      </c>
      <c r="P484" t="n">
        <v>0</v>
      </c>
      <c r="Q484" t="n">
        <v>0</v>
      </c>
      <c r="R484" s="2" t="inlineStr"/>
    </row>
    <row r="485" ht="15" customHeight="1">
      <c r="A485" t="inlineStr">
        <is>
          <t>A 13158-2024</t>
        </is>
      </c>
      <c r="B485" s="1" t="n">
        <v>45386.38728009259</v>
      </c>
      <c r="C485" s="1" t="n">
        <v>45886</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13181-2023</t>
        </is>
      </c>
      <c r="B486" s="1" t="n">
        <v>45002.60659722222</v>
      </c>
      <c r="C486" s="1" t="n">
        <v>45886</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25996-2024</t>
        </is>
      </c>
      <c r="B487" s="1" t="n">
        <v>45467.89081018518</v>
      </c>
      <c r="C487" s="1" t="n">
        <v>45886</v>
      </c>
      <c r="D487" t="inlineStr">
        <is>
          <t>ÖREBRO LÄN</t>
        </is>
      </c>
      <c r="E487" t="inlineStr">
        <is>
          <t>ÖREBRO</t>
        </is>
      </c>
      <c r="G487" t="n">
        <v>4.7</v>
      </c>
      <c r="H487" t="n">
        <v>0</v>
      </c>
      <c r="I487" t="n">
        <v>0</v>
      </c>
      <c r="J487" t="n">
        <v>0</v>
      </c>
      <c r="K487" t="n">
        <v>0</v>
      </c>
      <c r="L487" t="n">
        <v>0</v>
      </c>
      <c r="M487" t="n">
        <v>0</v>
      </c>
      <c r="N487" t="n">
        <v>0</v>
      </c>
      <c r="O487" t="n">
        <v>0</v>
      </c>
      <c r="P487" t="n">
        <v>0</v>
      </c>
      <c r="Q487" t="n">
        <v>0</v>
      </c>
      <c r="R487" s="2" t="inlineStr"/>
    </row>
    <row r="488" ht="15" customHeight="1">
      <c r="A488" t="inlineStr">
        <is>
          <t>A 16676-2025</t>
        </is>
      </c>
      <c r="B488" s="1" t="n">
        <v>45754.44658564815</v>
      </c>
      <c r="C488" s="1" t="n">
        <v>45886</v>
      </c>
      <c r="D488" t="inlineStr">
        <is>
          <t>ÖREBRO LÄN</t>
        </is>
      </c>
      <c r="E488" t="inlineStr">
        <is>
          <t>ÖREBRO</t>
        </is>
      </c>
      <c r="G488" t="n">
        <v>5.8</v>
      </c>
      <c r="H488" t="n">
        <v>0</v>
      </c>
      <c r="I488" t="n">
        <v>0</v>
      </c>
      <c r="J488" t="n">
        <v>0</v>
      </c>
      <c r="K488" t="n">
        <v>0</v>
      </c>
      <c r="L488" t="n">
        <v>0</v>
      </c>
      <c r="M488" t="n">
        <v>0</v>
      </c>
      <c r="N488" t="n">
        <v>0</v>
      </c>
      <c r="O488" t="n">
        <v>0</v>
      </c>
      <c r="P488" t="n">
        <v>0</v>
      </c>
      <c r="Q488" t="n">
        <v>0</v>
      </c>
      <c r="R488" s="2" t="inlineStr"/>
    </row>
    <row r="489" ht="15" customHeight="1">
      <c r="A489" t="inlineStr">
        <is>
          <t>A 35843-2022</t>
        </is>
      </c>
      <c r="B489" s="1" t="n">
        <v>44802</v>
      </c>
      <c r="C489" s="1" t="n">
        <v>45886</v>
      </c>
      <c r="D489" t="inlineStr">
        <is>
          <t>ÖREBRO LÄN</t>
        </is>
      </c>
      <c r="E489" t="inlineStr">
        <is>
          <t>ÖREBRO</t>
        </is>
      </c>
      <c r="G489" t="n">
        <v>2.4</v>
      </c>
      <c r="H489" t="n">
        <v>0</v>
      </c>
      <c r="I489" t="n">
        <v>0</v>
      </c>
      <c r="J489" t="n">
        <v>0</v>
      </c>
      <c r="K489" t="n">
        <v>0</v>
      </c>
      <c r="L489" t="n">
        <v>0</v>
      </c>
      <c r="M489" t="n">
        <v>0</v>
      </c>
      <c r="N489" t="n">
        <v>0</v>
      </c>
      <c r="O489" t="n">
        <v>0</v>
      </c>
      <c r="P489" t="n">
        <v>0</v>
      </c>
      <c r="Q489" t="n">
        <v>0</v>
      </c>
      <c r="R489" s="2" t="inlineStr"/>
    </row>
    <row r="490" ht="15" customHeight="1">
      <c r="A490" t="inlineStr">
        <is>
          <t>A 23741-2022</t>
        </is>
      </c>
      <c r="B490" s="1" t="n">
        <v>44722</v>
      </c>
      <c r="C490" s="1" t="n">
        <v>45886</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8274-2025</t>
        </is>
      </c>
      <c r="B491" s="1" t="n">
        <v>45708</v>
      </c>
      <c r="C491" s="1" t="n">
        <v>45886</v>
      </c>
      <c r="D491" t="inlineStr">
        <is>
          <t>ÖREBRO LÄN</t>
        </is>
      </c>
      <c r="E491" t="inlineStr">
        <is>
          <t>ÖREBRO</t>
        </is>
      </c>
      <c r="G491" t="n">
        <v>5.8</v>
      </c>
      <c r="H491" t="n">
        <v>0</v>
      </c>
      <c r="I491" t="n">
        <v>0</v>
      </c>
      <c r="J491" t="n">
        <v>0</v>
      </c>
      <c r="K491" t="n">
        <v>0</v>
      </c>
      <c r="L491" t="n">
        <v>0</v>
      </c>
      <c r="M491" t="n">
        <v>0</v>
      </c>
      <c r="N491" t="n">
        <v>0</v>
      </c>
      <c r="O491" t="n">
        <v>0</v>
      </c>
      <c r="P491" t="n">
        <v>0</v>
      </c>
      <c r="Q491" t="n">
        <v>0</v>
      </c>
      <c r="R491" s="2" t="inlineStr"/>
    </row>
    <row r="492" ht="15" customHeight="1">
      <c r="A492" t="inlineStr">
        <is>
          <t>A 58620-2024</t>
        </is>
      </c>
      <c r="B492" s="1" t="n">
        <v>45635.56246527778</v>
      </c>
      <c r="C492" s="1" t="n">
        <v>45886</v>
      </c>
      <c r="D492" t="inlineStr">
        <is>
          <t>ÖREBRO LÄN</t>
        </is>
      </c>
      <c r="E492" t="inlineStr">
        <is>
          <t>ÖREBRO</t>
        </is>
      </c>
      <c r="F492" t="inlineStr">
        <is>
          <t>Sveaskog</t>
        </is>
      </c>
      <c r="G492" t="n">
        <v>4.5</v>
      </c>
      <c r="H492" t="n">
        <v>0</v>
      </c>
      <c r="I492" t="n">
        <v>0</v>
      </c>
      <c r="J492" t="n">
        <v>0</v>
      </c>
      <c r="K492" t="n">
        <v>0</v>
      </c>
      <c r="L492" t="n">
        <v>0</v>
      </c>
      <c r="M492" t="n">
        <v>0</v>
      </c>
      <c r="N492" t="n">
        <v>0</v>
      </c>
      <c r="O492" t="n">
        <v>0</v>
      </c>
      <c r="P492" t="n">
        <v>0</v>
      </c>
      <c r="Q492" t="n">
        <v>0</v>
      </c>
      <c r="R492" s="2" t="inlineStr"/>
    </row>
    <row r="493" ht="15" customHeight="1">
      <c r="A493" t="inlineStr">
        <is>
          <t>A 48644-2024</t>
        </is>
      </c>
      <c r="B493" s="1" t="n">
        <v>45593.47466435185</v>
      </c>
      <c r="C493" s="1" t="n">
        <v>45886</v>
      </c>
      <c r="D493" t="inlineStr">
        <is>
          <t>ÖREBRO LÄN</t>
        </is>
      </c>
      <c r="E493" t="inlineStr">
        <is>
          <t>ÖREBRO</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7141-2025</t>
        </is>
      </c>
      <c r="B494" s="1" t="n">
        <v>45702</v>
      </c>
      <c r="C494" s="1" t="n">
        <v>45886</v>
      </c>
      <c r="D494" t="inlineStr">
        <is>
          <t>ÖREBRO LÄN</t>
        </is>
      </c>
      <c r="E494" t="inlineStr">
        <is>
          <t>ÖREBRO</t>
        </is>
      </c>
      <c r="G494" t="n">
        <v>2.9</v>
      </c>
      <c r="H494" t="n">
        <v>0</v>
      </c>
      <c r="I494" t="n">
        <v>0</v>
      </c>
      <c r="J494" t="n">
        <v>0</v>
      </c>
      <c r="K494" t="n">
        <v>0</v>
      </c>
      <c r="L494" t="n">
        <v>0</v>
      </c>
      <c r="M494" t="n">
        <v>0</v>
      </c>
      <c r="N494" t="n">
        <v>0</v>
      </c>
      <c r="O494" t="n">
        <v>0</v>
      </c>
      <c r="P494" t="n">
        <v>0</v>
      </c>
      <c r="Q494" t="n">
        <v>0</v>
      </c>
      <c r="R494" s="2" t="inlineStr"/>
    </row>
    <row r="495" ht="15" customHeight="1">
      <c r="A495" t="inlineStr">
        <is>
          <t>A 38532-2020</t>
        </is>
      </c>
      <c r="B495" s="1" t="n">
        <v>44061</v>
      </c>
      <c r="C495" s="1" t="n">
        <v>45886</v>
      </c>
      <c r="D495" t="inlineStr">
        <is>
          <t>ÖREBRO LÄN</t>
        </is>
      </c>
      <c r="E495" t="inlineStr">
        <is>
          <t>ÖREBRO</t>
        </is>
      </c>
      <c r="G495" t="n">
        <v>3.8</v>
      </c>
      <c r="H495" t="n">
        <v>0</v>
      </c>
      <c r="I495" t="n">
        <v>0</v>
      </c>
      <c r="J495" t="n">
        <v>0</v>
      </c>
      <c r="K495" t="n">
        <v>0</v>
      </c>
      <c r="L495" t="n">
        <v>0</v>
      </c>
      <c r="M495" t="n">
        <v>0</v>
      </c>
      <c r="N495" t="n">
        <v>0</v>
      </c>
      <c r="O495" t="n">
        <v>0</v>
      </c>
      <c r="P495" t="n">
        <v>0</v>
      </c>
      <c r="Q495" t="n">
        <v>0</v>
      </c>
      <c r="R495" s="2" t="inlineStr"/>
    </row>
    <row r="496" ht="15" customHeight="1">
      <c r="A496" t="inlineStr">
        <is>
          <t>A 59024-2024</t>
        </is>
      </c>
      <c r="B496" s="1" t="n">
        <v>45636.68505787037</v>
      </c>
      <c r="C496" s="1" t="n">
        <v>45886</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51373-2023</t>
        </is>
      </c>
      <c r="B497" s="1" t="n">
        <v>45213</v>
      </c>
      <c r="C497" s="1" t="n">
        <v>45886</v>
      </c>
      <c r="D497" t="inlineStr">
        <is>
          <t>ÖREBRO LÄN</t>
        </is>
      </c>
      <c r="E497" t="inlineStr">
        <is>
          <t>ÖREBRO</t>
        </is>
      </c>
      <c r="G497" t="n">
        <v>5.9</v>
      </c>
      <c r="H497" t="n">
        <v>0</v>
      </c>
      <c r="I497" t="n">
        <v>0</v>
      </c>
      <c r="J497" t="n">
        <v>0</v>
      </c>
      <c r="K497" t="n">
        <v>0</v>
      </c>
      <c r="L497" t="n">
        <v>0</v>
      </c>
      <c r="M497" t="n">
        <v>0</v>
      </c>
      <c r="N497" t="n">
        <v>0</v>
      </c>
      <c r="O497" t="n">
        <v>0</v>
      </c>
      <c r="P497" t="n">
        <v>0</v>
      </c>
      <c r="Q497" t="n">
        <v>0</v>
      </c>
      <c r="R497" s="2" t="inlineStr"/>
    </row>
    <row r="498" ht="15" customHeight="1">
      <c r="A498" t="inlineStr">
        <is>
          <t>A 13657-2025</t>
        </is>
      </c>
      <c r="B498" s="1" t="n">
        <v>45736.7427662037</v>
      </c>
      <c r="C498" s="1" t="n">
        <v>45886</v>
      </c>
      <c r="D498" t="inlineStr">
        <is>
          <t>ÖREBRO LÄN</t>
        </is>
      </c>
      <c r="E498" t="inlineStr">
        <is>
          <t>ÖREBRO</t>
        </is>
      </c>
      <c r="G498" t="n">
        <v>3.8</v>
      </c>
      <c r="H498" t="n">
        <v>0</v>
      </c>
      <c r="I498" t="n">
        <v>0</v>
      </c>
      <c r="J498" t="n">
        <v>0</v>
      </c>
      <c r="K498" t="n">
        <v>0</v>
      </c>
      <c r="L498" t="n">
        <v>0</v>
      </c>
      <c r="M498" t="n">
        <v>0</v>
      </c>
      <c r="N498" t="n">
        <v>0</v>
      </c>
      <c r="O498" t="n">
        <v>0</v>
      </c>
      <c r="P498" t="n">
        <v>0</v>
      </c>
      <c r="Q498" t="n">
        <v>0</v>
      </c>
      <c r="R498" s="2" t="inlineStr"/>
    </row>
    <row r="499" ht="15" customHeight="1">
      <c r="A499" t="inlineStr">
        <is>
          <t>A 1257-2022</t>
        </is>
      </c>
      <c r="B499" s="1" t="n">
        <v>44572</v>
      </c>
      <c r="C499" s="1" t="n">
        <v>45886</v>
      </c>
      <c r="D499" t="inlineStr">
        <is>
          <t>ÖREBRO LÄN</t>
        </is>
      </c>
      <c r="E499" t="inlineStr">
        <is>
          <t>ÖREBRO</t>
        </is>
      </c>
      <c r="G499" t="n">
        <v>1.4</v>
      </c>
      <c r="H499" t="n">
        <v>0</v>
      </c>
      <c r="I499" t="n">
        <v>0</v>
      </c>
      <c r="J499" t="n">
        <v>0</v>
      </c>
      <c r="K499" t="n">
        <v>0</v>
      </c>
      <c r="L499" t="n">
        <v>0</v>
      </c>
      <c r="M499" t="n">
        <v>0</v>
      </c>
      <c r="N499" t="n">
        <v>0</v>
      </c>
      <c r="O499" t="n">
        <v>0</v>
      </c>
      <c r="P499" t="n">
        <v>0</v>
      </c>
      <c r="Q499" t="n">
        <v>0</v>
      </c>
      <c r="R499" s="2" t="inlineStr"/>
    </row>
    <row r="500" ht="15" customHeight="1">
      <c r="A500" t="inlineStr">
        <is>
          <t>A 57867-2024</t>
        </is>
      </c>
      <c r="B500" s="1" t="n">
        <v>45631.43864583333</v>
      </c>
      <c r="C500" s="1" t="n">
        <v>45886</v>
      </c>
      <c r="D500" t="inlineStr">
        <is>
          <t>ÖREBRO LÄN</t>
        </is>
      </c>
      <c r="E500" t="inlineStr">
        <is>
          <t>ÖREBRO</t>
        </is>
      </c>
      <c r="G500" t="n">
        <v>1.5</v>
      </c>
      <c r="H500" t="n">
        <v>0</v>
      </c>
      <c r="I500" t="n">
        <v>0</v>
      </c>
      <c r="J500" t="n">
        <v>0</v>
      </c>
      <c r="K500" t="n">
        <v>0</v>
      </c>
      <c r="L500" t="n">
        <v>0</v>
      </c>
      <c r="M500" t="n">
        <v>0</v>
      </c>
      <c r="N500" t="n">
        <v>0</v>
      </c>
      <c r="O500" t="n">
        <v>0</v>
      </c>
      <c r="P500" t="n">
        <v>0</v>
      </c>
      <c r="Q500" t="n">
        <v>0</v>
      </c>
      <c r="R500" s="2" t="inlineStr"/>
    </row>
    <row r="501" ht="15" customHeight="1">
      <c r="A501" t="inlineStr">
        <is>
          <t>A 29138-2022</t>
        </is>
      </c>
      <c r="B501" s="1" t="n">
        <v>44750</v>
      </c>
      <c r="C501" s="1" t="n">
        <v>45886</v>
      </c>
      <c r="D501" t="inlineStr">
        <is>
          <t>ÖREBRO LÄN</t>
        </is>
      </c>
      <c r="E501" t="inlineStr">
        <is>
          <t>ÖREBRO</t>
        </is>
      </c>
      <c r="G501" t="n">
        <v>3.3</v>
      </c>
      <c r="H501" t="n">
        <v>0</v>
      </c>
      <c r="I501" t="n">
        <v>0</v>
      </c>
      <c r="J501" t="n">
        <v>0</v>
      </c>
      <c r="K501" t="n">
        <v>0</v>
      </c>
      <c r="L501" t="n">
        <v>0</v>
      </c>
      <c r="M501" t="n">
        <v>0</v>
      </c>
      <c r="N501" t="n">
        <v>0</v>
      </c>
      <c r="O501" t="n">
        <v>0</v>
      </c>
      <c r="P501" t="n">
        <v>0</v>
      </c>
      <c r="Q501" t="n">
        <v>0</v>
      </c>
      <c r="R501" s="2" t="inlineStr"/>
    </row>
    <row r="502" ht="15" customHeight="1">
      <c r="A502" t="inlineStr">
        <is>
          <t>A 29143-2022</t>
        </is>
      </c>
      <c r="B502" s="1" t="n">
        <v>44750</v>
      </c>
      <c r="C502" s="1" t="n">
        <v>45886</v>
      </c>
      <c r="D502" t="inlineStr">
        <is>
          <t>ÖREBRO LÄN</t>
        </is>
      </c>
      <c r="E502" t="inlineStr">
        <is>
          <t>ÖREBRO</t>
        </is>
      </c>
      <c r="G502" t="n">
        <v>5.6</v>
      </c>
      <c r="H502" t="n">
        <v>0</v>
      </c>
      <c r="I502" t="n">
        <v>0</v>
      </c>
      <c r="J502" t="n">
        <v>0</v>
      </c>
      <c r="K502" t="n">
        <v>0</v>
      </c>
      <c r="L502" t="n">
        <v>0</v>
      </c>
      <c r="M502" t="n">
        <v>0</v>
      </c>
      <c r="N502" t="n">
        <v>0</v>
      </c>
      <c r="O502" t="n">
        <v>0</v>
      </c>
      <c r="P502" t="n">
        <v>0</v>
      </c>
      <c r="Q502" t="n">
        <v>0</v>
      </c>
      <c r="R502" s="2" t="inlineStr"/>
    </row>
    <row r="503" ht="15" customHeight="1">
      <c r="A503" t="inlineStr">
        <is>
          <t>A 40656-2023</t>
        </is>
      </c>
      <c r="B503" s="1" t="n">
        <v>45170</v>
      </c>
      <c r="C503" s="1" t="n">
        <v>45886</v>
      </c>
      <c r="D503" t="inlineStr">
        <is>
          <t>ÖREBRO LÄN</t>
        </is>
      </c>
      <c r="E503" t="inlineStr">
        <is>
          <t>ÖREBRO</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22677-2022</t>
        </is>
      </c>
      <c r="B504" s="1" t="n">
        <v>44714</v>
      </c>
      <c r="C504" s="1" t="n">
        <v>45886</v>
      </c>
      <c r="D504" t="inlineStr">
        <is>
          <t>ÖREBRO LÄN</t>
        </is>
      </c>
      <c r="E504" t="inlineStr">
        <is>
          <t>ÖREBRO</t>
        </is>
      </c>
      <c r="G504" t="n">
        <v>2.3</v>
      </c>
      <c r="H504" t="n">
        <v>0</v>
      </c>
      <c r="I504" t="n">
        <v>0</v>
      </c>
      <c r="J504" t="n">
        <v>0</v>
      </c>
      <c r="K504" t="n">
        <v>0</v>
      </c>
      <c r="L504" t="n">
        <v>0</v>
      </c>
      <c r="M504" t="n">
        <v>0</v>
      </c>
      <c r="N504" t="n">
        <v>0</v>
      </c>
      <c r="O504" t="n">
        <v>0</v>
      </c>
      <c r="P504" t="n">
        <v>0</v>
      </c>
      <c r="Q504" t="n">
        <v>0</v>
      </c>
      <c r="R504" s="2" t="inlineStr"/>
    </row>
    <row r="505" ht="15" customHeight="1">
      <c r="A505" t="inlineStr">
        <is>
          <t>A 21983-2021</t>
        </is>
      </c>
      <c r="B505" s="1" t="n">
        <v>44323</v>
      </c>
      <c r="C505" s="1" t="n">
        <v>45886</v>
      </c>
      <c r="D505" t="inlineStr">
        <is>
          <t>ÖREBRO LÄN</t>
        </is>
      </c>
      <c r="E505" t="inlineStr">
        <is>
          <t>ÖREBRO</t>
        </is>
      </c>
      <c r="F505" t="inlineStr">
        <is>
          <t>Övriga Aktiebolag</t>
        </is>
      </c>
      <c r="G505" t="n">
        <v>0.7</v>
      </c>
      <c r="H505" t="n">
        <v>0</v>
      </c>
      <c r="I505" t="n">
        <v>0</v>
      </c>
      <c r="J505" t="n">
        <v>0</v>
      </c>
      <c r="K505" t="n">
        <v>0</v>
      </c>
      <c r="L505" t="n">
        <v>0</v>
      </c>
      <c r="M505" t="n">
        <v>0</v>
      </c>
      <c r="N505" t="n">
        <v>0</v>
      </c>
      <c r="O505" t="n">
        <v>0</v>
      </c>
      <c r="P505" t="n">
        <v>0</v>
      </c>
      <c r="Q505" t="n">
        <v>0</v>
      </c>
      <c r="R505" s="2" t="inlineStr"/>
    </row>
    <row r="506" ht="15" customHeight="1">
      <c r="A506" t="inlineStr">
        <is>
          <t>A 3120-2022</t>
        </is>
      </c>
      <c r="B506" s="1" t="n">
        <v>44582</v>
      </c>
      <c r="C506" s="1" t="n">
        <v>45886</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71288-2021</t>
        </is>
      </c>
      <c r="B507" s="1" t="n">
        <v>44539.62481481482</v>
      </c>
      <c r="C507" s="1" t="n">
        <v>45886</v>
      </c>
      <c r="D507" t="inlineStr">
        <is>
          <t>ÖREBRO LÄN</t>
        </is>
      </c>
      <c r="E507" t="inlineStr">
        <is>
          <t>ÖREBRO</t>
        </is>
      </c>
      <c r="G507" t="n">
        <v>3.9</v>
      </c>
      <c r="H507" t="n">
        <v>0</v>
      </c>
      <c r="I507" t="n">
        <v>0</v>
      </c>
      <c r="J507" t="n">
        <v>0</v>
      </c>
      <c r="K507" t="n">
        <v>0</v>
      </c>
      <c r="L507" t="n">
        <v>0</v>
      </c>
      <c r="M507" t="n">
        <v>0</v>
      </c>
      <c r="N507" t="n">
        <v>0</v>
      </c>
      <c r="O507" t="n">
        <v>0</v>
      </c>
      <c r="P507" t="n">
        <v>0</v>
      </c>
      <c r="Q507" t="n">
        <v>0</v>
      </c>
      <c r="R507" s="2" t="inlineStr"/>
    </row>
    <row r="508" ht="15" customHeight="1">
      <c r="A508" t="inlineStr">
        <is>
          <t>A 10830-2023</t>
        </is>
      </c>
      <c r="B508" s="1" t="n">
        <v>44990.89752314815</v>
      </c>
      <c r="C508" s="1" t="n">
        <v>45886</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58606-2024</t>
        </is>
      </c>
      <c r="B509" s="1" t="n">
        <v>45635.54747685185</v>
      </c>
      <c r="C509" s="1" t="n">
        <v>45886</v>
      </c>
      <c r="D509" t="inlineStr">
        <is>
          <t>ÖREBRO LÄN</t>
        </is>
      </c>
      <c r="E509" t="inlineStr">
        <is>
          <t>ÖREBRO</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7692-2023</t>
        </is>
      </c>
      <c r="B510" s="1" t="n">
        <v>44972.7762962963</v>
      </c>
      <c r="C510" s="1" t="n">
        <v>45886</v>
      </c>
      <c r="D510" t="inlineStr">
        <is>
          <t>ÖREBRO LÄN</t>
        </is>
      </c>
      <c r="E510" t="inlineStr">
        <is>
          <t>ÖREBRO</t>
        </is>
      </c>
      <c r="G510" t="n">
        <v>1.5</v>
      </c>
      <c r="H510" t="n">
        <v>0</v>
      </c>
      <c r="I510" t="n">
        <v>0</v>
      </c>
      <c r="J510" t="n">
        <v>0</v>
      </c>
      <c r="K510" t="n">
        <v>0</v>
      </c>
      <c r="L510" t="n">
        <v>0</v>
      </c>
      <c r="M510" t="n">
        <v>0</v>
      </c>
      <c r="N510" t="n">
        <v>0</v>
      </c>
      <c r="O510" t="n">
        <v>0</v>
      </c>
      <c r="P510" t="n">
        <v>0</v>
      </c>
      <c r="Q510" t="n">
        <v>0</v>
      </c>
      <c r="R510" s="2" t="inlineStr"/>
    </row>
    <row r="511" ht="15" customHeight="1">
      <c r="A511" t="inlineStr">
        <is>
          <t>A 41678-2024</t>
        </is>
      </c>
      <c r="B511" s="1" t="n">
        <v>45560</v>
      </c>
      <c r="C511" s="1" t="n">
        <v>45886</v>
      </c>
      <c r="D511" t="inlineStr">
        <is>
          <t>ÖREBRO LÄN</t>
        </is>
      </c>
      <c r="E511" t="inlineStr">
        <is>
          <t>ÖREBRO</t>
        </is>
      </c>
      <c r="G511" t="n">
        <v>11.3</v>
      </c>
      <c r="H511" t="n">
        <v>0</v>
      </c>
      <c r="I511" t="n">
        <v>0</v>
      </c>
      <c r="J511" t="n">
        <v>0</v>
      </c>
      <c r="K511" t="n">
        <v>0</v>
      </c>
      <c r="L511" t="n">
        <v>0</v>
      </c>
      <c r="M511" t="n">
        <v>0</v>
      </c>
      <c r="N511" t="n">
        <v>0</v>
      </c>
      <c r="O511" t="n">
        <v>0</v>
      </c>
      <c r="P511" t="n">
        <v>0</v>
      </c>
      <c r="Q511" t="n">
        <v>0</v>
      </c>
      <c r="R511" s="2" t="inlineStr"/>
    </row>
    <row r="512" ht="15" customHeight="1">
      <c r="A512" t="inlineStr">
        <is>
          <t>A 26101-2022</t>
        </is>
      </c>
      <c r="B512" s="1" t="n">
        <v>44734</v>
      </c>
      <c r="C512" s="1" t="n">
        <v>45886</v>
      </c>
      <c r="D512" t="inlineStr">
        <is>
          <t>ÖREBRO LÄN</t>
        </is>
      </c>
      <c r="E512" t="inlineStr">
        <is>
          <t>ÖREBRO</t>
        </is>
      </c>
      <c r="G512" t="n">
        <v>15.8</v>
      </c>
      <c r="H512" t="n">
        <v>0</v>
      </c>
      <c r="I512" t="n">
        <v>0</v>
      </c>
      <c r="J512" t="n">
        <v>0</v>
      </c>
      <c r="K512" t="n">
        <v>0</v>
      </c>
      <c r="L512" t="n">
        <v>0</v>
      </c>
      <c r="M512" t="n">
        <v>0</v>
      </c>
      <c r="N512" t="n">
        <v>0</v>
      </c>
      <c r="O512" t="n">
        <v>0</v>
      </c>
      <c r="P512" t="n">
        <v>0</v>
      </c>
      <c r="Q512" t="n">
        <v>0</v>
      </c>
      <c r="R512" s="2" t="inlineStr"/>
    </row>
    <row r="513" ht="15" customHeight="1">
      <c r="A513" t="inlineStr">
        <is>
          <t>A 31240-2023</t>
        </is>
      </c>
      <c r="B513" s="1" t="n">
        <v>45114</v>
      </c>
      <c r="C513" s="1" t="n">
        <v>45886</v>
      </c>
      <c r="D513" t="inlineStr">
        <is>
          <t>ÖREBRO LÄN</t>
        </is>
      </c>
      <c r="E513" t="inlineStr">
        <is>
          <t>ÖREBRO</t>
        </is>
      </c>
      <c r="F513" t="inlineStr">
        <is>
          <t>Allmännings- och besparingsskogar</t>
        </is>
      </c>
      <c r="G513" t="n">
        <v>6.2</v>
      </c>
      <c r="H513" t="n">
        <v>0</v>
      </c>
      <c r="I513" t="n">
        <v>0</v>
      </c>
      <c r="J513" t="n">
        <v>0</v>
      </c>
      <c r="K513" t="n">
        <v>0</v>
      </c>
      <c r="L513" t="n">
        <v>0</v>
      </c>
      <c r="M513" t="n">
        <v>0</v>
      </c>
      <c r="N513" t="n">
        <v>0</v>
      </c>
      <c r="O513" t="n">
        <v>0</v>
      </c>
      <c r="P513" t="n">
        <v>0</v>
      </c>
      <c r="Q513" t="n">
        <v>0</v>
      </c>
      <c r="R513" s="2" t="inlineStr"/>
    </row>
    <row r="514" ht="15" customHeight="1">
      <c r="A514" t="inlineStr">
        <is>
          <t>A 58486-2024</t>
        </is>
      </c>
      <c r="B514" s="1" t="n">
        <v>45635</v>
      </c>
      <c r="C514" s="1" t="n">
        <v>45886</v>
      </c>
      <c r="D514" t="inlineStr">
        <is>
          <t>ÖREBRO LÄN</t>
        </is>
      </c>
      <c r="E514" t="inlineStr">
        <is>
          <t>ÖREBRO</t>
        </is>
      </c>
      <c r="G514" t="n">
        <v>1.7</v>
      </c>
      <c r="H514" t="n">
        <v>0</v>
      </c>
      <c r="I514" t="n">
        <v>0</v>
      </c>
      <c r="J514" t="n">
        <v>0</v>
      </c>
      <c r="K514" t="n">
        <v>0</v>
      </c>
      <c r="L514" t="n">
        <v>0</v>
      </c>
      <c r="M514" t="n">
        <v>0</v>
      </c>
      <c r="N514" t="n">
        <v>0</v>
      </c>
      <c r="O514" t="n">
        <v>0</v>
      </c>
      <c r="P514" t="n">
        <v>0</v>
      </c>
      <c r="Q514" t="n">
        <v>0</v>
      </c>
      <c r="R514" s="2" t="inlineStr"/>
    </row>
    <row r="515" ht="15" customHeight="1">
      <c r="A515" t="inlineStr">
        <is>
          <t>A 42285-2020</t>
        </is>
      </c>
      <c r="B515" s="1" t="n">
        <v>44076</v>
      </c>
      <c r="C515" s="1" t="n">
        <v>45886</v>
      </c>
      <c r="D515" t="inlineStr">
        <is>
          <t>ÖREBRO LÄN</t>
        </is>
      </c>
      <c r="E515" t="inlineStr">
        <is>
          <t>ÖREBRO</t>
        </is>
      </c>
      <c r="F515" t="inlineStr">
        <is>
          <t>Övriga Aktiebolag</t>
        </is>
      </c>
      <c r="G515" t="n">
        <v>0.4</v>
      </c>
      <c r="H515" t="n">
        <v>0</v>
      </c>
      <c r="I515" t="n">
        <v>0</v>
      </c>
      <c r="J515" t="n">
        <v>0</v>
      </c>
      <c r="K515" t="n">
        <v>0</v>
      </c>
      <c r="L515" t="n">
        <v>0</v>
      </c>
      <c r="M515" t="n">
        <v>0</v>
      </c>
      <c r="N515" t="n">
        <v>0</v>
      </c>
      <c r="O515" t="n">
        <v>0</v>
      </c>
      <c r="P515" t="n">
        <v>0</v>
      </c>
      <c r="Q515" t="n">
        <v>0</v>
      </c>
      <c r="R515" s="2" t="inlineStr"/>
    </row>
    <row r="516" ht="15" customHeight="1">
      <c r="A516" t="inlineStr">
        <is>
          <t>A 14053-2025</t>
        </is>
      </c>
      <c r="B516" s="1" t="n">
        <v>45739</v>
      </c>
      <c r="C516" s="1" t="n">
        <v>45886</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50026-2024</t>
        </is>
      </c>
      <c r="B517" s="1" t="n">
        <v>45599.60541666667</v>
      </c>
      <c r="C517" s="1" t="n">
        <v>45886</v>
      </c>
      <c r="D517" t="inlineStr">
        <is>
          <t>ÖREBRO LÄN</t>
        </is>
      </c>
      <c r="E517" t="inlineStr">
        <is>
          <t>ÖREBRO</t>
        </is>
      </c>
      <c r="G517" t="n">
        <v>2.2</v>
      </c>
      <c r="H517" t="n">
        <v>0</v>
      </c>
      <c r="I517" t="n">
        <v>0</v>
      </c>
      <c r="J517" t="n">
        <v>0</v>
      </c>
      <c r="K517" t="n">
        <v>0</v>
      </c>
      <c r="L517" t="n">
        <v>0</v>
      </c>
      <c r="M517" t="n">
        <v>0</v>
      </c>
      <c r="N517" t="n">
        <v>0</v>
      </c>
      <c r="O517" t="n">
        <v>0</v>
      </c>
      <c r="P517" t="n">
        <v>0</v>
      </c>
      <c r="Q517" t="n">
        <v>0</v>
      </c>
      <c r="R517" s="2" t="inlineStr"/>
    </row>
    <row r="518" ht="15" customHeight="1">
      <c r="A518" t="inlineStr">
        <is>
          <t>A 35345-2024</t>
        </is>
      </c>
      <c r="B518" s="1" t="n">
        <v>45530</v>
      </c>
      <c r="C518" s="1" t="n">
        <v>45886</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123-2025</t>
        </is>
      </c>
      <c r="B519" s="1" t="n">
        <v>45659.54851851852</v>
      </c>
      <c r="C519" s="1" t="n">
        <v>45886</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18449-2023</t>
        </is>
      </c>
      <c r="B520" s="1" t="n">
        <v>45042.5203125</v>
      </c>
      <c r="C520" s="1" t="n">
        <v>45886</v>
      </c>
      <c r="D520" t="inlineStr">
        <is>
          <t>ÖREBRO LÄN</t>
        </is>
      </c>
      <c r="E520" t="inlineStr">
        <is>
          <t>ÖREBRO</t>
        </is>
      </c>
      <c r="G520" t="n">
        <v>1.5</v>
      </c>
      <c r="H520" t="n">
        <v>0</v>
      </c>
      <c r="I520" t="n">
        <v>0</v>
      </c>
      <c r="J520" t="n">
        <v>0</v>
      </c>
      <c r="K520" t="n">
        <v>0</v>
      </c>
      <c r="L520" t="n">
        <v>0</v>
      </c>
      <c r="M520" t="n">
        <v>0</v>
      </c>
      <c r="N520" t="n">
        <v>0</v>
      </c>
      <c r="O520" t="n">
        <v>0</v>
      </c>
      <c r="P520" t="n">
        <v>0</v>
      </c>
      <c r="Q520" t="n">
        <v>0</v>
      </c>
      <c r="R520" s="2" t="inlineStr"/>
    </row>
    <row r="521" ht="15" customHeight="1">
      <c r="A521" t="inlineStr">
        <is>
          <t>A 16936-2023</t>
        </is>
      </c>
      <c r="B521" s="1" t="n">
        <v>45033.63005787037</v>
      </c>
      <c r="C521" s="1" t="n">
        <v>45886</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30472-2022</t>
        </is>
      </c>
      <c r="B522" s="1" t="n">
        <v>44761.70467592592</v>
      </c>
      <c r="C522" s="1" t="n">
        <v>45886</v>
      </c>
      <c r="D522" t="inlineStr">
        <is>
          <t>ÖREBRO LÄN</t>
        </is>
      </c>
      <c r="E522" t="inlineStr">
        <is>
          <t>ÖREBRO</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6869-2025</t>
        </is>
      </c>
      <c r="B523" s="1" t="n">
        <v>45700</v>
      </c>
      <c r="C523" s="1" t="n">
        <v>45886</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58145-2024</t>
        </is>
      </c>
      <c r="B524" s="1" t="n">
        <v>45632.43230324074</v>
      </c>
      <c r="C524" s="1" t="n">
        <v>45886</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57869-2024</t>
        </is>
      </c>
      <c r="B525" s="1" t="n">
        <v>45631.44207175926</v>
      </c>
      <c r="C525" s="1" t="n">
        <v>45886</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64730-2023</t>
        </is>
      </c>
      <c r="B526" s="1" t="n">
        <v>45281</v>
      </c>
      <c r="C526" s="1" t="n">
        <v>45886</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32025-2024</t>
        </is>
      </c>
      <c r="B527" s="1" t="n">
        <v>45510.65754629629</v>
      </c>
      <c r="C527" s="1" t="n">
        <v>45886</v>
      </c>
      <c r="D527" t="inlineStr">
        <is>
          <t>ÖREBRO LÄN</t>
        </is>
      </c>
      <c r="E527" t="inlineStr">
        <is>
          <t>ÖREBRO</t>
        </is>
      </c>
      <c r="G527" t="n">
        <v>4</v>
      </c>
      <c r="H527" t="n">
        <v>0</v>
      </c>
      <c r="I527" t="n">
        <v>0</v>
      </c>
      <c r="J527" t="n">
        <v>0</v>
      </c>
      <c r="K527" t="n">
        <v>0</v>
      </c>
      <c r="L527" t="n">
        <v>0</v>
      </c>
      <c r="M527" t="n">
        <v>0</v>
      </c>
      <c r="N527" t="n">
        <v>0</v>
      </c>
      <c r="O527" t="n">
        <v>0</v>
      </c>
      <c r="P527" t="n">
        <v>0</v>
      </c>
      <c r="Q527" t="n">
        <v>0</v>
      </c>
      <c r="R527" s="2" t="inlineStr"/>
    </row>
    <row r="528" ht="15" customHeight="1">
      <c r="A528" t="inlineStr">
        <is>
          <t>A 37277-2022</t>
        </is>
      </c>
      <c r="B528" s="1" t="n">
        <v>44807.49150462963</v>
      </c>
      <c r="C528" s="1" t="n">
        <v>45886</v>
      </c>
      <c r="D528" t="inlineStr">
        <is>
          <t>ÖREBRO LÄN</t>
        </is>
      </c>
      <c r="E528" t="inlineStr">
        <is>
          <t>ÖREBRO</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27956-2023</t>
        </is>
      </c>
      <c r="B529" s="1" t="n">
        <v>45098</v>
      </c>
      <c r="C529" s="1" t="n">
        <v>45886</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44284-2022</t>
        </is>
      </c>
      <c r="B530" s="1" t="n">
        <v>44839.59194444444</v>
      </c>
      <c r="C530" s="1" t="n">
        <v>45886</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51331-2023</t>
        </is>
      </c>
      <c r="B531" s="1" t="n">
        <v>45219</v>
      </c>
      <c r="C531" s="1" t="n">
        <v>45886</v>
      </c>
      <c r="D531" t="inlineStr">
        <is>
          <t>ÖREBRO LÄN</t>
        </is>
      </c>
      <c r="E531" t="inlineStr">
        <is>
          <t>ÖREBRO</t>
        </is>
      </c>
      <c r="F531" t="inlineStr">
        <is>
          <t>Kommuner</t>
        </is>
      </c>
      <c r="G531" t="n">
        <v>1.3</v>
      </c>
      <c r="H531" t="n">
        <v>0</v>
      </c>
      <c r="I531" t="n">
        <v>0</v>
      </c>
      <c r="J531" t="n">
        <v>0</v>
      </c>
      <c r="K531" t="n">
        <v>0</v>
      </c>
      <c r="L531" t="n">
        <v>0</v>
      </c>
      <c r="M531" t="n">
        <v>0</v>
      </c>
      <c r="N531" t="n">
        <v>0</v>
      </c>
      <c r="O531" t="n">
        <v>0</v>
      </c>
      <c r="P531" t="n">
        <v>0</v>
      </c>
      <c r="Q531" t="n">
        <v>0</v>
      </c>
      <c r="R531" s="2" t="inlineStr"/>
    </row>
    <row r="532" ht="15" customHeight="1">
      <c r="A532" t="inlineStr">
        <is>
          <t>A 40588-2021</t>
        </is>
      </c>
      <c r="B532" s="1" t="n">
        <v>44420</v>
      </c>
      <c r="C532" s="1" t="n">
        <v>45886</v>
      </c>
      <c r="D532" t="inlineStr">
        <is>
          <t>ÖREBRO LÄN</t>
        </is>
      </c>
      <c r="E532" t="inlineStr">
        <is>
          <t>ÖREBRO</t>
        </is>
      </c>
      <c r="G532" t="n">
        <v>1.1</v>
      </c>
      <c r="H532" t="n">
        <v>0</v>
      </c>
      <c r="I532" t="n">
        <v>0</v>
      </c>
      <c r="J532" t="n">
        <v>0</v>
      </c>
      <c r="K532" t="n">
        <v>0</v>
      </c>
      <c r="L532" t="n">
        <v>0</v>
      </c>
      <c r="M532" t="n">
        <v>0</v>
      </c>
      <c r="N532" t="n">
        <v>0</v>
      </c>
      <c r="O532" t="n">
        <v>0</v>
      </c>
      <c r="P532" t="n">
        <v>0</v>
      </c>
      <c r="Q532" t="n">
        <v>0</v>
      </c>
      <c r="R532" s="2" t="inlineStr"/>
    </row>
    <row r="533" ht="15" customHeight="1">
      <c r="A533" t="inlineStr">
        <is>
          <t>A 14544-2023</t>
        </is>
      </c>
      <c r="B533" s="1" t="n">
        <v>45013</v>
      </c>
      <c r="C533" s="1" t="n">
        <v>45886</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39642-2020</t>
        </is>
      </c>
      <c r="B534" s="1" t="n">
        <v>44064</v>
      </c>
      <c r="C534" s="1" t="n">
        <v>45886</v>
      </c>
      <c r="D534" t="inlineStr">
        <is>
          <t>ÖREBRO LÄN</t>
        </is>
      </c>
      <c r="E534" t="inlineStr">
        <is>
          <t>ÖREBRO</t>
        </is>
      </c>
      <c r="G534" t="n">
        <v>6.4</v>
      </c>
      <c r="H534" t="n">
        <v>0</v>
      </c>
      <c r="I534" t="n">
        <v>0</v>
      </c>
      <c r="J534" t="n">
        <v>0</v>
      </c>
      <c r="K534" t="n">
        <v>0</v>
      </c>
      <c r="L534" t="n">
        <v>0</v>
      </c>
      <c r="M534" t="n">
        <v>0</v>
      </c>
      <c r="N534" t="n">
        <v>0</v>
      </c>
      <c r="O534" t="n">
        <v>0</v>
      </c>
      <c r="P534" t="n">
        <v>0</v>
      </c>
      <c r="Q534" t="n">
        <v>0</v>
      </c>
      <c r="R534" s="2" t="inlineStr"/>
    </row>
    <row r="535" ht="15" customHeight="1">
      <c r="A535" t="inlineStr">
        <is>
          <t>A 40231-2022</t>
        </is>
      </c>
      <c r="B535" s="1" t="n">
        <v>44820</v>
      </c>
      <c r="C535" s="1" t="n">
        <v>45886</v>
      </c>
      <c r="D535" t="inlineStr">
        <is>
          <t>ÖREBRO LÄN</t>
        </is>
      </c>
      <c r="E535" t="inlineStr">
        <is>
          <t>ÖREBRO</t>
        </is>
      </c>
      <c r="F535" t="inlineStr">
        <is>
          <t>Allmännings- och besparingsskogar</t>
        </is>
      </c>
      <c r="G535" t="n">
        <v>2.2</v>
      </c>
      <c r="H535" t="n">
        <v>0</v>
      </c>
      <c r="I535" t="n">
        <v>0</v>
      </c>
      <c r="J535" t="n">
        <v>0</v>
      </c>
      <c r="K535" t="n">
        <v>0</v>
      </c>
      <c r="L535" t="n">
        <v>0</v>
      </c>
      <c r="M535" t="n">
        <v>0</v>
      </c>
      <c r="N535" t="n">
        <v>0</v>
      </c>
      <c r="O535" t="n">
        <v>0</v>
      </c>
      <c r="P535" t="n">
        <v>0</v>
      </c>
      <c r="Q535" t="n">
        <v>0</v>
      </c>
      <c r="R535" s="2" t="inlineStr"/>
    </row>
    <row r="536" ht="15" customHeight="1">
      <c r="A536" t="inlineStr">
        <is>
          <t>A 15682-2023</t>
        </is>
      </c>
      <c r="B536" s="1" t="n">
        <v>45021</v>
      </c>
      <c r="C536" s="1" t="n">
        <v>45886</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4284-2025</t>
        </is>
      </c>
      <c r="B537" s="1" t="n">
        <v>45685</v>
      </c>
      <c r="C537" s="1" t="n">
        <v>45886</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4416-2023</t>
        </is>
      </c>
      <c r="B538" s="1" t="n">
        <v>44956</v>
      </c>
      <c r="C538" s="1" t="n">
        <v>45886</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8331-2021</t>
        </is>
      </c>
      <c r="B539" s="1" t="n">
        <v>44244</v>
      </c>
      <c r="C539" s="1" t="n">
        <v>45886</v>
      </c>
      <c r="D539" t="inlineStr">
        <is>
          <t>ÖREBRO LÄN</t>
        </is>
      </c>
      <c r="E539" t="inlineStr">
        <is>
          <t>ÖREBRO</t>
        </is>
      </c>
      <c r="G539" t="n">
        <v>9.1</v>
      </c>
      <c r="H539" t="n">
        <v>0</v>
      </c>
      <c r="I539" t="n">
        <v>0</v>
      </c>
      <c r="J539" t="n">
        <v>0</v>
      </c>
      <c r="K539" t="n">
        <v>0</v>
      </c>
      <c r="L539" t="n">
        <v>0</v>
      </c>
      <c r="M539" t="n">
        <v>0</v>
      </c>
      <c r="N539" t="n">
        <v>0</v>
      </c>
      <c r="O539" t="n">
        <v>0</v>
      </c>
      <c r="P539" t="n">
        <v>0</v>
      </c>
      <c r="Q539" t="n">
        <v>0</v>
      </c>
      <c r="R539" s="2" t="inlineStr"/>
    </row>
    <row r="540" ht="15" customHeight="1">
      <c r="A540" t="inlineStr">
        <is>
          <t>A 8332-2021</t>
        </is>
      </c>
      <c r="B540" s="1" t="n">
        <v>44244</v>
      </c>
      <c r="C540" s="1" t="n">
        <v>45886</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25443-2021</t>
        </is>
      </c>
      <c r="B541" s="1" t="n">
        <v>44342</v>
      </c>
      <c r="C541" s="1" t="n">
        <v>45886</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49062-2023</t>
        </is>
      </c>
      <c r="B542" s="1" t="n">
        <v>45210.35119212963</v>
      </c>
      <c r="C542" s="1" t="n">
        <v>45886</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18661-2025</t>
        </is>
      </c>
      <c r="B543" s="1" t="n">
        <v>45763.58675925926</v>
      </c>
      <c r="C543" s="1" t="n">
        <v>45886</v>
      </c>
      <c r="D543" t="inlineStr">
        <is>
          <t>ÖREBRO LÄN</t>
        </is>
      </c>
      <c r="E543" t="inlineStr">
        <is>
          <t>ÖREBRO</t>
        </is>
      </c>
      <c r="G543" t="n">
        <v>3.7</v>
      </c>
      <c r="H543" t="n">
        <v>0</v>
      </c>
      <c r="I543" t="n">
        <v>0</v>
      </c>
      <c r="J543" t="n">
        <v>0</v>
      </c>
      <c r="K543" t="n">
        <v>0</v>
      </c>
      <c r="L543" t="n">
        <v>0</v>
      </c>
      <c r="M543" t="n">
        <v>0</v>
      </c>
      <c r="N543" t="n">
        <v>0</v>
      </c>
      <c r="O543" t="n">
        <v>0</v>
      </c>
      <c r="P543" t="n">
        <v>0</v>
      </c>
      <c r="Q543" t="n">
        <v>0</v>
      </c>
      <c r="R543" s="2" t="inlineStr"/>
    </row>
    <row r="544" ht="15" customHeight="1">
      <c r="A544" t="inlineStr">
        <is>
          <t>A 32321-2023</t>
        </is>
      </c>
      <c r="B544" s="1" t="n">
        <v>45120</v>
      </c>
      <c r="C544" s="1" t="n">
        <v>45886</v>
      </c>
      <c r="D544" t="inlineStr">
        <is>
          <t>ÖREBRO LÄN</t>
        </is>
      </c>
      <c r="E544" t="inlineStr">
        <is>
          <t>ÖREBRO</t>
        </is>
      </c>
      <c r="G544" t="n">
        <v>3.4</v>
      </c>
      <c r="H544" t="n">
        <v>0</v>
      </c>
      <c r="I544" t="n">
        <v>0</v>
      </c>
      <c r="J544" t="n">
        <v>0</v>
      </c>
      <c r="K544" t="n">
        <v>0</v>
      </c>
      <c r="L544" t="n">
        <v>0</v>
      </c>
      <c r="M544" t="n">
        <v>0</v>
      </c>
      <c r="N544" t="n">
        <v>0</v>
      </c>
      <c r="O544" t="n">
        <v>0</v>
      </c>
      <c r="P544" t="n">
        <v>0</v>
      </c>
      <c r="Q544" t="n">
        <v>0</v>
      </c>
      <c r="R544" s="2" t="inlineStr"/>
    </row>
    <row r="545" ht="15" customHeight="1">
      <c r="A545" t="inlineStr">
        <is>
          <t>A 2095-2025</t>
        </is>
      </c>
      <c r="B545" s="1" t="n">
        <v>45672</v>
      </c>
      <c r="C545" s="1" t="n">
        <v>45886</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42623-2022</t>
        </is>
      </c>
      <c r="B546" s="1" t="n">
        <v>44831</v>
      </c>
      <c r="C546" s="1" t="n">
        <v>45886</v>
      </c>
      <c r="D546" t="inlineStr">
        <is>
          <t>ÖREBRO LÄN</t>
        </is>
      </c>
      <c r="E546" t="inlineStr">
        <is>
          <t>ÖREBRO</t>
        </is>
      </c>
      <c r="G546" t="n">
        <v>3.6</v>
      </c>
      <c r="H546" t="n">
        <v>0</v>
      </c>
      <c r="I546" t="n">
        <v>0</v>
      </c>
      <c r="J546" t="n">
        <v>0</v>
      </c>
      <c r="K546" t="n">
        <v>0</v>
      </c>
      <c r="L546" t="n">
        <v>0</v>
      </c>
      <c r="M546" t="n">
        <v>0</v>
      </c>
      <c r="N546" t="n">
        <v>0</v>
      </c>
      <c r="O546" t="n">
        <v>0</v>
      </c>
      <c r="P546" t="n">
        <v>0</v>
      </c>
      <c r="Q546" t="n">
        <v>0</v>
      </c>
      <c r="R546" s="2" t="inlineStr"/>
    </row>
    <row r="547" ht="15" customHeight="1">
      <c r="A547" t="inlineStr">
        <is>
          <t>A 71275-2021</t>
        </is>
      </c>
      <c r="B547" s="1" t="n">
        <v>44539</v>
      </c>
      <c r="C547" s="1" t="n">
        <v>45886</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3763-2025</t>
        </is>
      </c>
      <c r="B548" s="1" t="n">
        <v>45681</v>
      </c>
      <c r="C548" s="1" t="n">
        <v>45886</v>
      </c>
      <c r="D548" t="inlineStr">
        <is>
          <t>ÖREBRO LÄN</t>
        </is>
      </c>
      <c r="E548" t="inlineStr">
        <is>
          <t>ÖREBRO</t>
        </is>
      </c>
      <c r="G548" t="n">
        <v>10.1</v>
      </c>
      <c r="H548" t="n">
        <v>0</v>
      </c>
      <c r="I548" t="n">
        <v>0</v>
      </c>
      <c r="J548" t="n">
        <v>0</v>
      </c>
      <c r="K548" t="n">
        <v>0</v>
      </c>
      <c r="L548" t="n">
        <v>0</v>
      </c>
      <c r="M548" t="n">
        <v>0</v>
      </c>
      <c r="N548" t="n">
        <v>0</v>
      </c>
      <c r="O548" t="n">
        <v>0</v>
      </c>
      <c r="P548" t="n">
        <v>0</v>
      </c>
      <c r="Q548" t="n">
        <v>0</v>
      </c>
      <c r="R548" s="2" t="inlineStr"/>
    </row>
    <row r="549" ht="15" customHeight="1">
      <c r="A549" t="inlineStr">
        <is>
          <t>A 58608-2024</t>
        </is>
      </c>
      <c r="B549" s="1" t="n">
        <v>45635.55185185185</v>
      </c>
      <c r="C549" s="1" t="n">
        <v>45886</v>
      </c>
      <c r="D549" t="inlineStr">
        <is>
          <t>ÖREBRO LÄN</t>
        </is>
      </c>
      <c r="E549" t="inlineStr">
        <is>
          <t>ÖREBRO</t>
        </is>
      </c>
      <c r="F549" t="inlineStr">
        <is>
          <t>Sveaskog</t>
        </is>
      </c>
      <c r="G549" t="n">
        <v>0.3</v>
      </c>
      <c r="H549" t="n">
        <v>0</v>
      </c>
      <c r="I549" t="n">
        <v>0</v>
      </c>
      <c r="J549" t="n">
        <v>0</v>
      </c>
      <c r="K549" t="n">
        <v>0</v>
      </c>
      <c r="L549" t="n">
        <v>0</v>
      </c>
      <c r="M549" t="n">
        <v>0</v>
      </c>
      <c r="N549" t="n">
        <v>0</v>
      </c>
      <c r="O549" t="n">
        <v>0</v>
      </c>
      <c r="P549" t="n">
        <v>0</v>
      </c>
      <c r="Q549" t="n">
        <v>0</v>
      </c>
      <c r="R549" s="2" t="inlineStr"/>
    </row>
    <row r="550" ht="15" customHeight="1">
      <c r="A550" t="inlineStr">
        <is>
          <t>A 2153-2023</t>
        </is>
      </c>
      <c r="B550" s="1" t="n">
        <v>44941</v>
      </c>
      <c r="C550" s="1" t="n">
        <v>45886</v>
      </c>
      <c r="D550" t="inlineStr">
        <is>
          <t>ÖREBRO LÄN</t>
        </is>
      </c>
      <c r="E550" t="inlineStr">
        <is>
          <t>ÖREBRO</t>
        </is>
      </c>
      <c r="G550" t="n">
        <v>6.3</v>
      </c>
      <c r="H550" t="n">
        <v>0</v>
      </c>
      <c r="I550" t="n">
        <v>0</v>
      </c>
      <c r="J550" t="n">
        <v>0</v>
      </c>
      <c r="K550" t="n">
        <v>0</v>
      </c>
      <c r="L550" t="n">
        <v>0</v>
      </c>
      <c r="M550" t="n">
        <v>0</v>
      </c>
      <c r="N550" t="n">
        <v>0</v>
      </c>
      <c r="O550" t="n">
        <v>0</v>
      </c>
      <c r="P550" t="n">
        <v>0</v>
      </c>
      <c r="Q550" t="n">
        <v>0</v>
      </c>
      <c r="R550" s="2" t="inlineStr"/>
    </row>
    <row r="551" ht="15" customHeight="1">
      <c r="A551" t="inlineStr">
        <is>
          <t>A 55453-2024</t>
        </is>
      </c>
      <c r="B551" s="1" t="n">
        <v>45622.42097222222</v>
      </c>
      <c r="C551" s="1" t="n">
        <v>45886</v>
      </c>
      <c r="D551" t="inlineStr">
        <is>
          <t>ÖREBRO LÄN</t>
        </is>
      </c>
      <c r="E551" t="inlineStr">
        <is>
          <t>ÖREBRO</t>
        </is>
      </c>
      <c r="G551" t="n">
        <v>8.5</v>
      </c>
      <c r="H551" t="n">
        <v>0</v>
      </c>
      <c r="I551" t="n">
        <v>0</v>
      </c>
      <c r="J551" t="n">
        <v>0</v>
      </c>
      <c r="K551" t="n">
        <v>0</v>
      </c>
      <c r="L551" t="n">
        <v>0</v>
      </c>
      <c r="M551" t="n">
        <v>0</v>
      </c>
      <c r="N551" t="n">
        <v>0</v>
      </c>
      <c r="O551" t="n">
        <v>0</v>
      </c>
      <c r="P551" t="n">
        <v>0</v>
      </c>
      <c r="Q551" t="n">
        <v>0</v>
      </c>
      <c r="R551" s="2" t="inlineStr"/>
    </row>
    <row r="552" ht="15" customHeight="1">
      <c r="A552" t="inlineStr">
        <is>
          <t>A 10829-2023</t>
        </is>
      </c>
      <c r="B552" s="1" t="n">
        <v>44990.88512731482</v>
      </c>
      <c r="C552" s="1" t="n">
        <v>45886</v>
      </c>
      <c r="D552" t="inlineStr">
        <is>
          <t>ÖREBRO LÄN</t>
        </is>
      </c>
      <c r="E552" t="inlineStr">
        <is>
          <t>ÖREBRO</t>
        </is>
      </c>
      <c r="G552" t="n">
        <v>4.4</v>
      </c>
      <c r="H552" t="n">
        <v>0</v>
      </c>
      <c r="I552" t="n">
        <v>0</v>
      </c>
      <c r="J552" t="n">
        <v>0</v>
      </c>
      <c r="K552" t="n">
        <v>0</v>
      </c>
      <c r="L552" t="n">
        <v>0</v>
      </c>
      <c r="M552" t="n">
        <v>0</v>
      </c>
      <c r="N552" t="n">
        <v>0</v>
      </c>
      <c r="O552" t="n">
        <v>0</v>
      </c>
      <c r="P552" t="n">
        <v>0</v>
      </c>
      <c r="Q552" t="n">
        <v>0</v>
      </c>
      <c r="R552" s="2" t="inlineStr"/>
    </row>
    <row r="553" ht="15" customHeight="1">
      <c r="A553" t="inlineStr">
        <is>
          <t>A 10831-2023</t>
        </is>
      </c>
      <c r="B553" s="1" t="n">
        <v>44990.90357638889</v>
      </c>
      <c r="C553" s="1" t="n">
        <v>45886</v>
      </c>
      <c r="D553" t="inlineStr">
        <is>
          <t>ÖREBRO LÄN</t>
        </is>
      </c>
      <c r="E553" t="inlineStr">
        <is>
          <t>ÖREBRO</t>
        </is>
      </c>
      <c r="G553" t="n">
        <v>1.9</v>
      </c>
      <c r="H553" t="n">
        <v>0</v>
      </c>
      <c r="I553" t="n">
        <v>0</v>
      </c>
      <c r="J553" t="n">
        <v>0</v>
      </c>
      <c r="K553" t="n">
        <v>0</v>
      </c>
      <c r="L553" t="n">
        <v>0</v>
      </c>
      <c r="M553" t="n">
        <v>0</v>
      </c>
      <c r="N553" t="n">
        <v>0</v>
      </c>
      <c r="O553" t="n">
        <v>0</v>
      </c>
      <c r="P553" t="n">
        <v>0</v>
      </c>
      <c r="Q553" t="n">
        <v>0</v>
      </c>
      <c r="R553" s="2" t="inlineStr"/>
    </row>
    <row r="554" ht="15" customHeight="1">
      <c r="A554" t="inlineStr">
        <is>
          <t>A 2069-2025</t>
        </is>
      </c>
      <c r="B554" s="1" t="n">
        <v>45672.56614583333</v>
      </c>
      <c r="C554" s="1" t="n">
        <v>45886</v>
      </c>
      <c r="D554" t="inlineStr">
        <is>
          <t>ÖREBRO LÄN</t>
        </is>
      </c>
      <c r="E554" t="inlineStr">
        <is>
          <t>ÖREBRO</t>
        </is>
      </c>
      <c r="G554" t="n">
        <v>3.8</v>
      </c>
      <c r="H554" t="n">
        <v>0</v>
      </c>
      <c r="I554" t="n">
        <v>0</v>
      </c>
      <c r="J554" t="n">
        <v>0</v>
      </c>
      <c r="K554" t="n">
        <v>0</v>
      </c>
      <c r="L554" t="n">
        <v>0</v>
      </c>
      <c r="M554" t="n">
        <v>0</v>
      </c>
      <c r="N554" t="n">
        <v>0</v>
      </c>
      <c r="O554" t="n">
        <v>0</v>
      </c>
      <c r="P554" t="n">
        <v>0</v>
      </c>
      <c r="Q554" t="n">
        <v>0</v>
      </c>
      <c r="R554" s="2" t="inlineStr"/>
    </row>
    <row r="555" ht="15" customHeight="1">
      <c r="A555" t="inlineStr">
        <is>
          <t>A 852-2025</t>
        </is>
      </c>
      <c r="B555" s="1" t="n">
        <v>45665.60148148148</v>
      </c>
      <c r="C555" s="1" t="n">
        <v>45886</v>
      </c>
      <c r="D555" t="inlineStr">
        <is>
          <t>ÖREBRO LÄN</t>
        </is>
      </c>
      <c r="E555" t="inlineStr">
        <is>
          <t>ÖREBRO</t>
        </is>
      </c>
      <c r="G555" t="n">
        <v>2.9</v>
      </c>
      <c r="H555" t="n">
        <v>0</v>
      </c>
      <c r="I555" t="n">
        <v>0</v>
      </c>
      <c r="J555" t="n">
        <v>0</v>
      </c>
      <c r="K555" t="n">
        <v>0</v>
      </c>
      <c r="L555" t="n">
        <v>0</v>
      </c>
      <c r="M555" t="n">
        <v>0</v>
      </c>
      <c r="N555" t="n">
        <v>0</v>
      </c>
      <c r="O555" t="n">
        <v>0</v>
      </c>
      <c r="P555" t="n">
        <v>0</v>
      </c>
      <c r="Q555" t="n">
        <v>0</v>
      </c>
      <c r="R555" s="2" t="inlineStr"/>
    </row>
    <row r="556" ht="15" customHeight="1">
      <c r="A556" t="inlineStr">
        <is>
          <t>A 50398-2022</t>
        </is>
      </c>
      <c r="B556" s="1" t="n">
        <v>44861</v>
      </c>
      <c r="C556" s="1" t="n">
        <v>45886</v>
      </c>
      <c r="D556" t="inlineStr">
        <is>
          <t>ÖREBRO LÄN</t>
        </is>
      </c>
      <c r="E556" t="inlineStr">
        <is>
          <t>ÖREBRO</t>
        </is>
      </c>
      <c r="G556" t="n">
        <v>1.9</v>
      </c>
      <c r="H556" t="n">
        <v>0</v>
      </c>
      <c r="I556" t="n">
        <v>0</v>
      </c>
      <c r="J556" t="n">
        <v>0</v>
      </c>
      <c r="K556" t="n">
        <v>0</v>
      </c>
      <c r="L556" t="n">
        <v>0</v>
      </c>
      <c r="M556" t="n">
        <v>0</v>
      </c>
      <c r="N556" t="n">
        <v>0</v>
      </c>
      <c r="O556" t="n">
        <v>0</v>
      </c>
      <c r="P556" t="n">
        <v>0</v>
      </c>
      <c r="Q556" t="n">
        <v>0</v>
      </c>
      <c r="R556" s="2" t="inlineStr"/>
    </row>
    <row r="557" ht="15" customHeight="1">
      <c r="A557" t="inlineStr">
        <is>
          <t>A 52441-2024</t>
        </is>
      </c>
      <c r="B557" s="1" t="n">
        <v>45609.48451388889</v>
      </c>
      <c r="C557" s="1" t="n">
        <v>45886</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52499-2024</t>
        </is>
      </c>
      <c r="B558" s="1" t="n">
        <v>45609.58422453704</v>
      </c>
      <c r="C558" s="1" t="n">
        <v>45886</v>
      </c>
      <c r="D558" t="inlineStr">
        <is>
          <t>ÖREBRO LÄN</t>
        </is>
      </c>
      <c r="E558" t="inlineStr">
        <is>
          <t>ÖREBRO</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8008-2024</t>
        </is>
      </c>
      <c r="B559" s="1" t="n">
        <v>45350.6794212963</v>
      </c>
      <c r="C559" s="1" t="n">
        <v>45886</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18181-2024</t>
        </is>
      </c>
      <c r="B560" s="1" t="n">
        <v>45420.64561342593</v>
      </c>
      <c r="C560" s="1" t="n">
        <v>45886</v>
      </c>
      <c r="D560" t="inlineStr">
        <is>
          <t>ÖREBRO LÄN</t>
        </is>
      </c>
      <c r="E560" t="inlineStr">
        <is>
          <t>ÖREBRO</t>
        </is>
      </c>
      <c r="G560" t="n">
        <v>7.6</v>
      </c>
      <c r="H560" t="n">
        <v>0</v>
      </c>
      <c r="I560" t="n">
        <v>0</v>
      </c>
      <c r="J560" t="n">
        <v>0</v>
      </c>
      <c r="K560" t="n">
        <v>0</v>
      </c>
      <c r="L560" t="n">
        <v>0</v>
      </c>
      <c r="M560" t="n">
        <v>0</v>
      </c>
      <c r="N560" t="n">
        <v>0</v>
      </c>
      <c r="O560" t="n">
        <v>0</v>
      </c>
      <c r="P560" t="n">
        <v>0</v>
      </c>
      <c r="Q560" t="n">
        <v>0</v>
      </c>
      <c r="R560" s="2" t="inlineStr"/>
    </row>
    <row r="561" ht="15" customHeight="1">
      <c r="A561" t="inlineStr">
        <is>
          <t>A 16165-2023</t>
        </is>
      </c>
      <c r="B561" s="1" t="n">
        <v>45027</v>
      </c>
      <c r="C561" s="1" t="n">
        <v>45886</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57247-2022</t>
        </is>
      </c>
      <c r="B562" s="1" t="n">
        <v>44895.73065972222</v>
      </c>
      <c r="C562" s="1" t="n">
        <v>45886</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38415-2023</t>
        </is>
      </c>
      <c r="B563" s="1" t="n">
        <v>45162.35502314815</v>
      </c>
      <c r="C563" s="1" t="n">
        <v>45886</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16374-2022</t>
        </is>
      </c>
      <c r="B564" s="1" t="n">
        <v>44671</v>
      </c>
      <c r="C564" s="1" t="n">
        <v>45886</v>
      </c>
      <c r="D564" t="inlineStr">
        <is>
          <t>ÖREBRO LÄN</t>
        </is>
      </c>
      <c r="E564" t="inlineStr">
        <is>
          <t>ÖREBRO</t>
        </is>
      </c>
      <c r="F564" t="inlineStr">
        <is>
          <t>Övriga Aktiebolag</t>
        </is>
      </c>
      <c r="G564" t="n">
        <v>30.3</v>
      </c>
      <c r="H564" t="n">
        <v>0</v>
      </c>
      <c r="I564" t="n">
        <v>0</v>
      </c>
      <c r="J564" t="n">
        <v>0</v>
      </c>
      <c r="K564" t="n">
        <v>0</v>
      </c>
      <c r="L564" t="n">
        <v>0</v>
      </c>
      <c r="M564" t="n">
        <v>0</v>
      </c>
      <c r="N564" t="n">
        <v>0</v>
      </c>
      <c r="O564" t="n">
        <v>0</v>
      </c>
      <c r="P564" t="n">
        <v>0</v>
      </c>
      <c r="Q564" t="n">
        <v>0</v>
      </c>
      <c r="R564" s="2" t="inlineStr"/>
    </row>
    <row r="565" ht="15" customHeight="1">
      <c r="A565" t="inlineStr">
        <is>
          <t>A 9704-2023</t>
        </is>
      </c>
      <c r="B565" s="1" t="n">
        <v>44984</v>
      </c>
      <c r="C565" s="1" t="n">
        <v>45886</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19180-2025</t>
        </is>
      </c>
      <c r="B566" s="1" t="n">
        <v>45769.40133101852</v>
      </c>
      <c r="C566" s="1" t="n">
        <v>45886</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46052-2024</t>
        </is>
      </c>
      <c r="B567" s="1" t="n">
        <v>45580.89116898148</v>
      </c>
      <c r="C567" s="1" t="n">
        <v>45886</v>
      </c>
      <c r="D567" t="inlineStr">
        <is>
          <t>ÖREBRO LÄN</t>
        </is>
      </c>
      <c r="E567" t="inlineStr">
        <is>
          <t>ÖREBRO</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45886</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38691-2020</t>
        </is>
      </c>
      <c r="B569" s="1" t="n">
        <v>44061</v>
      </c>
      <c r="C569" s="1" t="n">
        <v>45886</v>
      </c>
      <c r="D569" t="inlineStr">
        <is>
          <t>ÖREBRO LÄN</t>
        </is>
      </c>
      <c r="E569" t="inlineStr">
        <is>
          <t>ÖREBRO</t>
        </is>
      </c>
      <c r="G569" t="n">
        <v>2.1</v>
      </c>
      <c r="H569" t="n">
        <v>0</v>
      </c>
      <c r="I569" t="n">
        <v>0</v>
      </c>
      <c r="J569" t="n">
        <v>0</v>
      </c>
      <c r="K569" t="n">
        <v>0</v>
      </c>
      <c r="L569" t="n">
        <v>0</v>
      </c>
      <c r="M569" t="n">
        <v>0</v>
      </c>
      <c r="N569" t="n">
        <v>0</v>
      </c>
      <c r="O569" t="n">
        <v>0</v>
      </c>
      <c r="P569" t="n">
        <v>0</v>
      </c>
      <c r="Q569" t="n">
        <v>0</v>
      </c>
      <c r="R569" s="2" t="inlineStr"/>
    </row>
    <row r="570" ht="15" customHeight="1">
      <c r="A570" t="inlineStr">
        <is>
          <t>A 37022-2024</t>
        </is>
      </c>
      <c r="B570" s="1" t="n">
        <v>45539.3822337963</v>
      </c>
      <c r="C570" s="1" t="n">
        <v>45886</v>
      </c>
      <c r="D570" t="inlineStr">
        <is>
          <t>ÖREBRO LÄN</t>
        </is>
      </c>
      <c r="E570" t="inlineStr">
        <is>
          <t>ÖREBRO</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37024-2024</t>
        </is>
      </c>
      <c r="B571" s="1" t="n">
        <v>45539.38329861111</v>
      </c>
      <c r="C571" s="1" t="n">
        <v>45886</v>
      </c>
      <c r="D571" t="inlineStr">
        <is>
          <t>ÖREBRO LÄN</t>
        </is>
      </c>
      <c r="E571" t="inlineStr">
        <is>
          <t>ÖREBRO</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38075-2022</t>
        </is>
      </c>
      <c r="B572" s="1" t="n">
        <v>44811</v>
      </c>
      <c r="C572" s="1" t="n">
        <v>45886</v>
      </c>
      <c r="D572" t="inlineStr">
        <is>
          <t>ÖREBRO LÄN</t>
        </is>
      </c>
      <c r="E572" t="inlineStr">
        <is>
          <t>ÖREBRO</t>
        </is>
      </c>
      <c r="G572" t="n">
        <v>0.2</v>
      </c>
      <c r="H572" t="n">
        <v>0</v>
      </c>
      <c r="I572" t="n">
        <v>0</v>
      </c>
      <c r="J572" t="n">
        <v>0</v>
      </c>
      <c r="K572" t="n">
        <v>0</v>
      </c>
      <c r="L572" t="n">
        <v>0</v>
      </c>
      <c r="M572" t="n">
        <v>0</v>
      </c>
      <c r="N572" t="n">
        <v>0</v>
      </c>
      <c r="O572" t="n">
        <v>0</v>
      </c>
      <c r="P572" t="n">
        <v>0</v>
      </c>
      <c r="Q572" t="n">
        <v>0</v>
      </c>
      <c r="R572" s="2" t="inlineStr"/>
    </row>
    <row r="573" ht="15" customHeight="1">
      <c r="A573" t="inlineStr">
        <is>
          <t>A 11382-2023</t>
        </is>
      </c>
      <c r="B573" s="1" t="n">
        <v>44993.45635416666</v>
      </c>
      <c r="C573" s="1" t="n">
        <v>45886</v>
      </c>
      <c r="D573" t="inlineStr">
        <is>
          <t>ÖREBRO LÄN</t>
        </is>
      </c>
      <c r="E573" t="inlineStr">
        <is>
          <t>ÖREBRO</t>
        </is>
      </c>
      <c r="G573" t="n">
        <v>3.3</v>
      </c>
      <c r="H573" t="n">
        <v>0</v>
      </c>
      <c r="I573" t="n">
        <v>0</v>
      </c>
      <c r="J573" t="n">
        <v>0</v>
      </c>
      <c r="K573" t="n">
        <v>0</v>
      </c>
      <c r="L573" t="n">
        <v>0</v>
      </c>
      <c r="M573" t="n">
        <v>0</v>
      </c>
      <c r="N573" t="n">
        <v>0</v>
      </c>
      <c r="O573" t="n">
        <v>0</v>
      </c>
      <c r="P573" t="n">
        <v>0</v>
      </c>
      <c r="Q573" t="n">
        <v>0</v>
      </c>
      <c r="R573" s="2" t="inlineStr"/>
    </row>
    <row r="574" ht="15" customHeight="1">
      <c r="A574" t="inlineStr">
        <is>
          <t>A 20121-2024</t>
        </is>
      </c>
      <c r="B574" s="1" t="n">
        <v>45434</v>
      </c>
      <c r="C574" s="1" t="n">
        <v>45886</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46757-2021</t>
        </is>
      </c>
      <c r="B575" s="1" t="n">
        <v>44445</v>
      </c>
      <c r="C575" s="1" t="n">
        <v>45886</v>
      </c>
      <c r="D575" t="inlineStr">
        <is>
          <t>ÖREBRO LÄN</t>
        </is>
      </c>
      <c r="E575" t="inlineStr">
        <is>
          <t>ÖREBRO</t>
        </is>
      </c>
      <c r="G575" t="n">
        <v>5.6</v>
      </c>
      <c r="H575" t="n">
        <v>0</v>
      </c>
      <c r="I575" t="n">
        <v>0</v>
      </c>
      <c r="J575" t="n">
        <v>0</v>
      </c>
      <c r="K575" t="n">
        <v>0</v>
      </c>
      <c r="L575" t="n">
        <v>0</v>
      </c>
      <c r="M575" t="n">
        <v>0</v>
      </c>
      <c r="N575" t="n">
        <v>0</v>
      </c>
      <c r="O575" t="n">
        <v>0</v>
      </c>
      <c r="P575" t="n">
        <v>0</v>
      </c>
      <c r="Q575" t="n">
        <v>0</v>
      </c>
      <c r="R575" s="2" t="inlineStr"/>
    </row>
    <row r="576" ht="15" customHeight="1">
      <c r="A576" t="inlineStr">
        <is>
          <t>A 26117-2021</t>
        </is>
      </c>
      <c r="B576" s="1" t="n">
        <v>44345</v>
      </c>
      <c r="C576" s="1" t="n">
        <v>45886</v>
      </c>
      <c r="D576" t="inlineStr">
        <is>
          <t>ÖREBRO LÄN</t>
        </is>
      </c>
      <c r="E576" t="inlineStr">
        <is>
          <t>ÖREBRO</t>
        </is>
      </c>
      <c r="G576" t="n">
        <v>8.1</v>
      </c>
      <c r="H576" t="n">
        <v>0</v>
      </c>
      <c r="I576" t="n">
        <v>0</v>
      </c>
      <c r="J576" t="n">
        <v>0</v>
      </c>
      <c r="K576" t="n">
        <v>0</v>
      </c>
      <c r="L576" t="n">
        <v>0</v>
      </c>
      <c r="M576" t="n">
        <v>0</v>
      </c>
      <c r="N576" t="n">
        <v>0</v>
      </c>
      <c r="O576" t="n">
        <v>0</v>
      </c>
      <c r="P576" t="n">
        <v>0</v>
      </c>
      <c r="Q576" t="n">
        <v>0</v>
      </c>
      <c r="R576" s="2" t="inlineStr"/>
    </row>
    <row r="577" ht="15" customHeight="1">
      <c r="A577" t="inlineStr">
        <is>
          <t>A 30374-2023</t>
        </is>
      </c>
      <c r="B577" s="1" t="n">
        <v>45111</v>
      </c>
      <c r="C577" s="1" t="n">
        <v>45886</v>
      </c>
      <c r="D577" t="inlineStr">
        <is>
          <t>ÖREBRO LÄN</t>
        </is>
      </c>
      <c r="E577" t="inlineStr">
        <is>
          <t>ÖREBRO</t>
        </is>
      </c>
      <c r="F577" t="inlineStr">
        <is>
          <t>Övriga Aktiebolag</t>
        </is>
      </c>
      <c r="G577" t="n">
        <v>2.3</v>
      </c>
      <c r="H577" t="n">
        <v>0</v>
      </c>
      <c r="I577" t="n">
        <v>0</v>
      </c>
      <c r="J577" t="n">
        <v>0</v>
      </c>
      <c r="K577" t="n">
        <v>0</v>
      </c>
      <c r="L577" t="n">
        <v>0</v>
      </c>
      <c r="M577" t="n">
        <v>0</v>
      </c>
      <c r="N577" t="n">
        <v>0</v>
      </c>
      <c r="O577" t="n">
        <v>0</v>
      </c>
      <c r="P577" t="n">
        <v>0</v>
      </c>
      <c r="Q577" t="n">
        <v>0</v>
      </c>
      <c r="R577" s="2" t="inlineStr"/>
    </row>
    <row r="578" ht="15" customHeight="1">
      <c r="A578" t="inlineStr">
        <is>
          <t>A 55943-2024</t>
        </is>
      </c>
      <c r="B578" s="1" t="n">
        <v>45623.61278935185</v>
      </c>
      <c r="C578" s="1" t="n">
        <v>45886</v>
      </c>
      <c r="D578" t="inlineStr">
        <is>
          <t>ÖREBRO LÄN</t>
        </is>
      </c>
      <c r="E578" t="inlineStr">
        <is>
          <t>ÖREBRO</t>
        </is>
      </c>
      <c r="G578" t="n">
        <v>4.8</v>
      </c>
      <c r="H578" t="n">
        <v>0</v>
      </c>
      <c r="I578" t="n">
        <v>0</v>
      </c>
      <c r="J578" t="n">
        <v>0</v>
      </c>
      <c r="K578" t="n">
        <v>0</v>
      </c>
      <c r="L578" t="n">
        <v>0</v>
      </c>
      <c r="M578" t="n">
        <v>0</v>
      </c>
      <c r="N578" t="n">
        <v>0</v>
      </c>
      <c r="O578" t="n">
        <v>0</v>
      </c>
      <c r="P578" t="n">
        <v>0</v>
      </c>
      <c r="Q578" t="n">
        <v>0</v>
      </c>
      <c r="R578" s="2" t="inlineStr"/>
    </row>
    <row r="579" ht="15" customHeight="1">
      <c r="A579" t="inlineStr">
        <is>
          <t>A 1013-2024</t>
        </is>
      </c>
      <c r="B579" s="1" t="n">
        <v>45301</v>
      </c>
      <c r="C579" s="1" t="n">
        <v>45886</v>
      </c>
      <c r="D579" t="inlineStr">
        <is>
          <t>ÖREBRO LÄN</t>
        </is>
      </c>
      <c r="E579" t="inlineStr">
        <is>
          <t>ÖREBRO</t>
        </is>
      </c>
      <c r="G579" t="n">
        <v>2.6</v>
      </c>
      <c r="H579" t="n">
        <v>0</v>
      </c>
      <c r="I579" t="n">
        <v>0</v>
      </c>
      <c r="J579" t="n">
        <v>0</v>
      </c>
      <c r="K579" t="n">
        <v>0</v>
      </c>
      <c r="L579" t="n">
        <v>0</v>
      </c>
      <c r="M579" t="n">
        <v>0</v>
      </c>
      <c r="N579" t="n">
        <v>0</v>
      </c>
      <c r="O579" t="n">
        <v>0</v>
      </c>
      <c r="P579" t="n">
        <v>0</v>
      </c>
      <c r="Q579" t="n">
        <v>0</v>
      </c>
      <c r="R579" s="2" t="inlineStr"/>
    </row>
    <row r="580" ht="15" customHeight="1">
      <c r="A580" t="inlineStr">
        <is>
          <t>A 13623-2024</t>
        </is>
      </c>
      <c r="B580" s="1" t="n">
        <v>45390.38626157407</v>
      </c>
      <c r="C580" s="1" t="n">
        <v>45886</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54678-2023</t>
        </is>
      </c>
      <c r="B581" s="1" t="n">
        <v>45235</v>
      </c>
      <c r="C581" s="1" t="n">
        <v>45886</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48687-2024</t>
        </is>
      </c>
      <c r="B582" s="1" t="n">
        <v>45593.49899305555</v>
      </c>
      <c r="C582" s="1" t="n">
        <v>45886</v>
      </c>
      <c r="D582" t="inlineStr">
        <is>
          <t>ÖREBRO LÄN</t>
        </is>
      </c>
      <c r="E582" t="inlineStr">
        <is>
          <t>ÖREBRO</t>
        </is>
      </c>
      <c r="F582" t="inlineStr">
        <is>
          <t>Övriga Aktiebolag</t>
        </is>
      </c>
      <c r="G582" t="n">
        <v>3.8</v>
      </c>
      <c r="H582" t="n">
        <v>0</v>
      </c>
      <c r="I582" t="n">
        <v>0</v>
      </c>
      <c r="J582" t="n">
        <v>0</v>
      </c>
      <c r="K582" t="n">
        <v>0</v>
      </c>
      <c r="L582" t="n">
        <v>0</v>
      </c>
      <c r="M582" t="n">
        <v>0</v>
      </c>
      <c r="N582" t="n">
        <v>0</v>
      </c>
      <c r="O582" t="n">
        <v>0</v>
      </c>
      <c r="P582" t="n">
        <v>0</v>
      </c>
      <c r="Q582" t="n">
        <v>0</v>
      </c>
      <c r="R582" s="2" t="inlineStr"/>
    </row>
    <row r="583" ht="15" customHeight="1">
      <c r="A583" t="inlineStr">
        <is>
          <t>A 5330-2024</t>
        </is>
      </c>
      <c r="B583" s="1" t="n">
        <v>45331.4187962963</v>
      </c>
      <c r="C583" s="1" t="n">
        <v>45886</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6794-2025</t>
        </is>
      </c>
      <c r="B584" s="1" t="n">
        <v>45700.66429398148</v>
      </c>
      <c r="C584" s="1" t="n">
        <v>45886</v>
      </c>
      <c r="D584" t="inlineStr">
        <is>
          <t>ÖREBRO LÄN</t>
        </is>
      </c>
      <c r="E584" t="inlineStr">
        <is>
          <t>ÖREBRO</t>
        </is>
      </c>
      <c r="G584" t="n">
        <v>1</v>
      </c>
      <c r="H584" t="n">
        <v>0</v>
      </c>
      <c r="I584" t="n">
        <v>0</v>
      </c>
      <c r="J584" t="n">
        <v>0</v>
      </c>
      <c r="K584" t="n">
        <v>0</v>
      </c>
      <c r="L584" t="n">
        <v>0</v>
      </c>
      <c r="M584" t="n">
        <v>0</v>
      </c>
      <c r="N584" t="n">
        <v>0</v>
      </c>
      <c r="O584" t="n">
        <v>0</v>
      </c>
      <c r="P584" t="n">
        <v>0</v>
      </c>
      <c r="Q584" t="n">
        <v>0</v>
      </c>
      <c r="R584" s="2" t="inlineStr"/>
    </row>
    <row r="585" ht="15" customHeight="1">
      <c r="A585" t="inlineStr">
        <is>
          <t>A 58219-2024</t>
        </is>
      </c>
      <c r="B585" s="1" t="n">
        <v>45632</v>
      </c>
      <c r="C585" s="1" t="n">
        <v>45886</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42518-2021</t>
        </is>
      </c>
      <c r="B586" s="1" t="n">
        <v>44427.81496527778</v>
      </c>
      <c r="C586" s="1" t="n">
        <v>45886</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14545-2023</t>
        </is>
      </c>
      <c r="B587" s="1" t="n">
        <v>45013.34895833334</v>
      </c>
      <c r="C587" s="1" t="n">
        <v>45886</v>
      </c>
      <c r="D587" t="inlineStr">
        <is>
          <t>ÖREBRO LÄN</t>
        </is>
      </c>
      <c r="E587" t="inlineStr">
        <is>
          <t>ÖREBRO</t>
        </is>
      </c>
      <c r="G587" t="n">
        <v>2.5</v>
      </c>
      <c r="H587" t="n">
        <v>0</v>
      </c>
      <c r="I587" t="n">
        <v>0</v>
      </c>
      <c r="J587" t="n">
        <v>0</v>
      </c>
      <c r="K587" t="n">
        <v>0</v>
      </c>
      <c r="L587" t="n">
        <v>0</v>
      </c>
      <c r="M587" t="n">
        <v>0</v>
      </c>
      <c r="N587" t="n">
        <v>0</v>
      </c>
      <c r="O587" t="n">
        <v>0</v>
      </c>
      <c r="P587" t="n">
        <v>0</v>
      </c>
      <c r="Q587" t="n">
        <v>0</v>
      </c>
      <c r="R587" s="2" t="inlineStr"/>
    </row>
    <row r="588" ht="15" customHeight="1">
      <c r="A588" t="inlineStr">
        <is>
          <t>A 3-2024</t>
        </is>
      </c>
      <c r="B588" s="1" t="n">
        <v>45292</v>
      </c>
      <c r="C588" s="1" t="n">
        <v>45886</v>
      </c>
      <c r="D588" t="inlineStr">
        <is>
          <t>ÖREBRO LÄN</t>
        </is>
      </c>
      <c r="E588" t="inlineStr">
        <is>
          <t>ÖREBRO</t>
        </is>
      </c>
      <c r="G588" t="n">
        <v>2.7</v>
      </c>
      <c r="H588" t="n">
        <v>0</v>
      </c>
      <c r="I588" t="n">
        <v>0</v>
      </c>
      <c r="J588" t="n">
        <v>0</v>
      </c>
      <c r="K588" t="n">
        <v>0</v>
      </c>
      <c r="L588" t="n">
        <v>0</v>
      </c>
      <c r="M588" t="n">
        <v>0</v>
      </c>
      <c r="N588" t="n">
        <v>0</v>
      </c>
      <c r="O588" t="n">
        <v>0</v>
      </c>
      <c r="P588" t="n">
        <v>0</v>
      </c>
      <c r="Q588" t="n">
        <v>0</v>
      </c>
      <c r="R588" s="2" t="inlineStr"/>
    </row>
    <row r="589" ht="15" customHeight="1">
      <c r="A589" t="inlineStr">
        <is>
          <t>A 5619-2023</t>
        </is>
      </c>
      <c r="B589" s="1" t="n">
        <v>44958</v>
      </c>
      <c r="C589" s="1" t="n">
        <v>45886</v>
      </c>
      <c r="D589" t="inlineStr">
        <is>
          <t>ÖREBRO LÄN</t>
        </is>
      </c>
      <c r="E589" t="inlineStr">
        <is>
          <t>ÖREBRO</t>
        </is>
      </c>
      <c r="G589" t="n">
        <v>27</v>
      </c>
      <c r="H589" t="n">
        <v>0</v>
      </c>
      <c r="I589" t="n">
        <v>0</v>
      </c>
      <c r="J589" t="n">
        <v>0</v>
      </c>
      <c r="K589" t="n">
        <v>0</v>
      </c>
      <c r="L589" t="n">
        <v>0</v>
      </c>
      <c r="M589" t="n">
        <v>0</v>
      </c>
      <c r="N589" t="n">
        <v>0</v>
      </c>
      <c r="O589" t="n">
        <v>0</v>
      </c>
      <c r="P589" t="n">
        <v>0</v>
      </c>
      <c r="Q589" t="n">
        <v>0</v>
      </c>
      <c r="R589" s="2" t="inlineStr"/>
    </row>
    <row r="590" ht="15" customHeight="1">
      <c r="A590" t="inlineStr">
        <is>
          <t>A 27112-2023</t>
        </is>
      </c>
      <c r="B590" s="1" t="n">
        <v>45096</v>
      </c>
      <c r="C590" s="1" t="n">
        <v>45886</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14524-2025</t>
        </is>
      </c>
      <c r="B591" s="1" t="n">
        <v>45741.64815972222</v>
      </c>
      <c r="C591" s="1" t="n">
        <v>45886</v>
      </c>
      <c r="D591" t="inlineStr">
        <is>
          <t>ÖREBRO LÄN</t>
        </is>
      </c>
      <c r="E591" t="inlineStr">
        <is>
          <t>ÖREBRO</t>
        </is>
      </c>
      <c r="G591" t="n">
        <v>2.8</v>
      </c>
      <c r="H591" t="n">
        <v>0</v>
      </c>
      <c r="I591" t="n">
        <v>0</v>
      </c>
      <c r="J591" t="n">
        <v>0</v>
      </c>
      <c r="K591" t="n">
        <v>0</v>
      </c>
      <c r="L591" t="n">
        <v>0</v>
      </c>
      <c r="M591" t="n">
        <v>0</v>
      </c>
      <c r="N591" t="n">
        <v>0</v>
      </c>
      <c r="O591" t="n">
        <v>0</v>
      </c>
      <c r="P591" t="n">
        <v>0</v>
      </c>
      <c r="Q591" t="n">
        <v>0</v>
      </c>
      <c r="R591" s="2" t="inlineStr"/>
    </row>
    <row r="592" ht="15" customHeight="1">
      <c r="A592" t="inlineStr">
        <is>
          <t>A 5578-2024</t>
        </is>
      </c>
      <c r="B592" s="1" t="n">
        <v>45334.49104166667</v>
      </c>
      <c r="C592" s="1" t="n">
        <v>45886</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46834-2022</t>
        </is>
      </c>
      <c r="B593" s="1" t="n">
        <v>44851</v>
      </c>
      <c r="C593" s="1" t="n">
        <v>45886</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57638-2022</t>
        </is>
      </c>
      <c r="B594" s="1" t="n">
        <v>44897</v>
      </c>
      <c r="C594" s="1" t="n">
        <v>45886</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46050-2024</t>
        </is>
      </c>
      <c r="B595" s="1" t="n">
        <v>45580.88078703704</v>
      </c>
      <c r="C595" s="1" t="n">
        <v>45886</v>
      </c>
      <c r="D595" t="inlineStr">
        <is>
          <t>ÖREBRO LÄN</t>
        </is>
      </c>
      <c r="E595" t="inlineStr">
        <is>
          <t>ÖREBRO</t>
        </is>
      </c>
      <c r="F595" t="inlineStr">
        <is>
          <t>Övriga Aktiebolag</t>
        </is>
      </c>
      <c r="G595" t="n">
        <v>0.9</v>
      </c>
      <c r="H595" t="n">
        <v>0</v>
      </c>
      <c r="I595" t="n">
        <v>0</v>
      </c>
      <c r="J595" t="n">
        <v>0</v>
      </c>
      <c r="K595" t="n">
        <v>0</v>
      </c>
      <c r="L595" t="n">
        <v>0</v>
      </c>
      <c r="M595" t="n">
        <v>0</v>
      </c>
      <c r="N595" t="n">
        <v>0</v>
      </c>
      <c r="O595" t="n">
        <v>0</v>
      </c>
      <c r="P595" t="n">
        <v>0</v>
      </c>
      <c r="Q595" t="n">
        <v>0</v>
      </c>
      <c r="R595" s="2" t="inlineStr"/>
    </row>
    <row r="596" ht="15" customHeight="1">
      <c r="A596" t="inlineStr">
        <is>
          <t>A 2152-2023</t>
        </is>
      </c>
      <c r="B596" s="1" t="n">
        <v>44941.55056712963</v>
      </c>
      <c r="C596" s="1" t="n">
        <v>45886</v>
      </c>
      <c r="D596" t="inlineStr">
        <is>
          <t>ÖREBRO LÄN</t>
        </is>
      </c>
      <c r="E596" t="inlineStr">
        <is>
          <t>ÖREBRO</t>
        </is>
      </c>
      <c r="G596" t="n">
        <v>8</v>
      </c>
      <c r="H596" t="n">
        <v>0</v>
      </c>
      <c r="I596" t="n">
        <v>0</v>
      </c>
      <c r="J596" t="n">
        <v>0</v>
      </c>
      <c r="K596" t="n">
        <v>0</v>
      </c>
      <c r="L596" t="n">
        <v>0</v>
      </c>
      <c r="M596" t="n">
        <v>0</v>
      </c>
      <c r="N596" t="n">
        <v>0</v>
      </c>
      <c r="O596" t="n">
        <v>0</v>
      </c>
      <c r="P596" t="n">
        <v>0</v>
      </c>
      <c r="Q596" t="n">
        <v>0</v>
      </c>
      <c r="R596" s="2" t="inlineStr"/>
    </row>
    <row r="597" ht="15" customHeight="1">
      <c r="A597" t="inlineStr">
        <is>
          <t>A 37786-2024</t>
        </is>
      </c>
      <c r="B597" s="1" t="n">
        <v>45542.82987268519</v>
      </c>
      <c r="C597" s="1" t="n">
        <v>45886</v>
      </c>
      <c r="D597" t="inlineStr">
        <is>
          <t>ÖREBRO LÄN</t>
        </is>
      </c>
      <c r="E597" t="inlineStr">
        <is>
          <t>ÖREBRO</t>
        </is>
      </c>
      <c r="G597" t="n">
        <v>3.1</v>
      </c>
      <c r="H597" t="n">
        <v>0</v>
      </c>
      <c r="I597" t="n">
        <v>0</v>
      </c>
      <c r="J597" t="n">
        <v>0</v>
      </c>
      <c r="K597" t="n">
        <v>0</v>
      </c>
      <c r="L597" t="n">
        <v>0</v>
      </c>
      <c r="M597" t="n">
        <v>0</v>
      </c>
      <c r="N597" t="n">
        <v>0</v>
      </c>
      <c r="O597" t="n">
        <v>0</v>
      </c>
      <c r="P597" t="n">
        <v>0</v>
      </c>
      <c r="Q597" t="n">
        <v>0</v>
      </c>
      <c r="R597" s="2" t="inlineStr"/>
    </row>
    <row r="598" ht="15" customHeight="1">
      <c r="A598" t="inlineStr">
        <is>
          <t>A 58615-2024</t>
        </is>
      </c>
      <c r="B598" s="1" t="n">
        <v>45635.5587037037</v>
      </c>
      <c r="C598" s="1" t="n">
        <v>45886</v>
      </c>
      <c r="D598" t="inlineStr">
        <is>
          <t>ÖREBRO LÄN</t>
        </is>
      </c>
      <c r="E598" t="inlineStr">
        <is>
          <t>ÖREBRO</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55745-2023</t>
        </is>
      </c>
      <c r="B599" s="1" t="n">
        <v>45239.44811342593</v>
      </c>
      <c r="C599" s="1" t="n">
        <v>45886</v>
      </c>
      <c r="D599" t="inlineStr">
        <is>
          <t>ÖREBRO LÄN</t>
        </is>
      </c>
      <c r="E599" t="inlineStr">
        <is>
          <t>ÖREBRO</t>
        </is>
      </c>
      <c r="G599" t="n">
        <v>13.3</v>
      </c>
      <c r="H599" t="n">
        <v>0</v>
      </c>
      <c r="I599" t="n">
        <v>0</v>
      </c>
      <c r="J599" t="n">
        <v>0</v>
      </c>
      <c r="K599" t="n">
        <v>0</v>
      </c>
      <c r="L599" t="n">
        <v>0</v>
      </c>
      <c r="M599" t="n">
        <v>0</v>
      </c>
      <c r="N599" t="n">
        <v>0</v>
      </c>
      <c r="O599" t="n">
        <v>0</v>
      </c>
      <c r="P599" t="n">
        <v>0</v>
      </c>
      <c r="Q599" t="n">
        <v>0</v>
      </c>
      <c r="R599" s="2" t="inlineStr"/>
    </row>
    <row r="600" ht="15" customHeight="1">
      <c r="A600" t="inlineStr">
        <is>
          <t>A 45517-2023</t>
        </is>
      </c>
      <c r="B600" s="1" t="n">
        <v>45194.49594907407</v>
      </c>
      <c r="C600" s="1" t="n">
        <v>45886</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3652-2022</t>
        </is>
      </c>
      <c r="B601" s="1" t="n">
        <v>44586.46921296296</v>
      </c>
      <c r="C601" s="1" t="n">
        <v>45886</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25407-2021</t>
        </is>
      </c>
      <c r="B602" s="1" t="n">
        <v>44342</v>
      </c>
      <c r="C602" s="1" t="n">
        <v>45886</v>
      </c>
      <c r="D602" t="inlineStr">
        <is>
          <t>ÖREBRO LÄN</t>
        </is>
      </c>
      <c r="E602" t="inlineStr">
        <is>
          <t>ÖREBRO</t>
        </is>
      </c>
      <c r="F602" t="inlineStr">
        <is>
          <t>Kommuner</t>
        </is>
      </c>
      <c r="G602" t="n">
        <v>7.2</v>
      </c>
      <c r="H602" t="n">
        <v>0</v>
      </c>
      <c r="I602" t="n">
        <v>0</v>
      </c>
      <c r="J602" t="n">
        <v>0</v>
      </c>
      <c r="K602" t="n">
        <v>0</v>
      </c>
      <c r="L602" t="n">
        <v>0</v>
      </c>
      <c r="M602" t="n">
        <v>0</v>
      </c>
      <c r="N602" t="n">
        <v>0</v>
      </c>
      <c r="O602" t="n">
        <v>0</v>
      </c>
      <c r="P602" t="n">
        <v>0</v>
      </c>
      <c r="Q602" t="n">
        <v>0</v>
      </c>
      <c r="R602" s="2" t="inlineStr"/>
    </row>
    <row r="603" ht="15" customHeight="1">
      <c r="A603" t="inlineStr">
        <is>
          <t>A 20589-2024</t>
        </is>
      </c>
      <c r="B603" s="1" t="n">
        <v>45436.42077546296</v>
      </c>
      <c r="C603" s="1" t="n">
        <v>45886</v>
      </c>
      <c r="D603" t="inlineStr">
        <is>
          <t>ÖREBRO LÄN</t>
        </is>
      </c>
      <c r="E603" t="inlineStr">
        <is>
          <t>ÖREBRO</t>
        </is>
      </c>
      <c r="G603" t="n">
        <v>3.7</v>
      </c>
      <c r="H603" t="n">
        <v>0</v>
      </c>
      <c r="I603" t="n">
        <v>0</v>
      </c>
      <c r="J603" t="n">
        <v>0</v>
      </c>
      <c r="K603" t="n">
        <v>0</v>
      </c>
      <c r="L603" t="n">
        <v>0</v>
      </c>
      <c r="M603" t="n">
        <v>0</v>
      </c>
      <c r="N603" t="n">
        <v>0</v>
      </c>
      <c r="O603" t="n">
        <v>0</v>
      </c>
      <c r="P603" t="n">
        <v>0</v>
      </c>
      <c r="Q603" t="n">
        <v>0</v>
      </c>
      <c r="R603" s="2" t="inlineStr"/>
    </row>
    <row r="604" ht="15" customHeight="1">
      <c r="A604" t="inlineStr">
        <is>
          <t>A 12245-2023</t>
        </is>
      </c>
      <c r="B604" s="1" t="n">
        <v>44998.64402777778</v>
      </c>
      <c r="C604" s="1" t="n">
        <v>45886</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71285-2021</t>
        </is>
      </c>
      <c r="B605" s="1" t="n">
        <v>44539.62236111111</v>
      </c>
      <c r="C605" s="1" t="n">
        <v>45886</v>
      </c>
      <c r="D605" t="inlineStr">
        <is>
          <t>ÖREBRO LÄN</t>
        </is>
      </c>
      <c r="E605" t="inlineStr">
        <is>
          <t>ÖREBRO</t>
        </is>
      </c>
      <c r="G605" t="n">
        <v>0.8</v>
      </c>
      <c r="H605" t="n">
        <v>0</v>
      </c>
      <c r="I605" t="n">
        <v>0</v>
      </c>
      <c r="J605" t="n">
        <v>0</v>
      </c>
      <c r="K605" t="n">
        <v>0</v>
      </c>
      <c r="L605" t="n">
        <v>0</v>
      </c>
      <c r="M605" t="n">
        <v>0</v>
      </c>
      <c r="N605" t="n">
        <v>0</v>
      </c>
      <c r="O605" t="n">
        <v>0</v>
      </c>
      <c r="P605" t="n">
        <v>0</v>
      </c>
      <c r="Q605" t="n">
        <v>0</v>
      </c>
      <c r="R605" s="2" t="inlineStr"/>
    </row>
    <row r="606" ht="15" customHeight="1">
      <c r="A606" t="inlineStr">
        <is>
          <t>A 7134-2025</t>
        </is>
      </c>
      <c r="B606" s="1" t="n">
        <v>45702</v>
      </c>
      <c r="C606" s="1" t="n">
        <v>45886</v>
      </c>
      <c r="D606" t="inlineStr">
        <is>
          <t>ÖREBRO LÄN</t>
        </is>
      </c>
      <c r="E606" t="inlineStr">
        <is>
          <t>ÖREBRO</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60506-2024</t>
        </is>
      </c>
      <c r="B607" s="1" t="n">
        <v>45643.66630787037</v>
      </c>
      <c r="C607" s="1" t="n">
        <v>45886</v>
      </c>
      <c r="D607" t="inlineStr">
        <is>
          <t>ÖREBRO LÄN</t>
        </is>
      </c>
      <c r="E607" t="inlineStr">
        <is>
          <t>ÖREBRO</t>
        </is>
      </c>
      <c r="G607" t="n">
        <v>5.8</v>
      </c>
      <c r="H607" t="n">
        <v>0</v>
      </c>
      <c r="I607" t="n">
        <v>0</v>
      </c>
      <c r="J607" t="n">
        <v>0</v>
      </c>
      <c r="K607" t="n">
        <v>0</v>
      </c>
      <c r="L607" t="n">
        <v>0</v>
      </c>
      <c r="M607" t="n">
        <v>0</v>
      </c>
      <c r="N607" t="n">
        <v>0</v>
      </c>
      <c r="O607" t="n">
        <v>0</v>
      </c>
      <c r="P607" t="n">
        <v>0</v>
      </c>
      <c r="Q607" t="n">
        <v>0</v>
      </c>
      <c r="R607" s="2" t="inlineStr"/>
    </row>
    <row r="608" ht="15" customHeight="1">
      <c r="A608" t="inlineStr">
        <is>
          <t>A 29978-2024</t>
        </is>
      </c>
      <c r="B608" s="1" t="n">
        <v>45488.48340277778</v>
      </c>
      <c r="C608" s="1" t="n">
        <v>45886</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30903-2024</t>
        </is>
      </c>
      <c r="B609" s="1" t="n">
        <v>45498.49946759259</v>
      </c>
      <c r="C609" s="1" t="n">
        <v>45886</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58611-2024</t>
        </is>
      </c>
      <c r="B610" s="1" t="n">
        <v>45635.55555555555</v>
      </c>
      <c r="C610" s="1" t="n">
        <v>45886</v>
      </c>
      <c r="D610" t="inlineStr">
        <is>
          <t>ÖREBRO LÄN</t>
        </is>
      </c>
      <c r="E610" t="inlineStr">
        <is>
          <t>ÖREBRO</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60289-2023</t>
        </is>
      </c>
      <c r="B611" s="1" t="n">
        <v>45257</v>
      </c>
      <c r="C611" s="1" t="n">
        <v>45886</v>
      </c>
      <c r="D611" t="inlineStr">
        <is>
          <t>ÖREBRO LÄN</t>
        </is>
      </c>
      <c r="E611" t="inlineStr">
        <is>
          <t>ÖREBRO</t>
        </is>
      </c>
      <c r="G611" t="n">
        <v>10.9</v>
      </c>
      <c r="H611" t="n">
        <v>0</v>
      </c>
      <c r="I611" t="n">
        <v>0</v>
      </c>
      <c r="J611" t="n">
        <v>0</v>
      </c>
      <c r="K611" t="n">
        <v>0</v>
      </c>
      <c r="L611" t="n">
        <v>0</v>
      </c>
      <c r="M611" t="n">
        <v>0</v>
      </c>
      <c r="N611" t="n">
        <v>0</v>
      </c>
      <c r="O611" t="n">
        <v>0</v>
      </c>
      <c r="P611" t="n">
        <v>0</v>
      </c>
      <c r="Q611" t="n">
        <v>0</v>
      </c>
      <c r="R611" s="2" t="inlineStr"/>
    </row>
    <row r="612" ht="15" customHeight="1">
      <c r="A612" t="inlineStr">
        <is>
          <t>A 46323-2024</t>
        </is>
      </c>
      <c r="B612" s="1" t="n">
        <v>45581.84538194445</v>
      </c>
      <c r="C612" s="1" t="n">
        <v>45886</v>
      </c>
      <c r="D612" t="inlineStr">
        <is>
          <t>ÖREBRO LÄN</t>
        </is>
      </c>
      <c r="E612" t="inlineStr">
        <is>
          <t>ÖREBRO</t>
        </is>
      </c>
      <c r="F612" t="inlineStr">
        <is>
          <t>Övriga Aktiebolag</t>
        </is>
      </c>
      <c r="G612" t="n">
        <v>1.4</v>
      </c>
      <c r="H612" t="n">
        <v>0</v>
      </c>
      <c r="I612" t="n">
        <v>0</v>
      </c>
      <c r="J612" t="n">
        <v>0</v>
      </c>
      <c r="K612" t="n">
        <v>0</v>
      </c>
      <c r="L612" t="n">
        <v>0</v>
      </c>
      <c r="M612" t="n">
        <v>0</v>
      </c>
      <c r="N612" t="n">
        <v>0</v>
      </c>
      <c r="O612" t="n">
        <v>0</v>
      </c>
      <c r="P612" t="n">
        <v>0</v>
      </c>
      <c r="Q612" t="n">
        <v>0</v>
      </c>
      <c r="R612" s="2" t="inlineStr"/>
    </row>
    <row r="613" ht="15" customHeight="1">
      <c r="A613" t="inlineStr">
        <is>
          <t>A 12099-2023</t>
        </is>
      </c>
      <c r="B613" s="1" t="n">
        <v>44998.37043981482</v>
      </c>
      <c r="C613" s="1" t="n">
        <v>45886</v>
      </c>
      <c r="D613" t="inlineStr">
        <is>
          <t>ÖREBRO LÄN</t>
        </is>
      </c>
      <c r="E613" t="inlineStr">
        <is>
          <t>ÖREBRO</t>
        </is>
      </c>
      <c r="G613" t="n">
        <v>0.9</v>
      </c>
      <c r="H613" t="n">
        <v>0</v>
      </c>
      <c r="I613" t="n">
        <v>0</v>
      </c>
      <c r="J613" t="n">
        <v>0</v>
      </c>
      <c r="K613" t="n">
        <v>0</v>
      </c>
      <c r="L613" t="n">
        <v>0</v>
      </c>
      <c r="M613" t="n">
        <v>0</v>
      </c>
      <c r="N613" t="n">
        <v>0</v>
      </c>
      <c r="O613" t="n">
        <v>0</v>
      </c>
      <c r="P613" t="n">
        <v>0</v>
      </c>
      <c r="Q613" t="n">
        <v>0</v>
      </c>
      <c r="R613" s="2" t="inlineStr"/>
    </row>
    <row r="614" ht="15" customHeight="1">
      <c r="A614" t="inlineStr">
        <is>
          <t>A 20146-2024</t>
        </is>
      </c>
      <c r="B614" s="1" t="n">
        <v>45434.57641203704</v>
      </c>
      <c r="C614" s="1" t="n">
        <v>45886</v>
      </c>
      <c r="D614" t="inlineStr">
        <is>
          <t>ÖREBRO LÄN</t>
        </is>
      </c>
      <c r="E614" t="inlineStr">
        <is>
          <t>ÖREBRO</t>
        </is>
      </c>
      <c r="G614" t="n">
        <v>0.5</v>
      </c>
      <c r="H614" t="n">
        <v>0</v>
      </c>
      <c r="I614" t="n">
        <v>0</v>
      </c>
      <c r="J614" t="n">
        <v>0</v>
      </c>
      <c r="K614" t="n">
        <v>0</v>
      </c>
      <c r="L614" t="n">
        <v>0</v>
      </c>
      <c r="M614" t="n">
        <v>0</v>
      </c>
      <c r="N614" t="n">
        <v>0</v>
      </c>
      <c r="O614" t="n">
        <v>0</v>
      </c>
      <c r="P614" t="n">
        <v>0</v>
      </c>
      <c r="Q614" t="n">
        <v>0</v>
      </c>
      <c r="R614" s="2" t="inlineStr"/>
    </row>
    <row r="615" ht="15" customHeight="1">
      <c r="A615" t="inlineStr">
        <is>
          <t>A 53143-2023</t>
        </is>
      </c>
      <c r="B615" s="1" t="n">
        <v>45229</v>
      </c>
      <c r="C615" s="1" t="n">
        <v>45886</v>
      </c>
      <c r="D615" t="inlineStr">
        <is>
          <t>ÖREBRO LÄN</t>
        </is>
      </c>
      <c r="E615" t="inlineStr">
        <is>
          <t>ÖREBRO</t>
        </is>
      </c>
      <c r="G615" t="n">
        <v>3.3</v>
      </c>
      <c r="H615" t="n">
        <v>0</v>
      </c>
      <c r="I615" t="n">
        <v>0</v>
      </c>
      <c r="J615" t="n">
        <v>0</v>
      </c>
      <c r="K615" t="n">
        <v>0</v>
      </c>
      <c r="L615" t="n">
        <v>0</v>
      </c>
      <c r="M615" t="n">
        <v>0</v>
      </c>
      <c r="N615" t="n">
        <v>0</v>
      </c>
      <c r="O615" t="n">
        <v>0</v>
      </c>
      <c r="P615" t="n">
        <v>0</v>
      </c>
      <c r="Q615" t="n">
        <v>0</v>
      </c>
      <c r="R615" s="2" t="inlineStr"/>
    </row>
    <row r="616">
      <c r="A616" t="inlineStr">
        <is>
          <t>A 8656-2025</t>
        </is>
      </c>
      <c r="B616" s="1" t="n">
        <v>45712.38268518518</v>
      </c>
      <c r="C616" s="1" t="n">
        <v>45886</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2025-08-17T08:28:49Z</dcterms:created>
  <dcterms:modified xmlns:dcterms="http://purl.org/dc/terms/" xmlns:xsi="http://www.w3.org/2001/XMLSchema-instance" xsi:type="dcterms:W3CDTF">2025-08-17T08:28:50Z</dcterms:modified>
</cp:coreProperties>
</file>