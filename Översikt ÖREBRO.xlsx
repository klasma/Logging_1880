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14614-2026</t>
        </is>
      </c>
      <c r="B6" s="1" t="n">
        <v>46101.36954861111</v>
      </c>
      <c r="C6" s="1" t="n">
        <v>46107</v>
      </c>
      <c r="D6" t="inlineStr">
        <is>
          <t>ÖREBRO LÄN</t>
        </is>
      </c>
      <c r="E6" t="inlineStr">
        <is>
          <t>ÖREBRO</t>
        </is>
      </c>
      <c r="G6" t="n">
        <v>6.5</v>
      </c>
      <c r="H6" t="n">
        <v>8</v>
      </c>
      <c r="I6" t="n">
        <v>3</v>
      </c>
      <c r="J6" t="n">
        <v>4</v>
      </c>
      <c r="K6" t="n">
        <v>0</v>
      </c>
      <c r="L6" t="n">
        <v>0</v>
      </c>
      <c r="M6" t="n">
        <v>0</v>
      </c>
      <c r="N6" t="n">
        <v>0</v>
      </c>
      <c r="O6" t="n">
        <v>4</v>
      </c>
      <c r="P6" t="n">
        <v>0</v>
      </c>
      <c r="Q6" t="n">
        <v>12</v>
      </c>
      <c r="R6" s="2" t="inlineStr">
        <is>
          <t>Brunlångöra
Nordfladdermus
Spillkråka
Tallticka
Björksplintborre
Gullgröppa
Vågbandad barkbock
Dvärgpipistrell
Gråskimlig fladdermus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63194-2025</t>
        </is>
      </c>
      <c r="B7" s="1" t="n">
        <v>46010.45447916666</v>
      </c>
      <c r="C7" s="1" t="n">
        <v>46107</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46107</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46107</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46107</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46107</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46107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5354-2024</t>
        </is>
      </c>
      <c r="B14" s="1" t="n">
        <v>45331</v>
      </c>
      <c r="C14" s="1" t="n">
        <v>46107</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46107</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33069-2025</t>
        </is>
      </c>
      <c r="B16" s="1" t="n">
        <v>45840</v>
      </c>
      <c r="C16" s="1" t="n">
        <v>46107</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51530-2024</t>
        </is>
      </c>
      <c r="B17" s="1" t="n">
        <v>45604</v>
      </c>
      <c r="C17" s="1" t="n">
        <v>46107</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12974-2022</t>
        </is>
      </c>
      <c r="B18" s="1" t="n">
        <v>44643.38490740741</v>
      </c>
      <c r="C18" s="1" t="n">
        <v>46107</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46107</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46107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46107</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46107</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46107</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46107</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50096-2023</t>
        </is>
      </c>
      <c r="B25" s="1" t="n">
        <v>45215</v>
      </c>
      <c r="C25" s="1" t="n">
        <v>46107</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58837-2025</t>
        </is>
      </c>
      <c r="B26" s="1" t="n">
        <v>45987.35875</v>
      </c>
      <c r="C26" s="1" t="n">
        <v>46107</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17074-2024</t>
        </is>
      </c>
      <c r="B27" s="1" t="n">
        <v>45412</v>
      </c>
      <c r="C27" s="1" t="n">
        <v>46107</v>
      </c>
      <c r="D27" t="inlineStr">
        <is>
          <t>ÖREBRO LÄN</t>
        </is>
      </c>
      <c r="E27" t="inlineStr">
        <is>
          <t>ÖREBRO</t>
        </is>
      </c>
      <c r="F27" t="inlineStr">
        <is>
          <t>Sveaskog</t>
        </is>
      </c>
      <c r="G27" t="n">
        <v>7.2</v>
      </c>
      <c r="H27" t="n">
        <v>1</v>
      </c>
      <c r="I27" t="n">
        <v>2</v>
      </c>
      <c r="J27" t="n">
        <v>0</v>
      </c>
      <c r="K27" t="n">
        <v>0</v>
      </c>
      <c r="L27" t="n">
        <v>1</v>
      </c>
      <c r="M27" t="n">
        <v>0</v>
      </c>
      <c r="N27" t="n">
        <v>0</v>
      </c>
      <c r="O27" t="n">
        <v>1</v>
      </c>
      <c r="P27" t="n">
        <v>1</v>
      </c>
      <c r="Q27" t="n">
        <v>3</v>
      </c>
      <c r="R27" s="2" t="inlineStr">
        <is>
          <t>Ask
Hässleklocka
Skogsknipprot</t>
        </is>
      </c>
      <c r="S27">
        <f>HYPERLINK("https://klasma.github.io/Logging_1880/artfynd/A 17074-2024 artfynd.xlsx", "A 17074-2024")</f>
        <v/>
      </c>
      <c r="T27">
        <f>HYPERLINK("https://klasma.github.io/Logging_1880/kartor/A 17074-2024 karta.png", "A 17074-2024")</f>
        <v/>
      </c>
      <c r="V27">
        <f>HYPERLINK("https://klasma.github.io/Logging_1880/klagomål/A 17074-2024 FSC-klagomål.docx", "A 17074-2024")</f>
        <v/>
      </c>
      <c r="W27">
        <f>HYPERLINK("https://klasma.github.io/Logging_1880/klagomålsmail/A 17074-2024 FSC-klagomål mail.docx", "A 17074-2024")</f>
        <v/>
      </c>
      <c r="X27">
        <f>HYPERLINK("https://klasma.github.io/Logging_1880/tillsyn/A 17074-2024 tillsynsbegäran.docx", "A 17074-2024")</f>
        <v/>
      </c>
      <c r="Y27">
        <f>HYPERLINK("https://klasma.github.io/Logging_1880/tillsynsmail/A 17074-2024 tillsynsbegäran mail.docx", "A 17074-2024")</f>
        <v/>
      </c>
    </row>
    <row r="28" ht="15" customHeight="1">
      <c r="A28" t="inlineStr">
        <is>
          <t>A 59519-2025</t>
        </is>
      </c>
      <c r="B28" s="1" t="n">
        <v>45989</v>
      </c>
      <c r="C28" s="1" t="n">
        <v>46107</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46107</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35098-2025</t>
        </is>
      </c>
      <c r="B30" s="1" t="n">
        <v>45852.5469212963</v>
      </c>
      <c r="C30" s="1" t="n">
        <v>46107</v>
      </c>
      <c r="D30" t="inlineStr">
        <is>
          <t>ÖREBRO LÄN</t>
        </is>
      </c>
      <c r="E30" t="inlineStr">
        <is>
          <t>ÖREBRO</t>
        </is>
      </c>
      <c r="F30" t="inlineStr">
        <is>
          <t>Allmännings- och besparingsskogar</t>
        </is>
      </c>
      <c r="G30" t="n">
        <v>28.9</v>
      </c>
      <c r="H30" t="n">
        <v>2</v>
      </c>
      <c r="I30" t="n">
        <v>1</v>
      </c>
      <c r="J30" t="n">
        <v>1</v>
      </c>
      <c r="K30" t="n">
        <v>0</v>
      </c>
      <c r="L30" t="n">
        <v>0</v>
      </c>
      <c r="M30" t="n">
        <v>0</v>
      </c>
      <c r="N30" t="n">
        <v>0</v>
      </c>
      <c r="O30" t="n">
        <v>1</v>
      </c>
      <c r="P30" t="n">
        <v>0</v>
      </c>
      <c r="Q30" t="n">
        <v>3</v>
      </c>
      <c r="R30" s="2" t="inlineStr">
        <is>
          <t>Talltita
Grönpyrola
Revlummer</t>
        </is>
      </c>
      <c r="S30">
        <f>HYPERLINK("https://klasma.github.io/Logging_1880/artfynd/A 35098-2025 artfynd.xlsx", "A 35098-2025")</f>
        <v/>
      </c>
      <c r="T30">
        <f>HYPERLINK("https://klasma.github.io/Logging_1880/kartor/A 35098-2025 karta.png", "A 35098-2025")</f>
        <v/>
      </c>
      <c r="V30">
        <f>HYPERLINK("https://klasma.github.io/Logging_1880/klagomål/A 35098-2025 FSC-klagomål.docx", "A 35098-2025")</f>
        <v/>
      </c>
      <c r="W30">
        <f>HYPERLINK("https://klasma.github.io/Logging_1880/klagomålsmail/A 35098-2025 FSC-klagomål mail.docx", "A 35098-2025")</f>
        <v/>
      </c>
      <c r="X30">
        <f>HYPERLINK("https://klasma.github.io/Logging_1880/tillsyn/A 35098-2025 tillsynsbegäran.docx", "A 35098-2025")</f>
        <v/>
      </c>
      <c r="Y30">
        <f>HYPERLINK("https://klasma.github.io/Logging_1880/tillsynsmail/A 35098-2025 tillsynsbegäran mail.docx", "A 35098-2025")</f>
        <v/>
      </c>
      <c r="Z30">
        <f>HYPERLINK("https://klasma.github.io/Logging_1880/fåglar/A 35098-2025 prioriterade fågelarter.docx", "A 35098-2025")</f>
        <v/>
      </c>
    </row>
    <row r="31" ht="15" customHeight="1">
      <c r="A31" t="inlineStr">
        <is>
          <t>A 29478-2022</t>
        </is>
      </c>
      <c r="B31" s="1" t="n">
        <v>44753</v>
      </c>
      <c r="C31" s="1" t="n">
        <v>46107</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46107</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46107</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37019-2024</t>
        </is>
      </c>
      <c r="B36" s="1" t="n">
        <v>45539.37905092593</v>
      </c>
      <c r="C36" s="1" t="n">
        <v>46107</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7608-2024</t>
        </is>
      </c>
      <c r="B37" s="1" t="n">
        <v>45348</v>
      </c>
      <c r="C37" s="1" t="n">
        <v>46107</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51550-2025</t>
        </is>
      </c>
      <c r="B38" s="1" t="n">
        <v>45950.83359953704</v>
      </c>
      <c r="C38" s="1" t="n">
        <v>46107</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52400-2024</t>
        </is>
      </c>
      <c r="B39" s="1" t="n">
        <v>45609.44461805555</v>
      </c>
      <c r="C39" s="1" t="n">
        <v>46107</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14956-2025</t>
        </is>
      </c>
      <c r="B40" s="1" t="n">
        <v>45743.58409722222</v>
      </c>
      <c r="C40" s="1" t="n">
        <v>46107</v>
      </c>
      <c r="D40" t="inlineStr">
        <is>
          <t>ÖREBRO LÄN</t>
        </is>
      </c>
      <c r="E40" t="inlineStr">
        <is>
          <t>ÖREBRO</t>
        </is>
      </c>
      <c r="G40" t="n">
        <v>5.2</v>
      </c>
      <c r="H40" t="n">
        <v>1</v>
      </c>
      <c r="I40" t="n">
        <v>2</v>
      </c>
      <c r="J40" t="n">
        <v>0</v>
      </c>
      <c r="K40" t="n">
        <v>0</v>
      </c>
      <c r="L40" t="n">
        <v>0</v>
      </c>
      <c r="M40" t="n">
        <v>0</v>
      </c>
      <c r="N40" t="n">
        <v>0</v>
      </c>
      <c r="O40" t="n">
        <v>0</v>
      </c>
      <c r="P40" t="n">
        <v>0</v>
      </c>
      <c r="Q40" t="n">
        <v>2</v>
      </c>
      <c r="R40" s="2" t="inlineStr">
        <is>
          <t>Kalktallört
Skogsknipprot</t>
        </is>
      </c>
      <c r="S40">
        <f>HYPERLINK("https://klasma.github.io/Logging_1880/artfynd/A 14956-2025 artfynd.xlsx", "A 14956-2025")</f>
        <v/>
      </c>
      <c r="T40">
        <f>HYPERLINK("https://klasma.github.io/Logging_1880/kartor/A 14956-2025 karta.png", "A 14956-2025")</f>
        <v/>
      </c>
      <c r="V40">
        <f>HYPERLINK("https://klasma.github.io/Logging_1880/klagomål/A 14956-2025 FSC-klagomål.docx", "A 14956-2025")</f>
        <v/>
      </c>
      <c r="W40">
        <f>HYPERLINK("https://klasma.github.io/Logging_1880/klagomålsmail/A 14956-2025 FSC-klagomål mail.docx", "A 14956-2025")</f>
        <v/>
      </c>
      <c r="X40">
        <f>HYPERLINK("https://klasma.github.io/Logging_1880/tillsyn/A 14956-2025 tillsynsbegäran.docx", "A 14956-2025")</f>
        <v/>
      </c>
      <c r="Y40">
        <f>HYPERLINK("https://klasma.github.io/Logging_1880/tillsynsmail/A 14956-2025 tillsynsbegäran mail.docx", "A 14956-2025")</f>
        <v/>
      </c>
    </row>
    <row r="41" ht="15" customHeight="1">
      <c r="A41" t="inlineStr">
        <is>
          <t>A 60557-2025</t>
        </is>
      </c>
      <c r="B41" s="1" t="n">
        <v>45995.74444444444</v>
      </c>
      <c r="C41" s="1" t="n">
        <v>46107</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63196-2025</t>
        </is>
      </c>
      <c r="B42" s="1" t="n">
        <v>46010.45872685185</v>
      </c>
      <c r="C42" s="1" t="n">
        <v>46107</v>
      </c>
      <c r="D42" t="inlineStr">
        <is>
          <t>ÖREBRO LÄN</t>
        </is>
      </c>
      <c r="E42" t="inlineStr">
        <is>
          <t>ÖREBRO</t>
        </is>
      </c>
      <c r="F42" t="inlineStr">
        <is>
          <t>Sveaskog</t>
        </is>
      </c>
      <c r="G42" t="n">
        <v>1.4</v>
      </c>
      <c r="H42" t="n">
        <v>1</v>
      </c>
      <c r="I42" t="n">
        <v>1</v>
      </c>
      <c r="J42" t="n">
        <v>0</v>
      </c>
      <c r="K42" t="n">
        <v>0</v>
      </c>
      <c r="L42" t="n">
        <v>0</v>
      </c>
      <c r="M42" t="n">
        <v>0</v>
      </c>
      <c r="N42" t="n">
        <v>0</v>
      </c>
      <c r="O42" t="n">
        <v>0</v>
      </c>
      <c r="P42" t="n">
        <v>0</v>
      </c>
      <c r="Q42" t="n">
        <v>2</v>
      </c>
      <c r="R42" s="2" t="inlineStr">
        <is>
          <t>Tibast
Blåsippa</t>
        </is>
      </c>
      <c r="S42">
        <f>HYPERLINK("https://klasma.github.io/Logging_1880/artfynd/A 63196-2025 artfynd.xlsx", "A 63196-2025")</f>
        <v/>
      </c>
      <c r="T42">
        <f>HYPERLINK("https://klasma.github.io/Logging_1880/kartor/A 63196-2025 karta.png", "A 63196-2025")</f>
        <v/>
      </c>
      <c r="V42">
        <f>HYPERLINK("https://klasma.github.io/Logging_1880/klagomål/A 63196-2025 FSC-klagomål.docx", "A 63196-2025")</f>
        <v/>
      </c>
      <c r="W42">
        <f>HYPERLINK("https://klasma.github.io/Logging_1880/klagomålsmail/A 63196-2025 FSC-klagomål mail.docx", "A 63196-2025")</f>
        <v/>
      </c>
      <c r="X42">
        <f>HYPERLINK("https://klasma.github.io/Logging_1880/tillsyn/A 63196-2025 tillsynsbegäran.docx", "A 63196-2025")</f>
        <v/>
      </c>
      <c r="Y42">
        <f>HYPERLINK("https://klasma.github.io/Logging_1880/tillsynsmail/A 63196-2025 tillsynsbegäran mail.docx", "A 63196-2025")</f>
        <v/>
      </c>
    </row>
    <row r="43" ht="15" customHeight="1">
      <c r="A43" t="inlineStr">
        <is>
          <t>A 30409-2025</t>
        </is>
      </c>
      <c r="B43" s="1" t="n">
        <v>45827.59738425926</v>
      </c>
      <c r="C43" s="1" t="n">
        <v>46107</v>
      </c>
      <c r="D43" t="inlineStr">
        <is>
          <t>ÖREBRO LÄN</t>
        </is>
      </c>
      <c r="E43" t="inlineStr">
        <is>
          <t>ÖREBRO</t>
        </is>
      </c>
      <c r="G43" t="n">
        <v>1.2</v>
      </c>
      <c r="H43" t="n">
        <v>0</v>
      </c>
      <c r="I43" t="n">
        <v>1</v>
      </c>
      <c r="J43" t="n">
        <v>1</v>
      </c>
      <c r="K43" t="n">
        <v>0</v>
      </c>
      <c r="L43" t="n">
        <v>0</v>
      </c>
      <c r="M43" t="n">
        <v>0</v>
      </c>
      <c r="N43" t="n">
        <v>0</v>
      </c>
      <c r="O43" t="n">
        <v>1</v>
      </c>
      <c r="P43" t="n">
        <v>0</v>
      </c>
      <c r="Q43" t="n">
        <v>2</v>
      </c>
      <c r="R43" s="2" t="inlineStr">
        <is>
          <t>Scharlakansvaxing
Gulfotsskölding</t>
        </is>
      </c>
      <c r="S43">
        <f>HYPERLINK("https://klasma.github.io/Logging_1880/artfynd/A 30409-2025 artfynd.xlsx", "A 30409-2025")</f>
        <v/>
      </c>
      <c r="T43">
        <f>HYPERLINK("https://klasma.github.io/Logging_1880/kartor/A 30409-2025 karta.png", "A 30409-2025")</f>
        <v/>
      </c>
      <c r="V43">
        <f>HYPERLINK("https://klasma.github.io/Logging_1880/klagomål/A 30409-2025 FSC-klagomål.docx", "A 30409-2025")</f>
        <v/>
      </c>
      <c r="W43">
        <f>HYPERLINK("https://klasma.github.io/Logging_1880/klagomålsmail/A 30409-2025 FSC-klagomål mail.docx", "A 30409-2025")</f>
        <v/>
      </c>
      <c r="X43">
        <f>HYPERLINK("https://klasma.github.io/Logging_1880/tillsyn/A 30409-2025 tillsynsbegäran.docx", "A 30409-2025")</f>
        <v/>
      </c>
      <c r="Y43">
        <f>HYPERLINK("https://klasma.github.io/Logging_1880/tillsynsmail/A 30409-2025 tillsynsbegäran mail.docx", "A 30409-2025")</f>
        <v/>
      </c>
    </row>
    <row r="44" ht="15" customHeight="1">
      <c r="A44" t="inlineStr">
        <is>
          <t>A 2998-2026</t>
        </is>
      </c>
      <c r="B44" s="1" t="n">
        <v>46038.64835648148</v>
      </c>
      <c r="C44" s="1" t="n">
        <v>46107</v>
      </c>
      <c r="D44" t="inlineStr">
        <is>
          <t>ÖREBRO LÄN</t>
        </is>
      </c>
      <c r="E44" t="inlineStr">
        <is>
          <t>ÖREBRO</t>
        </is>
      </c>
      <c r="F44" t="inlineStr">
        <is>
          <t>Övriga Aktiebolag</t>
        </is>
      </c>
      <c r="G44" t="n">
        <v>6.4</v>
      </c>
      <c r="H44" t="n">
        <v>2</v>
      </c>
      <c r="I44" t="n">
        <v>0</v>
      </c>
      <c r="J44" t="n">
        <v>1</v>
      </c>
      <c r="K44" t="n">
        <v>0</v>
      </c>
      <c r="L44" t="n">
        <v>0</v>
      </c>
      <c r="M44" t="n">
        <v>0</v>
      </c>
      <c r="N44" t="n">
        <v>0</v>
      </c>
      <c r="O44" t="n">
        <v>1</v>
      </c>
      <c r="P44" t="n">
        <v>0</v>
      </c>
      <c r="Q44" t="n">
        <v>2</v>
      </c>
      <c r="R44" s="2" t="inlineStr">
        <is>
          <t>Grönsångare
Kungsfågel</t>
        </is>
      </c>
      <c r="S44">
        <f>HYPERLINK("https://klasma.github.io/Logging_1880/artfynd/A 2998-2026 artfynd.xlsx", "A 2998-2026")</f>
        <v/>
      </c>
      <c r="T44">
        <f>HYPERLINK("https://klasma.github.io/Logging_1880/kartor/A 2998-2026 karta.png", "A 2998-2026")</f>
        <v/>
      </c>
      <c r="V44">
        <f>HYPERLINK("https://klasma.github.io/Logging_1880/klagomål/A 2998-2026 FSC-klagomål.docx", "A 2998-2026")</f>
        <v/>
      </c>
      <c r="W44">
        <f>HYPERLINK("https://klasma.github.io/Logging_1880/klagomålsmail/A 2998-2026 FSC-klagomål mail.docx", "A 2998-2026")</f>
        <v/>
      </c>
      <c r="X44">
        <f>HYPERLINK("https://klasma.github.io/Logging_1880/tillsyn/A 2998-2026 tillsynsbegäran.docx", "A 2998-2026")</f>
        <v/>
      </c>
      <c r="Y44">
        <f>HYPERLINK("https://klasma.github.io/Logging_1880/tillsynsmail/A 2998-2026 tillsynsbegäran mail.docx", "A 2998-2026")</f>
        <v/>
      </c>
      <c r="Z44">
        <f>HYPERLINK("https://klasma.github.io/Logging_1880/fåglar/A 2998-2026 prioriterade fågelarter.docx", "A 2998-2026")</f>
        <v/>
      </c>
    </row>
    <row r="45" ht="15" customHeight="1">
      <c r="A45" t="inlineStr">
        <is>
          <t>A 13395-2024</t>
        </is>
      </c>
      <c r="B45" s="1" t="n">
        <v>45387.42296296296</v>
      </c>
      <c r="C45" s="1" t="n">
        <v>46107</v>
      </c>
      <c r="D45" t="inlineStr">
        <is>
          <t>ÖREBRO LÄN</t>
        </is>
      </c>
      <c r="E45" t="inlineStr">
        <is>
          <t>ÖREBRO</t>
        </is>
      </c>
      <c r="G45" t="n">
        <v>1.9</v>
      </c>
      <c r="H45" t="n">
        <v>2</v>
      </c>
      <c r="I45" t="n">
        <v>0</v>
      </c>
      <c r="J45" t="n">
        <v>0</v>
      </c>
      <c r="K45" t="n">
        <v>0</v>
      </c>
      <c r="L45" t="n">
        <v>0</v>
      </c>
      <c r="M45" t="n">
        <v>0</v>
      </c>
      <c r="N45" t="n">
        <v>0</v>
      </c>
      <c r="O45" t="n">
        <v>0</v>
      </c>
      <c r="P45" t="n">
        <v>0</v>
      </c>
      <c r="Q45" t="n">
        <v>2</v>
      </c>
      <c r="R45" s="2" t="inlineStr">
        <is>
          <t>Järnsparv
Kungsfågel</t>
        </is>
      </c>
      <c r="S45">
        <f>HYPERLINK("https://klasma.github.io/Logging_1880/artfynd/A 13395-2024 artfynd.xlsx", "A 13395-2024")</f>
        <v/>
      </c>
      <c r="T45">
        <f>HYPERLINK("https://klasma.github.io/Logging_1880/kartor/A 13395-2024 karta.png", "A 13395-2024")</f>
        <v/>
      </c>
      <c r="V45">
        <f>HYPERLINK("https://klasma.github.io/Logging_1880/klagomål/A 13395-2024 FSC-klagomål.docx", "A 13395-2024")</f>
        <v/>
      </c>
      <c r="W45">
        <f>HYPERLINK("https://klasma.github.io/Logging_1880/klagomålsmail/A 13395-2024 FSC-klagomål mail.docx", "A 13395-2024")</f>
        <v/>
      </c>
      <c r="X45">
        <f>HYPERLINK("https://klasma.github.io/Logging_1880/tillsyn/A 13395-2024 tillsynsbegäran.docx", "A 13395-2024")</f>
        <v/>
      </c>
      <c r="Y45">
        <f>HYPERLINK("https://klasma.github.io/Logging_1880/tillsynsmail/A 13395-2024 tillsynsbegäran mail.docx", "A 13395-2024")</f>
        <v/>
      </c>
      <c r="Z45">
        <f>HYPERLINK("https://klasma.github.io/Logging_1880/fåglar/A 13395-2024 prioriterade fågelarter.docx", "A 13395-2024")</f>
        <v/>
      </c>
    </row>
    <row r="46" ht="15" customHeight="1">
      <c r="A46" t="inlineStr">
        <is>
          <t>A 29704-2022</t>
        </is>
      </c>
      <c r="B46" s="1" t="n">
        <v>44755</v>
      </c>
      <c r="C46" s="1" t="n">
        <v>46107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26890-2022</t>
        </is>
      </c>
      <c r="B47" s="1" t="n">
        <v>44740</v>
      </c>
      <c r="C47" s="1" t="n">
        <v>46107</v>
      </c>
      <c r="D47" t="inlineStr">
        <is>
          <t>ÖREBRO LÄN</t>
        </is>
      </c>
      <c r="E47" t="inlineStr">
        <is>
          <t>ÖREBRO</t>
        </is>
      </c>
      <c r="G47" t="n">
        <v>4.2</v>
      </c>
      <c r="H47" t="n">
        <v>1</v>
      </c>
      <c r="I47" t="n">
        <v>0</v>
      </c>
      <c r="J47" t="n">
        <v>0</v>
      </c>
      <c r="K47" t="n">
        <v>1</v>
      </c>
      <c r="L47" t="n">
        <v>0</v>
      </c>
      <c r="M47" t="n">
        <v>0</v>
      </c>
      <c r="N47" t="n">
        <v>0</v>
      </c>
      <c r="O47" t="n">
        <v>1</v>
      </c>
      <c r="P47" t="n">
        <v>1</v>
      </c>
      <c r="Q47" t="n">
        <v>1</v>
      </c>
      <c r="R47" s="2" t="inlineStr">
        <is>
          <t>Hällebräcka</t>
        </is>
      </c>
      <c r="S47">
        <f>HYPERLINK("https://klasma.github.io/Logging_1880/artfynd/A 26890-2022 artfynd.xlsx", "A 26890-2022")</f>
        <v/>
      </c>
      <c r="T47">
        <f>HYPERLINK("https://klasma.github.io/Logging_1880/kartor/A 26890-2022 karta.png", "A 26890-2022")</f>
        <v/>
      </c>
      <c r="V47">
        <f>HYPERLINK("https://klasma.github.io/Logging_1880/klagomål/A 26890-2022 FSC-klagomål.docx", "A 26890-2022")</f>
        <v/>
      </c>
      <c r="W47">
        <f>HYPERLINK("https://klasma.github.io/Logging_1880/klagomålsmail/A 26890-2022 FSC-klagomål mail.docx", "A 26890-2022")</f>
        <v/>
      </c>
      <c r="X47">
        <f>HYPERLINK("https://klasma.github.io/Logging_1880/tillsyn/A 26890-2022 tillsynsbegäran.docx", "A 26890-2022")</f>
        <v/>
      </c>
      <c r="Y47">
        <f>HYPERLINK("https://klasma.github.io/Logging_1880/tillsynsmail/A 26890-2022 tillsynsbegäran mail.docx", "A 26890-2022")</f>
        <v/>
      </c>
    </row>
    <row r="48" ht="15" customHeight="1">
      <c r="A48" t="inlineStr">
        <is>
          <t>A 57920-2024</t>
        </is>
      </c>
      <c r="B48" s="1" t="n">
        <v>45631.50894675926</v>
      </c>
      <c r="C48" s="1" t="n">
        <v>46107</v>
      </c>
      <c r="D48" t="inlineStr">
        <is>
          <t>ÖREBRO LÄN</t>
        </is>
      </c>
      <c r="E48" t="inlineStr">
        <is>
          <t>ÖREBRO</t>
        </is>
      </c>
      <c r="G48" t="n">
        <v>2.3</v>
      </c>
      <c r="H48" t="n">
        <v>1</v>
      </c>
      <c r="I48" t="n">
        <v>0</v>
      </c>
      <c r="J48" t="n">
        <v>0</v>
      </c>
      <c r="K48" t="n">
        <v>0</v>
      </c>
      <c r="L48" t="n">
        <v>0</v>
      </c>
      <c r="M48" t="n">
        <v>0</v>
      </c>
      <c r="N48" t="n">
        <v>0</v>
      </c>
      <c r="O48" t="n">
        <v>0</v>
      </c>
      <c r="P48" t="n">
        <v>0</v>
      </c>
      <c r="Q48" t="n">
        <v>1</v>
      </c>
      <c r="R48" s="2" t="inlineStr">
        <is>
          <t>Kungsfågel</t>
        </is>
      </c>
      <c r="S48">
        <f>HYPERLINK("https://klasma.github.io/Logging_1880/artfynd/A 57920-2024 artfynd.xlsx", "A 57920-2024")</f>
        <v/>
      </c>
      <c r="T48">
        <f>HYPERLINK("https://klasma.github.io/Logging_1880/kartor/A 57920-2024 karta.png", "A 57920-2024")</f>
        <v/>
      </c>
      <c r="V48">
        <f>HYPERLINK("https://klasma.github.io/Logging_1880/klagomål/A 57920-2024 FSC-klagomål.docx", "A 57920-2024")</f>
        <v/>
      </c>
      <c r="W48">
        <f>HYPERLINK("https://klasma.github.io/Logging_1880/klagomålsmail/A 57920-2024 FSC-klagomål mail.docx", "A 57920-2024")</f>
        <v/>
      </c>
      <c r="X48">
        <f>HYPERLINK("https://klasma.github.io/Logging_1880/tillsyn/A 57920-2024 tillsynsbegäran.docx", "A 57920-2024")</f>
        <v/>
      </c>
      <c r="Y48">
        <f>HYPERLINK("https://klasma.github.io/Logging_1880/tillsynsmail/A 57920-2024 tillsynsbegäran mail.docx", "A 57920-2024")</f>
        <v/>
      </c>
      <c r="Z48">
        <f>HYPERLINK("https://klasma.github.io/Logging_1880/fåglar/A 57920-2024 prioriterade fågelarter.docx", "A 57920-2024")</f>
        <v/>
      </c>
    </row>
    <row r="49" ht="15" customHeight="1">
      <c r="A49" t="inlineStr">
        <is>
          <t>A 43332-2022</t>
        </is>
      </c>
      <c r="B49" s="1" t="n">
        <v>44834</v>
      </c>
      <c r="C49" s="1" t="n">
        <v>46107</v>
      </c>
      <c r="D49" t="inlineStr">
        <is>
          <t>ÖREBRO LÄN</t>
        </is>
      </c>
      <c r="E49" t="inlineStr">
        <is>
          <t>ÖREBRO</t>
        </is>
      </c>
      <c r="G49" t="n">
        <v>2.3</v>
      </c>
      <c r="H49" t="n">
        <v>1</v>
      </c>
      <c r="I49" t="n">
        <v>0</v>
      </c>
      <c r="J49" t="n">
        <v>1</v>
      </c>
      <c r="K49" t="n">
        <v>0</v>
      </c>
      <c r="L49" t="n">
        <v>0</v>
      </c>
      <c r="M49" t="n">
        <v>0</v>
      </c>
      <c r="N49" t="n">
        <v>0</v>
      </c>
      <c r="O49" t="n">
        <v>1</v>
      </c>
      <c r="P49" t="n">
        <v>0</v>
      </c>
      <c r="Q49" t="n">
        <v>1</v>
      </c>
      <c r="R49" s="2" t="inlineStr">
        <is>
          <t>Spillkråka</t>
        </is>
      </c>
      <c r="S49">
        <f>HYPERLINK("https://klasma.github.io/Logging_1880/artfynd/A 43332-2022 artfynd.xlsx", "A 43332-2022")</f>
        <v/>
      </c>
      <c r="T49">
        <f>HYPERLINK("https://klasma.github.io/Logging_1880/kartor/A 43332-2022 karta.png", "A 43332-2022")</f>
        <v/>
      </c>
      <c r="V49">
        <f>HYPERLINK("https://klasma.github.io/Logging_1880/klagomål/A 43332-2022 FSC-klagomål.docx", "A 43332-2022")</f>
        <v/>
      </c>
      <c r="W49">
        <f>HYPERLINK("https://klasma.github.io/Logging_1880/klagomålsmail/A 43332-2022 FSC-klagomål mail.docx", "A 43332-2022")</f>
        <v/>
      </c>
      <c r="X49">
        <f>HYPERLINK("https://klasma.github.io/Logging_1880/tillsyn/A 43332-2022 tillsynsbegäran.docx", "A 43332-2022")</f>
        <v/>
      </c>
      <c r="Y49">
        <f>HYPERLINK("https://klasma.github.io/Logging_1880/tillsynsmail/A 43332-2022 tillsynsbegäran mail.docx", "A 43332-2022")</f>
        <v/>
      </c>
      <c r="Z49">
        <f>HYPERLINK("https://klasma.github.io/Logging_1880/fåglar/A 43332-2022 prioriterade fågelarter.docx", "A 43332-2022")</f>
        <v/>
      </c>
    </row>
    <row r="50" ht="15" customHeight="1">
      <c r="A50" t="inlineStr">
        <is>
          <t>A 44744-2024</t>
        </is>
      </c>
      <c r="B50" s="1" t="n">
        <v>45574.59789351852</v>
      </c>
      <c r="C50" s="1" t="n">
        <v>46107</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46107</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2077-2023</t>
        </is>
      </c>
      <c r="B52" s="1" t="n">
        <v>44939</v>
      </c>
      <c r="C52" s="1" t="n">
        <v>46107</v>
      </c>
      <c r="D52" t="inlineStr">
        <is>
          <t>ÖREBRO LÄN</t>
        </is>
      </c>
      <c r="E52" t="inlineStr">
        <is>
          <t>ÖREBRO</t>
        </is>
      </c>
      <c r="G52" t="n">
        <v>1.4</v>
      </c>
      <c r="H52" t="n">
        <v>1</v>
      </c>
      <c r="I52" t="n">
        <v>0</v>
      </c>
      <c r="J52" t="n">
        <v>1</v>
      </c>
      <c r="K52" t="n">
        <v>0</v>
      </c>
      <c r="L52" t="n">
        <v>0</v>
      </c>
      <c r="M52" t="n">
        <v>0</v>
      </c>
      <c r="N52" t="n">
        <v>0</v>
      </c>
      <c r="O52" t="n">
        <v>1</v>
      </c>
      <c r="P52" t="n">
        <v>0</v>
      </c>
      <c r="Q52" t="n">
        <v>1</v>
      </c>
      <c r="R52" s="2" t="inlineStr">
        <is>
          <t>Rödvingetrast</t>
        </is>
      </c>
      <c r="S52">
        <f>HYPERLINK("https://klasma.github.io/Logging_1880/artfynd/A 2077-2023 artfynd.xlsx", "A 2077-2023")</f>
        <v/>
      </c>
      <c r="T52">
        <f>HYPERLINK("https://klasma.github.io/Logging_1880/kartor/A 2077-2023 karta.png", "A 2077-2023")</f>
        <v/>
      </c>
      <c r="V52">
        <f>HYPERLINK("https://klasma.github.io/Logging_1880/klagomål/A 2077-2023 FSC-klagomål.docx", "A 2077-2023")</f>
        <v/>
      </c>
      <c r="W52">
        <f>HYPERLINK("https://klasma.github.io/Logging_1880/klagomålsmail/A 2077-2023 FSC-klagomål mail.docx", "A 2077-2023")</f>
        <v/>
      </c>
      <c r="X52">
        <f>HYPERLINK("https://klasma.github.io/Logging_1880/tillsyn/A 2077-2023 tillsynsbegäran.docx", "A 2077-2023")</f>
        <v/>
      </c>
      <c r="Y52">
        <f>HYPERLINK("https://klasma.github.io/Logging_1880/tillsynsmail/A 2077-2023 tillsynsbegäran mail.docx", "A 2077-2023")</f>
        <v/>
      </c>
      <c r="Z52">
        <f>HYPERLINK("https://klasma.github.io/Logging_1880/fåglar/A 2077-2023 prioriterade fågelarter.docx", "A 2077-2023")</f>
        <v/>
      </c>
    </row>
    <row r="53" ht="15" customHeight="1">
      <c r="A53" t="inlineStr">
        <is>
          <t>A 44389-2021</t>
        </is>
      </c>
      <c r="B53" s="1" t="n">
        <v>44435</v>
      </c>
      <c r="C53" s="1" t="n">
        <v>46107</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11501-2025</t>
        </is>
      </c>
      <c r="B54" s="1" t="n">
        <v>45726</v>
      </c>
      <c r="C54" s="1" t="n">
        <v>46107</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31695-2024</t>
        </is>
      </c>
      <c r="B55" s="1" t="n">
        <v>45508</v>
      </c>
      <c r="C55" s="1" t="n">
        <v>46107</v>
      </c>
      <c r="D55" t="inlineStr">
        <is>
          <t>ÖREBRO LÄN</t>
        </is>
      </c>
      <c r="E55" t="inlineStr">
        <is>
          <t>ÖREBRO</t>
        </is>
      </c>
      <c r="G55" t="n">
        <v>1.3</v>
      </c>
      <c r="H55" t="n">
        <v>1</v>
      </c>
      <c r="I55" t="n">
        <v>1</v>
      </c>
      <c r="J55" t="n">
        <v>0</v>
      </c>
      <c r="K55" t="n">
        <v>0</v>
      </c>
      <c r="L55" t="n">
        <v>0</v>
      </c>
      <c r="M55" t="n">
        <v>0</v>
      </c>
      <c r="N55" t="n">
        <v>0</v>
      </c>
      <c r="O55" t="n">
        <v>0</v>
      </c>
      <c r="P55" t="n">
        <v>0</v>
      </c>
      <c r="Q55" t="n">
        <v>1</v>
      </c>
      <c r="R55" s="2" t="inlineStr">
        <is>
          <t>Skogsknipprot</t>
        </is>
      </c>
      <c r="S55">
        <f>HYPERLINK("https://klasma.github.io/Logging_1880/artfynd/A 31695-2024 artfynd.xlsx", "A 31695-2024")</f>
        <v/>
      </c>
      <c r="T55">
        <f>HYPERLINK("https://klasma.github.io/Logging_1880/kartor/A 31695-2024 karta.png", "A 31695-2024")</f>
        <v/>
      </c>
      <c r="V55">
        <f>HYPERLINK("https://klasma.github.io/Logging_1880/klagomål/A 31695-2024 FSC-klagomål.docx", "A 31695-2024")</f>
        <v/>
      </c>
      <c r="W55">
        <f>HYPERLINK("https://klasma.github.io/Logging_1880/klagomålsmail/A 31695-2024 FSC-klagomål mail.docx", "A 31695-2024")</f>
        <v/>
      </c>
      <c r="X55">
        <f>HYPERLINK("https://klasma.github.io/Logging_1880/tillsyn/A 31695-2024 tillsynsbegäran.docx", "A 31695-2024")</f>
        <v/>
      </c>
      <c r="Y55">
        <f>HYPERLINK("https://klasma.github.io/Logging_1880/tillsynsmail/A 31695-2024 tillsynsbegäran mail.docx", "A 31695-2024")</f>
        <v/>
      </c>
    </row>
    <row r="56" ht="15" customHeight="1">
      <c r="A56" t="inlineStr">
        <is>
          <t>A 50499-2025</t>
        </is>
      </c>
      <c r="B56" s="1" t="n">
        <v>45945.41712962963</v>
      </c>
      <c r="C56" s="1" t="n">
        <v>46107</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42636-2023</t>
        </is>
      </c>
      <c r="B57" s="1" t="n">
        <v>45181.49559027778</v>
      </c>
      <c r="C57" s="1" t="n">
        <v>46107</v>
      </c>
      <c r="D57" t="inlineStr">
        <is>
          <t>ÖREBRO LÄN</t>
        </is>
      </c>
      <c r="E57" t="inlineStr">
        <is>
          <t>ÖREBRO</t>
        </is>
      </c>
      <c r="G57" t="n">
        <v>1.7</v>
      </c>
      <c r="H57" t="n">
        <v>0</v>
      </c>
      <c r="I57" t="n">
        <v>0</v>
      </c>
      <c r="J57" t="n">
        <v>1</v>
      </c>
      <c r="K57" t="n">
        <v>0</v>
      </c>
      <c r="L57" t="n">
        <v>0</v>
      </c>
      <c r="M57" t="n">
        <v>0</v>
      </c>
      <c r="N57" t="n">
        <v>0</v>
      </c>
      <c r="O57" t="n">
        <v>1</v>
      </c>
      <c r="P57" t="n">
        <v>0</v>
      </c>
      <c r="Q57" t="n">
        <v>1</v>
      </c>
      <c r="R57" s="2" t="inlineStr">
        <is>
          <t>Igelkott</t>
        </is>
      </c>
      <c r="S57">
        <f>HYPERLINK("https://klasma.github.io/Logging_1880/artfynd/A 42636-2023 artfynd.xlsx", "A 42636-2023")</f>
        <v/>
      </c>
      <c r="T57">
        <f>HYPERLINK("https://klasma.github.io/Logging_1880/kartor/A 42636-2023 karta.png", "A 42636-2023")</f>
        <v/>
      </c>
      <c r="V57">
        <f>HYPERLINK("https://klasma.github.io/Logging_1880/klagomål/A 42636-2023 FSC-klagomål.docx", "A 42636-2023")</f>
        <v/>
      </c>
      <c r="W57">
        <f>HYPERLINK("https://klasma.github.io/Logging_1880/klagomålsmail/A 42636-2023 FSC-klagomål mail.docx", "A 42636-2023")</f>
        <v/>
      </c>
      <c r="X57">
        <f>HYPERLINK("https://klasma.github.io/Logging_1880/tillsyn/A 42636-2023 tillsynsbegäran.docx", "A 42636-2023")</f>
        <v/>
      </c>
      <c r="Y57">
        <f>HYPERLINK("https://klasma.github.io/Logging_1880/tillsynsmail/A 42636-2023 tillsynsbegäran mail.docx", "A 42636-2023")</f>
        <v/>
      </c>
    </row>
    <row r="58" ht="15" customHeight="1">
      <c r="A58" t="inlineStr">
        <is>
          <t>A 55904-2024</t>
        </is>
      </c>
      <c r="B58" s="1" t="n">
        <v>45623.58190972222</v>
      </c>
      <c r="C58" s="1" t="n">
        <v>46107</v>
      </c>
      <c r="D58" t="inlineStr">
        <is>
          <t>ÖREBRO LÄN</t>
        </is>
      </c>
      <c r="E58" t="inlineStr">
        <is>
          <t>ÖREBRO</t>
        </is>
      </c>
      <c r="G58" t="n">
        <v>1.2</v>
      </c>
      <c r="H58" t="n">
        <v>1</v>
      </c>
      <c r="I58" t="n">
        <v>0</v>
      </c>
      <c r="J58" t="n">
        <v>0</v>
      </c>
      <c r="K58" t="n">
        <v>0</v>
      </c>
      <c r="L58" t="n">
        <v>0</v>
      </c>
      <c r="M58" t="n">
        <v>0</v>
      </c>
      <c r="N58" t="n">
        <v>0</v>
      </c>
      <c r="O58" t="n">
        <v>0</v>
      </c>
      <c r="P58" t="n">
        <v>0</v>
      </c>
      <c r="Q58" t="n">
        <v>1</v>
      </c>
      <c r="R58" s="2" t="inlineStr">
        <is>
          <t>Trana</t>
        </is>
      </c>
      <c r="S58">
        <f>HYPERLINK("https://klasma.github.io/Logging_1880/artfynd/A 55904-2024 artfynd.xlsx", "A 55904-2024")</f>
        <v/>
      </c>
      <c r="T58">
        <f>HYPERLINK("https://klasma.github.io/Logging_1880/kartor/A 55904-2024 karta.png", "A 55904-2024")</f>
        <v/>
      </c>
      <c r="V58">
        <f>HYPERLINK("https://klasma.github.io/Logging_1880/klagomål/A 55904-2024 FSC-klagomål.docx", "A 55904-2024")</f>
        <v/>
      </c>
      <c r="W58">
        <f>HYPERLINK("https://klasma.github.io/Logging_1880/klagomålsmail/A 55904-2024 FSC-klagomål mail.docx", "A 55904-2024")</f>
        <v/>
      </c>
      <c r="X58">
        <f>HYPERLINK("https://klasma.github.io/Logging_1880/tillsyn/A 55904-2024 tillsynsbegäran.docx", "A 55904-2024")</f>
        <v/>
      </c>
      <c r="Y58">
        <f>HYPERLINK("https://klasma.github.io/Logging_1880/tillsynsmail/A 55904-2024 tillsynsbegäran mail.docx", "A 55904-2024")</f>
        <v/>
      </c>
      <c r="Z58">
        <f>HYPERLINK("https://klasma.github.io/Logging_1880/fåglar/A 55904-2024 prioriterade fågelarter.docx", "A 55904-2024")</f>
        <v/>
      </c>
    </row>
    <row r="59" ht="15" customHeight="1">
      <c r="A59" t="inlineStr">
        <is>
          <t>A 58838-2025</t>
        </is>
      </c>
      <c r="B59" s="1" t="n">
        <v>45987.35973379629</v>
      </c>
      <c r="C59" s="1" t="n">
        <v>46107</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32105-2023</t>
        </is>
      </c>
      <c r="B60" s="1" t="n">
        <v>45119</v>
      </c>
      <c r="C60" s="1" t="n">
        <v>46107</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15621-2021</t>
        </is>
      </c>
      <c r="B61" s="1" t="n">
        <v>44285</v>
      </c>
      <c r="C61" s="1" t="n">
        <v>46107</v>
      </c>
      <c r="D61" t="inlineStr">
        <is>
          <t>ÖREBRO LÄN</t>
        </is>
      </c>
      <c r="E61" t="inlineStr">
        <is>
          <t>ÖREBRO</t>
        </is>
      </c>
      <c r="G61" t="n">
        <v>2.8</v>
      </c>
      <c r="H61" t="n">
        <v>1</v>
      </c>
      <c r="I61" t="n">
        <v>0</v>
      </c>
      <c r="J61" t="n">
        <v>0</v>
      </c>
      <c r="K61" t="n">
        <v>0</v>
      </c>
      <c r="L61" t="n">
        <v>0</v>
      </c>
      <c r="M61" t="n">
        <v>0</v>
      </c>
      <c r="N61" t="n">
        <v>0</v>
      </c>
      <c r="O61" t="n">
        <v>0</v>
      </c>
      <c r="P61" t="n">
        <v>0</v>
      </c>
      <c r="Q61" t="n">
        <v>1</v>
      </c>
      <c r="R61" s="2" t="inlineStr">
        <is>
          <t>Fläcknycklar</t>
        </is>
      </c>
      <c r="S61">
        <f>HYPERLINK("https://klasma.github.io/Logging_1880/artfynd/A 15621-2021 artfynd.xlsx", "A 15621-2021")</f>
        <v/>
      </c>
      <c r="T61">
        <f>HYPERLINK("https://klasma.github.io/Logging_1880/kartor/A 15621-2021 karta.png", "A 15621-2021")</f>
        <v/>
      </c>
      <c r="V61">
        <f>HYPERLINK("https://klasma.github.io/Logging_1880/klagomål/A 15621-2021 FSC-klagomål.docx", "A 15621-2021")</f>
        <v/>
      </c>
      <c r="W61">
        <f>HYPERLINK("https://klasma.github.io/Logging_1880/klagomålsmail/A 15621-2021 FSC-klagomål mail.docx", "A 15621-2021")</f>
        <v/>
      </c>
      <c r="X61">
        <f>HYPERLINK("https://klasma.github.io/Logging_1880/tillsyn/A 15621-2021 tillsynsbegäran.docx", "A 15621-2021")</f>
        <v/>
      </c>
      <c r="Y61">
        <f>HYPERLINK("https://klasma.github.io/Logging_1880/tillsynsmail/A 15621-2021 tillsynsbegäran mail.docx", "A 15621-2021")</f>
        <v/>
      </c>
    </row>
    <row r="62" ht="15" customHeight="1">
      <c r="A62" t="inlineStr">
        <is>
          <t>A 63199-2025</t>
        </is>
      </c>
      <c r="B62" s="1" t="n">
        <v>46010.46091435185</v>
      </c>
      <c r="C62" s="1" t="n">
        <v>46107</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28936-2025</t>
        </is>
      </c>
      <c r="B63" s="1" t="n">
        <v>45820.69287037037</v>
      </c>
      <c r="C63" s="1" t="n">
        <v>46107</v>
      </c>
      <c r="D63" t="inlineStr">
        <is>
          <t>ÖREBRO LÄN</t>
        </is>
      </c>
      <c r="E63" t="inlineStr">
        <is>
          <t>ÖREBRO</t>
        </is>
      </c>
      <c r="G63" t="n">
        <v>0.9</v>
      </c>
      <c r="H63" t="n">
        <v>1</v>
      </c>
      <c r="I63" t="n">
        <v>0</v>
      </c>
      <c r="J63" t="n">
        <v>0</v>
      </c>
      <c r="K63" t="n">
        <v>0</v>
      </c>
      <c r="L63" t="n">
        <v>0</v>
      </c>
      <c r="M63" t="n">
        <v>0</v>
      </c>
      <c r="N63" t="n">
        <v>0</v>
      </c>
      <c r="O63" t="n">
        <v>0</v>
      </c>
      <c r="P63" t="n">
        <v>0</v>
      </c>
      <c r="Q63" t="n">
        <v>1</v>
      </c>
      <c r="R63" s="2" t="inlineStr">
        <is>
          <t>Kungsfågel</t>
        </is>
      </c>
      <c r="S63">
        <f>HYPERLINK("https://klasma.github.io/Logging_1880/artfynd/A 28936-2025 artfynd.xlsx", "A 28936-2025")</f>
        <v/>
      </c>
      <c r="T63">
        <f>HYPERLINK("https://klasma.github.io/Logging_1880/kartor/A 28936-2025 karta.png", "A 28936-2025")</f>
        <v/>
      </c>
      <c r="V63">
        <f>HYPERLINK("https://klasma.github.io/Logging_1880/klagomål/A 28936-2025 FSC-klagomål.docx", "A 28936-2025")</f>
        <v/>
      </c>
      <c r="W63">
        <f>HYPERLINK("https://klasma.github.io/Logging_1880/klagomålsmail/A 28936-2025 FSC-klagomål mail.docx", "A 28936-2025")</f>
        <v/>
      </c>
      <c r="X63">
        <f>HYPERLINK("https://klasma.github.io/Logging_1880/tillsyn/A 28936-2025 tillsynsbegäran.docx", "A 28936-2025")</f>
        <v/>
      </c>
      <c r="Y63">
        <f>HYPERLINK("https://klasma.github.io/Logging_1880/tillsynsmail/A 28936-2025 tillsynsbegäran mail.docx", "A 28936-2025")</f>
        <v/>
      </c>
      <c r="Z63">
        <f>HYPERLINK("https://klasma.github.io/Logging_1880/fåglar/A 28936-2025 prioriterade fågelarter.docx", "A 28936-2025")</f>
        <v/>
      </c>
    </row>
    <row r="64" ht="15" customHeight="1">
      <c r="A64" t="inlineStr">
        <is>
          <t>A 32226-2025</t>
        </is>
      </c>
      <c r="B64" s="1" t="n">
        <v>45835.59478009259</v>
      </c>
      <c r="C64" s="1" t="n">
        <v>46107</v>
      </c>
      <c r="D64" t="inlineStr">
        <is>
          <t>ÖREBRO LÄN</t>
        </is>
      </c>
      <c r="E64" t="inlineStr">
        <is>
          <t>ÖREBRO</t>
        </is>
      </c>
      <c r="G64" t="n">
        <v>1.2</v>
      </c>
      <c r="H64" t="n">
        <v>0</v>
      </c>
      <c r="I64" t="n">
        <v>0</v>
      </c>
      <c r="J64" t="n">
        <v>1</v>
      </c>
      <c r="K64" t="n">
        <v>0</v>
      </c>
      <c r="L64" t="n">
        <v>0</v>
      </c>
      <c r="M64" t="n">
        <v>0</v>
      </c>
      <c r="N64" t="n">
        <v>0</v>
      </c>
      <c r="O64" t="n">
        <v>1</v>
      </c>
      <c r="P64" t="n">
        <v>0</v>
      </c>
      <c r="Q64" t="n">
        <v>1</v>
      </c>
      <c r="R64" s="2" t="inlineStr">
        <is>
          <t>Dofttaggsvamp</t>
        </is>
      </c>
      <c r="S64">
        <f>HYPERLINK("https://klasma.github.io/Logging_1880/artfynd/A 32226-2025 artfynd.xlsx", "A 32226-2025")</f>
        <v/>
      </c>
      <c r="T64">
        <f>HYPERLINK("https://klasma.github.io/Logging_1880/kartor/A 32226-2025 karta.png", "A 32226-2025")</f>
        <v/>
      </c>
      <c r="V64">
        <f>HYPERLINK("https://klasma.github.io/Logging_1880/klagomål/A 32226-2025 FSC-klagomål.docx", "A 32226-2025")</f>
        <v/>
      </c>
      <c r="W64">
        <f>HYPERLINK("https://klasma.github.io/Logging_1880/klagomålsmail/A 32226-2025 FSC-klagomål mail.docx", "A 32226-2025")</f>
        <v/>
      </c>
      <c r="X64">
        <f>HYPERLINK("https://klasma.github.io/Logging_1880/tillsyn/A 32226-2025 tillsynsbegäran.docx", "A 32226-2025")</f>
        <v/>
      </c>
      <c r="Y64">
        <f>HYPERLINK("https://klasma.github.io/Logging_1880/tillsynsmail/A 32226-2025 tillsynsbegäran mail.docx", "A 32226-2025")</f>
        <v/>
      </c>
    </row>
    <row r="65" ht="15" customHeight="1">
      <c r="A65" t="inlineStr">
        <is>
          <t>A 32204-2025</t>
        </is>
      </c>
      <c r="B65" s="1" t="n">
        <v>45835.58074074074</v>
      </c>
      <c r="C65" s="1" t="n">
        <v>46107</v>
      </c>
      <c r="D65" t="inlineStr">
        <is>
          <t>ÖREBRO LÄN</t>
        </is>
      </c>
      <c r="E65" t="inlineStr">
        <is>
          <t>ÖREBRO</t>
        </is>
      </c>
      <c r="G65" t="n">
        <v>3.4</v>
      </c>
      <c r="H65" t="n">
        <v>1</v>
      </c>
      <c r="I65" t="n">
        <v>0</v>
      </c>
      <c r="J65" t="n">
        <v>0</v>
      </c>
      <c r="K65" t="n">
        <v>0</v>
      </c>
      <c r="L65" t="n">
        <v>0</v>
      </c>
      <c r="M65" t="n">
        <v>0</v>
      </c>
      <c r="N65" t="n">
        <v>0</v>
      </c>
      <c r="O65" t="n">
        <v>0</v>
      </c>
      <c r="P65" t="n">
        <v>0</v>
      </c>
      <c r="Q65" t="n">
        <v>1</v>
      </c>
      <c r="R65" s="2" t="inlineStr">
        <is>
          <t>Tjäder</t>
        </is>
      </c>
      <c r="S65">
        <f>HYPERLINK("https://klasma.github.io/Logging_1880/artfynd/A 32204-2025 artfynd.xlsx", "A 32204-2025")</f>
        <v/>
      </c>
      <c r="T65">
        <f>HYPERLINK("https://klasma.github.io/Logging_1880/kartor/A 32204-2025 karta.png", "A 32204-2025")</f>
        <v/>
      </c>
      <c r="V65">
        <f>HYPERLINK("https://klasma.github.io/Logging_1880/klagomål/A 32204-2025 FSC-klagomål.docx", "A 32204-2025")</f>
        <v/>
      </c>
      <c r="W65">
        <f>HYPERLINK("https://klasma.github.io/Logging_1880/klagomålsmail/A 32204-2025 FSC-klagomål mail.docx", "A 32204-2025")</f>
        <v/>
      </c>
      <c r="X65">
        <f>HYPERLINK("https://klasma.github.io/Logging_1880/tillsyn/A 32204-2025 tillsynsbegäran.docx", "A 32204-2025")</f>
        <v/>
      </c>
      <c r="Y65">
        <f>HYPERLINK("https://klasma.github.io/Logging_1880/tillsynsmail/A 32204-2025 tillsynsbegäran mail.docx", "A 32204-2025")</f>
        <v/>
      </c>
      <c r="Z65">
        <f>HYPERLINK("https://klasma.github.io/Logging_1880/fåglar/A 32204-2025 prioriterade fågelarter.docx", "A 32204-2025")</f>
        <v/>
      </c>
    </row>
    <row r="66" ht="15" customHeight="1">
      <c r="A66" t="inlineStr">
        <is>
          <t>A 59516-2025</t>
        </is>
      </c>
      <c r="B66" s="1" t="n">
        <v>45989.65396990741</v>
      </c>
      <c r="C66" s="1" t="n">
        <v>46107</v>
      </c>
      <c r="D66" t="inlineStr">
        <is>
          <t>ÖREBRO LÄN</t>
        </is>
      </c>
      <c r="E66" t="inlineStr">
        <is>
          <t>ÖREBRO</t>
        </is>
      </c>
      <c r="F66" t="inlineStr">
        <is>
          <t>Sveaskog</t>
        </is>
      </c>
      <c r="G66" t="n">
        <v>1.9</v>
      </c>
      <c r="H66" t="n">
        <v>0</v>
      </c>
      <c r="I66" t="n">
        <v>1</v>
      </c>
      <c r="J66" t="n">
        <v>0</v>
      </c>
      <c r="K66" t="n">
        <v>0</v>
      </c>
      <c r="L66" t="n">
        <v>0</v>
      </c>
      <c r="M66" t="n">
        <v>0</v>
      </c>
      <c r="N66" t="n">
        <v>0</v>
      </c>
      <c r="O66" t="n">
        <v>0</v>
      </c>
      <c r="P66" t="n">
        <v>0</v>
      </c>
      <c r="Q66" t="n">
        <v>1</v>
      </c>
      <c r="R66" s="2" t="inlineStr">
        <is>
          <t>Tibast</t>
        </is>
      </c>
      <c r="S66">
        <f>HYPERLINK("https://klasma.github.io/Logging_1880/artfynd/A 59516-2025 artfynd.xlsx", "A 59516-2025")</f>
        <v/>
      </c>
      <c r="T66">
        <f>HYPERLINK("https://klasma.github.io/Logging_1880/kartor/A 59516-2025 karta.png", "A 59516-2025")</f>
        <v/>
      </c>
      <c r="V66">
        <f>HYPERLINK("https://klasma.github.io/Logging_1880/klagomål/A 59516-2025 FSC-klagomål.docx", "A 59516-2025")</f>
        <v/>
      </c>
      <c r="W66">
        <f>HYPERLINK("https://klasma.github.io/Logging_1880/klagomålsmail/A 59516-2025 FSC-klagomål mail.docx", "A 59516-2025")</f>
        <v/>
      </c>
      <c r="X66">
        <f>HYPERLINK("https://klasma.github.io/Logging_1880/tillsyn/A 59516-2025 tillsynsbegäran.docx", "A 59516-2025")</f>
        <v/>
      </c>
      <c r="Y66">
        <f>HYPERLINK("https://klasma.github.io/Logging_1880/tillsynsmail/A 59516-2025 tillsynsbegäran mail.docx", "A 59516-2025")</f>
        <v/>
      </c>
    </row>
    <row r="67" ht="15" customHeight="1">
      <c r="A67" t="inlineStr">
        <is>
          <t>A 3006-2026</t>
        </is>
      </c>
      <c r="B67" s="1" t="n">
        <v>46038.65719907408</v>
      </c>
      <c r="C67" s="1" t="n">
        <v>46107</v>
      </c>
      <c r="D67" t="inlineStr">
        <is>
          <t>ÖREBRO LÄN</t>
        </is>
      </c>
      <c r="E67" t="inlineStr">
        <is>
          <t>ÖREBRO</t>
        </is>
      </c>
      <c r="F67" t="inlineStr">
        <is>
          <t>Övriga Aktiebolag</t>
        </is>
      </c>
      <c r="G67" t="n">
        <v>1</v>
      </c>
      <c r="H67" t="n">
        <v>1</v>
      </c>
      <c r="I67" t="n">
        <v>0</v>
      </c>
      <c r="J67" t="n">
        <v>1</v>
      </c>
      <c r="K67" t="n">
        <v>0</v>
      </c>
      <c r="L67" t="n">
        <v>0</v>
      </c>
      <c r="M67" t="n">
        <v>0</v>
      </c>
      <c r="N67" t="n">
        <v>0</v>
      </c>
      <c r="O67" t="n">
        <v>1</v>
      </c>
      <c r="P67" t="n">
        <v>0</v>
      </c>
      <c r="Q67" t="n">
        <v>1</v>
      </c>
      <c r="R67" s="2" t="inlineStr">
        <is>
          <t>Gulsparv</t>
        </is>
      </c>
      <c r="S67">
        <f>HYPERLINK("https://klasma.github.io/Logging_1880/artfynd/A 3006-2026 artfynd.xlsx", "A 3006-2026")</f>
        <v/>
      </c>
      <c r="T67">
        <f>HYPERLINK("https://klasma.github.io/Logging_1880/kartor/A 3006-2026 karta.png", "A 3006-2026")</f>
        <v/>
      </c>
      <c r="V67">
        <f>HYPERLINK("https://klasma.github.io/Logging_1880/klagomål/A 3006-2026 FSC-klagomål.docx", "A 3006-2026")</f>
        <v/>
      </c>
      <c r="W67">
        <f>HYPERLINK("https://klasma.github.io/Logging_1880/klagomålsmail/A 3006-2026 FSC-klagomål mail.docx", "A 3006-2026")</f>
        <v/>
      </c>
      <c r="X67">
        <f>HYPERLINK("https://klasma.github.io/Logging_1880/tillsyn/A 3006-2026 tillsynsbegäran.docx", "A 3006-2026")</f>
        <v/>
      </c>
      <c r="Y67">
        <f>HYPERLINK("https://klasma.github.io/Logging_1880/tillsynsmail/A 3006-2026 tillsynsbegäran mail.docx", "A 3006-2026")</f>
        <v/>
      </c>
      <c r="Z67">
        <f>HYPERLINK("https://klasma.github.io/Logging_1880/fåglar/A 3006-2026 prioriterade fågelarter.docx", "A 3006-2026")</f>
        <v/>
      </c>
    </row>
    <row r="68" ht="15" customHeight="1">
      <c r="A68" t="inlineStr">
        <is>
          <t>A 20032-2023</t>
        </is>
      </c>
      <c r="B68" s="1" t="n">
        <v>45054</v>
      </c>
      <c r="C68" s="1" t="n">
        <v>46107</v>
      </c>
      <c r="D68" t="inlineStr">
        <is>
          <t>ÖREBRO LÄN</t>
        </is>
      </c>
      <c r="E68" t="inlineStr">
        <is>
          <t>ÖREBRO</t>
        </is>
      </c>
      <c r="G68" t="n">
        <v>2.6</v>
      </c>
      <c r="H68" t="n">
        <v>1</v>
      </c>
      <c r="I68" t="n">
        <v>0</v>
      </c>
      <c r="J68" t="n">
        <v>0</v>
      </c>
      <c r="K68" t="n">
        <v>0</v>
      </c>
      <c r="L68" t="n">
        <v>0</v>
      </c>
      <c r="M68" t="n">
        <v>0</v>
      </c>
      <c r="N68" t="n">
        <v>0</v>
      </c>
      <c r="O68" t="n">
        <v>0</v>
      </c>
      <c r="P68" t="n">
        <v>0</v>
      </c>
      <c r="Q68" t="n">
        <v>1</v>
      </c>
      <c r="R68" s="2" t="inlineStr">
        <is>
          <t>Fiskgjuse</t>
        </is>
      </c>
      <c r="S68">
        <f>HYPERLINK("https://klasma.github.io/Logging_1880/artfynd/A 20032-2023 artfynd.xlsx", "A 20032-2023")</f>
        <v/>
      </c>
      <c r="T68">
        <f>HYPERLINK("https://klasma.github.io/Logging_1880/kartor/A 20032-2023 karta.png", "A 20032-2023")</f>
        <v/>
      </c>
      <c r="V68">
        <f>HYPERLINK("https://klasma.github.io/Logging_1880/klagomål/A 20032-2023 FSC-klagomål.docx", "A 20032-2023")</f>
        <v/>
      </c>
      <c r="W68">
        <f>HYPERLINK("https://klasma.github.io/Logging_1880/klagomålsmail/A 20032-2023 FSC-klagomål mail.docx", "A 20032-2023")</f>
        <v/>
      </c>
      <c r="X68">
        <f>HYPERLINK("https://klasma.github.io/Logging_1880/tillsyn/A 20032-2023 tillsynsbegäran.docx", "A 20032-2023")</f>
        <v/>
      </c>
      <c r="Y68">
        <f>HYPERLINK("https://klasma.github.io/Logging_1880/tillsynsmail/A 20032-2023 tillsynsbegäran mail.docx", "A 20032-2023")</f>
        <v/>
      </c>
      <c r="Z68">
        <f>HYPERLINK("https://klasma.github.io/Logging_1880/fåglar/A 20032-2023 prioriterade fågelarter.docx", "A 20032-2023")</f>
        <v/>
      </c>
    </row>
    <row r="69" ht="15" customHeight="1">
      <c r="A69" t="inlineStr">
        <is>
          <t>A 22604-2024</t>
        </is>
      </c>
      <c r="B69" s="1" t="n">
        <v>45447</v>
      </c>
      <c r="C69" s="1" t="n">
        <v>46107</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30725-2023</t>
        </is>
      </c>
      <c r="B70" s="1" t="n">
        <v>45112.61451388889</v>
      </c>
      <c r="C70" s="1" t="n">
        <v>46107</v>
      </c>
      <c r="D70" t="inlineStr">
        <is>
          <t>ÖREBRO LÄN</t>
        </is>
      </c>
      <c r="E70" t="inlineStr">
        <is>
          <t>ÖREBRO</t>
        </is>
      </c>
      <c r="G70" t="n">
        <v>1.8</v>
      </c>
      <c r="H70" t="n">
        <v>1</v>
      </c>
      <c r="I70" t="n">
        <v>0</v>
      </c>
      <c r="J70" t="n">
        <v>1</v>
      </c>
      <c r="K70" t="n">
        <v>0</v>
      </c>
      <c r="L70" t="n">
        <v>0</v>
      </c>
      <c r="M70" t="n">
        <v>0</v>
      </c>
      <c r="N70" t="n">
        <v>0</v>
      </c>
      <c r="O70" t="n">
        <v>1</v>
      </c>
      <c r="P70" t="n">
        <v>0</v>
      </c>
      <c r="Q70" t="n">
        <v>1</v>
      </c>
      <c r="R70" s="2" t="inlineStr">
        <is>
          <t>Gulsparv</t>
        </is>
      </c>
      <c r="S70">
        <f>HYPERLINK("https://klasma.github.io/Logging_1880/artfynd/A 30725-2023 artfynd.xlsx", "A 30725-2023")</f>
        <v/>
      </c>
      <c r="T70">
        <f>HYPERLINK("https://klasma.github.io/Logging_1880/kartor/A 30725-2023 karta.png", "A 30725-2023")</f>
        <v/>
      </c>
      <c r="V70">
        <f>HYPERLINK("https://klasma.github.io/Logging_1880/klagomål/A 30725-2023 FSC-klagomål.docx", "A 30725-2023")</f>
        <v/>
      </c>
      <c r="W70">
        <f>HYPERLINK("https://klasma.github.io/Logging_1880/klagomålsmail/A 30725-2023 FSC-klagomål mail.docx", "A 30725-2023")</f>
        <v/>
      </c>
      <c r="X70">
        <f>HYPERLINK("https://klasma.github.io/Logging_1880/tillsyn/A 30725-2023 tillsynsbegäran.docx", "A 30725-2023")</f>
        <v/>
      </c>
      <c r="Y70">
        <f>HYPERLINK("https://klasma.github.io/Logging_1880/tillsynsmail/A 30725-2023 tillsynsbegäran mail.docx", "A 30725-2023")</f>
        <v/>
      </c>
      <c r="Z70">
        <f>HYPERLINK("https://klasma.github.io/Logging_1880/fåglar/A 30725-2023 prioriterade fågelarter.docx", "A 30725-2023")</f>
        <v/>
      </c>
    </row>
    <row r="71" ht="15" customHeight="1">
      <c r="A71" t="inlineStr">
        <is>
          <t>A 5097-2023</t>
        </is>
      </c>
      <c r="B71" s="1" t="n">
        <v>44958</v>
      </c>
      <c r="C71" s="1" t="n">
        <v>46107</v>
      </c>
      <c r="D71" t="inlineStr">
        <is>
          <t>ÖREBRO LÄN</t>
        </is>
      </c>
      <c r="E71" t="inlineStr">
        <is>
          <t>ÖREBRO</t>
        </is>
      </c>
      <c r="G71" t="n">
        <v>3.6</v>
      </c>
      <c r="H71" t="n">
        <v>1</v>
      </c>
      <c r="I71" t="n">
        <v>0</v>
      </c>
      <c r="J71" t="n">
        <v>0</v>
      </c>
      <c r="K71" t="n">
        <v>0</v>
      </c>
      <c r="L71" t="n">
        <v>0</v>
      </c>
      <c r="M71" t="n">
        <v>0</v>
      </c>
      <c r="N71" t="n">
        <v>0</v>
      </c>
      <c r="O71" t="n">
        <v>0</v>
      </c>
      <c r="P71" t="n">
        <v>0</v>
      </c>
      <c r="Q71" t="n">
        <v>1</v>
      </c>
      <c r="R71" s="2" t="inlineStr">
        <is>
          <t>Grönvit nattviol</t>
        </is>
      </c>
      <c r="S71">
        <f>HYPERLINK("https://klasma.github.io/Logging_1880/artfynd/A 5097-2023 artfynd.xlsx", "A 5097-2023")</f>
        <v/>
      </c>
      <c r="T71">
        <f>HYPERLINK("https://klasma.github.io/Logging_1880/kartor/A 5097-2023 karta.png", "A 5097-2023")</f>
        <v/>
      </c>
      <c r="V71">
        <f>HYPERLINK("https://klasma.github.io/Logging_1880/klagomål/A 5097-2023 FSC-klagomål.docx", "A 5097-2023")</f>
        <v/>
      </c>
      <c r="W71">
        <f>HYPERLINK("https://klasma.github.io/Logging_1880/klagomålsmail/A 5097-2023 FSC-klagomål mail.docx", "A 5097-2023")</f>
        <v/>
      </c>
      <c r="X71">
        <f>HYPERLINK("https://klasma.github.io/Logging_1880/tillsyn/A 5097-2023 tillsynsbegäran.docx", "A 5097-2023")</f>
        <v/>
      </c>
      <c r="Y71">
        <f>HYPERLINK("https://klasma.github.io/Logging_1880/tillsynsmail/A 5097-2023 tillsynsbegäran mail.docx", "A 5097-2023")</f>
        <v/>
      </c>
    </row>
    <row r="72" ht="15" customHeight="1">
      <c r="A72" t="inlineStr">
        <is>
          <t>A 20247-2023</t>
        </is>
      </c>
      <c r="B72" s="1" t="n">
        <v>45055</v>
      </c>
      <c r="C72" s="1" t="n">
        <v>46107</v>
      </c>
      <c r="D72" t="inlineStr">
        <is>
          <t>ÖREBRO LÄN</t>
        </is>
      </c>
      <c r="E72" t="inlineStr">
        <is>
          <t>ÖREBRO</t>
        </is>
      </c>
      <c r="G72" t="n">
        <v>3</v>
      </c>
      <c r="H72" t="n">
        <v>1</v>
      </c>
      <c r="I72" t="n">
        <v>0</v>
      </c>
      <c r="J72" t="n">
        <v>0</v>
      </c>
      <c r="K72" t="n">
        <v>0</v>
      </c>
      <c r="L72" t="n">
        <v>0</v>
      </c>
      <c r="M72" t="n">
        <v>0</v>
      </c>
      <c r="N72" t="n">
        <v>0</v>
      </c>
      <c r="O72" t="n">
        <v>0</v>
      </c>
      <c r="P72" t="n">
        <v>0</v>
      </c>
      <c r="Q72" t="n">
        <v>1</v>
      </c>
      <c r="R72" s="2" t="inlineStr">
        <is>
          <t>Större vattensalamander</t>
        </is>
      </c>
      <c r="S72">
        <f>HYPERLINK("https://klasma.github.io/Logging_1880/artfynd/A 20247-2023 artfynd.xlsx", "A 20247-2023")</f>
        <v/>
      </c>
      <c r="T72">
        <f>HYPERLINK("https://klasma.github.io/Logging_1880/kartor/A 20247-2023 karta.png", "A 20247-2023")</f>
        <v/>
      </c>
      <c r="V72">
        <f>HYPERLINK("https://klasma.github.io/Logging_1880/klagomål/A 20247-2023 FSC-klagomål.docx", "A 20247-2023")</f>
        <v/>
      </c>
      <c r="W72">
        <f>HYPERLINK("https://klasma.github.io/Logging_1880/klagomålsmail/A 20247-2023 FSC-klagomål mail.docx", "A 20247-2023")</f>
        <v/>
      </c>
      <c r="X72">
        <f>HYPERLINK("https://klasma.github.io/Logging_1880/tillsyn/A 20247-2023 tillsynsbegäran.docx", "A 20247-2023")</f>
        <v/>
      </c>
      <c r="Y72">
        <f>HYPERLINK("https://klasma.github.io/Logging_1880/tillsynsmail/A 20247-2023 tillsynsbegäran mail.docx", "A 20247-2023")</f>
        <v/>
      </c>
    </row>
    <row r="73" ht="15" customHeight="1">
      <c r="A73" t="inlineStr">
        <is>
          <t>A 23606-2021</t>
        </is>
      </c>
      <c r="B73" s="1" t="n">
        <v>44334</v>
      </c>
      <c r="C73" s="1" t="n">
        <v>46107</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46107</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46107</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46107</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46107</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46107</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46107</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46107</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46107</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46107</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46107</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46107</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46107</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46107</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46107</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46107</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46107</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46107</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46107</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46107</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46107</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46107</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46107</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46107</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46107</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25660-2021</t>
        </is>
      </c>
      <c r="B98" s="1" t="n">
        <v>44343.5619212963</v>
      </c>
      <c r="C98" s="1" t="n">
        <v>46107</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70199-2021</t>
        </is>
      </c>
      <c r="B99" s="1" t="n">
        <v>44534.80712962963</v>
      </c>
      <c r="C99" s="1" t="n">
        <v>46107</v>
      </c>
      <c r="D99" t="inlineStr">
        <is>
          <t>ÖREBRO LÄN</t>
        </is>
      </c>
      <c r="E99" t="inlineStr">
        <is>
          <t>ÖREBRO</t>
        </is>
      </c>
      <c r="G99" t="n">
        <v>4.1</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46107</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46107</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46107</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46107</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46107</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46107</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46107</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46107</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46107</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46107</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46107</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46107</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46107</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46107</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46107</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46107</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46107</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46107</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46107</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46107</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46107</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19468-2021</t>
        </is>
      </c>
      <c r="B121" s="1" t="n">
        <v>44311</v>
      </c>
      <c r="C121" s="1" t="n">
        <v>46107</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15424-2022</t>
        </is>
      </c>
      <c r="B122" s="1" t="n">
        <v>44659</v>
      </c>
      <c r="C122" s="1" t="n">
        <v>46107</v>
      </c>
      <c r="D122" t="inlineStr">
        <is>
          <t>ÖREBRO LÄN</t>
        </is>
      </c>
      <c r="E122" t="inlineStr">
        <is>
          <t>ÖREBRO</t>
        </is>
      </c>
      <c r="G122" t="n">
        <v>2.2</v>
      </c>
      <c r="H122" t="n">
        <v>0</v>
      </c>
      <c r="I122" t="n">
        <v>0</v>
      </c>
      <c r="J122" t="n">
        <v>0</v>
      </c>
      <c r="K122" t="n">
        <v>0</v>
      </c>
      <c r="L122" t="n">
        <v>0</v>
      </c>
      <c r="M122" t="n">
        <v>0</v>
      </c>
      <c r="N122" t="n">
        <v>0</v>
      </c>
      <c r="O122" t="n">
        <v>0</v>
      </c>
      <c r="P122" t="n">
        <v>0</v>
      </c>
      <c r="Q122" t="n">
        <v>0</v>
      </c>
      <c r="R122" s="2" t="inlineStr"/>
    </row>
    <row r="123" ht="15" customHeight="1">
      <c r="A123" t="inlineStr">
        <is>
          <t>A 9362-2022</t>
        </is>
      </c>
      <c r="B123" s="1" t="n">
        <v>44616.59946759259</v>
      </c>
      <c r="C123" s="1" t="n">
        <v>46107</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16261-2022</t>
        </is>
      </c>
      <c r="B124" s="1" t="n">
        <v>44670</v>
      </c>
      <c r="C124" s="1" t="n">
        <v>46107</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46107</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13700-2024</t>
        </is>
      </c>
      <c r="B126" s="1" t="n">
        <v>45390.59277777778</v>
      </c>
      <c r="C126" s="1" t="n">
        <v>46107</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46107</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46107</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61232-2021</t>
        </is>
      </c>
      <c r="B129" s="1" t="n">
        <v>44498</v>
      </c>
      <c r="C129" s="1" t="n">
        <v>46107</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46107</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14562-2022</t>
        </is>
      </c>
      <c r="B131" s="1" t="n">
        <v>44655</v>
      </c>
      <c r="C131" s="1" t="n">
        <v>46107</v>
      </c>
      <c r="D131" t="inlineStr">
        <is>
          <t>ÖREBRO LÄN</t>
        </is>
      </c>
      <c r="E131" t="inlineStr">
        <is>
          <t>ÖREBRO</t>
        </is>
      </c>
      <c r="G131" t="n">
        <v>3.6</v>
      </c>
      <c r="H131" t="n">
        <v>0</v>
      </c>
      <c r="I131" t="n">
        <v>0</v>
      </c>
      <c r="J131" t="n">
        <v>0</v>
      </c>
      <c r="K131" t="n">
        <v>0</v>
      </c>
      <c r="L131" t="n">
        <v>0</v>
      </c>
      <c r="M131" t="n">
        <v>0</v>
      </c>
      <c r="N131" t="n">
        <v>0</v>
      </c>
      <c r="O131" t="n">
        <v>0</v>
      </c>
      <c r="P131" t="n">
        <v>0</v>
      </c>
      <c r="Q131" t="n">
        <v>0</v>
      </c>
      <c r="R131" s="2" t="inlineStr"/>
    </row>
    <row r="132" ht="15" customHeight="1">
      <c r="A132" t="inlineStr">
        <is>
          <t>A 57498-2021</t>
        </is>
      </c>
      <c r="B132" s="1" t="n">
        <v>44483</v>
      </c>
      <c r="C132" s="1" t="n">
        <v>46107</v>
      </c>
      <c r="D132" t="inlineStr">
        <is>
          <t>ÖREBRO LÄN</t>
        </is>
      </c>
      <c r="E132" t="inlineStr">
        <is>
          <t>ÖREBRO</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19458-2022</t>
        </is>
      </c>
      <c r="B133" s="1" t="n">
        <v>44693</v>
      </c>
      <c r="C133" s="1" t="n">
        <v>46107</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3659-2025</t>
        </is>
      </c>
      <c r="B134" s="1" t="n">
        <v>45681</v>
      </c>
      <c r="C134" s="1" t="n">
        <v>46107</v>
      </c>
      <c r="D134" t="inlineStr">
        <is>
          <t>ÖREBRO LÄN</t>
        </is>
      </c>
      <c r="E134" t="inlineStr">
        <is>
          <t>ÖREBRO</t>
        </is>
      </c>
      <c r="G134" t="n">
        <v>15.8</v>
      </c>
      <c r="H134" t="n">
        <v>0</v>
      </c>
      <c r="I134" t="n">
        <v>0</v>
      </c>
      <c r="J134" t="n">
        <v>0</v>
      </c>
      <c r="K134" t="n">
        <v>0</v>
      </c>
      <c r="L134" t="n">
        <v>0</v>
      </c>
      <c r="M134" t="n">
        <v>0</v>
      </c>
      <c r="N134" t="n">
        <v>0</v>
      </c>
      <c r="O134" t="n">
        <v>0</v>
      </c>
      <c r="P134" t="n">
        <v>0</v>
      </c>
      <c r="Q134" t="n">
        <v>0</v>
      </c>
      <c r="R134" s="2" t="inlineStr"/>
    </row>
    <row r="135" ht="15" customHeight="1">
      <c r="A135" t="inlineStr">
        <is>
          <t>A 5125-2024</t>
        </is>
      </c>
      <c r="B135" s="1" t="n">
        <v>45330</v>
      </c>
      <c r="C135" s="1" t="n">
        <v>46107</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46107</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1014-2024</t>
        </is>
      </c>
      <c r="B137" s="1" t="n">
        <v>45301</v>
      </c>
      <c r="C137" s="1" t="n">
        <v>46107</v>
      </c>
      <c r="D137" t="inlineStr">
        <is>
          <t>ÖREBRO LÄN</t>
        </is>
      </c>
      <c r="E137" t="inlineStr">
        <is>
          <t>ÖREBRO</t>
        </is>
      </c>
      <c r="G137" t="n">
        <v>1.4</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46107</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14234-2024</t>
        </is>
      </c>
      <c r="B139" s="1" t="n">
        <v>45393.46980324074</v>
      </c>
      <c r="C139" s="1" t="n">
        <v>46107</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46107</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18047-2022</t>
        </is>
      </c>
      <c r="B141" s="1" t="n">
        <v>44684</v>
      </c>
      <c r="C141" s="1" t="n">
        <v>46107</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767-2024</t>
        </is>
      </c>
      <c r="B142" s="1" t="n">
        <v>45300.51892361111</v>
      </c>
      <c r="C142" s="1" t="n">
        <v>46107</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52256-2023</t>
        </is>
      </c>
      <c r="B143" s="1" t="n">
        <v>45224.51471064815</v>
      </c>
      <c r="C143" s="1" t="n">
        <v>46107</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57343-2021</t>
        </is>
      </c>
      <c r="B144" s="1" t="n">
        <v>44482</v>
      </c>
      <c r="C144" s="1" t="n">
        <v>46107</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44511-2023</t>
        </is>
      </c>
      <c r="B145" s="1" t="n">
        <v>45189</v>
      </c>
      <c r="C145" s="1" t="n">
        <v>46107</v>
      </c>
      <c r="D145" t="inlineStr">
        <is>
          <t>ÖREBRO LÄN</t>
        </is>
      </c>
      <c r="E145" t="inlineStr">
        <is>
          <t>ÖREBRO</t>
        </is>
      </c>
      <c r="F145" t="inlineStr">
        <is>
          <t>Allmännings- och besparingsskogar</t>
        </is>
      </c>
      <c r="G145" t="n">
        <v>2.7</v>
      </c>
      <c r="H145" t="n">
        <v>0</v>
      </c>
      <c r="I145" t="n">
        <v>0</v>
      </c>
      <c r="J145" t="n">
        <v>0</v>
      </c>
      <c r="K145" t="n">
        <v>0</v>
      </c>
      <c r="L145" t="n">
        <v>0</v>
      </c>
      <c r="M145" t="n">
        <v>0</v>
      </c>
      <c r="N145" t="n">
        <v>0</v>
      </c>
      <c r="O145" t="n">
        <v>0</v>
      </c>
      <c r="P145" t="n">
        <v>0</v>
      </c>
      <c r="Q145" t="n">
        <v>0</v>
      </c>
      <c r="R145" s="2" t="inlineStr"/>
    </row>
    <row r="146" ht="15" customHeight="1">
      <c r="A146" t="inlineStr">
        <is>
          <t>A 53234-2023</t>
        </is>
      </c>
      <c r="B146" s="1" t="n">
        <v>45229</v>
      </c>
      <c r="C146" s="1" t="n">
        <v>46107</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8512-2025</t>
        </is>
      </c>
      <c r="B147" s="1" t="n">
        <v>45709.54873842592</v>
      </c>
      <c r="C147" s="1" t="n">
        <v>46107</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46107</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26118-2021</t>
        </is>
      </c>
      <c r="B149" s="1" t="n">
        <v>44345</v>
      </c>
      <c r="C149" s="1" t="n">
        <v>46107</v>
      </c>
      <c r="D149" t="inlineStr">
        <is>
          <t>ÖREBRO LÄN</t>
        </is>
      </c>
      <c r="E149" t="inlineStr">
        <is>
          <t>ÖREBRO</t>
        </is>
      </c>
      <c r="G149" t="n">
        <v>2.2</v>
      </c>
      <c r="H149" t="n">
        <v>0</v>
      </c>
      <c r="I149" t="n">
        <v>0</v>
      </c>
      <c r="J149" t="n">
        <v>0</v>
      </c>
      <c r="K149" t="n">
        <v>0</v>
      </c>
      <c r="L149" t="n">
        <v>0</v>
      </c>
      <c r="M149" t="n">
        <v>0</v>
      </c>
      <c r="N149" t="n">
        <v>0</v>
      </c>
      <c r="O149" t="n">
        <v>0</v>
      </c>
      <c r="P149" t="n">
        <v>0</v>
      </c>
      <c r="Q149" t="n">
        <v>0</v>
      </c>
      <c r="R149" s="2" t="inlineStr"/>
    </row>
    <row r="150" ht="15" customHeight="1">
      <c r="A150" t="inlineStr">
        <is>
          <t>A 26119-2021</t>
        </is>
      </c>
      <c r="B150" s="1" t="n">
        <v>44345.33282407407</v>
      </c>
      <c r="C150" s="1" t="n">
        <v>46107</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28054-2022</t>
        </is>
      </c>
      <c r="B151" s="1" t="n">
        <v>44746.41938657407</v>
      </c>
      <c r="C151" s="1" t="n">
        <v>46107</v>
      </c>
      <c r="D151" t="inlineStr">
        <is>
          <t>ÖREBRO LÄN</t>
        </is>
      </c>
      <c r="E151" t="inlineStr">
        <is>
          <t>ÖREBRO</t>
        </is>
      </c>
      <c r="G151" t="n">
        <v>1.2</v>
      </c>
      <c r="H151" t="n">
        <v>0</v>
      </c>
      <c r="I151" t="n">
        <v>0</v>
      </c>
      <c r="J151" t="n">
        <v>0</v>
      </c>
      <c r="K151" t="n">
        <v>0</v>
      </c>
      <c r="L151" t="n">
        <v>0</v>
      </c>
      <c r="M151" t="n">
        <v>0</v>
      </c>
      <c r="N151" t="n">
        <v>0</v>
      </c>
      <c r="O151" t="n">
        <v>0</v>
      </c>
      <c r="P151" t="n">
        <v>0</v>
      </c>
      <c r="Q151" t="n">
        <v>0</v>
      </c>
      <c r="R151" s="2" t="inlineStr"/>
    </row>
    <row r="152" ht="15" customHeight="1">
      <c r="A152" t="inlineStr">
        <is>
          <t>A 1647-2024</t>
        </is>
      </c>
      <c r="B152" s="1" t="n">
        <v>45306</v>
      </c>
      <c r="C152" s="1" t="n">
        <v>46107</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46107</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57485-2023</t>
        </is>
      </c>
      <c r="B154" s="1" t="n">
        <v>45246</v>
      </c>
      <c r="C154" s="1" t="n">
        <v>46107</v>
      </c>
      <c r="D154" t="inlineStr">
        <is>
          <t>ÖREBRO LÄN</t>
        </is>
      </c>
      <c r="E154" t="inlineStr">
        <is>
          <t>ÖREBRO</t>
        </is>
      </c>
      <c r="G154" t="n">
        <v>0.9</v>
      </c>
      <c r="H154" t="n">
        <v>0</v>
      </c>
      <c r="I154" t="n">
        <v>0</v>
      </c>
      <c r="J154" t="n">
        <v>0</v>
      </c>
      <c r="K154" t="n">
        <v>0</v>
      </c>
      <c r="L154" t="n">
        <v>0</v>
      </c>
      <c r="M154" t="n">
        <v>0</v>
      </c>
      <c r="N154" t="n">
        <v>0</v>
      </c>
      <c r="O154" t="n">
        <v>0</v>
      </c>
      <c r="P154" t="n">
        <v>0</v>
      </c>
      <c r="Q154" t="n">
        <v>0</v>
      </c>
      <c r="R154" s="2" t="inlineStr"/>
    </row>
    <row r="155" ht="15" customHeight="1">
      <c r="A155" t="inlineStr">
        <is>
          <t>A 58032-2023</t>
        </is>
      </c>
      <c r="B155" s="1" t="n">
        <v>45247</v>
      </c>
      <c r="C155" s="1" t="n">
        <v>46107</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58035-2023</t>
        </is>
      </c>
      <c r="B156" s="1" t="n">
        <v>45247</v>
      </c>
      <c r="C156" s="1" t="n">
        <v>46107</v>
      </c>
      <c r="D156" t="inlineStr">
        <is>
          <t>ÖREBRO LÄN</t>
        </is>
      </c>
      <c r="E156" t="inlineStr">
        <is>
          <t>ÖREBRO</t>
        </is>
      </c>
      <c r="G156" t="n">
        <v>1.4</v>
      </c>
      <c r="H156" t="n">
        <v>0</v>
      </c>
      <c r="I156" t="n">
        <v>0</v>
      </c>
      <c r="J156" t="n">
        <v>0</v>
      </c>
      <c r="K156" t="n">
        <v>0</v>
      </c>
      <c r="L156" t="n">
        <v>0</v>
      </c>
      <c r="M156" t="n">
        <v>0</v>
      </c>
      <c r="N156" t="n">
        <v>0</v>
      </c>
      <c r="O156" t="n">
        <v>0</v>
      </c>
      <c r="P156" t="n">
        <v>0</v>
      </c>
      <c r="Q156" t="n">
        <v>0</v>
      </c>
      <c r="R156" s="2" t="inlineStr"/>
    </row>
    <row r="157" ht="15" customHeight="1">
      <c r="A157" t="inlineStr">
        <is>
          <t>A 40312-2021</t>
        </is>
      </c>
      <c r="B157" s="1" t="n">
        <v>44419</v>
      </c>
      <c r="C157" s="1" t="n">
        <v>46107</v>
      </c>
      <c r="D157" t="inlineStr">
        <is>
          <t>ÖREBRO LÄN</t>
        </is>
      </c>
      <c r="E157" t="inlineStr">
        <is>
          <t>ÖREBRO</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12478-2022</t>
        </is>
      </c>
      <c r="B158" s="1" t="n">
        <v>44638</v>
      </c>
      <c r="C158" s="1" t="n">
        <v>46107</v>
      </c>
      <c r="D158" t="inlineStr">
        <is>
          <t>ÖREBRO LÄN</t>
        </is>
      </c>
      <c r="E158" t="inlineStr">
        <is>
          <t>ÖREBRO</t>
        </is>
      </c>
      <c r="F158" t="inlineStr">
        <is>
          <t>Kyrkan</t>
        </is>
      </c>
      <c r="G158" t="n">
        <v>1.4</v>
      </c>
      <c r="H158" t="n">
        <v>0</v>
      </c>
      <c r="I158" t="n">
        <v>0</v>
      </c>
      <c r="J158" t="n">
        <v>0</v>
      </c>
      <c r="K158" t="n">
        <v>0</v>
      </c>
      <c r="L158" t="n">
        <v>0</v>
      </c>
      <c r="M158" t="n">
        <v>0</v>
      </c>
      <c r="N158" t="n">
        <v>0</v>
      </c>
      <c r="O158" t="n">
        <v>0</v>
      </c>
      <c r="P158" t="n">
        <v>0</v>
      </c>
      <c r="Q158" t="n">
        <v>0</v>
      </c>
      <c r="R158" s="2" t="inlineStr"/>
    </row>
    <row r="159" ht="15" customHeight="1">
      <c r="A159" t="inlineStr">
        <is>
          <t>A 35829-2024</t>
        </is>
      </c>
      <c r="B159" s="1" t="n">
        <v>45532</v>
      </c>
      <c r="C159" s="1" t="n">
        <v>46107</v>
      </c>
      <c r="D159" t="inlineStr">
        <is>
          <t>ÖREBRO LÄN</t>
        </is>
      </c>
      <c r="E159" t="inlineStr">
        <is>
          <t>ÖREBRO</t>
        </is>
      </c>
      <c r="G159" t="n">
        <v>4.6</v>
      </c>
      <c r="H159" t="n">
        <v>0</v>
      </c>
      <c r="I159" t="n">
        <v>0</v>
      </c>
      <c r="J159" t="n">
        <v>0</v>
      </c>
      <c r="K159" t="n">
        <v>0</v>
      </c>
      <c r="L159" t="n">
        <v>0</v>
      </c>
      <c r="M159" t="n">
        <v>0</v>
      </c>
      <c r="N159" t="n">
        <v>0</v>
      </c>
      <c r="O159" t="n">
        <v>0</v>
      </c>
      <c r="P159" t="n">
        <v>0</v>
      </c>
      <c r="Q159" t="n">
        <v>0</v>
      </c>
      <c r="R159" s="2" t="inlineStr"/>
    </row>
    <row r="160" ht="15" customHeight="1">
      <c r="A160" t="inlineStr">
        <is>
          <t>A 35833-2024</t>
        </is>
      </c>
      <c r="B160" s="1" t="n">
        <v>45532.68699074074</v>
      </c>
      <c r="C160" s="1" t="n">
        <v>46107</v>
      </c>
      <c r="D160" t="inlineStr">
        <is>
          <t>ÖREBRO LÄN</t>
        </is>
      </c>
      <c r="E160" t="inlineStr">
        <is>
          <t>ÖREBRO</t>
        </is>
      </c>
      <c r="G160" t="n">
        <v>1.8</v>
      </c>
      <c r="H160" t="n">
        <v>0</v>
      </c>
      <c r="I160" t="n">
        <v>0</v>
      </c>
      <c r="J160" t="n">
        <v>0</v>
      </c>
      <c r="K160" t="n">
        <v>0</v>
      </c>
      <c r="L160" t="n">
        <v>0</v>
      </c>
      <c r="M160" t="n">
        <v>0</v>
      </c>
      <c r="N160" t="n">
        <v>0</v>
      </c>
      <c r="O160" t="n">
        <v>0</v>
      </c>
      <c r="P160" t="n">
        <v>0</v>
      </c>
      <c r="Q160" t="n">
        <v>0</v>
      </c>
      <c r="R160" s="2" t="inlineStr"/>
    </row>
    <row r="161" ht="15" customHeight="1">
      <c r="A161" t="inlineStr">
        <is>
          <t>A 5401-2022</t>
        </is>
      </c>
      <c r="B161" s="1" t="n">
        <v>44595</v>
      </c>
      <c r="C161" s="1" t="n">
        <v>46107</v>
      </c>
      <c r="D161" t="inlineStr">
        <is>
          <t>ÖREBRO LÄN</t>
        </is>
      </c>
      <c r="E161" t="inlineStr">
        <is>
          <t>ÖREBRO</t>
        </is>
      </c>
      <c r="G161" t="n">
        <v>2.3</v>
      </c>
      <c r="H161" t="n">
        <v>0</v>
      </c>
      <c r="I161" t="n">
        <v>0</v>
      </c>
      <c r="J161" t="n">
        <v>0</v>
      </c>
      <c r="K161" t="n">
        <v>0</v>
      </c>
      <c r="L161" t="n">
        <v>0</v>
      </c>
      <c r="M161" t="n">
        <v>0</v>
      </c>
      <c r="N161" t="n">
        <v>0</v>
      </c>
      <c r="O161" t="n">
        <v>0</v>
      </c>
      <c r="P161" t="n">
        <v>0</v>
      </c>
      <c r="Q161" t="n">
        <v>0</v>
      </c>
      <c r="R161" s="2" t="inlineStr"/>
    </row>
    <row r="162" ht="15" customHeight="1">
      <c r="A162" t="inlineStr">
        <is>
          <t>A 14717-2024</t>
        </is>
      </c>
      <c r="B162" s="1" t="n">
        <v>45397.55104166667</v>
      </c>
      <c r="C162" s="1" t="n">
        <v>46107</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55593-2022</t>
        </is>
      </c>
      <c r="B163" s="1" t="n">
        <v>44888</v>
      </c>
      <c r="C163" s="1" t="n">
        <v>46107</v>
      </c>
      <c r="D163" t="inlineStr">
        <is>
          <t>ÖREBRO LÄN</t>
        </is>
      </c>
      <c r="E163" t="inlineStr">
        <is>
          <t>ÖREBRO</t>
        </is>
      </c>
      <c r="G163" t="n">
        <v>3.6</v>
      </c>
      <c r="H163" t="n">
        <v>0</v>
      </c>
      <c r="I163" t="n">
        <v>0</v>
      </c>
      <c r="J163" t="n">
        <v>0</v>
      </c>
      <c r="K163" t="n">
        <v>0</v>
      </c>
      <c r="L163" t="n">
        <v>0</v>
      </c>
      <c r="M163" t="n">
        <v>0</v>
      </c>
      <c r="N163" t="n">
        <v>0</v>
      </c>
      <c r="O163" t="n">
        <v>0</v>
      </c>
      <c r="P163" t="n">
        <v>0</v>
      </c>
      <c r="Q163" t="n">
        <v>0</v>
      </c>
      <c r="R163" s="2" t="inlineStr"/>
    </row>
    <row r="164" ht="15" customHeight="1">
      <c r="A164" t="inlineStr">
        <is>
          <t>A 50446-2023</t>
        </is>
      </c>
      <c r="B164" s="1" t="n">
        <v>45216</v>
      </c>
      <c r="C164" s="1" t="n">
        <v>46107</v>
      </c>
      <c r="D164" t="inlineStr">
        <is>
          <t>ÖREBRO LÄN</t>
        </is>
      </c>
      <c r="E164" t="inlineStr">
        <is>
          <t>ÖREBRO</t>
        </is>
      </c>
      <c r="F164" t="inlineStr">
        <is>
          <t>Övriga Aktiebolag</t>
        </is>
      </c>
      <c r="G164" t="n">
        <v>2.8</v>
      </c>
      <c r="H164" t="n">
        <v>0</v>
      </c>
      <c r="I164" t="n">
        <v>0</v>
      </c>
      <c r="J164" t="n">
        <v>0</v>
      </c>
      <c r="K164" t="n">
        <v>0</v>
      </c>
      <c r="L164" t="n">
        <v>0</v>
      </c>
      <c r="M164" t="n">
        <v>0</v>
      </c>
      <c r="N164" t="n">
        <v>0</v>
      </c>
      <c r="O164" t="n">
        <v>0</v>
      </c>
      <c r="P164" t="n">
        <v>0</v>
      </c>
      <c r="Q164" t="n">
        <v>0</v>
      </c>
      <c r="R164" s="2" t="inlineStr"/>
    </row>
    <row r="165" ht="15" customHeight="1">
      <c r="A165" t="inlineStr">
        <is>
          <t>A 50450-2023</t>
        </is>
      </c>
      <c r="B165" s="1" t="n">
        <v>45216.73533564815</v>
      </c>
      <c r="C165" s="1" t="n">
        <v>46107</v>
      </c>
      <c r="D165" t="inlineStr">
        <is>
          <t>ÖREBRO LÄN</t>
        </is>
      </c>
      <c r="E165" t="inlineStr">
        <is>
          <t>ÖREBRO</t>
        </is>
      </c>
      <c r="F165" t="inlineStr">
        <is>
          <t>Övriga Aktiebolag</t>
        </is>
      </c>
      <c r="G165" t="n">
        <v>0.8</v>
      </c>
      <c r="H165" t="n">
        <v>0</v>
      </c>
      <c r="I165" t="n">
        <v>0</v>
      </c>
      <c r="J165" t="n">
        <v>0</v>
      </c>
      <c r="K165" t="n">
        <v>0</v>
      </c>
      <c r="L165" t="n">
        <v>0</v>
      </c>
      <c r="M165" t="n">
        <v>0</v>
      </c>
      <c r="N165" t="n">
        <v>0</v>
      </c>
      <c r="O165" t="n">
        <v>0</v>
      </c>
      <c r="P165" t="n">
        <v>0</v>
      </c>
      <c r="Q165" t="n">
        <v>0</v>
      </c>
      <c r="R165" s="2" t="inlineStr"/>
    </row>
    <row r="166" ht="15" customHeight="1">
      <c r="A166" t="inlineStr">
        <is>
          <t>A 43612-2022</t>
        </is>
      </c>
      <c r="B166" s="1" t="n">
        <v>44837</v>
      </c>
      <c r="C166" s="1" t="n">
        <v>46107</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42138-2024</t>
        </is>
      </c>
      <c r="B167" s="1" t="n">
        <v>45562.41854166667</v>
      </c>
      <c r="C167" s="1" t="n">
        <v>46107</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34874-2022</t>
        </is>
      </c>
      <c r="B168" s="1" t="n">
        <v>44796</v>
      </c>
      <c r="C168" s="1" t="n">
        <v>46107</v>
      </c>
      <c r="D168" t="inlineStr">
        <is>
          <t>ÖREBRO LÄN</t>
        </is>
      </c>
      <c r="E168" t="inlineStr">
        <is>
          <t>ÖREBRO</t>
        </is>
      </c>
      <c r="F168" t="inlineStr">
        <is>
          <t>Övriga Aktiebolag</t>
        </is>
      </c>
      <c r="G168" t="n">
        <v>2.3</v>
      </c>
      <c r="H168" t="n">
        <v>0</v>
      </c>
      <c r="I168" t="n">
        <v>0</v>
      </c>
      <c r="J168" t="n">
        <v>0</v>
      </c>
      <c r="K168" t="n">
        <v>0</v>
      </c>
      <c r="L168" t="n">
        <v>0</v>
      </c>
      <c r="M168" t="n">
        <v>0</v>
      </c>
      <c r="N168" t="n">
        <v>0</v>
      </c>
      <c r="O168" t="n">
        <v>0</v>
      </c>
      <c r="P168" t="n">
        <v>0</v>
      </c>
      <c r="Q168" t="n">
        <v>0</v>
      </c>
      <c r="R168" s="2" t="inlineStr"/>
    </row>
    <row r="169" ht="15" customHeight="1">
      <c r="A169" t="inlineStr">
        <is>
          <t>A 19978-2025</t>
        </is>
      </c>
      <c r="B169" s="1" t="n">
        <v>45771.7062037037</v>
      </c>
      <c r="C169" s="1" t="n">
        <v>46107</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61593-2023</t>
        </is>
      </c>
      <c r="B170" s="1" t="n">
        <v>45265</v>
      </c>
      <c r="C170" s="1" t="n">
        <v>46107</v>
      </c>
      <c r="D170" t="inlineStr">
        <is>
          <t>ÖREBRO LÄN</t>
        </is>
      </c>
      <c r="E170" t="inlineStr">
        <is>
          <t>ÖREBRO</t>
        </is>
      </c>
      <c r="G170" t="n">
        <v>2.5</v>
      </c>
      <c r="H170" t="n">
        <v>0</v>
      </c>
      <c r="I170" t="n">
        <v>0</v>
      </c>
      <c r="J170" t="n">
        <v>0</v>
      </c>
      <c r="K170" t="n">
        <v>0</v>
      </c>
      <c r="L170" t="n">
        <v>0</v>
      </c>
      <c r="M170" t="n">
        <v>0</v>
      </c>
      <c r="N170" t="n">
        <v>0</v>
      </c>
      <c r="O170" t="n">
        <v>0</v>
      </c>
      <c r="P170" t="n">
        <v>0</v>
      </c>
      <c r="Q170" t="n">
        <v>0</v>
      </c>
      <c r="R170" s="2" t="inlineStr"/>
    </row>
    <row r="171" ht="15" customHeight="1">
      <c r="A171" t="inlineStr">
        <is>
          <t>A 38842-2022</t>
        </is>
      </c>
      <c r="B171" s="1" t="n">
        <v>44814</v>
      </c>
      <c r="C171" s="1" t="n">
        <v>46107</v>
      </c>
      <c r="D171" t="inlineStr">
        <is>
          <t>ÖREBRO LÄN</t>
        </is>
      </c>
      <c r="E171" t="inlineStr">
        <is>
          <t>ÖREBRO</t>
        </is>
      </c>
      <c r="G171" t="n">
        <v>5</v>
      </c>
      <c r="H171" t="n">
        <v>0</v>
      </c>
      <c r="I171" t="n">
        <v>0</v>
      </c>
      <c r="J171" t="n">
        <v>0</v>
      </c>
      <c r="K171" t="n">
        <v>0</v>
      </c>
      <c r="L171" t="n">
        <v>0</v>
      </c>
      <c r="M171" t="n">
        <v>0</v>
      </c>
      <c r="N171" t="n">
        <v>0</v>
      </c>
      <c r="O171" t="n">
        <v>0</v>
      </c>
      <c r="P171" t="n">
        <v>0</v>
      </c>
      <c r="Q171" t="n">
        <v>0</v>
      </c>
      <c r="R171" s="2" t="inlineStr"/>
    </row>
    <row r="172" ht="15" customHeight="1">
      <c r="A172" t="inlineStr">
        <is>
          <t>A 38057-2025</t>
        </is>
      </c>
      <c r="B172" s="1" t="n">
        <v>45882.42570601852</v>
      </c>
      <c r="C172" s="1" t="n">
        <v>46107</v>
      </c>
      <c r="D172" t="inlineStr">
        <is>
          <t>ÖREBRO LÄN</t>
        </is>
      </c>
      <c r="E172" t="inlineStr">
        <is>
          <t>ÖREBRO</t>
        </is>
      </c>
      <c r="G172" t="n">
        <v>3</v>
      </c>
      <c r="H172" t="n">
        <v>0</v>
      </c>
      <c r="I172" t="n">
        <v>0</v>
      </c>
      <c r="J172" t="n">
        <v>0</v>
      </c>
      <c r="K172" t="n">
        <v>0</v>
      </c>
      <c r="L172" t="n">
        <v>0</v>
      </c>
      <c r="M172" t="n">
        <v>0</v>
      </c>
      <c r="N172" t="n">
        <v>0</v>
      </c>
      <c r="O172" t="n">
        <v>0</v>
      </c>
      <c r="P172" t="n">
        <v>0</v>
      </c>
      <c r="Q172" t="n">
        <v>0</v>
      </c>
      <c r="R172" s="2" t="inlineStr"/>
    </row>
    <row r="173" ht="15" customHeight="1">
      <c r="A173" t="inlineStr">
        <is>
          <t>A 40597-2021</t>
        </is>
      </c>
      <c r="B173" s="1" t="n">
        <v>44420</v>
      </c>
      <c r="C173" s="1" t="n">
        <v>46107</v>
      </c>
      <c r="D173" t="inlineStr">
        <is>
          <t>ÖREBRO LÄN</t>
        </is>
      </c>
      <c r="E173" t="inlineStr">
        <is>
          <t>ÖREBRO</t>
        </is>
      </c>
      <c r="G173" t="n">
        <v>2.1</v>
      </c>
      <c r="H173" t="n">
        <v>0</v>
      </c>
      <c r="I173" t="n">
        <v>0</v>
      </c>
      <c r="J173" t="n">
        <v>0</v>
      </c>
      <c r="K173" t="n">
        <v>0</v>
      </c>
      <c r="L173" t="n">
        <v>0</v>
      </c>
      <c r="M173" t="n">
        <v>0</v>
      </c>
      <c r="N173" t="n">
        <v>0</v>
      </c>
      <c r="O173" t="n">
        <v>0</v>
      </c>
      <c r="P173" t="n">
        <v>0</v>
      </c>
      <c r="Q173" t="n">
        <v>0</v>
      </c>
      <c r="R173" s="2" t="inlineStr"/>
    </row>
    <row r="174" ht="15" customHeight="1">
      <c r="A174" t="inlineStr">
        <is>
          <t>A 5133-2024</t>
        </is>
      </c>
      <c r="B174" s="1" t="n">
        <v>45330</v>
      </c>
      <c r="C174" s="1" t="n">
        <v>46107</v>
      </c>
      <c r="D174" t="inlineStr">
        <is>
          <t>ÖREBRO LÄN</t>
        </is>
      </c>
      <c r="E174" t="inlineStr">
        <is>
          <t>ÖREBRO</t>
        </is>
      </c>
      <c r="G174" t="n">
        <v>0.5</v>
      </c>
      <c r="H174" t="n">
        <v>0</v>
      </c>
      <c r="I174" t="n">
        <v>0</v>
      </c>
      <c r="J174" t="n">
        <v>0</v>
      </c>
      <c r="K174" t="n">
        <v>0</v>
      </c>
      <c r="L174" t="n">
        <v>0</v>
      </c>
      <c r="M174" t="n">
        <v>0</v>
      </c>
      <c r="N174" t="n">
        <v>0</v>
      </c>
      <c r="O174" t="n">
        <v>0</v>
      </c>
      <c r="P174" t="n">
        <v>0</v>
      </c>
      <c r="Q174" t="n">
        <v>0</v>
      </c>
      <c r="R174" s="2" t="inlineStr"/>
    </row>
    <row r="175" ht="15" customHeight="1">
      <c r="A175" t="inlineStr">
        <is>
          <t>A 14432-2023</t>
        </is>
      </c>
      <c r="B175" s="1" t="n">
        <v>45012</v>
      </c>
      <c r="C175" s="1" t="n">
        <v>46107</v>
      </c>
      <c r="D175" t="inlineStr">
        <is>
          <t>ÖREBRO LÄN</t>
        </is>
      </c>
      <c r="E175" t="inlineStr">
        <is>
          <t>ÖREBRO</t>
        </is>
      </c>
      <c r="G175" t="n">
        <v>3.3</v>
      </c>
      <c r="H175" t="n">
        <v>0</v>
      </c>
      <c r="I175" t="n">
        <v>0</v>
      </c>
      <c r="J175" t="n">
        <v>0</v>
      </c>
      <c r="K175" t="n">
        <v>0</v>
      </c>
      <c r="L175" t="n">
        <v>0</v>
      </c>
      <c r="M175" t="n">
        <v>0</v>
      </c>
      <c r="N175" t="n">
        <v>0</v>
      </c>
      <c r="O175" t="n">
        <v>0</v>
      </c>
      <c r="P175" t="n">
        <v>0</v>
      </c>
      <c r="Q175" t="n">
        <v>0</v>
      </c>
      <c r="R175" s="2" t="inlineStr"/>
    </row>
    <row r="176" ht="15" customHeight="1">
      <c r="A176" t="inlineStr">
        <is>
          <t>A 10339-2023</t>
        </is>
      </c>
      <c r="B176" s="1" t="n">
        <v>44987</v>
      </c>
      <c r="C176" s="1" t="n">
        <v>46107</v>
      </c>
      <c r="D176" t="inlineStr">
        <is>
          <t>ÖREBRO LÄN</t>
        </is>
      </c>
      <c r="E176" t="inlineStr">
        <is>
          <t>ÖREBRO</t>
        </is>
      </c>
      <c r="G176" t="n">
        <v>1</v>
      </c>
      <c r="H176" t="n">
        <v>0</v>
      </c>
      <c r="I176" t="n">
        <v>0</v>
      </c>
      <c r="J176" t="n">
        <v>0</v>
      </c>
      <c r="K176" t="n">
        <v>0</v>
      </c>
      <c r="L176" t="n">
        <v>0</v>
      </c>
      <c r="M176" t="n">
        <v>0</v>
      </c>
      <c r="N176" t="n">
        <v>0</v>
      </c>
      <c r="O176" t="n">
        <v>0</v>
      </c>
      <c r="P176" t="n">
        <v>0</v>
      </c>
      <c r="Q176" t="n">
        <v>0</v>
      </c>
      <c r="R176" s="2" t="inlineStr"/>
    </row>
    <row r="177" ht="15" customHeight="1">
      <c r="A177" t="inlineStr">
        <is>
          <t>A 19831-2021</t>
        </is>
      </c>
      <c r="B177" s="1" t="n">
        <v>44313</v>
      </c>
      <c r="C177" s="1" t="n">
        <v>46107</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26338-2021</t>
        </is>
      </c>
      <c r="B178" s="1" t="n">
        <v>44347</v>
      </c>
      <c r="C178" s="1" t="n">
        <v>46107</v>
      </c>
      <c r="D178" t="inlineStr">
        <is>
          <t>ÖREBRO LÄN</t>
        </is>
      </c>
      <c r="E178" t="inlineStr">
        <is>
          <t>ÖREBRO</t>
        </is>
      </c>
      <c r="G178" t="n">
        <v>0.5</v>
      </c>
      <c r="H178" t="n">
        <v>0</v>
      </c>
      <c r="I178" t="n">
        <v>0</v>
      </c>
      <c r="J178" t="n">
        <v>0</v>
      </c>
      <c r="K178" t="n">
        <v>0</v>
      </c>
      <c r="L178" t="n">
        <v>0</v>
      </c>
      <c r="M178" t="n">
        <v>0</v>
      </c>
      <c r="N178" t="n">
        <v>0</v>
      </c>
      <c r="O178" t="n">
        <v>0</v>
      </c>
      <c r="P178" t="n">
        <v>0</v>
      </c>
      <c r="Q178" t="n">
        <v>0</v>
      </c>
      <c r="R178" s="2" t="inlineStr"/>
    </row>
    <row r="179" ht="15" customHeight="1">
      <c r="A179" t="inlineStr">
        <is>
          <t>A 190-2024</t>
        </is>
      </c>
      <c r="B179" s="1" t="n">
        <v>45294.61858796296</v>
      </c>
      <c r="C179" s="1" t="n">
        <v>46107</v>
      </c>
      <c r="D179" t="inlineStr">
        <is>
          <t>ÖREBRO LÄN</t>
        </is>
      </c>
      <c r="E179" t="inlineStr">
        <is>
          <t>ÖREBRO</t>
        </is>
      </c>
      <c r="G179" t="n">
        <v>2.4</v>
      </c>
      <c r="H179" t="n">
        <v>0</v>
      </c>
      <c r="I179" t="n">
        <v>0</v>
      </c>
      <c r="J179" t="n">
        <v>0</v>
      </c>
      <c r="K179" t="n">
        <v>0</v>
      </c>
      <c r="L179" t="n">
        <v>0</v>
      </c>
      <c r="M179" t="n">
        <v>0</v>
      </c>
      <c r="N179" t="n">
        <v>0</v>
      </c>
      <c r="O179" t="n">
        <v>0</v>
      </c>
      <c r="P179" t="n">
        <v>0</v>
      </c>
      <c r="Q179" t="n">
        <v>0</v>
      </c>
      <c r="R179" s="2" t="inlineStr"/>
    </row>
    <row r="180" ht="15" customHeight="1">
      <c r="A180" t="inlineStr">
        <is>
          <t>A 5357-2024</t>
        </is>
      </c>
      <c r="B180" s="1" t="n">
        <v>45331</v>
      </c>
      <c r="C180" s="1" t="n">
        <v>46107</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15354-2024</t>
        </is>
      </c>
      <c r="B181" s="1" t="n">
        <v>45400.85319444445</v>
      </c>
      <c r="C181" s="1" t="n">
        <v>46107</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11067-2025</t>
        </is>
      </c>
      <c r="B182" s="1" t="n">
        <v>45723</v>
      </c>
      <c r="C182" s="1" t="n">
        <v>46107</v>
      </c>
      <c r="D182" t="inlineStr">
        <is>
          <t>ÖREBRO LÄN</t>
        </is>
      </c>
      <c r="E182" t="inlineStr">
        <is>
          <t>ÖREBRO</t>
        </is>
      </c>
      <c r="G182" t="n">
        <v>3.1</v>
      </c>
      <c r="H182" t="n">
        <v>0</v>
      </c>
      <c r="I182" t="n">
        <v>0</v>
      </c>
      <c r="J182" t="n">
        <v>0</v>
      </c>
      <c r="K182" t="n">
        <v>0</v>
      </c>
      <c r="L182" t="n">
        <v>0</v>
      </c>
      <c r="M182" t="n">
        <v>0</v>
      </c>
      <c r="N182" t="n">
        <v>0</v>
      </c>
      <c r="O182" t="n">
        <v>0</v>
      </c>
      <c r="P182" t="n">
        <v>0</v>
      </c>
      <c r="Q182" t="n">
        <v>0</v>
      </c>
      <c r="R182" s="2" t="inlineStr"/>
    </row>
    <row r="183" ht="15" customHeight="1">
      <c r="A183" t="inlineStr">
        <is>
          <t>A 71266-2021</t>
        </is>
      </c>
      <c r="B183" s="1" t="n">
        <v>44539</v>
      </c>
      <c r="C183" s="1" t="n">
        <v>46107</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71267-2021</t>
        </is>
      </c>
      <c r="B184" s="1" t="n">
        <v>44539</v>
      </c>
      <c r="C184" s="1" t="n">
        <v>46107</v>
      </c>
      <c r="D184" t="inlineStr">
        <is>
          <t>ÖREBRO LÄN</t>
        </is>
      </c>
      <c r="E184" t="inlineStr">
        <is>
          <t>ÖREBRO</t>
        </is>
      </c>
      <c r="G184" t="n">
        <v>1.7</v>
      </c>
      <c r="H184" t="n">
        <v>0</v>
      </c>
      <c r="I184" t="n">
        <v>0</v>
      </c>
      <c r="J184" t="n">
        <v>0</v>
      </c>
      <c r="K184" t="n">
        <v>0</v>
      </c>
      <c r="L184" t="n">
        <v>0</v>
      </c>
      <c r="M184" t="n">
        <v>0</v>
      </c>
      <c r="N184" t="n">
        <v>0</v>
      </c>
      <c r="O184" t="n">
        <v>0</v>
      </c>
      <c r="P184" t="n">
        <v>0</v>
      </c>
      <c r="Q184" t="n">
        <v>0</v>
      </c>
      <c r="R184" s="2" t="inlineStr"/>
    </row>
    <row r="185" ht="15" customHeight="1">
      <c r="A185" t="inlineStr">
        <is>
          <t>A 71280-2021</t>
        </is>
      </c>
      <c r="B185" s="1" t="n">
        <v>44539</v>
      </c>
      <c r="C185" s="1" t="n">
        <v>46107</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62497-2023</t>
        </is>
      </c>
      <c r="B186" s="1" t="n">
        <v>45268.59935185185</v>
      </c>
      <c r="C186" s="1" t="n">
        <v>46107</v>
      </c>
      <c r="D186" t="inlineStr">
        <is>
          <t>ÖREBRO LÄN</t>
        </is>
      </c>
      <c r="E186" t="inlineStr">
        <is>
          <t>ÖREBRO</t>
        </is>
      </c>
      <c r="F186" t="inlineStr">
        <is>
          <t>Övriga Aktiebolag</t>
        </is>
      </c>
      <c r="G186" t="n">
        <v>3.2</v>
      </c>
      <c r="H186" t="n">
        <v>0</v>
      </c>
      <c r="I186" t="n">
        <v>0</v>
      </c>
      <c r="J186" t="n">
        <v>0</v>
      </c>
      <c r="K186" t="n">
        <v>0</v>
      </c>
      <c r="L186" t="n">
        <v>0</v>
      </c>
      <c r="M186" t="n">
        <v>0</v>
      </c>
      <c r="N186" t="n">
        <v>0</v>
      </c>
      <c r="O186" t="n">
        <v>0</v>
      </c>
      <c r="P186" t="n">
        <v>0</v>
      </c>
      <c r="Q186" t="n">
        <v>0</v>
      </c>
      <c r="R186" s="2" t="inlineStr"/>
    </row>
    <row r="187" ht="15" customHeight="1">
      <c r="A187" t="inlineStr">
        <is>
          <t>A 9585-2025</t>
        </is>
      </c>
      <c r="B187" s="1" t="n">
        <v>45715.63409722222</v>
      </c>
      <c r="C187" s="1" t="n">
        <v>46107</v>
      </c>
      <c r="D187" t="inlineStr">
        <is>
          <t>ÖREBRO LÄN</t>
        </is>
      </c>
      <c r="E187" t="inlineStr">
        <is>
          <t>ÖREBRO</t>
        </is>
      </c>
      <c r="G187" t="n">
        <v>3.4</v>
      </c>
      <c r="H187" t="n">
        <v>0</v>
      </c>
      <c r="I187" t="n">
        <v>0</v>
      </c>
      <c r="J187" t="n">
        <v>0</v>
      </c>
      <c r="K187" t="n">
        <v>0</v>
      </c>
      <c r="L187" t="n">
        <v>0</v>
      </c>
      <c r="M187" t="n">
        <v>0</v>
      </c>
      <c r="N187" t="n">
        <v>0</v>
      </c>
      <c r="O187" t="n">
        <v>0</v>
      </c>
      <c r="P187" t="n">
        <v>0</v>
      </c>
      <c r="Q187" t="n">
        <v>0</v>
      </c>
      <c r="R187" s="2" t="inlineStr"/>
    </row>
    <row r="188" ht="15" customHeight="1">
      <c r="A188" t="inlineStr">
        <is>
          <t>A 6879-2024</t>
        </is>
      </c>
      <c r="B188" s="1" t="n">
        <v>45342.85280092592</v>
      </c>
      <c r="C188" s="1" t="n">
        <v>46107</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681-2024</t>
        </is>
      </c>
      <c r="B189" s="1" t="n">
        <v>45300</v>
      </c>
      <c r="C189" s="1" t="n">
        <v>46107</v>
      </c>
      <c r="D189" t="inlineStr">
        <is>
          <t>ÖREBRO LÄN</t>
        </is>
      </c>
      <c r="E189" t="inlineStr">
        <is>
          <t>ÖREBRO</t>
        </is>
      </c>
      <c r="G189" t="n">
        <v>3.3</v>
      </c>
      <c r="H189" t="n">
        <v>0</v>
      </c>
      <c r="I189" t="n">
        <v>0</v>
      </c>
      <c r="J189" t="n">
        <v>0</v>
      </c>
      <c r="K189" t="n">
        <v>0</v>
      </c>
      <c r="L189" t="n">
        <v>0</v>
      </c>
      <c r="M189" t="n">
        <v>0</v>
      </c>
      <c r="N189" t="n">
        <v>0</v>
      </c>
      <c r="O189" t="n">
        <v>0</v>
      </c>
      <c r="P189" t="n">
        <v>0</v>
      </c>
      <c r="Q189" t="n">
        <v>0</v>
      </c>
      <c r="R189" s="2" t="inlineStr"/>
    </row>
    <row r="190" ht="15" customHeight="1">
      <c r="A190" t="inlineStr">
        <is>
          <t>A 43399-2022</t>
        </is>
      </c>
      <c r="B190" s="1" t="n">
        <v>44834</v>
      </c>
      <c r="C190" s="1" t="n">
        <v>46107</v>
      </c>
      <c r="D190" t="inlineStr">
        <is>
          <t>ÖREBRO LÄN</t>
        </is>
      </c>
      <c r="E190" t="inlineStr">
        <is>
          <t>ÖREBRO</t>
        </is>
      </c>
      <c r="G190" t="n">
        <v>1.3</v>
      </c>
      <c r="H190" t="n">
        <v>0</v>
      </c>
      <c r="I190" t="n">
        <v>0</v>
      </c>
      <c r="J190" t="n">
        <v>0</v>
      </c>
      <c r="K190" t="n">
        <v>0</v>
      </c>
      <c r="L190" t="n">
        <v>0</v>
      </c>
      <c r="M190" t="n">
        <v>0</v>
      </c>
      <c r="N190" t="n">
        <v>0</v>
      </c>
      <c r="O190" t="n">
        <v>0</v>
      </c>
      <c r="P190" t="n">
        <v>0</v>
      </c>
      <c r="Q190" t="n">
        <v>0</v>
      </c>
      <c r="R190" s="2" t="inlineStr"/>
    </row>
    <row r="191" ht="15" customHeight="1">
      <c r="A191" t="inlineStr">
        <is>
          <t>A 13169-2024</t>
        </is>
      </c>
      <c r="B191" s="1" t="n">
        <v>45386.40489583334</v>
      </c>
      <c r="C191" s="1" t="n">
        <v>46107</v>
      </c>
      <c r="D191" t="inlineStr">
        <is>
          <t>ÖREBRO LÄN</t>
        </is>
      </c>
      <c r="E191" t="inlineStr">
        <is>
          <t>ÖREBRO</t>
        </is>
      </c>
      <c r="G191" t="n">
        <v>4.3</v>
      </c>
      <c r="H191" t="n">
        <v>0</v>
      </c>
      <c r="I191" t="n">
        <v>0</v>
      </c>
      <c r="J191" t="n">
        <v>0</v>
      </c>
      <c r="K191" t="n">
        <v>0</v>
      </c>
      <c r="L191" t="n">
        <v>0</v>
      </c>
      <c r="M191" t="n">
        <v>0</v>
      </c>
      <c r="N191" t="n">
        <v>0</v>
      </c>
      <c r="O191" t="n">
        <v>0</v>
      </c>
      <c r="P191" t="n">
        <v>0</v>
      </c>
      <c r="Q191" t="n">
        <v>0</v>
      </c>
      <c r="R191" s="2" t="inlineStr"/>
    </row>
    <row r="192" ht="15" customHeight="1">
      <c r="A192" t="inlineStr">
        <is>
          <t>A 63142-2023</t>
        </is>
      </c>
      <c r="B192" s="1" t="n">
        <v>45273</v>
      </c>
      <c r="C192" s="1" t="n">
        <v>46107</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37021-2024</t>
        </is>
      </c>
      <c r="B193" s="1" t="n">
        <v>45539.38146990741</v>
      </c>
      <c r="C193" s="1" t="n">
        <v>46107</v>
      </c>
      <c r="D193" t="inlineStr">
        <is>
          <t>ÖREBRO LÄN</t>
        </is>
      </c>
      <c r="E193" t="inlineStr">
        <is>
          <t>ÖREBRO</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23573-2023</t>
        </is>
      </c>
      <c r="B194" s="1" t="n">
        <v>45077.41672453703</v>
      </c>
      <c r="C194" s="1" t="n">
        <v>46107</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13762-2023</t>
        </is>
      </c>
      <c r="B195" s="1" t="n">
        <v>45007.43729166667</v>
      </c>
      <c r="C195" s="1" t="n">
        <v>46107</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5129-2024</t>
        </is>
      </c>
      <c r="B196" s="1" t="n">
        <v>45330</v>
      </c>
      <c r="C196" s="1" t="n">
        <v>46107</v>
      </c>
      <c r="D196" t="inlineStr">
        <is>
          <t>ÖREBRO LÄN</t>
        </is>
      </c>
      <c r="E196" t="inlineStr">
        <is>
          <t>ÖREBRO</t>
        </is>
      </c>
      <c r="G196" t="n">
        <v>0.5</v>
      </c>
      <c r="H196" t="n">
        <v>0</v>
      </c>
      <c r="I196" t="n">
        <v>0</v>
      </c>
      <c r="J196" t="n">
        <v>0</v>
      </c>
      <c r="K196" t="n">
        <v>0</v>
      </c>
      <c r="L196" t="n">
        <v>0</v>
      </c>
      <c r="M196" t="n">
        <v>0</v>
      </c>
      <c r="N196" t="n">
        <v>0</v>
      </c>
      <c r="O196" t="n">
        <v>0</v>
      </c>
      <c r="P196" t="n">
        <v>0</v>
      </c>
      <c r="Q196" t="n">
        <v>0</v>
      </c>
      <c r="R196" s="2" t="inlineStr"/>
    </row>
    <row r="197" ht="15" customHeight="1">
      <c r="A197" t="inlineStr">
        <is>
          <t>A 41678-2024</t>
        </is>
      </c>
      <c r="B197" s="1" t="n">
        <v>45560</v>
      </c>
      <c r="C197" s="1" t="n">
        <v>46107</v>
      </c>
      <c r="D197" t="inlineStr">
        <is>
          <t>ÖREBRO LÄN</t>
        </is>
      </c>
      <c r="E197" t="inlineStr">
        <is>
          <t>ÖREBRO</t>
        </is>
      </c>
      <c r="G197" t="n">
        <v>11.3</v>
      </c>
      <c r="H197" t="n">
        <v>0</v>
      </c>
      <c r="I197" t="n">
        <v>0</v>
      </c>
      <c r="J197" t="n">
        <v>0</v>
      </c>
      <c r="K197" t="n">
        <v>0</v>
      </c>
      <c r="L197" t="n">
        <v>0</v>
      </c>
      <c r="M197" t="n">
        <v>0</v>
      </c>
      <c r="N197" t="n">
        <v>0</v>
      </c>
      <c r="O197" t="n">
        <v>0</v>
      </c>
      <c r="P197" t="n">
        <v>0</v>
      </c>
      <c r="Q197" t="n">
        <v>0</v>
      </c>
      <c r="R197" s="2" t="inlineStr"/>
    </row>
    <row r="198" ht="15" customHeight="1">
      <c r="A198" t="inlineStr">
        <is>
          <t>A 1492-2022</t>
        </is>
      </c>
      <c r="B198" s="1" t="n">
        <v>44573</v>
      </c>
      <c r="C198" s="1" t="n">
        <v>46107</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48581-2024</t>
        </is>
      </c>
      <c r="B199" s="1" t="n">
        <v>45593.41642361111</v>
      </c>
      <c r="C199" s="1" t="n">
        <v>46107</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59026-2024</t>
        </is>
      </c>
      <c r="B200" s="1" t="n">
        <v>45636.6875</v>
      </c>
      <c r="C200" s="1" t="n">
        <v>46107</v>
      </c>
      <c r="D200" t="inlineStr">
        <is>
          <t>ÖREBRO LÄN</t>
        </is>
      </c>
      <c r="E200" t="inlineStr">
        <is>
          <t>ÖREBRO</t>
        </is>
      </c>
      <c r="G200" t="n">
        <v>0.9</v>
      </c>
      <c r="H200" t="n">
        <v>0</v>
      </c>
      <c r="I200" t="n">
        <v>0</v>
      </c>
      <c r="J200" t="n">
        <v>0</v>
      </c>
      <c r="K200" t="n">
        <v>0</v>
      </c>
      <c r="L200" t="n">
        <v>0</v>
      </c>
      <c r="M200" t="n">
        <v>0</v>
      </c>
      <c r="N200" t="n">
        <v>0</v>
      </c>
      <c r="O200" t="n">
        <v>0</v>
      </c>
      <c r="P200" t="n">
        <v>0</v>
      </c>
      <c r="Q200" t="n">
        <v>0</v>
      </c>
      <c r="R200" s="2" t="inlineStr"/>
    </row>
    <row r="201" ht="15" customHeight="1">
      <c r="A201" t="inlineStr">
        <is>
          <t>A 39003-2025</t>
        </is>
      </c>
      <c r="B201" s="1" t="n">
        <v>45888.34467592592</v>
      </c>
      <c r="C201" s="1" t="n">
        <v>46107</v>
      </c>
      <c r="D201" t="inlineStr">
        <is>
          <t>ÖREBRO LÄN</t>
        </is>
      </c>
      <c r="E201" t="inlineStr">
        <is>
          <t>ÖREBRO</t>
        </is>
      </c>
      <c r="G201" t="n">
        <v>3.7</v>
      </c>
      <c r="H201" t="n">
        <v>0</v>
      </c>
      <c r="I201" t="n">
        <v>0</v>
      </c>
      <c r="J201" t="n">
        <v>0</v>
      </c>
      <c r="K201" t="n">
        <v>0</v>
      </c>
      <c r="L201" t="n">
        <v>0</v>
      </c>
      <c r="M201" t="n">
        <v>0</v>
      </c>
      <c r="N201" t="n">
        <v>0</v>
      </c>
      <c r="O201" t="n">
        <v>0</v>
      </c>
      <c r="P201" t="n">
        <v>0</v>
      </c>
      <c r="Q201" t="n">
        <v>0</v>
      </c>
      <c r="R201" s="2" t="inlineStr"/>
    </row>
    <row r="202" ht="15" customHeight="1">
      <c r="A202" t="inlineStr">
        <is>
          <t>A 15422-2022</t>
        </is>
      </c>
      <c r="B202" s="1" t="n">
        <v>44659.63753472222</v>
      </c>
      <c r="C202" s="1" t="n">
        <v>46107</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13418-2024</t>
        </is>
      </c>
      <c r="B203" s="1" t="n">
        <v>45387.46482638889</v>
      </c>
      <c r="C203" s="1" t="n">
        <v>46107</v>
      </c>
      <c r="D203" t="inlineStr">
        <is>
          <t>ÖREBRO LÄN</t>
        </is>
      </c>
      <c r="E203" t="inlineStr">
        <is>
          <t>ÖREBRO</t>
        </is>
      </c>
      <c r="G203" t="n">
        <v>4.2</v>
      </c>
      <c r="H203" t="n">
        <v>0</v>
      </c>
      <c r="I203" t="n">
        <v>0</v>
      </c>
      <c r="J203" t="n">
        <v>0</v>
      </c>
      <c r="K203" t="n">
        <v>0</v>
      </c>
      <c r="L203" t="n">
        <v>0</v>
      </c>
      <c r="M203" t="n">
        <v>0</v>
      </c>
      <c r="N203" t="n">
        <v>0</v>
      </c>
      <c r="O203" t="n">
        <v>0</v>
      </c>
      <c r="P203" t="n">
        <v>0</v>
      </c>
      <c r="Q203" t="n">
        <v>0</v>
      </c>
      <c r="R203" s="2" t="inlineStr"/>
    </row>
    <row r="204" ht="15" customHeight="1">
      <c r="A204" t="inlineStr">
        <is>
          <t>A 52623-2024</t>
        </is>
      </c>
      <c r="B204" s="1" t="n">
        <v>45609</v>
      </c>
      <c r="C204" s="1" t="n">
        <v>46107</v>
      </c>
      <c r="D204" t="inlineStr">
        <is>
          <t>ÖREBRO LÄN</t>
        </is>
      </c>
      <c r="E204" t="inlineStr">
        <is>
          <t>ÖREBRO</t>
        </is>
      </c>
      <c r="F204" t="inlineStr">
        <is>
          <t>Kommuner</t>
        </is>
      </c>
      <c r="G204" t="n">
        <v>1.7</v>
      </c>
      <c r="H204" t="n">
        <v>0</v>
      </c>
      <c r="I204" t="n">
        <v>0</v>
      </c>
      <c r="J204" t="n">
        <v>0</v>
      </c>
      <c r="K204" t="n">
        <v>0</v>
      </c>
      <c r="L204" t="n">
        <v>0</v>
      </c>
      <c r="M204" t="n">
        <v>0</v>
      </c>
      <c r="N204" t="n">
        <v>0</v>
      </c>
      <c r="O204" t="n">
        <v>0</v>
      </c>
      <c r="P204" t="n">
        <v>0</v>
      </c>
      <c r="Q204" t="n">
        <v>0</v>
      </c>
      <c r="R204" s="2" t="inlineStr"/>
    </row>
    <row r="205" ht="15" customHeight="1">
      <c r="A205" t="inlineStr">
        <is>
          <t>A 46323-2024</t>
        </is>
      </c>
      <c r="B205" s="1" t="n">
        <v>45581.84538194445</v>
      </c>
      <c r="C205" s="1" t="n">
        <v>46107</v>
      </c>
      <c r="D205" t="inlineStr">
        <is>
          <t>ÖREBRO LÄN</t>
        </is>
      </c>
      <c r="E205" t="inlineStr">
        <is>
          <t>ÖREBRO</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47047-2022</t>
        </is>
      </c>
      <c r="B206" s="1" t="n">
        <v>44852.39063657408</v>
      </c>
      <c r="C206" s="1" t="n">
        <v>46107</v>
      </c>
      <c r="D206" t="inlineStr">
        <is>
          <t>ÖREBRO LÄN</t>
        </is>
      </c>
      <c r="E206" t="inlineStr">
        <is>
          <t>ÖREBRO</t>
        </is>
      </c>
      <c r="G206" t="n">
        <v>1.6</v>
      </c>
      <c r="H206" t="n">
        <v>0</v>
      </c>
      <c r="I206" t="n">
        <v>0</v>
      </c>
      <c r="J206" t="n">
        <v>0</v>
      </c>
      <c r="K206" t="n">
        <v>0</v>
      </c>
      <c r="L206" t="n">
        <v>0</v>
      </c>
      <c r="M206" t="n">
        <v>0</v>
      </c>
      <c r="N206" t="n">
        <v>0</v>
      </c>
      <c r="O206" t="n">
        <v>0</v>
      </c>
      <c r="P206" t="n">
        <v>0</v>
      </c>
      <c r="Q206" t="n">
        <v>0</v>
      </c>
      <c r="R206" s="2" t="inlineStr"/>
    </row>
    <row r="207" ht="15" customHeight="1">
      <c r="A207" t="inlineStr">
        <is>
          <t>A 62511-2023</t>
        </is>
      </c>
      <c r="B207" s="1" t="n">
        <v>45268.61855324074</v>
      </c>
      <c r="C207" s="1" t="n">
        <v>46107</v>
      </c>
      <c r="D207" t="inlineStr">
        <is>
          <t>ÖREBRO LÄN</t>
        </is>
      </c>
      <c r="E207" t="inlineStr">
        <is>
          <t>ÖREBRO</t>
        </is>
      </c>
      <c r="F207" t="inlineStr">
        <is>
          <t>Övriga Aktiebolag</t>
        </is>
      </c>
      <c r="G207" t="n">
        <v>3.6</v>
      </c>
      <c r="H207" t="n">
        <v>0</v>
      </c>
      <c r="I207" t="n">
        <v>0</v>
      </c>
      <c r="J207" t="n">
        <v>0</v>
      </c>
      <c r="K207" t="n">
        <v>0</v>
      </c>
      <c r="L207" t="n">
        <v>0</v>
      </c>
      <c r="M207" t="n">
        <v>0</v>
      </c>
      <c r="N207" t="n">
        <v>0</v>
      </c>
      <c r="O207" t="n">
        <v>0</v>
      </c>
      <c r="P207" t="n">
        <v>0</v>
      </c>
      <c r="Q207" t="n">
        <v>0</v>
      </c>
      <c r="R207" s="2" t="inlineStr"/>
    </row>
    <row r="208" ht="15" customHeight="1">
      <c r="A208" t="inlineStr">
        <is>
          <t>A 39446-2025</t>
        </is>
      </c>
      <c r="B208" s="1" t="n">
        <v>45889.70388888889</v>
      </c>
      <c r="C208" s="1" t="n">
        <v>46107</v>
      </c>
      <c r="D208" t="inlineStr">
        <is>
          <t>ÖREBRO LÄN</t>
        </is>
      </c>
      <c r="E208" t="inlineStr">
        <is>
          <t>ÖREBRO</t>
        </is>
      </c>
      <c r="F208" t="inlineStr">
        <is>
          <t>Kyrkan</t>
        </is>
      </c>
      <c r="G208" t="n">
        <v>3.2</v>
      </c>
      <c r="H208" t="n">
        <v>0</v>
      </c>
      <c r="I208" t="n">
        <v>0</v>
      </c>
      <c r="J208" t="n">
        <v>0</v>
      </c>
      <c r="K208" t="n">
        <v>0</v>
      </c>
      <c r="L208" t="n">
        <v>0</v>
      </c>
      <c r="M208" t="n">
        <v>0</v>
      </c>
      <c r="N208" t="n">
        <v>0</v>
      </c>
      <c r="O208" t="n">
        <v>0</v>
      </c>
      <c r="P208" t="n">
        <v>0</v>
      </c>
      <c r="Q208" t="n">
        <v>0</v>
      </c>
      <c r="R208" s="2" t="inlineStr"/>
    </row>
    <row r="209" ht="15" customHeight="1">
      <c r="A209" t="inlineStr">
        <is>
          <t>A 21036-2024</t>
        </is>
      </c>
      <c r="B209" s="1" t="n">
        <v>45439.65954861111</v>
      </c>
      <c r="C209" s="1" t="n">
        <v>46107</v>
      </c>
      <c r="D209" t="inlineStr">
        <is>
          <t>ÖREBRO LÄN</t>
        </is>
      </c>
      <c r="E209" t="inlineStr">
        <is>
          <t>ÖREBRO</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39479-2025</t>
        </is>
      </c>
      <c r="B210" s="1" t="n">
        <v>45890.34752314815</v>
      </c>
      <c r="C210" s="1" t="n">
        <v>46107</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40522-2024</t>
        </is>
      </c>
      <c r="B211" s="1" t="n">
        <v>45555.59717592593</v>
      </c>
      <c r="C211" s="1" t="n">
        <v>46107</v>
      </c>
      <c r="D211" t="inlineStr">
        <is>
          <t>ÖREBRO LÄN</t>
        </is>
      </c>
      <c r="E211" t="inlineStr">
        <is>
          <t>ÖREBRO</t>
        </is>
      </c>
      <c r="G211" t="n">
        <v>5.1</v>
      </c>
      <c r="H211" t="n">
        <v>0</v>
      </c>
      <c r="I211" t="n">
        <v>0</v>
      </c>
      <c r="J211" t="n">
        <v>0</v>
      </c>
      <c r="K211" t="n">
        <v>0</v>
      </c>
      <c r="L211" t="n">
        <v>0</v>
      </c>
      <c r="M211" t="n">
        <v>0</v>
      </c>
      <c r="N211" t="n">
        <v>0</v>
      </c>
      <c r="O211" t="n">
        <v>0</v>
      </c>
      <c r="P211" t="n">
        <v>0</v>
      </c>
      <c r="Q211" t="n">
        <v>0</v>
      </c>
      <c r="R211" s="2" t="inlineStr"/>
    </row>
    <row r="212" ht="15" customHeight="1">
      <c r="A212" t="inlineStr">
        <is>
          <t>A 48644-2024</t>
        </is>
      </c>
      <c r="B212" s="1" t="n">
        <v>45593.47466435185</v>
      </c>
      <c r="C212" s="1" t="n">
        <v>46107</v>
      </c>
      <c r="D212" t="inlineStr">
        <is>
          <t>ÖREBRO LÄN</t>
        </is>
      </c>
      <c r="E212" t="inlineStr">
        <is>
          <t>ÖREBRO</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33577-2023</t>
        </is>
      </c>
      <c r="B213" s="1" t="n">
        <v>45131</v>
      </c>
      <c r="C213" s="1" t="n">
        <v>46107</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18360-2024</t>
        </is>
      </c>
      <c r="B214" s="1" t="n">
        <v>45422</v>
      </c>
      <c r="C214" s="1" t="n">
        <v>46107</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7611-2024</t>
        </is>
      </c>
      <c r="B215" s="1" t="n">
        <v>45348.58864583333</v>
      </c>
      <c r="C215" s="1" t="n">
        <v>46107</v>
      </c>
      <c r="D215" t="inlineStr">
        <is>
          <t>ÖREBRO LÄN</t>
        </is>
      </c>
      <c r="E215" t="inlineStr">
        <is>
          <t>ÖREBRO</t>
        </is>
      </c>
      <c r="G215" t="n">
        <v>4.2</v>
      </c>
      <c r="H215" t="n">
        <v>0</v>
      </c>
      <c r="I215" t="n">
        <v>0</v>
      </c>
      <c r="J215" t="n">
        <v>0</v>
      </c>
      <c r="K215" t="n">
        <v>0</v>
      </c>
      <c r="L215" t="n">
        <v>0</v>
      </c>
      <c r="M215" t="n">
        <v>0</v>
      </c>
      <c r="N215" t="n">
        <v>0</v>
      </c>
      <c r="O215" t="n">
        <v>0</v>
      </c>
      <c r="P215" t="n">
        <v>0</v>
      </c>
      <c r="Q215" t="n">
        <v>0</v>
      </c>
      <c r="R215" s="2" t="inlineStr"/>
    </row>
    <row r="216" ht="15" customHeight="1">
      <c r="A216" t="inlineStr">
        <is>
          <t>A 13347-2023</t>
        </is>
      </c>
      <c r="B216" s="1" t="n">
        <v>45004</v>
      </c>
      <c r="C216" s="1" t="n">
        <v>46107</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187-2024</t>
        </is>
      </c>
      <c r="B217" s="1" t="n">
        <v>45294</v>
      </c>
      <c r="C217" s="1" t="n">
        <v>46107</v>
      </c>
      <c r="D217" t="inlineStr">
        <is>
          <t>ÖREBRO LÄN</t>
        </is>
      </c>
      <c r="E217" t="inlineStr">
        <is>
          <t>ÖREBRO</t>
        </is>
      </c>
      <c r="G217" t="n">
        <v>5.9</v>
      </c>
      <c r="H217" t="n">
        <v>0</v>
      </c>
      <c r="I217" t="n">
        <v>0</v>
      </c>
      <c r="J217" t="n">
        <v>0</v>
      </c>
      <c r="K217" t="n">
        <v>0</v>
      </c>
      <c r="L217" t="n">
        <v>0</v>
      </c>
      <c r="M217" t="n">
        <v>0</v>
      </c>
      <c r="N217" t="n">
        <v>0</v>
      </c>
      <c r="O217" t="n">
        <v>0</v>
      </c>
      <c r="P217" t="n">
        <v>0</v>
      </c>
      <c r="Q217" t="n">
        <v>0</v>
      </c>
      <c r="R217" s="2" t="inlineStr"/>
    </row>
    <row r="218" ht="15" customHeight="1">
      <c r="A218" t="inlineStr">
        <is>
          <t>A 10832-2023</t>
        </is>
      </c>
      <c r="B218" s="1" t="n">
        <v>44990.91711805556</v>
      </c>
      <c r="C218" s="1" t="n">
        <v>46107</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40330-2025</t>
        </is>
      </c>
      <c r="B219" s="1" t="n">
        <v>45895.4531712963</v>
      </c>
      <c r="C219" s="1" t="n">
        <v>46107</v>
      </c>
      <c r="D219" t="inlineStr">
        <is>
          <t>ÖREBRO LÄN</t>
        </is>
      </c>
      <c r="E219" t="inlineStr">
        <is>
          <t>ÖREBRO</t>
        </is>
      </c>
      <c r="G219" t="n">
        <v>0.9</v>
      </c>
      <c r="H219" t="n">
        <v>0</v>
      </c>
      <c r="I219" t="n">
        <v>0</v>
      </c>
      <c r="J219" t="n">
        <v>0</v>
      </c>
      <c r="K219" t="n">
        <v>0</v>
      </c>
      <c r="L219" t="n">
        <v>0</v>
      </c>
      <c r="M219" t="n">
        <v>0</v>
      </c>
      <c r="N219" t="n">
        <v>0</v>
      </c>
      <c r="O219" t="n">
        <v>0</v>
      </c>
      <c r="P219" t="n">
        <v>0</v>
      </c>
      <c r="Q219" t="n">
        <v>0</v>
      </c>
      <c r="R219" s="2" t="inlineStr"/>
    </row>
    <row r="220" ht="15" customHeight="1">
      <c r="A220" t="inlineStr">
        <is>
          <t>A 16739-2023</t>
        </is>
      </c>
      <c r="B220" s="1" t="n">
        <v>45030.72627314815</v>
      </c>
      <c r="C220" s="1" t="n">
        <v>46107</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2596-2022</t>
        </is>
      </c>
      <c r="B221" s="1" t="n">
        <v>44580</v>
      </c>
      <c r="C221" s="1" t="n">
        <v>46107</v>
      </c>
      <c r="D221" t="inlineStr">
        <is>
          <t>ÖREBRO LÄN</t>
        </is>
      </c>
      <c r="E221" t="inlineStr">
        <is>
          <t>ÖREBRO</t>
        </is>
      </c>
      <c r="G221" t="n">
        <v>4.3</v>
      </c>
      <c r="H221" t="n">
        <v>0</v>
      </c>
      <c r="I221" t="n">
        <v>0</v>
      </c>
      <c r="J221" t="n">
        <v>0</v>
      </c>
      <c r="K221" t="n">
        <v>0</v>
      </c>
      <c r="L221" t="n">
        <v>0</v>
      </c>
      <c r="M221" t="n">
        <v>0</v>
      </c>
      <c r="N221" t="n">
        <v>0</v>
      </c>
      <c r="O221" t="n">
        <v>0</v>
      </c>
      <c r="P221" t="n">
        <v>0</v>
      </c>
      <c r="Q221" t="n">
        <v>0</v>
      </c>
      <c r="R221" s="2" t="inlineStr"/>
    </row>
    <row r="222" ht="15" customHeight="1">
      <c r="A222" t="inlineStr">
        <is>
          <t>A 5338-2024</t>
        </is>
      </c>
      <c r="B222" s="1" t="n">
        <v>45331</v>
      </c>
      <c r="C222" s="1" t="n">
        <v>46107</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40332-2025</t>
        </is>
      </c>
      <c r="B223" s="1" t="n">
        <v>45895.46060185185</v>
      </c>
      <c r="C223" s="1" t="n">
        <v>46107</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14487-2023</t>
        </is>
      </c>
      <c r="B224" s="1" t="n">
        <v>45012</v>
      </c>
      <c r="C224" s="1" t="n">
        <v>46107</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2771-2023</t>
        </is>
      </c>
      <c r="B225" s="1" t="n">
        <v>44944.64704861111</v>
      </c>
      <c r="C225" s="1" t="n">
        <v>46107</v>
      </c>
      <c r="D225" t="inlineStr">
        <is>
          <t>ÖREBRO LÄN</t>
        </is>
      </c>
      <c r="E225" t="inlineStr">
        <is>
          <t>ÖREBRO</t>
        </is>
      </c>
      <c r="G225" t="n">
        <v>15.4</v>
      </c>
      <c r="H225" t="n">
        <v>0</v>
      </c>
      <c r="I225" t="n">
        <v>0</v>
      </c>
      <c r="J225" t="n">
        <v>0</v>
      </c>
      <c r="K225" t="n">
        <v>0</v>
      </c>
      <c r="L225" t="n">
        <v>0</v>
      </c>
      <c r="M225" t="n">
        <v>0</v>
      </c>
      <c r="N225" t="n">
        <v>0</v>
      </c>
      <c r="O225" t="n">
        <v>0</v>
      </c>
      <c r="P225" t="n">
        <v>0</v>
      </c>
      <c r="Q225" t="n">
        <v>0</v>
      </c>
      <c r="R225" s="2" t="inlineStr"/>
    </row>
    <row r="226" ht="15" customHeight="1">
      <c r="A226" t="inlineStr">
        <is>
          <t>A 4970-2022</t>
        </is>
      </c>
      <c r="B226" s="1" t="n">
        <v>44593.51175925926</v>
      </c>
      <c r="C226" s="1" t="n">
        <v>46107</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18047-2023</t>
        </is>
      </c>
      <c r="B227" s="1" t="n">
        <v>45040</v>
      </c>
      <c r="C227" s="1" t="n">
        <v>46107</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3789-2023</t>
        </is>
      </c>
      <c r="B228" s="1" t="n">
        <v>44951</v>
      </c>
      <c r="C228" s="1" t="n">
        <v>46107</v>
      </c>
      <c r="D228" t="inlineStr">
        <is>
          <t>ÖREBRO LÄN</t>
        </is>
      </c>
      <c r="E228" t="inlineStr">
        <is>
          <t>ÖREBRO</t>
        </is>
      </c>
      <c r="G228" t="n">
        <v>7.5</v>
      </c>
      <c r="H228" t="n">
        <v>0</v>
      </c>
      <c r="I228" t="n">
        <v>0</v>
      </c>
      <c r="J228" t="n">
        <v>0</v>
      </c>
      <c r="K228" t="n">
        <v>0</v>
      </c>
      <c r="L228" t="n">
        <v>0</v>
      </c>
      <c r="M228" t="n">
        <v>0</v>
      </c>
      <c r="N228" t="n">
        <v>0</v>
      </c>
      <c r="O228" t="n">
        <v>0</v>
      </c>
      <c r="P228" t="n">
        <v>0</v>
      </c>
      <c r="Q228" t="n">
        <v>0</v>
      </c>
      <c r="R228" s="2" t="inlineStr"/>
    </row>
    <row r="229" ht="15" customHeight="1">
      <c r="A229" t="inlineStr">
        <is>
          <t>A 12017-2024</t>
        </is>
      </c>
      <c r="B229" s="1" t="n">
        <v>45377</v>
      </c>
      <c r="C229" s="1" t="n">
        <v>46107</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56077-2022</t>
        </is>
      </c>
      <c r="B230" s="1" t="n">
        <v>44889.60872685185</v>
      </c>
      <c r="C230" s="1" t="n">
        <v>46107</v>
      </c>
      <c r="D230" t="inlineStr">
        <is>
          <t>ÖREBRO LÄN</t>
        </is>
      </c>
      <c r="E230" t="inlineStr">
        <is>
          <t>ÖREBRO</t>
        </is>
      </c>
      <c r="F230" t="inlineStr">
        <is>
          <t>Övriga Aktiebolag</t>
        </is>
      </c>
      <c r="G230" t="n">
        <v>2.5</v>
      </c>
      <c r="H230" t="n">
        <v>0</v>
      </c>
      <c r="I230" t="n">
        <v>0</v>
      </c>
      <c r="J230" t="n">
        <v>0</v>
      </c>
      <c r="K230" t="n">
        <v>0</v>
      </c>
      <c r="L230" t="n">
        <v>0</v>
      </c>
      <c r="M230" t="n">
        <v>0</v>
      </c>
      <c r="N230" t="n">
        <v>0</v>
      </c>
      <c r="O230" t="n">
        <v>0</v>
      </c>
      <c r="P230" t="n">
        <v>0</v>
      </c>
      <c r="Q230" t="n">
        <v>0</v>
      </c>
      <c r="R230" s="2" t="inlineStr"/>
    </row>
    <row r="231" ht="15" customHeight="1">
      <c r="A231" t="inlineStr">
        <is>
          <t>A 9609-2023</t>
        </is>
      </c>
      <c r="B231" s="1" t="n">
        <v>44983.93344907407</v>
      </c>
      <c r="C231" s="1" t="n">
        <v>46107</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70707-2021</t>
        </is>
      </c>
      <c r="B232" s="1" t="n">
        <v>44537</v>
      </c>
      <c r="C232" s="1" t="n">
        <v>46107</v>
      </c>
      <c r="D232" t="inlineStr">
        <is>
          <t>ÖREBRO LÄN</t>
        </is>
      </c>
      <c r="E232" t="inlineStr">
        <is>
          <t>ÖREBRO</t>
        </is>
      </c>
      <c r="G232" t="n">
        <v>13.2</v>
      </c>
      <c r="H232" t="n">
        <v>0</v>
      </c>
      <c r="I232" t="n">
        <v>0</v>
      </c>
      <c r="J232" t="n">
        <v>0</v>
      </c>
      <c r="K232" t="n">
        <v>0</v>
      </c>
      <c r="L232" t="n">
        <v>0</v>
      </c>
      <c r="M232" t="n">
        <v>0</v>
      </c>
      <c r="N232" t="n">
        <v>0</v>
      </c>
      <c r="O232" t="n">
        <v>0</v>
      </c>
      <c r="P232" t="n">
        <v>0</v>
      </c>
      <c r="Q232" t="n">
        <v>0</v>
      </c>
      <c r="R232" s="2" t="inlineStr"/>
    </row>
    <row r="233" ht="15" customHeight="1">
      <c r="A233" t="inlineStr">
        <is>
          <t>A 57243-2022</t>
        </is>
      </c>
      <c r="B233" s="1" t="n">
        <v>44895.71835648148</v>
      </c>
      <c r="C233" s="1" t="n">
        <v>46107</v>
      </c>
      <c r="D233" t="inlineStr">
        <is>
          <t>ÖREBRO LÄN</t>
        </is>
      </c>
      <c r="E233" t="inlineStr">
        <is>
          <t>ÖREBRO</t>
        </is>
      </c>
      <c r="G233" t="n">
        <v>6</v>
      </c>
      <c r="H233" t="n">
        <v>0</v>
      </c>
      <c r="I233" t="n">
        <v>0</v>
      </c>
      <c r="J233" t="n">
        <v>0</v>
      </c>
      <c r="K233" t="n">
        <v>0</v>
      </c>
      <c r="L233" t="n">
        <v>0</v>
      </c>
      <c r="M233" t="n">
        <v>0</v>
      </c>
      <c r="N233" t="n">
        <v>0</v>
      </c>
      <c r="O233" t="n">
        <v>0</v>
      </c>
      <c r="P233" t="n">
        <v>0</v>
      </c>
      <c r="Q233" t="n">
        <v>0</v>
      </c>
      <c r="R233" s="2" t="inlineStr"/>
    </row>
    <row r="234" ht="15" customHeight="1">
      <c r="A234" t="inlineStr">
        <is>
          <t>A 5026-2022</t>
        </is>
      </c>
      <c r="B234" s="1" t="n">
        <v>44593.63974537037</v>
      </c>
      <c r="C234" s="1" t="n">
        <v>46107</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58621-2024</t>
        </is>
      </c>
      <c r="B235" s="1" t="n">
        <v>45635.56321759259</v>
      </c>
      <c r="C235" s="1" t="n">
        <v>46107</v>
      </c>
      <c r="D235" t="inlineStr">
        <is>
          <t>ÖREBRO LÄN</t>
        </is>
      </c>
      <c r="E235" t="inlineStr">
        <is>
          <t>ÖREBRO</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58216-2024</t>
        </is>
      </c>
      <c r="B236" s="1" t="n">
        <v>45632</v>
      </c>
      <c r="C236" s="1" t="n">
        <v>46107</v>
      </c>
      <c r="D236" t="inlineStr">
        <is>
          <t>ÖREBRO LÄN</t>
        </is>
      </c>
      <c r="E236" t="inlineStr">
        <is>
          <t>ÖREBRO</t>
        </is>
      </c>
      <c r="G236" t="n">
        <v>1.9</v>
      </c>
      <c r="H236" t="n">
        <v>0</v>
      </c>
      <c r="I236" t="n">
        <v>0</v>
      </c>
      <c r="J236" t="n">
        <v>0</v>
      </c>
      <c r="K236" t="n">
        <v>0</v>
      </c>
      <c r="L236" t="n">
        <v>0</v>
      </c>
      <c r="M236" t="n">
        <v>0</v>
      </c>
      <c r="N236" t="n">
        <v>0</v>
      </c>
      <c r="O236" t="n">
        <v>0</v>
      </c>
      <c r="P236" t="n">
        <v>0</v>
      </c>
      <c r="Q236" t="n">
        <v>0</v>
      </c>
      <c r="R236" s="2" t="inlineStr"/>
    </row>
    <row r="237" ht="15" customHeight="1">
      <c r="A237" t="inlineStr">
        <is>
          <t>A 41669-2025</t>
        </is>
      </c>
      <c r="B237" s="1" t="n">
        <v>45902.36149305556</v>
      </c>
      <c r="C237" s="1" t="n">
        <v>46107</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41412-2025</t>
        </is>
      </c>
      <c r="B238" s="1" t="n">
        <v>45901.3549537037</v>
      </c>
      <c r="C238" s="1" t="n">
        <v>46107</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54917-2023</t>
        </is>
      </c>
      <c r="B239" s="1" t="n">
        <v>45229</v>
      </c>
      <c r="C239" s="1" t="n">
        <v>46107</v>
      </c>
      <c r="D239" t="inlineStr">
        <is>
          <t>ÖREBRO LÄN</t>
        </is>
      </c>
      <c r="E239" t="inlineStr">
        <is>
          <t>ÖREBRO</t>
        </is>
      </c>
      <c r="G239" t="n">
        <v>3.1</v>
      </c>
      <c r="H239" t="n">
        <v>0</v>
      </c>
      <c r="I239" t="n">
        <v>0</v>
      </c>
      <c r="J239" t="n">
        <v>0</v>
      </c>
      <c r="K239" t="n">
        <v>0</v>
      </c>
      <c r="L239" t="n">
        <v>0</v>
      </c>
      <c r="M239" t="n">
        <v>0</v>
      </c>
      <c r="N239" t="n">
        <v>0</v>
      </c>
      <c r="O239" t="n">
        <v>0</v>
      </c>
      <c r="P239" t="n">
        <v>0</v>
      </c>
      <c r="Q239" t="n">
        <v>0</v>
      </c>
      <c r="R239" s="2" t="inlineStr"/>
    </row>
    <row r="240" ht="15" customHeight="1">
      <c r="A240" t="inlineStr">
        <is>
          <t>A 72329-2021</t>
        </is>
      </c>
      <c r="B240" s="1" t="n">
        <v>44545.46072916667</v>
      </c>
      <c r="C240" s="1" t="n">
        <v>46107</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43803-2023</t>
        </is>
      </c>
      <c r="B241" s="1" t="n">
        <v>45187</v>
      </c>
      <c r="C241" s="1" t="n">
        <v>46107</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15789-2023</t>
        </is>
      </c>
      <c r="B242" s="1" t="n">
        <v>45021.71539351852</v>
      </c>
      <c r="C242" s="1" t="n">
        <v>46107</v>
      </c>
      <c r="D242" t="inlineStr">
        <is>
          <t>ÖREBRO LÄN</t>
        </is>
      </c>
      <c r="E242" t="inlineStr">
        <is>
          <t>ÖREBRO</t>
        </is>
      </c>
      <c r="F242" t="inlineStr">
        <is>
          <t>Övriga Aktiebolag</t>
        </is>
      </c>
      <c r="G242" t="n">
        <v>3.7</v>
      </c>
      <c r="H242" t="n">
        <v>0</v>
      </c>
      <c r="I242" t="n">
        <v>0</v>
      </c>
      <c r="J242" t="n">
        <v>0</v>
      </c>
      <c r="K242" t="n">
        <v>0</v>
      </c>
      <c r="L242" t="n">
        <v>0</v>
      </c>
      <c r="M242" t="n">
        <v>0</v>
      </c>
      <c r="N242" t="n">
        <v>0</v>
      </c>
      <c r="O242" t="n">
        <v>0</v>
      </c>
      <c r="P242" t="n">
        <v>0</v>
      </c>
      <c r="Q242" t="n">
        <v>0</v>
      </c>
      <c r="R242" s="2" t="inlineStr"/>
    </row>
    <row r="243" ht="15" customHeight="1">
      <c r="A243" t="inlineStr">
        <is>
          <t>A 58539-2024</t>
        </is>
      </c>
      <c r="B243" s="1" t="n">
        <v>45635.45157407408</v>
      </c>
      <c r="C243" s="1" t="n">
        <v>46107</v>
      </c>
      <c r="D243" t="inlineStr">
        <is>
          <t>ÖREBRO LÄN</t>
        </is>
      </c>
      <c r="E243" t="inlineStr">
        <is>
          <t>ÖREBRO</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37012-2024</t>
        </is>
      </c>
      <c r="B244" s="1" t="n">
        <v>45539</v>
      </c>
      <c r="C244" s="1" t="n">
        <v>46107</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37020-2024</t>
        </is>
      </c>
      <c r="B245" s="1" t="n">
        <v>45539.38059027777</v>
      </c>
      <c r="C245" s="1" t="n">
        <v>46107</v>
      </c>
      <c r="D245" t="inlineStr">
        <is>
          <t>ÖREBRO LÄN</t>
        </is>
      </c>
      <c r="E245" t="inlineStr">
        <is>
          <t>ÖREBRO</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55353-2024</t>
        </is>
      </c>
      <c r="B246" s="1" t="n">
        <v>45621.79526620371</v>
      </c>
      <c r="C246" s="1" t="n">
        <v>46107</v>
      </c>
      <c r="D246" t="inlineStr">
        <is>
          <t>ÖREBRO LÄN</t>
        </is>
      </c>
      <c r="E246" t="inlineStr">
        <is>
          <t>ÖREBRO</t>
        </is>
      </c>
      <c r="G246" t="n">
        <v>0.5</v>
      </c>
      <c r="H246" t="n">
        <v>0</v>
      </c>
      <c r="I246" t="n">
        <v>0</v>
      </c>
      <c r="J246" t="n">
        <v>0</v>
      </c>
      <c r="K246" t="n">
        <v>0</v>
      </c>
      <c r="L246" t="n">
        <v>0</v>
      </c>
      <c r="M246" t="n">
        <v>0</v>
      </c>
      <c r="N246" t="n">
        <v>0</v>
      </c>
      <c r="O246" t="n">
        <v>0</v>
      </c>
      <c r="P246" t="n">
        <v>0</v>
      </c>
      <c r="Q246" t="n">
        <v>0</v>
      </c>
      <c r="R246" s="2" t="inlineStr"/>
    </row>
    <row r="247" ht="15" customHeight="1">
      <c r="A247" t="inlineStr">
        <is>
          <t>A 59757-2023</t>
        </is>
      </c>
      <c r="B247" s="1" t="n">
        <v>45257.40833333333</v>
      </c>
      <c r="C247" s="1" t="n">
        <v>46107</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17869-2024</t>
        </is>
      </c>
      <c r="B248" s="1" t="n">
        <v>45419</v>
      </c>
      <c r="C248" s="1" t="n">
        <v>46107</v>
      </c>
      <c r="D248" t="inlineStr">
        <is>
          <t>ÖREBRO LÄN</t>
        </is>
      </c>
      <c r="E248" t="inlineStr">
        <is>
          <t>ÖREBRO</t>
        </is>
      </c>
      <c r="G248" t="n">
        <v>3.7</v>
      </c>
      <c r="H248" t="n">
        <v>0</v>
      </c>
      <c r="I248" t="n">
        <v>0</v>
      </c>
      <c r="J248" t="n">
        <v>0</v>
      </c>
      <c r="K248" t="n">
        <v>0</v>
      </c>
      <c r="L248" t="n">
        <v>0</v>
      </c>
      <c r="M248" t="n">
        <v>0</v>
      </c>
      <c r="N248" t="n">
        <v>0</v>
      </c>
      <c r="O248" t="n">
        <v>0</v>
      </c>
      <c r="P248" t="n">
        <v>0</v>
      </c>
      <c r="Q248" t="n">
        <v>0</v>
      </c>
      <c r="R248" s="2" t="inlineStr"/>
    </row>
    <row r="249" ht="15" customHeight="1">
      <c r="A249" t="inlineStr">
        <is>
          <t>A 71272-2021</t>
        </is>
      </c>
      <c r="B249" s="1" t="n">
        <v>44539.61571759259</v>
      </c>
      <c r="C249" s="1" t="n">
        <v>46107</v>
      </c>
      <c r="D249" t="inlineStr">
        <is>
          <t>ÖREBRO LÄN</t>
        </is>
      </c>
      <c r="E249" t="inlineStr">
        <is>
          <t>ÖREBRO</t>
        </is>
      </c>
      <c r="G249" t="n">
        <v>0.9</v>
      </c>
      <c r="H249" t="n">
        <v>0</v>
      </c>
      <c r="I249" t="n">
        <v>0</v>
      </c>
      <c r="J249" t="n">
        <v>0</v>
      </c>
      <c r="K249" t="n">
        <v>0</v>
      </c>
      <c r="L249" t="n">
        <v>0</v>
      </c>
      <c r="M249" t="n">
        <v>0</v>
      </c>
      <c r="N249" t="n">
        <v>0</v>
      </c>
      <c r="O249" t="n">
        <v>0</v>
      </c>
      <c r="P249" t="n">
        <v>0</v>
      </c>
      <c r="Q249" t="n">
        <v>0</v>
      </c>
      <c r="R249" s="2" t="inlineStr"/>
    </row>
    <row r="250" ht="15" customHeight="1">
      <c r="A250" t="inlineStr">
        <is>
          <t>A 4557-2023</t>
        </is>
      </c>
      <c r="B250" s="1" t="n">
        <v>44956.6655787037</v>
      </c>
      <c r="C250" s="1" t="n">
        <v>46107</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60100-2022</t>
        </is>
      </c>
      <c r="B251" s="1" t="n">
        <v>44902</v>
      </c>
      <c r="C251" s="1" t="n">
        <v>46107</v>
      </c>
      <c r="D251" t="inlineStr">
        <is>
          <t>ÖREBRO LÄN</t>
        </is>
      </c>
      <c r="E251" t="inlineStr">
        <is>
          <t>ÖREBRO</t>
        </is>
      </c>
      <c r="G251" t="n">
        <v>1.4</v>
      </c>
      <c r="H251" t="n">
        <v>0</v>
      </c>
      <c r="I251" t="n">
        <v>0</v>
      </c>
      <c r="J251" t="n">
        <v>0</v>
      </c>
      <c r="K251" t="n">
        <v>0</v>
      </c>
      <c r="L251" t="n">
        <v>0</v>
      </c>
      <c r="M251" t="n">
        <v>0</v>
      </c>
      <c r="N251" t="n">
        <v>0</v>
      </c>
      <c r="O251" t="n">
        <v>0</v>
      </c>
      <c r="P251" t="n">
        <v>0</v>
      </c>
      <c r="Q251" t="n">
        <v>0</v>
      </c>
      <c r="R251" s="2" t="inlineStr"/>
    </row>
    <row r="252" ht="15" customHeight="1">
      <c r="A252" t="inlineStr">
        <is>
          <t>A 17465-2023</t>
        </is>
      </c>
      <c r="B252" s="1" t="n">
        <v>45036</v>
      </c>
      <c r="C252" s="1" t="n">
        <v>46107</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52016-2024</t>
        </is>
      </c>
      <c r="B253" s="1" t="n">
        <v>45607.81917824074</v>
      </c>
      <c r="C253" s="1" t="n">
        <v>46107</v>
      </c>
      <c r="D253" t="inlineStr">
        <is>
          <t>ÖREBRO LÄN</t>
        </is>
      </c>
      <c r="E253" t="inlineStr">
        <is>
          <t>ÖREBRO</t>
        </is>
      </c>
      <c r="G253" t="n">
        <v>1.9</v>
      </c>
      <c r="H253" t="n">
        <v>0</v>
      </c>
      <c r="I253" t="n">
        <v>0</v>
      </c>
      <c r="J253" t="n">
        <v>0</v>
      </c>
      <c r="K253" t="n">
        <v>0</v>
      </c>
      <c r="L253" t="n">
        <v>0</v>
      </c>
      <c r="M253" t="n">
        <v>0</v>
      </c>
      <c r="N253" t="n">
        <v>0</v>
      </c>
      <c r="O253" t="n">
        <v>0</v>
      </c>
      <c r="P253" t="n">
        <v>0</v>
      </c>
      <c r="Q253" t="n">
        <v>0</v>
      </c>
      <c r="R253" s="2" t="inlineStr"/>
    </row>
    <row r="254" ht="15" customHeight="1">
      <c r="A254" t="inlineStr">
        <is>
          <t>A 52477-2024</t>
        </is>
      </c>
      <c r="B254" s="1" t="n">
        <v>45609</v>
      </c>
      <c r="C254" s="1" t="n">
        <v>46107</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53558-2023</t>
        </is>
      </c>
      <c r="B255" s="1" t="n">
        <v>45230.47266203703</v>
      </c>
      <c r="C255" s="1" t="n">
        <v>46107</v>
      </c>
      <c r="D255" t="inlineStr">
        <is>
          <t>ÖREBRO LÄN</t>
        </is>
      </c>
      <c r="E255" t="inlineStr">
        <is>
          <t>ÖREBRO</t>
        </is>
      </c>
      <c r="F255" t="inlineStr">
        <is>
          <t>Övriga Aktiebolag</t>
        </is>
      </c>
      <c r="G255" t="n">
        <v>4.7</v>
      </c>
      <c r="H255" t="n">
        <v>0</v>
      </c>
      <c r="I255" t="n">
        <v>0</v>
      </c>
      <c r="J255" t="n">
        <v>0</v>
      </c>
      <c r="K255" t="n">
        <v>0</v>
      </c>
      <c r="L255" t="n">
        <v>0</v>
      </c>
      <c r="M255" t="n">
        <v>0</v>
      </c>
      <c r="N255" t="n">
        <v>0</v>
      </c>
      <c r="O255" t="n">
        <v>0</v>
      </c>
      <c r="P255" t="n">
        <v>0</v>
      </c>
      <c r="Q255" t="n">
        <v>0</v>
      </c>
      <c r="R255" s="2" t="inlineStr"/>
    </row>
    <row r="256" ht="15" customHeight="1">
      <c r="A256" t="inlineStr">
        <is>
          <t>A 541-2025</t>
        </is>
      </c>
      <c r="B256" s="1" t="n">
        <v>45664.52034722222</v>
      </c>
      <c r="C256" s="1" t="n">
        <v>46107</v>
      </c>
      <c r="D256" t="inlineStr">
        <is>
          <t>ÖREBRO LÄN</t>
        </is>
      </c>
      <c r="E256" t="inlineStr">
        <is>
          <t>ÖREBRO</t>
        </is>
      </c>
      <c r="G256" t="n">
        <v>2.2</v>
      </c>
      <c r="H256" t="n">
        <v>0</v>
      </c>
      <c r="I256" t="n">
        <v>0</v>
      </c>
      <c r="J256" t="n">
        <v>0</v>
      </c>
      <c r="K256" t="n">
        <v>0</v>
      </c>
      <c r="L256" t="n">
        <v>0</v>
      </c>
      <c r="M256" t="n">
        <v>0</v>
      </c>
      <c r="N256" t="n">
        <v>0</v>
      </c>
      <c r="O256" t="n">
        <v>0</v>
      </c>
      <c r="P256" t="n">
        <v>0</v>
      </c>
      <c r="Q256" t="n">
        <v>0</v>
      </c>
      <c r="R256" s="2" t="inlineStr"/>
    </row>
    <row r="257" ht="15" customHeight="1">
      <c r="A257" t="inlineStr">
        <is>
          <t>A 35843-2022</t>
        </is>
      </c>
      <c r="B257" s="1" t="n">
        <v>44802</v>
      </c>
      <c r="C257" s="1" t="n">
        <v>46107</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19553-2023</t>
        </is>
      </c>
      <c r="B258" s="1" t="n">
        <v>45050</v>
      </c>
      <c r="C258" s="1" t="n">
        <v>46107</v>
      </c>
      <c r="D258" t="inlineStr">
        <is>
          <t>ÖREBRO LÄN</t>
        </is>
      </c>
      <c r="E258" t="inlineStr">
        <is>
          <t>ÖREBRO</t>
        </is>
      </c>
      <c r="G258" t="n">
        <v>2.1</v>
      </c>
      <c r="H258" t="n">
        <v>0</v>
      </c>
      <c r="I258" t="n">
        <v>0</v>
      </c>
      <c r="J258" t="n">
        <v>0</v>
      </c>
      <c r="K258" t="n">
        <v>0</v>
      </c>
      <c r="L258" t="n">
        <v>0</v>
      </c>
      <c r="M258" t="n">
        <v>0</v>
      </c>
      <c r="N258" t="n">
        <v>0</v>
      </c>
      <c r="O258" t="n">
        <v>0</v>
      </c>
      <c r="P258" t="n">
        <v>0</v>
      </c>
      <c r="Q258" t="n">
        <v>0</v>
      </c>
      <c r="R258" s="2" t="inlineStr"/>
    </row>
    <row r="259" ht="15" customHeight="1">
      <c r="A259" t="inlineStr">
        <is>
          <t>A 51373-2023</t>
        </is>
      </c>
      <c r="B259" s="1" t="n">
        <v>45213</v>
      </c>
      <c r="C259" s="1" t="n">
        <v>46107</v>
      </c>
      <c r="D259" t="inlineStr">
        <is>
          <t>ÖREBRO LÄN</t>
        </is>
      </c>
      <c r="E259" t="inlineStr">
        <is>
          <t>ÖREBRO</t>
        </is>
      </c>
      <c r="G259" t="n">
        <v>5.9</v>
      </c>
      <c r="H259" t="n">
        <v>0</v>
      </c>
      <c r="I259" t="n">
        <v>0</v>
      </c>
      <c r="J259" t="n">
        <v>0</v>
      </c>
      <c r="K259" t="n">
        <v>0</v>
      </c>
      <c r="L259" t="n">
        <v>0</v>
      </c>
      <c r="M259" t="n">
        <v>0</v>
      </c>
      <c r="N259" t="n">
        <v>0</v>
      </c>
      <c r="O259" t="n">
        <v>0</v>
      </c>
      <c r="P259" t="n">
        <v>0</v>
      </c>
      <c r="Q259" t="n">
        <v>0</v>
      </c>
      <c r="R259" s="2" t="inlineStr"/>
    </row>
    <row r="260" ht="15" customHeight="1">
      <c r="A260" t="inlineStr">
        <is>
          <t>A 1257-2022</t>
        </is>
      </c>
      <c r="B260" s="1" t="n">
        <v>44572</v>
      </c>
      <c r="C260" s="1" t="n">
        <v>46107</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37025-2024</t>
        </is>
      </c>
      <c r="B261" s="1" t="n">
        <v>45539.3840162037</v>
      </c>
      <c r="C261" s="1" t="n">
        <v>46107</v>
      </c>
      <c r="D261" t="inlineStr">
        <is>
          <t>ÖREBRO LÄN</t>
        </is>
      </c>
      <c r="E261" t="inlineStr">
        <is>
          <t>ÖREBRO</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37027-2024</t>
        </is>
      </c>
      <c r="B262" s="1" t="n">
        <v>45539.38487268519</v>
      </c>
      <c r="C262" s="1" t="n">
        <v>46107</v>
      </c>
      <c r="D262" t="inlineStr">
        <is>
          <t>ÖREBRO LÄN</t>
        </is>
      </c>
      <c r="E262" t="inlineStr">
        <is>
          <t>ÖREBRO</t>
        </is>
      </c>
      <c r="F262" t="inlineStr">
        <is>
          <t>Sveaskog</t>
        </is>
      </c>
      <c r="G262" t="n">
        <v>1</v>
      </c>
      <c r="H262" t="n">
        <v>0</v>
      </c>
      <c r="I262" t="n">
        <v>0</v>
      </c>
      <c r="J262" t="n">
        <v>0</v>
      </c>
      <c r="K262" t="n">
        <v>0</v>
      </c>
      <c r="L262" t="n">
        <v>0</v>
      </c>
      <c r="M262" t="n">
        <v>0</v>
      </c>
      <c r="N262" t="n">
        <v>0</v>
      </c>
      <c r="O262" t="n">
        <v>0</v>
      </c>
      <c r="P262" t="n">
        <v>0</v>
      </c>
      <c r="Q262" t="n">
        <v>0</v>
      </c>
      <c r="R262" s="2" t="inlineStr"/>
    </row>
    <row r="263" ht="15" customHeight="1">
      <c r="A263" t="inlineStr">
        <is>
          <t>A 40656-2023</t>
        </is>
      </c>
      <c r="B263" s="1" t="n">
        <v>45170</v>
      </c>
      <c r="C263" s="1" t="n">
        <v>46107</v>
      </c>
      <c r="D263" t="inlineStr">
        <is>
          <t>ÖREBRO LÄN</t>
        </is>
      </c>
      <c r="E263" t="inlineStr">
        <is>
          <t>ÖREBRO</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22677-2022</t>
        </is>
      </c>
      <c r="B264" s="1" t="n">
        <v>44714</v>
      </c>
      <c r="C264" s="1" t="n">
        <v>46107</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44875-2025</t>
        </is>
      </c>
      <c r="B265" s="1" t="n">
        <v>45918.47043981482</v>
      </c>
      <c r="C265" s="1" t="n">
        <v>46107</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23594-2023</t>
        </is>
      </c>
      <c r="B266" s="1" t="n">
        <v>45077</v>
      </c>
      <c r="C266" s="1" t="n">
        <v>46107</v>
      </c>
      <c r="D266" t="inlineStr">
        <is>
          <t>ÖREBRO LÄN</t>
        </is>
      </c>
      <c r="E266" t="inlineStr">
        <is>
          <t>ÖREBRO</t>
        </is>
      </c>
      <c r="G266" t="n">
        <v>9.9</v>
      </c>
      <c r="H266" t="n">
        <v>0</v>
      </c>
      <c r="I266" t="n">
        <v>0</v>
      </c>
      <c r="J266" t="n">
        <v>0</v>
      </c>
      <c r="K266" t="n">
        <v>0</v>
      </c>
      <c r="L266" t="n">
        <v>0</v>
      </c>
      <c r="M266" t="n">
        <v>0</v>
      </c>
      <c r="N266" t="n">
        <v>0</v>
      </c>
      <c r="O266" t="n">
        <v>0</v>
      </c>
      <c r="P266" t="n">
        <v>0</v>
      </c>
      <c r="Q266" t="n">
        <v>0</v>
      </c>
      <c r="R266" s="2" t="inlineStr"/>
    </row>
    <row r="267" ht="15" customHeight="1">
      <c r="A267" t="inlineStr">
        <is>
          <t>A 8022-2022</t>
        </is>
      </c>
      <c r="B267" s="1" t="n">
        <v>44609</v>
      </c>
      <c r="C267" s="1" t="n">
        <v>46107</v>
      </c>
      <c r="D267" t="inlineStr">
        <is>
          <t>ÖREBRO LÄN</t>
        </is>
      </c>
      <c r="E267" t="inlineStr">
        <is>
          <t>ÖREBRO</t>
        </is>
      </c>
      <c r="G267" t="n">
        <v>5.6</v>
      </c>
      <c r="H267" t="n">
        <v>0</v>
      </c>
      <c r="I267" t="n">
        <v>0</v>
      </c>
      <c r="J267" t="n">
        <v>0</v>
      </c>
      <c r="K267" t="n">
        <v>0</v>
      </c>
      <c r="L267" t="n">
        <v>0</v>
      </c>
      <c r="M267" t="n">
        <v>0</v>
      </c>
      <c r="N267" t="n">
        <v>0</v>
      </c>
      <c r="O267" t="n">
        <v>0</v>
      </c>
      <c r="P267" t="n">
        <v>0</v>
      </c>
      <c r="Q267" t="n">
        <v>0</v>
      </c>
      <c r="R267" s="2" t="inlineStr"/>
    </row>
    <row r="268" ht="15" customHeight="1">
      <c r="A268" t="inlineStr">
        <is>
          <t>A 47193-2023</t>
        </is>
      </c>
      <c r="B268" s="1" t="n">
        <v>45202.3074537037</v>
      </c>
      <c r="C268" s="1" t="n">
        <v>46107</v>
      </c>
      <c r="D268" t="inlineStr">
        <is>
          <t>ÖREBRO LÄN</t>
        </is>
      </c>
      <c r="E268" t="inlineStr">
        <is>
          <t>ÖREBRO</t>
        </is>
      </c>
      <c r="G268" t="n">
        <v>2.4</v>
      </c>
      <c r="H268" t="n">
        <v>0</v>
      </c>
      <c r="I268" t="n">
        <v>0</v>
      </c>
      <c r="J268" t="n">
        <v>0</v>
      </c>
      <c r="K268" t="n">
        <v>0</v>
      </c>
      <c r="L268" t="n">
        <v>0</v>
      </c>
      <c r="M268" t="n">
        <v>0</v>
      </c>
      <c r="N268" t="n">
        <v>0</v>
      </c>
      <c r="O268" t="n">
        <v>0</v>
      </c>
      <c r="P268" t="n">
        <v>0</v>
      </c>
      <c r="Q268" t="n">
        <v>0</v>
      </c>
      <c r="R268" s="2" t="inlineStr"/>
    </row>
    <row r="269" ht="15" customHeight="1">
      <c r="A269" t="inlineStr">
        <is>
          <t>A 71288-2021</t>
        </is>
      </c>
      <c r="B269" s="1" t="n">
        <v>44539.62481481482</v>
      </c>
      <c r="C269" s="1" t="n">
        <v>46107</v>
      </c>
      <c r="D269" t="inlineStr">
        <is>
          <t>ÖREBRO LÄN</t>
        </is>
      </c>
      <c r="E269" t="inlineStr">
        <is>
          <t>ÖREBRO</t>
        </is>
      </c>
      <c r="G269" t="n">
        <v>3.9</v>
      </c>
      <c r="H269" t="n">
        <v>0</v>
      </c>
      <c r="I269" t="n">
        <v>0</v>
      </c>
      <c r="J269" t="n">
        <v>0</v>
      </c>
      <c r="K269" t="n">
        <v>0</v>
      </c>
      <c r="L269" t="n">
        <v>0</v>
      </c>
      <c r="M269" t="n">
        <v>0</v>
      </c>
      <c r="N269" t="n">
        <v>0</v>
      </c>
      <c r="O269" t="n">
        <v>0</v>
      </c>
      <c r="P269" t="n">
        <v>0</v>
      </c>
      <c r="Q269" t="n">
        <v>0</v>
      </c>
      <c r="R269" s="2" t="inlineStr"/>
    </row>
    <row r="270" ht="15" customHeight="1">
      <c r="A270" t="inlineStr">
        <is>
          <t>A 10830-2023</t>
        </is>
      </c>
      <c r="B270" s="1" t="n">
        <v>44990.89752314815</v>
      </c>
      <c r="C270" s="1" t="n">
        <v>46107</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7692-2023</t>
        </is>
      </c>
      <c r="B271" s="1" t="n">
        <v>44972.7762962963</v>
      </c>
      <c r="C271" s="1" t="n">
        <v>46107</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44960-2025</t>
        </is>
      </c>
      <c r="B272" s="1" t="n">
        <v>45918.61577546296</v>
      </c>
      <c r="C272" s="1" t="n">
        <v>46107</v>
      </c>
      <c r="D272" t="inlineStr">
        <is>
          <t>ÖREBRO LÄN</t>
        </is>
      </c>
      <c r="E272" t="inlineStr">
        <is>
          <t>ÖREBRO</t>
        </is>
      </c>
      <c r="G272" t="n">
        <v>1.5</v>
      </c>
      <c r="H272" t="n">
        <v>0</v>
      </c>
      <c r="I272" t="n">
        <v>0</v>
      </c>
      <c r="J272" t="n">
        <v>0</v>
      </c>
      <c r="K272" t="n">
        <v>0</v>
      </c>
      <c r="L272" t="n">
        <v>0</v>
      </c>
      <c r="M272" t="n">
        <v>0</v>
      </c>
      <c r="N272" t="n">
        <v>0</v>
      </c>
      <c r="O272" t="n">
        <v>0</v>
      </c>
      <c r="P272" t="n">
        <v>0</v>
      </c>
      <c r="Q272" t="n">
        <v>0</v>
      </c>
      <c r="R272" s="2" t="inlineStr"/>
    </row>
    <row r="273" ht="15" customHeight="1">
      <c r="A273" t="inlineStr">
        <is>
          <t>A 31240-2023</t>
        </is>
      </c>
      <c r="B273" s="1" t="n">
        <v>45114</v>
      </c>
      <c r="C273" s="1" t="n">
        <v>46107</v>
      </c>
      <c r="D273" t="inlineStr">
        <is>
          <t>ÖREBRO LÄN</t>
        </is>
      </c>
      <c r="E273" t="inlineStr">
        <is>
          <t>ÖREBRO</t>
        </is>
      </c>
      <c r="F273" t="inlineStr">
        <is>
          <t>Allmännings- och besparingsskogar</t>
        </is>
      </c>
      <c r="G273" t="n">
        <v>6.2</v>
      </c>
      <c r="H273" t="n">
        <v>0</v>
      </c>
      <c r="I273" t="n">
        <v>0</v>
      </c>
      <c r="J273" t="n">
        <v>0</v>
      </c>
      <c r="K273" t="n">
        <v>0</v>
      </c>
      <c r="L273" t="n">
        <v>0</v>
      </c>
      <c r="M273" t="n">
        <v>0</v>
      </c>
      <c r="N273" t="n">
        <v>0</v>
      </c>
      <c r="O273" t="n">
        <v>0</v>
      </c>
      <c r="P273" t="n">
        <v>0</v>
      </c>
      <c r="Q273" t="n">
        <v>0</v>
      </c>
      <c r="R273" s="2" t="inlineStr"/>
    </row>
    <row r="274" ht="15" customHeight="1">
      <c r="A274" t="inlineStr">
        <is>
          <t>A 58598-2022</t>
        </is>
      </c>
      <c r="B274" s="1" t="n">
        <v>44902</v>
      </c>
      <c r="C274" s="1" t="n">
        <v>46107</v>
      </c>
      <c r="D274" t="inlineStr">
        <is>
          <t>ÖREBRO LÄN</t>
        </is>
      </c>
      <c r="E274" t="inlineStr">
        <is>
          <t>ÖREBRO</t>
        </is>
      </c>
      <c r="G274" t="n">
        <v>0.4</v>
      </c>
      <c r="H274" t="n">
        <v>0</v>
      </c>
      <c r="I274" t="n">
        <v>0</v>
      </c>
      <c r="J274" t="n">
        <v>0</v>
      </c>
      <c r="K274" t="n">
        <v>0</v>
      </c>
      <c r="L274" t="n">
        <v>0</v>
      </c>
      <c r="M274" t="n">
        <v>0</v>
      </c>
      <c r="N274" t="n">
        <v>0</v>
      </c>
      <c r="O274" t="n">
        <v>0</v>
      </c>
      <c r="P274" t="n">
        <v>0</v>
      </c>
      <c r="Q274" t="n">
        <v>0</v>
      </c>
      <c r="R274" s="2" t="inlineStr"/>
    </row>
    <row r="275" ht="15" customHeight="1">
      <c r="A275" t="inlineStr">
        <is>
          <t>A 50026-2024</t>
        </is>
      </c>
      <c r="B275" s="1" t="n">
        <v>45599.60541666667</v>
      </c>
      <c r="C275" s="1" t="n">
        <v>46107</v>
      </c>
      <c r="D275" t="inlineStr">
        <is>
          <t>ÖREBRO LÄN</t>
        </is>
      </c>
      <c r="E275" t="inlineStr">
        <is>
          <t>ÖREBRO</t>
        </is>
      </c>
      <c r="G275" t="n">
        <v>2.2</v>
      </c>
      <c r="H275" t="n">
        <v>0</v>
      </c>
      <c r="I275" t="n">
        <v>0</v>
      </c>
      <c r="J275" t="n">
        <v>0</v>
      </c>
      <c r="K275" t="n">
        <v>0</v>
      </c>
      <c r="L275" t="n">
        <v>0</v>
      </c>
      <c r="M275" t="n">
        <v>0</v>
      </c>
      <c r="N275" t="n">
        <v>0</v>
      </c>
      <c r="O275" t="n">
        <v>0</v>
      </c>
      <c r="P275" t="n">
        <v>0</v>
      </c>
      <c r="Q275" t="n">
        <v>0</v>
      </c>
      <c r="R275" s="2" t="inlineStr"/>
    </row>
    <row r="276" ht="15" customHeight="1">
      <c r="A276" t="inlineStr">
        <is>
          <t>A 18449-2023</t>
        </is>
      </c>
      <c r="B276" s="1" t="n">
        <v>45042.5203125</v>
      </c>
      <c r="C276" s="1" t="n">
        <v>46107</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16936-2023</t>
        </is>
      </c>
      <c r="B277" s="1" t="n">
        <v>45033.63005787037</v>
      </c>
      <c r="C277" s="1" t="n">
        <v>46107</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58145-2024</t>
        </is>
      </c>
      <c r="B278" s="1" t="n">
        <v>45632.43230324074</v>
      </c>
      <c r="C278" s="1" t="n">
        <v>46107</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71206-2021</t>
        </is>
      </c>
      <c r="B279" s="1" t="n">
        <v>44539</v>
      </c>
      <c r="C279" s="1" t="n">
        <v>46107</v>
      </c>
      <c r="D279" t="inlineStr">
        <is>
          <t>ÖREBRO LÄN</t>
        </is>
      </c>
      <c r="E279" t="inlineStr">
        <is>
          <t>ÖREBRO</t>
        </is>
      </c>
      <c r="G279" t="n">
        <v>2.5</v>
      </c>
      <c r="H279" t="n">
        <v>0</v>
      </c>
      <c r="I279" t="n">
        <v>0</v>
      </c>
      <c r="J279" t="n">
        <v>0</v>
      </c>
      <c r="K279" t="n">
        <v>0</v>
      </c>
      <c r="L279" t="n">
        <v>0</v>
      </c>
      <c r="M279" t="n">
        <v>0</v>
      </c>
      <c r="N279" t="n">
        <v>0</v>
      </c>
      <c r="O279" t="n">
        <v>0</v>
      </c>
      <c r="P279" t="n">
        <v>0</v>
      </c>
      <c r="Q279" t="n">
        <v>0</v>
      </c>
      <c r="R279" s="2" t="inlineStr"/>
    </row>
    <row r="280" ht="15" customHeight="1">
      <c r="A280" t="inlineStr">
        <is>
          <t>A 64730-2023</t>
        </is>
      </c>
      <c r="B280" s="1" t="n">
        <v>45281</v>
      </c>
      <c r="C280" s="1" t="n">
        <v>46107</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44284-2022</t>
        </is>
      </c>
      <c r="B281" s="1" t="n">
        <v>44839.59194444444</v>
      </c>
      <c r="C281" s="1" t="n">
        <v>46107</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16739-2022</t>
        </is>
      </c>
      <c r="B282" s="1" t="n">
        <v>44673</v>
      </c>
      <c r="C282" s="1" t="n">
        <v>46107</v>
      </c>
      <c r="D282" t="inlineStr">
        <is>
          <t>ÖREBRO LÄN</t>
        </is>
      </c>
      <c r="E282" t="inlineStr">
        <is>
          <t>ÖREBRO</t>
        </is>
      </c>
      <c r="G282" t="n">
        <v>4.7</v>
      </c>
      <c r="H282" t="n">
        <v>0</v>
      </c>
      <c r="I282" t="n">
        <v>0</v>
      </c>
      <c r="J282" t="n">
        <v>0</v>
      </c>
      <c r="K282" t="n">
        <v>0</v>
      </c>
      <c r="L282" t="n">
        <v>0</v>
      </c>
      <c r="M282" t="n">
        <v>0</v>
      </c>
      <c r="N282" t="n">
        <v>0</v>
      </c>
      <c r="O282" t="n">
        <v>0</v>
      </c>
      <c r="P282" t="n">
        <v>0</v>
      </c>
      <c r="Q282" t="n">
        <v>0</v>
      </c>
      <c r="R282" s="2" t="inlineStr"/>
    </row>
    <row r="283" ht="15" customHeight="1">
      <c r="A283" t="inlineStr">
        <is>
          <t>A 14544-2023</t>
        </is>
      </c>
      <c r="B283" s="1" t="n">
        <v>45013</v>
      </c>
      <c r="C283" s="1" t="n">
        <v>46107</v>
      </c>
      <c r="D283" t="inlineStr">
        <is>
          <t>ÖREBRO LÄN</t>
        </is>
      </c>
      <c r="E283" t="inlineStr">
        <is>
          <t>ÖREBRO</t>
        </is>
      </c>
      <c r="G283" t="n">
        <v>0.5</v>
      </c>
      <c r="H283" t="n">
        <v>0</v>
      </c>
      <c r="I283" t="n">
        <v>0</v>
      </c>
      <c r="J283" t="n">
        <v>0</v>
      </c>
      <c r="K283" t="n">
        <v>0</v>
      </c>
      <c r="L283" t="n">
        <v>0</v>
      </c>
      <c r="M283" t="n">
        <v>0</v>
      </c>
      <c r="N283" t="n">
        <v>0</v>
      </c>
      <c r="O283" t="n">
        <v>0</v>
      </c>
      <c r="P283" t="n">
        <v>0</v>
      </c>
      <c r="Q283" t="n">
        <v>0</v>
      </c>
      <c r="R283" s="2" t="inlineStr"/>
    </row>
    <row r="284" ht="15" customHeight="1">
      <c r="A284" t="inlineStr">
        <is>
          <t>A 15682-2023</t>
        </is>
      </c>
      <c r="B284" s="1" t="n">
        <v>45021</v>
      </c>
      <c r="C284" s="1" t="n">
        <v>46107</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4416-2023</t>
        </is>
      </c>
      <c r="B285" s="1" t="n">
        <v>44956</v>
      </c>
      <c r="C285" s="1" t="n">
        <v>46107</v>
      </c>
      <c r="D285" t="inlineStr">
        <is>
          <t>ÖREBRO LÄN</t>
        </is>
      </c>
      <c r="E285" t="inlineStr">
        <is>
          <t>ÖREBRO</t>
        </is>
      </c>
      <c r="G285" t="n">
        <v>0.7</v>
      </c>
      <c r="H285" t="n">
        <v>0</v>
      </c>
      <c r="I285" t="n">
        <v>0</v>
      </c>
      <c r="J285" t="n">
        <v>0</v>
      </c>
      <c r="K285" t="n">
        <v>0</v>
      </c>
      <c r="L285" t="n">
        <v>0</v>
      </c>
      <c r="M285" t="n">
        <v>0</v>
      </c>
      <c r="N285" t="n">
        <v>0</v>
      </c>
      <c r="O285" t="n">
        <v>0</v>
      </c>
      <c r="P285" t="n">
        <v>0</v>
      </c>
      <c r="Q285" t="n">
        <v>0</v>
      </c>
      <c r="R285" s="2" t="inlineStr"/>
    </row>
    <row r="286" ht="15" customHeight="1">
      <c r="A286" t="inlineStr">
        <is>
          <t>A 49062-2023</t>
        </is>
      </c>
      <c r="B286" s="1" t="n">
        <v>45210.35119212963</v>
      </c>
      <c r="C286" s="1" t="n">
        <v>46107</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32321-2023</t>
        </is>
      </c>
      <c r="B287" s="1" t="n">
        <v>45120</v>
      </c>
      <c r="C287" s="1" t="n">
        <v>46107</v>
      </c>
      <c r="D287" t="inlineStr">
        <is>
          <t>ÖREBRO LÄN</t>
        </is>
      </c>
      <c r="E287" t="inlineStr">
        <is>
          <t>ÖREBRO</t>
        </is>
      </c>
      <c r="G287" t="n">
        <v>3.4</v>
      </c>
      <c r="H287" t="n">
        <v>0</v>
      </c>
      <c r="I287" t="n">
        <v>0</v>
      </c>
      <c r="J287" t="n">
        <v>0</v>
      </c>
      <c r="K287" t="n">
        <v>0</v>
      </c>
      <c r="L287" t="n">
        <v>0</v>
      </c>
      <c r="M287" t="n">
        <v>0</v>
      </c>
      <c r="N287" t="n">
        <v>0</v>
      </c>
      <c r="O287" t="n">
        <v>0</v>
      </c>
      <c r="P287" t="n">
        <v>0</v>
      </c>
      <c r="Q287" t="n">
        <v>0</v>
      </c>
      <c r="R287" s="2" t="inlineStr"/>
    </row>
    <row r="288" ht="15" customHeight="1">
      <c r="A288" t="inlineStr">
        <is>
          <t>A 2095-2025</t>
        </is>
      </c>
      <c r="B288" s="1" t="n">
        <v>45672</v>
      </c>
      <c r="C288" s="1" t="n">
        <v>46107</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11663-2024</t>
        </is>
      </c>
      <c r="B289" s="1" t="n">
        <v>45373</v>
      </c>
      <c r="C289" s="1" t="n">
        <v>46107</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71275-2021</t>
        </is>
      </c>
      <c r="B290" s="1" t="n">
        <v>44539</v>
      </c>
      <c r="C290" s="1" t="n">
        <v>46107</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9379-2024</t>
        </is>
      </c>
      <c r="B291" s="1" t="n">
        <v>45359.37298611111</v>
      </c>
      <c r="C291" s="1" t="n">
        <v>46107</v>
      </c>
      <c r="D291" t="inlineStr">
        <is>
          <t>ÖREBRO LÄN</t>
        </is>
      </c>
      <c r="E291" t="inlineStr">
        <is>
          <t>ÖREBRO</t>
        </is>
      </c>
      <c r="G291" t="n">
        <v>2.4</v>
      </c>
      <c r="H291" t="n">
        <v>0</v>
      </c>
      <c r="I291" t="n">
        <v>0</v>
      </c>
      <c r="J291" t="n">
        <v>0</v>
      </c>
      <c r="K291" t="n">
        <v>0</v>
      </c>
      <c r="L291" t="n">
        <v>0</v>
      </c>
      <c r="M291" t="n">
        <v>0</v>
      </c>
      <c r="N291" t="n">
        <v>0</v>
      </c>
      <c r="O291" t="n">
        <v>0</v>
      </c>
      <c r="P291" t="n">
        <v>0</v>
      </c>
      <c r="Q291" t="n">
        <v>0</v>
      </c>
      <c r="R291" s="2" t="inlineStr"/>
    </row>
    <row r="292" ht="15" customHeight="1">
      <c r="A292" t="inlineStr">
        <is>
          <t>A 5398-2022</t>
        </is>
      </c>
      <c r="B292" s="1" t="n">
        <v>44595.3353587963</v>
      </c>
      <c r="C292" s="1" t="n">
        <v>46107</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58608-2024</t>
        </is>
      </c>
      <c r="B293" s="1" t="n">
        <v>45635.55185185185</v>
      </c>
      <c r="C293" s="1" t="n">
        <v>46107</v>
      </c>
      <c r="D293" t="inlineStr">
        <is>
          <t>ÖREBRO LÄN</t>
        </is>
      </c>
      <c r="E293" t="inlineStr">
        <is>
          <t>ÖREBRO</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2153-2023</t>
        </is>
      </c>
      <c r="B294" s="1" t="n">
        <v>44941</v>
      </c>
      <c r="C294" s="1" t="n">
        <v>46107</v>
      </c>
      <c r="D294" t="inlineStr">
        <is>
          <t>ÖREBRO LÄN</t>
        </is>
      </c>
      <c r="E294" t="inlineStr">
        <is>
          <t>ÖREBRO</t>
        </is>
      </c>
      <c r="G294" t="n">
        <v>6.3</v>
      </c>
      <c r="H294" t="n">
        <v>0</v>
      </c>
      <c r="I294" t="n">
        <v>0</v>
      </c>
      <c r="J294" t="n">
        <v>0</v>
      </c>
      <c r="K294" t="n">
        <v>0</v>
      </c>
      <c r="L294" t="n">
        <v>0</v>
      </c>
      <c r="M294" t="n">
        <v>0</v>
      </c>
      <c r="N294" t="n">
        <v>0</v>
      </c>
      <c r="O294" t="n">
        <v>0</v>
      </c>
      <c r="P294" t="n">
        <v>0</v>
      </c>
      <c r="Q294" t="n">
        <v>0</v>
      </c>
      <c r="R294" s="2" t="inlineStr"/>
    </row>
    <row r="295" ht="15" customHeight="1">
      <c r="A295" t="inlineStr">
        <is>
          <t>A 48454-2025</t>
        </is>
      </c>
      <c r="B295" s="1" t="n">
        <v>45935.80164351852</v>
      </c>
      <c r="C295" s="1" t="n">
        <v>46107</v>
      </c>
      <c r="D295" t="inlineStr">
        <is>
          <t>ÖREBRO LÄN</t>
        </is>
      </c>
      <c r="E295" t="inlineStr">
        <is>
          <t>ÖREBRO</t>
        </is>
      </c>
      <c r="F295" t="inlineStr">
        <is>
          <t>Övriga Aktiebolag</t>
        </is>
      </c>
      <c r="G295" t="n">
        <v>18.1</v>
      </c>
      <c r="H295" t="n">
        <v>0</v>
      </c>
      <c r="I295" t="n">
        <v>0</v>
      </c>
      <c r="J295" t="n">
        <v>0</v>
      </c>
      <c r="K295" t="n">
        <v>0</v>
      </c>
      <c r="L295" t="n">
        <v>0</v>
      </c>
      <c r="M295" t="n">
        <v>0</v>
      </c>
      <c r="N295" t="n">
        <v>0</v>
      </c>
      <c r="O295" t="n">
        <v>0</v>
      </c>
      <c r="P295" t="n">
        <v>0</v>
      </c>
      <c r="Q295" t="n">
        <v>0</v>
      </c>
      <c r="R295" s="2" t="inlineStr"/>
    </row>
    <row r="296" ht="15" customHeight="1">
      <c r="A296" t="inlineStr">
        <is>
          <t>A 2069-2025</t>
        </is>
      </c>
      <c r="B296" s="1" t="n">
        <v>45672.56614583333</v>
      </c>
      <c r="C296" s="1" t="n">
        <v>46107</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852-2025</t>
        </is>
      </c>
      <c r="B297" s="1" t="n">
        <v>45665.60148148148</v>
      </c>
      <c r="C297" s="1" t="n">
        <v>46107</v>
      </c>
      <c r="D297" t="inlineStr">
        <is>
          <t>ÖREBRO LÄN</t>
        </is>
      </c>
      <c r="E297" t="inlineStr">
        <is>
          <t>ÖREBRO</t>
        </is>
      </c>
      <c r="G297" t="n">
        <v>2.9</v>
      </c>
      <c r="H297" t="n">
        <v>0</v>
      </c>
      <c r="I297" t="n">
        <v>0</v>
      </c>
      <c r="J297" t="n">
        <v>0</v>
      </c>
      <c r="K297" t="n">
        <v>0</v>
      </c>
      <c r="L297" t="n">
        <v>0</v>
      </c>
      <c r="M297" t="n">
        <v>0</v>
      </c>
      <c r="N297" t="n">
        <v>0</v>
      </c>
      <c r="O297" t="n">
        <v>0</v>
      </c>
      <c r="P297" t="n">
        <v>0</v>
      </c>
      <c r="Q297" t="n">
        <v>0</v>
      </c>
      <c r="R297" s="2" t="inlineStr"/>
    </row>
    <row r="298" ht="15" customHeight="1">
      <c r="A298" t="inlineStr">
        <is>
          <t>A 50398-2022</t>
        </is>
      </c>
      <c r="B298" s="1" t="n">
        <v>44861</v>
      </c>
      <c r="C298" s="1" t="n">
        <v>46107</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52441-2024</t>
        </is>
      </c>
      <c r="B299" s="1" t="n">
        <v>45609.48451388889</v>
      </c>
      <c r="C299" s="1" t="n">
        <v>46107</v>
      </c>
      <c r="D299" t="inlineStr">
        <is>
          <t>ÖREBRO LÄN</t>
        </is>
      </c>
      <c r="E299" t="inlineStr">
        <is>
          <t>ÖREBRO</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52499-2024</t>
        </is>
      </c>
      <c r="B300" s="1" t="n">
        <v>45609.58422453704</v>
      </c>
      <c r="C300" s="1" t="n">
        <v>46107</v>
      </c>
      <c r="D300" t="inlineStr">
        <is>
          <t>ÖREBRO LÄN</t>
        </is>
      </c>
      <c r="E300" t="inlineStr">
        <is>
          <t>ÖREBRO</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41995-2024</t>
        </is>
      </c>
      <c r="B301" s="1" t="n">
        <v>45561.6475462963</v>
      </c>
      <c r="C301" s="1" t="n">
        <v>46107</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8008-2024</t>
        </is>
      </c>
      <c r="B302" s="1" t="n">
        <v>45350.6794212963</v>
      </c>
      <c r="C302" s="1" t="n">
        <v>46107</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18181-2024</t>
        </is>
      </c>
      <c r="B303" s="1" t="n">
        <v>45420.64561342593</v>
      </c>
      <c r="C303" s="1" t="n">
        <v>46107</v>
      </c>
      <c r="D303" t="inlineStr">
        <is>
          <t>ÖREBRO LÄN</t>
        </is>
      </c>
      <c r="E303" t="inlineStr">
        <is>
          <t>ÖREBRO</t>
        </is>
      </c>
      <c r="G303" t="n">
        <v>7.6</v>
      </c>
      <c r="H303" t="n">
        <v>0</v>
      </c>
      <c r="I303" t="n">
        <v>0</v>
      </c>
      <c r="J303" t="n">
        <v>0</v>
      </c>
      <c r="K303" t="n">
        <v>0</v>
      </c>
      <c r="L303" t="n">
        <v>0</v>
      </c>
      <c r="M303" t="n">
        <v>0</v>
      </c>
      <c r="N303" t="n">
        <v>0</v>
      </c>
      <c r="O303" t="n">
        <v>0</v>
      </c>
      <c r="P303" t="n">
        <v>0</v>
      </c>
      <c r="Q303" t="n">
        <v>0</v>
      </c>
      <c r="R303" s="2" t="inlineStr"/>
    </row>
    <row r="304" ht="15" customHeight="1">
      <c r="A304" t="inlineStr">
        <is>
          <t>A 38415-2023</t>
        </is>
      </c>
      <c r="B304" s="1" t="n">
        <v>45162.35502314815</v>
      </c>
      <c r="C304" s="1" t="n">
        <v>46107</v>
      </c>
      <c r="D304" t="inlineStr">
        <is>
          <t>ÖREBRO LÄN</t>
        </is>
      </c>
      <c r="E304" t="inlineStr">
        <is>
          <t>ÖREBRO</t>
        </is>
      </c>
      <c r="G304" t="n">
        <v>2.6</v>
      </c>
      <c r="H304" t="n">
        <v>0</v>
      </c>
      <c r="I304" t="n">
        <v>0</v>
      </c>
      <c r="J304" t="n">
        <v>0</v>
      </c>
      <c r="K304" t="n">
        <v>0</v>
      </c>
      <c r="L304" t="n">
        <v>0</v>
      </c>
      <c r="M304" t="n">
        <v>0</v>
      </c>
      <c r="N304" t="n">
        <v>0</v>
      </c>
      <c r="O304" t="n">
        <v>0</v>
      </c>
      <c r="P304" t="n">
        <v>0</v>
      </c>
      <c r="Q304" t="n">
        <v>0</v>
      </c>
      <c r="R304" s="2" t="inlineStr"/>
    </row>
    <row r="305" ht="15" customHeight="1">
      <c r="A305" t="inlineStr">
        <is>
          <t>A 16374-2022</t>
        </is>
      </c>
      <c r="B305" s="1" t="n">
        <v>44671</v>
      </c>
      <c r="C305" s="1" t="n">
        <v>46107</v>
      </c>
      <c r="D305" t="inlineStr">
        <is>
          <t>ÖREBRO LÄN</t>
        </is>
      </c>
      <c r="E305" t="inlineStr">
        <is>
          <t>ÖREBRO</t>
        </is>
      </c>
      <c r="F305" t="inlineStr">
        <is>
          <t>Övriga Aktiebolag</t>
        </is>
      </c>
      <c r="G305" t="n">
        <v>30.3</v>
      </c>
      <c r="H305" t="n">
        <v>0</v>
      </c>
      <c r="I305" t="n">
        <v>0</v>
      </c>
      <c r="J305" t="n">
        <v>0</v>
      </c>
      <c r="K305" t="n">
        <v>0</v>
      </c>
      <c r="L305" t="n">
        <v>0</v>
      </c>
      <c r="M305" t="n">
        <v>0</v>
      </c>
      <c r="N305" t="n">
        <v>0</v>
      </c>
      <c r="O305" t="n">
        <v>0</v>
      </c>
      <c r="P305" t="n">
        <v>0</v>
      </c>
      <c r="Q305" t="n">
        <v>0</v>
      </c>
      <c r="R305" s="2" t="inlineStr"/>
    </row>
    <row r="306" ht="15" customHeight="1">
      <c r="A306" t="inlineStr">
        <is>
          <t>A 16737-2023</t>
        </is>
      </c>
      <c r="B306" s="1" t="n">
        <v>45030.72472222222</v>
      </c>
      <c r="C306" s="1" t="n">
        <v>46107</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9704-2023</t>
        </is>
      </c>
      <c r="B307" s="1" t="n">
        <v>44984</v>
      </c>
      <c r="C307" s="1" t="n">
        <v>46107</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15866-2022</t>
        </is>
      </c>
      <c r="B308" s="1" t="n">
        <v>44664</v>
      </c>
      <c r="C308" s="1" t="n">
        <v>46107</v>
      </c>
      <c r="D308" t="inlineStr">
        <is>
          <t>ÖREBRO LÄN</t>
        </is>
      </c>
      <c r="E308" t="inlineStr">
        <is>
          <t>ÖREBRO</t>
        </is>
      </c>
      <c r="G308" t="n">
        <v>4</v>
      </c>
      <c r="H308" t="n">
        <v>0</v>
      </c>
      <c r="I308" t="n">
        <v>0</v>
      </c>
      <c r="J308" t="n">
        <v>0</v>
      </c>
      <c r="K308" t="n">
        <v>0</v>
      </c>
      <c r="L308" t="n">
        <v>0</v>
      </c>
      <c r="M308" t="n">
        <v>0</v>
      </c>
      <c r="N308" t="n">
        <v>0</v>
      </c>
      <c r="O308" t="n">
        <v>0</v>
      </c>
      <c r="P308" t="n">
        <v>0</v>
      </c>
      <c r="Q308" t="n">
        <v>0</v>
      </c>
      <c r="R308" s="2" t="inlineStr"/>
    </row>
    <row r="309" ht="15" customHeight="1">
      <c r="A309" t="inlineStr">
        <is>
          <t>A 2318-2023</t>
        </is>
      </c>
      <c r="B309" s="1" t="n">
        <v>44942</v>
      </c>
      <c r="C309" s="1" t="n">
        <v>46107</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19180-2025</t>
        </is>
      </c>
      <c r="B310" s="1" t="n">
        <v>45769.40133101852</v>
      </c>
      <c r="C310" s="1" t="n">
        <v>46107</v>
      </c>
      <c r="D310" t="inlineStr">
        <is>
          <t>ÖREBRO LÄN</t>
        </is>
      </c>
      <c r="E310" t="inlineStr">
        <is>
          <t>ÖREBRO</t>
        </is>
      </c>
      <c r="G310" t="n">
        <v>1.1</v>
      </c>
      <c r="H310" t="n">
        <v>0</v>
      </c>
      <c r="I310" t="n">
        <v>0</v>
      </c>
      <c r="J310" t="n">
        <v>0</v>
      </c>
      <c r="K310" t="n">
        <v>0</v>
      </c>
      <c r="L310" t="n">
        <v>0</v>
      </c>
      <c r="M310" t="n">
        <v>0</v>
      </c>
      <c r="N310" t="n">
        <v>0</v>
      </c>
      <c r="O310" t="n">
        <v>0</v>
      </c>
      <c r="P310" t="n">
        <v>0</v>
      </c>
      <c r="Q310" t="n">
        <v>0</v>
      </c>
      <c r="R310" s="2" t="inlineStr"/>
    </row>
    <row r="311" ht="15" customHeight="1">
      <c r="A311" t="inlineStr">
        <is>
          <t>A 46052-2024</t>
        </is>
      </c>
      <c r="B311" s="1" t="n">
        <v>45580.89116898148</v>
      </c>
      <c r="C311" s="1" t="n">
        <v>46107</v>
      </c>
      <c r="D311" t="inlineStr">
        <is>
          <t>ÖREBRO LÄN</t>
        </is>
      </c>
      <c r="E311" t="inlineStr">
        <is>
          <t>ÖREBRO</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58527-2024</t>
        </is>
      </c>
      <c r="B312" s="1" t="n">
        <v>45635.44388888889</v>
      </c>
      <c r="C312" s="1" t="n">
        <v>46107</v>
      </c>
      <c r="D312" t="inlineStr">
        <is>
          <t>ÖREBRO LÄN</t>
        </is>
      </c>
      <c r="E312" t="inlineStr">
        <is>
          <t>ÖREBRO</t>
        </is>
      </c>
      <c r="F312" t="inlineStr">
        <is>
          <t>Sveaskog</t>
        </is>
      </c>
      <c r="G312" t="n">
        <v>6.4</v>
      </c>
      <c r="H312" t="n">
        <v>0</v>
      </c>
      <c r="I312" t="n">
        <v>0</v>
      </c>
      <c r="J312" t="n">
        <v>0</v>
      </c>
      <c r="K312" t="n">
        <v>0</v>
      </c>
      <c r="L312" t="n">
        <v>0</v>
      </c>
      <c r="M312" t="n">
        <v>0</v>
      </c>
      <c r="N312" t="n">
        <v>0</v>
      </c>
      <c r="O312" t="n">
        <v>0</v>
      </c>
      <c r="P312" t="n">
        <v>0</v>
      </c>
      <c r="Q312" t="n">
        <v>0</v>
      </c>
      <c r="R312" s="2" t="inlineStr"/>
    </row>
    <row r="313" ht="15" customHeight="1">
      <c r="A313" t="inlineStr">
        <is>
          <t>A 37022-2024</t>
        </is>
      </c>
      <c r="B313" s="1" t="n">
        <v>45539.3822337963</v>
      </c>
      <c r="C313" s="1" t="n">
        <v>46107</v>
      </c>
      <c r="D313" t="inlineStr">
        <is>
          <t>ÖREBRO LÄN</t>
        </is>
      </c>
      <c r="E313" t="inlineStr">
        <is>
          <t>ÖREBRO</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37024-2024</t>
        </is>
      </c>
      <c r="B314" s="1" t="n">
        <v>45539.38329861111</v>
      </c>
      <c r="C314" s="1" t="n">
        <v>46107</v>
      </c>
      <c r="D314" t="inlineStr">
        <is>
          <t>ÖREBRO LÄN</t>
        </is>
      </c>
      <c r="E314" t="inlineStr">
        <is>
          <t>ÖREBRO</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38075-2022</t>
        </is>
      </c>
      <c r="B315" s="1" t="n">
        <v>44811</v>
      </c>
      <c r="C315" s="1" t="n">
        <v>46107</v>
      </c>
      <c r="D315" t="inlineStr">
        <is>
          <t>ÖREBRO LÄN</t>
        </is>
      </c>
      <c r="E315" t="inlineStr">
        <is>
          <t>ÖREBRO</t>
        </is>
      </c>
      <c r="G315" t="n">
        <v>0.2</v>
      </c>
      <c r="H315" t="n">
        <v>0</v>
      </c>
      <c r="I315" t="n">
        <v>0</v>
      </c>
      <c r="J315" t="n">
        <v>0</v>
      </c>
      <c r="K315" t="n">
        <v>0</v>
      </c>
      <c r="L315" t="n">
        <v>0</v>
      </c>
      <c r="M315" t="n">
        <v>0</v>
      </c>
      <c r="N315" t="n">
        <v>0</v>
      </c>
      <c r="O315" t="n">
        <v>0</v>
      </c>
      <c r="P315" t="n">
        <v>0</v>
      </c>
      <c r="Q315" t="n">
        <v>0</v>
      </c>
      <c r="R315" s="2" t="inlineStr"/>
    </row>
    <row r="316" ht="15" customHeight="1">
      <c r="A316" t="inlineStr">
        <is>
          <t>A 11382-2023</t>
        </is>
      </c>
      <c r="B316" s="1" t="n">
        <v>44993.45635416666</v>
      </c>
      <c r="C316" s="1" t="n">
        <v>46107</v>
      </c>
      <c r="D316" t="inlineStr">
        <is>
          <t>ÖREBRO LÄN</t>
        </is>
      </c>
      <c r="E316" t="inlineStr">
        <is>
          <t>ÖREBRO</t>
        </is>
      </c>
      <c r="G316" t="n">
        <v>3.3</v>
      </c>
      <c r="H316" t="n">
        <v>0</v>
      </c>
      <c r="I316" t="n">
        <v>0</v>
      </c>
      <c r="J316" t="n">
        <v>0</v>
      </c>
      <c r="K316" t="n">
        <v>0</v>
      </c>
      <c r="L316" t="n">
        <v>0</v>
      </c>
      <c r="M316" t="n">
        <v>0</v>
      </c>
      <c r="N316" t="n">
        <v>0</v>
      </c>
      <c r="O316" t="n">
        <v>0</v>
      </c>
      <c r="P316" t="n">
        <v>0</v>
      </c>
      <c r="Q316" t="n">
        <v>0</v>
      </c>
      <c r="R316" s="2" t="inlineStr"/>
    </row>
    <row r="317" ht="15" customHeight="1">
      <c r="A317" t="inlineStr">
        <is>
          <t>A 20121-2024</t>
        </is>
      </c>
      <c r="B317" s="1" t="n">
        <v>45434</v>
      </c>
      <c r="C317" s="1" t="n">
        <v>46107</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5764-2022</t>
        </is>
      </c>
      <c r="B318" s="1" t="n">
        <v>44596</v>
      </c>
      <c r="C318" s="1" t="n">
        <v>46107</v>
      </c>
      <c r="D318" t="inlineStr">
        <is>
          <t>ÖREBRO LÄN</t>
        </is>
      </c>
      <c r="E318" t="inlineStr">
        <is>
          <t>ÖREBRO</t>
        </is>
      </c>
      <c r="G318" t="n">
        <v>3.5</v>
      </c>
      <c r="H318" t="n">
        <v>0</v>
      </c>
      <c r="I318" t="n">
        <v>0</v>
      </c>
      <c r="J318" t="n">
        <v>0</v>
      </c>
      <c r="K318" t="n">
        <v>0</v>
      </c>
      <c r="L318" t="n">
        <v>0</v>
      </c>
      <c r="M318" t="n">
        <v>0</v>
      </c>
      <c r="N318" t="n">
        <v>0</v>
      </c>
      <c r="O318" t="n">
        <v>0</v>
      </c>
      <c r="P318" t="n">
        <v>0</v>
      </c>
      <c r="Q318" t="n">
        <v>0</v>
      </c>
      <c r="R318" s="2" t="inlineStr"/>
    </row>
    <row r="319" ht="15" customHeight="1">
      <c r="A319" t="inlineStr">
        <is>
          <t>A 26117-2021</t>
        </is>
      </c>
      <c r="B319" s="1" t="n">
        <v>44345</v>
      </c>
      <c r="C319" s="1" t="n">
        <v>46107</v>
      </c>
      <c r="D319" t="inlineStr">
        <is>
          <t>ÖREBRO LÄN</t>
        </is>
      </c>
      <c r="E319" t="inlineStr">
        <is>
          <t>ÖREBRO</t>
        </is>
      </c>
      <c r="G319" t="n">
        <v>8.1</v>
      </c>
      <c r="H319" t="n">
        <v>0</v>
      </c>
      <c r="I319" t="n">
        <v>0</v>
      </c>
      <c r="J319" t="n">
        <v>0</v>
      </c>
      <c r="K319" t="n">
        <v>0</v>
      </c>
      <c r="L319" t="n">
        <v>0</v>
      </c>
      <c r="M319" t="n">
        <v>0</v>
      </c>
      <c r="N319" t="n">
        <v>0</v>
      </c>
      <c r="O319" t="n">
        <v>0</v>
      </c>
      <c r="P319" t="n">
        <v>0</v>
      </c>
      <c r="Q319" t="n">
        <v>0</v>
      </c>
      <c r="R319" s="2" t="inlineStr"/>
    </row>
    <row r="320" ht="15" customHeight="1">
      <c r="A320" t="inlineStr">
        <is>
          <t>A 45027-2024</t>
        </is>
      </c>
      <c r="B320" s="1" t="n">
        <v>45575</v>
      </c>
      <c r="C320" s="1" t="n">
        <v>46107</v>
      </c>
      <c r="D320" t="inlineStr">
        <is>
          <t>ÖREBRO LÄN</t>
        </is>
      </c>
      <c r="E320" t="inlineStr">
        <is>
          <t>ÖREBRO</t>
        </is>
      </c>
      <c r="G320" t="n">
        <v>6.3</v>
      </c>
      <c r="H320" t="n">
        <v>0</v>
      </c>
      <c r="I320" t="n">
        <v>0</v>
      </c>
      <c r="J320" t="n">
        <v>0</v>
      </c>
      <c r="K320" t="n">
        <v>0</v>
      </c>
      <c r="L320" t="n">
        <v>0</v>
      </c>
      <c r="M320" t="n">
        <v>0</v>
      </c>
      <c r="N320" t="n">
        <v>0</v>
      </c>
      <c r="O320" t="n">
        <v>0</v>
      </c>
      <c r="P320" t="n">
        <v>0</v>
      </c>
      <c r="Q320" t="n">
        <v>0</v>
      </c>
      <c r="R320" s="2" t="inlineStr"/>
    </row>
    <row r="321" ht="15" customHeight="1">
      <c r="A321" t="inlineStr">
        <is>
          <t>A 40051-2024</t>
        </is>
      </c>
      <c r="B321" s="1" t="n">
        <v>45553</v>
      </c>
      <c r="C321" s="1" t="n">
        <v>46107</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41543-2024</t>
        </is>
      </c>
      <c r="B322" s="1" t="n">
        <v>45560</v>
      </c>
      <c r="C322" s="1" t="n">
        <v>46107</v>
      </c>
      <c r="D322" t="inlineStr">
        <is>
          <t>ÖREBRO LÄN</t>
        </is>
      </c>
      <c r="E322" t="inlineStr">
        <is>
          <t>ÖREBRO</t>
        </is>
      </c>
      <c r="G322" t="n">
        <v>2.8</v>
      </c>
      <c r="H322" t="n">
        <v>0</v>
      </c>
      <c r="I322" t="n">
        <v>0</v>
      </c>
      <c r="J322" t="n">
        <v>0</v>
      </c>
      <c r="K322" t="n">
        <v>0</v>
      </c>
      <c r="L322" t="n">
        <v>0</v>
      </c>
      <c r="M322" t="n">
        <v>0</v>
      </c>
      <c r="N322" t="n">
        <v>0</v>
      </c>
      <c r="O322" t="n">
        <v>0</v>
      </c>
      <c r="P322" t="n">
        <v>0</v>
      </c>
      <c r="Q322" t="n">
        <v>0</v>
      </c>
      <c r="R322" s="2" t="inlineStr"/>
    </row>
    <row r="323" ht="15" customHeight="1">
      <c r="A323" t="inlineStr">
        <is>
          <t>A 10799-2024</t>
        </is>
      </c>
      <c r="B323" s="1" t="n">
        <v>45369</v>
      </c>
      <c r="C323" s="1" t="n">
        <v>46107</v>
      </c>
      <c r="D323" t="inlineStr">
        <is>
          <t>ÖREBRO LÄN</t>
        </is>
      </c>
      <c r="E323" t="inlineStr">
        <is>
          <t>ÖREBRO</t>
        </is>
      </c>
      <c r="G323" t="n">
        <v>5.8</v>
      </c>
      <c r="H323" t="n">
        <v>0</v>
      </c>
      <c r="I323" t="n">
        <v>0</v>
      </c>
      <c r="J323" t="n">
        <v>0</v>
      </c>
      <c r="K323" t="n">
        <v>0</v>
      </c>
      <c r="L323" t="n">
        <v>0</v>
      </c>
      <c r="M323" t="n">
        <v>0</v>
      </c>
      <c r="N323" t="n">
        <v>0</v>
      </c>
      <c r="O323" t="n">
        <v>0</v>
      </c>
      <c r="P323" t="n">
        <v>0</v>
      </c>
      <c r="Q323" t="n">
        <v>0</v>
      </c>
      <c r="R323" s="2" t="inlineStr"/>
    </row>
    <row r="324" ht="15" customHeight="1">
      <c r="A324" t="inlineStr">
        <is>
          <t>A 55943-2024</t>
        </is>
      </c>
      <c r="B324" s="1" t="n">
        <v>45623.61278935185</v>
      </c>
      <c r="C324" s="1" t="n">
        <v>46107</v>
      </c>
      <c r="D324" t="inlineStr">
        <is>
          <t>ÖREBRO LÄN</t>
        </is>
      </c>
      <c r="E324" t="inlineStr">
        <is>
          <t>ÖREBRO</t>
        </is>
      </c>
      <c r="G324" t="n">
        <v>4.8</v>
      </c>
      <c r="H324" t="n">
        <v>0</v>
      </c>
      <c r="I324" t="n">
        <v>0</v>
      </c>
      <c r="J324" t="n">
        <v>0</v>
      </c>
      <c r="K324" t="n">
        <v>0</v>
      </c>
      <c r="L324" t="n">
        <v>0</v>
      </c>
      <c r="M324" t="n">
        <v>0</v>
      </c>
      <c r="N324" t="n">
        <v>0</v>
      </c>
      <c r="O324" t="n">
        <v>0</v>
      </c>
      <c r="P324" t="n">
        <v>0</v>
      </c>
      <c r="Q324" t="n">
        <v>0</v>
      </c>
      <c r="R324" s="2" t="inlineStr"/>
    </row>
    <row r="325" ht="15" customHeight="1">
      <c r="A325" t="inlineStr">
        <is>
          <t>A 1013-2024</t>
        </is>
      </c>
      <c r="B325" s="1" t="n">
        <v>45301</v>
      </c>
      <c r="C325" s="1" t="n">
        <v>46107</v>
      </c>
      <c r="D325" t="inlineStr">
        <is>
          <t>ÖREBRO LÄN</t>
        </is>
      </c>
      <c r="E325" t="inlineStr">
        <is>
          <t>ÖREBRO</t>
        </is>
      </c>
      <c r="G325" t="n">
        <v>2.6</v>
      </c>
      <c r="H325" t="n">
        <v>0</v>
      </c>
      <c r="I325" t="n">
        <v>0</v>
      </c>
      <c r="J325" t="n">
        <v>0</v>
      </c>
      <c r="K325" t="n">
        <v>0</v>
      </c>
      <c r="L325" t="n">
        <v>0</v>
      </c>
      <c r="M325" t="n">
        <v>0</v>
      </c>
      <c r="N325" t="n">
        <v>0</v>
      </c>
      <c r="O325" t="n">
        <v>0</v>
      </c>
      <c r="P325" t="n">
        <v>0</v>
      </c>
      <c r="Q325" t="n">
        <v>0</v>
      </c>
      <c r="R325" s="2" t="inlineStr"/>
    </row>
    <row r="326" ht="15" customHeight="1">
      <c r="A326" t="inlineStr">
        <is>
          <t>A 13623-2024</t>
        </is>
      </c>
      <c r="B326" s="1" t="n">
        <v>45390.38626157407</v>
      </c>
      <c r="C326" s="1" t="n">
        <v>46107</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50311-2025</t>
        </is>
      </c>
      <c r="B327" s="1" t="n">
        <v>45944</v>
      </c>
      <c r="C327" s="1" t="n">
        <v>46107</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16694-2025</t>
        </is>
      </c>
      <c r="B328" s="1" t="n">
        <v>45754.46480324074</v>
      </c>
      <c r="C328" s="1" t="n">
        <v>46107</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5330-2024</t>
        </is>
      </c>
      <c r="B329" s="1" t="n">
        <v>45331.4187962963</v>
      </c>
      <c r="C329" s="1" t="n">
        <v>46107</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6794-2025</t>
        </is>
      </c>
      <c r="B330" s="1" t="n">
        <v>45700.66429398148</v>
      </c>
      <c r="C330" s="1" t="n">
        <v>46107</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49465-2024</t>
        </is>
      </c>
      <c r="B331" s="1" t="n">
        <v>45596</v>
      </c>
      <c r="C331" s="1" t="n">
        <v>46107</v>
      </c>
      <c r="D331" t="inlineStr">
        <is>
          <t>ÖREBRO LÄN</t>
        </is>
      </c>
      <c r="E331" t="inlineStr">
        <is>
          <t>ÖREBRO</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51249-2025</t>
        </is>
      </c>
      <c r="B332" s="1" t="n">
        <v>45948.45704861111</v>
      </c>
      <c r="C332" s="1" t="n">
        <v>46107</v>
      </c>
      <c r="D332" t="inlineStr">
        <is>
          <t>ÖREBRO LÄN</t>
        </is>
      </c>
      <c r="E332" t="inlineStr">
        <is>
          <t>ÖREBRO</t>
        </is>
      </c>
      <c r="G332" t="n">
        <v>1.8</v>
      </c>
      <c r="H332" t="n">
        <v>0</v>
      </c>
      <c r="I332" t="n">
        <v>0</v>
      </c>
      <c r="J332" t="n">
        <v>0</v>
      </c>
      <c r="K332" t="n">
        <v>0</v>
      </c>
      <c r="L332" t="n">
        <v>0</v>
      </c>
      <c r="M332" t="n">
        <v>0</v>
      </c>
      <c r="N332" t="n">
        <v>0</v>
      </c>
      <c r="O332" t="n">
        <v>0</v>
      </c>
      <c r="P332" t="n">
        <v>0</v>
      </c>
      <c r="Q332" t="n">
        <v>0</v>
      </c>
      <c r="R332" s="2" t="inlineStr"/>
    </row>
    <row r="333" ht="15" customHeight="1">
      <c r="A333" t="inlineStr">
        <is>
          <t>A 51248-2025</t>
        </is>
      </c>
      <c r="B333" s="1" t="n">
        <v>45948.450625</v>
      </c>
      <c r="C333" s="1" t="n">
        <v>46107</v>
      </c>
      <c r="D333" t="inlineStr">
        <is>
          <t>ÖREBRO LÄN</t>
        </is>
      </c>
      <c r="E333" t="inlineStr">
        <is>
          <t>ÖREBRO</t>
        </is>
      </c>
      <c r="G333" t="n">
        <v>4.4</v>
      </c>
      <c r="H333" t="n">
        <v>0</v>
      </c>
      <c r="I333" t="n">
        <v>0</v>
      </c>
      <c r="J333" t="n">
        <v>0</v>
      </c>
      <c r="K333" t="n">
        <v>0</v>
      </c>
      <c r="L333" t="n">
        <v>0</v>
      </c>
      <c r="M333" t="n">
        <v>0</v>
      </c>
      <c r="N333" t="n">
        <v>0</v>
      </c>
      <c r="O333" t="n">
        <v>0</v>
      </c>
      <c r="P333" t="n">
        <v>0</v>
      </c>
      <c r="Q333" t="n">
        <v>0</v>
      </c>
      <c r="R333" s="2" t="inlineStr"/>
    </row>
    <row r="334" ht="15" customHeight="1">
      <c r="A334" t="inlineStr">
        <is>
          <t>A 3-2024</t>
        </is>
      </c>
      <c r="B334" s="1" t="n">
        <v>45292</v>
      </c>
      <c r="C334" s="1" t="n">
        <v>46107</v>
      </c>
      <c r="D334" t="inlineStr">
        <is>
          <t>ÖREBRO LÄN</t>
        </is>
      </c>
      <c r="E334" t="inlineStr">
        <is>
          <t>ÖREBRO</t>
        </is>
      </c>
      <c r="G334" t="n">
        <v>2.7</v>
      </c>
      <c r="H334" t="n">
        <v>0</v>
      </c>
      <c r="I334" t="n">
        <v>0</v>
      </c>
      <c r="J334" t="n">
        <v>0</v>
      </c>
      <c r="K334" t="n">
        <v>0</v>
      </c>
      <c r="L334" t="n">
        <v>0</v>
      </c>
      <c r="M334" t="n">
        <v>0</v>
      </c>
      <c r="N334" t="n">
        <v>0</v>
      </c>
      <c r="O334" t="n">
        <v>0</v>
      </c>
      <c r="P334" t="n">
        <v>0</v>
      </c>
      <c r="Q334" t="n">
        <v>0</v>
      </c>
      <c r="R334" s="2" t="inlineStr"/>
    </row>
    <row r="335" ht="15" customHeight="1">
      <c r="A335" t="inlineStr">
        <is>
          <t>A 5619-2023</t>
        </is>
      </c>
      <c r="B335" s="1" t="n">
        <v>44958</v>
      </c>
      <c r="C335" s="1" t="n">
        <v>46107</v>
      </c>
      <c r="D335" t="inlineStr">
        <is>
          <t>ÖREBRO LÄN</t>
        </is>
      </c>
      <c r="E335" t="inlineStr">
        <is>
          <t>ÖREBRO</t>
        </is>
      </c>
      <c r="G335" t="n">
        <v>27</v>
      </c>
      <c r="H335" t="n">
        <v>0</v>
      </c>
      <c r="I335" t="n">
        <v>0</v>
      </c>
      <c r="J335" t="n">
        <v>0</v>
      </c>
      <c r="K335" t="n">
        <v>0</v>
      </c>
      <c r="L335" t="n">
        <v>0</v>
      </c>
      <c r="M335" t="n">
        <v>0</v>
      </c>
      <c r="N335" t="n">
        <v>0</v>
      </c>
      <c r="O335" t="n">
        <v>0</v>
      </c>
      <c r="P335" t="n">
        <v>0</v>
      </c>
      <c r="Q335" t="n">
        <v>0</v>
      </c>
      <c r="R335" s="2" t="inlineStr"/>
    </row>
    <row r="336" ht="15" customHeight="1">
      <c r="A336" t="inlineStr">
        <is>
          <t>A 51925-2025</t>
        </is>
      </c>
      <c r="B336" s="1" t="n">
        <v>45952.49476851852</v>
      </c>
      <c r="C336" s="1" t="n">
        <v>46107</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51923-2025</t>
        </is>
      </c>
      <c r="B337" s="1" t="n">
        <v>45952.49300925926</v>
      </c>
      <c r="C337" s="1" t="n">
        <v>46107</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51937-2025</t>
        </is>
      </c>
      <c r="B338" s="1" t="n">
        <v>45952.51270833334</v>
      </c>
      <c r="C338" s="1" t="n">
        <v>46107</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5578-2024</t>
        </is>
      </c>
      <c r="B339" s="1" t="n">
        <v>45334.49104166667</v>
      </c>
      <c r="C339" s="1" t="n">
        <v>46107</v>
      </c>
      <c r="D339" t="inlineStr">
        <is>
          <t>ÖREBRO LÄN</t>
        </is>
      </c>
      <c r="E339" t="inlineStr">
        <is>
          <t>ÖREBRO</t>
        </is>
      </c>
      <c r="G339" t="n">
        <v>2.4</v>
      </c>
      <c r="H339" t="n">
        <v>0</v>
      </c>
      <c r="I339" t="n">
        <v>0</v>
      </c>
      <c r="J339" t="n">
        <v>0</v>
      </c>
      <c r="K339" t="n">
        <v>0</v>
      </c>
      <c r="L339" t="n">
        <v>0</v>
      </c>
      <c r="M339" t="n">
        <v>0</v>
      </c>
      <c r="N339" t="n">
        <v>0</v>
      </c>
      <c r="O339" t="n">
        <v>0</v>
      </c>
      <c r="P339" t="n">
        <v>0</v>
      </c>
      <c r="Q339" t="n">
        <v>0</v>
      </c>
      <c r="R339" s="2" t="inlineStr"/>
    </row>
    <row r="340" ht="15" customHeight="1">
      <c r="A340" t="inlineStr">
        <is>
          <t>A 52135-2025</t>
        </is>
      </c>
      <c r="B340" s="1" t="n">
        <v>45952.84231481481</v>
      </c>
      <c r="C340" s="1" t="n">
        <v>46107</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37786-2024</t>
        </is>
      </c>
      <c r="B341" s="1" t="n">
        <v>45542.82987268519</v>
      </c>
      <c r="C341" s="1" t="n">
        <v>46107</v>
      </c>
      <c r="D341" t="inlineStr">
        <is>
          <t>ÖREBRO LÄN</t>
        </is>
      </c>
      <c r="E341" t="inlineStr">
        <is>
          <t>ÖREBRO</t>
        </is>
      </c>
      <c r="G341" t="n">
        <v>3.1</v>
      </c>
      <c r="H341" t="n">
        <v>0</v>
      </c>
      <c r="I341" t="n">
        <v>0</v>
      </c>
      <c r="J341" t="n">
        <v>0</v>
      </c>
      <c r="K341" t="n">
        <v>0</v>
      </c>
      <c r="L341" t="n">
        <v>0</v>
      </c>
      <c r="M341" t="n">
        <v>0</v>
      </c>
      <c r="N341" t="n">
        <v>0</v>
      </c>
      <c r="O341" t="n">
        <v>0</v>
      </c>
      <c r="P341" t="n">
        <v>0</v>
      </c>
      <c r="Q341" t="n">
        <v>0</v>
      </c>
      <c r="R341" s="2" t="inlineStr"/>
    </row>
    <row r="342" ht="15" customHeight="1">
      <c r="A342" t="inlineStr">
        <is>
          <t>A 58615-2024</t>
        </is>
      </c>
      <c r="B342" s="1" t="n">
        <v>45635.5587037037</v>
      </c>
      <c r="C342" s="1" t="n">
        <v>46107</v>
      </c>
      <c r="D342" t="inlineStr">
        <is>
          <t>ÖREBRO LÄN</t>
        </is>
      </c>
      <c r="E342" t="inlineStr">
        <is>
          <t>ÖREBRO</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59121-2024</t>
        </is>
      </c>
      <c r="B343" s="1" t="n">
        <v>45637.37755787037</v>
      </c>
      <c r="C343" s="1" t="n">
        <v>46107</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45517-2023</t>
        </is>
      </c>
      <c r="B344" s="1" t="n">
        <v>45194.49594907407</v>
      </c>
      <c r="C344" s="1" t="n">
        <v>46107</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30743-2025</t>
        </is>
      </c>
      <c r="B345" s="1" t="n">
        <v>45831</v>
      </c>
      <c r="C345" s="1" t="n">
        <v>46107</v>
      </c>
      <c r="D345" t="inlineStr">
        <is>
          <t>ÖREBRO LÄN</t>
        </is>
      </c>
      <c r="E345" t="inlineStr">
        <is>
          <t>ÖREBRO</t>
        </is>
      </c>
      <c r="G345" t="n">
        <v>2.9</v>
      </c>
      <c r="H345" t="n">
        <v>0</v>
      </c>
      <c r="I345" t="n">
        <v>0</v>
      </c>
      <c r="J345" t="n">
        <v>0</v>
      </c>
      <c r="K345" t="n">
        <v>0</v>
      </c>
      <c r="L345" t="n">
        <v>0</v>
      </c>
      <c r="M345" t="n">
        <v>0</v>
      </c>
      <c r="N345" t="n">
        <v>0</v>
      </c>
      <c r="O345" t="n">
        <v>0</v>
      </c>
      <c r="P345" t="n">
        <v>0</v>
      </c>
      <c r="Q345" t="n">
        <v>0</v>
      </c>
      <c r="R345" s="2" t="inlineStr"/>
    </row>
    <row r="346" ht="15" customHeight="1">
      <c r="A346" t="inlineStr">
        <is>
          <t>A 49215-2023</t>
        </is>
      </c>
      <c r="B346" s="1" t="n">
        <v>45210.61050925926</v>
      </c>
      <c r="C346" s="1" t="n">
        <v>46107</v>
      </c>
      <c r="D346" t="inlineStr">
        <is>
          <t>ÖREBRO LÄN</t>
        </is>
      </c>
      <c r="E346" t="inlineStr">
        <is>
          <t>ÖREBRO</t>
        </is>
      </c>
      <c r="F346" t="inlineStr">
        <is>
          <t>Övriga Aktiebolag</t>
        </is>
      </c>
      <c r="G346" t="n">
        <v>4.2</v>
      </c>
      <c r="H346" t="n">
        <v>0</v>
      </c>
      <c r="I346" t="n">
        <v>0</v>
      </c>
      <c r="J346" t="n">
        <v>0</v>
      </c>
      <c r="K346" t="n">
        <v>0</v>
      </c>
      <c r="L346" t="n">
        <v>0</v>
      </c>
      <c r="M346" t="n">
        <v>0</v>
      </c>
      <c r="N346" t="n">
        <v>0</v>
      </c>
      <c r="O346" t="n">
        <v>0</v>
      </c>
      <c r="P346" t="n">
        <v>0</v>
      </c>
      <c r="Q346" t="n">
        <v>0</v>
      </c>
      <c r="R346" s="2" t="inlineStr"/>
    </row>
    <row r="347" ht="15" customHeight="1">
      <c r="A347" t="inlineStr">
        <is>
          <t>A 3652-2022</t>
        </is>
      </c>
      <c r="B347" s="1" t="n">
        <v>44586.46921296296</v>
      </c>
      <c r="C347" s="1" t="n">
        <v>46107</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25407-2021</t>
        </is>
      </c>
      <c r="B348" s="1" t="n">
        <v>44342</v>
      </c>
      <c r="C348" s="1" t="n">
        <v>46107</v>
      </c>
      <c r="D348" t="inlineStr">
        <is>
          <t>ÖREBRO LÄN</t>
        </is>
      </c>
      <c r="E348" t="inlineStr">
        <is>
          <t>ÖREBRO</t>
        </is>
      </c>
      <c r="F348" t="inlineStr">
        <is>
          <t>Kommuner</t>
        </is>
      </c>
      <c r="G348" t="n">
        <v>7.2</v>
      </c>
      <c r="H348" t="n">
        <v>0</v>
      </c>
      <c r="I348" t="n">
        <v>0</v>
      </c>
      <c r="J348" t="n">
        <v>0</v>
      </c>
      <c r="K348" t="n">
        <v>0</v>
      </c>
      <c r="L348" t="n">
        <v>0</v>
      </c>
      <c r="M348" t="n">
        <v>0</v>
      </c>
      <c r="N348" t="n">
        <v>0</v>
      </c>
      <c r="O348" t="n">
        <v>0</v>
      </c>
      <c r="P348" t="n">
        <v>0</v>
      </c>
      <c r="Q348" t="n">
        <v>0</v>
      </c>
      <c r="R348" s="2" t="inlineStr"/>
    </row>
    <row r="349" ht="15" customHeight="1">
      <c r="A349" t="inlineStr">
        <is>
          <t>A 12245-2023</t>
        </is>
      </c>
      <c r="B349" s="1" t="n">
        <v>44998.64402777778</v>
      </c>
      <c r="C349" s="1" t="n">
        <v>46107</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52382-2025</t>
        </is>
      </c>
      <c r="B350" s="1" t="n">
        <v>45953.9559837963</v>
      </c>
      <c r="C350" s="1" t="n">
        <v>46107</v>
      </c>
      <c r="D350" t="inlineStr">
        <is>
          <t>ÖREBRO LÄN</t>
        </is>
      </c>
      <c r="E350" t="inlineStr">
        <is>
          <t>ÖREBRO</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17983-2025</t>
        </is>
      </c>
      <c r="B351" s="1" t="n">
        <v>45761.38829861111</v>
      </c>
      <c r="C351" s="1" t="n">
        <v>46107</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7134-2025</t>
        </is>
      </c>
      <c r="B352" s="1" t="n">
        <v>45702</v>
      </c>
      <c r="C352" s="1" t="n">
        <v>46107</v>
      </c>
      <c r="D352" t="inlineStr">
        <is>
          <t>ÖREBRO LÄN</t>
        </is>
      </c>
      <c r="E352" t="inlineStr">
        <is>
          <t>ÖREBRO</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60506-2024</t>
        </is>
      </c>
      <c r="B353" s="1" t="n">
        <v>45643.66630787037</v>
      </c>
      <c r="C353" s="1" t="n">
        <v>46107</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29978-2024</t>
        </is>
      </c>
      <c r="B354" s="1" t="n">
        <v>45488.48340277778</v>
      </c>
      <c r="C354" s="1" t="n">
        <v>46107</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53350-2025</t>
        </is>
      </c>
      <c r="B355" s="1" t="n">
        <v>45959.43827546296</v>
      </c>
      <c r="C355" s="1" t="n">
        <v>46107</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53715-2025</t>
        </is>
      </c>
      <c r="B356" s="1" t="n">
        <v>45960.61763888889</v>
      </c>
      <c r="C356" s="1" t="n">
        <v>46107</v>
      </c>
      <c r="D356" t="inlineStr">
        <is>
          <t>ÖREBRO LÄN</t>
        </is>
      </c>
      <c r="E356" t="inlineStr">
        <is>
          <t>ÖREBRO</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53719-2025</t>
        </is>
      </c>
      <c r="B357" s="1" t="n">
        <v>45960.62042824074</v>
      </c>
      <c r="C357" s="1" t="n">
        <v>46107</v>
      </c>
      <c r="D357" t="inlineStr">
        <is>
          <t>ÖREBRO LÄN</t>
        </is>
      </c>
      <c r="E357" t="inlineStr">
        <is>
          <t>ÖREBRO</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53343-2025</t>
        </is>
      </c>
      <c r="B358" s="1" t="n">
        <v>45959.42025462963</v>
      </c>
      <c r="C358" s="1" t="n">
        <v>46107</v>
      </c>
      <c r="D358" t="inlineStr">
        <is>
          <t>ÖREBRO LÄN</t>
        </is>
      </c>
      <c r="E358" t="inlineStr">
        <is>
          <t>ÖREBRO</t>
        </is>
      </c>
      <c r="G358" t="n">
        <v>0.5</v>
      </c>
      <c r="H358" t="n">
        <v>0</v>
      </c>
      <c r="I358" t="n">
        <v>0</v>
      </c>
      <c r="J358" t="n">
        <v>0</v>
      </c>
      <c r="K358" t="n">
        <v>0</v>
      </c>
      <c r="L358" t="n">
        <v>0</v>
      </c>
      <c r="M358" t="n">
        <v>0</v>
      </c>
      <c r="N358" t="n">
        <v>0</v>
      </c>
      <c r="O358" t="n">
        <v>0</v>
      </c>
      <c r="P358" t="n">
        <v>0</v>
      </c>
      <c r="Q358" t="n">
        <v>0</v>
      </c>
      <c r="R358" s="2" t="inlineStr"/>
    </row>
    <row r="359" ht="15" customHeight="1">
      <c r="A359" t="inlineStr">
        <is>
          <t>A 53437-2025</t>
        </is>
      </c>
      <c r="B359" s="1" t="n">
        <v>45959.63440972222</v>
      </c>
      <c r="C359" s="1" t="n">
        <v>46107</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53342-2025</t>
        </is>
      </c>
      <c r="B360" s="1" t="n">
        <v>45959.41769675926</v>
      </c>
      <c r="C360" s="1" t="n">
        <v>46107</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30903-2024</t>
        </is>
      </c>
      <c r="B361" s="1" t="n">
        <v>45498.49946759259</v>
      </c>
      <c r="C361" s="1" t="n">
        <v>46107</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58611-2024</t>
        </is>
      </c>
      <c r="B362" s="1" t="n">
        <v>45635.55555555555</v>
      </c>
      <c r="C362" s="1" t="n">
        <v>46107</v>
      </c>
      <c r="D362" t="inlineStr">
        <is>
          <t>ÖREBRO LÄN</t>
        </is>
      </c>
      <c r="E362" t="inlineStr">
        <is>
          <t>ÖREBRO</t>
        </is>
      </c>
      <c r="F362" t="inlineStr">
        <is>
          <t>Sveaskog</t>
        </is>
      </c>
      <c r="G362" t="n">
        <v>0.3</v>
      </c>
      <c r="H362" t="n">
        <v>0</v>
      </c>
      <c r="I362" t="n">
        <v>0</v>
      </c>
      <c r="J362" t="n">
        <v>0</v>
      </c>
      <c r="K362" t="n">
        <v>0</v>
      </c>
      <c r="L362" t="n">
        <v>0</v>
      </c>
      <c r="M362" t="n">
        <v>0</v>
      </c>
      <c r="N362" t="n">
        <v>0</v>
      </c>
      <c r="O362" t="n">
        <v>0</v>
      </c>
      <c r="P362" t="n">
        <v>0</v>
      </c>
      <c r="Q362" t="n">
        <v>0</v>
      </c>
      <c r="R362" s="2" t="inlineStr"/>
    </row>
    <row r="363" ht="15" customHeight="1">
      <c r="A363" t="inlineStr">
        <is>
          <t>A 53443-2025</t>
        </is>
      </c>
      <c r="B363" s="1" t="n">
        <v>45959.6444675926</v>
      </c>
      <c r="C363" s="1" t="n">
        <v>46107</v>
      </c>
      <c r="D363" t="inlineStr">
        <is>
          <t>ÖREBRO LÄN</t>
        </is>
      </c>
      <c r="E363" t="inlineStr">
        <is>
          <t>ÖREBRO</t>
        </is>
      </c>
      <c r="G363" t="n">
        <v>2.8</v>
      </c>
      <c r="H363" t="n">
        <v>0</v>
      </c>
      <c r="I363" t="n">
        <v>0</v>
      </c>
      <c r="J363" t="n">
        <v>0</v>
      </c>
      <c r="K363" t="n">
        <v>0</v>
      </c>
      <c r="L363" t="n">
        <v>0</v>
      </c>
      <c r="M363" t="n">
        <v>0</v>
      </c>
      <c r="N363" t="n">
        <v>0</v>
      </c>
      <c r="O363" t="n">
        <v>0</v>
      </c>
      <c r="P363" t="n">
        <v>0</v>
      </c>
      <c r="Q363" t="n">
        <v>0</v>
      </c>
      <c r="R363" s="2" t="inlineStr"/>
    </row>
    <row r="364" ht="15" customHeight="1">
      <c r="A364" t="inlineStr">
        <is>
          <t>A 55692-2023</t>
        </is>
      </c>
      <c r="B364" s="1" t="n">
        <v>45239</v>
      </c>
      <c r="C364" s="1" t="n">
        <v>46107</v>
      </c>
      <c r="D364" t="inlineStr">
        <is>
          <t>ÖREBRO LÄN</t>
        </is>
      </c>
      <c r="E364" t="inlineStr">
        <is>
          <t>ÖREBRO</t>
        </is>
      </c>
      <c r="F364" t="inlineStr">
        <is>
          <t>Övriga Aktiebolag</t>
        </is>
      </c>
      <c r="G364" t="n">
        <v>0.4</v>
      </c>
      <c r="H364" t="n">
        <v>0</v>
      </c>
      <c r="I364" t="n">
        <v>0</v>
      </c>
      <c r="J364" t="n">
        <v>0</v>
      </c>
      <c r="K364" t="n">
        <v>0</v>
      </c>
      <c r="L364" t="n">
        <v>0</v>
      </c>
      <c r="M364" t="n">
        <v>0</v>
      </c>
      <c r="N364" t="n">
        <v>0</v>
      </c>
      <c r="O364" t="n">
        <v>0</v>
      </c>
      <c r="P364" t="n">
        <v>0</v>
      </c>
      <c r="Q364" t="n">
        <v>0</v>
      </c>
      <c r="R364" s="2" t="inlineStr"/>
    </row>
    <row r="365" ht="15" customHeight="1">
      <c r="A365" t="inlineStr">
        <is>
          <t>A 20146-2024</t>
        </is>
      </c>
      <c r="B365" s="1" t="n">
        <v>45434.57641203704</v>
      </c>
      <c r="C365" s="1" t="n">
        <v>46107</v>
      </c>
      <c r="D365" t="inlineStr">
        <is>
          <t>ÖREBRO LÄN</t>
        </is>
      </c>
      <c r="E365" t="inlineStr">
        <is>
          <t>ÖREBRO</t>
        </is>
      </c>
      <c r="G365" t="n">
        <v>0.5</v>
      </c>
      <c r="H365" t="n">
        <v>0</v>
      </c>
      <c r="I365" t="n">
        <v>0</v>
      </c>
      <c r="J365" t="n">
        <v>0</v>
      </c>
      <c r="K365" t="n">
        <v>0</v>
      </c>
      <c r="L365" t="n">
        <v>0</v>
      </c>
      <c r="M365" t="n">
        <v>0</v>
      </c>
      <c r="N365" t="n">
        <v>0</v>
      </c>
      <c r="O365" t="n">
        <v>0</v>
      </c>
      <c r="P365" t="n">
        <v>0</v>
      </c>
      <c r="Q365" t="n">
        <v>0</v>
      </c>
      <c r="R365" s="2" t="inlineStr"/>
    </row>
    <row r="366" ht="15" customHeight="1">
      <c r="A366" t="inlineStr">
        <is>
          <t>A 53143-2023</t>
        </is>
      </c>
      <c r="B366" s="1" t="n">
        <v>45229</v>
      </c>
      <c r="C366" s="1" t="n">
        <v>46107</v>
      </c>
      <c r="D366" t="inlineStr">
        <is>
          <t>ÖREBRO LÄN</t>
        </is>
      </c>
      <c r="E366" t="inlineStr">
        <is>
          <t>ÖREBRO</t>
        </is>
      </c>
      <c r="G366" t="n">
        <v>3.3</v>
      </c>
      <c r="H366" t="n">
        <v>0</v>
      </c>
      <c r="I366" t="n">
        <v>0</v>
      </c>
      <c r="J366" t="n">
        <v>0</v>
      </c>
      <c r="K366" t="n">
        <v>0</v>
      </c>
      <c r="L366" t="n">
        <v>0</v>
      </c>
      <c r="M366" t="n">
        <v>0</v>
      </c>
      <c r="N366" t="n">
        <v>0</v>
      </c>
      <c r="O366" t="n">
        <v>0</v>
      </c>
      <c r="P366" t="n">
        <v>0</v>
      </c>
      <c r="Q366" t="n">
        <v>0</v>
      </c>
      <c r="R366" s="2" t="inlineStr"/>
    </row>
    <row r="367" ht="15" customHeight="1">
      <c r="A367" t="inlineStr">
        <is>
          <t>A 8656-2025</t>
        </is>
      </c>
      <c r="B367" s="1" t="n">
        <v>45712.38268518518</v>
      </c>
      <c r="C367" s="1" t="n">
        <v>46107</v>
      </c>
      <c r="D367" t="inlineStr">
        <is>
          <t>ÖREBRO LÄN</t>
        </is>
      </c>
      <c r="E367" t="inlineStr">
        <is>
          <t>ÖREBRO</t>
        </is>
      </c>
      <c r="G367" t="n">
        <v>2.7</v>
      </c>
      <c r="H367" t="n">
        <v>0</v>
      </c>
      <c r="I367" t="n">
        <v>0</v>
      </c>
      <c r="J367" t="n">
        <v>0</v>
      </c>
      <c r="K367" t="n">
        <v>0</v>
      </c>
      <c r="L367" t="n">
        <v>0</v>
      </c>
      <c r="M367" t="n">
        <v>0</v>
      </c>
      <c r="N367" t="n">
        <v>0</v>
      </c>
      <c r="O367" t="n">
        <v>0</v>
      </c>
      <c r="P367" t="n">
        <v>0</v>
      </c>
      <c r="Q367" t="n">
        <v>0</v>
      </c>
      <c r="R367" s="2" t="inlineStr"/>
    </row>
    <row r="368" ht="15" customHeight="1">
      <c r="A368" t="inlineStr">
        <is>
          <t>A 5762-2025</t>
        </is>
      </c>
      <c r="B368" s="1" t="n">
        <v>45694.57181712963</v>
      </c>
      <c r="C368" s="1" t="n">
        <v>46107</v>
      </c>
      <c r="D368" t="inlineStr">
        <is>
          <t>ÖREBRO LÄN</t>
        </is>
      </c>
      <c r="E368" t="inlineStr">
        <is>
          <t>ÖREBRO</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14715-2024</t>
        </is>
      </c>
      <c r="B369" s="1" t="n">
        <v>45397.5500462963</v>
      </c>
      <c r="C369" s="1" t="n">
        <v>46107</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54205-2025</t>
        </is>
      </c>
      <c r="B370" s="1" t="n">
        <v>45964.58512731481</v>
      </c>
      <c r="C370" s="1" t="n">
        <v>46107</v>
      </c>
      <c r="D370" t="inlineStr">
        <is>
          <t>ÖREBRO LÄN</t>
        </is>
      </c>
      <c r="E370" t="inlineStr">
        <is>
          <t>ÖREBRO</t>
        </is>
      </c>
      <c r="G370" t="n">
        <v>24.3</v>
      </c>
      <c r="H370" t="n">
        <v>0</v>
      </c>
      <c r="I370" t="n">
        <v>0</v>
      </c>
      <c r="J370" t="n">
        <v>0</v>
      </c>
      <c r="K370" t="n">
        <v>0</v>
      </c>
      <c r="L370" t="n">
        <v>0</v>
      </c>
      <c r="M370" t="n">
        <v>0</v>
      </c>
      <c r="N370" t="n">
        <v>0</v>
      </c>
      <c r="O370" t="n">
        <v>0</v>
      </c>
      <c r="P370" t="n">
        <v>0</v>
      </c>
      <c r="Q370" t="n">
        <v>0</v>
      </c>
      <c r="R370" s="2" t="inlineStr"/>
    </row>
    <row r="371" ht="15" customHeight="1">
      <c r="A371" t="inlineStr">
        <is>
          <t>A 62794-2021</t>
        </is>
      </c>
      <c r="B371" s="1" t="n">
        <v>44504</v>
      </c>
      <c r="C371" s="1" t="n">
        <v>46107</v>
      </c>
      <c r="D371" t="inlineStr">
        <is>
          <t>ÖREBRO LÄN</t>
        </is>
      </c>
      <c r="E371" t="inlineStr">
        <is>
          <t>ÖREBRO</t>
        </is>
      </c>
      <c r="G371" t="n">
        <v>3.3</v>
      </c>
      <c r="H371" t="n">
        <v>0</v>
      </c>
      <c r="I371" t="n">
        <v>0</v>
      </c>
      <c r="J371" t="n">
        <v>0</v>
      </c>
      <c r="K371" t="n">
        <v>0</v>
      </c>
      <c r="L371" t="n">
        <v>0</v>
      </c>
      <c r="M371" t="n">
        <v>0</v>
      </c>
      <c r="N371" t="n">
        <v>0</v>
      </c>
      <c r="O371" t="n">
        <v>0</v>
      </c>
      <c r="P371" t="n">
        <v>0</v>
      </c>
      <c r="Q371" t="n">
        <v>0</v>
      </c>
      <c r="R371" s="2" t="inlineStr"/>
    </row>
    <row r="372" ht="15" customHeight="1">
      <c r="A372" t="inlineStr">
        <is>
          <t>A 52612-2024</t>
        </is>
      </c>
      <c r="B372" s="1" t="n">
        <v>45609</v>
      </c>
      <c r="C372" s="1" t="n">
        <v>46107</v>
      </c>
      <c r="D372" t="inlineStr">
        <is>
          <t>ÖREBRO LÄN</t>
        </is>
      </c>
      <c r="E372" t="inlineStr">
        <is>
          <t>ÖREBRO</t>
        </is>
      </c>
      <c r="F372" t="inlineStr">
        <is>
          <t>Kommuner</t>
        </is>
      </c>
      <c r="G372" t="n">
        <v>5.5</v>
      </c>
      <c r="H372" t="n">
        <v>0</v>
      </c>
      <c r="I372" t="n">
        <v>0</v>
      </c>
      <c r="J372" t="n">
        <v>0</v>
      </c>
      <c r="K372" t="n">
        <v>0</v>
      </c>
      <c r="L372" t="n">
        <v>0</v>
      </c>
      <c r="M372" t="n">
        <v>0</v>
      </c>
      <c r="N372" t="n">
        <v>0</v>
      </c>
      <c r="O372" t="n">
        <v>0</v>
      </c>
      <c r="P372" t="n">
        <v>0</v>
      </c>
      <c r="Q372" t="n">
        <v>0</v>
      </c>
      <c r="R372" s="2" t="inlineStr"/>
    </row>
    <row r="373" ht="15" customHeight="1">
      <c r="A373" t="inlineStr">
        <is>
          <t>A 12682-2023</t>
        </is>
      </c>
      <c r="B373" s="1" t="n">
        <v>45000.6115625</v>
      </c>
      <c r="C373" s="1" t="n">
        <v>46107</v>
      </c>
      <c r="D373" t="inlineStr">
        <is>
          <t>ÖREBRO LÄN</t>
        </is>
      </c>
      <c r="E373" t="inlineStr">
        <is>
          <t>ÖREBRO</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5795-2024</t>
        </is>
      </c>
      <c r="B374" s="1" t="n">
        <v>45335.4531712963</v>
      </c>
      <c r="C374" s="1" t="n">
        <v>46107</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13592-2023</t>
        </is>
      </c>
      <c r="B375" s="1" t="n">
        <v>45006.56870370371</v>
      </c>
      <c r="C375" s="1" t="n">
        <v>46107</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54485-2025</t>
        </is>
      </c>
      <c r="B376" s="1" t="n">
        <v>45965.59295138889</v>
      </c>
      <c r="C376" s="1" t="n">
        <v>46107</v>
      </c>
      <c r="D376" t="inlineStr">
        <is>
          <t>ÖREBRO LÄN</t>
        </is>
      </c>
      <c r="E376" t="inlineStr">
        <is>
          <t>ÖREBRO</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37771-2024</t>
        </is>
      </c>
      <c r="B377" s="1" t="n">
        <v>45542.31359953704</v>
      </c>
      <c r="C377" s="1" t="n">
        <v>46107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15652-2025</t>
        </is>
      </c>
      <c r="B378" s="1" t="n">
        <v>45748</v>
      </c>
      <c r="C378" s="1" t="n">
        <v>46107</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2076-2025</t>
        </is>
      </c>
      <c r="B379" s="1" t="n">
        <v>45672</v>
      </c>
      <c r="C379" s="1" t="n">
        <v>46107</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59736-2023</t>
        </is>
      </c>
      <c r="B380" s="1" t="n">
        <v>45257.374375</v>
      </c>
      <c r="C380" s="1" t="n">
        <v>46107</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14960-2025</t>
        </is>
      </c>
      <c r="B381" s="1" t="n">
        <v>45743.5853125</v>
      </c>
      <c r="C381" s="1" t="n">
        <v>46107</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60022-2024</t>
        </is>
      </c>
      <c r="B382" s="1" t="n">
        <v>45642</v>
      </c>
      <c r="C382" s="1" t="n">
        <v>46107</v>
      </c>
      <c r="D382" t="inlineStr">
        <is>
          <t>ÖREBRO LÄN</t>
        </is>
      </c>
      <c r="E382" t="inlineStr">
        <is>
          <t>ÖREBRO</t>
        </is>
      </c>
      <c r="G382" t="n">
        <v>1.7</v>
      </c>
      <c r="H382" t="n">
        <v>0</v>
      </c>
      <c r="I382" t="n">
        <v>0</v>
      </c>
      <c r="J382" t="n">
        <v>0</v>
      </c>
      <c r="K382" t="n">
        <v>0</v>
      </c>
      <c r="L382" t="n">
        <v>0</v>
      </c>
      <c r="M382" t="n">
        <v>0</v>
      </c>
      <c r="N382" t="n">
        <v>0</v>
      </c>
      <c r="O382" t="n">
        <v>0</v>
      </c>
      <c r="P382" t="n">
        <v>0</v>
      </c>
      <c r="Q382" t="n">
        <v>0</v>
      </c>
      <c r="R382" s="2" t="inlineStr"/>
    </row>
    <row r="383" ht="15" customHeight="1">
      <c r="A383" t="inlineStr">
        <is>
          <t>A 55355-2024</t>
        </is>
      </c>
      <c r="B383" s="1" t="n">
        <v>45621.80475694445</v>
      </c>
      <c r="C383" s="1" t="n">
        <v>46107</v>
      </c>
      <c r="D383" t="inlineStr">
        <is>
          <t>ÖREBRO LÄN</t>
        </is>
      </c>
      <c r="E383" t="inlineStr">
        <is>
          <t>ÖREBRO</t>
        </is>
      </c>
      <c r="G383" t="n">
        <v>1.6</v>
      </c>
      <c r="H383" t="n">
        <v>0</v>
      </c>
      <c r="I383" t="n">
        <v>0</v>
      </c>
      <c r="J383" t="n">
        <v>0</v>
      </c>
      <c r="K383" t="n">
        <v>0</v>
      </c>
      <c r="L383" t="n">
        <v>0</v>
      </c>
      <c r="M383" t="n">
        <v>0</v>
      </c>
      <c r="N383" t="n">
        <v>0</v>
      </c>
      <c r="O383" t="n">
        <v>0</v>
      </c>
      <c r="P383" t="n">
        <v>0</v>
      </c>
      <c r="Q383" t="n">
        <v>0</v>
      </c>
      <c r="R383" s="2" t="inlineStr"/>
    </row>
    <row r="384" ht="15" customHeight="1">
      <c r="A384" t="inlineStr">
        <is>
          <t>A 21097-2025</t>
        </is>
      </c>
      <c r="B384" s="1" t="n">
        <v>45777.63863425926</v>
      </c>
      <c r="C384" s="1" t="n">
        <v>46107</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55748-2025</t>
        </is>
      </c>
      <c r="B385" s="1" t="n">
        <v>45972.57893518519</v>
      </c>
      <c r="C385" s="1" t="n">
        <v>46107</v>
      </c>
      <c r="D385" t="inlineStr">
        <is>
          <t>ÖREBRO LÄN</t>
        </is>
      </c>
      <c r="E385" t="inlineStr">
        <is>
          <t>ÖREBRO</t>
        </is>
      </c>
      <c r="G385" t="n">
        <v>1.5</v>
      </c>
      <c r="H385" t="n">
        <v>0</v>
      </c>
      <c r="I385" t="n">
        <v>0</v>
      </c>
      <c r="J385" t="n">
        <v>0</v>
      </c>
      <c r="K385" t="n">
        <v>0</v>
      </c>
      <c r="L385" t="n">
        <v>0</v>
      </c>
      <c r="M385" t="n">
        <v>0</v>
      </c>
      <c r="N385" t="n">
        <v>0</v>
      </c>
      <c r="O385" t="n">
        <v>0</v>
      </c>
      <c r="P385" t="n">
        <v>0</v>
      </c>
      <c r="Q385" t="n">
        <v>0</v>
      </c>
      <c r="R385" s="2" t="inlineStr"/>
    </row>
    <row r="386" ht="15" customHeight="1">
      <c r="A386" t="inlineStr">
        <is>
          <t>A 55750-2025</t>
        </is>
      </c>
      <c r="B386" s="1" t="n">
        <v>45972.58171296296</v>
      </c>
      <c r="C386" s="1" t="n">
        <v>46107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49029-2024</t>
        </is>
      </c>
      <c r="B387" s="1" t="n">
        <v>45594</v>
      </c>
      <c r="C387" s="1" t="n">
        <v>46107</v>
      </c>
      <c r="D387" t="inlineStr">
        <is>
          <t>ÖREBRO LÄN</t>
        </is>
      </c>
      <c r="E387" t="inlineStr">
        <is>
          <t>ÖREBRO</t>
        </is>
      </c>
      <c r="G387" t="n">
        <v>3.7</v>
      </c>
      <c r="H387" t="n">
        <v>0</v>
      </c>
      <c r="I387" t="n">
        <v>0</v>
      </c>
      <c r="J387" t="n">
        <v>0</v>
      </c>
      <c r="K387" t="n">
        <v>0</v>
      </c>
      <c r="L387" t="n">
        <v>0</v>
      </c>
      <c r="M387" t="n">
        <v>0</v>
      </c>
      <c r="N387" t="n">
        <v>0</v>
      </c>
      <c r="O387" t="n">
        <v>0</v>
      </c>
      <c r="P387" t="n">
        <v>0</v>
      </c>
      <c r="Q387" t="n">
        <v>0</v>
      </c>
      <c r="R387" s="2" t="inlineStr"/>
    </row>
    <row r="388" ht="15" customHeight="1">
      <c r="A388" t="inlineStr">
        <is>
          <t>A 20115-2024</t>
        </is>
      </c>
      <c r="B388" s="1" t="n">
        <v>45434</v>
      </c>
      <c r="C388" s="1" t="n">
        <v>46107</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55875-2024</t>
        </is>
      </c>
      <c r="B389" s="1" t="n">
        <v>45623.55375</v>
      </c>
      <c r="C389" s="1" t="n">
        <v>46107</v>
      </c>
      <c r="D389" t="inlineStr">
        <is>
          <t>ÖREBRO LÄN</t>
        </is>
      </c>
      <c r="E389" t="inlineStr">
        <is>
          <t>ÖREBRO</t>
        </is>
      </c>
      <c r="G389" t="n">
        <v>3.5</v>
      </c>
      <c r="H389" t="n">
        <v>0</v>
      </c>
      <c r="I389" t="n">
        <v>0</v>
      </c>
      <c r="J389" t="n">
        <v>0</v>
      </c>
      <c r="K389" t="n">
        <v>0</v>
      </c>
      <c r="L389" t="n">
        <v>0</v>
      </c>
      <c r="M389" t="n">
        <v>0</v>
      </c>
      <c r="N389" t="n">
        <v>0</v>
      </c>
      <c r="O389" t="n">
        <v>0</v>
      </c>
      <c r="P389" t="n">
        <v>0</v>
      </c>
      <c r="Q389" t="n">
        <v>0</v>
      </c>
      <c r="R389" s="2" t="inlineStr"/>
    </row>
    <row r="390" ht="15" customHeight="1">
      <c r="A390" t="inlineStr">
        <is>
          <t>A 55879-2025</t>
        </is>
      </c>
      <c r="B390" s="1" t="n">
        <v>45973.36508101852</v>
      </c>
      <c r="C390" s="1" t="n">
        <v>46107</v>
      </c>
      <c r="D390" t="inlineStr">
        <is>
          <t>ÖREBRO LÄN</t>
        </is>
      </c>
      <c r="E390" t="inlineStr">
        <is>
          <t>ÖREBRO</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23710-2022</t>
        </is>
      </c>
      <c r="B391" s="1" t="n">
        <v>44722</v>
      </c>
      <c r="C391" s="1" t="n">
        <v>46107</v>
      </c>
      <c r="D391" t="inlineStr">
        <is>
          <t>ÖREBRO LÄN</t>
        </is>
      </c>
      <c r="E391" t="inlineStr">
        <is>
          <t>ÖREBRO</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55888-2025</t>
        </is>
      </c>
      <c r="B392" s="1" t="n">
        <v>45973.37163194444</v>
      </c>
      <c r="C392" s="1" t="n">
        <v>46107</v>
      </c>
      <c r="D392" t="inlineStr">
        <is>
          <t>ÖREBRO LÄN</t>
        </is>
      </c>
      <c r="E392" t="inlineStr">
        <is>
          <t>ÖREBRO</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35819-2024</t>
        </is>
      </c>
      <c r="B393" s="1" t="n">
        <v>45532</v>
      </c>
      <c r="C393" s="1" t="n">
        <v>46107</v>
      </c>
      <c r="D393" t="inlineStr">
        <is>
          <t>ÖREBRO LÄN</t>
        </is>
      </c>
      <c r="E393" t="inlineStr">
        <is>
          <t>ÖREBRO</t>
        </is>
      </c>
      <c r="G393" t="n">
        <v>6.4</v>
      </c>
      <c r="H393" t="n">
        <v>0</v>
      </c>
      <c r="I393" t="n">
        <v>0</v>
      </c>
      <c r="J393" t="n">
        <v>0</v>
      </c>
      <c r="K393" t="n">
        <v>0</v>
      </c>
      <c r="L393" t="n">
        <v>0</v>
      </c>
      <c r="M393" t="n">
        <v>0</v>
      </c>
      <c r="N393" t="n">
        <v>0</v>
      </c>
      <c r="O393" t="n">
        <v>0</v>
      </c>
      <c r="P393" t="n">
        <v>0</v>
      </c>
      <c r="Q393" t="n">
        <v>0</v>
      </c>
      <c r="R393" s="2" t="inlineStr"/>
    </row>
    <row r="394" ht="15" customHeight="1">
      <c r="A394" t="inlineStr">
        <is>
          <t>A 32076-2023</t>
        </is>
      </c>
      <c r="B394" s="1" t="n">
        <v>45119.58324074074</v>
      </c>
      <c r="C394" s="1" t="n">
        <v>46107</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10470-2025</t>
        </is>
      </c>
      <c r="B395" s="1" t="n">
        <v>45720</v>
      </c>
      <c r="C395" s="1" t="n">
        <v>46107</v>
      </c>
      <c r="D395" t="inlineStr">
        <is>
          <t>ÖREBRO LÄN</t>
        </is>
      </c>
      <c r="E395" t="inlineStr">
        <is>
          <t>ÖREBRO</t>
        </is>
      </c>
      <c r="G395" t="n">
        <v>11.5</v>
      </c>
      <c r="H395" t="n">
        <v>0</v>
      </c>
      <c r="I395" t="n">
        <v>0</v>
      </c>
      <c r="J395" t="n">
        <v>0</v>
      </c>
      <c r="K395" t="n">
        <v>0</v>
      </c>
      <c r="L395" t="n">
        <v>0</v>
      </c>
      <c r="M395" t="n">
        <v>0</v>
      </c>
      <c r="N395" t="n">
        <v>0</v>
      </c>
      <c r="O395" t="n">
        <v>0</v>
      </c>
      <c r="P395" t="n">
        <v>0</v>
      </c>
      <c r="Q395" t="n">
        <v>0</v>
      </c>
      <c r="R395" s="2" t="inlineStr"/>
    </row>
    <row r="396" ht="15" customHeight="1">
      <c r="A396" t="inlineStr">
        <is>
          <t>A 46056-2024</t>
        </is>
      </c>
      <c r="B396" s="1" t="n">
        <v>45580.91502314815</v>
      </c>
      <c r="C396" s="1" t="n">
        <v>46107</v>
      </c>
      <c r="D396" t="inlineStr">
        <is>
          <t>ÖREBRO LÄN</t>
        </is>
      </c>
      <c r="E396" t="inlineStr">
        <is>
          <t>ÖREBRO</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764-2024</t>
        </is>
      </c>
      <c r="B397" s="1" t="n">
        <v>45300.51512731481</v>
      </c>
      <c r="C397" s="1" t="n">
        <v>46107</v>
      </c>
      <c r="D397" t="inlineStr">
        <is>
          <t>ÖREBRO LÄN</t>
        </is>
      </c>
      <c r="E397" t="inlineStr">
        <is>
          <t>ÖREBRO</t>
        </is>
      </c>
      <c r="G397" t="n">
        <v>2</v>
      </c>
      <c r="H397" t="n">
        <v>0</v>
      </c>
      <c r="I397" t="n">
        <v>0</v>
      </c>
      <c r="J397" t="n">
        <v>0</v>
      </c>
      <c r="K397" t="n">
        <v>0</v>
      </c>
      <c r="L397" t="n">
        <v>0</v>
      </c>
      <c r="M397" t="n">
        <v>0</v>
      </c>
      <c r="N397" t="n">
        <v>0</v>
      </c>
      <c r="O397" t="n">
        <v>0</v>
      </c>
      <c r="P397" t="n">
        <v>0</v>
      </c>
      <c r="Q397" t="n">
        <v>0</v>
      </c>
      <c r="R397" s="2" t="inlineStr"/>
    </row>
    <row r="398" ht="15" customHeight="1">
      <c r="A398" t="inlineStr">
        <is>
          <t>A 13355-2023</t>
        </is>
      </c>
      <c r="B398" s="1" t="n">
        <v>45004</v>
      </c>
      <c r="C398" s="1" t="n">
        <v>46107</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6522-2023</t>
        </is>
      </c>
      <c r="B399" s="1" t="n">
        <v>44966</v>
      </c>
      <c r="C399" s="1" t="n">
        <v>46107</v>
      </c>
      <c r="D399" t="inlineStr">
        <is>
          <t>ÖREBRO LÄN</t>
        </is>
      </c>
      <c r="E399" t="inlineStr">
        <is>
          <t>ÖREBRO</t>
        </is>
      </c>
      <c r="G399" t="n">
        <v>4.4</v>
      </c>
      <c r="H399" t="n">
        <v>0</v>
      </c>
      <c r="I399" t="n">
        <v>0</v>
      </c>
      <c r="J399" t="n">
        <v>0</v>
      </c>
      <c r="K399" t="n">
        <v>0</v>
      </c>
      <c r="L399" t="n">
        <v>0</v>
      </c>
      <c r="M399" t="n">
        <v>0</v>
      </c>
      <c r="N399" t="n">
        <v>0</v>
      </c>
      <c r="O399" t="n">
        <v>0</v>
      </c>
      <c r="P399" t="n">
        <v>0</v>
      </c>
      <c r="Q399" t="n">
        <v>0</v>
      </c>
      <c r="R399" s="2" t="inlineStr"/>
    </row>
    <row r="400" ht="15" customHeight="1">
      <c r="A400" t="inlineStr">
        <is>
          <t>A 56040-2024</t>
        </is>
      </c>
      <c r="B400" s="1" t="n">
        <v>45624.3344212963</v>
      </c>
      <c r="C400" s="1" t="n">
        <v>46107</v>
      </c>
      <c r="D400" t="inlineStr">
        <is>
          <t>ÖREBRO LÄN</t>
        </is>
      </c>
      <c r="E400" t="inlineStr">
        <is>
          <t>ÖREBRO</t>
        </is>
      </c>
      <c r="G400" t="n">
        <v>1.2</v>
      </c>
      <c r="H400" t="n">
        <v>0</v>
      </c>
      <c r="I400" t="n">
        <v>0</v>
      </c>
      <c r="J400" t="n">
        <v>0</v>
      </c>
      <c r="K400" t="n">
        <v>0</v>
      </c>
      <c r="L400" t="n">
        <v>0</v>
      </c>
      <c r="M400" t="n">
        <v>0</v>
      </c>
      <c r="N400" t="n">
        <v>0</v>
      </c>
      <c r="O400" t="n">
        <v>0</v>
      </c>
      <c r="P400" t="n">
        <v>0</v>
      </c>
      <c r="Q400" t="n">
        <v>0</v>
      </c>
      <c r="R400" s="2" t="inlineStr"/>
    </row>
    <row r="401" ht="15" customHeight="1">
      <c r="A401" t="inlineStr">
        <is>
          <t>A 58644-2023</t>
        </is>
      </c>
      <c r="B401" s="1" t="n">
        <v>45251.58716435185</v>
      </c>
      <c r="C401" s="1" t="n">
        <v>46107</v>
      </c>
      <c r="D401" t="inlineStr">
        <is>
          <t>ÖREBRO LÄN</t>
        </is>
      </c>
      <c r="E401" t="inlineStr">
        <is>
          <t>ÖREBRO</t>
        </is>
      </c>
      <c r="F401" t="inlineStr">
        <is>
          <t>Övriga Aktiebolag</t>
        </is>
      </c>
      <c r="G401" t="n">
        <v>1.9</v>
      </c>
      <c r="H401" t="n">
        <v>0</v>
      </c>
      <c r="I401" t="n">
        <v>0</v>
      </c>
      <c r="J401" t="n">
        <v>0</v>
      </c>
      <c r="K401" t="n">
        <v>0</v>
      </c>
      <c r="L401" t="n">
        <v>0</v>
      </c>
      <c r="M401" t="n">
        <v>0</v>
      </c>
      <c r="N401" t="n">
        <v>0</v>
      </c>
      <c r="O401" t="n">
        <v>0</v>
      </c>
      <c r="P401" t="n">
        <v>0</v>
      </c>
      <c r="Q401" t="n">
        <v>0</v>
      </c>
      <c r="R401" s="2" t="inlineStr"/>
    </row>
    <row r="402" ht="15" customHeight="1">
      <c r="A402" t="inlineStr">
        <is>
          <t>A 52444-2024</t>
        </is>
      </c>
      <c r="B402" s="1" t="n">
        <v>45609.48894675926</v>
      </c>
      <c r="C402" s="1" t="n">
        <v>46107</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57537-2025</t>
        </is>
      </c>
      <c r="B403" s="1" t="n">
        <v>45980.6446875</v>
      </c>
      <c r="C403" s="1" t="n">
        <v>46107</v>
      </c>
      <c r="D403" t="inlineStr">
        <is>
          <t>ÖREBRO LÄN</t>
        </is>
      </c>
      <c r="E403" t="inlineStr">
        <is>
          <t>ÖREBRO</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21338-2025</t>
        </is>
      </c>
      <c r="B404" s="1" t="n">
        <v>45780</v>
      </c>
      <c r="C404" s="1" t="n">
        <v>46107</v>
      </c>
      <c r="D404" t="inlineStr">
        <is>
          <t>ÖREBRO LÄN</t>
        </is>
      </c>
      <c r="E404" t="inlineStr">
        <is>
          <t>ÖREBRO</t>
        </is>
      </c>
      <c r="G404" t="n">
        <v>3.2</v>
      </c>
      <c r="H404" t="n">
        <v>0</v>
      </c>
      <c r="I404" t="n">
        <v>0</v>
      </c>
      <c r="J404" t="n">
        <v>0</v>
      </c>
      <c r="K404" t="n">
        <v>0</v>
      </c>
      <c r="L404" t="n">
        <v>0</v>
      </c>
      <c r="M404" t="n">
        <v>0</v>
      </c>
      <c r="N404" t="n">
        <v>0</v>
      </c>
      <c r="O404" t="n">
        <v>0</v>
      </c>
      <c r="P404" t="n">
        <v>0</v>
      </c>
      <c r="Q404" t="n">
        <v>0</v>
      </c>
      <c r="R404" s="2" t="inlineStr"/>
    </row>
    <row r="405" ht="15" customHeight="1">
      <c r="A405" t="inlineStr">
        <is>
          <t>A 60128-2023</t>
        </is>
      </c>
      <c r="B405" s="1" t="n">
        <v>45258</v>
      </c>
      <c r="C405" s="1" t="n">
        <v>46107</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16140-2023</t>
        </is>
      </c>
      <c r="B406" s="1" t="n">
        <v>45027.6433912037</v>
      </c>
      <c r="C406" s="1" t="n">
        <v>46107</v>
      </c>
      <c r="D406" t="inlineStr">
        <is>
          <t>ÖREBRO LÄN</t>
        </is>
      </c>
      <c r="E406" t="inlineStr">
        <is>
          <t>ÖREBRO</t>
        </is>
      </c>
      <c r="G406" t="n">
        <v>2</v>
      </c>
      <c r="H406" t="n">
        <v>0</v>
      </c>
      <c r="I406" t="n">
        <v>0</v>
      </c>
      <c r="J406" t="n">
        <v>0</v>
      </c>
      <c r="K406" t="n">
        <v>0</v>
      </c>
      <c r="L406" t="n">
        <v>0</v>
      </c>
      <c r="M406" t="n">
        <v>0</v>
      </c>
      <c r="N406" t="n">
        <v>0</v>
      </c>
      <c r="O406" t="n">
        <v>0</v>
      </c>
      <c r="P406" t="n">
        <v>0</v>
      </c>
      <c r="Q406" t="n">
        <v>0</v>
      </c>
      <c r="R406" s="2" t="inlineStr"/>
    </row>
    <row r="407" ht="15" customHeight="1">
      <c r="A407" t="inlineStr">
        <is>
          <t>A 22755-2025</t>
        </is>
      </c>
      <c r="B407" s="1" t="n">
        <v>45789.61872685186</v>
      </c>
      <c r="C407" s="1" t="n">
        <v>46107</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44199-2024</t>
        </is>
      </c>
      <c r="B408" s="1" t="n">
        <v>45573</v>
      </c>
      <c r="C408" s="1" t="n">
        <v>46107</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34336-2024</t>
        </is>
      </c>
      <c r="B409" s="1" t="n">
        <v>45524.94774305556</v>
      </c>
      <c r="C409" s="1" t="n">
        <v>46107</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26443-2024</t>
        </is>
      </c>
      <c r="B410" s="1" t="n">
        <v>45469.49901620371</v>
      </c>
      <c r="C410" s="1" t="n">
        <v>46107</v>
      </c>
      <c r="D410" t="inlineStr">
        <is>
          <t>ÖREBRO LÄN</t>
        </is>
      </c>
      <c r="E410" t="inlineStr">
        <is>
          <t>ÖREBRO</t>
        </is>
      </c>
      <c r="G410" t="n">
        <v>5.7</v>
      </c>
      <c r="H410" t="n">
        <v>0</v>
      </c>
      <c r="I410" t="n">
        <v>0</v>
      </c>
      <c r="J410" t="n">
        <v>0</v>
      </c>
      <c r="K410" t="n">
        <v>0</v>
      </c>
      <c r="L410" t="n">
        <v>0</v>
      </c>
      <c r="M410" t="n">
        <v>0</v>
      </c>
      <c r="N410" t="n">
        <v>0</v>
      </c>
      <c r="O410" t="n">
        <v>0</v>
      </c>
      <c r="P410" t="n">
        <v>0</v>
      </c>
      <c r="Q410" t="n">
        <v>0</v>
      </c>
      <c r="R410" s="2" t="inlineStr"/>
    </row>
    <row r="411" ht="15" customHeight="1">
      <c r="A411" t="inlineStr">
        <is>
          <t>A 35477-2024</t>
        </is>
      </c>
      <c r="B411" s="1" t="n">
        <v>45531</v>
      </c>
      <c r="C411" s="1" t="n">
        <v>46107</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58587-2025</t>
        </is>
      </c>
      <c r="B412" s="1" t="n">
        <v>45986.40208333333</v>
      </c>
      <c r="C412" s="1" t="n">
        <v>46107</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22719-2025</t>
        </is>
      </c>
      <c r="B413" s="1" t="n">
        <v>45789</v>
      </c>
      <c r="C413" s="1" t="n">
        <v>46107</v>
      </c>
      <c r="D413" t="inlineStr">
        <is>
          <t>ÖREBRO LÄN</t>
        </is>
      </c>
      <c r="E413" t="inlineStr">
        <is>
          <t>ÖREBRO</t>
        </is>
      </c>
      <c r="G413" t="n">
        <v>1.5</v>
      </c>
      <c r="H413" t="n">
        <v>0</v>
      </c>
      <c r="I413" t="n">
        <v>0</v>
      </c>
      <c r="J413" t="n">
        <v>0</v>
      </c>
      <c r="K413" t="n">
        <v>0</v>
      </c>
      <c r="L413" t="n">
        <v>0</v>
      </c>
      <c r="M413" t="n">
        <v>0</v>
      </c>
      <c r="N413" t="n">
        <v>0</v>
      </c>
      <c r="O413" t="n">
        <v>0</v>
      </c>
      <c r="P413" t="n">
        <v>0</v>
      </c>
      <c r="Q413" t="n">
        <v>0</v>
      </c>
      <c r="R413" s="2" t="inlineStr"/>
    </row>
    <row r="414" ht="15" customHeight="1">
      <c r="A414" t="inlineStr">
        <is>
          <t>A 30316-2024</t>
        </is>
      </c>
      <c r="B414" s="1" t="n">
        <v>45490</v>
      </c>
      <c r="C414" s="1" t="n">
        <v>46107</v>
      </c>
      <c r="D414" t="inlineStr">
        <is>
          <t>ÖREBRO LÄN</t>
        </is>
      </c>
      <c r="E414" t="inlineStr">
        <is>
          <t>ÖREBRO</t>
        </is>
      </c>
      <c r="G414" t="n">
        <v>5.5</v>
      </c>
      <c r="H414" t="n">
        <v>0</v>
      </c>
      <c r="I414" t="n">
        <v>0</v>
      </c>
      <c r="J414" t="n">
        <v>0</v>
      </c>
      <c r="K414" t="n">
        <v>0</v>
      </c>
      <c r="L414" t="n">
        <v>0</v>
      </c>
      <c r="M414" t="n">
        <v>0</v>
      </c>
      <c r="N414" t="n">
        <v>0</v>
      </c>
      <c r="O414" t="n">
        <v>0</v>
      </c>
      <c r="P414" t="n">
        <v>0</v>
      </c>
      <c r="Q414" t="n">
        <v>0</v>
      </c>
      <c r="R414" s="2" t="inlineStr"/>
    </row>
    <row r="415" ht="15" customHeight="1">
      <c r="A415" t="inlineStr">
        <is>
          <t>A 58230-2025</t>
        </is>
      </c>
      <c r="B415" s="1" t="n">
        <v>45985.38037037037</v>
      </c>
      <c r="C415" s="1" t="n">
        <v>46107</v>
      </c>
      <c r="D415" t="inlineStr">
        <is>
          <t>ÖREBRO LÄN</t>
        </is>
      </c>
      <c r="E415" t="inlineStr">
        <is>
          <t>ÖREBRO</t>
        </is>
      </c>
      <c r="F415" t="inlineStr">
        <is>
          <t>Övriga Aktiebolag</t>
        </is>
      </c>
      <c r="G415" t="n">
        <v>1.4</v>
      </c>
      <c r="H415" t="n">
        <v>0</v>
      </c>
      <c r="I415" t="n">
        <v>0</v>
      </c>
      <c r="J415" t="n">
        <v>0</v>
      </c>
      <c r="K415" t="n">
        <v>0</v>
      </c>
      <c r="L415" t="n">
        <v>0</v>
      </c>
      <c r="M415" t="n">
        <v>0</v>
      </c>
      <c r="N415" t="n">
        <v>0</v>
      </c>
      <c r="O415" t="n">
        <v>0</v>
      </c>
      <c r="P415" t="n">
        <v>0</v>
      </c>
      <c r="Q415" t="n">
        <v>0</v>
      </c>
      <c r="R415" s="2" t="inlineStr"/>
    </row>
    <row r="416" ht="15" customHeight="1">
      <c r="A416" t="inlineStr">
        <is>
          <t>A 38790-2024</t>
        </is>
      </c>
      <c r="B416" s="1" t="n">
        <v>45547.48450231482</v>
      </c>
      <c r="C416" s="1" t="n">
        <v>46107</v>
      </c>
      <c r="D416" t="inlineStr">
        <is>
          <t>ÖREBRO LÄN</t>
        </is>
      </c>
      <c r="E416" t="inlineStr">
        <is>
          <t>ÖREBRO</t>
        </is>
      </c>
      <c r="G416" t="n">
        <v>2</v>
      </c>
      <c r="H416" t="n">
        <v>0</v>
      </c>
      <c r="I416" t="n">
        <v>0</v>
      </c>
      <c r="J416" t="n">
        <v>0</v>
      </c>
      <c r="K416" t="n">
        <v>0</v>
      </c>
      <c r="L416" t="n">
        <v>0</v>
      </c>
      <c r="M416" t="n">
        <v>0</v>
      </c>
      <c r="N416" t="n">
        <v>0</v>
      </c>
      <c r="O416" t="n">
        <v>0</v>
      </c>
      <c r="P416" t="n">
        <v>0</v>
      </c>
      <c r="Q416" t="n">
        <v>0</v>
      </c>
      <c r="R416" s="2" t="inlineStr"/>
    </row>
    <row r="417" ht="15" customHeight="1">
      <c r="A417" t="inlineStr">
        <is>
          <t>A 61279-2024</t>
        </is>
      </c>
      <c r="B417" s="1" t="n">
        <v>45645</v>
      </c>
      <c r="C417" s="1" t="n">
        <v>46107</v>
      </c>
      <c r="D417" t="inlineStr">
        <is>
          <t>ÖREBRO LÄN</t>
        </is>
      </c>
      <c r="E417" t="inlineStr">
        <is>
          <t>ÖREBRO</t>
        </is>
      </c>
      <c r="G417" t="n">
        <v>0.7</v>
      </c>
      <c r="H417" t="n">
        <v>0</v>
      </c>
      <c r="I417" t="n">
        <v>0</v>
      </c>
      <c r="J417" t="n">
        <v>0</v>
      </c>
      <c r="K417" t="n">
        <v>0</v>
      </c>
      <c r="L417" t="n">
        <v>0</v>
      </c>
      <c r="M417" t="n">
        <v>0</v>
      </c>
      <c r="N417" t="n">
        <v>0</v>
      </c>
      <c r="O417" t="n">
        <v>0</v>
      </c>
      <c r="P417" t="n">
        <v>0</v>
      </c>
      <c r="Q417" t="n">
        <v>0</v>
      </c>
      <c r="R417" s="2" t="inlineStr"/>
    </row>
    <row r="418" ht="15" customHeight="1">
      <c r="A418" t="inlineStr">
        <is>
          <t>A 71269-2021</t>
        </is>
      </c>
      <c r="B418" s="1" t="n">
        <v>44539</v>
      </c>
      <c r="C418" s="1" t="n">
        <v>46107</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15555-2025</t>
        </is>
      </c>
      <c r="B419" s="1" t="n">
        <v>45747.67768518518</v>
      </c>
      <c r="C419" s="1" t="n">
        <v>46107</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59145-2025</t>
        </is>
      </c>
      <c r="B420" s="1" t="n">
        <v>45988.52015046297</v>
      </c>
      <c r="C420" s="1" t="n">
        <v>46107</v>
      </c>
      <c r="D420" t="inlineStr">
        <is>
          <t>ÖREBRO LÄN</t>
        </is>
      </c>
      <c r="E420" t="inlineStr">
        <is>
          <t>ÖREBRO</t>
        </is>
      </c>
      <c r="G420" t="n">
        <v>0.8</v>
      </c>
      <c r="H420" t="n">
        <v>0</v>
      </c>
      <c r="I420" t="n">
        <v>0</v>
      </c>
      <c r="J420" t="n">
        <v>0</v>
      </c>
      <c r="K420" t="n">
        <v>0</v>
      </c>
      <c r="L420" t="n">
        <v>0</v>
      </c>
      <c r="M420" t="n">
        <v>0</v>
      </c>
      <c r="N420" t="n">
        <v>0</v>
      </c>
      <c r="O420" t="n">
        <v>0</v>
      </c>
      <c r="P420" t="n">
        <v>0</v>
      </c>
      <c r="Q420" t="n">
        <v>0</v>
      </c>
      <c r="R420" s="2" t="inlineStr"/>
    </row>
    <row r="421" ht="15" customHeight="1">
      <c r="A421" t="inlineStr">
        <is>
          <t>A 5136-2024</t>
        </is>
      </c>
      <c r="B421" s="1" t="n">
        <v>45330</v>
      </c>
      <c r="C421" s="1" t="n">
        <v>46107</v>
      </c>
      <c r="D421" t="inlineStr">
        <is>
          <t>ÖREBRO LÄN</t>
        </is>
      </c>
      <c r="E421" t="inlineStr">
        <is>
          <t>ÖREBRO</t>
        </is>
      </c>
      <c r="G421" t="n">
        <v>2.1</v>
      </c>
      <c r="H421" t="n">
        <v>0</v>
      </c>
      <c r="I421" t="n">
        <v>0</v>
      </c>
      <c r="J421" t="n">
        <v>0</v>
      </c>
      <c r="K421" t="n">
        <v>0</v>
      </c>
      <c r="L421" t="n">
        <v>0</v>
      </c>
      <c r="M421" t="n">
        <v>0</v>
      </c>
      <c r="N421" t="n">
        <v>0</v>
      </c>
      <c r="O421" t="n">
        <v>0</v>
      </c>
      <c r="P421" t="n">
        <v>0</v>
      </c>
      <c r="Q421" t="n">
        <v>0</v>
      </c>
      <c r="R421" s="2" t="inlineStr"/>
    </row>
    <row r="422" ht="15" customHeight="1">
      <c r="A422" t="inlineStr">
        <is>
          <t>A 6752-2022</t>
        </is>
      </c>
      <c r="B422" s="1" t="n">
        <v>44602.48082175926</v>
      </c>
      <c r="C422" s="1" t="n">
        <v>46107</v>
      </c>
      <c r="D422" t="inlineStr">
        <is>
          <t>ÖREBRO LÄN</t>
        </is>
      </c>
      <c r="E422" t="inlineStr">
        <is>
          <t>ÖREBRO</t>
        </is>
      </c>
      <c r="G422" t="n">
        <v>3.1</v>
      </c>
      <c r="H422" t="n">
        <v>0</v>
      </c>
      <c r="I422" t="n">
        <v>0</v>
      </c>
      <c r="J422" t="n">
        <v>0</v>
      </c>
      <c r="K422" t="n">
        <v>0</v>
      </c>
      <c r="L422" t="n">
        <v>0</v>
      </c>
      <c r="M422" t="n">
        <v>0</v>
      </c>
      <c r="N422" t="n">
        <v>0</v>
      </c>
      <c r="O422" t="n">
        <v>0</v>
      </c>
      <c r="P422" t="n">
        <v>0</v>
      </c>
      <c r="Q422" t="n">
        <v>0</v>
      </c>
      <c r="R422" s="2" t="inlineStr"/>
    </row>
    <row r="423" ht="15" customHeight="1">
      <c r="A423" t="inlineStr">
        <is>
          <t>A 58835-2025</t>
        </is>
      </c>
      <c r="B423" s="1" t="n">
        <v>45987.35519675926</v>
      </c>
      <c r="C423" s="1" t="n">
        <v>46107</v>
      </c>
      <c r="D423" t="inlineStr">
        <is>
          <t>ÖREBRO LÄN</t>
        </is>
      </c>
      <c r="E423" t="inlineStr">
        <is>
          <t>ÖREBRO</t>
        </is>
      </c>
      <c r="G423" t="n">
        <v>2.1</v>
      </c>
      <c r="H423" t="n">
        <v>0</v>
      </c>
      <c r="I423" t="n">
        <v>0</v>
      </c>
      <c r="J423" t="n">
        <v>0</v>
      </c>
      <c r="K423" t="n">
        <v>0</v>
      </c>
      <c r="L423" t="n">
        <v>0</v>
      </c>
      <c r="M423" t="n">
        <v>0</v>
      </c>
      <c r="N423" t="n">
        <v>0</v>
      </c>
      <c r="O423" t="n">
        <v>0</v>
      </c>
      <c r="P423" t="n">
        <v>0</v>
      </c>
      <c r="Q423" t="n">
        <v>0</v>
      </c>
      <c r="R423" s="2" t="inlineStr"/>
    </row>
    <row r="424" ht="15" customHeight="1">
      <c r="A424" t="inlineStr">
        <is>
          <t>A 4380-2025</t>
        </is>
      </c>
      <c r="B424" s="1" t="n">
        <v>45686.3959375</v>
      </c>
      <c r="C424" s="1" t="n">
        <v>46107</v>
      </c>
      <c r="D424" t="inlineStr">
        <is>
          <t>ÖREBRO LÄN</t>
        </is>
      </c>
      <c r="E424" t="inlineStr">
        <is>
          <t>ÖREBRO</t>
        </is>
      </c>
      <c r="G424" t="n">
        <v>3.2</v>
      </c>
      <c r="H424" t="n">
        <v>0</v>
      </c>
      <c r="I424" t="n">
        <v>0</v>
      </c>
      <c r="J424" t="n">
        <v>0</v>
      </c>
      <c r="K424" t="n">
        <v>0</v>
      </c>
      <c r="L424" t="n">
        <v>0</v>
      </c>
      <c r="M424" t="n">
        <v>0</v>
      </c>
      <c r="N424" t="n">
        <v>0</v>
      </c>
      <c r="O424" t="n">
        <v>0</v>
      </c>
      <c r="P424" t="n">
        <v>0</v>
      </c>
      <c r="Q424" t="n">
        <v>0</v>
      </c>
      <c r="R424" s="2" t="inlineStr"/>
    </row>
    <row r="425" ht="15" customHeight="1">
      <c r="A425" t="inlineStr">
        <is>
          <t>A 34358-2022</t>
        </is>
      </c>
      <c r="B425" s="1" t="n">
        <v>44792.45494212963</v>
      </c>
      <c r="C425" s="1" t="n">
        <v>46107</v>
      </c>
      <c r="D425" t="inlineStr">
        <is>
          <t>ÖREBRO LÄN</t>
        </is>
      </c>
      <c r="E425" t="inlineStr">
        <is>
          <t>ÖREBRO</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34056-2023</t>
        </is>
      </c>
      <c r="B426" s="1" t="n">
        <v>45135</v>
      </c>
      <c r="C426" s="1" t="n">
        <v>46107</v>
      </c>
      <c r="D426" t="inlineStr">
        <is>
          <t>ÖREBRO LÄN</t>
        </is>
      </c>
      <c r="E426" t="inlineStr">
        <is>
          <t>ÖREBRO</t>
        </is>
      </c>
      <c r="F426" t="inlineStr">
        <is>
          <t>Övriga Aktiebolag</t>
        </is>
      </c>
      <c r="G426" t="n">
        <v>4.1</v>
      </c>
      <c r="H426" t="n">
        <v>0</v>
      </c>
      <c r="I426" t="n">
        <v>0</v>
      </c>
      <c r="J426" t="n">
        <v>0</v>
      </c>
      <c r="K426" t="n">
        <v>0</v>
      </c>
      <c r="L426" t="n">
        <v>0</v>
      </c>
      <c r="M426" t="n">
        <v>0</v>
      </c>
      <c r="N426" t="n">
        <v>0</v>
      </c>
      <c r="O426" t="n">
        <v>0</v>
      </c>
      <c r="P426" t="n">
        <v>0</v>
      </c>
      <c r="Q426" t="n">
        <v>0</v>
      </c>
      <c r="R426" s="2" t="inlineStr"/>
    </row>
    <row r="427" ht="15" customHeight="1">
      <c r="A427" t="inlineStr">
        <is>
          <t>A 33457-2023</t>
        </is>
      </c>
      <c r="B427" s="1" t="n">
        <v>45131</v>
      </c>
      <c r="C427" s="1" t="n">
        <v>46107</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15695-2024</t>
        </is>
      </c>
      <c r="B428" s="1" t="n">
        <v>45404.45487268519</v>
      </c>
      <c r="C428" s="1" t="n">
        <v>46107</v>
      </c>
      <c r="D428" t="inlineStr">
        <is>
          <t>ÖREBRO LÄN</t>
        </is>
      </c>
      <c r="E428" t="inlineStr">
        <is>
          <t>ÖREBRO</t>
        </is>
      </c>
      <c r="G428" t="n">
        <v>2.7</v>
      </c>
      <c r="H428" t="n">
        <v>0</v>
      </c>
      <c r="I428" t="n">
        <v>0</v>
      </c>
      <c r="J428" t="n">
        <v>0</v>
      </c>
      <c r="K428" t="n">
        <v>0</v>
      </c>
      <c r="L428" t="n">
        <v>0</v>
      </c>
      <c r="M428" t="n">
        <v>0</v>
      </c>
      <c r="N428" t="n">
        <v>0</v>
      </c>
      <c r="O428" t="n">
        <v>0</v>
      </c>
      <c r="P428" t="n">
        <v>0</v>
      </c>
      <c r="Q428" t="n">
        <v>0</v>
      </c>
      <c r="R428" s="2" t="inlineStr"/>
    </row>
    <row r="429" ht="15" customHeight="1">
      <c r="A429" t="inlineStr">
        <is>
          <t>A 45237-2023</t>
        </is>
      </c>
      <c r="B429" s="1" t="n">
        <v>45191</v>
      </c>
      <c r="C429" s="1" t="n">
        <v>46107</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51180-2023</t>
        </is>
      </c>
      <c r="B430" s="1" t="n">
        <v>45219</v>
      </c>
      <c r="C430" s="1" t="n">
        <v>46107</v>
      </c>
      <c r="D430" t="inlineStr">
        <is>
          <t>ÖREBRO LÄN</t>
        </is>
      </c>
      <c r="E430" t="inlineStr">
        <is>
          <t>ÖREBRO</t>
        </is>
      </c>
      <c r="G430" t="n">
        <v>6.5</v>
      </c>
      <c r="H430" t="n">
        <v>0</v>
      </c>
      <c r="I430" t="n">
        <v>0</v>
      </c>
      <c r="J430" t="n">
        <v>0</v>
      </c>
      <c r="K430" t="n">
        <v>0</v>
      </c>
      <c r="L430" t="n">
        <v>0</v>
      </c>
      <c r="M430" t="n">
        <v>0</v>
      </c>
      <c r="N430" t="n">
        <v>0</v>
      </c>
      <c r="O430" t="n">
        <v>0</v>
      </c>
      <c r="P430" t="n">
        <v>0</v>
      </c>
      <c r="Q430" t="n">
        <v>0</v>
      </c>
      <c r="R430" s="2" t="inlineStr"/>
    </row>
    <row r="431" ht="15" customHeight="1">
      <c r="A431" t="inlineStr">
        <is>
          <t>A 5406-2025</t>
        </is>
      </c>
      <c r="B431" s="1" t="n">
        <v>45692.64821759259</v>
      </c>
      <c r="C431" s="1" t="n">
        <v>46107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60028-2024</t>
        </is>
      </c>
      <c r="B432" s="1" t="n">
        <v>45642</v>
      </c>
      <c r="C432" s="1" t="n">
        <v>46107</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33294-2023</t>
        </is>
      </c>
      <c r="B433" s="1" t="n">
        <v>45127</v>
      </c>
      <c r="C433" s="1" t="n">
        <v>46107</v>
      </c>
      <c r="D433" t="inlineStr">
        <is>
          <t>ÖREBRO LÄN</t>
        </is>
      </c>
      <c r="E433" t="inlineStr">
        <is>
          <t>ÖREBRO</t>
        </is>
      </c>
      <c r="F433" t="inlineStr">
        <is>
          <t>Övriga Aktiebolag</t>
        </is>
      </c>
      <c r="G433" t="n">
        <v>6.7</v>
      </c>
      <c r="H433" t="n">
        <v>0</v>
      </c>
      <c r="I433" t="n">
        <v>0</v>
      </c>
      <c r="J433" t="n">
        <v>0</v>
      </c>
      <c r="K433" t="n">
        <v>0</v>
      </c>
      <c r="L433" t="n">
        <v>0</v>
      </c>
      <c r="M433" t="n">
        <v>0</v>
      </c>
      <c r="N433" t="n">
        <v>0</v>
      </c>
      <c r="O433" t="n">
        <v>0</v>
      </c>
      <c r="P433" t="n">
        <v>0</v>
      </c>
      <c r="Q433" t="n">
        <v>0</v>
      </c>
      <c r="R433" s="2" t="inlineStr"/>
    </row>
    <row r="434" ht="15" customHeight="1">
      <c r="A434" t="inlineStr">
        <is>
          <t>A 59312-2025</t>
        </is>
      </c>
      <c r="B434" s="1" t="n">
        <v>45989.30467592592</v>
      </c>
      <c r="C434" s="1" t="n">
        <v>46107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59313-2025</t>
        </is>
      </c>
      <c r="B435" s="1" t="n">
        <v>45989.30920138889</v>
      </c>
      <c r="C435" s="1" t="n">
        <v>46107</v>
      </c>
      <c r="D435" t="inlineStr">
        <is>
          <t>ÖREBRO LÄN</t>
        </is>
      </c>
      <c r="E435" t="inlineStr">
        <is>
          <t>ÖREBRO</t>
        </is>
      </c>
      <c r="G435" t="n">
        <v>1.6</v>
      </c>
      <c r="H435" t="n">
        <v>0</v>
      </c>
      <c r="I435" t="n">
        <v>0</v>
      </c>
      <c r="J435" t="n">
        <v>0</v>
      </c>
      <c r="K435" t="n">
        <v>0</v>
      </c>
      <c r="L435" t="n">
        <v>0</v>
      </c>
      <c r="M435" t="n">
        <v>0</v>
      </c>
      <c r="N435" t="n">
        <v>0</v>
      </c>
      <c r="O435" t="n">
        <v>0</v>
      </c>
      <c r="P435" t="n">
        <v>0</v>
      </c>
      <c r="Q435" t="n">
        <v>0</v>
      </c>
      <c r="R435" s="2" t="inlineStr"/>
    </row>
    <row r="436" ht="15" customHeight="1">
      <c r="A436" t="inlineStr">
        <is>
          <t>A 59856-2025</t>
        </is>
      </c>
      <c r="B436" s="1" t="n">
        <v>45992.74891203704</v>
      </c>
      <c r="C436" s="1" t="n">
        <v>46107</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22348-2024</t>
        </is>
      </c>
      <c r="B437" s="1" t="n">
        <v>45446.61256944444</v>
      </c>
      <c r="C437" s="1" t="n">
        <v>46107</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13857-2022</t>
        </is>
      </c>
      <c r="B438" s="1" t="n">
        <v>44649</v>
      </c>
      <c r="C438" s="1" t="n">
        <v>46107</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52018-2024</t>
        </is>
      </c>
      <c r="B439" s="1" t="n">
        <v>45607.82974537037</v>
      </c>
      <c r="C439" s="1" t="n">
        <v>46107</v>
      </c>
      <c r="D439" t="inlineStr">
        <is>
          <t>ÖREBRO LÄN</t>
        </is>
      </c>
      <c r="E439" t="inlineStr">
        <is>
          <t>ÖREBRO</t>
        </is>
      </c>
      <c r="G439" t="n">
        <v>4.3</v>
      </c>
      <c r="H439" t="n">
        <v>0</v>
      </c>
      <c r="I439" t="n">
        <v>0</v>
      </c>
      <c r="J439" t="n">
        <v>0</v>
      </c>
      <c r="K439" t="n">
        <v>0</v>
      </c>
      <c r="L439" t="n">
        <v>0</v>
      </c>
      <c r="M439" t="n">
        <v>0</v>
      </c>
      <c r="N439" t="n">
        <v>0</v>
      </c>
      <c r="O439" t="n">
        <v>0</v>
      </c>
      <c r="P439" t="n">
        <v>0</v>
      </c>
      <c r="Q439" t="n">
        <v>0</v>
      </c>
      <c r="R439" s="2" t="inlineStr"/>
    </row>
    <row r="440" ht="15" customHeight="1">
      <c r="A440" t="inlineStr">
        <is>
          <t>A 30089-2024</t>
        </is>
      </c>
      <c r="B440" s="1" t="n">
        <v>45485</v>
      </c>
      <c r="C440" s="1" t="n">
        <v>46107</v>
      </c>
      <c r="D440" t="inlineStr">
        <is>
          <t>ÖREBRO LÄN</t>
        </is>
      </c>
      <c r="E440" t="inlineStr">
        <is>
          <t>ÖREBRO</t>
        </is>
      </c>
      <c r="G440" t="n">
        <v>2.2</v>
      </c>
      <c r="H440" t="n">
        <v>0</v>
      </c>
      <c r="I440" t="n">
        <v>0</v>
      </c>
      <c r="J440" t="n">
        <v>0</v>
      </c>
      <c r="K440" t="n">
        <v>0</v>
      </c>
      <c r="L440" t="n">
        <v>0</v>
      </c>
      <c r="M440" t="n">
        <v>0</v>
      </c>
      <c r="N440" t="n">
        <v>0</v>
      </c>
      <c r="O440" t="n">
        <v>0</v>
      </c>
      <c r="P440" t="n">
        <v>0</v>
      </c>
      <c r="Q440" t="n">
        <v>0</v>
      </c>
      <c r="R440" s="2" t="inlineStr"/>
    </row>
    <row r="441" ht="15" customHeight="1">
      <c r="A441" t="inlineStr">
        <is>
          <t>A 61078-2024</t>
        </is>
      </c>
      <c r="B441" s="1" t="n">
        <v>45645.51034722223</v>
      </c>
      <c r="C441" s="1" t="n">
        <v>46107</v>
      </c>
      <c r="D441" t="inlineStr">
        <is>
          <t>ÖREBRO LÄN</t>
        </is>
      </c>
      <c r="E441" t="inlineStr">
        <is>
          <t>ÖREBRO</t>
        </is>
      </c>
      <c r="G441" t="n">
        <v>4.1</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44539.63009259259</v>
      </c>
      <c r="C442" s="1" t="n">
        <v>46107</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59857-2025</t>
        </is>
      </c>
      <c r="B443" s="1" t="n">
        <v>45992.75820601852</v>
      </c>
      <c r="C443" s="1" t="n">
        <v>46107</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46030-2024</t>
        </is>
      </c>
      <c r="B444" s="1" t="n">
        <v>45580.70377314815</v>
      </c>
      <c r="C444" s="1" t="n">
        <v>46107</v>
      </c>
      <c r="D444" t="inlineStr">
        <is>
          <t>ÖREBRO LÄN</t>
        </is>
      </c>
      <c r="E444" t="inlineStr">
        <is>
          <t>ÖREBRO</t>
        </is>
      </c>
      <c r="G444" t="n">
        <v>3.9</v>
      </c>
      <c r="H444" t="n">
        <v>0</v>
      </c>
      <c r="I444" t="n">
        <v>0</v>
      </c>
      <c r="J444" t="n">
        <v>0</v>
      </c>
      <c r="K444" t="n">
        <v>0</v>
      </c>
      <c r="L444" t="n">
        <v>0</v>
      </c>
      <c r="M444" t="n">
        <v>0</v>
      </c>
      <c r="N444" t="n">
        <v>0</v>
      </c>
      <c r="O444" t="n">
        <v>0</v>
      </c>
      <c r="P444" t="n">
        <v>0</v>
      </c>
      <c r="Q444" t="n">
        <v>0</v>
      </c>
      <c r="R444" s="2" t="inlineStr"/>
    </row>
    <row r="445" ht="15" customHeight="1">
      <c r="A445" t="inlineStr">
        <is>
          <t>A 5643-2025</t>
        </is>
      </c>
      <c r="B445" s="1" t="n">
        <v>45693</v>
      </c>
      <c r="C445" s="1" t="n">
        <v>46107</v>
      </c>
      <c r="D445" t="inlineStr">
        <is>
          <t>ÖREBRO LÄN</t>
        </is>
      </c>
      <c r="E445" t="inlineStr">
        <is>
          <t>ÖREBRO</t>
        </is>
      </c>
      <c r="G445" t="n">
        <v>2</v>
      </c>
      <c r="H445" t="n">
        <v>0</v>
      </c>
      <c r="I445" t="n">
        <v>0</v>
      </c>
      <c r="J445" t="n">
        <v>0</v>
      </c>
      <c r="K445" t="n">
        <v>0</v>
      </c>
      <c r="L445" t="n">
        <v>0</v>
      </c>
      <c r="M445" t="n">
        <v>0</v>
      </c>
      <c r="N445" t="n">
        <v>0</v>
      </c>
      <c r="O445" t="n">
        <v>0</v>
      </c>
      <c r="P445" t="n">
        <v>0</v>
      </c>
      <c r="Q445" t="n">
        <v>0</v>
      </c>
      <c r="R445" s="2" t="inlineStr"/>
    </row>
    <row r="446" ht="15" customHeight="1">
      <c r="A446" t="inlineStr">
        <is>
          <t>A 59858-2025</t>
        </is>
      </c>
      <c r="B446" s="1" t="n">
        <v>45992.76758101852</v>
      </c>
      <c r="C446" s="1" t="n">
        <v>46107</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59859-2025</t>
        </is>
      </c>
      <c r="B447" s="1" t="n">
        <v>45992.7803125</v>
      </c>
      <c r="C447" s="1" t="n">
        <v>46107</v>
      </c>
      <c r="D447" t="inlineStr">
        <is>
          <t>ÖREBRO LÄN</t>
        </is>
      </c>
      <c r="E447" t="inlineStr">
        <is>
          <t>ÖREBRO</t>
        </is>
      </c>
      <c r="G447" t="n">
        <v>0.4</v>
      </c>
      <c r="H447" t="n">
        <v>0</v>
      </c>
      <c r="I447" t="n">
        <v>0</v>
      </c>
      <c r="J447" t="n">
        <v>0</v>
      </c>
      <c r="K447" t="n">
        <v>0</v>
      </c>
      <c r="L447" t="n">
        <v>0</v>
      </c>
      <c r="M447" t="n">
        <v>0</v>
      </c>
      <c r="N447" t="n">
        <v>0</v>
      </c>
      <c r="O447" t="n">
        <v>0</v>
      </c>
      <c r="P447" t="n">
        <v>0</v>
      </c>
      <c r="Q447" t="n">
        <v>0</v>
      </c>
      <c r="R447" s="2" t="inlineStr"/>
    </row>
    <row r="448" ht="15" customHeight="1">
      <c r="A448" t="inlineStr">
        <is>
          <t>A 59937-2025</t>
        </is>
      </c>
      <c r="B448" s="1" t="n">
        <v>45993.41934027777</v>
      </c>
      <c r="C448" s="1" t="n">
        <v>46107</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11516-2024</t>
        </is>
      </c>
      <c r="B449" s="1" t="n">
        <v>45372</v>
      </c>
      <c r="C449" s="1" t="n">
        <v>46107</v>
      </c>
      <c r="D449" t="inlineStr">
        <is>
          <t>ÖREBRO LÄN</t>
        </is>
      </c>
      <c r="E449" t="inlineStr">
        <is>
          <t>ÖREBRO</t>
        </is>
      </c>
      <c r="G449" t="n">
        <v>10.7</v>
      </c>
      <c r="H449" t="n">
        <v>0</v>
      </c>
      <c r="I449" t="n">
        <v>0</v>
      </c>
      <c r="J449" t="n">
        <v>0</v>
      </c>
      <c r="K449" t="n">
        <v>0</v>
      </c>
      <c r="L449" t="n">
        <v>0</v>
      </c>
      <c r="M449" t="n">
        <v>0</v>
      </c>
      <c r="N449" t="n">
        <v>0</v>
      </c>
      <c r="O449" t="n">
        <v>0</v>
      </c>
      <c r="P449" t="n">
        <v>0</v>
      </c>
      <c r="Q449" t="n">
        <v>0</v>
      </c>
      <c r="R449" s="2" t="inlineStr"/>
    </row>
    <row r="450" ht="15" customHeight="1">
      <c r="A450" t="inlineStr">
        <is>
          <t>A 59938-2025</t>
        </is>
      </c>
      <c r="B450" s="1" t="n">
        <v>45993.42108796296</v>
      </c>
      <c r="C450" s="1" t="n">
        <v>46107</v>
      </c>
      <c r="D450" t="inlineStr">
        <is>
          <t>ÖREBRO LÄN</t>
        </is>
      </c>
      <c r="E450" t="inlineStr">
        <is>
          <t>ÖREBRO</t>
        </is>
      </c>
      <c r="G450" t="n">
        <v>1.5</v>
      </c>
      <c r="H450" t="n">
        <v>0</v>
      </c>
      <c r="I450" t="n">
        <v>0</v>
      </c>
      <c r="J450" t="n">
        <v>0</v>
      </c>
      <c r="K450" t="n">
        <v>0</v>
      </c>
      <c r="L450" t="n">
        <v>0</v>
      </c>
      <c r="M450" t="n">
        <v>0</v>
      </c>
      <c r="N450" t="n">
        <v>0</v>
      </c>
      <c r="O450" t="n">
        <v>0</v>
      </c>
      <c r="P450" t="n">
        <v>0</v>
      </c>
      <c r="Q450" t="n">
        <v>0</v>
      </c>
      <c r="R450" s="2" t="inlineStr"/>
    </row>
    <row r="451" ht="15" customHeight="1">
      <c r="A451" t="inlineStr">
        <is>
          <t>A 5342-2024</t>
        </is>
      </c>
      <c r="B451" s="1" t="n">
        <v>45331.44145833333</v>
      </c>
      <c r="C451" s="1" t="n">
        <v>46107</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59860-2025</t>
        </is>
      </c>
      <c r="B452" s="1" t="n">
        <v>45992.78351851852</v>
      </c>
      <c r="C452" s="1" t="n">
        <v>46107</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13158-2024</t>
        </is>
      </c>
      <c r="B453" s="1" t="n">
        <v>45386.38728009259</v>
      </c>
      <c r="C453" s="1" t="n">
        <v>46107</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60717-2025</t>
        </is>
      </c>
      <c r="B454" s="1" t="n">
        <v>45996.63673611111</v>
      </c>
      <c r="C454" s="1" t="n">
        <v>46107</v>
      </c>
      <c r="D454" t="inlineStr">
        <is>
          <t>ÖREBRO LÄN</t>
        </is>
      </c>
      <c r="E454" t="inlineStr">
        <is>
          <t>ÖREBRO</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60718-2025</t>
        </is>
      </c>
      <c r="B455" s="1" t="n">
        <v>45996.6384375</v>
      </c>
      <c r="C455" s="1" t="n">
        <v>46107</v>
      </c>
      <c r="D455" t="inlineStr">
        <is>
          <t>ÖREBRO LÄN</t>
        </is>
      </c>
      <c r="E455" t="inlineStr">
        <is>
          <t>ÖREBRO</t>
        </is>
      </c>
      <c r="F455" t="inlineStr">
        <is>
          <t>Sveaskog</t>
        </is>
      </c>
      <c r="G455" t="n">
        <v>5.3</v>
      </c>
      <c r="H455" t="n">
        <v>0</v>
      </c>
      <c r="I455" t="n">
        <v>0</v>
      </c>
      <c r="J455" t="n">
        <v>0</v>
      </c>
      <c r="K455" t="n">
        <v>0</v>
      </c>
      <c r="L455" t="n">
        <v>0</v>
      </c>
      <c r="M455" t="n">
        <v>0</v>
      </c>
      <c r="N455" t="n">
        <v>0</v>
      </c>
      <c r="O455" t="n">
        <v>0</v>
      </c>
      <c r="P455" t="n">
        <v>0</v>
      </c>
      <c r="Q455" t="n">
        <v>0</v>
      </c>
      <c r="R455" s="2" t="inlineStr"/>
    </row>
    <row r="456" ht="15" customHeight="1">
      <c r="A456" t="inlineStr">
        <is>
          <t>A 60721-2025</t>
        </is>
      </c>
      <c r="B456" s="1" t="n">
        <v>45996</v>
      </c>
      <c r="C456" s="1" t="n">
        <v>46107</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60466-2025</t>
        </is>
      </c>
      <c r="B457" s="1" t="n">
        <v>45995.55927083334</v>
      </c>
      <c r="C457" s="1" t="n">
        <v>46107</v>
      </c>
      <c r="D457" t="inlineStr">
        <is>
          <t>ÖREBRO LÄN</t>
        </is>
      </c>
      <c r="E457" t="inlineStr">
        <is>
          <t>ÖREBRO</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60555-2025</t>
        </is>
      </c>
      <c r="B458" s="1" t="n">
        <v>45995.73722222223</v>
      </c>
      <c r="C458" s="1" t="n">
        <v>46107</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13181-2023</t>
        </is>
      </c>
      <c r="B459" s="1" t="n">
        <v>45002.60659722222</v>
      </c>
      <c r="C459" s="1" t="n">
        <v>46107</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25996-2024</t>
        </is>
      </c>
      <c r="B460" s="1" t="n">
        <v>45467.89081018518</v>
      </c>
      <c r="C460" s="1" t="n">
        <v>46107</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16676-2025</t>
        </is>
      </c>
      <c r="B461" s="1" t="n">
        <v>45754.44658564815</v>
      </c>
      <c r="C461" s="1" t="n">
        <v>46107</v>
      </c>
      <c r="D461" t="inlineStr">
        <is>
          <t>ÖREBRO LÄN</t>
        </is>
      </c>
      <c r="E461" t="inlineStr">
        <is>
          <t>ÖREBRO</t>
        </is>
      </c>
      <c r="G461" t="n">
        <v>5.8</v>
      </c>
      <c r="H461" t="n">
        <v>0</v>
      </c>
      <c r="I461" t="n">
        <v>0</v>
      </c>
      <c r="J461" t="n">
        <v>0</v>
      </c>
      <c r="K461" t="n">
        <v>0</v>
      </c>
      <c r="L461" t="n">
        <v>0</v>
      </c>
      <c r="M461" t="n">
        <v>0</v>
      </c>
      <c r="N461" t="n">
        <v>0</v>
      </c>
      <c r="O461" t="n">
        <v>0</v>
      </c>
      <c r="P461" t="n">
        <v>0</v>
      </c>
      <c r="Q461" t="n">
        <v>0</v>
      </c>
      <c r="R461" s="2" t="inlineStr"/>
    </row>
    <row r="462" ht="15" customHeight="1">
      <c r="A462" t="inlineStr">
        <is>
          <t>A 60551-2025</t>
        </is>
      </c>
      <c r="B462" s="1" t="n">
        <v>45995</v>
      </c>
      <c r="C462" s="1" t="n">
        <v>46107</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60720-2025</t>
        </is>
      </c>
      <c r="B463" s="1" t="n">
        <v>45996.64050925926</v>
      </c>
      <c r="C463" s="1" t="n">
        <v>46107</v>
      </c>
      <c r="D463" t="inlineStr">
        <is>
          <t>ÖREBRO LÄN</t>
        </is>
      </c>
      <c r="E463" t="inlineStr">
        <is>
          <t>ÖREBRO</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23741-2022</t>
        </is>
      </c>
      <c r="B464" s="1" t="n">
        <v>44722</v>
      </c>
      <c r="C464" s="1" t="n">
        <v>46107</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8274-2025</t>
        </is>
      </c>
      <c r="B465" s="1" t="n">
        <v>45708</v>
      </c>
      <c r="C465" s="1" t="n">
        <v>46107</v>
      </c>
      <c r="D465" t="inlineStr">
        <is>
          <t>ÖREBRO LÄN</t>
        </is>
      </c>
      <c r="E465" t="inlineStr">
        <is>
          <t>ÖREBRO</t>
        </is>
      </c>
      <c r="G465" t="n">
        <v>5.8</v>
      </c>
      <c r="H465" t="n">
        <v>0</v>
      </c>
      <c r="I465" t="n">
        <v>0</v>
      </c>
      <c r="J465" t="n">
        <v>0</v>
      </c>
      <c r="K465" t="n">
        <v>0</v>
      </c>
      <c r="L465" t="n">
        <v>0</v>
      </c>
      <c r="M465" t="n">
        <v>0</v>
      </c>
      <c r="N465" t="n">
        <v>0</v>
      </c>
      <c r="O465" t="n">
        <v>0</v>
      </c>
      <c r="P465" t="n">
        <v>0</v>
      </c>
      <c r="Q465" t="n">
        <v>0</v>
      </c>
      <c r="R465" s="2" t="inlineStr"/>
    </row>
    <row r="466" ht="15" customHeight="1">
      <c r="A466" t="inlineStr">
        <is>
          <t>A 58620-2024</t>
        </is>
      </c>
      <c r="B466" s="1" t="n">
        <v>45635.56246527778</v>
      </c>
      <c r="C466" s="1" t="n">
        <v>46107</v>
      </c>
      <c r="D466" t="inlineStr">
        <is>
          <t>ÖREBRO LÄN</t>
        </is>
      </c>
      <c r="E466" t="inlineStr">
        <is>
          <t>ÖREBRO</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60840-2025</t>
        </is>
      </c>
      <c r="B467" s="1" t="n">
        <v>45999.48547453704</v>
      </c>
      <c r="C467" s="1" t="n">
        <v>46107</v>
      </c>
      <c r="D467" t="inlineStr">
        <is>
          <t>ÖREBRO LÄN</t>
        </is>
      </c>
      <c r="E467" t="inlineStr">
        <is>
          <t>ÖREBRO</t>
        </is>
      </c>
      <c r="G467" t="n">
        <v>3.5</v>
      </c>
      <c r="H467" t="n">
        <v>0</v>
      </c>
      <c r="I467" t="n">
        <v>0</v>
      </c>
      <c r="J467" t="n">
        <v>0</v>
      </c>
      <c r="K467" t="n">
        <v>0</v>
      </c>
      <c r="L467" t="n">
        <v>0</v>
      </c>
      <c r="M467" t="n">
        <v>0</v>
      </c>
      <c r="N467" t="n">
        <v>0</v>
      </c>
      <c r="O467" t="n">
        <v>0</v>
      </c>
      <c r="P467" t="n">
        <v>0</v>
      </c>
      <c r="Q467" t="n">
        <v>0</v>
      </c>
      <c r="R467" s="2" t="inlineStr"/>
    </row>
    <row r="468" ht="15" customHeight="1">
      <c r="A468" t="inlineStr">
        <is>
          <t>A 7141-2025</t>
        </is>
      </c>
      <c r="B468" s="1" t="n">
        <v>45702</v>
      </c>
      <c r="C468" s="1" t="n">
        <v>46107</v>
      </c>
      <c r="D468" t="inlineStr">
        <is>
          <t>ÖREBRO LÄN</t>
        </is>
      </c>
      <c r="E468" t="inlineStr">
        <is>
          <t>ÖREBRO</t>
        </is>
      </c>
      <c r="G468" t="n">
        <v>2.9</v>
      </c>
      <c r="H468" t="n">
        <v>0</v>
      </c>
      <c r="I468" t="n">
        <v>0</v>
      </c>
      <c r="J468" t="n">
        <v>0</v>
      </c>
      <c r="K468" t="n">
        <v>0</v>
      </c>
      <c r="L468" t="n">
        <v>0</v>
      </c>
      <c r="M468" t="n">
        <v>0</v>
      </c>
      <c r="N468" t="n">
        <v>0</v>
      </c>
      <c r="O468" t="n">
        <v>0</v>
      </c>
      <c r="P468" t="n">
        <v>0</v>
      </c>
      <c r="Q468" t="n">
        <v>0</v>
      </c>
      <c r="R468" s="2" t="inlineStr"/>
    </row>
    <row r="469" ht="15" customHeight="1">
      <c r="A469" t="inlineStr">
        <is>
          <t>A 61525-2025</t>
        </is>
      </c>
      <c r="B469" s="1" t="n">
        <v>46001</v>
      </c>
      <c r="C469" s="1" t="n">
        <v>46107</v>
      </c>
      <c r="D469" t="inlineStr">
        <is>
          <t>ÖREBRO LÄN</t>
        </is>
      </c>
      <c r="E469" t="inlineStr">
        <is>
          <t>ÖREBRO</t>
        </is>
      </c>
      <c r="G469" t="n">
        <v>2.6</v>
      </c>
      <c r="H469" t="n">
        <v>0</v>
      </c>
      <c r="I469" t="n">
        <v>0</v>
      </c>
      <c r="J469" t="n">
        <v>0</v>
      </c>
      <c r="K469" t="n">
        <v>0</v>
      </c>
      <c r="L469" t="n">
        <v>0</v>
      </c>
      <c r="M469" t="n">
        <v>0</v>
      </c>
      <c r="N469" t="n">
        <v>0</v>
      </c>
      <c r="O469" t="n">
        <v>0</v>
      </c>
      <c r="P469" t="n">
        <v>0</v>
      </c>
      <c r="Q469" t="n">
        <v>0</v>
      </c>
      <c r="R469" s="2" t="inlineStr"/>
    </row>
    <row r="470" ht="15" customHeight="1">
      <c r="A470" t="inlineStr">
        <is>
          <t>A 59024-2024</t>
        </is>
      </c>
      <c r="B470" s="1" t="n">
        <v>45636.68505787037</v>
      </c>
      <c r="C470" s="1" t="n">
        <v>46107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25578-2025</t>
        </is>
      </c>
      <c r="B471" s="1" t="n">
        <v>45803.47803240741</v>
      </c>
      <c r="C471" s="1" t="n">
        <v>46107</v>
      </c>
      <c r="D471" t="inlineStr">
        <is>
          <t>ÖREBRO LÄN</t>
        </is>
      </c>
      <c r="E471" t="inlineStr">
        <is>
          <t>ÖREBRO</t>
        </is>
      </c>
      <c r="G471" t="n">
        <v>0.9</v>
      </c>
      <c r="H471" t="n">
        <v>0</v>
      </c>
      <c r="I471" t="n">
        <v>0</v>
      </c>
      <c r="J471" t="n">
        <v>0</v>
      </c>
      <c r="K471" t="n">
        <v>0</v>
      </c>
      <c r="L471" t="n">
        <v>0</v>
      </c>
      <c r="M471" t="n">
        <v>0</v>
      </c>
      <c r="N471" t="n">
        <v>0</v>
      </c>
      <c r="O471" t="n">
        <v>0</v>
      </c>
      <c r="P471" t="n">
        <v>0</v>
      </c>
      <c r="Q471" t="n">
        <v>0</v>
      </c>
      <c r="R471" s="2" t="inlineStr"/>
    </row>
    <row r="472" ht="15" customHeight="1">
      <c r="A472" t="inlineStr">
        <is>
          <t>A 13657-2025</t>
        </is>
      </c>
      <c r="B472" s="1" t="n">
        <v>45736.7427662037</v>
      </c>
      <c r="C472" s="1" t="n">
        <v>46107</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25519-2025</t>
        </is>
      </c>
      <c r="B473" s="1" t="n">
        <v>45803.38447916666</v>
      </c>
      <c r="C473" s="1" t="n">
        <v>46107</v>
      </c>
      <c r="D473" t="inlineStr">
        <is>
          <t>ÖREBRO LÄN</t>
        </is>
      </c>
      <c r="E473" t="inlineStr">
        <is>
          <t>ÖREBRO</t>
        </is>
      </c>
      <c r="G473" t="n">
        <v>7.4</v>
      </c>
      <c r="H473" t="n">
        <v>0</v>
      </c>
      <c r="I473" t="n">
        <v>0</v>
      </c>
      <c r="J473" t="n">
        <v>0</v>
      </c>
      <c r="K473" t="n">
        <v>0</v>
      </c>
      <c r="L473" t="n">
        <v>0</v>
      </c>
      <c r="M473" t="n">
        <v>0</v>
      </c>
      <c r="N473" t="n">
        <v>0</v>
      </c>
      <c r="O473" t="n">
        <v>0</v>
      </c>
      <c r="P473" t="n">
        <v>0</v>
      </c>
      <c r="Q473" t="n">
        <v>0</v>
      </c>
      <c r="R473" s="2" t="inlineStr"/>
    </row>
    <row r="474" ht="15" customHeight="1">
      <c r="A474" t="inlineStr">
        <is>
          <t>A 57867-2024</t>
        </is>
      </c>
      <c r="B474" s="1" t="n">
        <v>45631.43864583333</v>
      </c>
      <c r="C474" s="1" t="n">
        <v>46107</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29138-2022</t>
        </is>
      </c>
      <c r="B475" s="1" t="n">
        <v>44750</v>
      </c>
      <c r="C475" s="1" t="n">
        <v>46107</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29143-2022</t>
        </is>
      </c>
      <c r="B476" s="1" t="n">
        <v>44750</v>
      </c>
      <c r="C476" s="1" t="n">
        <v>46107</v>
      </c>
      <c r="D476" t="inlineStr">
        <is>
          <t>ÖREBRO LÄN</t>
        </is>
      </c>
      <c r="E476" t="inlineStr">
        <is>
          <t>ÖREBRO</t>
        </is>
      </c>
      <c r="G476" t="n">
        <v>5.6</v>
      </c>
      <c r="H476" t="n">
        <v>0</v>
      </c>
      <c r="I476" t="n">
        <v>0</v>
      </c>
      <c r="J476" t="n">
        <v>0</v>
      </c>
      <c r="K476" t="n">
        <v>0</v>
      </c>
      <c r="L476" t="n">
        <v>0</v>
      </c>
      <c r="M476" t="n">
        <v>0</v>
      </c>
      <c r="N476" t="n">
        <v>0</v>
      </c>
      <c r="O476" t="n">
        <v>0</v>
      </c>
      <c r="P476" t="n">
        <v>0</v>
      </c>
      <c r="Q476" t="n">
        <v>0</v>
      </c>
      <c r="R476" s="2" t="inlineStr"/>
    </row>
    <row r="477" ht="15" customHeight="1">
      <c r="A477" t="inlineStr">
        <is>
          <t>A 61930-2025</t>
        </is>
      </c>
      <c r="B477" s="1" t="n">
        <v>46003</v>
      </c>
      <c r="C477" s="1" t="n">
        <v>46107</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21983-2021</t>
        </is>
      </c>
      <c r="B478" s="1" t="n">
        <v>44323</v>
      </c>
      <c r="C478" s="1" t="n">
        <v>46107</v>
      </c>
      <c r="D478" t="inlineStr">
        <is>
          <t>ÖREBRO LÄN</t>
        </is>
      </c>
      <c r="E478" t="inlineStr">
        <is>
          <t>ÖREBRO</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3120-2022</t>
        </is>
      </c>
      <c r="B479" s="1" t="n">
        <v>44582</v>
      </c>
      <c r="C479" s="1" t="n">
        <v>46107</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62683-2025</t>
        </is>
      </c>
      <c r="B480" s="1" t="n">
        <v>46008.45796296297</v>
      </c>
      <c r="C480" s="1" t="n">
        <v>46107</v>
      </c>
      <c r="D480" t="inlineStr">
        <is>
          <t>ÖREBRO LÄN</t>
        </is>
      </c>
      <c r="E480" t="inlineStr">
        <is>
          <t>ÖREBRO</t>
        </is>
      </c>
      <c r="G480" t="n">
        <v>5.1</v>
      </c>
      <c r="H480" t="n">
        <v>0</v>
      </c>
      <c r="I480" t="n">
        <v>0</v>
      </c>
      <c r="J480" t="n">
        <v>0</v>
      </c>
      <c r="K480" t="n">
        <v>0</v>
      </c>
      <c r="L480" t="n">
        <v>0</v>
      </c>
      <c r="M480" t="n">
        <v>0</v>
      </c>
      <c r="N480" t="n">
        <v>0</v>
      </c>
      <c r="O480" t="n">
        <v>0</v>
      </c>
      <c r="P480" t="n">
        <v>0</v>
      </c>
      <c r="Q480" t="n">
        <v>0</v>
      </c>
      <c r="R480" s="2" t="inlineStr"/>
    </row>
    <row r="481" ht="15" customHeight="1">
      <c r="A481" t="inlineStr">
        <is>
          <t>A 58606-2024</t>
        </is>
      </c>
      <c r="B481" s="1" t="n">
        <v>45635.54747685185</v>
      </c>
      <c r="C481" s="1" t="n">
        <v>46107</v>
      </c>
      <c r="D481" t="inlineStr">
        <is>
          <t>ÖREBRO LÄN</t>
        </is>
      </c>
      <c r="E481" t="inlineStr">
        <is>
          <t>ÖREBRO</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55003-2025</t>
        </is>
      </c>
      <c r="B482" s="1" t="n">
        <v>45967</v>
      </c>
      <c r="C482" s="1" t="n">
        <v>46107</v>
      </c>
      <c r="D482" t="inlineStr">
        <is>
          <t>ÖREBRO LÄN</t>
        </is>
      </c>
      <c r="E482" t="inlineStr">
        <is>
          <t>ÖREBRO</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26101-2022</t>
        </is>
      </c>
      <c r="B483" s="1" t="n">
        <v>44734</v>
      </c>
      <c r="C483" s="1" t="n">
        <v>46107</v>
      </c>
      <c r="D483" t="inlineStr">
        <is>
          <t>ÖREBRO LÄN</t>
        </is>
      </c>
      <c r="E483" t="inlineStr">
        <is>
          <t>ÖREBRO</t>
        </is>
      </c>
      <c r="G483" t="n">
        <v>15.8</v>
      </c>
      <c r="H483" t="n">
        <v>0</v>
      </c>
      <c r="I483" t="n">
        <v>0</v>
      </c>
      <c r="J483" t="n">
        <v>0</v>
      </c>
      <c r="K483" t="n">
        <v>0</v>
      </c>
      <c r="L483" t="n">
        <v>0</v>
      </c>
      <c r="M483" t="n">
        <v>0</v>
      </c>
      <c r="N483" t="n">
        <v>0</v>
      </c>
      <c r="O483" t="n">
        <v>0</v>
      </c>
      <c r="P483" t="n">
        <v>0</v>
      </c>
      <c r="Q483" t="n">
        <v>0</v>
      </c>
      <c r="R483" s="2" t="inlineStr"/>
    </row>
    <row r="484" ht="15" customHeight="1">
      <c r="A484" t="inlineStr">
        <is>
          <t>A 16258-2022</t>
        </is>
      </c>
      <c r="B484" s="1" t="n">
        <v>44670</v>
      </c>
      <c r="C484" s="1" t="n">
        <v>46107</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58486-2024</t>
        </is>
      </c>
      <c r="B485" s="1" t="n">
        <v>45635</v>
      </c>
      <c r="C485" s="1" t="n">
        <v>46107</v>
      </c>
      <c r="D485" t="inlineStr">
        <is>
          <t>ÖREBRO LÄN</t>
        </is>
      </c>
      <c r="E485" t="inlineStr">
        <is>
          <t>ÖREBRO</t>
        </is>
      </c>
      <c r="G485" t="n">
        <v>1.7</v>
      </c>
      <c r="H485" t="n">
        <v>0</v>
      </c>
      <c r="I485" t="n">
        <v>0</v>
      </c>
      <c r="J485" t="n">
        <v>0</v>
      </c>
      <c r="K485" t="n">
        <v>0</v>
      </c>
      <c r="L485" t="n">
        <v>0</v>
      </c>
      <c r="M485" t="n">
        <v>0</v>
      </c>
      <c r="N485" t="n">
        <v>0</v>
      </c>
      <c r="O485" t="n">
        <v>0</v>
      </c>
      <c r="P485" t="n">
        <v>0</v>
      </c>
      <c r="Q485" t="n">
        <v>0</v>
      </c>
      <c r="R485" s="2" t="inlineStr"/>
    </row>
    <row r="486" ht="15" customHeight="1">
      <c r="A486" t="inlineStr">
        <is>
          <t>A 63657-2025</t>
        </is>
      </c>
      <c r="B486" s="1" t="n">
        <v>46014.44479166667</v>
      </c>
      <c r="C486" s="1" t="n">
        <v>46107</v>
      </c>
      <c r="D486" t="inlineStr">
        <is>
          <t>ÖREBRO LÄN</t>
        </is>
      </c>
      <c r="E486" t="inlineStr">
        <is>
          <t>ÖREBRO</t>
        </is>
      </c>
      <c r="F486" t="inlineStr">
        <is>
          <t>Allmännings- och besparingsskogar</t>
        </is>
      </c>
      <c r="G486" t="n">
        <v>3.9</v>
      </c>
      <c r="H486" t="n">
        <v>0</v>
      </c>
      <c r="I486" t="n">
        <v>0</v>
      </c>
      <c r="J486" t="n">
        <v>0</v>
      </c>
      <c r="K486" t="n">
        <v>0</v>
      </c>
      <c r="L486" t="n">
        <v>0</v>
      </c>
      <c r="M486" t="n">
        <v>0</v>
      </c>
      <c r="N486" t="n">
        <v>0</v>
      </c>
      <c r="O486" t="n">
        <v>0</v>
      </c>
      <c r="P486" t="n">
        <v>0</v>
      </c>
      <c r="Q486" t="n">
        <v>0</v>
      </c>
      <c r="R486" s="2" t="inlineStr"/>
    </row>
    <row r="487" ht="15" customHeight="1">
      <c r="A487" t="inlineStr">
        <is>
          <t>A 27220-2025</t>
        </is>
      </c>
      <c r="B487" s="1" t="n">
        <v>45812.42293981482</v>
      </c>
      <c r="C487" s="1" t="n">
        <v>46107</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14053-2025</t>
        </is>
      </c>
      <c r="B488" s="1" t="n">
        <v>45739</v>
      </c>
      <c r="C488" s="1" t="n">
        <v>46107</v>
      </c>
      <c r="D488" t="inlineStr">
        <is>
          <t>ÖREBRO LÄN</t>
        </is>
      </c>
      <c r="E488" t="inlineStr">
        <is>
          <t>ÖREBRO</t>
        </is>
      </c>
      <c r="G488" t="n">
        <v>3.5</v>
      </c>
      <c r="H488" t="n">
        <v>0</v>
      </c>
      <c r="I488" t="n">
        <v>0</v>
      </c>
      <c r="J488" t="n">
        <v>0</v>
      </c>
      <c r="K488" t="n">
        <v>0</v>
      </c>
      <c r="L488" t="n">
        <v>0</v>
      </c>
      <c r="M488" t="n">
        <v>0</v>
      </c>
      <c r="N488" t="n">
        <v>0</v>
      </c>
      <c r="O488" t="n">
        <v>0</v>
      </c>
      <c r="P488" t="n">
        <v>0</v>
      </c>
      <c r="Q488" t="n">
        <v>0</v>
      </c>
      <c r="R488" s="2" t="inlineStr"/>
    </row>
    <row r="489" ht="15" customHeight="1">
      <c r="A489" t="inlineStr">
        <is>
          <t>A 27180-2025</t>
        </is>
      </c>
      <c r="B489" s="1" t="n">
        <v>45812.35736111111</v>
      </c>
      <c r="C489" s="1" t="n">
        <v>46107</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63666-2025</t>
        </is>
      </c>
      <c r="B490" s="1" t="n">
        <v>46014.45650462963</v>
      </c>
      <c r="C490" s="1" t="n">
        <v>46107</v>
      </c>
      <c r="D490" t="inlineStr">
        <is>
          <t>ÖREBRO LÄN</t>
        </is>
      </c>
      <c r="E490" t="inlineStr">
        <is>
          <t>ÖREBRO</t>
        </is>
      </c>
      <c r="F490" t="inlineStr">
        <is>
          <t>Allmännings- och besparingsskogar</t>
        </is>
      </c>
      <c r="G490" t="n">
        <v>2.6</v>
      </c>
      <c r="H490" t="n">
        <v>0</v>
      </c>
      <c r="I490" t="n">
        <v>0</v>
      </c>
      <c r="J490" t="n">
        <v>0</v>
      </c>
      <c r="K490" t="n">
        <v>0</v>
      </c>
      <c r="L490" t="n">
        <v>0</v>
      </c>
      <c r="M490" t="n">
        <v>0</v>
      </c>
      <c r="N490" t="n">
        <v>0</v>
      </c>
      <c r="O490" t="n">
        <v>0</v>
      </c>
      <c r="P490" t="n">
        <v>0</v>
      </c>
      <c r="Q490" t="n">
        <v>0</v>
      </c>
      <c r="R490" s="2" t="inlineStr"/>
    </row>
    <row r="491" ht="15" customHeight="1">
      <c r="A491" t="inlineStr">
        <is>
          <t>A 27215-2025</t>
        </is>
      </c>
      <c r="B491" s="1" t="n">
        <v>45812.41869212963</v>
      </c>
      <c r="C491" s="1" t="n">
        <v>46107</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27225-2025</t>
        </is>
      </c>
      <c r="B492" s="1" t="n">
        <v>45812.42856481481</v>
      </c>
      <c r="C492" s="1" t="n">
        <v>46107</v>
      </c>
      <c r="D492" t="inlineStr">
        <is>
          <t>ÖREBRO LÄN</t>
        </is>
      </c>
      <c r="E492" t="inlineStr">
        <is>
          <t>ÖREBRO</t>
        </is>
      </c>
      <c r="G492" t="n">
        <v>4</v>
      </c>
      <c r="H492" t="n">
        <v>0</v>
      </c>
      <c r="I492" t="n">
        <v>0</v>
      </c>
      <c r="J492" t="n">
        <v>0</v>
      </c>
      <c r="K492" t="n">
        <v>0</v>
      </c>
      <c r="L492" t="n">
        <v>0</v>
      </c>
      <c r="M492" t="n">
        <v>0</v>
      </c>
      <c r="N492" t="n">
        <v>0</v>
      </c>
      <c r="O492" t="n">
        <v>0</v>
      </c>
      <c r="P492" t="n">
        <v>0</v>
      </c>
      <c r="Q492" t="n">
        <v>0</v>
      </c>
      <c r="R492" s="2" t="inlineStr"/>
    </row>
    <row r="493" ht="15" customHeight="1">
      <c r="A493" t="inlineStr">
        <is>
          <t>A 63662-2025</t>
        </is>
      </c>
      <c r="B493" s="1" t="n">
        <v>46014.45055555556</v>
      </c>
      <c r="C493" s="1" t="n">
        <v>46107</v>
      </c>
      <c r="D493" t="inlineStr">
        <is>
          <t>ÖREBRO LÄN</t>
        </is>
      </c>
      <c r="E493" t="inlineStr">
        <is>
          <t>ÖREBRO</t>
        </is>
      </c>
      <c r="F493" t="inlineStr">
        <is>
          <t>Allmännings- och besparingsskogar</t>
        </is>
      </c>
      <c r="G493" t="n">
        <v>3.2</v>
      </c>
      <c r="H493" t="n">
        <v>0</v>
      </c>
      <c r="I493" t="n">
        <v>0</v>
      </c>
      <c r="J493" t="n">
        <v>0</v>
      </c>
      <c r="K493" t="n">
        <v>0</v>
      </c>
      <c r="L493" t="n">
        <v>0</v>
      </c>
      <c r="M493" t="n">
        <v>0</v>
      </c>
      <c r="N493" t="n">
        <v>0</v>
      </c>
      <c r="O493" t="n">
        <v>0</v>
      </c>
      <c r="P493" t="n">
        <v>0</v>
      </c>
      <c r="Q493" t="n">
        <v>0</v>
      </c>
      <c r="R493" s="2" t="inlineStr"/>
    </row>
    <row r="494" ht="15" customHeight="1">
      <c r="A494" t="inlineStr">
        <is>
          <t>A 35345-2024</t>
        </is>
      </c>
      <c r="B494" s="1" t="n">
        <v>45530</v>
      </c>
      <c r="C494" s="1" t="n">
        <v>46107</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123-2025</t>
        </is>
      </c>
      <c r="B495" s="1" t="n">
        <v>45659.54851851852</v>
      </c>
      <c r="C495" s="1" t="n">
        <v>46107</v>
      </c>
      <c r="D495" t="inlineStr">
        <is>
          <t>ÖREBRO LÄN</t>
        </is>
      </c>
      <c r="E495" t="inlineStr">
        <is>
          <t>ÖREBRO</t>
        </is>
      </c>
      <c r="G495" t="n">
        <v>1.6</v>
      </c>
      <c r="H495" t="n">
        <v>0</v>
      </c>
      <c r="I495" t="n">
        <v>0</v>
      </c>
      <c r="J495" t="n">
        <v>0</v>
      </c>
      <c r="K495" t="n">
        <v>0</v>
      </c>
      <c r="L495" t="n">
        <v>0</v>
      </c>
      <c r="M495" t="n">
        <v>0</v>
      </c>
      <c r="N495" t="n">
        <v>0</v>
      </c>
      <c r="O495" t="n">
        <v>0</v>
      </c>
      <c r="P495" t="n">
        <v>0</v>
      </c>
      <c r="Q495" t="n">
        <v>0</v>
      </c>
      <c r="R495" s="2" t="inlineStr"/>
    </row>
    <row r="496" ht="15" customHeight="1">
      <c r="A496" t="inlineStr">
        <is>
          <t>A 28120-2025</t>
        </is>
      </c>
      <c r="B496" s="1" t="n">
        <v>45818.30459490741</v>
      </c>
      <c r="C496" s="1" t="n">
        <v>46107</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64018-2025</t>
        </is>
      </c>
      <c r="B497" s="1" t="n">
        <v>46021.4546412037</v>
      </c>
      <c r="C497" s="1" t="n">
        <v>46107</v>
      </c>
      <c r="D497" t="inlineStr">
        <is>
          <t>ÖREBRO LÄN</t>
        </is>
      </c>
      <c r="E497" t="inlineStr">
        <is>
          <t>ÖREBRO</t>
        </is>
      </c>
      <c r="G497" t="n">
        <v>2.9</v>
      </c>
      <c r="H497" t="n">
        <v>0</v>
      </c>
      <c r="I497" t="n">
        <v>0</v>
      </c>
      <c r="J497" t="n">
        <v>0</v>
      </c>
      <c r="K497" t="n">
        <v>0</v>
      </c>
      <c r="L497" t="n">
        <v>0</v>
      </c>
      <c r="M497" t="n">
        <v>0</v>
      </c>
      <c r="N497" t="n">
        <v>0</v>
      </c>
      <c r="O497" t="n">
        <v>0</v>
      </c>
      <c r="P497" t="n">
        <v>0</v>
      </c>
      <c r="Q497" t="n">
        <v>0</v>
      </c>
      <c r="R497" s="2" t="inlineStr"/>
    </row>
    <row r="498" ht="15" customHeight="1">
      <c r="A498" t="inlineStr">
        <is>
          <t>A 64019-2025</t>
        </is>
      </c>
      <c r="B498" s="1" t="n">
        <v>46021.45914351852</v>
      </c>
      <c r="C498" s="1" t="n">
        <v>46107</v>
      </c>
      <c r="D498" t="inlineStr">
        <is>
          <t>ÖREBRO LÄN</t>
        </is>
      </c>
      <c r="E498" t="inlineStr">
        <is>
          <t>ÖREBRO</t>
        </is>
      </c>
      <c r="G498" t="n">
        <v>2</v>
      </c>
      <c r="H498" t="n">
        <v>0</v>
      </c>
      <c r="I498" t="n">
        <v>0</v>
      </c>
      <c r="J498" t="n">
        <v>0</v>
      </c>
      <c r="K498" t="n">
        <v>0</v>
      </c>
      <c r="L498" t="n">
        <v>0</v>
      </c>
      <c r="M498" t="n">
        <v>0</v>
      </c>
      <c r="N498" t="n">
        <v>0</v>
      </c>
      <c r="O498" t="n">
        <v>0</v>
      </c>
      <c r="P498" t="n">
        <v>0</v>
      </c>
      <c r="Q498" t="n">
        <v>0</v>
      </c>
      <c r="R498" s="2" t="inlineStr"/>
    </row>
    <row r="499" ht="15" customHeight="1">
      <c r="A499" t="inlineStr">
        <is>
          <t>A 30472-2022</t>
        </is>
      </c>
      <c r="B499" s="1" t="n">
        <v>44761.70467592592</v>
      </c>
      <c r="C499" s="1" t="n">
        <v>46107</v>
      </c>
      <c r="D499" t="inlineStr">
        <is>
          <t>ÖREBRO LÄN</t>
        </is>
      </c>
      <c r="E499" t="inlineStr">
        <is>
          <t>ÖREBRO</t>
        </is>
      </c>
      <c r="F499" t="inlineStr">
        <is>
          <t>Övriga Aktiebolag</t>
        </is>
      </c>
      <c r="G499" t="n">
        <v>5.6</v>
      </c>
      <c r="H499" t="n">
        <v>0</v>
      </c>
      <c r="I499" t="n">
        <v>0</v>
      </c>
      <c r="J499" t="n">
        <v>0</v>
      </c>
      <c r="K499" t="n">
        <v>0</v>
      </c>
      <c r="L499" t="n">
        <v>0</v>
      </c>
      <c r="M499" t="n">
        <v>0</v>
      </c>
      <c r="N499" t="n">
        <v>0</v>
      </c>
      <c r="O499" t="n">
        <v>0</v>
      </c>
      <c r="P499" t="n">
        <v>0</v>
      </c>
      <c r="Q499" t="n">
        <v>0</v>
      </c>
      <c r="R499" s="2" t="inlineStr"/>
    </row>
    <row r="500" ht="15" customHeight="1">
      <c r="A500" t="inlineStr">
        <is>
          <t>A 8461-2026</t>
        </is>
      </c>
      <c r="B500" s="1" t="n">
        <v>46065.42981481482</v>
      </c>
      <c r="C500" s="1" t="n">
        <v>46107</v>
      </c>
      <c r="D500" t="inlineStr">
        <is>
          <t>ÖREBRO LÄN</t>
        </is>
      </c>
      <c r="E500" t="inlineStr">
        <is>
          <t>ÖREBRO</t>
        </is>
      </c>
      <c r="G500" t="n">
        <v>1.3</v>
      </c>
      <c r="H500" t="n">
        <v>0</v>
      </c>
      <c r="I500" t="n">
        <v>0</v>
      </c>
      <c r="J500" t="n">
        <v>0</v>
      </c>
      <c r="K500" t="n">
        <v>0</v>
      </c>
      <c r="L500" t="n">
        <v>0</v>
      </c>
      <c r="M500" t="n">
        <v>0</v>
      </c>
      <c r="N500" t="n">
        <v>0</v>
      </c>
      <c r="O500" t="n">
        <v>0</v>
      </c>
      <c r="P500" t="n">
        <v>0</v>
      </c>
      <c r="Q500" t="n">
        <v>0</v>
      </c>
      <c r="R500" s="2" t="inlineStr"/>
    </row>
    <row r="501" ht="15" customHeight="1">
      <c r="A501" t="inlineStr">
        <is>
          <t>A 6869-2025</t>
        </is>
      </c>
      <c r="B501" s="1" t="n">
        <v>45700</v>
      </c>
      <c r="C501" s="1" t="n">
        <v>46107</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8662-2026</t>
        </is>
      </c>
      <c r="B502" s="1" t="n">
        <v>46066.38112268518</v>
      </c>
      <c r="C502" s="1" t="n">
        <v>46107</v>
      </c>
      <c r="D502" t="inlineStr">
        <is>
          <t>ÖREBRO LÄN</t>
        </is>
      </c>
      <c r="E502" t="inlineStr">
        <is>
          <t>ÖREBRO</t>
        </is>
      </c>
      <c r="G502" t="n">
        <v>3.2</v>
      </c>
      <c r="H502" t="n">
        <v>0</v>
      </c>
      <c r="I502" t="n">
        <v>0</v>
      </c>
      <c r="J502" t="n">
        <v>0</v>
      </c>
      <c r="K502" t="n">
        <v>0</v>
      </c>
      <c r="L502" t="n">
        <v>0</v>
      </c>
      <c r="M502" t="n">
        <v>0</v>
      </c>
      <c r="N502" t="n">
        <v>0</v>
      </c>
      <c r="O502" t="n">
        <v>0</v>
      </c>
      <c r="P502" t="n">
        <v>0</v>
      </c>
      <c r="Q502" t="n">
        <v>0</v>
      </c>
      <c r="R502" s="2" t="inlineStr"/>
    </row>
    <row r="503" ht="15" customHeight="1">
      <c r="A503" t="inlineStr">
        <is>
          <t>A 8677-2026</t>
        </is>
      </c>
      <c r="B503" s="1" t="n">
        <v>46066.40994212963</v>
      </c>
      <c r="C503" s="1" t="n">
        <v>46107</v>
      </c>
      <c r="D503" t="inlineStr">
        <is>
          <t>ÖREBRO LÄN</t>
        </is>
      </c>
      <c r="E503" t="inlineStr">
        <is>
          <t>ÖREBRO</t>
        </is>
      </c>
      <c r="G503" t="n">
        <v>2.6</v>
      </c>
      <c r="H503" t="n">
        <v>0</v>
      </c>
      <c r="I503" t="n">
        <v>0</v>
      </c>
      <c r="J503" t="n">
        <v>0</v>
      </c>
      <c r="K503" t="n">
        <v>0</v>
      </c>
      <c r="L503" t="n">
        <v>0</v>
      </c>
      <c r="M503" t="n">
        <v>0</v>
      </c>
      <c r="N503" t="n">
        <v>0</v>
      </c>
      <c r="O503" t="n">
        <v>0</v>
      </c>
      <c r="P503" t="n">
        <v>0</v>
      </c>
      <c r="Q503" t="n">
        <v>0</v>
      </c>
      <c r="R503" s="2" t="inlineStr"/>
    </row>
    <row r="504" ht="15" customHeight="1">
      <c r="A504" t="inlineStr">
        <is>
          <t>A 57869-2024</t>
        </is>
      </c>
      <c r="B504" s="1" t="n">
        <v>45631.44207175926</v>
      </c>
      <c r="C504" s="1" t="n">
        <v>46107</v>
      </c>
      <c r="D504" t="inlineStr">
        <is>
          <t>ÖREBRO LÄN</t>
        </is>
      </c>
      <c r="E504" t="inlineStr">
        <is>
          <t>ÖREBRO</t>
        </is>
      </c>
      <c r="G504" t="n">
        <v>1.4</v>
      </c>
      <c r="H504" t="n">
        <v>0</v>
      </c>
      <c r="I504" t="n">
        <v>0</v>
      </c>
      <c r="J504" t="n">
        <v>0</v>
      </c>
      <c r="K504" t="n">
        <v>0</v>
      </c>
      <c r="L504" t="n">
        <v>0</v>
      </c>
      <c r="M504" t="n">
        <v>0</v>
      </c>
      <c r="N504" t="n">
        <v>0</v>
      </c>
      <c r="O504" t="n">
        <v>0</v>
      </c>
      <c r="P504" t="n">
        <v>0</v>
      </c>
      <c r="Q504" t="n">
        <v>0</v>
      </c>
      <c r="R504" s="2" t="inlineStr"/>
    </row>
    <row r="505" ht="15" customHeight="1">
      <c r="A505" t="inlineStr">
        <is>
          <t>A 9318-2026</t>
        </is>
      </c>
      <c r="B505" s="1" t="n">
        <v>46070.62585648148</v>
      </c>
      <c r="C505" s="1" t="n">
        <v>46107</v>
      </c>
      <c r="D505" t="inlineStr">
        <is>
          <t>ÖREBRO LÄN</t>
        </is>
      </c>
      <c r="E505" t="inlineStr">
        <is>
          <t>ÖREBRO</t>
        </is>
      </c>
      <c r="F505" t="inlineStr">
        <is>
          <t>Övriga Aktiebolag</t>
        </is>
      </c>
      <c r="G505" t="n">
        <v>2.7</v>
      </c>
      <c r="H505" t="n">
        <v>0</v>
      </c>
      <c r="I505" t="n">
        <v>0</v>
      </c>
      <c r="J505" t="n">
        <v>0</v>
      </c>
      <c r="K505" t="n">
        <v>0</v>
      </c>
      <c r="L505" t="n">
        <v>0</v>
      </c>
      <c r="M505" t="n">
        <v>0</v>
      </c>
      <c r="N505" t="n">
        <v>0</v>
      </c>
      <c r="O505" t="n">
        <v>0</v>
      </c>
      <c r="P505" t="n">
        <v>0</v>
      </c>
      <c r="Q505" t="n">
        <v>0</v>
      </c>
      <c r="R505" s="2" t="inlineStr"/>
    </row>
    <row r="506" ht="15" customHeight="1">
      <c r="A506" t="inlineStr">
        <is>
          <t>A 28938-2025</t>
        </is>
      </c>
      <c r="B506" s="1" t="n">
        <v>45820.70626157407</v>
      </c>
      <c r="C506" s="1" t="n">
        <v>46107</v>
      </c>
      <c r="D506" t="inlineStr">
        <is>
          <t>ÖREBRO LÄN</t>
        </is>
      </c>
      <c r="E506" t="inlineStr">
        <is>
          <t>ÖREBRO</t>
        </is>
      </c>
      <c r="G506" t="n">
        <v>1.9</v>
      </c>
      <c r="H506" t="n">
        <v>0</v>
      </c>
      <c r="I506" t="n">
        <v>0</v>
      </c>
      <c r="J506" t="n">
        <v>0</v>
      </c>
      <c r="K506" t="n">
        <v>0</v>
      </c>
      <c r="L506" t="n">
        <v>0</v>
      </c>
      <c r="M506" t="n">
        <v>0</v>
      </c>
      <c r="N506" t="n">
        <v>0</v>
      </c>
      <c r="O506" t="n">
        <v>0</v>
      </c>
      <c r="P506" t="n">
        <v>0</v>
      </c>
      <c r="Q506" t="n">
        <v>0</v>
      </c>
      <c r="R506" s="2" t="inlineStr"/>
    </row>
    <row r="507" ht="15" customHeight="1">
      <c r="A507" t="inlineStr">
        <is>
          <t>A 28920-2025</t>
        </is>
      </c>
      <c r="B507" s="1" t="n">
        <v>45820.66532407407</v>
      </c>
      <c r="C507" s="1" t="n">
        <v>46107</v>
      </c>
      <c r="D507" t="inlineStr">
        <is>
          <t>ÖREBRO LÄN</t>
        </is>
      </c>
      <c r="E507" t="inlineStr">
        <is>
          <t>ÖREBRO</t>
        </is>
      </c>
      <c r="G507" t="n">
        <v>3</v>
      </c>
      <c r="H507" t="n">
        <v>0</v>
      </c>
      <c r="I507" t="n">
        <v>0</v>
      </c>
      <c r="J507" t="n">
        <v>0</v>
      </c>
      <c r="K507" t="n">
        <v>0</v>
      </c>
      <c r="L507" t="n">
        <v>0</v>
      </c>
      <c r="M507" t="n">
        <v>0</v>
      </c>
      <c r="N507" t="n">
        <v>0</v>
      </c>
      <c r="O507" t="n">
        <v>0</v>
      </c>
      <c r="P507" t="n">
        <v>0</v>
      </c>
      <c r="Q507" t="n">
        <v>0</v>
      </c>
      <c r="R507" s="2" t="inlineStr"/>
    </row>
    <row r="508" ht="15" customHeight="1">
      <c r="A508" t="inlineStr">
        <is>
          <t>A 37277-2022</t>
        </is>
      </c>
      <c r="B508" s="1" t="n">
        <v>44807.49150462963</v>
      </c>
      <c r="C508" s="1" t="n">
        <v>46107</v>
      </c>
      <c r="D508" t="inlineStr">
        <is>
          <t>ÖREBRO LÄN</t>
        </is>
      </c>
      <c r="E508" t="inlineStr">
        <is>
          <t>ÖREBRO</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29286-2025</t>
        </is>
      </c>
      <c r="B509" s="1" t="n">
        <v>45824.43502314815</v>
      </c>
      <c r="C509" s="1" t="n">
        <v>46107</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29339-2025</t>
        </is>
      </c>
      <c r="B510" s="1" t="n">
        <v>45824.5044212963</v>
      </c>
      <c r="C510" s="1" t="n">
        <v>46107</v>
      </c>
      <c r="D510" t="inlineStr">
        <is>
          <t>ÖREBRO LÄN</t>
        </is>
      </c>
      <c r="E510" t="inlineStr">
        <is>
          <t>ÖREBRO</t>
        </is>
      </c>
      <c r="G510" t="n">
        <v>4.3</v>
      </c>
      <c r="H510" t="n">
        <v>0</v>
      </c>
      <c r="I510" t="n">
        <v>0</v>
      </c>
      <c r="J510" t="n">
        <v>0</v>
      </c>
      <c r="K510" t="n">
        <v>0</v>
      </c>
      <c r="L510" t="n">
        <v>0</v>
      </c>
      <c r="M510" t="n">
        <v>0</v>
      </c>
      <c r="N510" t="n">
        <v>0</v>
      </c>
      <c r="O510" t="n">
        <v>0</v>
      </c>
      <c r="P510" t="n">
        <v>0</v>
      </c>
      <c r="Q510" t="n">
        <v>0</v>
      </c>
      <c r="R510" s="2" t="inlineStr"/>
    </row>
    <row r="511" ht="15" customHeight="1">
      <c r="A511" t="inlineStr">
        <is>
          <t>A 60059-2023</t>
        </is>
      </c>
      <c r="B511" s="1" t="n">
        <v>45258.38157407408</v>
      </c>
      <c r="C511" s="1" t="n">
        <v>46107</v>
      </c>
      <c r="D511" t="inlineStr">
        <is>
          <t>ÖREBRO LÄN</t>
        </is>
      </c>
      <c r="E511" t="inlineStr">
        <is>
          <t>ÖREBRO</t>
        </is>
      </c>
      <c r="G511" t="n">
        <v>4</v>
      </c>
      <c r="H511" t="n">
        <v>0</v>
      </c>
      <c r="I511" t="n">
        <v>0</v>
      </c>
      <c r="J511" t="n">
        <v>0</v>
      </c>
      <c r="K511" t="n">
        <v>0</v>
      </c>
      <c r="L511" t="n">
        <v>0</v>
      </c>
      <c r="M511" t="n">
        <v>0</v>
      </c>
      <c r="N511" t="n">
        <v>0</v>
      </c>
      <c r="O511" t="n">
        <v>0</v>
      </c>
      <c r="P511" t="n">
        <v>0</v>
      </c>
      <c r="Q511" t="n">
        <v>0</v>
      </c>
      <c r="R511" s="2" t="inlineStr"/>
    </row>
    <row r="512" ht="15" customHeight="1">
      <c r="A512" t="inlineStr">
        <is>
          <t>A 27956-2023</t>
        </is>
      </c>
      <c r="B512" s="1" t="n">
        <v>45098</v>
      </c>
      <c r="C512" s="1" t="n">
        <v>46107</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26858-2024</t>
        </is>
      </c>
      <c r="B513" s="1" t="n">
        <v>45470</v>
      </c>
      <c r="C513" s="1" t="n">
        <v>46107</v>
      </c>
      <c r="D513" t="inlineStr">
        <is>
          <t>ÖREBRO LÄN</t>
        </is>
      </c>
      <c r="E513" t="inlineStr">
        <is>
          <t>ÖREBRO</t>
        </is>
      </c>
      <c r="G513" t="n">
        <v>2.3</v>
      </c>
      <c r="H513" t="n">
        <v>0</v>
      </c>
      <c r="I513" t="n">
        <v>0</v>
      </c>
      <c r="J513" t="n">
        <v>0</v>
      </c>
      <c r="K513" t="n">
        <v>0</v>
      </c>
      <c r="L513" t="n">
        <v>0</v>
      </c>
      <c r="M513" t="n">
        <v>0</v>
      </c>
      <c r="N513" t="n">
        <v>0</v>
      </c>
      <c r="O513" t="n">
        <v>0</v>
      </c>
      <c r="P513" t="n">
        <v>0</v>
      </c>
      <c r="Q513" t="n">
        <v>0</v>
      </c>
      <c r="R513" s="2" t="inlineStr"/>
    </row>
    <row r="514" ht="15" customHeight="1">
      <c r="A514" t="inlineStr">
        <is>
          <t>A 51331-2023</t>
        </is>
      </c>
      <c r="B514" s="1" t="n">
        <v>45219</v>
      </c>
      <c r="C514" s="1" t="n">
        <v>46107</v>
      </c>
      <c r="D514" t="inlineStr">
        <is>
          <t>ÖREBRO LÄN</t>
        </is>
      </c>
      <c r="E514" t="inlineStr">
        <is>
          <t>ÖREBRO</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29701-2025</t>
        </is>
      </c>
      <c r="B515" s="1" t="n">
        <v>45825.55261574074</v>
      </c>
      <c r="C515" s="1" t="n">
        <v>46107</v>
      </c>
      <c r="D515" t="inlineStr">
        <is>
          <t>ÖREBRO LÄN</t>
        </is>
      </c>
      <c r="E515" t="inlineStr">
        <is>
          <t>ÖREBRO</t>
        </is>
      </c>
      <c r="G515" t="n">
        <v>5.8</v>
      </c>
      <c r="H515" t="n">
        <v>0</v>
      </c>
      <c r="I515" t="n">
        <v>0</v>
      </c>
      <c r="J515" t="n">
        <v>0</v>
      </c>
      <c r="K515" t="n">
        <v>0</v>
      </c>
      <c r="L515" t="n">
        <v>0</v>
      </c>
      <c r="M515" t="n">
        <v>0</v>
      </c>
      <c r="N515" t="n">
        <v>0</v>
      </c>
      <c r="O515" t="n">
        <v>0</v>
      </c>
      <c r="P515" t="n">
        <v>0</v>
      </c>
      <c r="Q515" t="n">
        <v>0</v>
      </c>
      <c r="R515" s="2" t="inlineStr"/>
    </row>
    <row r="516" ht="15" customHeight="1">
      <c r="A516" t="inlineStr">
        <is>
          <t>A 40588-2021</t>
        </is>
      </c>
      <c r="B516" s="1" t="n">
        <v>44420</v>
      </c>
      <c r="C516" s="1" t="n">
        <v>46107</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18550-2025</t>
        </is>
      </c>
      <c r="B517" s="1" t="n">
        <v>45763</v>
      </c>
      <c r="C517" s="1" t="n">
        <v>46107</v>
      </c>
      <c r="D517" t="inlineStr">
        <is>
          <t>ÖREBRO LÄN</t>
        </is>
      </c>
      <c r="E517" t="inlineStr">
        <is>
          <t>ÖREBRO</t>
        </is>
      </c>
      <c r="G517" t="n">
        <v>11.5</v>
      </c>
      <c r="H517" t="n">
        <v>0</v>
      </c>
      <c r="I517" t="n">
        <v>0</v>
      </c>
      <c r="J517" t="n">
        <v>0</v>
      </c>
      <c r="K517" t="n">
        <v>0</v>
      </c>
      <c r="L517" t="n">
        <v>0</v>
      </c>
      <c r="M517" t="n">
        <v>0</v>
      </c>
      <c r="N517" t="n">
        <v>0</v>
      </c>
      <c r="O517" t="n">
        <v>0</v>
      </c>
      <c r="P517" t="n">
        <v>0</v>
      </c>
      <c r="Q517" t="n">
        <v>0</v>
      </c>
      <c r="R517" s="2" t="inlineStr"/>
    </row>
    <row r="518" ht="15" customHeight="1">
      <c r="A518" t="inlineStr">
        <is>
          <t>A 30550-2025</t>
        </is>
      </c>
      <c r="B518" s="1" t="n">
        <v>45831.38224537037</v>
      </c>
      <c r="C518" s="1" t="n">
        <v>46107</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10108-2026</t>
        </is>
      </c>
      <c r="B519" s="1" t="n">
        <v>46074.64310185185</v>
      </c>
      <c r="C519" s="1" t="n">
        <v>46107</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30731-2025</t>
        </is>
      </c>
      <c r="B520" s="1" t="n">
        <v>45831.57280092593</v>
      </c>
      <c r="C520" s="1" t="n">
        <v>46107</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30951-2025</t>
        </is>
      </c>
      <c r="B521" s="1" t="n">
        <v>45832.43225694444</v>
      </c>
      <c r="C521" s="1" t="n">
        <v>46107</v>
      </c>
      <c r="D521" t="inlineStr">
        <is>
          <t>ÖREBRO LÄN</t>
        </is>
      </c>
      <c r="E521" t="inlineStr">
        <is>
          <t>ÖREBRO</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1153-2026</t>
        </is>
      </c>
      <c r="B522" s="1" t="n">
        <v>46031.30899305556</v>
      </c>
      <c r="C522" s="1" t="n">
        <v>46107</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31066-2025</t>
        </is>
      </c>
      <c r="B523" s="1" t="n">
        <v>45832</v>
      </c>
      <c r="C523" s="1" t="n">
        <v>46107</v>
      </c>
      <c r="D523" t="inlineStr">
        <is>
          <t>ÖREBRO LÄN</t>
        </is>
      </c>
      <c r="E523" t="inlineStr">
        <is>
          <t>ÖREBRO</t>
        </is>
      </c>
      <c r="G523" t="n">
        <v>11.1</v>
      </c>
      <c r="H523" t="n">
        <v>0</v>
      </c>
      <c r="I523" t="n">
        <v>0</v>
      </c>
      <c r="J523" t="n">
        <v>0</v>
      </c>
      <c r="K523" t="n">
        <v>0</v>
      </c>
      <c r="L523" t="n">
        <v>0</v>
      </c>
      <c r="M523" t="n">
        <v>0</v>
      </c>
      <c r="N523" t="n">
        <v>0</v>
      </c>
      <c r="O523" t="n">
        <v>0</v>
      </c>
      <c r="P523" t="n">
        <v>0</v>
      </c>
      <c r="Q523" t="n">
        <v>0</v>
      </c>
      <c r="R523" s="2" t="inlineStr"/>
    </row>
    <row r="524" ht="15" customHeight="1">
      <c r="A524" t="inlineStr">
        <is>
          <t>A 40231-2022</t>
        </is>
      </c>
      <c r="B524" s="1" t="n">
        <v>44820</v>
      </c>
      <c r="C524" s="1" t="n">
        <v>46107</v>
      </c>
      <c r="D524" t="inlineStr">
        <is>
          <t>ÖREBRO LÄN</t>
        </is>
      </c>
      <c r="E524" t="inlineStr">
        <is>
          <t>ÖREBRO</t>
        </is>
      </c>
      <c r="F524" t="inlineStr">
        <is>
          <t>Allmännings- och besparingsskogar</t>
        </is>
      </c>
      <c r="G524" t="n">
        <v>2.2</v>
      </c>
      <c r="H524" t="n">
        <v>0</v>
      </c>
      <c r="I524" t="n">
        <v>0</v>
      </c>
      <c r="J524" t="n">
        <v>0</v>
      </c>
      <c r="K524" t="n">
        <v>0</v>
      </c>
      <c r="L524" t="n">
        <v>0</v>
      </c>
      <c r="M524" t="n">
        <v>0</v>
      </c>
      <c r="N524" t="n">
        <v>0</v>
      </c>
      <c r="O524" t="n">
        <v>0</v>
      </c>
      <c r="P524" t="n">
        <v>0</v>
      </c>
      <c r="Q524" t="n">
        <v>0</v>
      </c>
      <c r="R524" s="2" t="inlineStr"/>
    </row>
    <row r="525" ht="15" customHeight="1">
      <c r="A525" t="inlineStr">
        <is>
          <t>A 4284-2025</t>
        </is>
      </c>
      <c r="B525" s="1" t="n">
        <v>45685</v>
      </c>
      <c r="C525" s="1" t="n">
        <v>46107</v>
      </c>
      <c r="D525" t="inlineStr">
        <is>
          <t>ÖREBRO LÄN</t>
        </is>
      </c>
      <c r="E525" t="inlineStr">
        <is>
          <t>ÖREBRO</t>
        </is>
      </c>
      <c r="G525" t="n">
        <v>1.7</v>
      </c>
      <c r="H525" t="n">
        <v>0</v>
      </c>
      <c r="I525" t="n">
        <v>0</v>
      </c>
      <c r="J525" t="n">
        <v>0</v>
      </c>
      <c r="K525" t="n">
        <v>0</v>
      </c>
      <c r="L525" t="n">
        <v>0</v>
      </c>
      <c r="M525" t="n">
        <v>0</v>
      </c>
      <c r="N525" t="n">
        <v>0</v>
      </c>
      <c r="O525" t="n">
        <v>0</v>
      </c>
      <c r="P525" t="n">
        <v>0</v>
      </c>
      <c r="Q525" t="n">
        <v>0</v>
      </c>
      <c r="R525" s="2" t="inlineStr"/>
    </row>
    <row r="526" ht="15" customHeight="1">
      <c r="A526" t="inlineStr">
        <is>
          <t>A 25443-2021</t>
        </is>
      </c>
      <c r="B526" s="1" t="n">
        <v>44342</v>
      </c>
      <c r="C526" s="1" t="n">
        <v>46107</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31233-2025</t>
        </is>
      </c>
      <c r="B527" s="1" t="n">
        <v>45832.83341435185</v>
      </c>
      <c r="C527" s="1" t="n">
        <v>46107</v>
      </c>
      <c r="D527" t="inlineStr">
        <is>
          <t>ÖREBRO LÄN</t>
        </is>
      </c>
      <c r="E527" t="inlineStr">
        <is>
          <t>ÖREBRO</t>
        </is>
      </c>
      <c r="F527" t="inlineStr">
        <is>
          <t>Övriga Aktiebolag</t>
        </is>
      </c>
      <c r="G527" t="n">
        <v>2</v>
      </c>
      <c r="H527" t="n">
        <v>0</v>
      </c>
      <c r="I527" t="n">
        <v>0</v>
      </c>
      <c r="J527" t="n">
        <v>0</v>
      </c>
      <c r="K527" t="n">
        <v>0</v>
      </c>
      <c r="L527" t="n">
        <v>0</v>
      </c>
      <c r="M527" t="n">
        <v>0</v>
      </c>
      <c r="N527" t="n">
        <v>0</v>
      </c>
      <c r="O527" t="n">
        <v>0</v>
      </c>
      <c r="P527" t="n">
        <v>0</v>
      </c>
      <c r="Q527" t="n">
        <v>0</v>
      </c>
      <c r="R527" s="2" t="inlineStr"/>
    </row>
    <row r="528" ht="15" customHeight="1">
      <c r="A528" t="inlineStr">
        <is>
          <t>A 31232-2025</t>
        </is>
      </c>
      <c r="B528" s="1" t="n">
        <v>45832.8252199074</v>
      </c>
      <c r="C528" s="1" t="n">
        <v>46107</v>
      </c>
      <c r="D528" t="inlineStr">
        <is>
          <t>ÖREBRO LÄN</t>
        </is>
      </c>
      <c r="E528" t="inlineStr">
        <is>
          <t>ÖREBRO</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31237-2025</t>
        </is>
      </c>
      <c r="B529" s="1" t="n">
        <v>45832.84313657408</v>
      </c>
      <c r="C529" s="1" t="n">
        <v>46107</v>
      </c>
      <c r="D529" t="inlineStr">
        <is>
          <t>ÖREBRO LÄN</t>
        </is>
      </c>
      <c r="E529" t="inlineStr">
        <is>
          <t>ÖREBRO</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2162-2026</t>
        </is>
      </c>
      <c r="B530" s="1" t="n">
        <v>46036.43479166667</v>
      </c>
      <c r="C530" s="1" t="n">
        <v>46107</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32218-2025</t>
        </is>
      </c>
      <c r="B531" s="1" t="n">
        <v>45835.58880787037</v>
      </c>
      <c r="C531" s="1" t="n">
        <v>46107</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59515-2025</t>
        </is>
      </c>
      <c r="B532" s="1" t="n">
        <v>45989.65238425926</v>
      </c>
      <c r="C532" s="1" t="n">
        <v>46107</v>
      </c>
      <c r="D532" t="inlineStr">
        <is>
          <t>ÖREBRO LÄN</t>
        </is>
      </c>
      <c r="E532" t="inlineStr">
        <is>
          <t>ÖREBRO</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32188-2025</t>
        </is>
      </c>
      <c r="B533" s="1" t="n">
        <v>45835.56965277778</v>
      </c>
      <c r="C533" s="1" t="n">
        <v>46107</v>
      </c>
      <c r="D533" t="inlineStr">
        <is>
          <t>ÖREBRO LÄN</t>
        </is>
      </c>
      <c r="E533" t="inlineStr">
        <is>
          <t>ÖREBRO</t>
        </is>
      </c>
      <c r="G533" t="n">
        <v>2.9</v>
      </c>
      <c r="H533" t="n">
        <v>0</v>
      </c>
      <c r="I533" t="n">
        <v>0</v>
      </c>
      <c r="J533" t="n">
        <v>0</v>
      </c>
      <c r="K533" t="n">
        <v>0</v>
      </c>
      <c r="L533" t="n">
        <v>0</v>
      </c>
      <c r="M533" t="n">
        <v>0</v>
      </c>
      <c r="N533" t="n">
        <v>0</v>
      </c>
      <c r="O533" t="n">
        <v>0</v>
      </c>
      <c r="P533" t="n">
        <v>0</v>
      </c>
      <c r="Q533" t="n">
        <v>0</v>
      </c>
      <c r="R533" s="2" t="inlineStr"/>
    </row>
    <row r="534" ht="15" customHeight="1">
      <c r="A534" t="inlineStr">
        <is>
          <t>A 32195-2025</t>
        </is>
      </c>
      <c r="B534" s="1" t="n">
        <v>45835.57407407407</v>
      </c>
      <c r="C534" s="1" t="n">
        <v>46107</v>
      </c>
      <c r="D534" t="inlineStr">
        <is>
          <t>ÖREBRO LÄN</t>
        </is>
      </c>
      <c r="E534" t="inlineStr">
        <is>
          <t>ÖREBRO</t>
        </is>
      </c>
      <c r="G534" t="n">
        <v>1.5</v>
      </c>
      <c r="H534" t="n">
        <v>0</v>
      </c>
      <c r="I534" t="n">
        <v>0</v>
      </c>
      <c r="J534" t="n">
        <v>0</v>
      </c>
      <c r="K534" t="n">
        <v>0</v>
      </c>
      <c r="L534" t="n">
        <v>0</v>
      </c>
      <c r="M534" t="n">
        <v>0</v>
      </c>
      <c r="N534" t="n">
        <v>0</v>
      </c>
      <c r="O534" t="n">
        <v>0</v>
      </c>
      <c r="P534" t="n">
        <v>0</v>
      </c>
      <c r="Q534" t="n">
        <v>0</v>
      </c>
      <c r="R534" s="2" t="inlineStr"/>
    </row>
    <row r="535" ht="15" customHeight="1">
      <c r="A535" t="inlineStr">
        <is>
          <t>A 33191-2025</t>
        </is>
      </c>
      <c r="B535" s="1" t="n">
        <v>45840.6003587963</v>
      </c>
      <c r="C535" s="1" t="n">
        <v>46107</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32426-2025</t>
        </is>
      </c>
      <c r="B536" s="1" t="n">
        <v>45838.36179398148</v>
      </c>
      <c r="C536" s="1" t="n">
        <v>46107</v>
      </c>
      <c r="D536" t="inlineStr">
        <is>
          <t>ÖREBRO LÄN</t>
        </is>
      </c>
      <c r="E536" t="inlineStr">
        <is>
          <t>ÖREBRO</t>
        </is>
      </c>
      <c r="G536" t="n">
        <v>1.1</v>
      </c>
      <c r="H536" t="n">
        <v>0</v>
      </c>
      <c r="I536" t="n">
        <v>0</v>
      </c>
      <c r="J536" t="n">
        <v>0</v>
      </c>
      <c r="K536" t="n">
        <v>0</v>
      </c>
      <c r="L536" t="n">
        <v>0</v>
      </c>
      <c r="M536" t="n">
        <v>0</v>
      </c>
      <c r="N536" t="n">
        <v>0</v>
      </c>
      <c r="O536" t="n">
        <v>0</v>
      </c>
      <c r="P536" t="n">
        <v>0</v>
      </c>
      <c r="Q536" t="n">
        <v>0</v>
      </c>
      <c r="R536" s="2" t="inlineStr"/>
    </row>
    <row r="537" ht="15" customHeight="1">
      <c r="A537" t="inlineStr">
        <is>
          <t>A 2970-2026</t>
        </is>
      </c>
      <c r="B537" s="1" t="n">
        <v>46038.6202662037</v>
      </c>
      <c r="C537" s="1" t="n">
        <v>46107</v>
      </c>
      <c r="D537" t="inlineStr">
        <is>
          <t>ÖREBRO LÄN</t>
        </is>
      </c>
      <c r="E537" t="inlineStr">
        <is>
          <t>ÖREBRO</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42623-2022</t>
        </is>
      </c>
      <c r="B538" s="1" t="n">
        <v>44831</v>
      </c>
      <c r="C538" s="1" t="n">
        <v>46107</v>
      </c>
      <c r="D538" t="inlineStr">
        <is>
          <t>ÖREBRO LÄN</t>
        </is>
      </c>
      <c r="E538" t="inlineStr">
        <is>
          <t>ÖREBRO</t>
        </is>
      </c>
      <c r="G538" t="n">
        <v>3.6</v>
      </c>
      <c r="H538" t="n">
        <v>0</v>
      </c>
      <c r="I538" t="n">
        <v>0</v>
      </c>
      <c r="J538" t="n">
        <v>0</v>
      </c>
      <c r="K538" t="n">
        <v>0</v>
      </c>
      <c r="L538" t="n">
        <v>0</v>
      </c>
      <c r="M538" t="n">
        <v>0</v>
      </c>
      <c r="N538" t="n">
        <v>0</v>
      </c>
      <c r="O538" t="n">
        <v>0</v>
      </c>
      <c r="P538" t="n">
        <v>0</v>
      </c>
      <c r="Q538" t="n">
        <v>0</v>
      </c>
      <c r="R538" s="2" t="inlineStr"/>
    </row>
    <row r="539" ht="15" customHeight="1">
      <c r="A539" t="inlineStr">
        <is>
          <t>A 32904-2025</t>
        </is>
      </c>
      <c r="B539" s="1" t="n">
        <v>45839</v>
      </c>
      <c r="C539" s="1" t="n">
        <v>46107</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3763-2025</t>
        </is>
      </c>
      <c r="B540" s="1" t="n">
        <v>45681</v>
      </c>
      <c r="C540" s="1" t="n">
        <v>46107</v>
      </c>
      <c r="D540" t="inlineStr">
        <is>
          <t>ÖREBRO LÄN</t>
        </is>
      </c>
      <c r="E540" t="inlineStr">
        <is>
          <t>ÖREBRO</t>
        </is>
      </c>
      <c r="G540" t="n">
        <v>10.1</v>
      </c>
      <c r="H540" t="n">
        <v>0</v>
      </c>
      <c r="I540" t="n">
        <v>0</v>
      </c>
      <c r="J540" t="n">
        <v>0</v>
      </c>
      <c r="K540" t="n">
        <v>0</v>
      </c>
      <c r="L540" t="n">
        <v>0</v>
      </c>
      <c r="M540" t="n">
        <v>0</v>
      </c>
      <c r="N540" t="n">
        <v>0</v>
      </c>
      <c r="O540" t="n">
        <v>0</v>
      </c>
      <c r="P540" t="n">
        <v>0</v>
      </c>
      <c r="Q540" t="n">
        <v>0</v>
      </c>
      <c r="R540" s="2" t="inlineStr"/>
    </row>
    <row r="541" ht="15" customHeight="1">
      <c r="A541" t="inlineStr">
        <is>
          <t>A 3031-2026</t>
        </is>
      </c>
      <c r="B541" s="1" t="n">
        <v>46038.71271990741</v>
      </c>
      <c r="C541" s="1" t="n">
        <v>46107</v>
      </c>
      <c r="D541" t="inlineStr">
        <is>
          <t>ÖREBRO LÄN</t>
        </is>
      </c>
      <c r="E541" t="inlineStr">
        <is>
          <t>ÖREBRO</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3033-2026</t>
        </is>
      </c>
      <c r="B542" s="1" t="n">
        <v>46038.71920138889</v>
      </c>
      <c r="C542" s="1" t="n">
        <v>46107</v>
      </c>
      <c r="D542" t="inlineStr">
        <is>
          <t>ÖREBRO LÄN</t>
        </is>
      </c>
      <c r="E542" t="inlineStr">
        <is>
          <t>ÖREBRO</t>
        </is>
      </c>
      <c r="F542" t="inlineStr">
        <is>
          <t>Övriga Aktiebolag</t>
        </is>
      </c>
      <c r="G542" t="n">
        <v>3.4</v>
      </c>
      <c r="H542" t="n">
        <v>0</v>
      </c>
      <c r="I542" t="n">
        <v>0</v>
      </c>
      <c r="J542" t="n">
        <v>0</v>
      </c>
      <c r="K542" t="n">
        <v>0</v>
      </c>
      <c r="L542" t="n">
        <v>0</v>
      </c>
      <c r="M542" t="n">
        <v>0</v>
      </c>
      <c r="N542" t="n">
        <v>0</v>
      </c>
      <c r="O542" t="n">
        <v>0</v>
      </c>
      <c r="P542" t="n">
        <v>0</v>
      </c>
      <c r="Q542" t="n">
        <v>0</v>
      </c>
      <c r="R542" s="2" t="inlineStr"/>
    </row>
    <row r="543" ht="15" customHeight="1">
      <c r="A543" t="inlineStr">
        <is>
          <t>A 10970-2026</t>
        </is>
      </c>
      <c r="B543" s="1" t="n">
        <v>46079.44788194444</v>
      </c>
      <c r="C543" s="1" t="n">
        <v>46107</v>
      </c>
      <c r="D543" t="inlineStr">
        <is>
          <t>ÖREBRO LÄN</t>
        </is>
      </c>
      <c r="E543" t="inlineStr">
        <is>
          <t>ÖREBRO</t>
        </is>
      </c>
      <c r="G543" t="n">
        <v>6.5</v>
      </c>
      <c r="H543" t="n">
        <v>0</v>
      </c>
      <c r="I543" t="n">
        <v>0</v>
      </c>
      <c r="J543" t="n">
        <v>0</v>
      </c>
      <c r="K543" t="n">
        <v>0</v>
      </c>
      <c r="L543" t="n">
        <v>0</v>
      </c>
      <c r="M543" t="n">
        <v>0</v>
      </c>
      <c r="N543" t="n">
        <v>0</v>
      </c>
      <c r="O543" t="n">
        <v>0</v>
      </c>
      <c r="P543" t="n">
        <v>0</v>
      </c>
      <c r="Q543" t="n">
        <v>0</v>
      </c>
      <c r="R543" s="2" t="inlineStr"/>
    </row>
    <row r="544" ht="15" customHeight="1">
      <c r="A544" t="inlineStr">
        <is>
          <t>A 10944-2026</t>
        </is>
      </c>
      <c r="B544" s="1" t="n">
        <v>46079.37659722222</v>
      </c>
      <c r="C544" s="1" t="n">
        <v>46107</v>
      </c>
      <c r="D544" t="inlineStr">
        <is>
          <t>ÖREBRO LÄN</t>
        </is>
      </c>
      <c r="E544" t="inlineStr">
        <is>
          <t>ÖREBRO</t>
        </is>
      </c>
      <c r="G544" t="n">
        <v>2.7</v>
      </c>
      <c r="H544" t="n">
        <v>0</v>
      </c>
      <c r="I544" t="n">
        <v>0</v>
      </c>
      <c r="J544" t="n">
        <v>0</v>
      </c>
      <c r="K544" t="n">
        <v>0</v>
      </c>
      <c r="L544" t="n">
        <v>0</v>
      </c>
      <c r="M544" t="n">
        <v>0</v>
      </c>
      <c r="N544" t="n">
        <v>0</v>
      </c>
      <c r="O544" t="n">
        <v>0</v>
      </c>
      <c r="P544" t="n">
        <v>0</v>
      </c>
      <c r="Q544" t="n">
        <v>0</v>
      </c>
      <c r="R544" s="2" t="inlineStr"/>
    </row>
    <row r="545" ht="15" customHeight="1">
      <c r="A545" t="inlineStr">
        <is>
          <t>A 3042-2026</t>
        </is>
      </c>
      <c r="B545" s="1" t="n">
        <v>46038.73467592592</v>
      </c>
      <c r="C545" s="1" t="n">
        <v>46107</v>
      </c>
      <c r="D545" t="inlineStr">
        <is>
          <t>ÖREBRO LÄN</t>
        </is>
      </c>
      <c r="E545" t="inlineStr">
        <is>
          <t>ÖREBRO</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10972-2026</t>
        </is>
      </c>
      <c r="B546" s="1" t="n">
        <v>46079.45015046297</v>
      </c>
      <c r="C546" s="1" t="n">
        <v>46107</v>
      </c>
      <c r="D546" t="inlineStr">
        <is>
          <t>ÖREBRO LÄN</t>
        </is>
      </c>
      <c r="E546" t="inlineStr">
        <is>
          <t>ÖREBRO</t>
        </is>
      </c>
      <c r="G546" t="n">
        <v>1.7</v>
      </c>
      <c r="H546" t="n">
        <v>0</v>
      </c>
      <c r="I546" t="n">
        <v>0</v>
      </c>
      <c r="J546" t="n">
        <v>0</v>
      </c>
      <c r="K546" t="n">
        <v>0</v>
      </c>
      <c r="L546" t="n">
        <v>0</v>
      </c>
      <c r="M546" t="n">
        <v>0</v>
      </c>
      <c r="N546" t="n">
        <v>0</v>
      </c>
      <c r="O546" t="n">
        <v>0</v>
      </c>
      <c r="P546" t="n">
        <v>0</v>
      </c>
      <c r="Q546" t="n">
        <v>0</v>
      </c>
      <c r="R546" s="2" t="inlineStr"/>
    </row>
    <row r="547" ht="15" customHeight="1">
      <c r="A547" t="inlineStr">
        <is>
          <t>A 11286-2026</t>
        </is>
      </c>
      <c r="B547" s="1" t="n">
        <v>46080</v>
      </c>
      <c r="C547" s="1" t="n">
        <v>46107</v>
      </c>
      <c r="D547" t="inlineStr">
        <is>
          <t>ÖREBRO LÄN</t>
        </is>
      </c>
      <c r="E547" t="inlineStr">
        <is>
          <t>ÖREBRO</t>
        </is>
      </c>
      <c r="G547" t="n">
        <v>5.4</v>
      </c>
      <c r="H547" t="n">
        <v>0</v>
      </c>
      <c r="I547" t="n">
        <v>0</v>
      </c>
      <c r="J547" t="n">
        <v>0</v>
      </c>
      <c r="K547" t="n">
        <v>0</v>
      </c>
      <c r="L547" t="n">
        <v>0</v>
      </c>
      <c r="M547" t="n">
        <v>0</v>
      </c>
      <c r="N547" t="n">
        <v>0</v>
      </c>
      <c r="O547" t="n">
        <v>0</v>
      </c>
      <c r="P547" t="n">
        <v>0</v>
      </c>
      <c r="Q547" t="n">
        <v>0</v>
      </c>
      <c r="R547" s="2" t="inlineStr"/>
    </row>
    <row r="548" ht="15" customHeight="1">
      <c r="A548" t="inlineStr">
        <is>
          <t>A 3111-2026</t>
        </is>
      </c>
      <c r="B548" s="1" t="n">
        <v>46041.36004629629</v>
      </c>
      <c r="C548" s="1" t="n">
        <v>46107</v>
      </c>
      <c r="D548" t="inlineStr">
        <is>
          <t>ÖREBRO LÄN</t>
        </is>
      </c>
      <c r="E548" t="inlineStr">
        <is>
          <t>ÖREBRO</t>
        </is>
      </c>
      <c r="F548" t="inlineStr">
        <is>
          <t>Övriga Aktiebolag</t>
        </is>
      </c>
      <c r="G548" t="n">
        <v>8.6</v>
      </c>
      <c r="H548" t="n">
        <v>0</v>
      </c>
      <c r="I548" t="n">
        <v>0</v>
      </c>
      <c r="J548" t="n">
        <v>0</v>
      </c>
      <c r="K548" t="n">
        <v>0</v>
      </c>
      <c r="L548" t="n">
        <v>0</v>
      </c>
      <c r="M548" t="n">
        <v>0</v>
      </c>
      <c r="N548" t="n">
        <v>0</v>
      </c>
      <c r="O548" t="n">
        <v>0</v>
      </c>
      <c r="P548" t="n">
        <v>0</v>
      </c>
      <c r="Q548" t="n">
        <v>0</v>
      </c>
      <c r="R548" s="2" t="inlineStr"/>
    </row>
    <row r="549" ht="15" customHeight="1">
      <c r="A549" t="inlineStr">
        <is>
          <t>A 3252-2026</t>
        </is>
      </c>
      <c r="B549" s="1" t="n">
        <v>46041.58626157408</v>
      </c>
      <c r="C549" s="1" t="n">
        <v>46107</v>
      </c>
      <c r="D549" t="inlineStr">
        <is>
          <t>ÖREBRO LÄN</t>
        </is>
      </c>
      <c r="E549" t="inlineStr">
        <is>
          <t>ÖREBRO</t>
        </is>
      </c>
      <c r="F549" t="inlineStr">
        <is>
          <t>Övriga Aktiebolag</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48687-2024</t>
        </is>
      </c>
      <c r="B550" s="1" t="n">
        <v>45593.49899305555</v>
      </c>
      <c r="C550" s="1" t="n">
        <v>46107</v>
      </c>
      <c r="D550" t="inlineStr">
        <is>
          <t>ÖREBRO LÄN</t>
        </is>
      </c>
      <c r="E550" t="inlineStr">
        <is>
          <t>ÖREBRO</t>
        </is>
      </c>
      <c r="F550" t="inlineStr">
        <is>
          <t>Övriga Aktiebolag</t>
        </is>
      </c>
      <c r="G550" t="n">
        <v>3.8</v>
      </c>
      <c r="H550" t="n">
        <v>0</v>
      </c>
      <c r="I550" t="n">
        <v>0</v>
      </c>
      <c r="J550" t="n">
        <v>0</v>
      </c>
      <c r="K550" t="n">
        <v>0</v>
      </c>
      <c r="L550" t="n">
        <v>0</v>
      </c>
      <c r="M550" t="n">
        <v>0</v>
      </c>
      <c r="N550" t="n">
        <v>0</v>
      </c>
      <c r="O550" t="n">
        <v>0</v>
      </c>
      <c r="P550" t="n">
        <v>0</v>
      </c>
      <c r="Q550" t="n">
        <v>0</v>
      </c>
      <c r="R550" s="2" t="inlineStr"/>
    </row>
    <row r="551" ht="15" customHeight="1">
      <c r="A551" t="inlineStr">
        <is>
          <t>A 10829-2023</t>
        </is>
      </c>
      <c r="B551" s="1" t="n">
        <v>44990.88512731482</v>
      </c>
      <c r="C551" s="1" t="n">
        <v>46107</v>
      </c>
      <c r="D551" t="inlineStr">
        <is>
          <t>ÖREBRO LÄN</t>
        </is>
      </c>
      <c r="E551" t="inlineStr">
        <is>
          <t>ÖREBRO</t>
        </is>
      </c>
      <c r="G551" t="n">
        <v>4.4</v>
      </c>
      <c r="H551" t="n">
        <v>0</v>
      </c>
      <c r="I551" t="n">
        <v>0</v>
      </c>
      <c r="J551" t="n">
        <v>0</v>
      </c>
      <c r="K551" t="n">
        <v>0</v>
      </c>
      <c r="L551" t="n">
        <v>0</v>
      </c>
      <c r="M551" t="n">
        <v>0</v>
      </c>
      <c r="N551" t="n">
        <v>0</v>
      </c>
      <c r="O551" t="n">
        <v>0</v>
      </c>
      <c r="P551" t="n">
        <v>0</v>
      </c>
      <c r="Q551" t="n">
        <v>0</v>
      </c>
      <c r="R551" s="2" t="inlineStr"/>
    </row>
    <row r="552" ht="15" customHeight="1">
      <c r="A552" t="inlineStr">
        <is>
          <t>A 10831-2023</t>
        </is>
      </c>
      <c r="B552" s="1" t="n">
        <v>44990.90357638889</v>
      </c>
      <c r="C552" s="1" t="n">
        <v>46107</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35062-2025</t>
        </is>
      </c>
      <c r="B553" s="1" t="n">
        <v>45852</v>
      </c>
      <c r="C553" s="1" t="n">
        <v>46107</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16165-2023</t>
        </is>
      </c>
      <c r="B554" s="1" t="n">
        <v>45027</v>
      </c>
      <c r="C554" s="1" t="n">
        <v>46107</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57247-2022</t>
        </is>
      </c>
      <c r="B555" s="1" t="n">
        <v>44895.73065972222</v>
      </c>
      <c r="C555" s="1" t="n">
        <v>46107</v>
      </c>
      <c r="D555" t="inlineStr">
        <is>
          <t>ÖREBRO LÄN</t>
        </is>
      </c>
      <c r="E555" t="inlineStr">
        <is>
          <t>ÖREBRO</t>
        </is>
      </c>
      <c r="G555" t="n">
        <v>1.6</v>
      </c>
      <c r="H555" t="n">
        <v>0</v>
      </c>
      <c r="I555" t="n">
        <v>0</v>
      </c>
      <c r="J555" t="n">
        <v>0</v>
      </c>
      <c r="K555" t="n">
        <v>0</v>
      </c>
      <c r="L555" t="n">
        <v>0</v>
      </c>
      <c r="M555" t="n">
        <v>0</v>
      </c>
      <c r="N555" t="n">
        <v>0</v>
      </c>
      <c r="O555" t="n">
        <v>0</v>
      </c>
      <c r="P555" t="n">
        <v>0</v>
      </c>
      <c r="Q555" t="n">
        <v>0</v>
      </c>
      <c r="R555" s="2" t="inlineStr"/>
    </row>
    <row r="556" ht="15" customHeight="1">
      <c r="A556" t="inlineStr">
        <is>
          <t>A 28821-2025</t>
        </is>
      </c>
      <c r="B556" s="1" t="n">
        <v>45820</v>
      </c>
      <c r="C556" s="1" t="n">
        <v>46107</v>
      </c>
      <c r="D556" t="inlineStr">
        <is>
          <t>ÖREBRO LÄN</t>
        </is>
      </c>
      <c r="E556" t="inlineStr">
        <is>
          <t>ÖREBRO</t>
        </is>
      </c>
      <c r="G556" t="n">
        <v>12.6</v>
      </c>
      <c r="H556" t="n">
        <v>0</v>
      </c>
      <c r="I556" t="n">
        <v>0</v>
      </c>
      <c r="J556" t="n">
        <v>0</v>
      </c>
      <c r="K556" t="n">
        <v>0</v>
      </c>
      <c r="L556" t="n">
        <v>0</v>
      </c>
      <c r="M556" t="n">
        <v>0</v>
      </c>
      <c r="N556" t="n">
        <v>0</v>
      </c>
      <c r="O556" t="n">
        <v>0</v>
      </c>
      <c r="P556" t="n">
        <v>0</v>
      </c>
      <c r="Q556" t="n">
        <v>0</v>
      </c>
      <c r="R556" s="2" t="inlineStr"/>
    </row>
    <row r="557" ht="15" customHeight="1">
      <c r="A557" t="inlineStr">
        <is>
          <t>A 35637-2025</t>
        </is>
      </c>
      <c r="B557" s="1" t="n">
        <v>45859.46859953704</v>
      </c>
      <c r="C557" s="1" t="n">
        <v>46107</v>
      </c>
      <c r="D557" t="inlineStr">
        <is>
          <t>ÖREBRO LÄN</t>
        </is>
      </c>
      <c r="E557" t="inlineStr">
        <is>
          <t>ÖREBRO</t>
        </is>
      </c>
      <c r="G557" t="n">
        <v>2.1</v>
      </c>
      <c r="H557" t="n">
        <v>0</v>
      </c>
      <c r="I557" t="n">
        <v>0</v>
      </c>
      <c r="J557" t="n">
        <v>0</v>
      </c>
      <c r="K557" t="n">
        <v>0</v>
      </c>
      <c r="L557" t="n">
        <v>0</v>
      </c>
      <c r="M557" t="n">
        <v>0</v>
      </c>
      <c r="N557" t="n">
        <v>0</v>
      </c>
      <c r="O557" t="n">
        <v>0</v>
      </c>
      <c r="P557" t="n">
        <v>0</v>
      </c>
      <c r="Q557" t="n">
        <v>0</v>
      </c>
      <c r="R557" s="2" t="inlineStr"/>
    </row>
    <row r="558" ht="15" customHeight="1">
      <c r="A558" t="inlineStr">
        <is>
          <t>A 35928-2025</t>
        </is>
      </c>
      <c r="B558" s="1" t="n">
        <v>45862</v>
      </c>
      <c r="C558" s="1" t="n">
        <v>46107</v>
      </c>
      <c r="D558" t="inlineStr">
        <is>
          <t>ÖREBRO LÄN</t>
        </is>
      </c>
      <c r="E558" t="inlineStr">
        <is>
          <t>ÖREBRO</t>
        </is>
      </c>
      <c r="G558" t="n">
        <v>4.4</v>
      </c>
      <c r="H558" t="n">
        <v>0</v>
      </c>
      <c r="I558" t="n">
        <v>0</v>
      </c>
      <c r="J558" t="n">
        <v>0</v>
      </c>
      <c r="K558" t="n">
        <v>0</v>
      </c>
      <c r="L558" t="n">
        <v>0</v>
      </c>
      <c r="M558" t="n">
        <v>0</v>
      </c>
      <c r="N558" t="n">
        <v>0</v>
      </c>
      <c r="O558" t="n">
        <v>0</v>
      </c>
      <c r="P558" t="n">
        <v>0</v>
      </c>
      <c r="Q558" t="n">
        <v>0</v>
      </c>
      <c r="R558" s="2" t="inlineStr"/>
    </row>
    <row r="559" ht="15" customHeight="1">
      <c r="A559" t="inlineStr">
        <is>
          <t>A 55453-2024</t>
        </is>
      </c>
      <c r="B559" s="1" t="n">
        <v>45622.42097222222</v>
      </c>
      <c r="C559" s="1" t="n">
        <v>46107</v>
      </c>
      <c r="D559" t="inlineStr">
        <is>
          <t>ÖREBRO LÄN</t>
        </is>
      </c>
      <c r="E559" t="inlineStr">
        <is>
          <t>ÖREBRO</t>
        </is>
      </c>
      <c r="G559" t="n">
        <v>8.5</v>
      </c>
      <c r="H559" t="n">
        <v>0</v>
      </c>
      <c r="I559" t="n">
        <v>0</v>
      </c>
      <c r="J559" t="n">
        <v>0</v>
      </c>
      <c r="K559" t="n">
        <v>0</v>
      </c>
      <c r="L559" t="n">
        <v>0</v>
      </c>
      <c r="M559" t="n">
        <v>0</v>
      </c>
      <c r="N559" t="n">
        <v>0</v>
      </c>
      <c r="O559" t="n">
        <v>0</v>
      </c>
      <c r="P559" t="n">
        <v>0</v>
      </c>
      <c r="Q559" t="n">
        <v>0</v>
      </c>
      <c r="R559" s="2" t="inlineStr"/>
    </row>
    <row r="560" ht="15" customHeight="1">
      <c r="A560" t="inlineStr">
        <is>
          <t>A 32025-2024</t>
        </is>
      </c>
      <c r="B560" s="1" t="n">
        <v>45510.65754629629</v>
      </c>
      <c r="C560" s="1" t="n">
        <v>46107</v>
      </c>
      <c r="D560" t="inlineStr">
        <is>
          <t>ÖREBRO LÄN</t>
        </is>
      </c>
      <c r="E560" t="inlineStr">
        <is>
          <t>ÖREBRO</t>
        </is>
      </c>
      <c r="G560" t="n">
        <v>4</v>
      </c>
      <c r="H560" t="n">
        <v>0</v>
      </c>
      <c r="I560" t="n">
        <v>0</v>
      </c>
      <c r="J560" t="n">
        <v>0</v>
      </c>
      <c r="K560" t="n">
        <v>0</v>
      </c>
      <c r="L560" t="n">
        <v>0</v>
      </c>
      <c r="M560" t="n">
        <v>0</v>
      </c>
      <c r="N560" t="n">
        <v>0</v>
      </c>
      <c r="O560" t="n">
        <v>0</v>
      </c>
      <c r="P560" t="n">
        <v>0</v>
      </c>
      <c r="Q560" t="n">
        <v>0</v>
      </c>
      <c r="R560" s="2" t="inlineStr"/>
    </row>
    <row r="561" ht="15" customHeight="1">
      <c r="A561" t="inlineStr">
        <is>
          <t>A 3944-2026</t>
        </is>
      </c>
      <c r="B561" s="1" t="n">
        <v>46043.93358796297</v>
      </c>
      <c r="C561" s="1" t="n">
        <v>46107</v>
      </c>
      <c r="D561" t="inlineStr">
        <is>
          <t>ÖREBRO LÄN</t>
        </is>
      </c>
      <c r="E561" t="inlineStr">
        <is>
          <t>ÖREBRO</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10816-2026</t>
        </is>
      </c>
      <c r="B562" s="1" t="n">
        <v>46078.61224537037</v>
      </c>
      <c r="C562" s="1" t="n">
        <v>46107</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36448-2025</t>
        </is>
      </c>
      <c r="B563" s="1" t="n">
        <v>45869.41929398148</v>
      </c>
      <c r="C563" s="1" t="n">
        <v>46107</v>
      </c>
      <c r="D563" t="inlineStr">
        <is>
          <t>ÖREBRO LÄN</t>
        </is>
      </c>
      <c r="E563" t="inlineStr">
        <is>
          <t>ÖREBRO</t>
        </is>
      </c>
      <c r="F563" t="inlineStr">
        <is>
          <t>Övriga Aktiebolag</t>
        </is>
      </c>
      <c r="G563" t="n">
        <v>4.3</v>
      </c>
      <c r="H563" t="n">
        <v>0</v>
      </c>
      <c r="I563" t="n">
        <v>0</v>
      </c>
      <c r="J563" t="n">
        <v>0</v>
      </c>
      <c r="K563" t="n">
        <v>0</v>
      </c>
      <c r="L563" t="n">
        <v>0</v>
      </c>
      <c r="M563" t="n">
        <v>0</v>
      </c>
      <c r="N563" t="n">
        <v>0</v>
      </c>
      <c r="O563" t="n">
        <v>0</v>
      </c>
      <c r="P563" t="n">
        <v>0</v>
      </c>
      <c r="Q563" t="n">
        <v>0</v>
      </c>
      <c r="R563" s="2" t="inlineStr"/>
    </row>
    <row r="564" ht="15" customHeight="1">
      <c r="A564" t="inlineStr">
        <is>
          <t>A 36447-2025</t>
        </is>
      </c>
      <c r="B564" s="1" t="n">
        <v>45869.41387731482</v>
      </c>
      <c r="C564" s="1" t="n">
        <v>46107</v>
      </c>
      <c r="D564" t="inlineStr">
        <is>
          <t>ÖREBRO LÄN</t>
        </is>
      </c>
      <c r="E564" t="inlineStr">
        <is>
          <t>ÖREBRO</t>
        </is>
      </c>
      <c r="F564" t="inlineStr">
        <is>
          <t>Övriga Aktiebolag</t>
        </is>
      </c>
      <c r="G564" t="n">
        <v>12.6</v>
      </c>
      <c r="H564" t="n">
        <v>0</v>
      </c>
      <c r="I564" t="n">
        <v>0</v>
      </c>
      <c r="J564" t="n">
        <v>0</v>
      </c>
      <c r="K564" t="n">
        <v>0</v>
      </c>
      <c r="L564" t="n">
        <v>0</v>
      </c>
      <c r="M564" t="n">
        <v>0</v>
      </c>
      <c r="N564" t="n">
        <v>0</v>
      </c>
      <c r="O564" t="n">
        <v>0</v>
      </c>
      <c r="P564" t="n">
        <v>0</v>
      </c>
      <c r="Q564" t="n">
        <v>0</v>
      </c>
      <c r="R564" s="2" t="inlineStr"/>
    </row>
    <row r="565" ht="15" customHeight="1">
      <c r="A565" t="inlineStr">
        <is>
          <t>A 46757-2021</t>
        </is>
      </c>
      <c r="B565" s="1" t="n">
        <v>44445</v>
      </c>
      <c r="C565" s="1" t="n">
        <v>46107</v>
      </c>
      <c r="D565" t="inlineStr">
        <is>
          <t>ÖREBRO LÄN</t>
        </is>
      </c>
      <c r="E565" t="inlineStr">
        <is>
          <t>ÖREBRO</t>
        </is>
      </c>
      <c r="G565" t="n">
        <v>5.6</v>
      </c>
      <c r="H565" t="n">
        <v>0</v>
      </c>
      <c r="I565" t="n">
        <v>0</v>
      </c>
      <c r="J565" t="n">
        <v>0</v>
      </c>
      <c r="K565" t="n">
        <v>0</v>
      </c>
      <c r="L565" t="n">
        <v>0</v>
      </c>
      <c r="M565" t="n">
        <v>0</v>
      </c>
      <c r="N565" t="n">
        <v>0</v>
      </c>
      <c r="O565" t="n">
        <v>0</v>
      </c>
      <c r="P565" t="n">
        <v>0</v>
      </c>
      <c r="Q565" t="n">
        <v>0</v>
      </c>
      <c r="R565" s="2" t="inlineStr"/>
    </row>
    <row r="566" ht="15" customHeight="1">
      <c r="A566" t="inlineStr">
        <is>
          <t>A 12536-2026</t>
        </is>
      </c>
      <c r="B566" s="1" t="n">
        <v>46090.60851851852</v>
      </c>
      <c r="C566" s="1" t="n">
        <v>46107</v>
      </c>
      <c r="D566" t="inlineStr">
        <is>
          <t>ÖREBRO LÄN</t>
        </is>
      </c>
      <c r="E566" t="inlineStr">
        <is>
          <t>ÖREBRO</t>
        </is>
      </c>
      <c r="G566" t="n">
        <v>7.7</v>
      </c>
      <c r="H566" t="n">
        <v>0</v>
      </c>
      <c r="I566" t="n">
        <v>0</v>
      </c>
      <c r="J566" t="n">
        <v>0</v>
      </c>
      <c r="K566" t="n">
        <v>0</v>
      </c>
      <c r="L566" t="n">
        <v>0</v>
      </c>
      <c r="M566" t="n">
        <v>0</v>
      </c>
      <c r="N566" t="n">
        <v>0</v>
      </c>
      <c r="O566" t="n">
        <v>0</v>
      </c>
      <c r="P566" t="n">
        <v>0</v>
      </c>
      <c r="Q566" t="n">
        <v>0</v>
      </c>
      <c r="R566" s="2" t="inlineStr"/>
    </row>
    <row r="567" ht="15" customHeight="1">
      <c r="A567" t="inlineStr">
        <is>
          <t>A 29554-2025</t>
        </is>
      </c>
      <c r="B567" s="1" t="n">
        <v>45825</v>
      </c>
      <c r="C567" s="1" t="n">
        <v>46107</v>
      </c>
      <c r="D567" t="inlineStr">
        <is>
          <t>ÖREBRO LÄN</t>
        </is>
      </c>
      <c r="E567" t="inlineStr">
        <is>
          <t>ÖREBRO</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30374-2023</t>
        </is>
      </c>
      <c r="B568" s="1" t="n">
        <v>45111</v>
      </c>
      <c r="C568" s="1" t="n">
        <v>46107</v>
      </c>
      <c r="D568" t="inlineStr">
        <is>
          <t>ÖREBRO LÄN</t>
        </is>
      </c>
      <c r="E568" t="inlineStr">
        <is>
          <t>ÖREBRO</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54678-2023</t>
        </is>
      </c>
      <c r="B569" s="1" t="n">
        <v>45235</v>
      </c>
      <c r="C569" s="1" t="n">
        <v>46107</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58219-2024</t>
        </is>
      </c>
      <c r="B570" s="1" t="n">
        <v>45632</v>
      </c>
      <c r="C570" s="1" t="n">
        <v>46107</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42518-2021</t>
        </is>
      </c>
      <c r="B571" s="1" t="n">
        <v>44427.81496527778</v>
      </c>
      <c r="C571" s="1" t="n">
        <v>46107</v>
      </c>
      <c r="D571" t="inlineStr">
        <is>
          <t>ÖREBRO LÄN</t>
        </is>
      </c>
      <c r="E571" t="inlineStr">
        <is>
          <t>ÖREBRO</t>
        </is>
      </c>
      <c r="G571" t="n">
        <v>4.5</v>
      </c>
      <c r="H571" t="n">
        <v>0</v>
      </c>
      <c r="I571" t="n">
        <v>0</v>
      </c>
      <c r="J571" t="n">
        <v>0</v>
      </c>
      <c r="K571" t="n">
        <v>0</v>
      </c>
      <c r="L571" t="n">
        <v>0</v>
      </c>
      <c r="M571" t="n">
        <v>0</v>
      </c>
      <c r="N571" t="n">
        <v>0</v>
      </c>
      <c r="O571" t="n">
        <v>0</v>
      </c>
      <c r="P571" t="n">
        <v>0</v>
      </c>
      <c r="Q571" t="n">
        <v>0</v>
      </c>
      <c r="R571" s="2" t="inlineStr"/>
    </row>
    <row r="572" ht="15" customHeight="1">
      <c r="A572" t="inlineStr">
        <is>
          <t>A 14545-2023</t>
        </is>
      </c>
      <c r="B572" s="1" t="n">
        <v>45013.34895833334</v>
      </c>
      <c r="C572" s="1" t="n">
        <v>46107</v>
      </c>
      <c r="D572" t="inlineStr">
        <is>
          <t>ÖREBRO LÄN</t>
        </is>
      </c>
      <c r="E572" t="inlineStr">
        <is>
          <t>ÖREBRO</t>
        </is>
      </c>
      <c r="G572" t="n">
        <v>2.5</v>
      </c>
      <c r="H572" t="n">
        <v>0</v>
      </c>
      <c r="I572" t="n">
        <v>0</v>
      </c>
      <c r="J572" t="n">
        <v>0</v>
      </c>
      <c r="K572" t="n">
        <v>0</v>
      </c>
      <c r="L572" t="n">
        <v>0</v>
      </c>
      <c r="M572" t="n">
        <v>0</v>
      </c>
      <c r="N572" t="n">
        <v>0</v>
      </c>
      <c r="O572" t="n">
        <v>0</v>
      </c>
      <c r="P572" t="n">
        <v>0</v>
      </c>
      <c r="Q572" t="n">
        <v>0</v>
      </c>
      <c r="R572" s="2" t="inlineStr"/>
    </row>
    <row r="573" ht="15" customHeight="1">
      <c r="A573" t="inlineStr">
        <is>
          <t>A 27112-2023</t>
        </is>
      </c>
      <c r="B573" s="1" t="n">
        <v>45096</v>
      </c>
      <c r="C573" s="1" t="n">
        <v>46107</v>
      </c>
      <c r="D573" t="inlineStr">
        <is>
          <t>ÖREBRO LÄN</t>
        </is>
      </c>
      <c r="E573" t="inlineStr">
        <is>
          <t>ÖREBRO</t>
        </is>
      </c>
      <c r="G573" t="n">
        <v>0.7</v>
      </c>
      <c r="H573" t="n">
        <v>0</v>
      </c>
      <c r="I573" t="n">
        <v>0</v>
      </c>
      <c r="J573" t="n">
        <v>0</v>
      </c>
      <c r="K573" t="n">
        <v>0</v>
      </c>
      <c r="L573" t="n">
        <v>0</v>
      </c>
      <c r="M573" t="n">
        <v>0</v>
      </c>
      <c r="N573" t="n">
        <v>0</v>
      </c>
      <c r="O573" t="n">
        <v>0</v>
      </c>
      <c r="P573" t="n">
        <v>0</v>
      </c>
      <c r="Q573" t="n">
        <v>0</v>
      </c>
      <c r="R573" s="2" t="inlineStr"/>
    </row>
    <row r="574" ht="15" customHeight="1">
      <c r="A574" t="inlineStr">
        <is>
          <t>A 13778-2026</t>
        </is>
      </c>
      <c r="B574" s="1" t="n">
        <v>46097</v>
      </c>
      <c r="C574" s="1" t="n">
        <v>46107</v>
      </c>
      <c r="D574" t="inlineStr">
        <is>
          <t>ÖREBRO LÄN</t>
        </is>
      </c>
      <c r="E574" t="inlineStr">
        <is>
          <t>ÖREBRO</t>
        </is>
      </c>
      <c r="F574" t="inlineStr">
        <is>
          <t>Övriga Aktiebolag</t>
        </is>
      </c>
      <c r="G574" t="n">
        <v>23.7</v>
      </c>
      <c r="H574" t="n">
        <v>0</v>
      </c>
      <c r="I574" t="n">
        <v>0</v>
      </c>
      <c r="J574" t="n">
        <v>0</v>
      </c>
      <c r="K574" t="n">
        <v>0</v>
      </c>
      <c r="L574" t="n">
        <v>0</v>
      </c>
      <c r="M574" t="n">
        <v>0</v>
      </c>
      <c r="N574" t="n">
        <v>0</v>
      </c>
      <c r="O574" t="n">
        <v>0</v>
      </c>
      <c r="P574" t="n">
        <v>0</v>
      </c>
      <c r="Q574" t="n">
        <v>0</v>
      </c>
      <c r="R574" s="2" t="inlineStr"/>
    </row>
    <row r="575" ht="15" customHeight="1">
      <c r="A575" t="inlineStr">
        <is>
          <t>A 6220-2026</t>
        </is>
      </c>
      <c r="B575" s="1" t="n">
        <v>46055.43789351852</v>
      </c>
      <c r="C575" s="1" t="n">
        <v>46107</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14524-2025</t>
        </is>
      </c>
      <c r="B576" s="1" t="n">
        <v>45741.64815972222</v>
      </c>
      <c r="C576" s="1" t="n">
        <v>46107</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46834-2022</t>
        </is>
      </c>
      <c r="B577" s="1" t="n">
        <v>44851</v>
      </c>
      <c r="C577" s="1" t="n">
        <v>46107</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57638-2022</t>
        </is>
      </c>
      <c r="B578" s="1" t="n">
        <v>44897</v>
      </c>
      <c r="C578" s="1" t="n">
        <v>46107</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2152-2023</t>
        </is>
      </c>
      <c r="B579" s="1" t="n">
        <v>44941.55056712963</v>
      </c>
      <c r="C579" s="1" t="n">
        <v>46107</v>
      </c>
      <c r="D579" t="inlineStr">
        <is>
          <t>ÖREBRO LÄN</t>
        </is>
      </c>
      <c r="E579" t="inlineStr">
        <is>
          <t>ÖREBRO</t>
        </is>
      </c>
      <c r="G579" t="n">
        <v>8</v>
      </c>
      <c r="H579" t="n">
        <v>0</v>
      </c>
      <c r="I579" t="n">
        <v>0</v>
      </c>
      <c r="J579" t="n">
        <v>0</v>
      </c>
      <c r="K579" t="n">
        <v>0</v>
      </c>
      <c r="L579" t="n">
        <v>0</v>
      </c>
      <c r="M579" t="n">
        <v>0</v>
      </c>
      <c r="N579" t="n">
        <v>0</v>
      </c>
      <c r="O579" t="n">
        <v>0</v>
      </c>
      <c r="P579" t="n">
        <v>0</v>
      </c>
      <c r="Q579" t="n">
        <v>0</v>
      </c>
      <c r="R579" s="2" t="inlineStr"/>
    </row>
    <row r="580" ht="15" customHeight="1">
      <c r="A580" t="inlineStr">
        <is>
          <t>A 55745-2023</t>
        </is>
      </c>
      <c r="B580" s="1" t="n">
        <v>45239.44811342593</v>
      </c>
      <c r="C580" s="1" t="n">
        <v>46107</v>
      </c>
      <c r="D580" t="inlineStr">
        <is>
          <t>ÖREBRO LÄN</t>
        </is>
      </c>
      <c r="E580" t="inlineStr">
        <is>
          <t>ÖREBRO</t>
        </is>
      </c>
      <c r="G580" t="n">
        <v>13.3</v>
      </c>
      <c r="H580" t="n">
        <v>0</v>
      </c>
      <c r="I580" t="n">
        <v>0</v>
      </c>
      <c r="J580" t="n">
        <v>0</v>
      </c>
      <c r="K580" t="n">
        <v>0</v>
      </c>
      <c r="L580" t="n">
        <v>0</v>
      </c>
      <c r="M580" t="n">
        <v>0</v>
      </c>
      <c r="N580" t="n">
        <v>0</v>
      </c>
      <c r="O580" t="n">
        <v>0</v>
      </c>
      <c r="P580" t="n">
        <v>0</v>
      </c>
      <c r="Q580" t="n">
        <v>0</v>
      </c>
      <c r="R580" s="2" t="inlineStr"/>
    </row>
    <row r="581" ht="15" customHeight="1">
      <c r="A581" t="inlineStr">
        <is>
          <t>A 71285-2021</t>
        </is>
      </c>
      <c r="B581" s="1" t="n">
        <v>44539.62236111111</v>
      </c>
      <c r="C581" s="1" t="n">
        <v>46107</v>
      </c>
      <c r="D581" t="inlineStr">
        <is>
          <t>ÖREBRO LÄN</t>
        </is>
      </c>
      <c r="E581" t="inlineStr">
        <is>
          <t>ÖREBRO</t>
        </is>
      </c>
      <c r="G581" t="n">
        <v>0.8</v>
      </c>
      <c r="H581" t="n">
        <v>0</v>
      </c>
      <c r="I581" t="n">
        <v>0</v>
      </c>
      <c r="J581" t="n">
        <v>0</v>
      </c>
      <c r="K581" t="n">
        <v>0</v>
      </c>
      <c r="L581" t="n">
        <v>0</v>
      </c>
      <c r="M581" t="n">
        <v>0</v>
      </c>
      <c r="N581" t="n">
        <v>0</v>
      </c>
      <c r="O581" t="n">
        <v>0</v>
      </c>
      <c r="P581" t="n">
        <v>0</v>
      </c>
      <c r="Q581" t="n">
        <v>0</v>
      </c>
      <c r="R581" s="2" t="inlineStr"/>
    </row>
    <row r="582" ht="15" customHeight="1">
      <c r="A582" t="inlineStr">
        <is>
          <t>A 14032-2026</t>
        </is>
      </c>
      <c r="B582" s="1" t="n">
        <v>46098</v>
      </c>
      <c r="C582" s="1" t="n">
        <v>46107</v>
      </c>
      <c r="D582" t="inlineStr">
        <is>
          <t>ÖREBRO LÄN</t>
        </is>
      </c>
      <c r="E582" t="inlineStr">
        <is>
          <t>ÖREBRO</t>
        </is>
      </c>
      <c r="G582" t="n">
        <v>0.7</v>
      </c>
      <c r="H582" t="n">
        <v>0</v>
      </c>
      <c r="I582" t="n">
        <v>0</v>
      </c>
      <c r="J582" t="n">
        <v>0</v>
      </c>
      <c r="K582" t="n">
        <v>0</v>
      </c>
      <c r="L582" t="n">
        <v>0</v>
      </c>
      <c r="M582" t="n">
        <v>0</v>
      </c>
      <c r="N582" t="n">
        <v>0</v>
      </c>
      <c r="O582" t="n">
        <v>0</v>
      </c>
      <c r="P582" t="n">
        <v>0</v>
      </c>
      <c r="Q582" t="n">
        <v>0</v>
      </c>
      <c r="R582" s="2" t="inlineStr"/>
    </row>
    <row r="583" ht="15" customHeight="1">
      <c r="A583" t="inlineStr">
        <is>
          <t>A 7227-2026</t>
        </is>
      </c>
      <c r="B583" s="1" t="n">
        <v>46058.56858796296</v>
      </c>
      <c r="C583" s="1" t="n">
        <v>46107</v>
      </c>
      <c r="D583" t="inlineStr">
        <is>
          <t>ÖREBRO LÄN</t>
        </is>
      </c>
      <c r="E583" t="inlineStr">
        <is>
          <t>ÖREBRO</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7220-2026</t>
        </is>
      </c>
      <c r="B584" s="1" t="n">
        <v>46058.56126157408</v>
      </c>
      <c r="C584" s="1" t="n">
        <v>46107</v>
      </c>
      <c r="D584" t="inlineStr">
        <is>
          <t>ÖREBRO LÄN</t>
        </is>
      </c>
      <c r="E584" t="inlineStr">
        <is>
          <t>ÖREBRO</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60289-2023</t>
        </is>
      </c>
      <c r="B585" s="1" t="n">
        <v>45257</v>
      </c>
      <c r="C585" s="1" t="n">
        <v>46107</v>
      </c>
      <c r="D585" t="inlineStr">
        <is>
          <t>ÖREBRO LÄN</t>
        </is>
      </c>
      <c r="E585" t="inlineStr">
        <is>
          <t>ÖREBRO</t>
        </is>
      </c>
      <c r="G585" t="n">
        <v>10.9</v>
      </c>
      <c r="H585" t="n">
        <v>0</v>
      </c>
      <c r="I585" t="n">
        <v>0</v>
      </c>
      <c r="J585" t="n">
        <v>0</v>
      </c>
      <c r="K585" t="n">
        <v>0</v>
      </c>
      <c r="L585" t="n">
        <v>0</v>
      </c>
      <c r="M585" t="n">
        <v>0</v>
      </c>
      <c r="N585" t="n">
        <v>0</v>
      </c>
      <c r="O585" t="n">
        <v>0</v>
      </c>
      <c r="P585" t="n">
        <v>0</v>
      </c>
      <c r="Q585" t="n">
        <v>0</v>
      </c>
      <c r="R585" s="2" t="inlineStr"/>
    </row>
    <row r="586" ht="15" customHeight="1">
      <c r="A586" t="inlineStr">
        <is>
          <t>A 12099-2023</t>
        </is>
      </c>
      <c r="B586" s="1" t="n">
        <v>44998.37043981482</v>
      </c>
      <c r="C586" s="1" t="n">
        <v>46107</v>
      </c>
      <c r="D586" t="inlineStr">
        <is>
          <t>ÖREBRO LÄN</t>
        </is>
      </c>
      <c r="E586" t="inlineStr">
        <is>
          <t>ÖREBRO</t>
        </is>
      </c>
      <c r="G586" t="n">
        <v>0.9</v>
      </c>
      <c r="H586" t="n">
        <v>0</v>
      </c>
      <c r="I586" t="n">
        <v>0</v>
      </c>
      <c r="J586" t="n">
        <v>0</v>
      </c>
      <c r="K586" t="n">
        <v>0</v>
      </c>
      <c r="L586" t="n">
        <v>0</v>
      </c>
      <c r="M586" t="n">
        <v>0</v>
      </c>
      <c r="N586" t="n">
        <v>0</v>
      </c>
      <c r="O586" t="n">
        <v>0</v>
      </c>
      <c r="P586" t="n">
        <v>0</v>
      </c>
      <c r="Q586" t="n">
        <v>0</v>
      </c>
      <c r="R586" s="2" t="inlineStr"/>
    </row>
    <row r="587" ht="15" customHeight="1">
      <c r="A587" t="inlineStr">
        <is>
          <t>A 58277-2022</t>
        </is>
      </c>
      <c r="B587" s="1" t="n">
        <v>44901.48108796297</v>
      </c>
      <c r="C587" s="1" t="n">
        <v>46107</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31906-2023</t>
        </is>
      </c>
      <c r="B588" s="1" t="n">
        <v>45118.8353125</v>
      </c>
      <c r="C588" s="1" t="n">
        <v>46107</v>
      </c>
      <c r="D588" t="inlineStr">
        <is>
          <t>ÖREBRO LÄN</t>
        </is>
      </c>
      <c r="E588" t="inlineStr">
        <is>
          <t>ÖREBRO</t>
        </is>
      </c>
      <c r="G588" t="n">
        <v>9</v>
      </c>
      <c r="H588" t="n">
        <v>0</v>
      </c>
      <c r="I588" t="n">
        <v>0</v>
      </c>
      <c r="J588" t="n">
        <v>0</v>
      </c>
      <c r="K588" t="n">
        <v>0</v>
      </c>
      <c r="L588" t="n">
        <v>0</v>
      </c>
      <c r="M588" t="n">
        <v>0</v>
      </c>
      <c r="N588" t="n">
        <v>0</v>
      </c>
      <c r="O588" t="n">
        <v>0</v>
      </c>
      <c r="P588" t="n">
        <v>0</v>
      </c>
      <c r="Q588" t="n">
        <v>0</v>
      </c>
      <c r="R588" s="2" t="inlineStr"/>
    </row>
    <row r="589" ht="15" customHeight="1">
      <c r="A589" t="inlineStr">
        <is>
          <t>A 7550-2026</t>
        </is>
      </c>
      <c r="B589" s="1" t="n">
        <v>46059.68496527777</v>
      </c>
      <c r="C589" s="1" t="n">
        <v>46107</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10937-2024</t>
        </is>
      </c>
      <c r="B590" s="1" t="n">
        <v>45370.44461805555</v>
      </c>
      <c r="C590" s="1" t="n">
        <v>46107</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22079-2023</t>
        </is>
      </c>
      <c r="B591" s="1" t="n">
        <v>45069</v>
      </c>
      <c r="C591" s="1" t="n">
        <v>46107</v>
      </c>
      <c r="D591" t="inlineStr">
        <is>
          <t>ÖREBRO LÄN</t>
        </is>
      </c>
      <c r="E591" t="inlineStr">
        <is>
          <t>ÖREBRO</t>
        </is>
      </c>
      <c r="G591" t="n">
        <v>1.3</v>
      </c>
      <c r="H591" t="n">
        <v>0</v>
      </c>
      <c r="I591" t="n">
        <v>0</v>
      </c>
      <c r="J591" t="n">
        <v>0</v>
      </c>
      <c r="K591" t="n">
        <v>0</v>
      </c>
      <c r="L591" t="n">
        <v>0</v>
      </c>
      <c r="M591" t="n">
        <v>0</v>
      </c>
      <c r="N591" t="n">
        <v>0</v>
      </c>
      <c r="O591" t="n">
        <v>0</v>
      </c>
      <c r="P591" t="n">
        <v>0</v>
      </c>
      <c r="Q591" t="n">
        <v>0</v>
      </c>
      <c r="R591" s="2" t="inlineStr"/>
    </row>
    <row r="592" ht="15" customHeight="1">
      <c r="A592" t="inlineStr">
        <is>
          <t>A 52447-2024</t>
        </is>
      </c>
      <c r="B592" s="1" t="n">
        <v>45609.49157407408</v>
      </c>
      <c r="C592" s="1" t="n">
        <v>46107</v>
      </c>
      <c r="D592" t="inlineStr">
        <is>
          <t>ÖREBRO LÄN</t>
        </is>
      </c>
      <c r="E592" t="inlineStr">
        <is>
          <t>ÖREBRO</t>
        </is>
      </c>
      <c r="G592" t="n">
        <v>1.4</v>
      </c>
      <c r="H592" t="n">
        <v>0</v>
      </c>
      <c r="I592" t="n">
        <v>0</v>
      </c>
      <c r="J592" t="n">
        <v>0</v>
      </c>
      <c r="K592" t="n">
        <v>0</v>
      </c>
      <c r="L592" t="n">
        <v>0</v>
      </c>
      <c r="M592" t="n">
        <v>0</v>
      </c>
      <c r="N592" t="n">
        <v>0</v>
      </c>
      <c r="O592" t="n">
        <v>0</v>
      </c>
      <c r="P592" t="n">
        <v>0</v>
      </c>
      <c r="Q592" t="n">
        <v>0</v>
      </c>
      <c r="R592" s="2" t="inlineStr"/>
    </row>
    <row r="593" ht="15" customHeight="1">
      <c r="A593" t="inlineStr">
        <is>
          <t>A 3841-2023</t>
        </is>
      </c>
      <c r="B593" s="1" t="n">
        <v>44951</v>
      </c>
      <c r="C593" s="1" t="n">
        <v>46107</v>
      </c>
      <c r="D593" t="inlineStr">
        <is>
          <t>ÖREBRO LÄN</t>
        </is>
      </c>
      <c r="E593" t="inlineStr">
        <is>
          <t>ÖREBRO</t>
        </is>
      </c>
      <c r="G593" t="n">
        <v>4.3</v>
      </c>
      <c r="H593" t="n">
        <v>0</v>
      </c>
      <c r="I593" t="n">
        <v>0</v>
      </c>
      <c r="J593" t="n">
        <v>0</v>
      </c>
      <c r="K593" t="n">
        <v>0</v>
      </c>
      <c r="L593" t="n">
        <v>0</v>
      </c>
      <c r="M593" t="n">
        <v>0</v>
      </c>
      <c r="N593" t="n">
        <v>0</v>
      </c>
      <c r="O593" t="n">
        <v>0</v>
      </c>
      <c r="P593" t="n">
        <v>0</v>
      </c>
      <c r="Q593" t="n">
        <v>0</v>
      </c>
      <c r="R593" s="2" t="inlineStr"/>
    </row>
    <row r="594" ht="15" customHeight="1">
      <c r="A594" t="inlineStr">
        <is>
          <t>A 6254-2026</t>
        </is>
      </c>
      <c r="B594" s="1" t="n">
        <v>46055</v>
      </c>
      <c r="C594" s="1" t="n">
        <v>46107</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38489-2023</t>
        </is>
      </c>
      <c r="B595" s="1" t="n">
        <v>45162</v>
      </c>
      <c r="C595" s="1" t="n">
        <v>46107</v>
      </c>
      <c r="D595" t="inlineStr">
        <is>
          <t>ÖREBRO LÄN</t>
        </is>
      </c>
      <c r="E595" t="inlineStr">
        <is>
          <t>ÖREBRO</t>
        </is>
      </c>
      <c r="G595" t="n">
        <v>1.8</v>
      </c>
      <c r="H595" t="n">
        <v>0</v>
      </c>
      <c r="I595" t="n">
        <v>0</v>
      </c>
      <c r="J595" t="n">
        <v>0</v>
      </c>
      <c r="K595" t="n">
        <v>0</v>
      </c>
      <c r="L595" t="n">
        <v>0</v>
      </c>
      <c r="M595" t="n">
        <v>0</v>
      </c>
      <c r="N595" t="n">
        <v>0</v>
      </c>
      <c r="O595" t="n">
        <v>0</v>
      </c>
      <c r="P595" t="n">
        <v>0</v>
      </c>
      <c r="Q595" t="n">
        <v>0</v>
      </c>
      <c r="R595" s="2" t="inlineStr"/>
    </row>
    <row r="596" ht="15" customHeight="1">
      <c r="A596" t="inlineStr">
        <is>
          <t>A 70719-2021</t>
        </is>
      </c>
      <c r="B596" s="1" t="n">
        <v>44537</v>
      </c>
      <c r="C596" s="1" t="n">
        <v>46107</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38573-2023</t>
        </is>
      </c>
      <c r="B597" s="1" t="n">
        <v>45162.61837962963</v>
      </c>
      <c r="C597" s="1" t="n">
        <v>46107</v>
      </c>
      <c r="D597" t="inlineStr">
        <is>
          <t>ÖREBRO LÄN</t>
        </is>
      </c>
      <c r="E597" t="inlineStr">
        <is>
          <t>ÖREBRO</t>
        </is>
      </c>
      <c r="G597" t="n">
        <v>2.2</v>
      </c>
      <c r="H597" t="n">
        <v>0</v>
      </c>
      <c r="I597" t="n">
        <v>0</v>
      </c>
      <c r="J597" t="n">
        <v>0</v>
      </c>
      <c r="K597" t="n">
        <v>0</v>
      </c>
      <c r="L597" t="n">
        <v>0</v>
      </c>
      <c r="M597" t="n">
        <v>0</v>
      </c>
      <c r="N597" t="n">
        <v>0</v>
      </c>
      <c r="O597" t="n">
        <v>0</v>
      </c>
      <c r="P597" t="n">
        <v>0</v>
      </c>
      <c r="Q597" t="n">
        <v>0</v>
      </c>
      <c r="R597" s="2" t="inlineStr"/>
    </row>
    <row r="598" ht="15" customHeight="1">
      <c r="A598" t="inlineStr">
        <is>
          <t>A 4757-2024</t>
        </is>
      </c>
      <c r="B598" s="1" t="n">
        <v>45328</v>
      </c>
      <c r="C598" s="1" t="n">
        <v>46107</v>
      </c>
      <c r="D598" t="inlineStr">
        <is>
          <t>ÖREBRO LÄN</t>
        </is>
      </c>
      <c r="E598" t="inlineStr">
        <is>
          <t>ÖREBRO</t>
        </is>
      </c>
      <c r="G598" t="n">
        <v>1.9</v>
      </c>
      <c r="H598" t="n">
        <v>0</v>
      </c>
      <c r="I598" t="n">
        <v>0</v>
      </c>
      <c r="J598" t="n">
        <v>0</v>
      </c>
      <c r="K598" t="n">
        <v>0</v>
      </c>
      <c r="L598" t="n">
        <v>0</v>
      </c>
      <c r="M598" t="n">
        <v>0</v>
      </c>
      <c r="N598" t="n">
        <v>0</v>
      </c>
      <c r="O598" t="n">
        <v>0</v>
      </c>
      <c r="P598" t="n">
        <v>0</v>
      </c>
      <c r="Q598" t="n">
        <v>0</v>
      </c>
      <c r="R598" s="2" t="inlineStr"/>
    </row>
    <row r="599" ht="15" customHeight="1">
      <c r="A599" t="inlineStr">
        <is>
          <t>A 48140-2024</t>
        </is>
      </c>
      <c r="B599" s="1" t="n">
        <v>45589.66474537037</v>
      </c>
      <c r="C599" s="1" t="n">
        <v>46107</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46107</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11565-2023</t>
        </is>
      </c>
      <c r="B601" s="1" t="n">
        <v>44994</v>
      </c>
      <c r="C601" s="1" t="n">
        <v>46107</v>
      </c>
      <c r="D601" t="inlineStr">
        <is>
          <t>ÖREBRO LÄN</t>
        </is>
      </c>
      <c r="E601" t="inlineStr">
        <is>
          <t>ÖREBRO</t>
        </is>
      </c>
      <c r="G601" t="n">
        <v>4.7</v>
      </c>
      <c r="H601" t="n">
        <v>0</v>
      </c>
      <c r="I601" t="n">
        <v>0</v>
      </c>
      <c r="J601" t="n">
        <v>0</v>
      </c>
      <c r="K601" t="n">
        <v>0</v>
      </c>
      <c r="L601" t="n">
        <v>0</v>
      </c>
      <c r="M601" t="n">
        <v>0</v>
      </c>
      <c r="N601" t="n">
        <v>0</v>
      </c>
      <c r="O601" t="n">
        <v>0</v>
      </c>
      <c r="P601" t="n">
        <v>0</v>
      </c>
      <c r="Q601" t="n">
        <v>0</v>
      </c>
      <c r="R601" s="2" t="inlineStr"/>
    </row>
    <row r="602" ht="15" customHeight="1">
      <c r="A602" t="inlineStr">
        <is>
          <t>A 16736-2023</t>
        </is>
      </c>
      <c r="B602" s="1" t="n">
        <v>45030.72328703704</v>
      </c>
      <c r="C602" s="1" t="n">
        <v>46107</v>
      </c>
      <c r="D602" t="inlineStr">
        <is>
          <t>ÖREBRO LÄN</t>
        </is>
      </c>
      <c r="E602" t="inlineStr">
        <is>
          <t>ÖREBRO</t>
        </is>
      </c>
      <c r="G602" t="n">
        <v>4</v>
      </c>
      <c r="H602" t="n">
        <v>0</v>
      </c>
      <c r="I602" t="n">
        <v>0</v>
      </c>
      <c r="J602" t="n">
        <v>0</v>
      </c>
      <c r="K602" t="n">
        <v>0</v>
      </c>
      <c r="L602" t="n">
        <v>0</v>
      </c>
      <c r="M602" t="n">
        <v>0</v>
      </c>
      <c r="N602" t="n">
        <v>0</v>
      </c>
      <c r="O602" t="n">
        <v>0</v>
      </c>
      <c r="P602" t="n">
        <v>0</v>
      </c>
      <c r="Q602" t="n">
        <v>0</v>
      </c>
      <c r="R602" s="2" t="inlineStr"/>
    </row>
    <row r="603" ht="15" customHeight="1">
      <c r="A603" t="inlineStr">
        <is>
          <t>A 2630-2023</t>
        </is>
      </c>
      <c r="B603" s="1" t="n">
        <v>44944.39105324074</v>
      </c>
      <c r="C603" s="1" t="n">
        <v>46107</v>
      </c>
      <c r="D603" t="inlineStr">
        <is>
          <t>ÖREBRO LÄN</t>
        </is>
      </c>
      <c r="E603" t="inlineStr">
        <is>
          <t>ÖREBRO</t>
        </is>
      </c>
      <c r="G603" t="n">
        <v>6.1</v>
      </c>
      <c r="H603" t="n">
        <v>0</v>
      </c>
      <c r="I603" t="n">
        <v>0</v>
      </c>
      <c r="J603" t="n">
        <v>0</v>
      </c>
      <c r="K603" t="n">
        <v>0</v>
      </c>
      <c r="L603" t="n">
        <v>0</v>
      </c>
      <c r="M603" t="n">
        <v>0</v>
      </c>
      <c r="N603" t="n">
        <v>0</v>
      </c>
      <c r="O603" t="n">
        <v>0</v>
      </c>
      <c r="P603" t="n">
        <v>0</v>
      </c>
      <c r="Q603" t="n">
        <v>0</v>
      </c>
      <c r="R603" s="2" t="inlineStr"/>
    </row>
    <row r="604" ht="15" customHeight="1">
      <c r="A604" t="inlineStr">
        <is>
          <t>A 30015-2023</t>
        </is>
      </c>
      <c r="B604" s="1" t="n">
        <v>45109</v>
      </c>
      <c r="C604" s="1" t="n">
        <v>46107</v>
      </c>
      <c r="D604" t="inlineStr">
        <is>
          <t>ÖREBRO LÄN</t>
        </is>
      </c>
      <c r="E604" t="inlineStr">
        <is>
          <t>ÖREBRO</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37968-2024</t>
        </is>
      </c>
      <c r="B605" s="1" t="n">
        <v>45544</v>
      </c>
      <c r="C605" s="1" t="n">
        <v>46107</v>
      </c>
      <c r="D605" t="inlineStr">
        <is>
          <t>ÖREBRO LÄN</t>
        </is>
      </c>
      <c r="E605" t="inlineStr">
        <is>
          <t>ÖREBRO</t>
        </is>
      </c>
      <c r="G605" t="n">
        <v>2</v>
      </c>
      <c r="H605" t="n">
        <v>0</v>
      </c>
      <c r="I605" t="n">
        <v>0</v>
      </c>
      <c r="J605" t="n">
        <v>0</v>
      </c>
      <c r="K605" t="n">
        <v>0</v>
      </c>
      <c r="L605" t="n">
        <v>0</v>
      </c>
      <c r="M605" t="n">
        <v>0</v>
      </c>
      <c r="N605" t="n">
        <v>0</v>
      </c>
      <c r="O605" t="n">
        <v>0</v>
      </c>
      <c r="P605" t="n">
        <v>0</v>
      </c>
      <c r="Q605" t="n">
        <v>0</v>
      </c>
      <c r="R605" s="2" t="inlineStr"/>
    </row>
    <row r="606" ht="15" customHeight="1">
      <c r="A606" t="inlineStr">
        <is>
          <t>A 31326-2024</t>
        </is>
      </c>
      <c r="B606" s="1" t="n">
        <v>45504.5934375</v>
      </c>
      <c r="C606" s="1" t="n">
        <v>46107</v>
      </c>
      <c r="D606" t="inlineStr">
        <is>
          <t>ÖREBRO LÄN</t>
        </is>
      </c>
      <c r="E606" t="inlineStr">
        <is>
          <t>ÖREBRO</t>
        </is>
      </c>
      <c r="G606" t="n">
        <v>6.4</v>
      </c>
      <c r="H606" t="n">
        <v>0</v>
      </c>
      <c r="I606" t="n">
        <v>0</v>
      </c>
      <c r="J606" t="n">
        <v>0</v>
      </c>
      <c r="K606" t="n">
        <v>0</v>
      </c>
      <c r="L606" t="n">
        <v>0</v>
      </c>
      <c r="M606" t="n">
        <v>0</v>
      </c>
      <c r="N606" t="n">
        <v>0</v>
      </c>
      <c r="O606" t="n">
        <v>0</v>
      </c>
      <c r="P606" t="n">
        <v>0</v>
      </c>
      <c r="Q606" t="n">
        <v>0</v>
      </c>
      <c r="R606" s="2" t="inlineStr"/>
    </row>
    <row r="607" ht="15" customHeight="1">
      <c r="A607" t="inlineStr">
        <is>
          <t>A 22045-2024</t>
        </is>
      </c>
      <c r="B607" s="1" t="n">
        <v>45443.61171296296</v>
      </c>
      <c r="C607" s="1" t="n">
        <v>46107</v>
      </c>
      <c r="D607" t="inlineStr">
        <is>
          <t>ÖREBRO LÄN</t>
        </is>
      </c>
      <c r="E607" t="inlineStr">
        <is>
          <t>ÖREBRO</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58684-2023</t>
        </is>
      </c>
      <c r="B608" s="1" t="n">
        <v>45251</v>
      </c>
      <c r="C608" s="1" t="n">
        <v>46107</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38898-2023</t>
        </is>
      </c>
      <c r="B609" s="1" t="n">
        <v>45163</v>
      </c>
      <c r="C609" s="1" t="n">
        <v>46107</v>
      </c>
      <c r="D609" t="inlineStr">
        <is>
          <t>ÖREBRO LÄN</t>
        </is>
      </c>
      <c r="E609" t="inlineStr">
        <is>
          <t>ÖREBRO</t>
        </is>
      </c>
      <c r="G609" t="n">
        <v>5.1</v>
      </c>
      <c r="H609" t="n">
        <v>0</v>
      </c>
      <c r="I609" t="n">
        <v>0</v>
      </c>
      <c r="J609" t="n">
        <v>0</v>
      </c>
      <c r="K609" t="n">
        <v>0</v>
      </c>
      <c r="L609" t="n">
        <v>0</v>
      </c>
      <c r="M609" t="n">
        <v>0</v>
      </c>
      <c r="N609" t="n">
        <v>0</v>
      </c>
      <c r="O609" t="n">
        <v>0</v>
      </c>
      <c r="P609" t="n">
        <v>0</v>
      </c>
      <c r="Q609" t="n">
        <v>0</v>
      </c>
      <c r="R609" s="2" t="inlineStr"/>
    </row>
    <row r="610" ht="15" customHeight="1">
      <c r="A610" t="inlineStr">
        <is>
          <t>A 13321-2024</t>
        </is>
      </c>
      <c r="B610" s="1" t="n">
        <v>45386.83142361111</v>
      </c>
      <c r="C610" s="1" t="n">
        <v>46107</v>
      </c>
      <c r="D610" t="inlineStr">
        <is>
          <t>ÖREBRO LÄN</t>
        </is>
      </c>
      <c r="E610" t="inlineStr">
        <is>
          <t>ÖREBRO</t>
        </is>
      </c>
      <c r="G610" t="n">
        <v>13.1</v>
      </c>
      <c r="H610" t="n">
        <v>0</v>
      </c>
      <c r="I610" t="n">
        <v>0</v>
      </c>
      <c r="J610" t="n">
        <v>0</v>
      </c>
      <c r="K610" t="n">
        <v>0</v>
      </c>
      <c r="L610" t="n">
        <v>0</v>
      </c>
      <c r="M610" t="n">
        <v>0</v>
      </c>
      <c r="N610" t="n">
        <v>0</v>
      </c>
      <c r="O610" t="n">
        <v>0</v>
      </c>
      <c r="P610" t="n">
        <v>0</v>
      </c>
      <c r="Q610" t="n">
        <v>0</v>
      </c>
      <c r="R610" s="2" t="inlineStr"/>
    </row>
    <row r="611" ht="15" customHeight="1">
      <c r="A611" t="inlineStr">
        <is>
          <t>A 38583-2023</t>
        </is>
      </c>
      <c r="B611" s="1" t="n">
        <v>45162.62861111111</v>
      </c>
      <c r="C611" s="1" t="n">
        <v>46107</v>
      </c>
      <c r="D611" t="inlineStr">
        <is>
          <t>ÖREBRO LÄN</t>
        </is>
      </c>
      <c r="E611" t="inlineStr">
        <is>
          <t>ÖREBRO</t>
        </is>
      </c>
      <c r="G611" t="n">
        <v>5.7</v>
      </c>
      <c r="H611" t="n">
        <v>0</v>
      </c>
      <c r="I611" t="n">
        <v>0</v>
      </c>
      <c r="J611" t="n">
        <v>0</v>
      </c>
      <c r="K611" t="n">
        <v>0</v>
      </c>
      <c r="L611" t="n">
        <v>0</v>
      </c>
      <c r="M611" t="n">
        <v>0</v>
      </c>
      <c r="N611" t="n">
        <v>0</v>
      </c>
      <c r="O611" t="n">
        <v>0</v>
      </c>
      <c r="P611" t="n">
        <v>0</v>
      </c>
      <c r="Q611" t="n">
        <v>0</v>
      </c>
      <c r="R611" s="2" t="inlineStr"/>
    </row>
    <row r="612" ht="15" customHeight="1">
      <c r="A612" t="inlineStr">
        <is>
          <t>A 14291-2023</t>
        </is>
      </c>
      <c r="B612" s="1" t="n">
        <v>45010</v>
      </c>
      <c r="C612" s="1" t="n">
        <v>46107</v>
      </c>
      <c r="D612" t="inlineStr">
        <is>
          <t>ÖREBRO LÄN</t>
        </is>
      </c>
      <c r="E612" t="inlineStr">
        <is>
          <t>ÖREBRO</t>
        </is>
      </c>
      <c r="G612" t="n">
        <v>0.8</v>
      </c>
      <c r="H612" t="n">
        <v>0</v>
      </c>
      <c r="I612" t="n">
        <v>0</v>
      </c>
      <c r="J612" t="n">
        <v>0</v>
      </c>
      <c r="K612" t="n">
        <v>0</v>
      </c>
      <c r="L612" t="n">
        <v>0</v>
      </c>
      <c r="M612" t="n">
        <v>0</v>
      </c>
      <c r="N612" t="n">
        <v>0</v>
      </c>
      <c r="O612" t="n">
        <v>0</v>
      </c>
      <c r="P612" t="n">
        <v>0</v>
      </c>
      <c r="Q612" t="n">
        <v>0</v>
      </c>
      <c r="R612" s="2" t="inlineStr"/>
    </row>
    <row r="613" ht="15" customHeight="1">
      <c r="A613" t="inlineStr">
        <is>
          <t>A 9314-2023</t>
        </is>
      </c>
      <c r="B613" s="1" t="n">
        <v>44980.67747685185</v>
      </c>
      <c r="C613" s="1" t="n">
        <v>46107</v>
      </c>
      <c r="D613" t="inlineStr">
        <is>
          <t>ÖREBRO LÄN</t>
        </is>
      </c>
      <c r="E613" t="inlineStr">
        <is>
          <t>ÖREBRO</t>
        </is>
      </c>
      <c r="G613" t="n">
        <v>0.8</v>
      </c>
      <c r="H613" t="n">
        <v>0</v>
      </c>
      <c r="I613" t="n">
        <v>0</v>
      </c>
      <c r="J613" t="n">
        <v>0</v>
      </c>
      <c r="K613" t="n">
        <v>0</v>
      </c>
      <c r="L613" t="n">
        <v>0</v>
      </c>
      <c r="M613" t="n">
        <v>0</v>
      </c>
      <c r="N613" t="n">
        <v>0</v>
      </c>
      <c r="O613" t="n">
        <v>0</v>
      </c>
      <c r="P613" t="n">
        <v>0</v>
      </c>
      <c r="Q613" t="n">
        <v>0</v>
      </c>
      <c r="R613" s="2" t="inlineStr"/>
    </row>
    <row r="614" ht="15" customHeight="1">
      <c r="A614" t="inlineStr">
        <is>
          <t>A 33455-2023</t>
        </is>
      </c>
      <c r="B614" s="1" t="n">
        <v>45130.98962962963</v>
      </c>
      <c r="C614" s="1" t="n">
        <v>46107</v>
      </c>
      <c r="D614" t="inlineStr">
        <is>
          <t>ÖREBRO LÄN</t>
        </is>
      </c>
      <c r="E614" t="inlineStr">
        <is>
          <t>ÖREBRO</t>
        </is>
      </c>
      <c r="G614" t="n">
        <v>0.7</v>
      </c>
      <c r="H614" t="n">
        <v>0</v>
      </c>
      <c r="I614" t="n">
        <v>0</v>
      </c>
      <c r="J614" t="n">
        <v>0</v>
      </c>
      <c r="K614" t="n">
        <v>0</v>
      </c>
      <c r="L614" t="n">
        <v>0</v>
      </c>
      <c r="M614" t="n">
        <v>0</v>
      </c>
      <c r="N614" t="n">
        <v>0</v>
      </c>
      <c r="O614" t="n">
        <v>0</v>
      </c>
      <c r="P614" t="n">
        <v>0</v>
      </c>
      <c r="Q614" t="n">
        <v>0</v>
      </c>
      <c r="R614" s="2" t="inlineStr"/>
    </row>
    <row r="615" ht="15" customHeight="1">
      <c r="A615" t="inlineStr">
        <is>
          <t>A 21306-2024</t>
        </is>
      </c>
      <c r="B615" s="1" t="n">
        <v>45440.67883101852</v>
      </c>
      <c r="C615" s="1" t="n">
        <v>46107</v>
      </c>
      <c r="D615" t="inlineStr">
        <is>
          <t>ÖREBRO LÄN</t>
        </is>
      </c>
      <c r="E615" t="inlineStr">
        <is>
          <t>ÖREBRO</t>
        </is>
      </c>
      <c r="F615" t="inlineStr">
        <is>
          <t>Övriga Aktiebolag</t>
        </is>
      </c>
      <c r="G615" t="n">
        <v>2</v>
      </c>
      <c r="H615" t="n">
        <v>0</v>
      </c>
      <c r="I615" t="n">
        <v>0</v>
      </c>
      <c r="J615" t="n">
        <v>0</v>
      </c>
      <c r="K615" t="n">
        <v>0</v>
      </c>
      <c r="L615" t="n">
        <v>0</v>
      </c>
      <c r="M615" t="n">
        <v>0</v>
      </c>
      <c r="N615" t="n">
        <v>0</v>
      </c>
      <c r="O615" t="n">
        <v>0</v>
      </c>
      <c r="P615" t="n">
        <v>0</v>
      </c>
      <c r="Q615" t="n">
        <v>0</v>
      </c>
      <c r="R615" s="2" t="inlineStr"/>
    </row>
    <row r="616" ht="15" customHeight="1">
      <c r="A616" t="inlineStr">
        <is>
          <t>A 7634-2024</t>
        </is>
      </c>
      <c r="B616" s="1" t="n">
        <v>45348</v>
      </c>
      <c r="C616" s="1" t="n">
        <v>46107</v>
      </c>
      <c r="D616" t="inlineStr">
        <is>
          <t>ÖREBRO LÄN</t>
        </is>
      </c>
      <c r="E616" t="inlineStr">
        <is>
          <t>ÖREBRO</t>
        </is>
      </c>
      <c r="G616" t="n">
        <v>1.8</v>
      </c>
      <c r="H616" t="n">
        <v>0</v>
      </c>
      <c r="I616" t="n">
        <v>0</v>
      </c>
      <c r="J616" t="n">
        <v>0</v>
      </c>
      <c r="K616" t="n">
        <v>0</v>
      </c>
      <c r="L616" t="n">
        <v>0</v>
      </c>
      <c r="M616" t="n">
        <v>0</v>
      </c>
      <c r="N616" t="n">
        <v>0</v>
      </c>
      <c r="O616" t="n">
        <v>0</v>
      </c>
      <c r="P616" t="n">
        <v>0</v>
      </c>
      <c r="Q616" t="n">
        <v>0</v>
      </c>
      <c r="R616" s="2" t="inlineStr"/>
    </row>
    <row r="617" ht="15" customHeight="1">
      <c r="A617" t="inlineStr">
        <is>
          <t>A 5324-2024</t>
        </is>
      </c>
      <c r="B617" s="1" t="n">
        <v>45331</v>
      </c>
      <c r="C617" s="1" t="n">
        <v>46107</v>
      </c>
      <c r="D617" t="inlineStr">
        <is>
          <t>ÖREBRO LÄN</t>
        </is>
      </c>
      <c r="E617" t="inlineStr">
        <is>
          <t>ÖREBRO</t>
        </is>
      </c>
      <c r="G617" t="n">
        <v>1.5</v>
      </c>
      <c r="H617" t="n">
        <v>0</v>
      </c>
      <c r="I617" t="n">
        <v>0</v>
      </c>
      <c r="J617" t="n">
        <v>0</v>
      </c>
      <c r="K617" t="n">
        <v>0</v>
      </c>
      <c r="L617" t="n">
        <v>0</v>
      </c>
      <c r="M617" t="n">
        <v>0</v>
      </c>
      <c r="N617" t="n">
        <v>0</v>
      </c>
      <c r="O617" t="n">
        <v>0</v>
      </c>
      <c r="P617" t="n">
        <v>0</v>
      </c>
      <c r="Q617" t="n">
        <v>0</v>
      </c>
      <c r="R617" s="2" t="inlineStr"/>
    </row>
    <row r="618" ht="15" customHeight="1">
      <c r="A618" t="inlineStr">
        <is>
          <t>A 52401-2024</t>
        </is>
      </c>
      <c r="B618" s="1" t="n">
        <v>45609.44553240741</v>
      </c>
      <c r="C618" s="1" t="n">
        <v>46107</v>
      </c>
      <c r="D618" t="inlineStr">
        <is>
          <t>ÖREBRO LÄN</t>
        </is>
      </c>
      <c r="E618" t="inlineStr">
        <is>
          <t>ÖREBRO</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14963-2025</t>
        </is>
      </c>
      <c r="B619" s="1" t="n">
        <v>45743.58699074074</v>
      </c>
      <c r="C619" s="1" t="n">
        <v>46107</v>
      </c>
      <c r="D619" t="inlineStr">
        <is>
          <t>ÖREBRO LÄN</t>
        </is>
      </c>
      <c r="E619" t="inlineStr">
        <is>
          <t>ÖREBRO</t>
        </is>
      </c>
      <c r="G619" t="n">
        <v>9.1</v>
      </c>
      <c r="H619" t="n">
        <v>0</v>
      </c>
      <c r="I619" t="n">
        <v>0</v>
      </c>
      <c r="J619" t="n">
        <v>0</v>
      </c>
      <c r="K619" t="n">
        <v>0</v>
      </c>
      <c r="L619" t="n">
        <v>0</v>
      </c>
      <c r="M619" t="n">
        <v>0</v>
      </c>
      <c r="N619" t="n">
        <v>0</v>
      </c>
      <c r="O619" t="n">
        <v>0</v>
      </c>
      <c r="P619" t="n">
        <v>0</v>
      </c>
      <c r="Q619" t="n">
        <v>0</v>
      </c>
      <c r="R619" s="2" t="inlineStr"/>
    </row>
    <row r="620" ht="15" customHeight="1">
      <c r="A620" t="inlineStr">
        <is>
          <t>A 55357-2024</t>
        </is>
      </c>
      <c r="B620" s="1" t="n">
        <v>45621.81126157408</v>
      </c>
      <c r="C620" s="1" t="n">
        <v>46107</v>
      </c>
      <c r="D620" t="inlineStr">
        <is>
          <t>ÖREBRO LÄN</t>
        </is>
      </c>
      <c r="E620" t="inlineStr">
        <is>
          <t>ÖREBRO</t>
        </is>
      </c>
      <c r="G620" t="n">
        <v>0.6</v>
      </c>
      <c r="H620" t="n">
        <v>0</v>
      </c>
      <c r="I620" t="n">
        <v>0</v>
      </c>
      <c r="J620" t="n">
        <v>0</v>
      </c>
      <c r="K620" t="n">
        <v>0</v>
      </c>
      <c r="L620" t="n">
        <v>0</v>
      </c>
      <c r="M620" t="n">
        <v>0</v>
      </c>
      <c r="N620" t="n">
        <v>0</v>
      </c>
      <c r="O620" t="n">
        <v>0</v>
      </c>
      <c r="P620" t="n">
        <v>0</v>
      </c>
      <c r="Q620" t="n">
        <v>0</v>
      </c>
      <c r="R620" s="2" t="inlineStr"/>
    </row>
    <row r="621" ht="15" customHeight="1">
      <c r="A621" t="inlineStr">
        <is>
          <t>A 38422-2023</t>
        </is>
      </c>
      <c r="B621" s="1" t="n">
        <v>45162.36422453704</v>
      </c>
      <c r="C621" s="1" t="n">
        <v>46107</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46518-2023</t>
        </is>
      </c>
      <c r="B622" s="1" t="n">
        <v>45197.72777777778</v>
      </c>
      <c r="C622" s="1" t="n">
        <v>46107</v>
      </c>
      <c r="D622" t="inlineStr">
        <is>
          <t>ÖREBRO LÄN</t>
        </is>
      </c>
      <c r="E622" t="inlineStr">
        <is>
          <t>ÖREBRO</t>
        </is>
      </c>
      <c r="G622" t="n">
        <v>2.2</v>
      </c>
      <c r="H622" t="n">
        <v>0</v>
      </c>
      <c r="I622" t="n">
        <v>0</v>
      </c>
      <c r="J622" t="n">
        <v>0</v>
      </c>
      <c r="K622" t="n">
        <v>0</v>
      </c>
      <c r="L622" t="n">
        <v>0</v>
      </c>
      <c r="M622" t="n">
        <v>0</v>
      </c>
      <c r="N622" t="n">
        <v>0</v>
      </c>
      <c r="O622" t="n">
        <v>0</v>
      </c>
      <c r="P622" t="n">
        <v>0</v>
      </c>
      <c r="Q622" t="n">
        <v>0</v>
      </c>
      <c r="R622" s="2" t="inlineStr"/>
    </row>
    <row r="623" ht="15" customHeight="1">
      <c r="A623" t="inlineStr">
        <is>
          <t>A 41703-2024</t>
        </is>
      </c>
      <c r="B623" s="1" t="n">
        <v>45560</v>
      </c>
      <c r="C623" s="1" t="n">
        <v>46107</v>
      </c>
      <c r="D623" t="inlineStr">
        <is>
          <t>ÖREBRO LÄN</t>
        </is>
      </c>
      <c r="E623" t="inlineStr">
        <is>
          <t>ÖREBRO</t>
        </is>
      </c>
      <c r="G623" t="n">
        <v>6.4</v>
      </c>
      <c r="H623" t="n">
        <v>0</v>
      </c>
      <c r="I623" t="n">
        <v>0</v>
      </c>
      <c r="J623" t="n">
        <v>0</v>
      </c>
      <c r="K623" t="n">
        <v>0</v>
      </c>
      <c r="L623" t="n">
        <v>0</v>
      </c>
      <c r="M623" t="n">
        <v>0</v>
      </c>
      <c r="N623" t="n">
        <v>0</v>
      </c>
      <c r="O623" t="n">
        <v>0</v>
      </c>
      <c r="P623" t="n">
        <v>0</v>
      </c>
      <c r="Q623" t="n">
        <v>0</v>
      </c>
      <c r="R623" s="2" t="inlineStr"/>
    </row>
    <row r="624" ht="15" customHeight="1">
      <c r="A624" t="inlineStr">
        <is>
          <t>A 19763-2024</t>
        </is>
      </c>
      <c r="B624" s="1" t="n">
        <v>45432</v>
      </c>
      <c r="C624" s="1" t="n">
        <v>46107</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31247-2023</t>
        </is>
      </c>
      <c r="B625" s="1" t="n">
        <v>45114</v>
      </c>
      <c r="C625" s="1" t="n">
        <v>46107</v>
      </c>
      <c r="D625" t="inlineStr">
        <is>
          <t>ÖREBRO LÄN</t>
        </is>
      </c>
      <c r="E625" t="inlineStr">
        <is>
          <t>ÖREBRO</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36635-2023</t>
        </is>
      </c>
      <c r="B626" s="1" t="n">
        <v>45153</v>
      </c>
      <c r="C626" s="1" t="n">
        <v>46107</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54149-2024</t>
        </is>
      </c>
      <c r="B627" s="1" t="n">
        <v>45616</v>
      </c>
      <c r="C627" s="1" t="n">
        <v>46107</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49797-2024</t>
        </is>
      </c>
      <c r="B628" s="1" t="n">
        <v>45597.37265046296</v>
      </c>
      <c r="C628" s="1" t="n">
        <v>46107</v>
      </c>
      <c r="D628" t="inlineStr">
        <is>
          <t>ÖREBRO LÄN</t>
        </is>
      </c>
      <c r="E628" t="inlineStr">
        <is>
          <t>ÖREBRO</t>
        </is>
      </c>
      <c r="G628" t="n">
        <v>11.6</v>
      </c>
      <c r="H628" t="n">
        <v>0</v>
      </c>
      <c r="I628" t="n">
        <v>0</v>
      </c>
      <c r="J628" t="n">
        <v>0</v>
      </c>
      <c r="K628" t="n">
        <v>0</v>
      </c>
      <c r="L628" t="n">
        <v>0</v>
      </c>
      <c r="M628" t="n">
        <v>0</v>
      </c>
      <c r="N628" t="n">
        <v>0</v>
      </c>
      <c r="O628" t="n">
        <v>0</v>
      </c>
      <c r="P628" t="n">
        <v>0</v>
      </c>
      <c r="Q628" t="n">
        <v>0</v>
      </c>
      <c r="R628" s="2" t="inlineStr"/>
    </row>
    <row r="629" ht="15" customHeight="1">
      <c r="A629" t="inlineStr">
        <is>
          <t>A 32086-2023</t>
        </is>
      </c>
      <c r="B629" s="1" t="n">
        <v>45119.59789351852</v>
      </c>
      <c r="C629" s="1" t="n">
        <v>46107</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13856-2022</t>
        </is>
      </c>
      <c r="B630" s="1" t="n">
        <v>44649.6965162037</v>
      </c>
      <c r="C630" s="1" t="n">
        <v>46107</v>
      </c>
      <c r="D630" t="inlineStr">
        <is>
          <t>ÖREBRO LÄN</t>
        </is>
      </c>
      <c r="E630" t="inlineStr">
        <is>
          <t>ÖREBRO</t>
        </is>
      </c>
      <c r="G630" t="n">
        <v>1.8</v>
      </c>
      <c r="H630" t="n">
        <v>0</v>
      </c>
      <c r="I630" t="n">
        <v>0</v>
      </c>
      <c r="J630" t="n">
        <v>0</v>
      </c>
      <c r="K630" t="n">
        <v>0</v>
      </c>
      <c r="L630" t="n">
        <v>0</v>
      </c>
      <c r="M630" t="n">
        <v>0</v>
      </c>
      <c r="N630" t="n">
        <v>0</v>
      </c>
      <c r="O630" t="n">
        <v>0</v>
      </c>
      <c r="P630" t="n">
        <v>0</v>
      </c>
      <c r="Q630" t="n">
        <v>0</v>
      </c>
      <c r="R630" s="2" t="inlineStr"/>
    </row>
    <row r="631" ht="15" customHeight="1">
      <c r="A631" t="inlineStr">
        <is>
          <t>A 23863-2023</t>
        </is>
      </c>
      <c r="B631" s="1" t="n">
        <v>45078.48994212963</v>
      </c>
      <c r="C631" s="1" t="n">
        <v>46107</v>
      </c>
      <c r="D631" t="inlineStr">
        <is>
          <t>ÖREBRO LÄN</t>
        </is>
      </c>
      <c r="E631" t="inlineStr">
        <is>
          <t>ÖREBRO</t>
        </is>
      </c>
      <c r="F631" t="inlineStr">
        <is>
          <t>Övriga Aktiebolag</t>
        </is>
      </c>
      <c r="G631" t="n">
        <v>5.9</v>
      </c>
      <c r="H631" t="n">
        <v>0</v>
      </c>
      <c r="I631" t="n">
        <v>0</v>
      </c>
      <c r="J631" t="n">
        <v>0</v>
      </c>
      <c r="K631" t="n">
        <v>0</v>
      </c>
      <c r="L631" t="n">
        <v>0</v>
      </c>
      <c r="M631" t="n">
        <v>0</v>
      </c>
      <c r="N631" t="n">
        <v>0</v>
      </c>
      <c r="O631" t="n">
        <v>0</v>
      </c>
      <c r="P631" t="n">
        <v>0</v>
      </c>
      <c r="Q631" t="n">
        <v>0</v>
      </c>
      <c r="R631" s="2" t="inlineStr"/>
    </row>
    <row r="632" ht="15" customHeight="1">
      <c r="A632" t="inlineStr">
        <is>
          <t>A 39130-2023</t>
        </is>
      </c>
      <c r="B632" s="1" t="n">
        <v>45165</v>
      </c>
      <c r="C632" s="1" t="n">
        <v>46107</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13599-2025</t>
        </is>
      </c>
      <c r="B633" s="1" t="n">
        <v>45736.60597222222</v>
      </c>
      <c r="C633" s="1" t="n">
        <v>46107</v>
      </c>
      <c r="D633" t="inlineStr">
        <is>
          <t>ÖREBRO LÄN</t>
        </is>
      </c>
      <c r="E633" t="inlineStr">
        <is>
          <t>ÖREBRO</t>
        </is>
      </c>
      <c r="G633" t="n">
        <v>1.9</v>
      </c>
      <c r="H633" t="n">
        <v>0</v>
      </c>
      <c r="I633" t="n">
        <v>0</v>
      </c>
      <c r="J633" t="n">
        <v>0</v>
      </c>
      <c r="K633" t="n">
        <v>0</v>
      </c>
      <c r="L633" t="n">
        <v>0</v>
      </c>
      <c r="M633" t="n">
        <v>0</v>
      </c>
      <c r="N633" t="n">
        <v>0</v>
      </c>
      <c r="O633" t="n">
        <v>0</v>
      </c>
      <c r="P633" t="n">
        <v>0</v>
      </c>
      <c r="Q633" t="n">
        <v>0</v>
      </c>
      <c r="R633" s="2" t="inlineStr"/>
    </row>
    <row r="634" ht="15" customHeight="1">
      <c r="A634" t="inlineStr">
        <is>
          <t>A 50375-2024</t>
        </is>
      </c>
      <c r="B634" s="1" t="n">
        <v>45601.29311342593</v>
      </c>
      <c r="C634" s="1" t="n">
        <v>46107</v>
      </c>
      <c r="D634" t="inlineStr">
        <is>
          <t>ÖREBRO LÄN</t>
        </is>
      </c>
      <c r="E634" t="inlineStr">
        <is>
          <t>ÖREBRO</t>
        </is>
      </c>
      <c r="G634" t="n">
        <v>5</v>
      </c>
      <c r="H634" t="n">
        <v>0</v>
      </c>
      <c r="I634" t="n">
        <v>0</v>
      </c>
      <c r="J634" t="n">
        <v>0</v>
      </c>
      <c r="K634" t="n">
        <v>0</v>
      </c>
      <c r="L634" t="n">
        <v>0</v>
      </c>
      <c r="M634" t="n">
        <v>0</v>
      </c>
      <c r="N634" t="n">
        <v>0</v>
      </c>
      <c r="O634" t="n">
        <v>0</v>
      </c>
      <c r="P634" t="n">
        <v>0</v>
      </c>
      <c r="Q634" t="n">
        <v>0</v>
      </c>
      <c r="R634" s="2" t="inlineStr"/>
    </row>
    <row r="635" ht="15" customHeight="1">
      <c r="A635" t="inlineStr">
        <is>
          <t>A 52391-2024</t>
        </is>
      </c>
      <c r="B635" s="1" t="n">
        <v>45609.43180555556</v>
      </c>
      <c r="C635" s="1" t="n">
        <v>46107</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58532-2024</t>
        </is>
      </c>
      <c r="B636" s="1" t="n">
        <v>45635.44899305556</v>
      </c>
      <c r="C636" s="1" t="n">
        <v>46107</v>
      </c>
      <c r="D636" t="inlineStr">
        <is>
          <t>ÖREBRO LÄN</t>
        </is>
      </c>
      <c r="E636" t="inlineStr">
        <is>
          <t>ÖREBRO</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20150-2024</t>
        </is>
      </c>
      <c r="B637" s="1" t="n">
        <v>45434.57969907407</v>
      </c>
      <c r="C637" s="1" t="n">
        <v>46107</v>
      </c>
      <c r="D637" t="inlineStr">
        <is>
          <t>ÖREBRO LÄN</t>
        </is>
      </c>
      <c r="E637" t="inlineStr">
        <is>
          <t>ÖREBRO</t>
        </is>
      </c>
      <c r="G637" t="n">
        <v>0.5</v>
      </c>
      <c r="H637" t="n">
        <v>0</v>
      </c>
      <c r="I637" t="n">
        <v>0</v>
      </c>
      <c r="J637" t="n">
        <v>0</v>
      </c>
      <c r="K637" t="n">
        <v>0</v>
      </c>
      <c r="L637" t="n">
        <v>0</v>
      </c>
      <c r="M637" t="n">
        <v>0</v>
      </c>
      <c r="N637" t="n">
        <v>0</v>
      </c>
      <c r="O637" t="n">
        <v>0</v>
      </c>
      <c r="P637" t="n">
        <v>0</v>
      </c>
      <c r="Q637" t="n">
        <v>0</v>
      </c>
      <c r="R637" s="2" t="inlineStr"/>
    </row>
    <row r="638" ht="15" customHeight="1">
      <c r="A638" t="inlineStr">
        <is>
          <t>A 58208-2024</t>
        </is>
      </c>
      <c r="B638" s="1" t="n">
        <v>45632</v>
      </c>
      <c r="C638" s="1" t="n">
        <v>46107</v>
      </c>
      <c r="D638" t="inlineStr">
        <is>
          <t>ÖREBRO LÄN</t>
        </is>
      </c>
      <c r="E638" t="inlineStr">
        <is>
          <t>ÖREBRO</t>
        </is>
      </c>
      <c r="G638" t="n">
        <v>3.1</v>
      </c>
      <c r="H638" t="n">
        <v>0</v>
      </c>
      <c r="I638" t="n">
        <v>0</v>
      </c>
      <c r="J638" t="n">
        <v>0</v>
      </c>
      <c r="K638" t="n">
        <v>0</v>
      </c>
      <c r="L638" t="n">
        <v>0</v>
      </c>
      <c r="M638" t="n">
        <v>0</v>
      </c>
      <c r="N638" t="n">
        <v>0</v>
      </c>
      <c r="O638" t="n">
        <v>0</v>
      </c>
      <c r="P638" t="n">
        <v>0</v>
      </c>
      <c r="Q638" t="n">
        <v>0</v>
      </c>
      <c r="R638" s="2" t="inlineStr"/>
    </row>
    <row r="639" ht="15" customHeight="1">
      <c r="A639" t="inlineStr">
        <is>
          <t>A 19388-2024</t>
        </is>
      </c>
      <c r="B639" s="1" t="n">
        <v>45429.37775462963</v>
      </c>
      <c r="C639" s="1" t="n">
        <v>46107</v>
      </c>
      <c r="D639" t="inlineStr">
        <is>
          <t>ÖREBRO LÄN</t>
        </is>
      </c>
      <c r="E639" t="inlineStr">
        <is>
          <t>ÖREBRO</t>
        </is>
      </c>
      <c r="G639" t="n">
        <v>4.3</v>
      </c>
      <c r="H639" t="n">
        <v>0</v>
      </c>
      <c r="I639" t="n">
        <v>0</v>
      </c>
      <c r="J639" t="n">
        <v>0</v>
      </c>
      <c r="K639" t="n">
        <v>0</v>
      </c>
      <c r="L639" t="n">
        <v>0</v>
      </c>
      <c r="M639" t="n">
        <v>0</v>
      </c>
      <c r="N639" t="n">
        <v>0</v>
      </c>
      <c r="O639" t="n">
        <v>0</v>
      </c>
      <c r="P639" t="n">
        <v>0</v>
      </c>
      <c r="Q639" t="n">
        <v>0</v>
      </c>
      <c r="R639" s="2" t="inlineStr"/>
    </row>
    <row r="640" ht="15" customHeight="1">
      <c r="A640" t="inlineStr">
        <is>
          <t>A 7506-2025</t>
        </is>
      </c>
      <c r="B640" s="1" t="n">
        <v>45705</v>
      </c>
      <c r="C640" s="1" t="n">
        <v>46107</v>
      </c>
      <c r="D640" t="inlineStr">
        <is>
          <t>ÖREBRO LÄN</t>
        </is>
      </c>
      <c r="E640" t="inlineStr">
        <is>
          <t>ÖREBRO</t>
        </is>
      </c>
      <c r="G640" t="n">
        <v>0.5</v>
      </c>
      <c r="H640" t="n">
        <v>0</v>
      </c>
      <c r="I640" t="n">
        <v>0</v>
      </c>
      <c r="J640" t="n">
        <v>0</v>
      </c>
      <c r="K640" t="n">
        <v>0</v>
      </c>
      <c r="L640" t="n">
        <v>0</v>
      </c>
      <c r="M640" t="n">
        <v>0</v>
      </c>
      <c r="N640" t="n">
        <v>0</v>
      </c>
      <c r="O640" t="n">
        <v>0</v>
      </c>
      <c r="P640" t="n">
        <v>0</v>
      </c>
      <c r="Q640" t="n">
        <v>0</v>
      </c>
      <c r="R640" s="2" t="inlineStr"/>
    </row>
    <row r="641" ht="15" customHeight="1">
      <c r="A641" t="inlineStr">
        <is>
          <t>A 4344-2025</t>
        </is>
      </c>
      <c r="B641" s="1" t="n">
        <v>45685</v>
      </c>
      <c r="C641" s="1" t="n">
        <v>46107</v>
      </c>
      <c r="D641" t="inlineStr">
        <is>
          <t>ÖREBRO LÄN</t>
        </is>
      </c>
      <c r="E641" t="inlineStr">
        <is>
          <t>ÖREBRO</t>
        </is>
      </c>
      <c r="G641" t="n">
        <v>1.6</v>
      </c>
      <c r="H641" t="n">
        <v>0</v>
      </c>
      <c r="I641" t="n">
        <v>0</v>
      </c>
      <c r="J641" t="n">
        <v>0</v>
      </c>
      <c r="K641" t="n">
        <v>0</v>
      </c>
      <c r="L641" t="n">
        <v>0</v>
      </c>
      <c r="M641" t="n">
        <v>0</v>
      </c>
      <c r="N641" t="n">
        <v>0</v>
      </c>
      <c r="O641" t="n">
        <v>0</v>
      </c>
      <c r="P641" t="n">
        <v>0</v>
      </c>
      <c r="Q641" t="n">
        <v>0</v>
      </c>
      <c r="R641" s="2" t="inlineStr"/>
    </row>
    <row r="642" ht="15" customHeight="1">
      <c r="A642" t="inlineStr">
        <is>
          <t>A 16300-2022</t>
        </is>
      </c>
      <c r="B642" s="1" t="n">
        <v>44670</v>
      </c>
      <c r="C642" s="1" t="n">
        <v>46107</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16958-2022</t>
        </is>
      </c>
      <c r="B643" s="1" t="n">
        <v>44676.50481481481</v>
      </c>
      <c r="C643" s="1" t="n">
        <v>46107</v>
      </c>
      <c r="D643" t="inlineStr">
        <is>
          <t>ÖREBRO LÄN</t>
        </is>
      </c>
      <c r="E643" t="inlineStr">
        <is>
          <t>ÖREBRO</t>
        </is>
      </c>
      <c r="G643" t="n">
        <v>3.1</v>
      </c>
      <c r="H643" t="n">
        <v>0</v>
      </c>
      <c r="I643" t="n">
        <v>0</v>
      </c>
      <c r="J643" t="n">
        <v>0</v>
      </c>
      <c r="K643" t="n">
        <v>0</v>
      </c>
      <c r="L643" t="n">
        <v>0</v>
      </c>
      <c r="M643" t="n">
        <v>0</v>
      </c>
      <c r="N643" t="n">
        <v>0</v>
      </c>
      <c r="O643" t="n">
        <v>0</v>
      </c>
      <c r="P643" t="n">
        <v>0</v>
      </c>
      <c r="Q643" t="n">
        <v>0</v>
      </c>
      <c r="R643" s="2" t="inlineStr"/>
    </row>
    <row r="644" ht="15" customHeight="1">
      <c r="A644" t="inlineStr">
        <is>
          <t>A 55472-2023</t>
        </is>
      </c>
      <c r="B644" s="1" t="n">
        <v>45238</v>
      </c>
      <c r="C644" s="1" t="n">
        <v>46107</v>
      </c>
      <c r="D644" t="inlineStr">
        <is>
          <t>ÖREBRO LÄN</t>
        </is>
      </c>
      <c r="E644" t="inlineStr">
        <is>
          <t>ÖREBRO</t>
        </is>
      </c>
      <c r="G644" t="n">
        <v>0.6</v>
      </c>
      <c r="H644" t="n">
        <v>0</v>
      </c>
      <c r="I644" t="n">
        <v>0</v>
      </c>
      <c r="J644" t="n">
        <v>0</v>
      </c>
      <c r="K644" t="n">
        <v>0</v>
      </c>
      <c r="L644" t="n">
        <v>0</v>
      </c>
      <c r="M644" t="n">
        <v>0</v>
      </c>
      <c r="N644" t="n">
        <v>0</v>
      </c>
      <c r="O644" t="n">
        <v>0</v>
      </c>
      <c r="P644" t="n">
        <v>0</v>
      </c>
      <c r="Q644" t="n">
        <v>0</v>
      </c>
      <c r="R644" s="2" t="inlineStr"/>
    </row>
    <row r="645" ht="15" customHeight="1">
      <c r="A645" t="inlineStr">
        <is>
          <t>A 54925-2023</t>
        </is>
      </c>
      <c r="B645" s="1" t="n">
        <v>45229</v>
      </c>
      <c r="C645" s="1" t="n">
        <v>46107</v>
      </c>
      <c r="D645" t="inlineStr">
        <is>
          <t>ÖREBRO LÄN</t>
        </is>
      </c>
      <c r="E645" t="inlineStr">
        <is>
          <t>ÖREBRO</t>
        </is>
      </c>
      <c r="G645" t="n">
        <v>9.800000000000001</v>
      </c>
      <c r="H645" t="n">
        <v>0</v>
      </c>
      <c r="I645" t="n">
        <v>0</v>
      </c>
      <c r="J645" t="n">
        <v>0</v>
      </c>
      <c r="K645" t="n">
        <v>0</v>
      </c>
      <c r="L645" t="n">
        <v>0</v>
      </c>
      <c r="M645" t="n">
        <v>0</v>
      </c>
      <c r="N645" t="n">
        <v>0</v>
      </c>
      <c r="O645" t="n">
        <v>0</v>
      </c>
      <c r="P645" t="n">
        <v>0</v>
      </c>
      <c r="Q645" t="n">
        <v>0</v>
      </c>
      <c r="R645" s="2" t="inlineStr"/>
    </row>
    <row r="646">
      <c r="A646" t="inlineStr">
        <is>
          <t>A 16961-2022</t>
        </is>
      </c>
      <c r="B646" s="1" t="n">
        <v>44676</v>
      </c>
      <c r="C646" s="1" t="n">
        <v>46107</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2026-03-26T11:42:33Z</dcterms:created>
  <dcterms:modified xmlns:dcterms="http://purl.org/dc/terms/" xmlns:xsi="http://www.w3.org/2001/XMLSchema-instance" xsi:type="dcterms:W3CDTF">2026-03-26T11:42:34Z</dcterms:modified>
</cp:coreProperties>
</file>